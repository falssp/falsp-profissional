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Gerot_Smiles" defaultThemeVersion="164011"/>
  <mc:AlternateContent xmlns:mc="http://schemas.openxmlformats.org/markup-compatibility/2006">
    <mc:Choice Requires="x15">
      <x15ac:absPath xmlns:x15ac="http://schemas.microsoft.com/office/spreadsheetml/2010/11/ac" url="C:\Users\lilly\Google Drive\Smiles\Épicos\2016-10 - GEROT Operações de TI\Outubro\20\"/>
    </mc:Choice>
  </mc:AlternateContent>
  <bookViews>
    <workbookView xWindow="0" yWindow="0" windowWidth="20490" windowHeight="8820" tabRatio="208"/>
  </bookViews>
  <sheets>
    <sheet name="Capa" sheetId="2" r:id="rId1"/>
    <sheet name="Base" sheetId="1" r:id="rId2"/>
    <sheet name="TabDinâmica" sheetId="5" state="hidden" r:id="rId3"/>
  </sheets>
  <definedNames>
    <definedName name="_xlnm._FilterDatabase" localSheetId="1" hidden="1">Base!$A$1:$M$114</definedName>
    <definedName name="_xlnm._FilterDatabase" localSheetId="0" hidden="1">Capa!$B$13:$D$15</definedName>
  </definedNames>
  <calcPr calcId="171027"/>
  <pivotCaches>
    <pivotCache cacheId="0" r:id="rId4"/>
  </pivotCaches>
</workbook>
</file>

<file path=xl/calcChain.xml><?xml version="1.0" encoding="utf-8"?>
<calcChain xmlns="http://schemas.openxmlformats.org/spreadsheetml/2006/main">
  <c r="J105" i="1" l="1"/>
  <c r="J106" i="1"/>
  <c r="J107" i="1"/>
  <c r="J89" i="1"/>
  <c r="J90" i="1"/>
  <c r="J91" i="1"/>
  <c r="J92" i="1"/>
  <c r="J93" i="1"/>
  <c r="J84" i="1"/>
  <c r="J85" i="1"/>
  <c r="J76" i="1"/>
  <c r="J77" i="1"/>
  <c r="J68" i="1"/>
  <c r="J69" i="1"/>
  <c r="J62" i="1"/>
  <c r="J58" i="1"/>
  <c r="J54" i="1"/>
  <c r="J55" i="1"/>
  <c r="J50" i="1"/>
  <c r="J51" i="1"/>
  <c r="J46" i="1"/>
  <c r="J40" i="1"/>
  <c r="J37" i="1"/>
  <c r="J33" i="1"/>
  <c r="J34" i="1"/>
  <c r="J35" i="1"/>
  <c r="J29" i="1"/>
  <c r="J26" i="1"/>
  <c r="J27" i="1"/>
  <c r="J21" i="1"/>
  <c r="J22" i="1"/>
  <c r="J15" i="1"/>
  <c r="J14" i="1"/>
  <c r="J12" i="1"/>
  <c r="J9" i="1"/>
  <c r="J6" i="1"/>
  <c r="J5" i="1"/>
  <c r="J4" i="1"/>
  <c r="J2" i="1"/>
  <c r="J113" i="1"/>
  <c r="J114" i="1"/>
  <c r="J108" i="1"/>
  <c r="J109" i="1"/>
  <c r="J110" i="1"/>
  <c r="J111" i="1"/>
  <c r="J112" i="1"/>
  <c r="J98" i="1"/>
  <c r="J99" i="1"/>
  <c r="J100" i="1"/>
  <c r="J101" i="1"/>
  <c r="J102" i="1"/>
  <c r="J103" i="1"/>
  <c r="J94" i="1"/>
  <c r="J95" i="1"/>
  <c r="J96" i="1"/>
  <c r="J97" i="1"/>
  <c r="J88" i="1"/>
  <c r="J86" i="1"/>
  <c r="J87" i="1"/>
  <c r="J78" i="1"/>
  <c r="J79" i="1"/>
  <c r="J80" i="1"/>
  <c r="J81" i="1"/>
  <c r="J82" i="1"/>
  <c r="J83" i="1"/>
  <c r="J74" i="1"/>
  <c r="J75" i="1"/>
  <c r="J70" i="1"/>
  <c r="J71" i="1"/>
  <c r="J72" i="1"/>
  <c r="J73" i="1"/>
  <c r="J63" i="1"/>
  <c r="J64" i="1"/>
  <c r="J65" i="1"/>
  <c r="J66" i="1"/>
  <c r="J67" i="1"/>
  <c r="J59" i="1"/>
  <c r="J60" i="1"/>
  <c r="J61" i="1"/>
  <c r="J56" i="1"/>
  <c r="J57" i="1"/>
  <c r="J53" i="1"/>
  <c r="J52" i="1"/>
  <c r="J48" i="1"/>
  <c r="J49" i="1"/>
  <c r="J47" i="1"/>
  <c r="J44" i="1"/>
  <c r="J45" i="1"/>
  <c r="J42" i="1"/>
  <c r="J43" i="1"/>
  <c r="J41" i="1"/>
  <c r="J38" i="1"/>
  <c r="J39" i="1"/>
  <c r="J36" i="1"/>
  <c r="J32" i="1"/>
  <c r="J30" i="1"/>
  <c r="J31" i="1"/>
  <c r="J28" i="1"/>
  <c r="J25" i="1"/>
  <c r="J23" i="1"/>
  <c r="J24" i="1"/>
  <c r="J20" i="1"/>
  <c r="J18" i="1"/>
  <c r="J19" i="1"/>
  <c r="J16" i="1"/>
  <c r="J17" i="1"/>
  <c r="J13" i="1"/>
  <c r="J11" i="1"/>
  <c r="J10" i="1"/>
  <c r="J8" i="1"/>
  <c r="J7" i="1"/>
  <c r="J3" i="1"/>
  <c r="J104" i="1"/>
  <c r="D13" i="2"/>
  <c r="D9" i="2"/>
</calcChain>
</file>

<file path=xl/comments1.xml><?xml version="1.0" encoding="utf-8"?>
<comments xmlns="http://schemas.openxmlformats.org/spreadsheetml/2006/main">
  <authors>
    <author>Jorge Filho</author>
  </authors>
  <commentList>
    <comment ref="B9" authorId="0" shapeId="0">
      <text>
        <r>
          <rPr>
            <b/>
            <sz val="9"/>
            <color indexed="81"/>
            <rFont val="Segoe UI"/>
            <family val="2"/>
          </rPr>
          <t xml:space="preserve">Backlog Bruto: </t>
        </r>
        <r>
          <rPr>
            <sz val="9"/>
            <color indexed="81"/>
            <rFont val="Segoe UI"/>
            <family val="2"/>
          </rPr>
          <t>Todos os chamados que ainda estão em aberto dos Projetos CSM e NGC no JIRA.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 xml:space="preserve">Backlog Líquido: </t>
        </r>
        <r>
          <rPr>
            <sz val="9"/>
            <color indexed="81"/>
            <rFont val="Segoe UI"/>
            <family val="2"/>
          </rPr>
          <t>Todos os chamados que ainda estão em aberto dos Projetos CSM e NGC no JIRA, desconsiderando os Status "Pendente Desenvolvimento", "Operação Assistida" e também os chamados com Issue Type "Criação ou Alteração de Promoção".</t>
        </r>
      </text>
    </comment>
  </commentList>
</comments>
</file>

<file path=xl/sharedStrings.xml><?xml version="1.0" encoding="utf-8"?>
<sst xmlns="http://schemas.openxmlformats.org/spreadsheetml/2006/main" count="1139" uniqueCount="451">
  <si>
    <t>Priority</t>
  </si>
  <si>
    <t>Issue Type</t>
  </si>
  <si>
    <t>Key</t>
  </si>
  <si>
    <t>Summary</t>
  </si>
  <si>
    <t>Assignee</t>
  </si>
  <si>
    <t>Status</t>
  </si>
  <si>
    <t>Tempo de Resolução</t>
  </si>
  <si>
    <t>Tempo de Resposta</t>
  </si>
  <si>
    <t>Created</t>
  </si>
  <si>
    <t>Aging</t>
  </si>
  <si>
    <t>Tipo de Chamado Visão Participante</t>
  </si>
  <si>
    <t>Tipo de Chamado de Áreas de Negócio</t>
  </si>
  <si>
    <t>Classificação</t>
  </si>
  <si>
    <t>Major</t>
  </si>
  <si>
    <t>Solicitação</t>
  </si>
  <si>
    <t>NGC-148</t>
  </si>
  <si>
    <t>Billing - Status da Transação</t>
  </si>
  <si>
    <t>Luis Savioli</t>
  </si>
  <si>
    <t>Programada</t>
  </si>
  <si>
    <t>-10:07</t>
  </si>
  <si>
    <t>6:32</t>
  </si>
  <si>
    <t>Relatórios / Arquivos</t>
  </si>
  <si>
    <t>Incidente</t>
  </si>
  <si>
    <t>CSM-832</t>
  </si>
  <si>
    <t>SS de cancelamento de Clube Smiles em aberto</t>
  </si>
  <si>
    <t>Pendente Desenvolvimento</t>
  </si>
  <si>
    <t>0:19</t>
  </si>
  <si>
    <t>7:04</t>
  </si>
  <si>
    <t>Erros de Siebel</t>
  </si>
  <si>
    <t>Minor</t>
  </si>
  <si>
    <t>NGC-696</t>
  </si>
  <si>
    <t>Bloco de Milhas para Parceiro não Aereo</t>
  </si>
  <si>
    <t>Caio Francolin</t>
  </si>
  <si>
    <t>Pendente Usuário</t>
  </si>
  <si>
    <t>38:08</t>
  </si>
  <si>
    <t>Outros</t>
  </si>
  <si>
    <t>Criação ou Manutenção de Promoção</t>
  </si>
  <si>
    <t>NGC-930</t>
  </si>
  <si>
    <t>Promoção de acumulo AF e KL</t>
  </si>
  <si>
    <t>Andre Morais</t>
  </si>
  <si>
    <t>23:30</t>
  </si>
  <si>
    <t>8:00</t>
  </si>
  <si>
    <t>Promoções</t>
  </si>
  <si>
    <t>NGC-972</t>
  </si>
  <si>
    <t>Nova regra de acúmulo Codeshare Aerolineas (GA)</t>
  </si>
  <si>
    <t>Suporte Promoções</t>
  </si>
  <si>
    <t>21:40</t>
  </si>
  <si>
    <t>7:22</t>
  </si>
  <si>
    <t>CSM-1139</t>
  </si>
  <si>
    <t>Envio de e-mail indevido para o participante Smiles com valores da (SL)</t>
  </si>
  <si>
    <t>Jonathas Souza</t>
  </si>
  <si>
    <t>0:39</t>
  </si>
  <si>
    <t>6:05</t>
  </si>
  <si>
    <t>CSM-1262</t>
  </si>
  <si>
    <t>Erro - Promoção sem Milhas</t>
  </si>
  <si>
    <t>Operação Assistida</t>
  </si>
  <si>
    <t>23:16</t>
  </si>
  <si>
    <t>7:50</t>
  </si>
  <si>
    <t>Erros de Promoção / Bonificação</t>
  </si>
  <si>
    <t>Critical</t>
  </si>
  <si>
    <t>NGC-1271</t>
  </si>
  <si>
    <t>Erro no arquivo de vendas analítico - NSU zerado</t>
  </si>
  <si>
    <t>Raul de Souza</t>
  </si>
  <si>
    <t>-150:07</t>
  </si>
  <si>
    <t>3:35</t>
  </si>
  <si>
    <t>Erros no Site</t>
  </si>
  <si>
    <t>CSM-1334</t>
  </si>
  <si>
    <t>Erro ao emitir</t>
  </si>
  <si>
    <t>Raul Ferreira</t>
  </si>
  <si>
    <t>22:34</t>
  </si>
  <si>
    <t>7:35</t>
  </si>
  <si>
    <t>CSM-1338</t>
  </si>
  <si>
    <t>Erro - Emissão</t>
  </si>
  <si>
    <t>19:35</t>
  </si>
  <si>
    <t>6:06</t>
  </si>
  <si>
    <t>CSM-1361</t>
  </si>
  <si>
    <t>erro 500 ao emitir</t>
  </si>
  <si>
    <t>19:08</t>
  </si>
  <si>
    <t>6:40</t>
  </si>
  <si>
    <t>NGC-1312</t>
  </si>
  <si>
    <t>Erro no SOA/BAM Jan/2016</t>
  </si>
  <si>
    <t>-19:32</t>
  </si>
  <si>
    <t>7:48</t>
  </si>
  <si>
    <t>NGC-1347</t>
  </si>
  <si>
    <t>Promoção de resgate para tarifas comerciais Delta</t>
  </si>
  <si>
    <t>13:09</t>
  </si>
  <si>
    <t>5:29</t>
  </si>
  <si>
    <t>Cadastros</t>
  </si>
  <si>
    <t>NGC-1405</t>
  </si>
  <si>
    <t>Texto do produto na fatura do cartão</t>
  </si>
  <si>
    <t>33:34</t>
  </si>
  <si>
    <t>CSM-1463</t>
  </si>
  <si>
    <t>Smiles | Página Promoções</t>
  </si>
  <si>
    <t>Adolfo Nunes</t>
  </si>
  <si>
    <t>0:34</t>
  </si>
  <si>
    <t>7:59</t>
  </si>
  <si>
    <t>CSM-1464</t>
  </si>
  <si>
    <t>Reembolso cancelamento</t>
  </si>
  <si>
    <t>5:11</t>
  </si>
  <si>
    <t>2:48</t>
  </si>
  <si>
    <t>CSM-1465</t>
  </si>
  <si>
    <t>Erro Downgrade</t>
  </si>
  <si>
    <t>0:32</t>
  </si>
  <si>
    <t>7:45</t>
  </si>
  <si>
    <t>CSM-1470</t>
  </si>
  <si>
    <t>Erro mudança de plano</t>
  </si>
  <si>
    <t>-110:11</t>
  </si>
  <si>
    <t>7:37</t>
  </si>
  <si>
    <t>CSM-1478</t>
  </si>
  <si>
    <t>Erro reembolso de bilhete Amadeus Siebel</t>
  </si>
  <si>
    <t>3:31</t>
  </si>
  <si>
    <t>NGC-1460</t>
  </si>
  <si>
    <t>Erro ao Solicitar 2ª via de senha</t>
  </si>
  <si>
    <t>4:00</t>
  </si>
  <si>
    <t>Fraude / Perda Financeira</t>
  </si>
  <si>
    <t>CSM-1480</t>
  </si>
  <si>
    <t>Estrangeiro com Adesão Clube Smiles</t>
  </si>
  <si>
    <t>19:26</t>
  </si>
  <si>
    <t>7:18</t>
  </si>
  <si>
    <t>NGC-1457</t>
  </si>
  <si>
    <t>ODS x QUERIES OFENSORAS (SMILES)</t>
  </si>
  <si>
    <t>22:05</t>
  </si>
  <si>
    <t>CSM-1483</t>
  </si>
  <si>
    <t>Cliente estrangeiro não consegue solicitar a senha</t>
  </si>
  <si>
    <t>36:48</t>
  </si>
  <si>
    <t>6:48</t>
  </si>
  <si>
    <t>CSM-1488</t>
  </si>
  <si>
    <t>Erro de emissão 500 na conta.</t>
  </si>
  <si>
    <t>13:53</t>
  </si>
  <si>
    <t>7:32</t>
  </si>
  <si>
    <t>NGC-1484</t>
  </si>
  <si>
    <t>Solicitação de senha em outro e-mail sem CPF</t>
  </si>
  <si>
    <t>CSM-1499</t>
  </si>
  <si>
    <t>Cliente não consegue solicitar senha</t>
  </si>
  <si>
    <t>19:39</t>
  </si>
  <si>
    <t>7:38</t>
  </si>
  <si>
    <t>NGC-1472</t>
  </si>
  <si>
    <t>Campo marketing carrier transação de acumulo</t>
  </si>
  <si>
    <t>-124:47</t>
  </si>
  <si>
    <t>4:11</t>
  </si>
  <si>
    <t>CSM-1510</t>
  </si>
  <si>
    <t>Erro 800 no cancelamento de emissão no Siebel</t>
  </si>
  <si>
    <t>12:38</t>
  </si>
  <si>
    <t>5:42</t>
  </si>
  <si>
    <t>CSM-1511</t>
  </si>
  <si>
    <t>Erro ao solicitar Senha</t>
  </si>
  <si>
    <t>36:39</t>
  </si>
  <si>
    <t>7:28</t>
  </si>
  <si>
    <t>NGC-1486</t>
  </si>
  <si>
    <t>Arquivos de accrual Airfrance</t>
  </si>
  <si>
    <t>-34:43</t>
  </si>
  <si>
    <t>2:53</t>
  </si>
  <si>
    <t>EDI</t>
  </si>
  <si>
    <t>CSM-1516</t>
  </si>
  <si>
    <t>Erro no envio de e-mail</t>
  </si>
  <si>
    <t>Pendente Fornecedor</t>
  </si>
  <si>
    <t>NGC-1506</t>
  </si>
  <si>
    <t>Erro no campo OPT_OUT_PHONE para cadastro de novos membros</t>
  </si>
  <si>
    <t>31:59</t>
  </si>
  <si>
    <t>NGC-1502</t>
  </si>
  <si>
    <t>Criação de Novo Código de Retorno</t>
  </si>
  <si>
    <t>-18:57</t>
  </si>
  <si>
    <t>2:16</t>
  </si>
  <si>
    <t>NGC-1500</t>
  </si>
  <si>
    <t>Arquivos de accrual Aeromexico</t>
  </si>
  <si>
    <t>-27:48</t>
  </si>
  <si>
    <t>7:54</t>
  </si>
  <si>
    <t>CSM-1539</t>
  </si>
  <si>
    <t>Participante não consegue solicitar senha</t>
  </si>
  <si>
    <t>19:53</t>
  </si>
  <si>
    <t>4:05</t>
  </si>
  <si>
    <t>CSM-1545</t>
  </si>
  <si>
    <t>Assentos Comfort - Marcação de Assentos.</t>
  </si>
  <si>
    <t>22:30</t>
  </si>
  <si>
    <t>7:15</t>
  </si>
  <si>
    <t>CSM-1542</t>
  </si>
  <si>
    <t>Erro na aba do status de senha do Sibel</t>
  </si>
  <si>
    <t>30:10</t>
  </si>
  <si>
    <t>4:29</t>
  </si>
  <si>
    <t>NGC-1534</t>
  </si>
  <si>
    <t>Popular a tela de co-branded</t>
  </si>
  <si>
    <t>-54:30</t>
  </si>
  <si>
    <t>6:47</t>
  </si>
  <si>
    <t>CSM-1552</t>
  </si>
  <si>
    <t>Formulário de pedido de senha.</t>
  </si>
  <si>
    <t>17:05</t>
  </si>
  <si>
    <t>7:43</t>
  </si>
  <si>
    <t>NGC-1541</t>
  </si>
  <si>
    <t>Transf. com 200% bônus para quem transfere</t>
  </si>
  <si>
    <t>Pendente GMUD</t>
  </si>
  <si>
    <t>39:19</t>
  </si>
  <si>
    <t>CSM-1560</t>
  </si>
  <si>
    <t>Rejeitado Gerente</t>
  </si>
  <si>
    <t>2:14</t>
  </si>
  <si>
    <t>4:32</t>
  </si>
  <si>
    <t>CSM-1557</t>
  </si>
  <si>
    <t>Rightnow - alteração da pesquisa de satisfação</t>
  </si>
  <si>
    <t>14:45</t>
  </si>
  <si>
    <t>7:41</t>
  </si>
  <si>
    <t>Em Atendimento</t>
  </si>
  <si>
    <t>CSM-1573</t>
  </si>
  <si>
    <t>Cadastramento do e-mail na conta Smiles</t>
  </si>
  <si>
    <t>22:43</t>
  </si>
  <si>
    <t>6:51</t>
  </si>
  <si>
    <t>CSM-1576</t>
  </si>
  <si>
    <t>23:40</t>
  </si>
  <si>
    <t>CSM-1579</t>
  </si>
  <si>
    <t>Erro de solicitação de senha cliente estrangeiro</t>
  </si>
  <si>
    <t>9:16</t>
  </si>
  <si>
    <t>NGC-1583</t>
  </si>
  <si>
    <t>Reativação 100% todos os clientes</t>
  </si>
  <si>
    <t>37:47</t>
  </si>
  <si>
    <t>6:03</t>
  </si>
  <si>
    <t>CSM-1587</t>
  </si>
  <si>
    <t>Erro ao criar Membro</t>
  </si>
  <si>
    <t>14:13</t>
  </si>
  <si>
    <t>7:19</t>
  </si>
  <si>
    <t>CSM-1582</t>
  </si>
  <si>
    <t>-1:00</t>
  </si>
  <si>
    <t>7:33</t>
  </si>
  <si>
    <t>NGC-1595</t>
  </si>
  <si>
    <t>Clube Smiles - Banco Pan</t>
  </si>
  <si>
    <t>Pendente Homologação</t>
  </si>
  <si>
    <t>26:39</t>
  </si>
  <si>
    <t>7:44</t>
  </si>
  <si>
    <t>NGC-1606</t>
  </si>
  <si>
    <t>Saldo divergente</t>
  </si>
  <si>
    <t>32:53</t>
  </si>
  <si>
    <t>CSM-1589</t>
  </si>
  <si>
    <t>erros comprovantes de venda emissão Smiles</t>
  </si>
  <si>
    <t>33:49</t>
  </si>
  <si>
    <t>CSM-1593</t>
  </si>
  <si>
    <t>VALIDADE DAS MILHAS/CLIENTE</t>
  </si>
  <si>
    <t>37:59</t>
  </si>
  <si>
    <t>40:00</t>
  </si>
  <si>
    <t>NGC-1616</t>
  </si>
  <si>
    <t>Ajuste Billing Aereo</t>
  </si>
  <si>
    <t>7:39</t>
  </si>
  <si>
    <t>CSM-1599</t>
  </si>
  <si>
    <t>Milhas Club para Manutenção e Upgrade</t>
  </si>
  <si>
    <t>19:27</t>
  </si>
  <si>
    <t>CSM-1598</t>
  </si>
  <si>
    <t>Código Promocional com data incorreta</t>
  </si>
  <si>
    <t>20:17</t>
  </si>
  <si>
    <t>7:57</t>
  </si>
  <si>
    <t>NGC-1617</t>
  </si>
  <si>
    <t>Backlog_Crédito retroativo TP</t>
  </si>
  <si>
    <t>22:55</t>
  </si>
  <si>
    <t>7:51</t>
  </si>
  <si>
    <t>CSM-1605</t>
  </si>
  <si>
    <t>Painel - Validações sobre Membros e Tier (Clientes com Validade de Tier Vazia)</t>
  </si>
  <si>
    <t>3:12</t>
  </si>
  <si>
    <t>CSM-1606</t>
  </si>
  <si>
    <t>Painel - Validações sobre Membros e Tier (Clientes com Inicio de Tier Vazia)</t>
  </si>
  <si>
    <t>3:21</t>
  </si>
  <si>
    <t>CSM-1607</t>
  </si>
  <si>
    <t>Painel - Validações sobre Membros e Tier (Idioma espanhol Incorreto)</t>
  </si>
  <si>
    <t>16:15</t>
  </si>
  <si>
    <t>NGC-1621</t>
  </si>
  <si>
    <t>Painel - Validações sobre Membros e Tier (Brasileiros sem CPF)</t>
  </si>
  <si>
    <t>23:45</t>
  </si>
  <si>
    <t>CSM-1617</t>
  </si>
  <si>
    <t>RESERVAS GOL EXPIRADAS ANTES DO PRZ-</t>
  </si>
  <si>
    <t>1:59</t>
  </si>
  <si>
    <t>CSM-1616</t>
  </si>
  <si>
    <t>Erro na transferência de milhas na promoção 200% bonus - ss: 1-48642448417</t>
  </si>
  <si>
    <t>16:00</t>
  </si>
  <si>
    <t>CSM-1612</t>
  </si>
  <si>
    <t>ERRO EMISSÃO GOL - "500 Internal Server Error".</t>
  </si>
  <si>
    <t>19:42</t>
  </si>
  <si>
    <t>CSM-1614</t>
  </si>
  <si>
    <t>Área clicável dos botões de "Cadastrar-se" e "Entrar" estão reduzida a parte de baixo do mesmo.</t>
  </si>
  <si>
    <t>39:43</t>
  </si>
  <si>
    <t>7:47</t>
  </si>
  <si>
    <t>CSM-1618</t>
  </si>
  <si>
    <t>Conta Suspensa em nome de terceiros: ss: 1-49207698322</t>
  </si>
  <si>
    <t>NGC-1636</t>
  </si>
  <si>
    <t>Cielo Cash In - Inconsistências</t>
  </si>
  <si>
    <t>-5:20</t>
  </si>
  <si>
    <t>6:56</t>
  </si>
  <si>
    <t>CSM-1620</t>
  </si>
  <si>
    <t>ERRO "EMISSÃO SEM MILHAS" - SS: 1-49733054124</t>
  </si>
  <si>
    <t>0:48</t>
  </si>
  <si>
    <t>6:31</t>
  </si>
  <si>
    <t>CSM-1622</t>
  </si>
  <si>
    <t>Não consegue finalizar Compra no Shopping</t>
  </si>
  <si>
    <t>24:00</t>
  </si>
  <si>
    <t>CSM-1619</t>
  </si>
  <si>
    <t>Logo KOREAN AIR está cortado no resultado de busca de voo</t>
  </si>
  <si>
    <t>35:00</t>
  </si>
  <si>
    <t>7:14</t>
  </si>
  <si>
    <t>NGC-1641</t>
  </si>
  <si>
    <t>Bonus Co-branded Smiles Rocketmiles</t>
  </si>
  <si>
    <t>36:09</t>
  </si>
  <si>
    <t>6:54</t>
  </si>
  <si>
    <t>NGC-1642</t>
  </si>
  <si>
    <t>Arquivos de Consulta Cobranded</t>
  </si>
  <si>
    <t>5:16</t>
  </si>
  <si>
    <t>CSM-1623</t>
  </si>
  <si>
    <t>Erro Shopping Reserva passeio.</t>
  </si>
  <si>
    <t>CSM-1626</t>
  </si>
  <si>
    <t>CANCELAMENTO DE VOO GOL - ATUALIZAÇÃO DE TARIFA</t>
  </si>
  <si>
    <t>CSM-1625</t>
  </si>
  <si>
    <t>ERRO DE EMISSÃO - CONTA SMILES :794083441</t>
  </si>
  <si>
    <t>17:49</t>
  </si>
  <si>
    <t>CSM-1630</t>
  </si>
  <si>
    <t>Cancelamento de Voo parceiro pelo site com status no show</t>
  </si>
  <si>
    <t>2:30</t>
  </si>
  <si>
    <t>6:25</t>
  </si>
  <si>
    <t>CSM-1629</t>
  </si>
  <si>
    <t>Erro Emissão App</t>
  </si>
  <si>
    <t>Aberto</t>
  </si>
  <si>
    <t>5:52</t>
  </si>
  <si>
    <t>CSM-1633</t>
  </si>
  <si>
    <t>iPhone - data de validade de voucher com um dia a mais.</t>
  </si>
  <si>
    <t>22:35</t>
  </si>
  <si>
    <t>6:53</t>
  </si>
  <si>
    <t>Erros no APP Smiles</t>
  </si>
  <si>
    <t>CSM-1635</t>
  </si>
  <si>
    <t>[Clube Smiles] - erro ao cancelar alteração de plano</t>
  </si>
  <si>
    <t>23:32</t>
  </si>
  <si>
    <t>NGC-1651</t>
  </si>
  <si>
    <t>Problema na Gravação do Custo das Emissões Gol</t>
  </si>
  <si>
    <t>31:08</t>
  </si>
  <si>
    <t>NGC-1653</t>
  </si>
  <si>
    <t>WL - de 24 a 31 de outubro</t>
  </si>
  <si>
    <t>38:29</t>
  </si>
  <si>
    <t>7:29</t>
  </si>
  <si>
    <t>CSM-1631</t>
  </si>
  <si>
    <t>Informação de Milhas Club</t>
  </si>
  <si>
    <t>38:48</t>
  </si>
  <si>
    <t>7:09</t>
  </si>
  <si>
    <t>CSM-1636</t>
  </si>
  <si>
    <t>[Extrato] - erro na exibição de detalhes</t>
  </si>
  <si>
    <t>39:58</t>
  </si>
  <si>
    <t>CSM-1638</t>
  </si>
  <si>
    <t>Erro reembolso após Noshow Amadeus.</t>
  </si>
  <si>
    <t>3:53</t>
  </si>
  <si>
    <t>NGC-1654</t>
  </si>
  <si>
    <t>Arquivo BDB</t>
  </si>
  <si>
    <t>18:53</t>
  </si>
  <si>
    <t>6:35</t>
  </si>
  <si>
    <t>CSM-1641</t>
  </si>
  <si>
    <t>Cancelamento de transação de crédito de voos Etihad</t>
  </si>
  <si>
    <t>5:23</t>
  </si>
  <si>
    <t>NGC-1659</t>
  </si>
  <si>
    <t>Problema com botão Login do site Smiles</t>
  </si>
  <si>
    <t>36:55</t>
  </si>
  <si>
    <t>Publicações</t>
  </si>
  <si>
    <t>CSM-1645</t>
  </si>
  <si>
    <t>Aguardando Resposta Parceiro fazer cancelamento</t>
  </si>
  <si>
    <t>NGC-1662</t>
  </si>
  <si>
    <t>Processar Arquivos QueryFromPartner</t>
  </si>
  <si>
    <t>Suporte Site</t>
  </si>
  <si>
    <t>CSM-1650</t>
  </si>
  <si>
    <t>Relatório da pesquisa de satisfação - Rightnow</t>
  </si>
  <si>
    <t>7:08</t>
  </si>
  <si>
    <t>Sandra Predolim</t>
  </si>
  <si>
    <t>CSM-1652</t>
  </si>
  <si>
    <t>CAMPO SAIBA MAIS NÃO ABRE</t>
  </si>
  <si>
    <t>7:46</t>
  </si>
  <si>
    <t>CSM-1647</t>
  </si>
  <si>
    <t>Reset de Senha "meu primeiro acesso" para Clientes com e-mail na conta</t>
  </si>
  <si>
    <t>36:21</t>
  </si>
  <si>
    <t>5:39</t>
  </si>
  <si>
    <t>NGC-1667</t>
  </si>
  <si>
    <t>Promoção LIVELO Outubro 2016</t>
  </si>
  <si>
    <t>7:05</t>
  </si>
  <si>
    <t>NGC-1666</t>
  </si>
  <si>
    <t>Promoção AMEX Outubro 2016</t>
  </si>
  <si>
    <t>37:52</t>
  </si>
  <si>
    <t>7:03</t>
  </si>
  <si>
    <t>NGC-1665</t>
  </si>
  <si>
    <t>Bônus 100% Itaú - Outubro</t>
  </si>
  <si>
    <t>38:06</t>
  </si>
  <si>
    <t>7:02</t>
  </si>
  <si>
    <t>NGC-1669</t>
  </si>
  <si>
    <t>Bonificação BRB Outubro 2016</t>
  </si>
  <si>
    <t>38:17</t>
  </si>
  <si>
    <t>CSM-1646</t>
  </si>
  <si>
    <t>Informação de parcelamento incorreta no APP</t>
  </si>
  <si>
    <t>CSM-1655</t>
  </si>
  <si>
    <t>Erro na Etapa 3 - projeto Cielo Clube Smiles</t>
  </si>
  <si>
    <t>Unassigned</t>
  </si>
  <si>
    <t>CSM-1654</t>
  </si>
  <si>
    <t>Participante não consegue solicitar senha via site</t>
  </si>
  <si>
    <t>(Tudo)</t>
  </si>
  <si>
    <t>(Vários itens)</t>
  </si>
  <si>
    <t>BACKLOG Bruto</t>
  </si>
  <si>
    <t>BACKLOG Líquido</t>
  </si>
  <si>
    <t>Backlog BRUTO</t>
  </si>
  <si>
    <t>Backlog LÍQUIDO</t>
  </si>
  <si>
    <t>Resultado do dia</t>
  </si>
  <si>
    <t>NGC-1682</t>
  </si>
  <si>
    <t>Cash In Cielo- Liberação de Arquivos</t>
  </si>
  <si>
    <t>23:43</t>
  </si>
  <si>
    <t>NGC-1681</t>
  </si>
  <si>
    <t>Troca de HTML de email sistemico</t>
  </si>
  <si>
    <t>37:30</t>
  </si>
  <si>
    <t>NGC-1680</t>
  </si>
  <si>
    <t>Gerar Query AC</t>
  </si>
  <si>
    <t>21:05</t>
  </si>
  <si>
    <t>6:01</t>
  </si>
  <si>
    <t>NGC-1678</t>
  </si>
  <si>
    <t>Promoção de Resgate - Rocket Miles</t>
  </si>
  <si>
    <t>39:44</t>
  </si>
  <si>
    <t>35:32</t>
  </si>
  <si>
    <t>2:46</t>
  </si>
  <si>
    <t>-23:44</t>
  </si>
  <si>
    <t>CSM-1667</t>
  </si>
  <si>
    <t>Não recebeu bonificação</t>
  </si>
  <si>
    <t>CSM-1666</t>
  </si>
  <si>
    <t>Rejeitado Mecanismo//credito excepcional</t>
  </si>
  <si>
    <t>CSM-1665</t>
  </si>
  <si>
    <t>Recebimento de promoções - 737815805</t>
  </si>
  <si>
    <t>CSM-1664</t>
  </si>
  <si>
    <t>ERRO NO VOUCHER BENF. MILHAS</t>
  </si>
  <si>
    <t>CSM-1663</t>
  </si>
  <si>
    <t>Cliente não consegue entrar identificado - ss: 1-50198653524</t>
  </si>
  <si>
    <t>CSM-1662</t>
  </si>
  <si>
    <t>Erro na Etapa 1 - projeto Cielo Clube Smiles</t>
  </si>
  <si>
    <t>CSM-1661</t>
  </si>
  <si>
    <t>Erro de cancelamento via site somente de um trecho de voos Gol</t>
  </si>
  <si>
    <t>CSM-1659</t>
  </si>
  <si>
    <t>Realizar Up Date nas transações</t>
  </si>
  <si>
    <t>32:00</t>
  </si>
  <si>
    <t>CSM-1658</t>
  </si>
  <si>
    <t>RESGATE INDEVIDO DE MILHAS BÔNUS DO CLUBE SMILES</t>
  </si>
  <si>
    <t>CSM-1657</t>
  </si>
  <si>
    <t>Assinatura Suspensa - 417013122</t>
  </si>
  <si>
    <t>15:55</t>
  </si>
  <si>
    <t>7:55</t>
  </si>
  <si>
    <t>CSM-1656</t>
  </si>
  <si>
    <t>Erro - Adesão Clube Smiles</t>
  </si>
  <si>
    <t>20:08</t>
  </si>
  <si>
    <t>22:04</t>
  </si>
  <si>
    <t>6:19</t>
  </si>
  <si>
    <t>26:58</t>
  </si>
  <si>
    <t>23:46</t>
  </si>
  <si>
    <t>22:47</t>
  </si>
  <si>
    <t>13:23</t>
  </si>
  <si>
    <t>6:26</t>
  </si>
  <si>
    <t>0:56</t>
  </si>
  <si>
    <t>-16:00</t>
  </si>
  <si>
    <t>34:59</t>
  </si>
  <si>
    <t>-160:00</t>
  </si>
  <si>
    <t>Recadastro efetuado via WEB Abrovado auto via Clear e atualização subiu no cadastro e sumiu .</t>
  </si>
  <si>
    <t>Reserva com 2 passageiros Abresenta somente 1</t>
  </si>
  <si>
    <t>Meta Out-16</t>
  </si>
  <si>
    <t>L</t>
  </si>
  <si>
    <r>
      <t xml:space="preserve">GEROT
</t>
    </r>
    <r>
      <rPr>
        <b/>
        <sz val="24"/>
        <color theme="0"/>
        <rFont val="Calibri"/>
        <family val="2"/>
        <scheme val="minor"/>
      </rPr>
      <t>Gerenciamento da Rotina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</si>
</sst>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sz val="9"/>
      <color rgb="FF000000"/>
      <name val="Arial"/>
      <family val="2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36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theme="1" tint="4.9989318521683403E-2"/>
      <name val="Calibri"/>
      <family val="2"/>
      <scheme val="minor"/>
    </font>
    <font>
      <sz val="28"/>
      <color theme="1" tint="4.9989318521683403E-2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7030A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rgb="FFFF0000"/>
      <name val="Wingdings"/>
      <charset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68E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030A0"/>
      </left>
      <right/>
      <top style="thin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/>
      <top/>
      <bottom/>
      <diagonal/>
    </border>
    <border>
      <left/>
      <right style="thin">
        <color rgb="FF7030A0"/>
      </right>
      <top/>
      <bottom/>
      <diagonal/>
    </border>
    <border>
      <left style="thin">
        <color rgb="FF7030A0"/>
      </left>
      <right/>
      <top/>
      <bottom style="thin">
        <color rgb="FF7030A0"/>
      </bottom>
      <diagonal/>
    </border>
    <border>
      <left/>
      <right style="thin">
        <color rgb="FF7030A0"/>
      </right>
      <top/>
      <bottom style="thin">
        <color rgb="FF7030A0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34">
    <xf numFmtId="0" fontId="0" fillId="0" borderId="0" xfId="0"/>
    <xf numFmtId="0" fontId="20" fillId="0" borderId="0" xfId="0" applyFont="1" applyAlignment="1">
      <alignment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14" fontId="21" fillId="0" borderId="1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left" indent="1"/>
    </xf>
    <xf numFmtId="0" fontId="23" fillId="33" borderId="0" xfId="0" applyFont="1" applyFill="1" applyAlignment="1">
      <alignment vertical="center"/>
    </xf>
    <xf numFmtId="0" fontId="0" fillId="0" borderId="10" xfId="0" applyFont="1" applyBorder="1" applyAlignment="1">
      <alignment vertical="top" wrapText="1"/>
    </xf>
    <xf numFmtId="49" fontId="0" fillId="0" borderId="10" xfId="0" applyNumberFormat="1" applyFont="1" applyBorder="1" applyAlignment="1">
      <alignment horizontal="left" vertical="top" wrapText="1"/>
    </xf>
    <xf numFmtId="49" fontId="18" fillId="0" borderId="10" xfId="42" applyNumberFormat="1" applyFont="1" applyBorder="1" applyAlignment="1">
      <alignment horizontal="left" vertical="top" wrapText="1"/>
    </xf>
    <xf numFmtId="49" fontId="0" fillId="0" borderId="10" xfId="0" applyNumberFormat="1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14" fontId="0" fillId="0" borderId="10" xfId="0" applyNumberFormat="1" applyFont="1" applyBorder="1" applyAlignment="1">
      <alignment vertical="top" wrapText="1"/>
    </xf>
    <xf numFmtId="3" fontId="21" fillId="0" borderId="1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vertical="center"/>
    </xf>
    <xf numFmtId="14" fontId="28" fillId="0" borderId="0" xfId="0" applyNumberFormat="1" applyFont="1" applyAlignment="1">
      <alignment vertical="center"/>
    </xf>
    <xf numFmtId="3" fontId="28" fillId="0" borderId="0" xfId="0" applyNumberFormat="1" applyFont="1" applyAlignment="1">
      <alignment vertical="center"/>
    </xf>
    <xf numFmtId="0" fontId="0" fillId="0" borderId="10" xfId="0" applyNumberFormat="1" applyFont="1" applyBorder="1" applyAlignment="1">
      <alignment vertical="top" wrapText="1"/>
    </xf>
    <xf numFmtId="0" fontId="28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0" fontId="32" fillId="33" borderId="0" xfId="0" applyFont="1" applyFill="1" applyAlignment="1">
      <alignment horizontal="left" vertical="center" indent="1"/>
    </xf>
    <xf numFmtId="0" fontId="27" fillId="34" borderId="0" xfId="0" applyFont="1" applyFill="1" applyAlignment="1">
      <alignment horizontal="center" vertical="center"/>
    </xf>
    <xf numFmtId="0" fontId="31" fillId="35" borderId="12" xfId="0" applyFont="1" applyFill="1" applyBorder="1" applyAlignment="1">
      <alignment horizontal="center" vertical="center"/>
    </xf>
    <xf numFmtId="0" fontId="31" fillId="35" borderId="14" xfId="0" applyFont="1" applyFill="1" applyBorder="1" applyAlignment="1">
      <alignment horizontal="center" vertical="center"/>
    </xf>
    <xf numFmtId="0" fontId="31" fillId="35" borderId="16" xfId="0" applyFont="1" applyFill="1" applyBorder="1" applyAlignment="1">
      <alignment horizontal="center" vertical="center"/>
    </xf>
    <xf numFmtId="0" fontId="33" fillId="33" borderId="0" xfId="0" applyFont="1" applyFill="1" applyAlignment="1">
      <alignment horizontal="left" vertical="center" wrapText="1" indent="1"/>
    </xf>
    <xf numFmtId="0" fontId="33" fillId="33" borderId="0" xfId="0" applyFont="1" applyFill="1" applyAlignment="1">
      <alignment horizontal="left" vertical="center" indent="1"/>
    </xf>
    <xf numFmtId="14" fontId="26" fillId="34" borderId="0" xfId="0" applyNumberFormat="1" applyFont="1" applyFill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2" builtinId="8" customBuiltin="1"/>
    <cellStyle name="Hiperlink Visitado" xfId="43" builtinId="9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8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9933FF"/>
      <color rgb="FFCC99FF"/>
      <color rgb="FFF68E1E"/>
      <color rgb="FFBC8F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114301</xdr:colOff>
      <xdr:row>0</xdr:row>
      <xdr:rowOff>85725</xdr:rowOff>
    </xdr:from>
    <xdr:to>
      <xdr:col>2</xdr:col>
      <xdr:colOff>742951</xdr:colOff>
      <xdr:row>4</xdr:row>
      <xdr:rowOff>97161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85725"/>
          <a:ext cx="1733550" cy="773436"/>
        </a:xfrm>
        <a:prstGeom prst="rect">
          <a:avLst/>
        </a:prstGeom>
      </xdr:spPr>
    </xdr:pic>
    <xdr:clientData/>
  </xdr:twoCellAnchor>
  <xdr:twoCellAnchor editAs="oneCell">
    <xdr:from>
      <xdr:col>9</xdr:col>
      <xdr:colOff>149191</xdr:colOff>
      <xdr:row>7</xdr:row>
      <xdr:rowOff>142876</xdr:rowOff>
    </xdr:from>
    <xdr:to>
      <xdr:col>13</xdr:col>
      <xdr:colOff>533400</xdr:colOff>
      <xdr:row>17</xdr:row>
      <xdr:rowOff>0</xdr:rowOff>
    </xdr:to>
    <xdr:pic>
      <xdr:nvPicPr>
        <xdr:cNvPr id="8" name="Picture 2" descr="http://www.dynamicbusiness.com.au/wp-content/uploads/2016/01/iStock_000029542540_Large.jp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7" r="11954"/>
        <a:stretch/>
      </xdr:blipFill>
      <xdr:spPr bwMode="auto">
        <a:xfrm>
          <a:off x="7873966" y="1590676"/>
          <a:ext cx="3165509" cy="1876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</xdr:row>
          <xdr:rowOff>142875</xdr:rowOff>
        </xdr:from>
        <xdr:to>
          <xdr:col>7</xdr:col>
          <xdr:colOff>514350</xdr:colOff>
          <xdr:row>12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Pendente desenvolvimento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13</xdr:row>
          <xdr:rowOff>38100</xdr:rowOff>
        </xdr:from>
        <xdr:to>
          <xdr:col>7</xdr:col>
          <xdr:colOff>514350</xdr:colOff>
          <xdr:row>15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Pendente GMUD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7</xdr:row>
          <xdr:rowOff>238125</xdr:rowOff>
        </xdr:from>
        <xdr:to>
          <xdr:col>7</xdr:col>
          <xdr:colOff>514350</xdr:colOff>
          <xdr:row>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Pendente usuário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10</xdr:row>
          <xdr:rowOff>142875</xdr:rowOff>
        </xdr:from>
        <xdr:to>
          <xdr:col>8</xdr:col>
          <xdr:colOff>1028700</xdr:colOff>
          <xdr:row>12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Promoções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781050</xdr:colOff>
          <xdr:row>13</xdr:row>
          <xdr:rowOff>38100</xdr:rowOff>
        </xdr:from>
        <xdr:to>
          <xdr:col>8</xdr:col>
          <xdr:colOff>1028700</xdr:colOff>
          <xdr:row>15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781050</xdr:colOff>
          <xdr:row>7</xdr:row>
          <xdr:rowOff>238125</xdr:rowOff>
        </xdr:from>
        <xdr:to>
          <xdr:col>8</xdr:col>
          <xdr:colOff>1028700</xdr:colOff>
          <xdr:row>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Operação Assistida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lipe Lima" refreshedDate="42663.025480902776" createdVersion="6" refreshedVersion="6" minRefreshableVersion="3" recordCount="114">
  <cacheSource type="worksheet">
    <worksheetSource ref="A1:M1048576" sheet="Base"/>
  </cacheSource>
  <cacheFields count="13">
    <cacheField name="Priority" numFmtId="0">
      <sharedItems containsBlank="1"/>
    </cacheField>
    <cacheField name="Issue Type" numFmtId="0">
      <sharedItems containsBlank="1" count="4">
        <s v="Solicitação"/>
        <s v="Criação ou Manutenção de Promoção"/>
        <s v="Incidente"/>
        <m/>
      </sharedItems>
    </cacheField>
    <cacheField name="Key" numFmtId="0">
      <sharedItems containsBlank="1"/>
    </cacheField>
    <cacheField name="Summary" numFmtId="0">
      <sharedItems containsBlank="1"/>
    </cacheField>
    <cacheField name="Assignee" numFmtId="0">
      <sharedItems containsBlank="1"/>
    </cacheField>
    <cacheField name="Status" numFmtId="0">
      <sharedItems containsBlank="1" count="10">
        <s v="Pendente Fornecedor"/>
        <s v="Aberto"/>
        <s v="Pendente Homologação"/>
        <s v="Pendente GMUD"/>
        <s v="Em Atendimento"/>
        <s v="Pendente Desenvolvimento"/>
        <s v="Pendente Usuário"/>
        <s v="Programada"/>
        <s v="Operação Assistida"/>
        <m/>
      </sharedItems>
    </cacheField>
    <cacheField name="Tempo de Resolução" numFmtId="0">
      <sharedItems containsBlank="1"/>
    </cacheField>
    <cacheField name="Tempo de Resposta" numFmtId="0">
      <sharedItems containsBlank="1"/>
    </cacheField>
    <cacheField name="Created" numFmtId="0">
      <sharedItems containsDate="1" containsBlank="1" containsMixedTypes="1" minDate="2016-01-06T11:30:00" maxDate="2016-07-28T17:35:00"/>
    </cacheField>
    <cacheField name="Aging" numFmtId="0">
      <sharedItems containsBlank="1"/>
    </cacheField>
    <cacheField name="Tipo de Chamado Visão Participante" numFmtId="0">
      <sharedItems containsBlank="1"/>
    </cacheField>
    <cacheField name="Tipo de Chamado de Áreas de Negócio" numFmtId="0">
      <sharedItems containsBlank="1"/>
    </cacheField>
    <cacheField name="Classific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s v="Major"/>
    <x v="0"/>
    <s v="NGC-1682"/>
    <s v="Cash In Cielo- Liberação de Arquivos"/>
    <s v="Raul de Souza"/>
    <x v="0"/>
    <s v="23:43"/>
    <s v="7:59"/>
    <s v="19/Oct/16 5:43 PM"/>
    <s v="19/Oct/16 5:47 PM"/>
    <m/>
    <s v="Relatórios / Arquivos"/>
    <m/>
  </r>
  <r>
    <s v="Minor"/>
    <x v="0"/>
    <s v="NGC-1681"/>
    <s v="Troca de HTML de email sistemico"/>
    <s v="Luis Savioli"/>
    <x v="1"/>
    <s v="37:30"/>
    <m/>
    <s v="19/Oct/16 3:30 PM"/>
    <s v="19/Oct/16 5:04 PM"/>
    <m/>
    <s v="Outros"/>
    <m/>
  </r>
  <r>
    <s v="Major"/>
    <x v="0"/>
    <s v="NGC-1680"/>
    <s v="Gerar Query AC"/>
    <s v="Raul de Souza"/>
    <x v="1"/>
    <s v="21:05"/>
    <s v="6:01"/>
    <s v="19/Oct/16 3:05 PM"/>
    <s v="19/Oct/16 5:04 PM"/>
    <m/>
    <s v="EDI"/>
    <m/>
  </r>
  <r>
    <s v="Minor"/>
    <x v="1"/>
    <s v="NGC-1678"/>
    <s v="Promoção de Resgate - Rocket Miles"/>
    <s v="Caio Francolin"/>
    <x v="2"/>
    <s v="39:44"/>
    <s v="7:51"/>
    <s v="19/Oct/16 10:34 AM"/>
    <s v="19/Oct/16 10:50 AM"/>
    <m/>
    <s v="Promoções"/>
    <m/>
  </r>
  <r>
    <s v="Minor"/>
    <x v="1"/>
    <s v="NGC-1669"/>
    <s v="Bonificação BRB Outubro 2016"/>
    <s v="Caio Francolin"/>
    <x v="3"/>
    <s v="38:17"/>
    <s v="7:57"/>
    <s v="17/Oct/16 5:01 PM"/>
    <s v="19/Oct/16 2:13 PM"/>
    <m/>
    <s v="Promoções"/>
    <m/>
  </r>
  <r>
    <s v="Minor"/>
    <x v="1"/>
    <s v="NGC-1667"/>
    <s v="Promoção LIVELO Outubro 2016"/>
    <s v="Caio Francolin"/>
    <x v="3"/>
    <s v="35:32"/>
    <s v="7:05"/>
    <s v="17/Oct/16 4:08 PM"/>
    <s v="19/Oct/16 5:27 PM"/>
    <m/>
    <s v="Promoções"/>
    <m/>
  </r>
  <r>
    <s v="Minor"/>
    <x v="1"/>
    <s v="NGC-1666"/>
    <s v="Promoção AMEX Outubro 2016"/>
    <s v="Caio Francolin"/>
    <x v="3"/>
    <s v="37:52"/>
    <s v="7:03"/>
    <s v="17/Oct/16 4:06 PM"/>
    <s v="19/Oct/16 6:48 PM"/>
    <m/>
    <s v="Promoções"/>
    <m/>
  </r>
  <r>
    <s v="Minor"/>
    <x v="1"/>
    <s v="NGC-1665"/>
    <s v="Bônus 100% Itaú - Outubro"/>
    <s v="Caio Francolin"/>
    <x v="3"/>
    <s v="38:06"/>
    <s v="7:02"/>
    <s v="17/Oct/16 2:58 PM"/>
    <s v="19/Oct/16 4:11 PM"/>
    <m/>
    <s v="Promoções"/>
    <m/>
  </r>
  <r>
    <s v="Major"/>
    <x v="0"/>
    <s v="NGC-1662"/>
    <s v="Processar Arquivos QueryFromPartner"/>
    <s v="Raul Ferreira"/>
    <x v="4"/>
    <s v="2:46"/>
    <s v="7:59"/>
    <s v="17/Oct/16 11:46 AM"/>
    <s v="17/Oct/16 11:58 AM"/>
    <m/>
    <s v="EDI"/>
    <m/>
  </r>
  <r>
    <s v="Minor"/>
    <x v="2"/>
    <s v="NGC-1659"/>
    <s v="Problema com botão Login do site Smiles"/>
    <s v="Adolfo Nunes"/>
    <x v="5"/>
    <s v="36:55"/>
    <s v="7:59"/>
    <s v="14/Oct/16 5:55 PM"/>
    <s v="17/Oct/16 12:08 PM"/>
    <m/>
    <s v="Publicações"/>
    <m/>
  </r>
  <r>
    <s v="Major"/>
    <x v="2"/>
    <s v="NGC-1654"/>
    <s v="Arquivo BDB"/>
    <s v="Raul de Souza"/>
    <x v="6"/>
    <s v="18:53"/>
    <s v="6:35"/>
    <s v="14/Oct/16 8:45 AM"/>
    <s v="14/Oct/16 3:06 PM"/>
    <m/>
    <s v="EDI"/>
    <m/>
  </r>
  <r>
    <s v="Minor"/>
    <x v="1"/>
    <s v="NGC-1653"/>
    <s v="WL - de 24 a 31 de outubro"/>
    <s v="Caio Francolin"/>
    <x v="3"/>
    <s v="38:29"/>
    <s v="7:29"/>
    <s v="13/Oct/16 4:41 PM"/>
    <s v="19/Oct/16 5:50 PM"/>
    <m/>
    <s v="Promoções"/>
    <m/>
  </r>
  <r>
    <s v="Minor"/>
    <x v="0"/>
    <s v="NGC-1651"/>
    <s v="Problema na Gravação do Custo das Emissões Gol"/>
    <s v="Jonathas Souza"/>
    <x v="7"/>
    <s v="31:08"/>
    <m/>
    <s v="13/Oct/16 2:18 PM"/>
    <s v="14/Oct/16 3:10 PM"/>
    <m/>
    <s v="Outros"/>
    <m/>
  </r>
  <r>
    <s v="Major"/>
    <x v="2"/>
    <s v="NGC-1642"/>
    <s v="Arquivos de Consulta Cobranded"/>
    <s v="Luis Savioli"/>
    <x v="4"/>
    <s v="-23:44"/>
    <s v="5:16"/>
    <s v="11/Oct/16 9:15 AM"/>
    <s v="14/Oct/16 5:15 PM"/>
    <m/>
    <s v="EDI"/>
    <m/>
  </r>
  <r>
    <s v="Minor"/>
    <x v="1"/>
    <s v="NGC-1641"/>
    <s v="Bonus Co-branded Smiles Rocketmiles"/>
    <s v="Andre Morais"/>
    <x v="3"/>
    <s v="36:09"/>
    <s v="6:54"/>
    <s v="11/Oct/16 9:00 AM"/>
    <s v="19/Oct/16 5:51 PM"/>
    <m/>
    <s v="Promoções"/>
    <m/>
  </r>
  <r>
    <s v="Major"/>
    <x v="2"/>
    <s v="NGC-1636"/>
    <s v="Cielo Cash In - Inconsistências"/>
    <s v="Raul de Souza"/>
    <x v="5"/>
    <s v="-5:20"/>
    <s v="6:56"/>
    <s v="10/Oct/16 10:39 AM"/>
    <s v="19/Oct/16 5:25 PM"/>
    <m/>
    <s v="Fraude / Perda Financeira"/>
    <m/>
  </r>
  <r>
    <s v="Major"/>
    <x v="2"/>
    <s v="NGC-1621"/>
    <s v="Painel - Validações sobre Membros e Tier (Brasileiros sem CPF)"/>
    <s v="Luis Savioli"/>
    <x v="8"/>
    <s v="23:45"/>
    <s v="7:59"/>
    <s v="06/Oct/16 3:35 PM"/>
    <s v="06/Oct/16 3:51 PM"/>
    <m/>
    <s v="EDI"/>
    <m/>
  </r>
  <r>
    <s v="Major"/>
    <x v="0"/>
    <s v="NGC-1617"/>
    <s v="Backlog_Crédito retroativo TP"/>
    <s v="Raul de Souza"/>
    <x v="6"/>
    <s v="22:55"/>
    <s v="7:51"/>
    <s v="05/Oct/16 4:48 PM"/>
    <s v="17/Oct/16 7:10 PM"/>
    <m/>
    <s v="EDI"/>
    <m/>
  </r>
  <r>
    <s v="Major"/>
    <x v="0"/>
    <s v="NGC-1616"/>
    <s v="Ajuste Billing Aereo"/>
    <s v="Raul de Souza"/>
    <x v="3"/>
    <s v="7:39"/>
    <s v="7:59"/>
    <s v="05/Oct/16 3:11 PM"/>
    <s v="07/Oct/16 3:31 PM"/>
    <m/>
    <s v="Relatórios / Arquivos"/>
    <m/>
  </r>
  <r>
    <s v="Minor"/>
    <x v="1"/>
    <s v="NGC-1606"/>
    <s v="Saldo divergente"/>
    <s v="Caio Francolin"/>
    <x v="2"/>
    <s v="32:53"/>
    <s v="8:00"/>
    <s v="03/Oct/16 6:56 PM"/>
    <s v="19/Oct/16 12:11 PM"/>
    <m/>
    <s v="Promoções"/>
    <m/>
  </r>
  <r>
    <s v="Minor"/>
    <x v="1"/>
    <s v="NGC-1595"/>
    <s v="Clube Smiles - Banco Pan"/>
    <s v="Caio Francolin"/>
    <x v="2"/>
    <s v="26:39"/>
    <s v="7:44"/>
    <s v="03/Oct/16 11:44 AM"/>
    <s v="11/Oct/16 4:09 PM"/>
    <m/>
    <s v="Promoções"/>
    <m/>
  </r>
  <r>
    <s v="Minor"/>
    <x v="1"/>
    <s v="NGC-1583"/>
    <s v="Reativação 100% todos os clientes"/>
    <s v="Caio Francolin"/>
    <x v="3"/>
    <s v="37:47"/>
    <s v="6:03"/>
    <s v="29/Sep/16 4:03 PM"/>
    <s v="11/Oct/16 4:58 PM"/>
    <m/>
    <s v="Promoções"/>
    <m/>
  </r>
  <r>
    <s v="Minor"/>
    <x v="1"/>
    <s v="NGC-1541"/>
    <s v="Transf. com 200% bônus para quem transfere"/>
    <s v="Caio Francolin"/>
    <x v="3"/>
    <s v="39:19"/>
    <s v="7:50"/>
    <s v="23/Sep/16 4:23 PM"/>
    <s v="13/Oct/16 4:10 PM"/>
    <m/>
    <s v="Promoções"/>
    <m/>
  </r>
  <r>
    <s v="Major"/>
    <x v="0"/>
    <s v="NGC-1534"/>
    <s v="Popular a tela de co-branded"/>
    <s v="Raul Ferreira"/>
    <x v="7"/>
    <s v="-54:30"/>
    <s v="6:47"/>
    <s v="22/Sep/16 3:31 PM"/>
    <s v="19/Oct/16 7:24 PM"/>
    <m/>
    <s v="EDI"/>
    <m/>
  </r>
  <r>
    <s v="Minor"/>
    <x v="0"/>
    <s v="NGC-1506"/>
    <s v="Erro no campo OPT_OUT_PHONE para cadastro de novos membros"/>
    <s v="Adolfo Nunes"/>
    <x v="6"/>
    <s v="31:59"/>
    <m/>
    <s v="16/Sep/16 4:25 PM"/>
    <s v="07/Oct/16 2:42 PM"/>
    <m/>
    <s v="Outros"/>
    <m/>
  </r>
  <r>
    <s v="Major"/>
    <x v="0"/>
    <s v="NGC-1502"/>
    <s v="Criação de Novo Código de Retorno"/>
    <s v="Raul de Souza"/>
    <x v="7"/>
    <s v="-18:57"/>
    <s v="2:16"/>
    <s v="16/Sep/16 11:41 AM"/>
    <s v="07/Oct/16 3:43 PM"/>
    <m/>
    <s v="Relatórios / Arquivos"/>
    <m/>
  </r>
  <r>
    <s v="Major"/>
    <x v="2"/>
    <s v="NGC-1500"/>
    <s v="Arquivos de accrual Aeromexico"/>
    <s v="Raul de Souza"/>
    <x v="6"/>
    <s v="-27:48"/>
    <s v="7:54"/>
    <s v="16/Sep/16 9:52 AM"/>
    <s v="17/Oct/16 6:57 PM"/>
    <m/>
    <s v="EDI"/>
    <m/>
  </r>
  <r>
    <s v="Major"/>
    <x v="2"/>
    <s v="NGC-1486"/>
    <s v="Arquivos de accrual Airfrance"/>
    <s v="Raul de Souza"/>
    <x v="6"/>
    <s v="-34:43"/>
    <s v="2:53"/>
    <s v="14/Sep/16 8:18 AM"/>
    <s v="17/Oct/16 11:37 AM"/>
    <m/>
    <s v="EDI"/>
    <m/>
  </r>
  <r>
    <s v="Critical"/>
    <x v="2"/>
    <s v="NGC-1484"/>
    <s v="Solicitação de senha em outro e-mail sem CPF"/>
    <s v="Jonathas Souza"/>
    <x v="8"/>
    <s v="8:00"/>
    <s v="4:00"/>
    <s v="13/Sep/16 6:45 PM"/>
    <s v="30/Sep/16 2:29 PM"/>
    <m/>
    <s v="Fraude / Perda Financeira"/>
    <m/>
  </r>
  <r>
    <s v="Major"/>
    <x v="2"/>
    <s v="NGC-1472"/>
    <s v="Campo marketing carrier transação de acumulo"/>
    <s v="Raul de Souza"/>
    <x v="5"/>
    <s v="-124:47"/>
    <s v="4:11"/>
    <s v="13/Sep/16 11:01 AM"/>
    <s v="07/Oct/16 4:48 PM"/>
    <m/>
    <s v="Cadastros"/>
    <m/>
  </r>
  <r>
    <s v="Critical"/>
    <x v="2"/>
    <s v="NGC-1460"/>
    <s v="Erro ao Solicitar 2ª via de senha"/>
    <s v="Jonathas Souza"/>
    <x v="8"/>
    <s v="8:00"/>
    <s v="4:00"/>
    <s v="09/Sep/16 8:56 PM"/>
    <s v="10/Oct/16 10:59 AM"/>
    <m/>
    <s v="Fraude / Perda Financeira"/>
    <m/>
  </r>
  <r>
    <s v="Major"/>
    <x v="0"/>
    <s v="NGC-1457"/>
    <s v="ODS x QUERIES OFENSORAS (SMILES)"/>
    <s v="Jonathas Souza"/>
    <x v="7"/>
    <s v="22:05"/>
    <s v="7:59"/>
    <s v="09/Sep/16 1:33 PM"/>
    <s v="17/Oct/16 8:52 AM"/>
    <m/>
    <s v="Relatórios / Arquivos"/>
    <m/>
  </r>
  <r>
    <s v="Minor"/>
    <x v="0"/>
    <s v="NGC-1405"/>
    <s v="Texto do produto na fatura do cartão"/>
    <s v="Jonathas Souza"/>
    <x v="7"/>
    <s v="33:34"/>
    <m/>
    <s v="31/Aug/16 4:10 PM"/>
    <s v="14/Oct/16 1:43 PM"/>
    <m/>
    <s v="Outros"/>
    <m/>
  </r>
  <r>
    <s v="Major"/>
    <x v="0"/>
    <s v="NGC-1347"/>
    <s v="Promoção de resgate para tarifas comerciais Delta"/>
    <s v="Andre Morais"/>
    <x v="6"/>
    <s v="13:09"/>
    <s v="5:29"/>
    <s v="18/Aug/16 11:57 AM"/>
    <s v="27/Sep/16 4:56 PM"/>
    <m/>
    <s v="Cadastros"/>
    <m/>
  </r>
  <r>
    <s v="Minor"/>
    <x v="0"/>
    <s v="NGC-1312"/>
    <s v="Erro no SOA/BAM Jan/2016"/>
    <s v="Raul de Souza"/>
    <x v="6"/>
    <s v="-19:32"/>
    <s v="7:48"/>
    <s v="08/Aug/16 10:41 AM"/>
    <s v="19/Oct/16 10:33 AM"/>
    <m/>
    <s v="Relatórios / Arquivos"/>
    <m/>
  </r>
  <r>
    <s v="Critical"/>
    <x v="2"/>
    <s v="NGC-1271"/>
    <s v="Erro no arquivo de vendas analítico - NSU zerado"/>
    <s v="Raul de Souza"/>
    <x v="5"/>
    <s v="-150:07"/>
    <s v="3:35"/>
    <d v="2016-07-28T17:35:00"/>
    <s v="07/Oct/16 3:41 PM"/>
    <m/>
    <s v="Relatórios / Arquivos"/>
    <m/>
  </r>
  <r>
    <s v="Major"/>
    <x v="1"/>
    <s v="NGC-972"/>
    <s v="Nova regra de acúmulo Codeshare Aerolineas (GA)"/>
    <s v="Suporte Promoções"/>
    <x v="7"/>
    <s v="21:40"/>
    <s v="7:22"/>
    <d v="2016-06-02T11:22:00"/>
    <s v="04/Oct/16 6:03 PM"/>
    <m/>
    <s v="Promoções"/>
    <m/>
  </r>
  <r>
    <s v="Major"/>
    <x v="1"/>
    <s v="NGC-930"/>
    <s v="Promoção de acumulo AF e KL"/>
    <s v="Andre Morais"/>
    <x v="7"/>
    <s v="23:30"/>
    <s v="8:00"/>
    <s v="27/May/16 11:12 AM"/>
    <s v="30/May/16 9:29 AM"/>
    <m/>
    <s v="Promoções"/>
    <m/>
  </r>
  <r>
    <s v="Minor"/>
    <x v="0"/>
    <s v="NGC-696"/>
    <s v="Bloco de Milhas para Parceiro não Aereo"/>
    <s v="Caio Francolin"/>
    <x v="6"/>
    <s v="38:08"/>
    <m/>
    <s v="13/Apr/16 2:07 PM"/>
    <s v="22/Sep/16 5:13 PM"/>
    <m/>
    <s v="Outros"/>
    <m/>
  </r>
  <r>
    <s v="Major"/>
    <x v="0"/>
    <s v="NGC-148"/>
    <s v="Billing - Status da Transação"/>
    <s v="Luis Savioli"/>
    <x v="7"/>
    <s v="-10:07"/>
    <s v="6:32"/>
    <d v="2016-01-06T11:30:00"/>
    <s v="31/Aug/16 4:50 PM"/>
    <m/>
    <s v="Relatórios / Arquivos"/>
    <m/>
  </r>
  <r>
    <s v="Major"/>
    <x v="2"/>
    <s v="CSM-1667"/>
    <s v="Não recebeu bonificação"/>
    <s v="Unassigned"/>
    <x v="1"/>
    <s v="24:00"/>
    <s v="8:00"/>
    <s v="20/Oct/16 12:21 AM"/>
    <s v="20/Oct/16 12:21 AM"/>
    <s v="Erros de Promoção / Bonificação"/>
    <m/>
    <m/>
  </r>
  <r>
    <s v="Major"/>
    <x v="2"/>
    <s v="CSM-1666"/>
    <s v="Rejeitado Mecanismo//credito excepcional"/>
    <s v="Unassigned"/>
    <x v="1"/>
    <s v="24:00"/>
    <s v="8:00"/>
    <s v="20/Oct/16 12:15 AM"/>
    <s v="20/Oct/16 12:15 AM"/>
    <s v="Erros de Siebel"/>
    <m/>
    <m/>
  </r>
  <r>
    <s v="Major"/>
    <x v="2"/>
    <s v="CSM-1665"/>
    <s v="Recebimento de promoções - 737815805"/>
    <s v="Unassigned"/>
    <x v="1"/>
    <s v="24:00"/>
    <s v="8:00"/>
    <s v="19/Oct/16 10:37 PM"/>
    <s v="19/Oct/16 10:37 PM"/>
    <s v="Erros de Siebel"/>
    <m/>
    <m/>
  </r>
  <r>
    <s v="Major"/>
    <x v="2"/>
    <s v="CSM-1664"/>
    <s v="ERRO NO VOUCHER BENF. MILHAS"/>
    <s v="Unassigned"/>
    <x v="1"/>
    <s v="24:00"/>
    <s v="8:00"/>
    <s v="19/Oct/16 8:12 PM"/>
    <s v="19/Oct/16 8:12 PM"/>
    <s v="Erros de Siebel"/>
    <m/>
    <m/>
  </r>
  <r>
    <s v="Major"/>
    <x v="2"/>
    <s v="CSM-1663"/>
    <s v="Cliente não consegue entrar identificado - ss: 1-50198653524"/>
    <s v="Unassigned"/>
    <x v="1"/>
    <s v="24:00"/>
    <s v="8:00"/>
    <s v="19/Oct/16 7:20 PM"/>
    <s v="19/Oct/16 7:21 PM"/>
    <s v="Erros no Site"/>
    <m/>
    <m/>
  </r>
  <r>
    <s v="Major"/>
    <x v="2"/>
    <s v="CSM-1662"/>
    <s v="Erro na Etapa 1 - projeto Cielo Clube Smiles"/>
    <s v="Luis Savioli"/>
    <x v="1"/>
    <s v="24:00"/>
    <s v="8:00"/>
    <s v="19/Oct/16 6:18 PM"/>
    <s v="19/Oct/16 6:48 PM"/>
    <s v="Erros de Siebel"/>
    <m/>
    <m/>
  </r>
  <r>
    <s v="Minor"/>
    <x v="2"/>
    <s v="CSM-1661"/>
    <s v="Erro de cancelamento via site somente de um trecho de voos Gol"/>
    <s v="Suporte Site"/>
    <x v="1"/>
    <s v="35:00"/>
    <s v="6:53"/>
    <s v="19/Oct/16 12:10 PM"/>
    <s v="19/Oct/16 2:06 PM"/>
    <s v="Outros"/>
    <m/>
    <m/>
  </r>
  <r>
    <s v="Minor"/>
    <x v="2"/>
    <s v="CSM-1659"/>
    <s v="Realizar Up Date nas transações"/>
    <s v="Luis Savioli"/>
    <x v="4"/>
    <s v="32:00"/>
    <s v="8:00"/>
    <s v="18/Oct/16 10:32 PM"/>
    <s v="19/Oct/16 8:01 AM"/>
    <s v="Outros"/>
    <m/>
    <m/>
  </r>
  <r>
    <s v="Major"/>
    <x v="2"/>
    <s v="CSM-1658"/>
    <s v="RESGATE INDEVIDO DE MILHAS BÔNUS DO CLUBE SMILES"/>
    <s v="Luis Savioli"/>
    <x v="4"/>
    <s v="16:00"/>
    <s v="8:00"/>
    <s v="18/Oct/16 6:03 PM"/>
    <s v="19/Oct/16 8:09 AM"/>
    <s v="Erros de Promoção / Bonificação"/>
    <m/>
    <m/>
  </r>
  <r>
    <s v="Major"/>
    <x v="2"/>
    <s v="CSM-1657"/>
    <s v="Assinatura Suspensa - 417013122"/>
    <s v="Luis Savioli"/>
    <x v="4"/>
    <s v="15:55"/>
    <s v="7:55"/>
    <s v="18/Oct/16 5:55 PM"/>
    <s v="19/Oct/16 8:01 AM"/>
    <s v="Erros de Siebel"/>
    <m/>
    <m/>
  </r>
  <r>
    <s v="Major"/>
    <x v="2"/>
    <s v="CSM-1656"/>
    <s v="Erro - Adesão Clube Smiles"/>
    <s v="Luis Savioli"/>
    <x v="5"/>
    <s v="20:08"/>
    <s v="7:50"/>
    <s v="18/Oct/16 4:14 PM"/>
    <s v="19/Oct/16 11:06 AM"/>
    <s v="Erros de Siebel"/>
    <m/>
    <m/>
  </r>
  <r>
    <s v="Major"/>
    <x v="2"/>
    <s v="CSM-1655"/>
    <s v="Erro na Etapa 3 - projeto Cielo Clube Smiles"/>
    <s v="Luis Savioli"/>
    <x v="1"/>
    <s v="22:04"/>
    <s v="6:19"/>
    <s v="18/Oct/16 2:39 PM"/>
    <s v="19/Oct/16 6:10 PM"/>
    <s v="Erros de Siebel"/>
    <m/>
    <m/>
  </r>
  <r>
    <s v="Minor"/>
    <x v="2"/>
    <s v="CSM-1654"/>
    <s v="Participante não consegue solicitar senha via site"/>
    <s v="Raul Ferreira"/>
    <x v="8"/>
    <s v="26:58"/>
    <s v="8:00"/>
    <s v="18/Oct/16 7:50 AM"/>
    <s v="19/Oct/16 3:01 PM"/>
    <s v="Outros"/>
    <m/>
    <m/>
  </r>
  <r>
    <s v="Minor"/>
    <x v="2"/>
    <s v="CSM-1652"/>
    <s v="CAMPO SAIBA MAIS NÃO ABRE"/>
    <s v="Adolfo Nunes"/>
    <x v="4"/>
    <s v="23:46"/>
    <s v="7:46"/>
    <s v="17/Oct/16 5:46 PM"/>
    <s v="17/Oct/16 7:50 PM"/>
    <s v="Outros"/>
    <m/>
    <m/>
  </r>
  <r>
    <s v="Minor"/>
    <x v="2"/>
    <s v="CSM-1650"/>
    <s v="Relatório da pesquisa de satisfação - Rightnow"/>
    <s v="Jonathas Souza"/>
    <x v="6"/>
    <s v="22:47"/>
    <s v="7:08"/>
    <s v="17/Oct/16 11:44 AM"/>
    <s v="19/Oct/16 1:57 PM"/>
    <s v="Outros"/>
    <m/>
    <m/>
  </r>
  <r>
    <s v="Minor"/>
    <x v="2"/>
    <s v="CSM-1647"/>
    <s v="Reset de Senha &quot;meu primeiro acesso&quot; para Clientes com e-mail na conta"/>
    <s v="Jonathas Souza"/>
    <x v="6"/>
    <s v="36:21"/>
    <s v="5:39"/>
    <s v="17/Oct/16 10:13 AM"/>
    <s v="17/Oct/16 2:53 PM"/>
    <s v="Outros"/>
    <m/>
    <m/>
  </r>
  <r>
    <s v="Minor"/>
    <x v="2"/>
    <s v="CSM-1646"/>
    <s v="Informação de parcelamento incorreta no APP"/>
    <s v="Raul Ferreira"/>
    <x v="5"/>
    <s v="40:00"/>
    <s v="8:00"/>
    <s v="17/Oct/16 8:34 AM"/>
    <s v="17/Oct/16 8:43 AM"/>
    <s v="Outros"/>
    <m/>
    <m/>
  </r>
  <r>
    <s v="Major"/>
    <x v="2"/>
    <s v="CSM-1645"/>
    <s v="Aguardando Resposta Parceiro fazer cancelamento"/>
    <s v="Luis Savioli"/>
    <x v="6"/>
    <s v="3:21"/>
    <s v="8:00"/>
    <s v="15/Oct/16 2:23 AM"/>
    <s v="19/Oct/16 2:39 PM"/>
    <s v="Erros de Siebel"/>
    <m/>
    <m/>
  </r>
  <r>
    <s v="Minor"/>
    <x v="2"/>
    <s v="CSM-1641"/>
    <s v="Cancelamento de transação de crédito de voos Etihad"/>
    <s v="Sandra Predolim"/>
    <x v="4"/>
    <s v="13:23"/>
    <s v="5:23"/>
    <s v="14/Oct/16 3:23 PM"/>
    <s v="19/Oct/16 4:35 PM"/>
    <s v="Outros"/>
    <m/>
    <m/>
  </r>
  <r>
    <s v="Major"/>
    <x v="2"/>
    <s v="CSM-1638"/>
    <s v="Erro reembolso após Noshow Amadeus."/>
    <s v="Jonathas Souza"/>
    <x v="5"/>
    <s v="3:53"/>
    <s v="8:00"/>
    <s v="14/Oct/16 8:06 AM"/>
    <s v="18/Oct/16 2:07 PM"/>
    <s v="Erros no Site"/>
    <m/>
    <m/>
  </r>
  <r>
    <s v="Minor"/>
    <x v="2"/>
    <s v="CSM-1636"/>
    <s v="[Extrato] - erro na exibição de detalhes"/>
    <s v="Raul Ferreira"/>
    <x v="5"/>
    <s v="39:58"/>
    <s v="7:59"/>
    <s v="13/Oct/16 5:53 PM"/>
    <s v="13/Oct/16 5:55 PM"/>
    <s v="Outros"/>
    <m/>
    <m/>
  </r>
  <r>
    <s v="Major"/>
    <x v="2"/>
    <s v="CSM-1635"/>
    <s v="[Clube Smiles] - erro ao cancelar alteração de plano"/>
    <s v="Raul Ferreira"/>
    <x v="5"/>
    <s v="23:32"/>
    <s v="7:59"/>
    <s v="13/Oct/16 5:13 PM"/>
    <s v="13/Oct/16 5:41 PM"/>
    <s v="Erros no Site"/>
    <m/>
    <m/>
  </r>
  <r>
    <s v="Major"/>
    <x v="2"/>
    <s v="CSM-1633"/>
    <s v="iPhone - data de validade de voucher com um dia a mais."/>
    <s v="Raul Ferreira"/>
    <x v="5"/>
    <s v="22:35"/>
    <s v="6:53"/>
    <s v="13/Oct/16 4:35 PM"/>
    <s v="13/Oct/16 6:04 PM"/>
    <s v="Erros no APP Smiles"/>
    <m/>
    <m/>
  </r>
  <r>
    <s v="Minor"/>
    <x v="2"/>
    <s v="CSM-1631"/>
    <s v="Informação de Milhas Club"/>
    <s v="Adolfo Nunes"/>
    <x v="5"/>
    <s v="38:48"/>
    <s v="7:09"/>
    <s v="13/Oct/16 4:15 PM"/>
    <s v="13/Oct/16 5:26 PM"/>
    <s v="Outros"/>
    <m/>
    <m/>
  </r>
  <r>
    <s v="Major"/>
    <x v="2"/>
    <s v="CSM-1630"/>
    <s v="Cancelamento de Voo parceiro pelo site com status no show"/>
    <s v="Adolfo Nunes"/>
    <x v="5"/>
    <s v="2:30"/>
    <s v="6:25"/>
    <s v="13/Oct/16 3:30 PM"/>
    <s v="18/Oct/16 12:02 PM"/>
    <s v="Erros no Site"/>
    <m/>
    <m/>
  </r>
  <r>
    <s v="Minor"/>
    <x v="2"/>
    <s v="CSM-1629"/>
    <s v="Erro Emissão App"/>
    <s v="Jonathas Souza"/>
    <x v="5"/>
    <s v="6:26"/>
    <s v="5:52"/>
    <s v="13/Oct/16 10:55 AM"/>
    <s v="19/Oct/16 1:29 PM"/>
    <s v="Outros"/>
    <m/>
    <m/>
  </r>
  <r>
    <s v="Minor"/>
    <x v="2"/>
    <s v="CSM-1626"/>
    <s v="CANCELAMENTO DE VOO GOL - ATUALIZAÇÃO DE TARIFA"/>
    <s v="Adolfo Nunes"/>
    <x v="6"/>
    <s v="0:56"/>
    <s v="8:00"/>
    <s v="12/Oct/16 10:19 PM"/>
    <s v="19/Oct/16 6:51 PM"/>
    <s v="Outros"/>
    <m/>
    <m/>
  </r>
  <r>
    <s v="Major"/>
    <x v="2"/>
    <s v="CSM-1625"/>
    <s v="ERRO DE EMISSÃO - CONTA SMILES :794083441"/>
    <s v="Raul Ferreira"/>
    <x v="5"/>
    <s v="17:49"/>
    <s v="8:00"/>
    <s v="12/Oct/16 4:01 PM"/>
    <s v="13/Oct/16 4:10 PM"/>
    <s v="Erros no Site"/>
    <m/>
    <m/>
  </r>
  <r>
    <s v="Major"/>
    <x v="2"/>
    <s v="CSM-1623"/>
    <s v="Erro Shopping Reserva passeio."/>
    <s v="Jonathas Souza"/>
    <x v="0"/>
    <s v="-16:00"/>
    <s v="8:00"/>
    <s v="11/Oct/16 11:02 PM"/>
    <s v="17/Oct/16 5:00 PM"/>
    <s v="Erros no Site"/>
    <m/>
    <m/>
  </r>
  <r>
    <s v="Major"/>
    <x v="2"/>
    <s v="CSM-1622"/>
    <s v="Não consegue finalizar Compra no Shopping"/>
    <s v="Jonathas Souza"/>
    <x v="6"/>
    <s v="24:00"/>
    <s v="8:00"/>
    <s v="11/Oct/16 10:51 PM"/>
    <s v="18/Oct/16 9:10 AM"/>
    <s v="Erros no Site"/>
    <m/>
    <m/>
  </r>
  <r>
    <s v="Major"/>
    <x v="2"/>
    <s v="CSM-1620"/>
    <s v="ERRO &quot;EMISSÃO SEM MILHAS&quot; - SS: 1-49733054124"/>
    <s v="Luis Savioli"/>
    <x v="5"/>
    <s v="0:48"/>
    <s v="6:31"/>
    <s v="11/Oct/16 4:31 PM"/>
    <s v="17/Oct/16 4:02 PM"/>
    <s v="Erros no Site"/>
    <m/>
    <m/>
  </r>
  <r>
    <s v="Minor"/>
    <x v="2"/>
    <s v="CSM-1619"/>
    <s v="Logo KOREAN AIR está cortado no resultado de busca de voo"/>
    <s v="Jonathas Souza"/>
    <x v="5"/>
    <s v="34:59"/>
    <s v="7:14"/>
    <s v="11/Oct/16 12:28 PM"/>
    <s v="19/Oct/16 3:12 PM"/>
    <s v="Outros"/>
    <m/>
    <m/>
  </r>
  <r>
    <s v="Minor"/>
    <x v="2"/>
    <s v="CSM-1618"/>
    <s v="Conta Suspensa em nome de terceiros: ss: 1-49207698322"/>
    <s v="Luis Savioli"/>
    <x v="6"/>
    <s v="40:00"/>
    <s v="8:00"/>
    <s v="10/Oct/16 9:53 PM"/>
    <s v="11/Oct/16 2:26 PM"/>
    <s v="Outros"/>
    <m/>
    <m/>
  </r>
  <r>
    <s v="Major"/>
    <x v="2"/>
    <s v="CSM-1617"/>
    <s v="RESERVAS GOL EXPIRADAS ANTES DO PRZ-"/>
    <s v="Adolfo Nunes"/>
    <x v="5"/>
    <s v="1:59"/>
    <s v="8:00"/>
    <s v="10/Oct/16 9:32 PM"/>
    <s v="14/Oct/16 4:02 PM"/>
    <m/>
    <m/>
    <m/>
  </r>
  <r>
    <s v="Major"/>
    <x v="2"/>
    <s v="CSM-1616"/>
    <s v="Erro na transferência de milhas na promoção 200% bonus - ss: 1-48642448417"/>
    <s v="Jonathas Souza"/>
    <x v="8"/>
    <s v="16:00"/>
    <s v="8:00"/>
    <s v="10/Oct/16 9:12 PM"/>
    <s v="12/Oct/16 5:07 PM"/>
    <s v="Erros no Site"/>
    <m/>
    <m/>
  </r>
  <r>
    <s v="Minor"/>
    <x v="2"/>
    <s v="CSM-1614"/>
    <s v="Área clicável dos botões de &quot;Cadastrar-se&quot; e &quot;Entrar&quot; estão reduzida a parte de baixo do mesmo."/>
    <s v="Raul Ferreira"/>
    <x v="5"/>
    <s v="39:43"/>
    <s v="7:47"/>
    <s v="10/Oct/16 3:07 PM"/>
    <s v="10/Oct/16 3:25 PM"/>
    <s v="Outros"/>
    <m/>
    <m/>
  </r>
  <r>
    <s v="Major"/>
    <x v="2"/>
    <s v="CSM-1612"/>
    <s v="ERRO EMISSÃO GOL - &quot;500 Internal Server Error&quot;."/>
    <s v="Raul Ferreira"/>
    <x v="5"/>
    <s v="19:42"/>
    <s v="8:00"/>
    <s v="10/Oct/16 12:19 AM"/>
    <s v="10/Oct/16 2:18 PM"/>
    <m/>
    <m/>
    <m/>
  </r>
  <r>
    <s v="Major"/>
    <x v="2"/>
    <s v="CSM-1607"/>
    <s v="Painel - Validações sobre Membros e Tier (Idioma espanhol Incorreto)"/>
    <s v="Jonathas Souza"/>
    <x v="5"/>
    <s v="16:15"/>
    <s v="7:59"/>
    <s v="06/Oct/16 4:31 PM"/>
    <s v="07/Oct/16 4:17 PM"/>
    <s v="Erros no Site"/>
    <m/>
    <m/>
  </r>
  <r>
    <s v="Major"/>
    <x v="2"/>
    <s v="CSM-1606"/>
    <s v="Painel - Validações sobre Membros e Tier (Clientes com Inicio de Tier Vazia)"/>
    <s v="Luis Savioli"/>
    <x v="6"/>
    <s v="3:21"/>
    <s v="7:59"/>
    <s v="06/Oct/16 4:12 PM"/>
    <s v="18/Oct/16 3:12 PM"/>
    <s v="Erros de Siebel"/>
    <m/>
    <m/>
  </r>
  <r>
    <s v="Major"/>
    <x v="2"/>
    <s v="CSM-1605"/>
    <s v="Painel - Validações sobre Membros e Tier (Clientes com Validade de Tier Vazia)"/>
    <s v="Luis Savioli"/>
    <x v="6"/>
    <s v="3:12"/>
    <s v="7:59"/>
    <s v="06/Oct/16 4:03 PM"/>
    <s v="18/Oct/16 3:12 PM"/>
    <s v="Erros de Siebel"/>
    <m/>
    <m/>
  </r>
  <r>
    <s v="Major"/>
    <x v="2"/>
    <s v="CSM-1599"/>
    <s v="Milhas Club para Manutenção e Upgrade"/>
    <s v="Adolfo Nunes"/>
    <x v="8"/>
    <s v="19:27"/>
    <s v="7:54"/>
    <s v="05/Oct/16 11:06 AM"/>
    <s v="07/Oct/16 9:37 AM"/>
    <s v="Erros no Site"/>
    <m/>
    <m/>
  </r>
  <r>
    <s v="Major"/>
    <x v="2"/>
    <s v="CSM-1598"/>
    <s v="Código Promocional com data incorreta"/>
    <s v="Raul Ferreira"/>
    <x v="8"/>
    <s v="20:17"/>
    <s v="7:57"/>
    <s v="05/Oct/16 8:26 AM"/>
    <s v="07/Oct/16 9:48 AM"/>
    <s v="Erros no Site"/>
    <m/>
    <m/>
  </r>
  <r>
    <s v="Minor"/>
    <x v="2"/>
    <s v="CSM-1593"/>
    <s v="VALIDADE DAS MILHAS/CLIENTE"/>
    <s v="Jonathas Souza"/>
    <x v="8"/>
    <s v="37:59"/>
    <s v="6:40"/>
    <s v="04/Oct/16 2:39 PM"/>
    <s v="10/Oct/16 11:22 AM"/>
    <s v="Outros"/>
    <m/>
    <m/>
  </r>
  <r>
    <s v="Minor"/>
    <x v="2"/>
    <s v="CSM-1589"/>
    <s v="erros comprovantes de venda emissão Smiles"/>
    <s v="Jonathas Souza"/>
    <x v="8"/>
    <s v="33:49"/>
    <s v="6:51"/>
    <s v="03/Oct/16 8:55 AM"/>
    <s v="07/Oct/16 9:38 AM"/>
    <s v="Outros"/>
    <m/>
    <m/>
  </r>
  <r>
    <s v="Major"/>
    <x v="2"/>
    <s v="CSM-1587"/>
    <s v="Erro ao criar Membro"/>
    <s v="Jonathas Souza"/>
    <x v="8"/>
    <s v="14:13"/>
    <s v="7:19"/>
    <s v="30/Sep/16 5:19 PM"/>
    <s v="04/Oct/16 10:21 AM"/>
    <s v="Erros no Site"/>
    <m/>
    <m/>
  </r>
  <r>
    <s v="Minor"/>
    <x v="2"/>
    <s v="CSM-1582"/>
    <s v="Recadastro efetuado via WEB aprovado auto via Clear e atualização subiu no cadastro e sumiu ."/>
    <s v="Adolfo Nunes"/>
    <x v="6"/>
    <s v="-1:00"/>
    <s v="7:33"/>
    <s v="30/Sep/16 10:11 AM"/>
    <s v="10/Oct/16 11:07 AM"/>
    <s v="Outros"/>
    <m/>
    <m/>
  </r>
  <r>
    <s v="Minor"/>
    <x v="2"/>
    <s v="CSM-1579"/>
    <s v="Erro de solicitação de senha cliente estrangeiro"/>
    <s v="Adolfo Nunes"/>
    <x v="8"/>
    <s v="9:16"/>
    <s v="8:00"/>
    <s v="29/Sep/16 6:37 PM"/>
    <s v="07/Oct/16 9:47 AM"/>
    <s v="Outros"/>
    <m/>
    <m/>
  </r>
  <r>
    <s v="Major"/>
    <x v="2"/>
    <s v="CSM-1576"/>
    <s v="Reserva com 2 passageiros apresenta somente 1"/>
    <s v="Raul Ferreira"/>
    <x v="8"/>
    <s v="23:40"/>
    <s v="7:48"/>
    <s v="28/Sep/16 4:00 PM"/>
    <s v="29/Sep/16 4:34 PM"/>
    <s v="Erros no Site"/>
    <m/>
    <m/>
  </r>
  <r>
    <s v="Major"/>
    <x v="2"/>
    <s v="CSM-1573"/>
    <s v="Cadastramento do e-mail na conta Smiles"/>
    <s v="Raul Ferreira"/>
    <x v="5"/>
    <s v="22:43"/>
    <s v="6:51"/>
    <s v="28/Sep/16 2:45 PM"/>
    <s v="13/Oct/16 2:35 PM"/>
    <s v="Erros no Site"/>
    <m/>
    <m/>
  </r>
  <r>
    <s v="Major"/>
    <x v="2"/>
    <s v="CSM-1560"/>
    <s v="Rejeitado Gerente"/>
    <s v="Luis Savioli"/>
    <x v="6"/>
    <s v="2:14"/>
    <s v="4:32"/>
    <s v="26/Sep/16 11:14 AM"/>
    <s v="29/Sep/16 10:50 AM"/>
    <s v="Erros de Siebel"/>
    <m/>
    <m/>
  </r>
  <r>
    <s v="Minor"/>
    <x v="2"/>
    <s v="CSM-1557"/>
    <s v="Rightnow - alteração da pesquisa de satisfação"/>
    <s v="Jonathas Souza"/>
    <x v="6"/>
    <s v="14:45"/>
    <s v="7:41"/>
    <s v="26/Sep/16 10:21 AM"/>
    <s v="14/Oct/16 4:34 PM"/>
    <s v="Outros"/>
    <m/>
    <m/>
  </r>
  <r>
    <s v="Minor"/>
    <x v="2"/>
    <s v="CSM-1552"/>
    <s v="Formulário de pedido de senha."/>
    <s v="Raul Ferreira"/>
    <x v="5"/>
    <s v="17:05"/>
    <s v="7:43"/>
    <s v="23/Sep/16 4:07 PM"/>
    <s v="07/Oct/16 2:03 PM"/>
    <s v="Outros"/>
    <m/>
    <m/>
  </r>
  <r>
    <s v="Major"/>
    <x v="2"/>
    <s v="CSM-1545"/>
    <s v="Assentos Comfort - Marcação de Assentos."/>
    <s v="Raul Ferreira"/>
    <x v="5"/>
    <s v="22:30"/>
    <s v="7:15"/>
    <s v="22/Sep/16 2:23 PM"/>
    <s v="14/Oct/16 3:07 PM"/>
    <s v="Erros de Siebel"/>
    <m/>
    <m/>
  </r>
  <r>
    <s v="Minor"/>
    <x v="2"/>
    <s v="CSM-1542"/>
    <s v="Erro na aba do status de senha do Sibel"/>
    <s v="Luis Savioli"/>
    <x v="5"/>
    <s v="30:10"/>
    <s v="4:29"/>
    <s v="22/Sep/16 12:33 PM"/>
    <s v="23/Sep/16 2:49 PM"/>
    <s v="Outros"/>
    <m/>
    <m/>
  </r>
  <r>
    <s v="Major"/>
    <x v="2"/>
    <s v="CSM-1539"/>
    <s v="Participante não consegue solicitar senha"/>
    <s v="Raul Ferreira"/>
    <x v="8"/>
    <s v="19:53"/>
    <s v="4:05"/>
    <s v="21/Sep/16 9:17 AM"/>
    <s v="10/Oct/16 11:00 AM"/>
    <s v="Erros no Site"/>
    <m/>
    <m/>
  </r>
  <r>
    <s v="Major"/>
    <x v="2"/>
    <s v="CSM-1516"/>
    <s v="Erro no envio de e-mail"/>
    <s v="Jonathas Souza"/>
    <x v="0"/>
    <s v="-160:00"/>
    <s v="8:00"/>
    <s v="15/Sep/16 6:57 PM"/>
    <s v="19/Oct/16 9:04 AM"/>
    <m/>
    <m/>
    <m/>
  </r>
  <r>
    <s v="Minor"/>
    <x v="2"/>
    <s v="CSM-1511"/>
    <s v="Erro ao solicitar Senha"/>
    <s v="Jonathas Souza"/>
    <x v="8"/>
    <s v="36:39"/>
    <s v="7:28"/>
    <s v="14/Sep/16 1:34 PM"/>
    <s v="10/Oct/16 11:00 AM"/>
    <s v="Outros"/>
    <m/>
    <m/>
  </r>
  <r>
    <s v="Major"/>
    <x v="2"/>
    <s v="CSM-1510"/>
    <s v="Erro 800 no cancelamento de emissão no Siebel"/>
    <s v="Jonathas Souza"/>
    <x v="5"/>
    <s v="12:38"/>
    <s v="5:42"/>
    <s v="14/Sep/16 11:50 AM"/>
    <s v="15/Sep/16 4:11 PM"/>
    <s v="Erros no Site"/>
    <m/>
    <m/>
  </r>
  <r>
    <s v="Major"/>
    <x v="2"/>
    <s v="CSM-1499"/>
    <s v="Cliente não consegue solicitar senha"/>
    <s v="Adolfo Nunes"/>
    <x v="8"/>
    <s v="19:39"/>
    <s v="7:38"/>
    <s v="13/Sep/16 1:39 PM"/>
    <s v="07/Oct/16 9:47 AM"/>
    <s v="Erros no Site"/>
    <m/>
    <m/>
  </r>
  <r>
    <s v="Major"/>
    <x v="2"/>
    <s v="CSM-1488"/>
    <s v="Erro de emissão 500 na conta."/>
    <s v="Jonathas Souza"/>
    <x v="5"/>
    <s v="13:53"/>
    <s v="7:32"/>
    <s v="12/Sep/16 8:46 AM"/>
    <s v="13/Sep/16 11:06 AM"/>
    <m/>
    <m/>
    <m/>
  </r>
  <r>
    <s v="Minor"/>
    <x v="2"/>
    <s v="CSM-1483"/>
    <s v="Cliente estrangeiro não consegue solicitar a senha"/>
    <s v="Raul Ferreira"/>
    <x v="8"/>
    <s v="36:48"/>
    <s v="6:48"/>
    <s v="09/Sep/16 2:48 PM"/>
    <s v="10/Oct/16 11:00 AM"/>
    <s v="Outros"/>
    <m/>
    <m/>
  </r>
  <r>
    <s v="Major"/>
    <x v="2"/>
    <s v="CSM-1480"/>
    <s v="Estrangeiro com Adesão Clube Smiles"/>
    <s v="Jonathas Souza"/>
    <x v="5"/>
    <s v="19:26"/>
    <s v="7:18"/>
    <s v="09/Sep/16 10:53 AM"/>
    <s v="27/Sep/16 4:19 PM"/>
    <s v="Erros de Siebel"/>
    <m/>
    <m/>
  </r>
  <r>
    <s v="Minor"/>
    <x v="2"/>
    <s v="CSM-1478"/>
    <s v="Erro reembolso de bilhete Amadeus Siebel"/>
    <s v="Jonathas Souza"/>
    <x v="5"/>
    <s v="3:31"/>
    <s v="8:00"/>
    <s v="08/Sep/16 7:16 PM"/>
    <s v="15/Sep/16 4:09 PM"/>
    <s v="Outros"/>
    <m/>
    <m/>
  </r>
  <r>
    <s v="Major"/>
    <x v="2"/>
    <s v="CSM-1470"/>
    <s v="Erro mudança de plano"/>
    <s v="Luis Savioli"/>
    <x v="5"/>
    <s v="-110:11"/>
    <s v="7:37"/>
    <s v="06/Sep/16 5:37 PM"/>
    <s v="18/Oct/16 10:36 AM"/>
    <s v="Erros de Siebel"/>
    <m/>
    <m/>
  </r>
  <r>
    <s v="Major"/>
    <x v="2"/>
    <s v="CSM-1465"/>
    <s v="Erro Downgrade"/>
    <s v="Luis Savioli"/>
    <x v="5"/>
    <s v="0:32"/>
    <s v="7:45"/>
    <s v="06/Sep/16 11:03 AM"/>
    <s v="30/Sep/16 3:48 PM"/>
    <s v="Erros de Promoção / Bonificação"/>
    <m/>
    <m/>
  </r>
  <r>
    <s v="Major"/>
    <x v="2"/>
    <s v="CSM-1464"/>
    <s v="Reembolso cancelamento"/>
    <s v="Raul Ferreira"/>
    <x v="5"/>
    <s v="5:11"/>
    <s v="2:48"/>
    <s v="05/Sep/16 8:33 PM"/>
    <s v="09/Sep/16 12:03 PM"/>
    <s v="Erros no Site"/>
    <m/>
    <m/>
  </r>
  <r>
    <s v="Major"/>
    <x v="2"/>
    <s v="CSM-1463"/>
    <s v="Smiles | Página Promoções"/>
    <s v="Adolfo Nunes"/>
    <x v="6"/>
    <s v="0:34"/>
    <s v="7:59"/>
    <s v="05/Sep/16 1:30 PM"/>
    <s v="04/Oct/16 6:34 PM"/>
    <s v="Erros de Promoção / Bonificação"/>
    <m/>
    <m/>
  </r>
  <r>
    <s v="Major"/>
    <x v="2"/>
    <s v="CSM-1361"/>
    <s v="erro 500 ao emitir"/>
    <s v="Jonathas Souza"/>
    <x v="5"/>
    <s v="19:08"/>
    <s v="6:40"/>
    <s v="08/Aug/16 4:40 PM"/>
    <s v="31/Aug/16 4:30 PM"/>
    <m/>
    <m/>
    <m/>
  </r>
  <r>
    <s v="Major"/>
    <x v="2"/>
    <s v="CSM-1338"/>
    <s v="Erro - Emissão"/>
    <s v="Raul Ferreira"/>
    <x v="5"/>
    <s v="19:35"/>
    <s v="6:06"/>
    <s v="02/Aug/16 4:00 PM"/>
    <s v="31/Aug/16 4:31 PM"/>
    <m/>
    <m/>
    <m/>
  </r>
  <r>
    <s v="Major"/>
    <x v="2"/>
    <s v="CSM-1334"/>
    <s v="Erro ao emitir"/>
    <s v="Raul Ferreira"/>
    <x v="5"/>
    <s v="22:34"/>
    <s v="7:35"/>
    <s v="01/Aug/16 5:03 PM"/>
    <s v="31/Aug/16 4:30 PM"/>
    <m/>
    <m/>
    <m/>
  </r>
  <r>
    <s v="Major"/>
    <x v="2"/>
    <s v="CSM-1262"/>
    <s v="Erro - Promoção sem Milhas"/>
    <s v="Jonathas Souza"/>
    <x v="8"/>
    <s v="23:16"/>
    <s v="7:50"/>
    <d v="2016-07-15T15:24:00"/>
    <s v="31/Aug/16 4:21 PM"/>
    <s v="Erros de Promoção / Bonificação"/>
    <m/>
    <m/>
  </r>
  <r>
    <s v="Major"/>
    <x v="2"/>
    <s v="CSM-1139"/>
    <s v="Envio de e-mail indevido para o participante Smiles com valores da (SL)"/>
    <s v="Jonathas Souza"/>
    <x v="6"/>
    <s v="0:39"/>
    <s v="6:05"/>
    <d v="2016-06-23T09:39:00"/>
    <s v="19/Oct/16 9:04 AM"/>
    <m/>
    <m/>
    <m/>
  </r>
  <r>
    <s v="Major"/>
    <x v="2"/>
    <s v="CSM-832"/>
    <s v="SS de cancelamento de Clube Smiles em aberto"/>
    <s v="Luis Savioli"/>
    <x v="5"/>
    <s v="0:19"/>
    <s v="7:04"/>
    <s v="12/Apr/16 11:04 AM"/>
    <s v="15/Apr/16 11:04 AM"/>
    <s v="Erros de Siebel"/>
    <m/>
    <m/>
  </r>
  <r>
    <m/>
    <x v="3"/>
    <m/>
    <m/>
    <m/>
    <x v="9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4:B5" firstHeaderRow="1" firstDataRow="1" firstDataCol="0" rowPageCount="2" colPageCount="1"/>
  <pivotFields count="13">
    <pivotField showAll="0"/>
    <pivotField axis="axisPage" showAll="0">
      <items count="5">
        <item x="1"/>
        <item x="2"/>
        <item x="0"/>
        <item x="3"/>
        <item t="default"/>
      </items>
    </pivotField>
    <pivotField dataField="1" showAll="0"/>
    <pivotField showAll="0"/>
    <pivotField showAll="0"/>
    <pivotField axis="axisPage" showAll="0">
      <items count="11">
        <item x="1"/>
        <item x="4"/>
        <item x="8"/>
        <item x="5"/>
        <item x="0"/>
        <item x="3"/>
        <item x="2"/>
        <item x="6"/>
        <item x="7"/>
        <item x="9"/>
        <item t="default"/>
      </items>
    </pivotField>
    <pivotField showAll="0"/>
    <pivotField showAll="0"/>
    <pivotField numFmtId="14" showAll="0"/>
    <pivotField numFmtId="3" showAll="0"/>
    <pivotField showAll="0"/>
    <pivotField showAll="0"/>
    <pivotField showAll="0"/>
  </pivotFields>
  <rowItems count="1">
    <i/>
  </rowItems>
  <colItems count="1">
    <i/>
  </colItems>
  <pageFields count="2">
    <pageField fld="1" hier="-1"/>
    <pageField fld="5" hier="-1"/>
  </pageFields>
  <dataFields count="1">
    <dataField name="BACKLOG Bruto" fld="2" subtotal="count" baseField="0" baseItem="6286920"/>
  </dataFields>
  <formats count="4">
    <format dxfId="3">
      <pivotArea type="all" dataOnly="0" outline="0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E5" firstHeaderRow="1" firstDataRow="1" firstDataCol="0" rowPageCount="2" colPageCount="1"/>
  <pivotFields count="13">
    <pivotField showAll="0"/>
    <pivotField axis="axisPage" multipleItemSelectionAllowed="1" showAll="0">
      <items count="5">
        <item h="1" x="1"/>
        <item x="2"/>
        <item x="0"/>
        <item h="1" x="3"/>
        <item t="default"/>
      </items>
    </pivotField>
    <pivotField dataField="1" showAll="0"/>
    <pivotField showAll="0"/>
    <pivotField showAll="0"/>
    <pivotField axis="axisPage" multipleItemSelectionAllowed="1" showAll="0">
      <items count="11">
        <item x="1"/>
        <item x="4"/>
        <item h="1" x="8"/>
        <item h="1" x="5"/>
        <item x="0"/>
        <item x="3"/>
        <item x="2"/>
        <item x="6"/>
        <item x="7"/>
        <item h="1" x="9"/>
        <item t="default"/>
      </items>
    </pivotField>
    <pivotField showAll="0"/>
    <pivotField showAll="0"/>
    <pivotField numFmtId="14" showAll="0"/>
    <pivotField numFmtId="3" showAll="0"/>
    <pivotField showAll="0"/>
    <pivotField showAll="0"/>
    <pivotField showAll="0"/>
  </pivotFields>
  <rowItems count="1">
    <i/>
  </rowItems>
  <colItems count="1">
    <i/>
  </colItems>
  <pageFields count="2">
    <pageField fld="1" hier="-1"/>
    <pageField fld="5" hier="-1"/>
  </pageFields>
  <dataFields count="1">
    <dataField name="BACKLOG Líquido" fld="2" subtotal="count" baseField="0" baseItem="6286920"/>
  </dataFields>
  <formats count="4">
    <format dxfId="7">
      <pivotArea type="all" dataOnly="0" outline="0" fieldPosition="0"/>
    </format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smiles.atlassian.net/browse/NGC-1502" TargetMode="External"/><Relationship Id="rId21" Type="http://schemas.openxmlformats.org/officeDocument/2006/relationships/hyperlink" Target="https://smiles.atlassian.net/browse/NGC-1595" TargetMode="External"/><Relationship Id="rId42" Type="http://schemas.openxmlformats.org/officeDocument/2006/relationships/hyperlink" Target="https://smiles.atlassian.net/browse/CSM-1666" TargetMode="External"/><Relationship Id="rId47" Type="http://schemas.openxmlformats.org/officeDocument/2006/relationships/hyperlink" Target="https://smiles.atlassian.net/browse/CSM-1661" TargetMode="External"/><Relationship Id="rId63" Type="http://schemas.openxmlformats.org/officeDocument/2006/relationships/hyperlink" Target="https://smiles.atlassian.net/browse/CSM-1633" TargetMode="External"/><Relationship Id="rId68" Type="http://schemas.openxmlformats.org/officeDocument/2006/relationships/hyperlink" Target="https://smiles.atlassian.net/browse/CSM-1625" TargetMode="External"/><Relationship Id="rId84" Type="http://schemas.openxmlformats.org/officeDocument/2006/relationships/hyperlink" Target="https://smiles.atlassian.net/browse/CSM-1589" TargetMode="External"/><Relationship Id="rId89" Type="http://schemas.openxmlformats.org/officeDocument/2006/relationships/hyperlink" Target="https://smiles.atlassian.net/browse/CSM-1573" TargetMode="External"/><Relationship Id="rId112" Type="http://schemas.openxmlformats.org/officeDocument/2006/relationships/hyperlink" Target="https://smiles.atlassian.net/browse/CSM-1139" TargetMode="External"/><Relationship Id="rId2" Type="http://schemas.openxmlformats.org/officeDocument/2006/relationships/hyperlink" Target="https://smiles.atlassian.net/browse/NGC-1681" TargetMode="External"/><Relationship Id="rId16" Type="http://schemas.openxmlformats.org/officeDocument/2006/relationships/hyperlink" Target="https://smiles.atlassian.net/browse/NGC-1636" TargetMode="External"/><Relationship Id="rId29" Type="http://schemas.openxmlformats.org/officeDocument/2006/relationships/hyperlink" Target="https://smiles.atlassian.net/browse/NGC-1484" TargetMode="External"/><Relationship Id="rId107" Type="http://schemas.openxmlformats.org/officeDocument/2006/relationships/hyperlink" Target="https://smiles.atlassian.net/browse/CSM-1463" TargetMode="External"/><Relationship Id="rId11" Type="http://schemas.openxmlformats.org/officeDocument/2006/relationships/hyperlink" Target="https://smiles.atlassian.net/browse/NGC-1654" TargetMode="External"/><Relationship Id="rId24" Type="http://schemas.openxmlformats.org/officeDocument/2006/relationships/hyperlink" Target="https://smiles.atlassian.net/browse/NGC-1534" TargetMode="External"/><Relationship Id="rId32" Type="http://schemas.openxmlformats.org/officeDocument/2006/relationships/hyperlink" Target="https://smiles.atlassian.net/browse/NGC-1457" TargetMode="External"/><Relationship Id="rId37" Type="http://schemas.openxmlformats.org/officeDocument/2006/relationships/hyperlink" Target="https://smiles.atlassian.net/browse/NGC-972" TargetMode="External"/><Relationship Id="rId40" Type="http://schemas.openxmlformats.org/officeDocument/2006/relationships/hyperlink" Target="https://smiles.atlassian.net/browse/NGC-148" TargetMode="External"/><Relationship Id="rId45" Type="http://schemas.openxmlformats.org/officeDocument/2006/relationships/hyperlink" Target="https://smiles.atlassian.net/browse/CSM-1663" TargetMode="External"/><Relationship Id="rId53" Type="http://schemas.openxmlformats.org/officeDocument/2006/relationships/hyperlink" Target="https://smiles.atlassian.net/browse/CSM-1654" TargetMode="External"/><Relationship Id="rId58" Type="http://schemas.openxmlformats.org/officeDocument/2006/relationships/hyperlink" Target="https://smiles.atlassian.net/browse/CSM-1645" TargetMode="External"/><Relationship Id="rId66" Type="http://schemas.openxmlformats.org/officeDocument/2006/relationships/hyperlink" Target="https://smiles.atlassian.net/browse/CSM-1629" TargetMode="External"/><Relationship Id="rId74" Type="http://schemas.openxmlformats.org/officeDocument/2006/relationships/hyperlink" Target="https://smiles.atlassian.net/browse/CSM-1617" TargetMode="External"/><Relationship Id="rId79" Type="http://schemas.openxmlformats.org/officeDocument/2006/relationships/hyperlink" Target="https://smiles.atlassian.net/browse/CSM-1606" TargetMode="External"/><Relationship Id="rId87" Type="http://schemas.openxmlformats.org/officeDocument/2006/relationships/hyperlink" Target="https://smiles.atlassian.net/browse/CSM-1579" TargetMode="External"/><Relationship Id="rId102" Type="http://schemas.openxmlformats.org/officeDocument/2006/relationships/hyperlink" Target="https://smiles.atlassian.net/browse/CSM-1480" TargetMode="External"/><Relationship Id="rId110" Type="http://schemas.openxmlformats.org/officeDocument/2006/relationships/hyperlink" Target="https://smiles.atlassian.net/browse/CSM-1334" TargetMode="External"/><Relationship Id="rId5" Type="http://schemas.openxmlformats.org/officeDocument/2006/relationships/hyperlink" Target="https://smiles.atlassian.net/browse/NGC-1669" TargetMode="External"/><Relationship Id="rId61" Type="http://schemas.openxmlformats.org/officeDocument/2006/relationships/hyperlink" Target="https://smiles.atlassian.net/browse/CSM-1636" TargetMode="External"/><Relationship Id="rId82" Type="http://schemas.openxmlformats.org/officeDocument/2006/relationships/hyperlink" Target="https://smiles.atlassian.net/browse/CSM-1598" TargetMode="External"/><Relationship Id="rId90" Type="http://schemas.openxmlformats.org/officeDocument/2006/relationships/hyperlink" Target="https://smiles.atlassian.net/browse/CSM-1560" TargetMode="External"/><Relationship Id="rId95" Type="http://schemas.openxmlformats.org/officeDocument/2006/relationships/hyperlink" Target="https://smiles.atlassian.net/browse/CSM-1539" TargetMode="External"/><Relationship Id="rId19" Type="http://schemas.openxmlformats.org/officeDocument/2006/relationships/hyperlink" Target="https://smiles.atlassian.net/browse/NGC-1616" TargetMode="External"/><Relationship Id="rId14" Type="http://schemas.openxmlformats.org/officeDocument/2006/relationships/hyperlink" Target="https://smiles.atlassian.net/browse/NGC-1642" TargetMode="External"/><Relationship Id="rId22" Type="http://schemas.openxmlformats.org/officeDocument/2006/relationships/hyperlink" Target="https://smiles.atlassian.net/browse/NGC-1583" TargetMode="External"/><Relationship Id="rId27" Type="http://schemas.openxmlformats.org/officeDocument/2006/relationships/hyperlink" Target="https://smiles.atlassian.net/browse/NGC-1500" TargetMode="External"/><Relationship Id="rId30" Type="http://schemas.openxmlformats.org/officeDocument/2006/relationships/hyperlink" Target="https://smiles.atlassian.net/browse/NGC-1472" TargetMode="External"/><Relationship Id="rId35" Type="http://schemas.openxmlformats.org/officeDocument/2006/relationships/hyperlink" Target="https://smiles.atlassian.net/browse/NGC-1312" TargetMode="External"/><Relationship Id="rId43" Type="http://schemas.openxmlformats.org/officeDocument/2006/relationships/hyperlink" Target="https://smiles.atlassian.net/browse/CSM-1665" TargetMode="External"/><Relationship Id="rId48" Type="http://schemas.openxmlformats.org/officeDocument/2006/relationships/hyperlink" Target="https://smiles.atlassian.net/browse/CSM-1659" TargetMode="External"/><Relationship Id="rId56" Type="http://schemas.openxmlformats.org/officeDocument/2006/relationships/hyperlink" Target="https://smiles.atlassian.net/browse/CSM-1647" TargetMode="External"/><Relationship Id="rId64" Type="http://schemas.openxmlformats.org/officeDocument/2006/relationships/hyperlink" Target="https://smiles.atlassian.net/browse/CSM-1631" TargetMode="External"/><Relationship Id="rId69" Type="http://schemas.openxmlformats.org/officeDocument/2006/relationships/hyperlink" Target="https://smiles.atlassian.net/browse/CSM-1623" TargetMode="External"/><Relationship Id="rId77" Type="http://schemas.openxmlformats.org/officeDocument/2006/relationships/hyperlink" Target="https://smiles.atlassian.net/browse/CSM-1612" TargetMode="External"/><Relationship Id="rId100" Type="http://schemas.openxmlformats.org/officeDocument/2006/relationships/hyperlink" Target="https://smiles.atlassian.net/browse/CSM-1488" TargetMode="External"/><Relationship Id="rId105" Type="http://schemas.openxmlformats.org/officeDocument/2006/relationships/hyperlink" Target="https://smiles.atlassian.net/browse/CSM-1465" TargetMode="External"/><Relationship Id="rId113" Type="http://schemas.openxmlformats.org/officeDocument/2006/relationships/hyperlink" Target="https://smiles.atlassian.net/browse/CSM-832" TargetMode="External"/><Relationship Id="rId8" Type="http://schemas.openxmlformats.org/officeDocument/2006/relationships/hyperlink" Target="https://smiles.atlassian.net/browse/NGC-1665" TargetMode="External"/><Relationship Id="rId51" Type="http://schemas.openxmlformats.org/officeDocument/2006/relationships/hyperlink" Target="https://smiles.atlassian.net/browse/CSM-1656" TargetMode="External"/><Relationship Id="rId72" Type="http://schemas.openxmlformats.org/officeDocument/2006/relationships/hyperlink" Target="https://smiles.atlassian.net/browse/CSM-1619" TargetMode="External"/><Relationship Id="rId80" Type="http://schemas.openxmlformats.org/officeDocument/2006/relationships/hyperlink" Target="https://smiles.atlassian.net/browse/CSM-1605" TargetMode="External"/><Relationship Id="rId85" Type="http://schemas.openxmlformats.org/officeDocument/2006/relationships/hyperlink" Target="https://smiles.atlassian.net/browse/CSM-1587" TargetMode="External"/><Relationship Id="rId93" Type="http://schemas.openxmlformats.org/officeDocument/2006/relationships/hyperlink" Target="https://smiles.atlassian.net/browse/CSM-1545" TargetMode="External"/><Relationship Id="rId98" Type="http://schemas.openxmlformats.org/officeDocument/2006/relationships/hyperlink" Target="https://smiles.atlassian.net/browse/CSM-1510" TargetMode="External"/><Relationship Id="rId3" Type="http://schemas.openxmlformats.org/officeDocument/2006/relationships/hyperlink" Target="https://smiles.atlassian.net/browse/NGC-1680" TargetMode="External"/><Relationship Id="rId12" Type="http://schemas.openxmlformats.org/officeDocument/2006/relationships/hyperlink" Target="https://smiles.atlassian.net/browse/NGC-1653" TargetMode="External"/><Relationship Id="rId17" Type="http://schemas.openxmlformats.org/officeDocument/2006/relationships/hyperlink" Target="https://smiles.atlassian.net/browse/NGC-1621" TargetMode="External"/><Relationship Id="rId25" Type="http://schemas.openxmlformats.org/officeDocument/2006/relationships/hyperlink" Target="https://smiles.atlassian.net/browse/NGC-1506" TargetMode="External"/><Relationship Id="rId33" Type="http://schemas.openxmlformats.org/officeDocument/2006/relationships/hyperlink" Target="https://smiles.atlassian.net/browse/NGC-1405" TargetMode="External"/><Relationship Id="rId38" Type="http://schemas.openxmlformats.org/officeDocument/2006/relationships/hyperlink" Target="https://smiles.atlassian.net/browse/NGC-930" TargetMode="External"/><Relationship Id="rId46" Type="http://schemas.openxmlformats.org/officeDocument/2006/relationships/hyperlink" Target="https://smiles.atlassian.net/browse/CSM-1662" TargetMode="External"/><Relationship Id="rId59" Type="http://schemas.openxmlformats.org/officeDocument/2006/relationships/hyperlink" Target="https://smiles.atlassian.net/browse/CSM-1641" TargetMode="External"/><Relationship Id="rId67" Type="http://schemas.openxmlformats.org/officeDocument/2006/relationships/hyperlink" Target="https://smiles.atlassian.net/browse/CSM-1626" TargetMode="External"/><Relationship Id="rId103" Type="http://schemas.openxmlformats.org/officeDocument/2006/relationships/hyperlink" Target="https://smiles.atlassian.net/browse/CSM-1478" TargetMode="External"/><Relationship Id="rId108" Type="http://schemas.openxmlformats.org/officeDocument/2006/relationships/hyperlink" Target="https://smiles.atlassian.net/browse/CSM-1361" TargetMode="External"/><Relationship Id="rId20" Type="http://schemas.openxmlformats.org/officeDocument/2006/relationships/hyperlink" Target="https://smiles.atlassian.net/browse/NGC-1606" TargetMode="External"/><Relationship Id="rId41" Type="http://schemas.openxmlformats.org/officeDocument/2006/relationships/hyperlink" Target="https://smiles.atlassian.net/browse/CSM-1667" TargetMode="External"/><Relationship Id="rId54" Type="http://schemas.openxmlformats.org/officeDocument/2006/relationships/hyperlink" Target="https://smiles.atlassian.net/browse/CSM-1652" TargetMode="External"/><Relationship Id="rId62" Type="http://schemas.openxmlformats.org/officeDocument/2006/relationships/hyperlink" Target="https://smiles.atlassian.net/browse/CSM-1635" TargetMode="External"/><Relationship Id="rId70" Type="http://schemas.openxmlformats.org/officeDocument/2006/relationships/hyperlink" Target="https://smiles.atlassian.net/browse/CSM-1622" TargetMode="External"/><Relationship Id="rId75" Type="http://schemas.openxmlformats.org/officeDocument/2006/relationships/hyperlink" Target="https://smiles.atlassian.net/browse/CSM-1616" TargetMode="External"/><Relationship Id="rId83" Type="http://schemas.openxmlformats.org/officeDocument/2006/relationships/hyperlink" Target="https://smiles.atlassian.net/browse/CSM-1593" TargetMode="External"/><Relationship Id="rId88" Type="http://schemas.openxmlformats.org/officeDocument/2006/relationships/hyperlink" Target="https://smiles.atlassian.net/browse/CSM-1576" TargetMode="External"/><Relationship Id="rId91" Type="http://schemas.openxmlformats.org/officeDocument/2006/relationships/hyperlink" Target="https://smiles.atlassian.net/browse/CSM-1557" TargetMode="External"/><Relationship Id="rId96" Type="http://schemas.openxmlformats.org/officeDocument/2006/relationships/hyperlink" Target="https://smiles.atlassian.net/browse/CSM-1516" TargetMode="External"/><Relationship Id="rId111" Type="http://schemas.openxmlformats.org/officeDocument/2006/relationships/hyperlink" Target="https://smiles.atlassian.net/browse/CSM-1262" TargetMode="External"/><Relationship Id="rId1" Type="http://schemas.openxmlformats.org/officeDocument/2006/relationships/hyperlink" Target="https://smiles.atlassian.net/browse/NGC-1682" TargetMode="External"/><Relationship Id="rId6" Type="http://schemas.openxmlformats.org/officeDocument/2006/relationships/hyperlink" Target="https://smiles.atlassian.net/browse/NGC-1667" TargetMode="External"/><Relationship Id="rId15" Type="http://schemas.openxmlformats.org/officeDocument/2006/relationships/hyperlink" Target="https://smiles.atlassian.net/browse/NGC-1641" TargetMode="External"/><Relationship Id="rId23" Type="http://schemas.openxmlformats.org/officeDocument/2006/relationships/hyperlink" Target="https://smiles.atlassian.net/browse/NGC-1541" TargetMode="External"/><Relationship Id="rId28" Type="http://schemas.openxmlformats.org/officeDocument/2006/relationships/hyperlink" Target="https://smiles.atlassian.net/browse/NGC-1486" TargetMode="External"/><Relationship Id="rId36" Type="http://schemas.openxmlformats.org/officeDocument/2006/relationships/hyperlink" Target="https://smiles.atlassian.net/browse/NGC-1271" TargetMode="External"/><Relationship Id="rId49" Type="http://schemas.openxmlformats.org/officeDocument/2006/relationships/hyperlink" Target="https://smiles.atlassian.net/browse/CSM-1658" TargetMode="External"/><Relationship Id="rId57" Type="http://schemas.openxmlformats.org/officeDocument/2006/relationships/hyperlink" Target="https://smiles.atlassian.net/browse/CSM-1646" TargetMode="External"/><Relationship Id="rId106" Type="http://schemas.openxmlformats.org/officeDocument/2006/relationships/hyperlink" Target="https://smiles.atlassian.net/browse/CSM-1464" TargetMode="External"/><Relationship Id="rId114" Type="http://schemas.openxmlformats.org/officeDocument/2006/relationships/printerSettings" Target="../printerSettings/printerSettings2.bin"/><Relationship Id="rId10" Type="http://schemas.openxmlformats.org/officeDocument/2006/relationships/hyperlink" Target="https://smiles.atlassian.net/browse/NGC-1659" TargetMode="External"/><Relationship Id="rId31" Type="http://schemas.openxmlformats.org/officeDocument/2006/relationships/hyperlink" Target="https://smiles.atlassian.net/browse/NGC-1460" TargetMode="External"/><Relationship Id="rId44" Type="http://schemas.openxmlformats.org/officeDocument/2006/relationships/hyperlink" Target="https://smiles.atlassian.net/browse/CSM-1664" TargetMode="External"/><Relationship Id="rId52" Type="http://schemas.openxmlformats.org/officeDocument/2006/relationships/hyperlink" Target="https://smiles.atlassian.net/browse/CSM-1655" TargetMode="External"/><Relationship Id="rId60" Type="http://schemas.openxmlformats.org/officeDocument/2006/relationships/hyperlink" Target="https://smiles.atlassian.net/browse/CSM-1638" TargetMode="External"/><Relationship Id="rId65" Type="http://schemas.openxmlformats.org/officeDocument/2006/relationships/hyperlink" Target="https://smiles.atlassian.net/browse/CSM-1630" TargetMode="External"/><Relationship Id="rId73" Type="http://schemas.openxmlformats.org/officeDocument/2006/relationships/hyperlink" Target="https://smiles.atlassian.net/browse/CSM-1618" TargetMode="External"/><Relationship Id="rId78" Type="http://schemas.openxmlformats.org/officeDocument/2006/relationships/hyperlink" Target="https://smiles.atlassian.net/browse/CSM-1607" TargetMode="External"/><Relationship Id="rId81" Type="http://schemas.openxmlformats.org/officeDocument/2006/relationships/hyperlink" Target="https://smiles.atlassian.net/browse/CSM-1599" TargetMode="External"/><Relationship Id="rId86" Type="http://schemas.openxmlformats.org/officeDocument/2006/relationships/hyperlink" Target="https://smiles.atlassian.net/browse/CSM-1582" TargetMode="External"/><Relationship Id="rId94" Type="http://schemas.openxmlformats.org/officeDocument/2006/relationships/hyperlink" Target="https://smiles.atlassian.net/browse/CSM-1542" TargetMode="External"/><Relationship Id="rId99" Type="http://schemas.openxmlformats.org/officeDocument/2006/relationships/hyperlink" Target="https://smiles.atlassian.net/browse/CSM-1499" TargetMode="External"/><Relationship Id="rId101" Type="http://schemas.openxmlformats.org/officeDocument/2006/relationships/hyperlink" Target="https://smiles.atlassian.net/browse/CSM-1483" TargetMode="External"/><Relationship Id="rId4" Type="http://schemas.openxmlformats.org/officeDocument/2006/relationships/hyperlink" Target="https://smiles.atlassian.net/browse/NGC-1678" TargetMode="External"/><Relationship Id="rId9" Type="http://schemas.openxmlformats.org/officeDocument/2006/relationships/hyperlink" Target="https://smiles.atlassian.net/browse/NGC-1662" TargetMode="External"/><Relationship Id="rId13" Type="http://schemas.openxmlformats.org/officeDocument/2006/relationships/hyperlink" Target="https://smiles.atlassian.net/browse/NGC-1651" TargetMode="External"/><Relationship Id="rId18" Type="http://schemas.openxmlformats.org/officeDocument/2006/relationships/hyperlink" Target="https://smiles.atlassian.net/browse/NGC-1617" TargetMode="External"/><Relationship Id="rId39" Type="http://schemas.openxmlformats.org/officeDocument/2006/relationships/hyperlink" Target="https://smiles.atlassian.net/browse/NGC-696" TargetMode="External"/><Relationship Id="rId109" Type="http://schemas.openxmlformats.org/officeDocument/2006/relationships/hyperlink" Target="https://smiles.atlassian.net/browse/CSM-1338" TargetMode="External"/><Relationship Id="rId34" Type="http://schemas.openxmlformats.org/officeDocument/2006/relationships/hyperlink" Target="https://smiles.atlassian.net/browse/NGC-1347" TargetMode="External"/><Relationship Id="rId50" Type="http://schemas.openxmlformats.org/officeDocument/2006/relationships/hyperlink" Target="https://smiles.atlassian.net/browse/CSM-1657" TargetMode="External"/><Relationship Id="rId55" Type="http://schemas.openxmlformats.org/officeDocument/2006/relationships/hyperlink" Target="https://smiles.atlassian.net/browse/CSM-1650" TargetMode="External"/><Relationship Id="rId76" Type="http://schemas.openxmlformats.org/officeDocument/2006/relationships/hyperlink" Target="https://smiles.atlassian.net/browse/CSM-1614" TargetMode="External"/><Relationship Id="rId97" Type="http://schemas.openxmlformats.org/officeDocument/2006/relationships/hyperlink" Target="https://smiles.atlassian.net/browse/CSM-1511" TargetMode="External"/><Relationship Id="rId104" Type="http://schemas.openxmlformats.org/officeDocument/2006/relationships/hyperlink" Target="https://smiles.atlassian.net/browse/CSM-1470" TargetMode="External"/><Relationship Id="rId7" Type="http://schemas.openxmlformats.org/officeDocument/2006/relationships/hyperlink" Target="https://smiles.atlassian.net/browse/NGC-1666" TargetMode="External"/><Relationship Id="rId71" Type="http://schemas.openxmlformats.org/officeDocument/2006/relationships/hyperlink" Target="https://smiles.atlassian.net/browse/CSM-1620" TargetMode="External"/><Relationship Id="rId92" Type="http://schemas.openxmlformats.org/officeDocument/2006/relationships/hyperlink" Target="https://smiles.atlassian.net/browse/CSM-155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pa"/>
  <dimension ref="A1:N25"/>
  <sheetViews>
    <sheetView showGridLines="0" showRowColHeaders="0" tabSelected="1" workbookViewId="0">
      <selection activeCell="F13" sqref="F13:F15"/>
    </sheetView>
  </sheetViews>
  <sheetFormatPr defaultColWidth="0" defaultRowHeight="15" zeroHeight="1" x14ac:dyDescent="0.25"/>
  <cols>
    <col min="1" max="1" width="3.75" customWidth="1"/>
    <col min="2" max="3" width="10.75" customWidth="1"/>
    <col min="4" max="5" width="10.625" customWidth="1"/>
    <col min="6" max="6" width="7.625" customWidth="1"/>
    <col min="7" max="9" width="15.75" customWidth="1"/>
    <col min="10" max="14" width="9.125" customWidth="1"/>
    <col min="15" max="16384" width="9.125" hidden="1"/>
  </cols>
  <sheetData>
    <row r="1" spans="1:14" ht="15" customHeight="1" x14ac:dyDescent="0.25">
      <c r="A1" s="9"/>
      <c r="B1" s="9"/>
      <c r="C1" s="9"/>
      <c r="D1" s="28" t="s">
        <v>450</v>
      </c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ht="15" customHeight="1" x14ac:dyDescent="0.25">
      <c r="A2" s="9"/>
      <c r="B2" s="9"/>
      <c r="C2" s="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1:14" ht="15" customHeight="1" x14ac:dyDescent="0.25">
      <c r="A3" s="9"/>
      <c r="B3" s="9"/>
      <c r="C3" s="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</row>
    <row r="4" spans="1:14" ht="15" customHeight="1" x14ac:dyDescent="0.25">
      <c r="A4" s="9"/>
      <c r="B4" s="9"/>
      <c r="C4" s="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</row>
    <row r="5" spans="1:14" ht="15" customHeight="1" x14ac:dyDescent="0.25">
      <c r="A5" s="9"/>
      <c r="B5" s="9"/>
      <c r="C5" s="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1:14" ht="20.100000000000001" customHeight="1" x14ac:dyDescent="0.25"/>
    <row r="7" spans="1:14" ht="20.100000000000001" customHeight="1" x14ac:dyDescent="0.25">
      <c r="B7" s="23" t="s">
        <v>392</v>
      </c>
      <c r="C7" s="23"/>
      <c r="D7" s="30">
        <v>42662</v>
      </c>
      <c r="E7" s="30"/>
      <c r="F7" s="30"/>
    </row>
    <row r="8" spans="1:14" ht="20.100000000000001" customHeight="1" x14ac:dyDescent="0.25">
      <c r="B8" s="8"/>
      <c r="C8" s="8"/>
      <c r="E8" s="21"/>
    </row>
    <row r="9" spans="1:14" ht="15" customHeight="1" x14ac:dyDescent="0.25">
      <c r="B9" s="23" t="s">
        <v>390</v>
      </c>
      <c r="C9" s="23"/>
      <c r="D9" s="24">
        <f>GETPIVOTDATA("Key",TabDinâmica!$B$4)</f>
        <v>113</v>
      </c>
      <c r="E9" s="25">
        <v>86</v>
      </c>
      <c r="F9" s="31" t="s">
        <v>449</v>
      </c>
    </row>
    <row r="10" spans="1:14" ht="15" customHeight="1" x14ac:dyDescent="0.25">
      <c r="B10" s="23"/>
      <c r="C10" s="23"/>
      <c r="D10" s="24"/>
      <c r="E10" s="26"/>
      <c r="F10" s="32"/>
    </row>
    <row r="11" spans="1:14" ht="15" customHeight="1" x14ac:dyDescent="0.25">
      <c r="B11" s="23"/>
      <c r="C11" s="23"/>
      <c r="D11" s="24"/>
      <c r="E11" s="27"/>
      <c r="F11" s="33"/>
    </row>
    <row r="12" spans="1:14" ht="20.100000000000001" customHeight="1" x14ac:dyDescent="0.25">
      <c r="B12" s="8"/>
      <c r="C12" s="8"/>
      <c r="E12" s="22" t="s">
        <v>448</v>
      </c>
    </row>
    <row r="13" spans="1:14" ht="15" customHeight="1" x14ac:dyDescent="0.25">
      <c r="B13" s="23" t="s">
        <v>391</v>
      </c>
      <c r="C13" s="23"/>
      <c r="D13" s="24">
        <f>GETPIVOTDATA("Key",TabDinâmica!$E$4)</f>
        <v>48</v>
      </c>
      <c r="E13" s="25">
        <v>31</v>
      </c>
      <c r="F13" s="31" t="s">
        <v>449</v>
      </c>
    </row>
    <row r="14" spans="1:14" ht="15" customHeight="1" x14ac:dyDescent="0.25">
      <c r="B14" s="23"/>
      <c r="C14" s="23"/>
      <c r="D14" s="24"/>
      <c r="E14" s="26"/>
      <c r="F14" s="32"/>
    </row>
    <row r="15" spans="1:14" ht="15" customHeight="1" x14ac:dyDescent="0.25">
      <c r="B15" s="23"/>
      <c r="C15" s="23"/>
      <c r="D15" s="24"/>
      <c r="E15" s="27"/>
      <c r="F15" s="33"/>
    </row>
    <row r="16" spans="1:14" x14ac:dyDescent="0.25"/>
    <row r="17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</sheetData>
  <mergeCells count="11">
    <mergeCell ref="E9:E11"/>
    <mergeCell ref="E13:E15"/>
    <mergeCell ref="F9:F11"/>
    <mergeCell ref="F13:F15"/>
    <mergeCell ref="D1:N5"/>
    <mergeCell ref="D7:F7"/>
    <mergeCell ref="B9:C11"/>
    <mergeCell ref="B13:C15"/>
    <mergeCell ref="D9:D11"/>
    <mergeCell ref="D13:D15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endente_desenvolvimento" altText="">
                <anchor moveWithCells="1">
                  <from>
                    <xdr:col>6</xdr:col>
                    <xdr:colOff>266700</xdr:colOff>
                    <xdr:row>10</xdr:row>
                    <xdr:rowOff>142875</xdr:rowOff>
                  </from>
                  <to>
                    <xdr:col>7</xdr:col>
                    <xdr:colOff>514350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Pendente_GMUD" altText="">
                <anchor moveWithCells="1" sizeWithCells="1">
                  <from>
                    <xdr:col>6</xdr:col>
                    <xdr:colOff>266700</xdr:colOff>
                    <xdr:row>13</xdr:row>
                    <xdr:rowOff>38100</xdr:rowOff>
                  </from>
                  <to>
                    <xdr:col>7</xdr:col>
                    <xdr:colOff>514350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endente_Usuario" altText="">
                <anchor moveWithCells="1" sizeWithCells="1">
                  <from>
                    <xdr:col>6</xdr:col>
                    <xdr:colOff>266700</xdr:colOff>
                    <xdr:row>7</xdr:row>
                    <xdr:rowOff>238125</xdr:rowOff>
                  </from>
                  <to>
                    <xdr:col>7</xdr:col>
                    <xdr:colOff>514350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Promocoes" altText="">
                <anchor moveWithCells="1">
                  <from>
                    <xdr:col>7</xdr:col>
                    <xdr:colOff>781050</xdr:colOff>
                    <xdr:row>10</xdr:row>
                    <xdr:rowOff>142875</xdr:rowOff>
                  </from>
                  <to>
                    <xdr:col>8</xdr:col>
                    <xdr:colOff>1028700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Resto" altText="">
                <anchor moveWithCells="1" sizeWithCells="1">
                  <from>
                    <xdr:col>7</xdr:col>
                    <xdr:colOff>781050</xdr:colOff>
                    <xdr:row>13</xdr:row>
                    <xdr:rowOff>38100</xdr:rowOff>
                  </from>
                  <to>
                    <xdr:col>8</xdr:col>
                    <xdr:colOff>1028700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Operacao_Assistida" altText="">
                <anchor moveWithCells="1" sizeWithCells="1">
                  <from>
                    <xdr:col>7</xdr:col>
                    <xdr:colOff>781050</xdr:colOff>
                    <xdr:row>7</xdr:row>
                    <xdr:rowOff>238125</xdr:rowOff>
                  </from>
                  <to>
                    <xdr:col>8</xdr:col>
                    <xdr:colOff>1028700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se"/>
  <dimension ref="A1:M114"/>
  <sheetViews>
    <sheetView showGridLines="0" showRowColHeaders="0" workbookViewId="0"/>
  </sheetViews>
  <sheetFormatPr defaultColWidth="9" defaultRowHeight="15" customHeight="1" x14ac:dyDescent="0.25"/>
  <cols>
    <col min="1" max="1" width="10.625" style="17" bestFit="1" customWidth="1"/>
    <col min="2" max="2" width="29.75" style="17" bestFit="1" customWidth="1"/>
    <col min="3" max="3" width="9" style="17" bestFit="1" customWidth="1"/>
    <col min="4" max="4" width="74.5" style="17" bestFit="1" customWidth="1"/>
    <col min="5" max="5" width="15.875" style="17" bestFit="1" customWidth="1"/>
    <col min="6" max="6" width="22" style="17" bestFit="1" customWidth="1"/>
    <col min="7" max="7" width="21.125" style="17" bestFit="1" customWidth="1"/>
    <col min="8" max="8" width="20.125" style="17" bestFit="1" customWidth="1"/>
    <col min="9" max="9" width="11" style="18" bestFit="1" customWidth="1"/>
    <col min="10" max="10" width="9.25" style="19" bestFit="1" customWidth="1"/>
    <col min="11" max="11" width="33.125" style="17" bestFit="1" customWidth="1"/>
    <col min="12" max="12" width="35.125" style="17" bestFit="1" customWidth="1"/>
    <col min="13" max="13" width="25.75" style="17" bestFit="1" customWidth="1"/>
    <col min="14" max="16384" width="9" style="1"/>
  </cols>
  <sheetData>
    <row r="1" spans="1:13" ht="15" customHeight="1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16" t="s">
        <v>9</v>
      </c>
      <c r="K1" s="3" t="s">
        <v>10</v>
      </c>
      <c r="L1" s="3" t="s">
        <v>11</v>
      </c>
      <c r="M1" s="3" t="s">
        <v>12</v>
      </c>
    </row>
    <row r="2" spans="1:13" ht="15" customHeight="1" x14ac:dyDescent="0.25">
      <c r="A2" s="10" t="s">
        <v>13</v>
      </c>
      <c r="B2" s="11" t="s">
        <v>14</v>
      </c>
      <c r="C2" s="12" t="s">
        <v>15</v>
      </c>
      <c r="D2" s="10" t="s">
        <v>16</v>
      </c>
      <c r="E2" s="10" t="s">
        <v>17</v>
      </c>
      <c r="F2" s="11" t="s">
        <v>18</v>
      </c>
      <c r="G2" s="13" t="s">
        <v>19</v>
      </c>
      <c r="H2" s="13" t="s">
        <v>20</v>
      </c>
      <c r="I2" s="15">
        <v>42375</v>
      </c>
      <c r="J2" s="20">
        <f t="shared" ref="J2:J33" ca="1" si="0">TODAY()-I2</f>
        <v>289</v>
      </c>
      <c r="K2" s="10"/>
      <c r="L2" s="10" t="s">
        <v>21</v>
      </c>
      <c r="M2" s="10" t="s">
        <v>21</v>
      </c>
    </row>
    <row r="3" spans="1:13" ht="15" customHeight="1" x14ac:dyDescent="0.25">
      <c r="A3" s="10" t="s">
        <v>13</v>
      </c>
      <c r="B3" s="11" t="s">
        <v>22</v>
      </c>
      <c r="C3" s="12" t="s">
        <v>23</v>
      </c>
      <c r="D3" s="10" t="s">
        <v>24</v>
      </c>
      <c r="E3" s="10" t="s">
        <v>17</v>
      </c>
      <c r="F3" s="11" t="s">
        <v>25</v>
      </c>
      <c r="G3" s="13" t="s">
        <v>26</v>
      </c>
      <c r="H3" s="13" t="s">
        <v>27</v>
      </c>
      <c r="I3" s="15">
        <v>42472</v>
      </c>
      <c r="J3" s="20">
        <f t="shared" ca="1" si="0"/>
        <v>192</v>
      </c>
      <c r="K3" s="10" t="s">
        <v>28</v>
      </c>
      <c r="L3" s="10"/>
      <c r="M3" s="10" t="s">
        <v>28</v>
      </c>
    </row>
    <row r="4" spans="1:13" ht="15" customHeight="1" x14ac:dyDescent="0.25">
      <c r="A4" s="10" t="s">
        <v>29</v>
      </c>
      <c r="B4" s="11" t="s">
        <v>14</v>
      </c>
      <c r="C4" s="12" t="s">
        <v>30</v>
      </c>
      <c r="D4" s="10" t="s">
        <v>31</v>
      </c>
      <c r="E4" s="10" t="s">
        <v>32</v>
      </c>
      <c r="F4" s="11" t="s">
        <v>33</v>
      </c>
      <c r="G4" s="13" t="s">
        <v>34</v>
      </c>
      <c r="H4" s="10"/>
      <c r="I4" s="15">
        <v>42473</v>
      </c>
      <c r="J4" s="20">
        <f t="shared" ca="1" si="0"/>
        <v>191</v>
      </c>
      <c r="K4" s="10"/>
      <c r="L4" s="10" t="s">
        <v>35</v>
      </c>
      <c r="M4" s="10" t="s">
        <v>35</v>
      </c>
    </row>
    <row r="5" spans="1:13" ht="15" customHeight="1" x14ac:dyDescent="0.25">
      <c r="A5" s="10" t="s">
        <v>13</v>
      </c>
      <c r="B5" s="11" t="s">
        <v>36</v>
      </c>
      <c r="C5" s="12" t="s">
        <v>37</v>
      </c>
      <c r="D5" s="10" t="s">
        <v>38</v>
      </c>
      <c r="E5" s="10" t="s">
        <v>39</v>
      </c>
      <c r="F5" s="11" t="s">
        <v>18</v>
      </c>
      <c r="G5" s="13" t="s">
        <v>40</v>
      </c>
      <c r="H5" s="13" t="s">
        <v>41</v>
      </c>
      <c r="I5" s="15">
        <v>42517</v>
      </c>
      <c r="J5" s="20">
        <f t="shared" ca="1" si="0"/>
        <v>147</v>
      </c>
      <c r="K5" s="10"/>
      <c r="L5" s="10" t="s">
        <v>42</v>
      </c>
      <c r="M5" s="10" t="s">
        <v>42</v>
      </c>
    </row>
    <row r="6" spans="1:13" ht="15" customHeight="1" x14ac:dyDescent="0.25">
      <c r="A6" s="10" t="s">
        <v>13</v>
      </c>
      <c r="B6" s="11" t="s">
        <v>36</v>
      </c>
      <c r="C6" s="12" t="s">
        <v>43</v>
      </c>
      <c r="D6" s="10" t="s">
        <v>44</v>
      </c>
      <c r="E6" s="10" t="s">
        <v>45</v>
      </c>
      <c r="F6" s="11" t="s">
        <v>18</v>
      </c>
      <c r="G6" s="13" t="s">
        <v>46</v>
      </c>
      <c r="H6" s="13" t="s">
        <v>47</v>
      </c>
      <c r="I6" s="15">
        <v>42523</v>
      </c>
      <c r="J6" s="20">
        <f t="shared" ca="1" si="0"/>
        <v>141</v>
      </c>
      <c r="K6" s="10"/>
      <c r="L6" s="10" t="s">
        <v>42</v>
      </c>
      <c r="M6" s="10" t="s">
        <v>42</v>
      </c>
    </row>
    <row r="7" spans="1:13" ht="15" customHeight="1" x14ac:dyDescent="0.25">
      <c r="A7" s="10" t="s">
        <v>13</v>
      </c>
      <c r="B7" s="11" t="s">
        <v>22</v>
      </c>
      <c r="C7" s="12" t="s">
        <v>48</v>
      </c>
      <c r="D7" s="10" t="s">
        <v>49</v>
      </c>
      <c r="E7" s="10" t="s">
        <v>50</v>
      </c>
      <c r="F7" s="11" t="s">
        <v>33</v>
      </c>
      <c r="G7" s="13" t="s">
        <v>51</v>
      </c>
      <c r="H7" s="13" t="s">
        <v>52</v>
      </c>
      <c r="I7" s="15">
        <v>42544</v>
      </c>
      <c r="J7" s="20">
        <f t="shared" ca="1" si="0"/>
        <v>120</v>
      </c>
      <c r="K7" s="10"/>
      <c r="L7" s="10"/>
      <c r="M7" s="10"/>
    </row>
    <row r="8" spans="1:13" ht="15" customHeight="1" x14ac:dyDescent="0.25">
      <c r="A8" s="10" t="s">
        <v>13</v>
      </c>
      <c r="B8" s="11" t="s">
        <v>22</v>
      </c>
      <c r="C8" s="12" t="s">
        <v>53</v>
      </c>
      <c r="D8" s="10" t="s">
        <v>54</v>
      </c>
      <c r="E8" s="10" t="s">
        <v>50</v>
      </c>
      <c r="F8" s="11" t="s">
        <v>55</v>
      </c>
      <c r="G8" s="13" t="s">
        <v>56</v>
      </c>
      <c r="H8" s="13" t="s">
        <v>57</v>
      </c>
      <c r="I8" s="15">
        <v>42566</v>
      </c>
      <c r="J8" s="20">
        <f t="shared" ca="1" si="0"/>
        <v>98</v>
      </c>
      <c r="K8" s="10" t="s">
        <v>58</v>
      </c>
      <c r="L8" s="10"/>
      <c r="M8" s="10" t="s">
        <v>58</v>
      </c>
    </row>
    <row r="9" spans="1:13" ht="15" customHeight="1" x14ac:dyDescent="0.25">
      <c r="A9" s="10" t="s">
        <v>59</v>
      </c>
      <c r="B9" s="11" t="s">
        <v>22</v>
      </c>
      <c r="C9" s="12" t="s">
        <v>60</v>
      </c>
      <c r="D9" s="10" t="s">
        <v>61</v>
      </c>
      <c r="E9" s="10" t="s">
        <v>62</v>
      </c>
      <c r="F9" s="11" t="s">
        <v>25</v>
      </c>
      <c r="G9" s="13" t="s">
        <v>63</v>
      </c>
      <c r="H9" s="13" t="s">
        <v>64</v>
      </c>
      <c r="I9" s="15">
        <v>42579</v>
      </c>
      <c r="J9" s="20">
        <f t="shared" ca="1" si="0"/>
        <v>85</v>
      </c>
      <c r="K9" s="10"/>
      <c r="L9" s="10" t="s">
        <v>21</v>
      </c>
      <c r="M9" s="10" t="s">
        <v>21</v>
      </c>
    </row>
    <row r="10" spans="1:13" ht="15" customHeight="1" x14ac:dyDescent="0.25">
      <c r="A10" s="10" t="s">
        <v>13</v>
      </c>
      <c r="B10" s="11" t="s">
        <v>22</v>
      </c>
      <c r="C10" s="12" t="s">
        <v>66</v>
      </c>
      <c r="D10" s="10" t="s">
        <v>67</v>
      </c>
      <c r="E10" s="10" t="s">
        <v>68</v>
      </c>
      <c r="F10" s="11" t="s">
        <v>25</v>
      </c>
      <c r="G10" s="13" t="s">
        <v>69</v>
      </c>
      <c r="H10" s="13" t="s">
        <v>70</v>
      </c>
      <c r="I10" s="15">
        <v>42583</v>
      </c>
      <c r="J10" s="20">
        <f t="shared" ca="1" si="0"/>
        <v>81</v>
      </c>
      <c r="K10" s="10"/>
      <c r="L10" s="10"/>
      <c r="M10" s="10"/>
    </row>
    <row r="11" spans="1:13" ht="15" customHeight="1" x14ac:dyDescent="0.25">
      <c r="A11" s="10" t="s">
        <v>13</v>
      </c>
      <c r="B11" s="11" t="s">
        <v>22</v>
      </c>
      <c r="C11" s="12" t="s">
        <v>71</v>
      </c>
      <c r="D11" s="10" t="s">
        <v>72</v>
      </c>
      <c r="E11" s="10" t="s">
        <v>68</v>
      </c>
      <c r="F11" s="11" t="s">
        <v>25</v>
      </c>
      <c r="G11" s="13" t="s">
        <v>73</v>
      </c>
      <c r="H11" s="13" t="s">
        <v>74</v>
      </c>
      <c r="I11" s="15">
        <v>42584</v>
      </c>
      <c r="J11" s="20">
        <f t="shared" ca="1" si="0"/>
        <v>80</v>
      </c>
      <c r="K11" s="10"/>
      <c r="L11" s="10"/>
      <c r="M11" s="10"/>
    </row>
    <row r="12" spans="1:13" ht="15" customHeight="1" x14ac:dyDescent="0.25">
      <c r="A12" s="10" t="s">
        <v>29</v>
      </c>
      <c r="B12" s="11" t="s">
        <v>14</v>
      </c>
      <c r="C12" s="12" t="s">
        <v>79</v>
      </c>
      <c r="D12" s="10" t="s">
        <v>80</v>
      </c>
      <c r="E12" s="10" t="s">
        <v>62</v>
      </c>
      <c r="F12" s="11" t="s">
        <v>33</v>
      </c>
      <c r="G12" s="13" t="s">
        <v>81</v>
      </c>
      <c r="H12" s="13" t="s">
        <v>82</v>
      </c>
      <c r="I12" s="15">
        <v>42590</v>
      </c>
      <c r="J12" s="20">
        <f t="shared" ca="1" si="0"/>
        <v>74</v>
      </c>
      <c r="K12" s="10"/>
      <c r="L12" s="10" t="s">
        <v>21</v>
      </c>
      <c r="M12" s="10" t="s">
        <v>21</v>
      </c>
    </row>
    <row r="13" spans="1:13" ht="15" customHeight="1" x14ac:dyDescent="0.25">
      <c r="A13" s="10" t="s">
        <v>13</v>
      </c>
      <c r="B13" s="11" t="s">
        <v>22</v>
      </c>
      <c r="C13" s="12" t="s">
        <v>75</v>
      </c>
      <c r="D13" s="10" t="s">
        <v>76</v>
      </c>
      <c r="E13" s="10" t="s">
        <v>50</v>
      </c>
      <c r="F13" s="11" t="s">
        <v>25</v>
      </c>
      <c r="G13" s="13" t="s">
        <v>77</v>
      </c>
      <c r="H13" s="13" t="s">
        <v>78</v>
      </c>
      <c r="I13" s="15">
        <v>42590</v>
      </c>
      <c r="J13" s="20">
        <f t="shared" ca="1" si="0"/>
        <v>74</v>
      </c>
      <c r="K13" s="10"/>
      <c r="L13" s="10"/>
      <c r="M13" s="10"/>
    </row>
    <row r="14" spans="1:13" ht="15" customHeight="1" x14ac:dyDescent="0.25">
      <c r="A14" s="10" t="s">
        <v>13</v>
      </c>
      <c r="B14" s="11" t="s">
        <v>14</v>
      </c>
      <c r="C14" s="12" t="s">
        <v>83</v>
      </c>
      <c r="D14" s="10" t="s">
        <v>84</v>
      </c>
      <c r="E14" s="10" t="s">
        <v>39</v>
      </c>
      <c r="F14" s="11" t="s">
        <v>33</v>
      </c>
      <c r="G14" s="13" t="s">
        <v>85</v>
      </c>
      <c r="H14" s="13" t="s">
        <v>86</v>
      </c>
      <c r="I14" s="15">
        <v>42600</v>
      </c>
      <c r="J14" s="20">
        <f t="shared" ca="1" si="0"/>
        <v>64</v>
      </c>
      <c r="K14" s="10"/>
      <c r="L14" s="10" t="s">
        <v>87</v>
      </c>
      <c r="M14" s="10" t="s">
        <v>87</v>
      </c>
    </row>
    <row r="15" spans="1:13" ht="15" customHeight="1" x14ac:dyDescent="0.25">
      <c r="A15" s="10" t="s">
        <v>29</v>
      </c>
      <c r="B15" s="11" t="s">
        <v>14</v>
      </c>
      <c r="C15" s="12" t="s">
        <v>88</v>
      </c>
      <c r="D15" s="10" t="s">
        <v>89</v>
      </c>
      <c r="E15" s="10" t="s">
        <v>50</v>
      </c>
      <c r="F15" s="11" t="s">
        <v>18</v>
      </c>
      <c r="G15" s="13" t="s">
        <v>90</v>
      </c>
      <c r="H15" s="10"/>
      <c r="I15" s="15">
        <v>42613</v>
      </c>
      <c r="J15" s="20">
        <f t="shared" ca="1" si="0"/>
        <v>51</v>
      </c>
      <c r="K15" s="10"/>
      <c r="L15" s="10" t="s">
        <v>35</v>
      </c>
      <c r="M15" s="10" t="s">
        <v>35</v>
      </c>
    </row>
    <row r="16" spans="1:13" ht="15" customHeight="1" x14ac:dyDescent="0.25">
      <c r="A16" s="10" t="s">
        <v>13</v>
      </c>
      <c r="B16" s="11" t="s">
        <v>22</v>
      </c>
      <c r="C16" s="12" t="s">
        <v>96</v>
      </c>
      <c r="D16" s="10" t="s">
        <v>97</v>
      </c>
      <c r="E16" s="10" t="s">
        <v>68</v>
      </c>
      <c r="F16" s="11" t="s">
        <v>25</v>
      </c>
      <c r="G16" s="13" t="s">
        <v>98</v>
      </c>
      <c r="H16" s="13" t="s">
        <v>99</v>
      </c>
      <c r="I16" s="15">
        <v>42618</v>
      </c>
      <c r="J16" s="20">
        <f t="shared" ca="1" si="0"/>
        <v>46</v>
      </c>
      <c r="K16" s="10" t="s">
        <v>65</v>
      </c>
      <c r="L16" s="10"/>
      <c r="M16" s="10" t="s">
        <v>65</v>
      </c>
    </row>
    <row r="17" spans="1:13" ht="15" customHeight="1" x14ac:dyDescent="0.25">
      <c r="A17" s="10" t="s">
        <v>13</v>
      </c>
      <c r="B17" s="11" t="s">
        <v>22</v>
      </c>
      <c r="C17" s="12" t="s">
        <v>91</v>
      </c>
      <c r="D17" s="10" t="s">
        <v>92</v>
      </c>
      <c r="E17" s="10" t="s">
        <v>93</v>
      </c>
      <c r="F17" s="11" t="s">
        <v>33</v>
      </c>
      <c r="G17" s="13" t="s">
        <v>94</v>
      </c>
      <c r="H17" s="13" t="s">
        <v>95</v>
      </c>
      <c r="I17" s="15">
        <v>42618</v>
      </c>
      <c r="J17" s="20">
        <f t="shared" ca="1" si="0"/>
        <v>46</v>
      </c>
      <c r="K17" s="10" t="s">
        <v>58</v>
      </c>
      <c r="L17" s="10"/>
      <c r="M17" s="10" t="s">
        <v>58</v>
      </c>
    </row>
    <row r="18" spans="1:13" ht="15" customHeight="1" x14ac:dyDescent="0.25">
      <c r="A18" s="10" t="s">
        <v>13</v>
      </c>
      <c r="B18" s="11" t="s">
        <v>22</v>
      </c>
      <c r="C18" s="12" t="s">
        <v>104</v>
      </c>
      <c r="D18" s="10" t="s">
        <v>105</v>
      </c>
      <c r="E18" s="10" t="s">
        <v>17</v>
      </c>
      <c r="F18" s="11" t="s">
        <v>25</v>
      </c>
      <c r="G18" s="13" t="s">
        <v>106</v>
      </c>
      <c r="H18" s="13" t="s">
        <v>107</v>
      </c>
      <c r="I18" s="15">
        <v>42619</v>
      </c>
      <c r="J18" s="20">
        <f t="shared" ca="1" si="0"/>
        <v>45</v>
      </c>
      <c r="K18" s="10" t="s">
        <v>28</v>
      </c>
      <c r="L18" s="10"/>
      <c r="M18" s="10" t="s">
        <v>28</v>
      </c>
    </row>
    <row r="19" spans="1:13" ht="15" customHeight="1" x14ac:dyDescent="0.25">
      <c r="A19" s="10" t="s">
        <v>13</v>
      </c>
      <c r="B19" s="11" t="s">
        <v>22</v>
      </c>
      <c r="C19" s="12" t="s">
        <v>100</v>
      </c>
      <c r="D19" s="10" t="s">
        <v>101</v>
      </c>
      <c r="E19" s="10" t="s">
        <v>17</v>
      </c>
      <c r="F19" s="11" t="s">
        <v>25</v>
      </c>
      <c r="G19" s="13" t="s">
        <v>102</v>
      </c>
      <c r="H19" s="13" t="s">
        <v>103</v>
      </c>
      <c r="I19" s="15">
        <v>42619</v>
      </c>
      <c r="J19" s="20">
        <f t="shared" ca="1" si="0"/>
        <v>45</v>
      </c>
      <c r="K19" s="10" t="s">
        <v>58</v>
      </c>
      <c r="L19" s="10"/>
      <c r="M19" s="10" t="s">
        <v>58</v>
      </c>
    </row>
    <row r="20" spans="1:13" ht="15" customHeight="1" x14ac:dyDescent="0.25">
      <c r="A20" s="10" t="s">
        <v>29</v>
      </c>
      <c r="B20" s="11" t="s">
        <v>22</v>
      </c>
      <c r="C20" s="12" t="s">
        <v>108</v>
      </c>
      <c r="D20" s="10" t="s">
        <v>109</v>
      </c>
      <c r="E20" s="10" t="s">
        <v>50</v>
      </c>
      <c r="F20" s="11" t="s">
        <v>25</v>
      </c>
      <c r="G20" s="13" t="s">
        <v>110</v>
      </c>
      <c r="H20" s="13" t="s">
        <v>41</v>
      </c>
      <c r="I20" s="15">
        <v>42621</v>
      </c>
      <c r="J20" s="20">
        <f t="shared" ca="1" si="0"/>
        <v>43</v>
      </c>
      <c r="K20" s="10" t="s">
        <v>35</v>
      </c>
      <c r="L20" s="10"/>
      <c r="M20" s="10" t="s">
        <v>35</v>
      </c>
    </row>
    <row r="21" spans="1:13" ht="15" customHeight="1" x14ac:dyDescent="0.25">
      <c r="A21" s="10" t="s">
        <v>59</v>
      </c>
      <c r="B21" s="11" t="s">
        <v>22</v>
      </c>
      <c r="C21" s="12" t="s">
        <v>111</v>
      </c>
      <c r="D21" s="10" t="s">
        <v>112</v>
      </c>
      <c r="E21" s="10" t="s">
        <v>50</v>
      </c>
      <c r="F21" s="11" t="s">
        <v>55</v>
      </c>
      <c r="G21" s="13" t="s">
        <v>41</v>
      </c>
      <c r="H21" s="13" t="s">
        <v>113</v>
      </c>
      <c r="I21" s="15">
        <v>42622</v>
      </c>
      <c r="J21" s="20">
        <f t="shared" ca="1" si="0"/>
        <v>42</v>
      </c>
      <c r="K21" s="10"/>
      <c r="L21" s="10" t="s">
        <v>114</v>
      </c>
      <c r="M21" s="10" t="s">
        <v>114</v>
      </c>
    </row>
    <row r="22" spans="1:13" ht="15" customHeight="1" x14ac:dyDescent="0.25">
      <c r="A22" s="10" t="s">
        <v>13</v>
      </c>
      <c r="B22" s="11" t="s">
        <v>14</v>
      </c>
      <c r="C22" s="12" t="s">
        <v>119</v>
      </c>
      <c r="D22" s="10" t="s">
        <v>120</v>
      </c>
      <c r="E22" s="10" t="s">
        <v>50</v>
      </c>
      <c r="F22" s="11" t="s">
        <v>18</v>
      </c>
      <c r="G22" s="13" t="s">
        <v>121</v>
      </c>
      <c r="H22" s="13" t="s">
        <v>95</v>
      </c>
      <c r="I22" s="15">
        <v>42622</v>
      </c>
      <c r="J22" s="20">
        <f t="shared" ca="1" si="0"/>
        <v>42</v>
      </c>
      <c r="K22" s="10"/>
      <c r="L22" s="10" t="s">
        <v>21</v>
      </c>
      <c r="M22" s="10" t="s">
        <v>21</v>
      </c>
    </row>
    <row r="23" spans="1:13" ht="15" customHeight="1" x14ac:dyDescent="0.25">
      <c r="A23" s="10" t="s">
        <v>29</v>
      </c>
      <c r="B23" s="11" t="s">
        <v>22</v>
      </c>
      <c r="C23" s="12" t="s">
        <v>122</v>
      </c>
      <c r="D23" s="10" t="s">
        <v>123</v>
      </c>
      <c r="E23" s="10" t="s">
        <v>68</v>
      </c>
      <c r="F23" s="11" t="s">
        <v>55</v>
      </c>
      <c r="G23" s="13" t="s">
        <v>124</v>
      </c>
      <c r="H23" s="13" t="s">
        <v>125</v>
      </c>
      <c r="I23" s="15">
        <v>42622</v>
      </c>
      <c r="J23" s="20">
        <f t="shared" ca="1" si="0"/>
        <v>42</v>
      </c>
      <c r="K23" s="10" t="s">
        <v>35</v>
      </c>
      <c r="L23" s="10"/>
      <c r="M23" s="10" t="s">
        <v>35</v>
      </c>
    </row>
    <row r="24" spans="1:13" ht="15" customHeight="1" x14ac:dyDescent="0.25">
      <c r="A24" s="10" t="s">
        <v>13</v>
      </c>
      <c r="B24" s="11" t="s">
        <v>22</v>
      </c>
      <c r="C24" s="12" t="s">
        <v>115</v>
      </c>
      <c r="D24" s="10" t="s">
        <v>116</v>
      </c>
      <c r="E24" s="10" t="s">
        <v>50</v>
      </c>
      <c r="F24" s="11" t="s">
        <v>25</v>
      </c>
      <c r="G24" s="13" t="s">
        <v>117</v>
      </c>
      <c r="H24" s="13" t="s">
        <v>118</v>
      </c>
      <c r="I24" s="15">
        <v>42622</v>
      </c>
      <c r="J24" s="20">
        <f t="shared" ca="1" si="0"/>
        <v>42</v>
      </c>
      <c r="K24" s="10" t="s">
        <v>28</v>
      </c>
      <c r="L24" s="10"/>
      <c r="M24" s="10" t="s">
        <v>28</v>
      </c>
    </row>
    <row r="25" spans="1:13" ht="15" customHeight="1" x14ac:dyDescent="0.25">
      <c r="A25" s="10" t="s">
        <v>13</v>
      </c>
      <c r="B25" s="11" t="s">
        <v>22</v>
      </c>
      <c r="C25" s="12" t="s">
        <v>126</v>
      </c>
      <c r="D25" s="10" t="s">
        <v>127</v>
      </c>
      <c r="E25" s="10" t="s">
        <v>50</v>
      </c>
      <c r="F25" s="11" t="s">
        <v>25</v>
      </c>
      <c r="G25" s="13" t="s">
        <v>128</v>
      </c>
      <c r="H25" s="13" t="s">
        <v>129</v>
      </c>
      <c r="I25" s="15">
        <v>42625</v>
      </c>
      <c r="J25" s="20">
        <f t="shared" ca="1" si="0"/>
        <v>39</v>
      </c>
      <c r="K25" s="10"/>
      <c r="L25" s="10"/>
      <c r="M25" s="10"/>
    </row>
    <row r="26" spans="1:13" ht="15" customHeight="1" x14ac:dyDescent="0.25">
      <c r="A26" s="10" t="s">
        <v>59</v>
      </c>
      <c r="B26" s="11" t="s">
        <v>22</v>
      </c>
      <c r="C26" s="12" t="s">
        <v>130</v>
      </c>
      <c r="D26" s="10" t="s">
        <v>131</v>
      </c>
      <c r="E26" s="10" t="s">
        <v>50</v>
      </c>
      <c r="F26" s="11" t="s">
        <v>55</v>
      </c>
      <c r="G26" s="13" t="s">
        <v>41</v>
      </c>
      <c r="H26" s="13" t="s">
        <v>113</v>
      </c>
      <c r="I26" s="15">
        <v>42626</v>
      </c>
      <c r="J26" s="20">
        <f t="shared" ca="1" si="0"/>
        <v>38</v>
      </c>
      <c r="K26" s="10"/>
      <c r="L26" s="10" t="s">
        <v>114</v>
      </c>
      <c r="M26" s="10" t="s">
        <v>114</v>
      </c>
    </row>
    <row r="27" spans="1:13" ht="15" customHeight="1" x14ac:dyDescent="0.25">
      <c r="A27" s="10" t="s">
        <v>13</v>
      </c>
      <c r="B27" s="11" t="s">
        <v>22</v>
      </c>
      <c r="C27" s="12" t="s">
        <v>136</v>
      </c>
      <c r="D27" s="10" t="s">
        <v>137</v>
      </c>
      <c r="E27" s="10" t="s">
        <v>62</v>
      </c>
      <c r="F27" s="11" t="s">
        <v>25</v>
      </c>
      <c r="G27" s="13" t="s">
        <v>138</v>
      </c>
      <c r="H27" s="13" t="s">
        <v>139</v>
      </c>
      <c r="I27" s="15">
        <v>42626</v>
      </c>
      <c r="J27" s="20">
        <f t="shared" ca="1" si="0"/>
        <v>38</v>
      </c>
      <c r="K27" s="10"/>
      <c r="L27" s="10" t="s">
        <v>87</v>
      </c>
      <c r="M27" s="10" t="s">
        <v>87</v>
      </c>
    </row>
    <row r="28" spans="1:13" ht="15" customHeight="1" x14ac:dyDescent="0.25">
      <c r="A28" s="10" t="s">
        <v>13</v>
      </c>
      <c r="B28" s="11" t="s">
        <v>22</v>
      </c>
      <c r="C28" s="12" t="s">
        <v>132</v>
      </c>
      <c r="D28" s="10" t="s">
        <v>133</v>
      </c>
      <c r="E28" s="10" t="s">
        <v>93</v>
      </c>
      <c r="F28" s="11" t="s">
        <v>55</v>
      </c>
      <c r="G28" s="13" t="s">
        <v>134</v>
      </c>
      <c r="H28" s="13" t="s">
        <v>135</v>
      </c>
      <c r="I28" s="15">
        <v>42626</v>
      </c>
      <c r="J28" s="20">
        <f t="shared" ca="1" si="0"/>
        <v>38</v>
      </c>
      <c r="K28" s="10" t="s">
        <v>65</v>
      </c>
      <c r="L28" s="10"/>
      <c r="M28" s="10" t="s">
        <v>65</v>
      </c>
    </row>
    <row r="29" spans="1:13" ht="15" customHeight="1" x14ac:dyDescent="0.25">
      <c r="A29" s="10" t="s">
        <v>13</v>
      </c>
      <c r="B29" s="11" t="s">
        <v>22</v>
      </c>
      <c r="C29" s="12" t="s">
        <v>148</v>
      </c>
      <c r="D29" s="10" t="s">
        <v>149</v>
      </c>
      <c r="E29" s="10" t="s">
        <v>62</v>
      </c>
      <c r="F29" s="11" t="s">
        <v>33</v>
      </c>
      <c r="G29" s="13" t="s">
        <v>150</v>
      </c>
      <c r="H29" s="13" t="s">
        <v>151</v>
      </c>
      <c r="I29" s="15">
        <v>42627</v>
      </c>
      <c r="J29" s="20">
        <f t="shared" ca="1" si="0"/>
        <v>37</v>
      </c>
      <c r="K29" s="10"/>
      <c r="L29" s="10" t="s">
        <v>152</v>
      </c>
      <c r="M29" s="10" t="s">
        <v>152</v>
      </c>
    </row>
    <row r="30" spans="1:13" ht="15" customHeight="1" x14ac:dyDescent="0.25">
      <c r="A30" s="10" t="s">
        <v>29</v>
      </c>
      <c r="B30" s="11" t="s">
        <v>22</v>
      </c>
      <c r="C30" s="12" t="s">
        <v>144</v>
      </c>
      <c r="D30" s="10" t="s">
        <v>145</v>
      </c>
      <c r="E30" s="10" t="s">
        <v>50</v>
      </c>
      <c r="F30" s="11" t="s">
        <v>55</v>
      </c>
      <c r="G30" s="13" t="s">
        <v>146</v>
      </c>
      <c r="H30" s="13" t="s">
        <v>147</v>
      </c>
      <c r="I30" s="15">
        <v>42627</v>
      </c>
      <c r="J30" s="20">
        <f t="shared" ca="1" si="0"/>
        <v>37</v>
      </c>
      <c r="K30" s="10" t="s">
        <v>35</v>
      </c>
      <c r="L30" s="10"/>
      <c r="M30" s="10" t="s">
        <v>35</v>
      </c>
    </row>
    <row r="31" spans="1:13" ht="15" customHeight="1" x14ac:dyDescent="0.25">
      <c r="A31" s="10" t="s">
        <v>13</v>
      </c>
      <c r="B31" s="11" t="s">
        <v>22</v>
      </c>
      <c r="C31" s="12" t="s">
        <v>140</v>
      </c>
      <c r="D31" s="10" t="s">
        <v>141</v>
      </c>
      <c r="E31" s="10" t="s">
        <v>50</v>
      </c>
      <c r="F31" s="11" t="s">
        <v>25</v>
      </c>
      <c r="G31" s="13" t="s">
        <v>142</v>
      </c>
      <c r="H31" s="13" t="s">
        <v>143</v>
      </c>
      <c r="I31" s="15">
        <v>42627</v>
      </c>
      <c r="J31" s="20">
        <f t="shared" ca="1" si="0"/>
        <v>37</v>
      </c>
      <c r="K31" s="10" t="s">
        <v>65</v>
      </c>
      <c r="L31" s="10"/>
      <c r="M31" s="10" t="s">
        <v>65</v>
      </c>
    </row>
    <row r="32" spans="1:13" ht="15" customHeight="1" x14ac:dyDescent="0.25">
      <c r="A32" s="10" t="s">
        <v>13</v>
      </c>
      <c r="B32" s="11" t="s">
        <v>22</v>
      </c>
      <c r="C32" s="12" t="s">
        <v>153</v>
      </c>
      <c r="D32" s="10" t="s">
        <v>154</v>
      </c>
      <c r="E32" s="10" t="s">
        <v>50</v>
      </c>
      <c r="F32" s="11" t="s">
        <v>155</v>
      </c>
      <c r="G32" s="13" t="s">
        <v>445</v>
      </c>
      <c r="H32" s="13" t="s">
        <v>41</v>
      </c>
      <c r="I32" s="15">
        <v>42628</v>
      </c>
      <c r="J32" s="20">
        <f t="shared" ca="1" si="0"/>
        <v>36</v>
      </c>
      <c r="K32" s="10"/>
      <c r="L32" s="10"/>
      <c r="M32" s="10"/>
    </row>
    <row r="33" spans="1:13" ht="15" customHeight="1" x14ac:dyDescent="0.25">
      <c r="A33" s="10" t="s">
        <v>29</v>
      </c>
      <c r="B33" s="11" t="s">
        <v>14</v>
      </c>
      <c r="C33" s="12" t="s">
        <v>156</v>
      </c>
      <c r="D33" s="10" t="s">
        <v>157</v>
      </c>
      <c r="E33" s="10" t="s">
        <v>93</v>
      </c>
      <c r="F33" s="11" t="s">
        <v>33</v>
      </c>
      <c r="G33" s="13" t="s">
        <v>158</v>
      </c>
      <c r="H33" s="10"/>
      <c r="I33" s="15">
        <v>42629</v>
      </c>
      <c r="J33" s="20">
        <f t="shared" ca="1" si="0"/>
        <v>35</v>
      </c>
      <c r="K33" s="10"/>
      <c r="L33" s="10" t="s">
        <v>35</v>
      </c>
      <c r="M33" s="10" t="s">
        <v>35</v>
      </c>
    </row>
    <row r="34" spans="1:13" ht="15" customHeight="1" x14ac:dyDescent="0.25">
      <c r="A34" s="10" t="s">
        <v>13</v>
      </c>
      <c r="B34" s="11" t="s">
        <v>14</v>
      </c>
      <c r="C34" s="12" t="s">
        <v>159</v>
      </c>
      <c r="D34" s="10" t="s">
        <v>160</v>
      </c>
      <c r="E34" s="10" t="s">
        <v>62</v>
      </c>
      <c r="F34" s="11" t="s">
        <v>18</v>
      </c>
      <c r="G34" s="13" t="s">
        <v>161</v>
      </c>
      <c r="H34" s="13" t="s">
        <v>162</v>
      </c>
      <c r="I34" s="15">
        <v>42629</v>
      </c>
      <c r="J34" s="20">
        <f t="shared" ref="J34:J65" ca="1" si="1">TODAY()-I34</f>
        <v>35</v>
      </c>
      <c r="K34" s="10"/>
      <c r="L34" s="10" t="s">
        <v>21</v>
      </c>
      <c r="M34" s="10" t="s">
        <v>21</v>
      </c>
    </row>
    <row r="35" spans="1:13" ht="15" customHeight="1" x14ac:dyDescent="0.25">
      <c r="A35" s="10" t="s">
        <v>13</v>
      </c>
      <c r="B35" s="11" t="s">
        <v>22</v>
      </c>
      <c r="C35" s="12" t="s">
        <v>163</v>
      </c>
      <c r="D35" s="10" t="s">
        <v>164</v>
      </c>
      <c r="E35" s="10" t="s">
        <v>62</v>
      </c>
      <c r="F35" s="11" t="s">
        <v>33</v>
      </c>
      <c r="G35" s="13" t="s">
        <v>165</v>
      </c>
      <c r="H35" s="13" t="s">
        <v>166</v>
      </c>
      <c r="I35" s="15">
        <v>42629</v>
      </c>
      <c r="J35" s="20">
        <f t="shared" ca="1" si="1"/>
        <v>35</v>
      </c>
      <c r="K35" s="10"/>
      <c r="L35" s="10" t="s">
        <v>152</v>
      </c>
      <c r="M35" s="10" t="s">
        <v>152</v>
      </c>
    </row>
    <row r="36" spans="1:13" ht="15" customHeight="1" x14ac:dyDescent="0.25">
      <c r="A36" s="10" t="s">
        <v>13</v>
      </c>
      <c r="B36" s="11" t="s">
        <v>22</v>
      </c>
      <c r="C36" s="12" t="s">
        <v>167</v>
      </c>
      <c r="D36" s="10" t="s">
        <v>168</v>
      </c>
      <c r="E36" s="10" t="s">
        <v>68</v>
      </c>
      <c r="F36" s="11" t="s">
        <v>55</v>
      </c>
      <c r="G36" s="13" t="s">
        <v>169</v>
      </c>
      <c r="H36" s="13" t="s">
        <v>170</v>
      </c>
      <c r="I36" s="15">
        <v>42634</v>
      </c>
      <c r="J36" s="20">
        <f t="shared" ca="1" si="1"/>
        <v>30</v>
      </c>
      <c r="K36" s="10" t="s">
        <v>65</v>
      </c>
      <c r="L36" s="10"/>
      <c r="M36" s="10" t="s">
        <v>65</v>
      </c>
    </row>
    <row r="37" spans="1:13" ht="15" customHeight="1" x14ac:dyDescent="0.25">
      <c r="A37" s="10" t="s">
        <v>13</v>
      </c>
      <c r="B37" s="11" t="s">
        <v>14</v>
      </c>
      <c r="C37" s="12" t="s">
        <v>179</v>
      </c>
      <c r="D37" s="10" t="s">
        <v>180</v>
      </c>
      <c r="E37" s="10" t="s">
        <v>68</v>
      </c>
      <c r="F37" s="11" t="s">
        <v>18</v>
      </c>
      <c r="G37" s="13" t="s">
        <v>181</v>
      </c>
      <c r="H37" s="13" t="s">
        <v>182</v>
      </c>
      <c r="I37" s="15">
        <v>42635</v>
      </c>
      <c r="J37" s="20">
        <f t="shared" ca="1" si="1"/>
        <v>29</v>
      </c>
      <c r="K37" s="10"/>
      <c r="L37" s="10" t="s">
        <v>152</v>
      </c>
      <c r="M37" s="10" t="s">
        <v>152</v>
      </c>
    </row>
    <row r="38" spans="1:13" ht="15" customHeight="1" x14ac:dyDescent="0.25">
      <c r="A38" s="10" t="s">
        <v>13</v>
      </c>
      <c r="B38" s="11" t="s">
        <v>22</v>
      </c>
      <c r="C38" s="12" t="s">
        <v>171</v>
      </c>
      <c r="D38" s="10" t="s">
        <v>172</v>
      </c>
      <c r="E38" s="10" t="s">
        <v>68</v>
      </c>
      <c r="F38" s="11" t="s">
        <v>25</v>
      </c>
      <c r="G38" s="13" t="s">
        <v>173</v>
      </c>
      <c r="H38" s="13" t="s">
        <v>174</v>
      </c>
      <c r="I38" s="15">
        <v>42635</v>
      </c>
      <c r="J38" s="20">
        <f t="shared" ca="1" si="1"/>
        <v>29</v>
      </c>
      <c r="K38" s="10" t="s">
        <v>28</v>
      </c>
      <c r="L38" s="10"/>
      <c r="M38" s="10" t="s">
        <v>28</v>
      </c>
    </row>
    <row r="39" spans="1:13" ht="15" customHeight="1" x14ac:dyDescent="0.25">
      <c r="A39" s="10" t="s">
        <v>29</v>
      </c>
      <c r="B39" s="11" t="s">
        <v>22</v>
      </c>
      <c r="C39" s="12" t="s">
        <v>175</v>
      </c>
      <c r="D39" s="10" t="s">
        <v>176</v>
      </c>
      <c r="E39" s="10" t="s">
        <v>17</v>
      </c>
      <c r="F39" s="11" t="s">
        <v>25</v>
      </c>
      <c r="G39" s="13" t="s">
        <v>177</v>
      </c>
      <c r="H39" s="13" t="s">
        <v>178</v>
      </c>
      <c r="I39" s="15">
        <v>42635</v>
      </c>
      <c r="J39" s="20">
        <f t="shared" ca="1" si="1"/>
        <v>29</v>
      </c>
      <c r="K39" s="10" t="s">
        <v>35</v>
      </c>
      <c r="L39" s="10"/>
      <c r="M39" s="10" t="s">
        <v>35</v>
      </c>
    </row>
    <row r="40" spans="1:13" ht="15" customHeight="1" x14ac:dyDescent="0.25">
      <c r="A40" s="10" t="s">
        <v>29</v>
      </c>
      <c r="B40" s="11" t="s">
        <v>36</v>
      </c>
      <c r="C40" s="12" t="s">
        <v>187</v>
      </c>
      <c r="D40" s="10" t="s">
        <v>188</v>
      </c>
      <c r="E40" s="10" t="s">
        <v>32</v>
      </c>
      <c r="F40" s="11" t="s">
        <v>189</v>
      </c>
      <c r="G40" s="13" t="s">
        <v>190</v>
      </c>
      <c r="H40" s="13" t="s">
        <v>57</v>
      </c>
      <c r="I40" s="15">
        <v>42636</v>
      </c>
      <c r="J40" s="20">
        <f t="shared" ca="1" si="1"/>
        <v>28</v>
      </c>
      <c r="K40" s="10"/>
      <c r="L40" s="10" t="s">
        <v>42</v>
      </c>
      <c r="M40" s="10" t="s">
        <v>42</v>
      </c>
    </row>
    <row r="41" spans="1:13" ht="15" customHeight="1" x14ac:dyDescent="0.25">
      <c r="A41" s="10" t="s">
        <v>29</v>
      </c>
      <c r="B41" s="11" t="s">
        <v>22</v>
      </c>
      <c r="C41" s="12" t="s">
        <v>183</v>
      </c>
      <c r="D41" s="10" t="s">
        <v>184</v>
      </c>
      <c r="E41" s="10" t="s">
        <v>68</v>
      </c>
      <c r="F41" s="11" t="s">
        <v>25</v>
      </c>
      <c r="G41" s="13" t="s">
        <v>185</v>
      </c>
      <c r="H41" s="13" t="s">
        <v>186</v>
      </c>
      <c r="I41" s="15">
        <v>42636</v>
      </c>
      <c r="J41" s="20">
        <f t="shared" ca="1" si="1"/>
        <v>28</v>
      </c>
      <c r="K41" s="10" t="s">
        <v>35</v>
      </c>
      <c r="L41" s="10"/>
      <c r="M41" s="10" t="s">
        <v>35</v>
      </c>
    </row>
    <row r="42" spans="1:13" ht="15" customHeight="1" x14ac:dyDescent="0.25">
      <c r="A42" s="10" t="s">
        <v>13</v>
      </c>
      <c r="B42" s="11" t="s">
        <v>22</v>
      </c>
      <c r="C42" s="12" t="s">
        <v>191</v>
      </c>
      <c r="D42" s="10" t="s">
        <v>192</v>
      </c>
      <c r="E42" s="10" t="s">
        <v>17</v>
      </c>
      <c r="F42" s="11" t="s">
        <v>33</v>
      </c>
      <c r="G42" s="13" t="s">
        <v>193</v>
      </c>
      <c r="H42" s="13" t="s">
        <v>194</v>
      </c>
      <c r="I42" s="15">
        <v>42639</v>
      </c>
      <c r="J42" s="20">
        <f t="shared" ca="1" si="1"/>
        <v>25</v>
      </c>
      <c r="K42" s="10" t="s">
        <v>28</v>
      </c>
      <c r="L42" s="10"/>
      <c r="M42" s="10" t="s">
        <v>28</v>
      </c>
    </row>
    <row r="43" spans="1:13" ht="15" customHeight="1" x14ac:dyDescent="0.25">
      <c r="A43" s="10" t="s">
        <v>29</v>
      </c>
      <c r="B43" s="11" t="s">
        <v>22</v>
      </c>
      <c r="C43" s="12" t="s">
        <v>195</v>
      </c>
      <c r="D43" s="10" t="s">
        <v>196</v>
      </c>
      <c r="E43" s="10" t="s">
        <v>50</v>
      </c>
      <c r="F43" s="11" t="s">
        <v>33</v>
      </c>
      <c r="G43" s="13" t="s">
        <v>197</v>
      </c>
      <c r="H43" s="13" t="s">
        <v>198</v>
      </c>
      <c r="I43" s="15">
        <v>42639</v>
      </c>
      <c r="J43" s="20">
        <f t="shared" ca="1" si="1"/>
        <v>25</v>
      </c>
      <c r="K43" s="10" t="s">
        <v>35</v>
      </c>
      <c r="L43" s="10"/>
      <c r="M43" s="10" t="s">
        <v>35</v>
      </c>
    </row>
    <row r="44" spans="1:13" ht="15" customHeight="1" x14ac:dyDescent="0.25">
      <c r="A44" s="10" t="s">
        <v>13</v>
      </c>
      <c r="B44" s="11" t="s">
        <v>22</v>
      </c>
      <c r="C44" s="12" t="s">
        <v>204</v>
      </c>
      <c r="D44" s="10" t="s">
        <v>447</v>
      </c>
      <c r="E44" s="10" t="s">
        <v>68</v>
      </c>
      <c r="F44" s="11" t="s">
        <v>55</v>
      </c>
      <c r="G44" s="13" t="s">
        <v>205</v>
      </c>
      <c r="H44" s="13" t="s">
        <v>82</v>
      </c>
      <c r="I44" s="15">
        <v>42641</v>
      </c>
      <c r="J44" s="20">
        <f t="shared" ca="1" si="1"/>
        <v>23</v>
      </c>
      <c r="K44" s="10" t="s">
        <v>65</v>
      </c>
      <c r="L44" s="10"/>
      <c r="M44" s="10" t="s">
        <v>65</v>
      </c>
    </row>
    <row r="45" spans="1:13" ht="15" customHeight="1" x14ac:dyDescent="0.25">
      <c r="A45" s="10" t="s">
        <v>13</v>
      </c>
      <c r="B45" s="11" t="s">
        <v>22</v>
      </c>
      <c r="C45" s="12" t="s">
        <v>200</v>
      </c>
      <c r="D45" s="10" t="s">
        <v>201</v>
      </c>
      <c r="E45" s="10" t="s">
        <v>68</v>
      </c>
      <c r="F45" s="11" t="s">
        <v>25</v>
      </c>
      <c r="G45" s="13" t="s">
        <v>202</v>
      </c>
      <c r="H45" s="13" t="s">
        <v>203</v>
      </c>
      <c r="I45" s="15">
        <v>42641</v>
      </c>
      <c r="J45" s="20">
        <f t="shared" ca="1" si="1"/>
        <v>23</v>
      </c>
      <c r="K45" s="10" t="s">
        <v>65</v>
      </c>
      <c r="L45" s="10"/>
      <c r="M45" s="10" t="s">
        <v>65</v>
      </c>
    </row>
    <row r="46" spans="1:13" ht="15" customHeight="1" x14ac:dyDescent="0.25">
      <c r="A46" s="10" t="s">
        <v>29</v>
      </c>
      <c r="B46" s="11" t="s">
        <v>36</v>
      </c>
      <c r="C46" s="12" t="s">
        <v>209</v>
      </c>
      <c r="D46" s="10" t="s">
        <v>210</v>
      </c>
      <c r="E46" s="10" t="s">
        <v>32</v>
      </c>
      <c r="F46" s="11" t="s">
        <v>189</v>
      </c>
      <c r="G46" s="13" t="s">
        <v>211</v>
      </c>
      <c r="H46" s="13" t="s">
        <v>212</v>
      </c>
      <c r="I46" s="15">
        <v>42642</v>
      </c>
      <c r="J46" s="20">
        <f t="shared" ca="1" si="1"/>
        <v>22</v>
      </c>
      <c r="K46" s="10"/>
      <c r="L46" s="10" t="s">
        <v>42</v>
      </c>
      <c r="M46" s="10" t="s">
        <v>42</v>
      </c>
    </row>
    <row r="47" spans="1:13" ht="15" customHeight="1" x14ac:dyDescent="0.25">
      <c r="A47" s="10" t="s">
        <v>29</v>
      </c>
      <c r="B47" s="11" t="s">
        <v>22</v>
      </c>
      <c r="C47" s="12" t="s">
        <v>206</v>
      </c>
      <c r="D47" s="10" t="s">
        <v>207</v>
      </c>
      <c r="E47" s="10" t="s">
        <v>93</v>
      </c>
      <c r="F47" s="11" t="s">
        <v>55</v>
      </c>
      <c r="G47" s="13" t="s">
        <v>208</v>
      </c>
      <c r="H47" s="13" t="s">
        <v>41</v>
      </c>
      <c r="I47" s="15">
        <v>42642</v>
      </c>
      <c r="J47" s="20">
        <f t="shared" ca="1" si="1"/>
        <v>22</v>
      </c>
      <c r="K47" s="10" t="s">
        <v>35</v>
      </c>
      <c r="L47" s="10"/>
      <c r="M47" s="10" t="s">
        <v>35</v>
      </c>
    </row>
    <row r="48" spans="1:13" ht="15" customHeight="1" x14ac:dyDescent="0.25">
      <c r="A48" s="10" t="s">
        <v>13</v>
      </c>
      <c r="B48" s="11" t="s">
        <v>22</v>
      </c>
      <c r="C48" s="12" t="s">
        <v>213</v>
      </c>
      <c r="D48" s="10" t="s">
        <v>214</v>
      </c>
      <c r="E48" s="10" t="s">
        <v>50</v>
      </c>
      <c r="F48" s="11" t="s">
        <v>55</v>
      </c>
      <c r="G48" s="13" t="s">
        <v>215</v>
      </c>
      <c r="H48" s="13" t="s">
        <v>216</v>
      </c>
      <c r="I48" s="15">
        <v>42643</v>
      </c>
      <c r="J48" s="20">
        <f t="shared" ca="1" si="1"/>
        <v>21</v>
      </c>
      <c r="K48" s="10" t="s">
        <v>65</v>
      </c>
      <c r="L48" s="10"/>
      <c r="M48" s="10" t="s">
        <v>65</v>
      </c>
    </row>
    <row r="49" spans="1:13" ht="15" customHeight="1" x14ac:dyDescent="0.25">
      <c r="A49" s="10" t="s">
        <v>29</v>
      </c>
      <c r="B49" s="11" t="s">
        <v>22</v>
      </c>
      <c r="C49" s="12" t="s">
        <v>217</v>
      </c>
      <c r="D49" s="10" t="s">
        <v>446</v>
      </c>
      <c r="E49" s="10" t="s">
        <v>93</v>
      </c>
      <c r="F49" s="11" t="s">
        <v>33</v>
      </c>
      <c r="G49" s="13" t="s">
        <v>218</v>
      </c>
      <c r="H49" s="13" t="s">
        <v>219</v>
      </c>
      <c r="I49" s="15">
        <v>42643</v>
      </c>
      <c r="J49" s="20">
        <f t="shared" ca="1" si="1"/>
        <v>21</v>
      </c>
      <c r="K49" s="10" t="s">
        <v>35</v>
      </c>
      <c r="L49" s="10"/>
      <c r="M49" s="10" t="s">
        <v>35</v>
      </c>
    </row>
    <row r="50" spans="1:13" ht="15" customHeight="1" x14ac:dyDescent="0.25">
      <c r="A50" s="10" t="s">
        <v>29</v>
      </c>
      <c r="B50" s="11" t="s">
        <v>36</v>
      </c>
      <c r="C50" s="12" t="s">
        <v>225</v>
      </c>
      <c r="D50" s="10" t="s">
        <v>226</v>
      </c>
      <c r="E50" s="10" t="s">
        <v>32</v>
      </c>
      <c r="F50" s="11" t="s">
        <v>222</v>
      </c>
      <c r="G50" s="13" t="s">
        <v>227</v>
      </c>
      <c r="H50" s="13" t="s">
        <v>41</v>
      </c>
      <c r="I50" s="15">
        <v>42646</v>
      </c>
      <c r="J50" s="20">
        <f t="shared" ca="1" si="1"/>
        <v>18</v>
      </c>
      <c r="K50" s="10"/>
      <c r="L50" s="10" t="s">
        <v>42</v>
      </c>
      <c r="M50" s="10" t="s">
        <v>42</v>
      </c>
    </row>
    <row r="51" spans="1:13" ht="15" customHeight="1" x14ac:dyDescent="0.25">
      <c r="A51" s="10" t="s">
        <v>29</v>
      </c>
      <c r="B51" s="11" t="s">
        <v>36</v>
      </c>
      <c r="C51" s="12" t="s">
        <v>220</v>
      </c>
      <c r="D51" s="10" t="s">
        <v>221</v>
      </c>
      <c r="E51" s="10" t="s">
        <v>32</v>
      </c>
      <c r="F51" s="11" t="s">
        <v>222</v>
      </c>
      <c r="G51" s="13" t="s">
        <v>223</v>
      </c>
      <c r="H51" s="13" t="s">
        <v>224</v>
      </c>
      <c r="I51" s="15">
        <v>42646</v>
      </c>
      <c r="J51" s="20">
        <f t="shared" ca="1" si="1"/>
        <v>18</v>
      </c>
      <c r="K51" s="10"/>
      <c r="L51" s="10" t="s">
        <v>42</v>
      </c>
      <c r="M51" s="10" t="s">
        <v>42</v>
      </c>
    </row>
    <row r="52" spans="1:13" ht="15" customHeight="1" x14ac:dyDescent="0.25">
      <c r="A52" s="10" t="s">
        <v>29</v>
      </c>
      <c r="B52" s="11" t="s">
        <v>22</v>
      </c>
      <c r="C52" s="12" t="s">
        <v>228</v>
      </c>
      <c r="D52" s="10" t="s">
        <v>229</v>
      </c>
      <c r="E52" s="10" t="s">
        <v>50</v>
      </c>
      <c r="F52" s="11" t="s">
        <v>55</v>
      </c>
      <c r="G52" s="13" t="s">
        <v>230</v>
      </c>
      <c r="H52" s="13" t="s">
        <v>203</v>
      </c>
      <c r="I52" s="15">
        <v>42646</v>
      </c>
      <c r="J52" s="20">
        <f t="shared" ca="1" si="1"/>
        <v>18</v>
      </c>
      <c r="K52" s="10" t="s">
        <v>35</v>
      </c>
      <c r="L52" s="10"/>
      <c r="M52" s="10" t="s">
        <v>35</v>
      </c>
    </row>
    <row r="53" spans="1:13" ht="15" customHeight="1" x14ac:dyDescent="0.25">
      <c r="A53" s="10" t="s">
        <v>29</v>
      </c>
      <c r="B53" s="11" t="s">
        <v>22</v>
      </c>
      <c r="C53" s="12" t="s">
        <v>231</v>
      </c>
      <c r="D53" s="10" t="s">
        <v>232</v>
      </c>
      <c r="E53" s="10" t="s">
        <v>50</v>
      </c>
      <c r="F53" s="11" t="s">
        <v>55</v>
      </c>
      <c r="G53" s="13" t="s">
        <v>233</v>
      </c>
      <c r="H53" s="13" t="s">
        <v>78</v>
      </c>
      <c r="I53" s="15">
        <v>42647</v>
      </c>
      <c r="J53" s="20">
        <f t="shared" ca="1" si="1"/>
        <v>17</v>
      </c>
      <c r="K53" s="10" t="s">
        <v>35</v>
      </c>
      <c r="L53" s="10"/>
      <c r="M53" s="10" t="s">
        <v>35</v>
      </c>
    </row>
    <row r="54" spans="1:13" ht="15" customHeight="1" x14ac:dyDescent="0.25">
      <c r="A54" s="10" t="s">
        <v>13</v>
      </c>
      <c r="B54" s="11" t="s">
        <v>14</v>
      </c>
      <c r="C54" s="12" t="s">
        <v>245</v>
      </c>
      <c r="D54" s="10" t="s">
        <v>246</v>
      </c>
      <c r="E54" s="10" t="s">
        <v>62</v>
      </c>
      <c r="F54" s="11" t="s">
        <v>33</v>
      </c>
      <c r="G54" s="13" t="s">
        <v>247</v>
      </c>
      <c r="H54" s="13" t="s">
        <v>248</v>
      </c>
      <c r="I54" s="15">
        <v>42648</v>
      </c>
      <c r="J54" s="20">
        <f t="shared" ca="1" si="1"/>
        <v>16</v>
      </c>
      <c r="K54" s="10"/>
      <c r="L54" s="10" t="s">
        <v>152</v>
      </c>
      <c r="M54" s="10" t="s">
        <v>152</v>
      </c>
    </row>
    <row r="55" spans="1:13" ht="15" customHeight="1" x14ac:dyDescent="0.25">
      <c r="A55" s="10" t="s">
        <v>13</v>
      </c>
      <c r="B55" s="11" t="s">
        <v>14</v>
      </c>
      <c r="C55" s="12" t="s">
        <v>235</v>
      </c>
      <c r="D55" s="10" t="s">
        <v>236</v>
      </c>
      <c r="E55" s="10" t="s">
        <v>62</v>
      </c>
      <c r="F55" s="11" t="s">
        <v>189</v>
      </c>
      <c r="G55" s="13" t="s">
        <v>237</v>
      </c>
      <c r="H55" s="13" t="s">
        <v>95</v>
      </c>
      <c r="I55" s="15">
        <v>42648</v>
      </c>
      <c r="J55" s="20">
        <f t="shared" ca="1" si="1"/>
        <v>16</v>
      </c>
      <c r="K55" s="10"/>
      <c r="L55" s="10" t="s">
        <v>21</v>
      </c>
      <c r="M55" s="10" t="s">
        <v>21</v>
      </c>
    </row>
    <row r="56" spans="1:13" ht="15" customHeight="1" x14ac:dyDescent="0.25">
      <c r="A56" s="10" t="s">
        <v>13</v>
      </c>
      <c r="B56" s="11" t="s">
        <v>22</v>
      </c>
      <c r="C56" s="12" t="s">
        <v>238</v>
      </c>
      <c r="D56" s="10" t="s">
        <v>239</v>
      </c>
      <c r="E56" s="10" t="s">
        <v>93</v>
      </c>
      <c r="F56" s="11" t="s">
        <v>55</v>
      </c>
      <c r="G56" s="13" t="s">
        <v>240</v>
      </c>
      <c r="H56" s="13" t="s">
        <v>166</v>
      </c>
      <c r="I56" s="15">
        <v>42648</v>
      </c>
      <c r="J56" s="20">
        <f t="shared" ca="1" si="1"/>
        <v>16</v>
      </c>
      <c r="K56" s="10" t="s">
        <v>65</v>
      </c>
      <c r="L56" s="10"/>
      <c r="M56" s="10" t="s">
        <v>65</v>
      </c>
    </row>
    <row r="57" spans="1:13" ht="15" customHeight="1" x14ac:dyDescent="0.25">
      <c r="A57" s="10" t="s">
        <v>13</v>
      </c>
      <c r="B57" s="11" t="s">
        <v>22</v>
      </c>
      <c r="C57" s="12" t="s">
        <v>241</v>
      </c>
      <c r="D57" s="10" t="s">
        <v>242</v>
      </c>
      <c r="E57" s="10" t="s">
        <v>68</v>
      </c>
      <c r="F57" s="11" t="s">
        <v>55</v>
      </c>
      <c r="G57" s="13" t="s">
        <v>243</v>
      </c>
      <c r="H57" s="13" t="s">
        <v>244</v>
      </c>
      <c r="I57" s="15">
        <v>42648</v>
      </c>
      <c r="J57" s="20">
        <f t="shared" ca="1" si="1"/>
        <v>16</v>
      </c>
      <c r="K57" s="10" t="s">
        <v>65</v>
      </c>
      <c r="L57" s="10"/>
      <c r="M57" s="10" t="s">
        <v>65</v>
      </c>
    </row>
    <row r="58" spans="1:13" ht="15" customHeight="1" x14ac:dyDescent="0.25">
      <c r="A58" s="10" t="s">
        <v>13</v>
      </c>
      <c r="B58" s="11" t="s">
        <v>22</v>
      </c>
      <c r="C58" s="12" t="s">
        <v>258</v>
      </c>
      <c r="D58" s="10" t="s">
        <v>259</v>
      </c>
      <c r="E58" s="10" t="s">
        <v>17</v>
      </c>
      <c r="F58" s="11" t="s">
        <v>55</v>
      </c>
      <c r="G58" s="13" t="s">
        <v>260</v>
      </c>
      <c r="H58" s="13" t="s">
        <v>95</v>
      </c>
      <c r="I58" s="15">
        <v>42649</v>
      </c>
      <c r="J58" s="20">
        <f t="shared" ca="1" si="1"/>
        <v>15</v>
      </c>
      <c r="K58" s="10"/>
      <c r="L58" s="10" t="s">
        <v>152</v>
      </c>
      <c r="M58" s="10" t="s">
        <v>152</v>
      </c>
    </row>
    <row r="59" spans="1:13" ht="15" customHeight="1" x14ac:dyDescent="0.25">
      <c r="A59" s="10" t="s">
        <v>13</v>
      </c>
      <c r="B59" s="11" t="s">
        <v>22</v>
      </c>
      <c r="C59" s="12" t="s">
        <v>255</v>
      </c>
      <c r="D59" s="10" t="s">
        <v>256</v>
      </c>
      <c r="E59" s="10" t="s">
        <v>50</v>
      </c>
      <c r="F59" s="11" t="s">
        <v>25</v>
      </c>
      <c r="G59" s="13" t="s">
        <v>257</v>
      </c>
      <c r="H59" s="13" t="s">
        <v>95</v>
      </c>
      <c r="I59" s="15">
        <v>42649</v>
      </c>
      <c r="J59" s="20">
        <f t="shared" ca="1" si="1"/>
        <v>15</v>
      </c>
      <c r="K59" s="10" t="s">
        <v>65</v>
      </c>
      <c r="L59" s="10"/>
      <c r="M59" s="10" t="s">
        <v>65</v>
      </c>
    </row>
    <row r="60" spans="1:13" ht="15" customHeight="1" x14ac:dyDescent="0.25">
      <c r="A60" s="10" t="s">
        <v>13</v>
      </c>
      <c r="B60" s="11" t="s">
        <v>22</v>
      </c>
      <c r="C60" s="12" t="s">
        <v>252</v>
      </c>
      <c r="D60" s="10" t="s">
        <v>253</v>
      </c>
      <c r="E60" s="10" t="s">
        <v>17</v>
      </c>
      <c r="F60" s="11" t="s">
        <v>33</v>
      </c>
      <c r="G60" s="13" t="s">
        <v>254</v>
      </c>
      <c r="H60" s="13" t="s">
        <v>95</v>
      </c>
      <c r="I60" s="15">
        <v>42649</v>
      </c>
      <c r="J60" s="20">
        <f t="shared" ca="1" si="1"/>
        <v>15</v>
      </c>
      <c r="K60" s="10" t="s">
        <v>28</v>
      </c>
      <c r="L60" s="10"/>
      <c r="M60" s="10" t="s">
        <v>28</v>
      </c>
    </row>
    <row r="61" spans="1:13" ht="15" customHeight="1" x14ac:dyDescent="0.25">
      <c r="A61" s="10" t="s">
        <v>13</v>
      </c>
      <c r="B61" s="11" t="s">
        <v>22</v>
      </c>
      <c r="C61" s="12" t="s">
        <v>249</v>
      </c>
      <c r="D61" s="10" t="s">
        <v>250</v>
      </c>
      <c r="E61" s="10" t="s">
        <v>17</v>
      </c>
      <c r="F61" s="11" t="s">
        <v>33</v>
      </c>
      <c r="G61" s="13" t="s">
        <v>251</v>
      </c>
      <c r="H61" s="13" t="s">
        <v>95</v>
      </c>
      <c r="I61" s="15">
        <v>42649</v>
      </c>
      <c r="J61" s="20">
        <f t="shared" ca="1" si="1"/>
        <v>15</v>
      </c>
      <c r="K61" s="10" t="s">
        <v>28</v>
      </c>
      <c r="L61" s="10"/>
      <c r="M61" s="10" t="s">
        <v>28</v>
      </c>
    </row>
    <row r="62" spans="1:13" ht="15" customHeight="1" x14ac:dyDescent="0.25">
      <c r="A62" s="10" t="s">
        <v>13</v>
      </c>
      <c r="B62" s="11" t="s">
        <v>22</v>
      </c>
      <c r="C62" s="12" t="s">
        <v>276</v>
      </c>
      <c r="D62" s="10" t="s">
        <v>277</v>
      </c>
      <c r="E62" s="10" t="s">
        <v>62</v>
      </c>
      <c r="F62" s="11" t="s">
        <v>25</v>
      </c>
      <c r="G62" s="13" t="s">
        <v>278</v>
      </c>
      <c r="H62" s="13" t="s">
        <v>279</v>
      </c>
      <c r="I62" s="15">
        <v>42653</v>
      </c>
      <c r="J62" s="20">
        <f t="shared" ca="1" si="1"/>
        <v>11</v>
      </c>
      <c r="K62" s="10"/>
      <c r="L62" s="10" t="s">
        <v>114</v>
      </c>
      <c r="M62" s="10" t="s">
        <v>114</v>
      </c>
    </row>
    <row r="63" spans="1:13" ht="15" customHeight="1" x14ac:dyDescent="0.25">
      <c r="A63" s="10" t="s">
        <v>29</v>
      </c>
      <c r="B63" s="11" t="s">
        <v>22</v>
      </c>
      <c r="C63" s="12" t="s">
        <v>274</v>
      </c>
      <c r="D63" s="10" t="s">
        <v>275</v>
      </c>
      <c r="E63" s="10" t="s">
        <v>17</v>
      </c>
      <c r="F63" s="11" t="s">
        <v>33</v>
      </c>
      <c r="G63" s="13" t="s">
        <v>234</v>
      </c>
      <c r="H63" s="13" t="s">
        <v>41</v>
      </c>
      <c r="I63" s="15">
        <v>42653</v>
      </c>
      <c r="J63" s="20">
        <f t="shared" ca="1" si="1"/>
        <v>11</v>
      </c>
      <c r="K63" s="10" t="s">
        <v>35</v>
      </c>
      <c r="L63" s="10"/>
      <c r="M63" s="10" t="s">
        <v>35</v>
      </c>
    </row>
    <row r="64" spans="1:13" ht="15" customHeight="1" x14ac:dyDescent="0.25">
      <c r="A64" s="10" t="s">
        <v>13</v>
      </c>
      <c r="B64" s="11" t="s">
        <v>22</v>
      </c>
      <c r="C64" s="12" t="s">
        <v>261</v>
      </c>
      <c r="D64" s="10" t="s">
        <v>262</v>
      </c>
      <c r="E64" s="10" t="s">
        <v>93</v>
      </c>
      <c r="F64" s="11" t="s">
        <v>25</v>
      </c>
      <c r="G64" s="13" t="s">
        <v>263</v>
      </c>
      <c r="H64" s="13" t="s">
        <v>41</v>
      </c>
      <c r="I64" s="15">
        <v>42653</v>
      </c>
      <c r="J64" s="20">
        <f t="shared" ca="1" si="1"/>
        <v>11</v>
      </c>
      <c r="K64" s="10"/>
      <c r="L64" s="10"/>
      <c r="M64" s="10"/>
    </row>
    <row r="65" spans="1:13" ht="15" customHeight="1" x14ac:dyDescent="0.25">
      <c r="A65" s="10" t="s">
        <v>13</v>
      </c>
      <c r="B65" s="11" t="s">
        <v>22</v>
      </c>
      <c r="C65" s="12" t="s">
        <v>264</v>
      </c>
      <c r="D65" s="10" t="s">
        <v>265</v>
      </c>
      <c r="E65" s="10" t="s">
        <v>50</v>
      </c>
      <c r="F65" s="11" t="s">
        <v>55</v>
      </c>
      <c r="G65" s="13" t="s">
        <v>266</v>
      </c>
      <c r="H65" s="13" t="s">
        <v>41</v>
      </c>
      <c r="I65" s="15">
        <v>42653</v>
      </c>
      <c r="J65" s="20">
        <f t="shared" ca="1" si="1"/>
        <v>11</v>
      </c>
      <c r="K65" s="10" t="s">
        <v>65</v>
      </c>
      <c r="L65" s="10"/>
      <c r="M65" s="10" t="s">
        <v>65</v>
      </c>
    </row>
    <row r="66" spans="1:13" ht="15" customHeight="1" x14ac:dyDescent="0.25">
      <c r="A66" s="10" t="s">
        <v>29</v>
      </c>
      <c r="B66" s="11" t="s">
        <v>22</v>
      </c>
      <c r="C66" s="12" t="s">
        <v>270</v>
      </c>
      <c r="D66" s="10" t="s">
        <v>271</v>
      </c>
      <c r="E66" s="10" t="s">
        <v>68</v>
      </c>
      <c r="F66" s="11" t="s">
        <v>25</v>
      </c>
      <c r="G66" s="13" t="s">
        <v>272</v>
      </c>
      <c r="H66" s="13" t="s">
        <v>273</v>
      </c>
      <c r="I66" s="15">
        <v>42653</v>
      </c>
      <c r="J66" s="20">
        <f t="shared" ref="J66:J97" ca="1" si="2">TODAY()-I66</f>
        <v>11</v>
      </c>
      <c r="K66" s="10" t="s">
        <v>35</v>
      </c>
      <c r="L66" s="10"/>
      <c r="M66" s="10" t="s">
        <v>35</v>
      </c>
    </row>
    <row r="67" spans="1:13" ht="15" customHeight="1" x14ac:dyDescent="0.25">
      <c r="A67" s="10" t="s">
        <v>13</v>
      </c>
      <c r="B67" s="11" t="s">
        <v>22</v>
      </c>
      <c r="C67" s="12" t="s">
        <v>267</v>
      </c>
      <c r="D67" s="10" t="s">
        <v>268</v>
      </c>
      <c r="E67" s="10" t="s">
        <v>68</v>
      </c>
      <c r="F67" s="11" t="s">
        <v>25</v>
      </c>
      <c r="G67" s="13" t="s">
        <v>269</v>
      </c>
      <c r="H67" s="13" t="s">
        <v>41</v>
      </c>
      <c r="I67" s="15">
        <v>42653</v>
      </c>
      <c r="J67" s="20">
        <f t="shared" ca="1" si="2"/>
        <v>11</v>
      </c>
      <c r="K67" s="10"/>
      <c r="L67" s="10"/>
      <c r="M67" s="10"/>
    </row>
    <row r="68" spans="1:13" ht="15" customHeight="1" x14ac:dyDescent="0.25">
      <c r="A68" s="10" t="s">
        <v>13</v>
      </c>
      <c r="B68" s="11" t="s">
        <v>22</v>
      </c>
      <c r="C68" s="12" t="s">
        <v>295</v>
      </c>
      <c r="D68" s="10" t="s">
        <v>296</v>
      </c>
      <c r="E68" s="10" t="s">
        <v>17</v>
      </c>
      <c r="F68" s="11" t="s">
        <v>199</v>
      </c>
      <c r="G68" s="13" t="s">
        <v>408</v>
      </c>
      <c r="H68" s="13" t="s">
        <v>297</v>
      </c>
      <c r="I68" s="15">
        <v>42654</v>
      </c>
      <c r="J68" s="20">
        <f t="shared" ca="1" si="2"/>
        <v>10</v>
      </c>
      <c r="K68" s="10"/>
      <c r="L68" s="10" t="s">
        <v>152</v>
      </c>
      <c r="M68" s="10" t="s">
        <v>152</v>
      </c>
    </row>
    <row r="69" spans="1:13" ht="15" customHeight="1" x14ac:dyDescent="0.25">
      <c r="A69" s="10" t="s">
        <v>29</v>
      </c>
      <c r="B69" s="11" t="s">
        <v>36</v>
      </c>
      <c r="C69" s="12" t="s">
        <v>291</v>
      </c>
      <c r="D69" s="10" t="s">
        <v>292</v>
      </c>
      <c r="E69" s="10" t="s">
        <v>39</v>
      </c>
      <c r="F69" s="11" t="s">
        <v>189</v>
      </c>
      <c r="G69" s="13" t="s">
        <v>293</v>
      </c>
      <c r="H69" s="13" t="s">
        <v>294</v>
      </c>
      <c r="I69" s="15">
        <v>42654</v>
      </c>
      <c r="J69" s="20">
        <f t="shared" ca="1" si="2"/>
        <v>10</v>
      </c>
      <c r="K69" s="10"/>
      <c r="L69" s="10" t="s">
        <v>42</v>
      </c>
      <c r="M69" s="10" t="s">
        <v>42</v>
      </c>
    </row>
    <row r="70" spans="1:13" ht="15" customHeight="1" x14ac:dyDescent="0.25">
      <c r="A70" s="10" t="s">
        <v>13</v>
      </c>
      <c r="B70" s="11" t="s">
        <v>22</v>
      </c>
      <c r="C70" s="12" t="s">
        <v>298</v>
      </c>
      <c r="D70" s="10" t="s">
        <v>299</v>
      </c>
      <c r="E70" s="10" t="s">
        <v>50</v>
      </c>
      <c r="F70" s="11" t="s">
        <v>155</v>
      </c>
      <c r="G70" s="13" t="s">
        <v>443</v>
      </c>
      <c r="H70" s="13" t="s">
        <v>41</v>
      </c>
      <c r="I70" s="15">
        <v>42654</v>
      </c>
      <c r="J70" s="20">
        <f t="shared" ca="1" si="2"/>
        <v>10</v>
      </c>
      <c r="K70" s="10" t="s">
        <v>65</v>
      </c>
      <c r="L70" s="10"/>
      <c r="M70" s="10" t="s">
        <v>65</v>
      </c>
    </row>
    <row r="71" spans="1:13" ht="15" customHeight="1" x14ac:dyDescent="0.25">
      <c r="A71" s="10" t="s">
        <v>13</v>
      </c>
      <c r="B71" s="11" t="s">
        <v>22</v>
      </c>
      <c r="C71" s="12" t="s">
        <v>284</v>
      </c>
      <c r="D71" s="10" t="s">
        <v>285</v>
      </c>
      <c r="E71" s="10" t="s">
        <v>50</v>
      </c>
      <c r="F71" s="11" t="s">
        <v>33</v>
      </c>
      <c r="G71" s="13" t="s">
        <v>286</v>
      </c>
      <c r="H71" s="13" t="s">
        <v>41</v>
      </c>
      <c r="I71" s="15">
        <v>42654</v>
      </c>
      <c r="J71" s="20">
        <f t="shared" ca="1" si="2"/>
        <v>10</v>
      </c>
      <c r="K71" s="10" t="s">
        <v>65</v>
      </c>
      <c r="L71" s="10"/>
      <c r="M71" s="10" t="s">
        <v>65</v>
      </c>
    </row>
    <row r="72" spans="1:13" ht="15" customHeight="1" x14ac:dyDescent="0.25">
      <c r="A72" s="10" t="s">
        <v>13</v>
      </c>
      <c r="B72" s="11" t="s">
        <v>22</v>
      </c>
      <c r="C72" s="12" t="s">
        <v>280</v>
      </c>
      <c r="D72" s="10" t="s">
        <v>281</v>
      </c>
      <c r="E72" s="10" t="s">
        <v>17</v>
      </c>
      <c r="F72" s="11" t="s">
        <v>25</v>
      </c>
      <c r="G72" s="13" t="s">
        <v>282</v>
      </c>
      <c r="H72" s="13" t="s">
        <v>283</v>
      </c>
      <c r="I72" s="15">
        <v>42654</v>
      </c>
      <c r="J72" s="20">
        <f t="shared" ca="1" si="2"/>
        <v>10</v>
      </c>
      <c r="K72" s="10" t="s">
        <v>65</v>
      </c>
      <c r="L72" s="10"/>
      <c r="M72" s="10" t="s">
        <v>65</v>
      </c>
    </row>
    <row r="73" spans="1:13" ht="15" customHeight="1" x14ac:dyDescent="0.25">
      <c r="A73" s="10" t="s">
        <v>29</v>
      </c>
      <c r="B73" s="11" t="s">
        <v>22</v>
      </c>
      <c r="C73" s="12" t="s">
        <v>287</v>
      </c>
      <c r="D73" s="10" t="s">
        <v>288</v>
      </c>
      <c r="E73" s="10" t="s">
        <v>50</v>
      </c>
      <c r="F73" s="11" t="s">
        <v>25</v>
      </c>
      <c r="G73" s="13" t="s">
        <v>444</v>
      </c>
      <c r="H73" s="13" t="s">
        <v>290</v>
      </c>
      <c r="I73" s="15">
        <v>42654</v>
      </c>
      <c r="J73" s="20">
        <f t="shared" ca="1" si="2"/>
        <v>10</v>
      </c>
      <c r="K73" s="10" t="s">
        <v>35</v>
      </c>
      <c r="L73" s="10"/>
      <c r="M73" s="10" t="s">
        <v>35</v>
      </c>
    </row>
    <row r="74" spans="1:13" ht="15" customHeight="1" x14ac:dyDescent="0.25">
      <c r="A74" s="10" t="s">
        <v>29</v>
      </c>
      <c r="B74" s="11" t="s">
        <v>22</v>
      </c>
      <c r="C74" s="12" t="s">
        <v>300</v>
      </c>
      <c r="D74" s="10" t="s">
        <v>301</v>
      </c>
      <c r="E74" s="10" t="s">
        <v>93</v>
      </c>
      <c r="F74" s="11" t="s">
        <v>33</v>
      </c>
      <c r="G74" s="13" t="s">
        <v>442</v>
      </c>
      <c r="H74" s="13" t="s">
        <v>41</v>
      </c>
      <c r="I74" s="15">
        <v>42655</v>
      </c>
      <c r="J74" s="20">
        <f t="shared" ca="1" si="2"/>
        <v>9</v>
      </c>
      <c r="K74" s="10" t="s">
        <v>35</v>
      </c>
      <c r="L74" s="10"/>
      <c r="M74" s="10" t="s">
        <v>35</v>
      </c>
    </row>
    <row r="75" spans="1:13" ht="15" customHeight="1" x14ac:dyDescent="0.25">
      <c r="A75" s="10" t="s">
        <v>13</v>
      </c>
      <c r="B75" s="11" t="s">
        <v>22</v>
      </c>
      <c r="C75" s="12" t="s">
        <v>302</v>
      </c>
      <c r="D75" s="10" t="s">
        <v>303</v>
      </c>
      <c r="E75" s="10" t="s">
        <v>68</v>
      </c>
      <c r="F75" s="11" t="s">
        <v>25</v>
      </c>
      <c r="G75" s="13" t="s">
        <v>304</v>
      </c>
      <c r="H75" s="13" t="s">
        <v>41</v>
      </c>
      <c r="I75" s="15">
        <v>42655</v>
      </c>
      <c r="J75" s="20">
        <f t="shared" ca="1" si="2"/>
        <v>9</v>
      </c>
      <c r="K75" s="10" t="s">
        <v>65</v>
      </c>
      <c r="L75" s="10"/>
      <c r="M75" s="10" t="s">
        <v>65</v>
      </c>
    </row>
    <row r="76" spans="1:13" ht="15" customHeight="1" x14ac:dyDescent="0.25">
      <c r="A76" s="10" t="s">
        <v>29</v>
      </c>
      <c r="B76" s="11" t="s">
        <v>36</v>
      </c>
      <c r="C76" s="12" t="s">
        <v>324</v>
      </c>
      <c r="D76" s="10" t="s">
        <v>325</v>
      </c>
      <c r="E76" s="10" t="s">
        <v>32</v>
      </c>
      <c r="F76" s="11" t="s">
        <v>189</v>
      </c>
      <c r="G76" s="13" t="s">
        <v>326</v>
      </c>
      <c r="H76" s="13" t="s">
        <v>327</v>
      </c>
      <c r="I76" s="15">
        <v>42656</v>
      </c>
      <c r="J76" s="20">
        <f t="shared" ca="1" si="2"/>
        <v>8</v>
      </c>
      <c r="K76" s="10"/>
      <c r="L76" s="10" t="s">
        <v>42</v>
      </c>
      <c r="M76" s="10" t="s">
        <v>42</v>
      </c>
    </row>
    <row r="77" spans="1:13" ht="15" customHeight="1" x14ac:dyDescent="0.25">
      <c r="A77" s="10" t="s">
        <v>29</v>
      </c>
      <c r="B77" s="11" t="s">
        <v>14</v>
      </c>
      <c r="C77" s="12" t="s">
        <v>321</v>
      </c>
      <c r="D77" s="10" t="s">
        <v>322</v>
      </c>
      <c r="E77" s="10" t="s">
        <v>50</v>
      </c>
      <c r="F77" s="11" t="s">
        <v>18</v>
      </c>
      <c r="G77" s="13" t="s">
        <v>323</v>
      </c>
      <c r="H77" s="10"/>
      <c r="I77" s="15">
        <v>42656</v>
      </c>
      <c r="J77" s="20">
        <f t="shared" ca="1" si="2"/>
        <v>8</v>
      </c>
      <c r="K77" s="10"/>
      <c r="L77" s="10" t="s">
        <v>35</v>
      </c>
      <c r="M77" s="10" t="s">
        <v>35</v>
      </c>
    </row>
    <row r="78" spans="1:13" ht="15" customHeight="1" x14ac:dyDescent="0.25">
      <c r="A78" s="10" t="s">
        <v>29</v>
      </c>
      <c r="B78" s="11" t="s">
        <v>22</v>
      </c>
      <c r="C78" s="12" t="s">
        <v>332</v>
      </c>
      <c r="D78" s="10" t="s">
        <v>333</v>
      </c>
      <c r="E78" s="10" t="s">
        <v>68</v>
      </c>
      <c r="F78" s="11" t="s">
        <v>25</v>
      </c>
      <c r="G78" s="13" t="s">
        <v>334</v>
      </c>
      <c r="H78" s="13" t="s">
        <v>95</v>
      </c>
      <c r="I78" s="15">
        <v>42656</v>
      </c>
      <c r="J78" s="20">
        <f t="shared" ca="1" si="2"/>
        <v>8</v>
      </c>
      <c r="K78" s="10" t="s">
        <v>35</v>
      </c>
      <c r="L78" s="10"/>
      <c r="M78" s="10" t="s">
        <v>35</v>
      </c>
    </row>
    <row r="79" spans="1:13" ht="15" customHeight="1" x14ac:dyDescent="0.25">
      <c r="A79" s="10" t="s">
        <v>13</v>
      </c>
      <c r="B79" s="11" t="s">
        <v>22</v>
      </c>
      <c r="C79" s="12" t="s">
        <v>318</v>
      </c>
      <c r="D79" s="10" t="s">
        <v>319</v>
      </c>
      <c r="E79" s="10" t="s">
        <v>68</v>
      </c>
      <c r="F79" s="11" t="s">
        <v>25</v>
      </c>
      <c r="G79" s="13" t="s">
        <v>320</v>
      </c>
      <c r="H79" s="13" t="s">
        <v>95</v>
      </c>
      <c r="I79" s="15">
        <v>42656</v>
      </c>
      <c r="J79" s="20">
        <f t="shared" ca="1" si="2"/>
        <v>8</v>
      </c>
      <c r="K79" s="10" t="s">
        <v>65</v>
      </c>
      <c r="L79" s="10"/>
      <c r="M79" s="10" t="s">
        <v>65</v>
      </c>
    </row>
    <row r="80" spans="1:13" ht="15" customHeight="1" x14ac:dyDescent="0.25">
      <c r="A80" s="10" t="s">
        <v>13</v>
      </c>
      <c r="B80" s="11" t="s">
        <v>22</v>
      </c>
      <c r="C80" s="12" t="s">
        <v>313</v>
      </c>
      <c r="D80" s="10" t="s">
        <v>314</v>
      </c>
      <c r="E80" s="10" t="s">
        <v>68</v>
      </c>
      <c r="F80" s="11" t="s">
        <v>25</v>
      </c>
      <c r="G80" s="13" t="s">
        <v>315</v>
      </c>
      <c r="H80" s="13" t="s">
        <v>316</v>
      </c>
      <c r="I80" s="15">
        <v>42656</v>
      </c>
      <c r="J80" s="20">
        <f t="shared" ca="1" si="2"/>
        <v>8</v>
      </c>
      <c r="K80" s="10" t="s">
        <v>317</v>
      </c>
      <c r="L80" s="10"/>
      <c r="M80" s="10" t="s">
        <v>317</v>
      </c>
    </row>
    <row r="81" spans="1:13" ht="15" customHeight="1" x14ac:dyDescent="0.25">
      <c r="A81" s="10" t="s">
        <v>29</v>
      </c>
      <c r="B81" s="11" t="s">
        <v>22</v>
      </c>
      <c r="C81" s="12" t="s">
        <v>328</v>
      </c>
      <c r="D81" s="10" t="s">
        <v>329</v>
      </c>
      <c r="E81" s="10" t="s">
        <v>93</v>
      </c>
      <c r="F81" s="11" t="s">
        <v>25</v>
      </c>
      <c r="G81" s="13" t="s">
        <v>330</v>
      </c>
      <c r="H81" s="13" t="s">
        <v>331</v>
      </c>
      <c r="I81" s="15">
        <v>42656</v>
      </c>
      <c r="J81" s="20">
        <f t="shared" ca="1" si="2"/>
        <v>8</v>
      </c>
      <c r="K81" s="10" t="s">
        <v>35</v>
      </c>
      <c r="L81" s="10"/>
      <c r="M81" s="10" t="s">
        <v>35</v>
      </c>
    </row>
    <row r="82" spans="1:13" ht="15" customHeight="1" x14ac:dyDescent="0.25">
      <c r="A82" s="10" t="s">
        <v>13</v>
      </c>
      <c r="B82" s="11" t="s">
        <v>22</v>
      </c>
      <c r="C82" s="12" t="s">
        <v>305</v>
      </c>
      <c r="D82" s="10" t="s">
        <v>306</v>
      </c>
      <c r="E82" s="10" t="s">
        <v>93</v>
      </c>
      <c r="F82" s="11" t="s">
        <v>25</v>
      </c>
      <c r="G82" s="13" t="s">
        <v>307</v>
      </c>
      <c r="H82" s="13" t="s">
        <v>308</v>
      </c>
      <c r="I82" s="15">
        <v>42656</v>
      </c>
      <c r="J82" s="20">
        <f t="shared" ca="1" si="2"/>
        <v>8</v>
      </c>
      <c r="K82" s="10" t="s">
        <v>65</v>
      </c>
      <c r="L82" s="10"/>
      <c r="M82" s="10" t="s">
        <v>65</v>
      </c>
    </row>
    <row r="83" spans="1:13" ht="15" customHeight="1" x14ac:dyDescent="0.25">
      <c r="A83" s="10" t="s">
        <v>29</v>
      </c>
      <c r="B83" s="11" t="s">
        <v>22</v>
      </c>
      <c r="C83" s="12" t="s">
        <v>309</v>
      </c>
      <c r="D83" s="10" t="s">
        <v>310</v>
      </c>
      <c r="E83" s="10" t="s">
        <v>50</v>
      </c>
      <c r="F83" s="11" t="s">
        <v>25</v>
      </c>
      <c r="G83" s="13" t="s">
        <v>441</v>
      </c>
      <c r="H83" s="13" t="s">
        <v>312</v>
      </c>
      <c r="I83" s="15">
        <v>42656</v>
      </c>
      <c r="J83" s="20">
        <f t="shared" ca="1" si="2"/>
        <v>8</v>
      </c>
      <c r="K83" s="10" t="s">
        <v>35</v>
      </c>
      <c r="L83" s="10"/>
      <c r="M83" s="10" t="s">
        <v>35</v>
      </c>
    </row>
    <row r="84" spans="1:13" ht="15" customHeight="1" x14ac:dyDescent="0.25">
      <c r="A84" s="10" t="s">
        <v>29</v>
      </c>
      <c r="B84" s="11" t="s">
        <v>22</v>
      </c>
      <c r="C84" s="12" t="s">
        <v>345</v>
      </c>
      <c r="D84" s="10" t="s">
        <v>346</v>
      </c>
      <c r="E84" s="10" t="s">
        <v>93</v>
      </c>
      <c r="F84" s="11" t="s">
        <v>25</v>
      </c>
      <c r="G84" s="13" t="s">
        <v>347</v>
      </c>
      <c r="H84" s="13" t="s">
        <v>95</v>
      </c>
      <c r="I84" s="15">
        <v>42657</v>
      </c>
      <c r="J84" s="20">
        <f t="shared" ca="1" si="2"/>
        <v>7</v>
      </c>
      <c r="K84" s="10"/>
      <c r="L84" s="10" t="s">
        <v>348</v>
      </c>
      <c r="M84" s="10" t="s">
        <v>348</v>
      </c>
    </row>
    <row r="85" spans="1:13" ht="15" customHeight="1" x14ac:dyDescent="0.25">
      <c r="A85" s="10" t="s">
        <v>13</v>
      </c>
      <c r="B85" s="11" t="s">
        <v>22</v>
      </c>
      <c r="C85" s="12" t="s">
        <v>338</v>
      </c>
      <c r="D85" s="10" t="s">
        <v>339</v>
      </c>
      <c r="E85" s="10" t="s">
        <v>62</v>
      </c>
      <c r="F85" s="11" t="s">
        <v>33</v>
      </c>
      <c r="G85" s="13" t="s">
        <v>340</v>
      </c>
      <c r="H85" s="13" t="s">
        <v>341</v>
      </c>
      <c r="I85" s="15">
        <v>42657</v>
      </c>
      <c r="J85" s="20">
        <f t="shared" ca="1" si="2"/>
        <v>7</v>
      </c>
      <c r="K85" s="10"/>
      <c r="L85" s="10" t="s">
        <v>152</v>
      </c>
      <c r="M85" s="10" t="s">
        <v>152</v>
      </c>
    </row>
    <row r="86" spans="1:13" ht="15" customHeight="1" x14ac:dyDescent="0.25">
      <c r="A86" s="10" t="s">
        <v>29</v>
      </c>
      <c r="B86" s="11" t="s">
        <v>22</v>
      </c>
      <c r="C86" s="12" t="s">
        <v>342</v>
      </c>
      <c r="D86" s="10" t="s">
        <v>343</v>
      </c>
      <c r="E86" s="10" t="s">
        <v>357</v>
      </c>
      <c r="F86" s="11" t="s">
        <v>199</v>
      </c>
      <c r="G86" s="13" t="s">
        <v>440</v>
      </c>
      <c r="H86" s="13" t="s">
        <v>344</v>
      </c>
      <c r="I86" s="15">
        <v>42657</v>
      </c>
      <c r="J86" s="20">
        <f t="shared" ca="1" si="2"/>
        <v>7</v>
      </c>
      <c r="K86" s="10" t="s">
        <v>35</v>
      </c>
      <c r="L86" s="10"/>
      <c r="M86" s="10" t="s">
        <v>35</v>
      </c>
    </row>
    <row r="87" spans="1:13" ht="15" customHeight="1" x14ac:dyDescent="0.25">
      <c r="A87" s="10" t="s">
        <v>13</v>
      </c>
      <c r="B87" s="11" t="s">
        <v>22</v>
      </c>
      <c r="C87" s="12" t="s">
        <v>335</v>
      </c>
      <c r="D87" s="10" t="s">
        <v>336</v>
      </c>
      <c r="E87" s="10" t="s">
        <v>50</v>
      </c>
      <c r="F87" s="11" t="s">
        <v>25</v>
      </c>
      <c r="G87" s="13" t="s">
        <v>337</v>
      </c>
      <c r="H87" s="13" t="s">
        <v>41</v>
      </c>
      <c r="I87" s="15">
        <v>42657</v>
      </c>
      <c r="J87" s="20">
        <f t="shared" ca="1" si="2"/>
        <v>7</v>
      </c>
      <c r="K87" s="10" t="s">
        <v>65</v>
      </c>
      <c r="L87" s="10"/>
      <c r="M87" s="10" t="s">
        <v>65</v>
      </c>
    </row>
    <row r="88" spans="1:13" ht="15" customHeight="1" x14ac:dyDescent="0.25">
      <c r="A88" s="10" t="s">
        <v>13</v>
      </c>
      <c r="B88" s="11" t="s">
        <v>22</v>
      </c>
      <c r="C88" s="12" t="s">
        <v>349</v>
      </c>
      <c r="D88" s="10" t="s">
        <v>350</v>
      </c>
      <c r="E88" s="10" t="s">
        <v>17</v>
      </c>
      <c r="F88" s="11" t="s">
        <v>33</v>
      </c>
      <c r="G88" s="13" t="s">
        <v>254</v>
      </c>
      <c r="H88" s="13" t="s">
        <v>41</v>
      </c>
      <c r="I88" s="15">
        <v>42658</v>
      </c>
      <c r="J88" s="20">
        <f t="shared" ca="1" si="2"/>
        <v>6</v>
      </c>
      <c r="K88" s="10" t="s">
        <v>28</v>
      </c>
      <c r="L88" s="10"/>
      <c r="M88" s="10" t="s">
        <v>28</v>
      </c>
    </row>
    <row r="89" spans="1:13" ht="15" customHeight="1" x14ac:dyDescent="0.25">
      <c r="A89" s="10" t="s">
        <v>29</v>
      </c>
      <c r="B89" s="11" t="s">
        <v>36</v>
      </c>
      <c r="C89" s="12" t="s">
        <v>376</v>
      </c>
      <c r="D89" s="10" t="s">
        <v>377</v>
      </c>
      <c r="E89" s="10" t="s">
        <v>32</v>
      </c>
      <c r="F89" s="11" t="s">
        <v>189</v>
      </c>
      <c r="G89" s="13" t="s">
        <v>378</v>
      </c>
      <c r="H89" s="13" t="s">
        <v>244</v>
      </c>
      <c r="I89" s="15">
        <v>42660</v>
      </c>
      <c r="J89" s="20">
        <f t="shared" ca="1" si="2"/>
        <v>4</v>
      </c>
      <c r="K89" s="10"/>
      <c r="L89" s="10" t="s">
        <v>42</v>
      </c>
      <c r="M89" s="10" t="s">
        <v>42</v>
      </c>
    </row>
    <row r="90" spans="1:13" ht="15" customHeight="1" x14ac:dyDescent="0.25">
      <c r="A90" s="10" t="s">
        <v>29</v>
      </c>
      <c r="B90" s="11" t="s">
        <v>36</v>
      </c>
      <c r="C90" s="12" t="s">
        <v>365</v>
      </c>
      <c r="D90" s="10" t="s">
        <v>366</v>
      </c>
      <c r="E90" s="10" t="s">
        <v>32</v>
      </c>
      <c r="F90" s="11" t="s">
        <v>189</v>
      </c>
      <c r="G90" s="13" t="s">
        <v>406</v>
      </c>
      <c r="H90" s="13" t="s">
        <v>367</v>
      </c>
      <c r="I90" s="15">
        <v>42660</v>
      </c>
      <c r="J90" s="20">
        <f t="shared" ca="1" si="2"/>
        <v>4</v>
      </c>
      <c r="K90" s="10"/>
      <c r="L90" s="10" t="s">
        <v>42</v>
      </c>
      <c r="M90" s="10" t="s">
        <v>42</v>
      </c>
    </row>
    <row r="91" spans="1:13" ht="15" customHeight="1" x14ac:dyDescent="0.25">
      <c r="A91" s="10" t="s">
        <v>29</v>
      </c>
      <c r="B91" s="11" t="s">
        <v>36</v>
      </c>
      <c r="C91" s="12" t="s">
        <v>368</v>
      </c>
      <c r="D91" s="10" t="s">
        <v>369</v>
      </c>
      <c r="E91" s="10" t="s">
        <v>32</v>
      </c>
      <c r="F91" s="11" t="s">
        <v>189</v>
      </c>
      <c r="G91" s="13" t="s">
        <v>370</v>
      </c>
      <c r="H91" s="13" t="s">
        <v>371</v>
      </c>
      <c r="I91" s="15">
        <v>42660</v>
      </c>
      <c r="J91" s="20">
        <f t="shared" ca="1" si="2"/>
        <v>4</v>
      </c>
      <c r="K91" s="10"/>
      <c r="L91" s="10" t="s">
        <v>42</v>
      </c>
      <c r="M91" s="10" t="s">
        <v>42</v>
      </c>
    </row>
    <row r="92" spans="1:13" ht="15" customHeight="1" x14ac:dyDescent="0.25">
      <c r="A92" s="10" t="s">
        <v>29</v>
      </c>
      <c r="B92" s="11" t="s">
        <v>36</v>
      </c>
      <c r="C92" s="12" t="s">
        <v>372</v>
      </c>
      <c r="D92" s="10" t="s">
        <v>373</v>
      </c>
      <c r="E92" s="10" t="s">
        <v>32</v>
      </c>
      <c r="F92" s="11" t="s">
        <v>189</v>
      </c>
      <c r="G92" s="13" t="s">
        <v>374</v>
      </c>
      <c r="H92" s="13" t="s">
        <v>375</v>
      </c>
      <c r="I92" s="15">
        <v>42660</v>
      </c>
      <c r="J92" s="20">
        <f t="shared" ca="1" si="2"/>
        <v>4</v>
      </c>
      <c r="K92" s="10"/>
      <c r="L92" s="10" t="s">
        <v>42</v>
      </c>
      <c r="M92" s="10" t="s">
        <v>42</v>
      </c>
    </row>
    <row r="93" spans="1:13" ht="15" customHeight="1" x14ac:dyDescent="0.25">
      <c r="A93" s="10" t="s">
        <v>13</v>
      </c>
      <c r="B93" s="11" t="s">
        <v>14</v>
      </c>
      <c r="C93" s="12" t="s">
        <v>351</v>
      </c>
      <c r="D93" s="10" t="s">
        <v>352</v>
      </c>
      <c r="E93" s="10" t="s">
        <v>68</v>
      </c>
      <c r="F93" s="11" t="s">
        <v>199</v>
      </c>
      <c r="G93" s="13" t="s">
        <v>407</v>
      </c>
      <c r="H93" s="13" t="s">
        <v>95</v>
      </c>
      <c r="I93" s="15">
        <v>42660</v>
      </c>
      <c r="J93" s="20">
        <f t="shared" ca="1" si="2"/>
        <v>4</v>
      </c>
      <c r="K93" s="10"/>
      <c r="L93" s="10" t="s">
        <v>152</v>
      </c>
      <c r="M93" s="10" t="s">
        <v>152</v>
      </c>
    </row>
    <row r="94" spans="1:13" ht="15" customHeight="1" x14ac:dyDescent="0.25">
      <c r="A94" s="10" t="s">
        <v>29</v>
      </c>
      <c r="B94" s="11" t="s">
        <v>22</v>
      </c>
      <c r="C94" s="12" t="s">
        <v>358</v>
      </c>
      <c r="D94" s="10" t="s">
        <v>359</v>
      </c>
      <c r="E94" s="10" t="s">
        <v>93</v>
      </c>
      <c r="F94" s="11" t="s">
        <v>199</v>
      </c>
      <c r="G94" s="13" t="s">
        <v>438</v>
      </c>
      <c r="H94" s="13" t="s">
        <v>360</v>
      </c>
      <c r="I94" s="15">
        <v>42660</v>
      </c>
      <c r="J94" s="20">
        <f t="shared" ca="1" si="2"/>
        <v>4</v>
      </c>
      <c r="K94" s="10" t="s">
        <v>35</v>
      </c>
      <c r="L94" s="10"/>
      <c r="M94" s="10" t="s">
        <v>35</v>
      </c>
    </row>
    <row r="95" spans="1:13" ht="15" customHeight="1" x14ac:dyDescent="0.25">
      <c r="A95" s="10" t="s">
        <v>29</v>
      </c>
      <c r="B95" s="11" t="s">
        <v>22</v>
      </c>
      <c r="C95" s="12" t="s">
        <v>354</v>
      </c>
      <c r="D95" s="10" t="s">
        <v>355</v>
      </c>
      <c r="E95" s="10" t="s">
        <v>50</v>
      </c>
      <c r="F95" s="11" t="s">
        <v>33</v>
      </c>
      <c r="G95" s="13" t="s">
        <v>439</v>
      </c>
      <c r="H95" s="13" t="s">
        <v>356</v>
      </c>
      <c r="I95" s="15">
        <v>42660</v>
      </c>
      <c r="J95" s="20">
        <f t="shared" ca="1" si="2"/>
        <v>4</v>
      </c>
      <c r="K95" s="10" t="s">
        <v>35</v>
      </c>
      <c r="L95" s="10"/>
      <c r="M95" s="10" t="s">
        <v>35</v>
      </c>
    </row>
    <row r="96" spans="1:13" ht="15" customHeight="1" x14ac:dyDescent="0.25">
      <c r="A96" s="10" t="s">
        <v>29</v>
      </c>
      <c r="B96" s="11" t="s">
        <v>22</v>
      </c>
      <c r="C96" s="12" t="s">
        <v>361</v>
      </c>
      <c r="D96" s="10" t="s">
        <v>362</v>
      </c>
      <c r="E96" s="10" t="s">
        <v>50</v>
      </c>
      <c r="F96" s="11" t="s">
        <v>33</v>
      </c>
      <c r="G96" s="13" t="s">
        <v>363</v>
      </c>
      <c r="H96" s="13" t="s">
        <v>364</v>
      </c>
      <c r="I96" s="15">
        <v>42660</v>
      </c>
      <c r="J96" s="20">
        <f t="shared" ca="1" si="2"/>
        <v>4</v>
      </c>
      <c r="K96" s="10" t="s">
        <v>35</v>
      </c>
      <c r="L96" s="10"/>
      <c r="M96" s="10" t="s">
        <v>35</v>
      </c>
    </row>
    <row r="97" spans="1:13" ht="15" customHeight="1" x14ac:dyDescent="0.25">
      <c r="A97" s="10" t="s">
        <v>29</v>
      </c>
      <c r="B97" s="11" t="s">
        <v>22</v>
      </c>
      <c r="C97" s="12" t="s">
        <v>379</v>
      </c>
      <c r="D97" s="10" t="s">
        <v>380</v>
      </c>
      <c r="E97" s="10" t="s">
        <v>68</v>
      </c>
      <c r="F97" s="11" t="s">
        <v>25</v>
      </c>
      <c r="G97" s="13" t="s">
        <v>234</v>
      </c>
      <c r="H97" s="13" t="s">
        <v>41</v>
      </c>
      <c r="I97" s="15">
        <v>42660</v>
      </c>
      <c r="J97" s="20">
        <f t="shared" ca="1" si="2"/>
        <v>4</v>
      </c>
      <c r="K97" s="10" t="s">
        <v>35</v>
      </c>
      <c r="L97" s="10"/>
      <c r="M97" s="10" t="s">
        <v>35</v>
      </c>
    </row>
    <row r="98" spans="1:13" ht="15" customHeight="1" x14ac:dyDescent="0.25">
      <c r="A98" s="10" t="s">
        <v>29</v>
      </c>
      <c r="B98" s="11" t="s">
        <v>22</v>
      </c>
      <c r="C98" s="12" t="s">
        <v>423</v>
      </c>
      <c r="D98" s="10" t="s">
        <v>424</v>
      </c>
      <c r="E98" s="10" t="s">
        <v>17</v>
      </c>
      <c r="F98" s="11" t="s">
        <v>199</v>
      </c>
      <c r="G98" s="13" t="s">
        <v>425</v>
      </c>
      <c r="H98" s="13" t="s">
        <v>41</v>
      </c>
      <c r="I98" s="15">
        <v>42661</v>
      </c>
      <c r="J98" s="20">
        <f t="shared" ref="J98:J114" ca="1" si="3">TODAY()-I98</f>
        <v>3</v>
      </c>
      <c r="K98" s="10" t="s">
        <v>35</v>
      </c>
      <c r="L98" s="10"/>
      <c r="M98" s="10" t="s">
        <v>35</v>
      </c>
    </row>
    <row r="99" spans="1:13" ht="15" customHeight="1" x14ac:dyDescent="0.25">
      <c r="A99" s="10" t="s">
        <v>13</v>
      </c>
      <c r="B99" s="11" t="s">
        <v>22</v>
      </c>
      <c r="C99" s="12" t="s">
        <v>426</v>
      </c>
      <c r="D99" s="10" t="s">
        <v>427</v>
      </c>
      <c r="E99" s="10" t="s">
        <v>17</v>
      </c>
      <c r="F99" s="11" t="s">
        <v>199</v>
      </c>
      <c r="G99" s="13" t="s">
        <v>266</v>
      </c>
      <c r="H99" s="13" t="s">
        <v>41</v>
      </c>
      <c r="I99" s="15">
        <v>42661</v>
      </c>
      <c r="J99" s="20">
        <f t="shared" ca="1" si="3"/>
        <v>3</v>
      </c>
      <c r="K99" s="10" t="s">
        <v>58</v>
      </c>
      <c r="L99" s="10"/>
      <c r="M99" s="10" t="s">
        <v>58</v>
      </c>
    </row>
    <row r="100" spans="1:13" ht="15" customHeight="1" x14ac:dyDescent="0.25">
      <c r="A100" s="10" t="s">
        <v>13</v>
      </c>
      <c r="B100" s="11" t="s">
        <v>22</v>
      </c>
      <c r="C100" s="12" t="s">
        <v>428</v>
      </c>
      <c r="D100" s="10" t="s">
        <v>429</v>
      </c>
      <c r="E100" s="10" t="s">
        <v>17</v>
      </c>
      <c r="F100" s="11" t="s">
        <v>199</v>
      </c>
      <c r="G100" s="13" t="s">
        <v>430</v>
      </c>
      <c r="H100" s="13" t="s">
        <v>431</v>
      </c>
      <c r="I100" s="15">
        <v>42661</v>
      </c>
      <c r="J100" s="20">
        <f t="shared" ca="1" si="3"/>
        <v>3</v>
      </c>
      <c r="K100" s="10" t="s">
        <v>28</v>
      </c>
      <c r="L100" s="10"/>
      <c r="M100" s="10" t="s">
        <v>28</v>
      </c>
    </row>
    <row r="101" spans="1:13" ht="15" customHeight="1" x14ac:dyDescent="0.25">
      <c r="A101" s="10" t="s">
        <v>13</v>
      </c>
      <c r="B101" s="11" t="s">
        <v>22</v>
      </c>
      <c r="C101" s="12" t="s">
        <v>432</v>
      </c>
      <c r="D101" s="10" t="s">
        <v>433</v>
      </c>
      <c r="E101" s="10" t="s">
        <v>17</v>
      </c>
      <c r="F101" s="11" t="s">
        <v>25</v>
      </c>
      <c r="G101" s="13" t="s">
        <v>434</v>
      </c>
      <c r="H101" s="13" t="s">
        <v>57</v>
      </c>
      <c r="I101" s="15">
        <v>42661</v>
      </c>
      <c r="J101" s="20">
        <f t="shared" ca="1" si="3"/>
        <v>3</v>
      </c>
      <c r="K101" s="10" t="s">
        <v>28</v>
      </c>
      <c r="L101" s="10"/>
      <c r="M101" s="10" t="s">
        <v>28</v>
      </c>
    </row>
    <row r="102" spans="1:13" ht="15" customHeight="1" x14ac:dyDescent="0.25">
      <c r="A102" s="10" t="s">
        <v>13</v>
      </c>
      <c r="B102" s="11" t="s">
        <v>22</v>
      </c>
      <c r="C102" s="12" t="s">
        <v>381</v>
      </c>
      <c r="D102" s="10" t="s">
        <v>382</v>
      </c>
      <c r="E102" s="10" t="s">
        <v>17</v>
      </c>
      <c r="F102" s="11" t="s">
        <v>311</v>
      </c>
      <c r="G102" s="13" t="s">
        <v>435</v>
      </c>
      <c r="H102" s="13" t="s">
        <v>436</v>
      </c>
      <c r="I102" s="15">
        <v>42661</v>
      </c>
      <c r="J102" s="20">
        <f t="shared" ca="1" si="3"/>
        <v>3</v>
      </c>
      <c r="K102" s="10" t="s">
        <v>28</v>
      </c>
      <c r="L102" s="10"/>
      <c r="M102" s="10" t="s">
        <v>28</v>
      </c>
    </row>
    <row r="103" spans="1:13" ht="15" customHeight="1" x14ac:dyDescent="0.25">
      <c r="A103" s="10" t="s">
        <v>29</v>
      </c>
      <c r="B103" s="11" t="s">
        <v>22</v>
      </c>
      <c r="C103" s="12" t="s">
        <v>384</v>
      </c>
      <c r="D103" s="10" t="s">
        <v>385</v>
      </c>
      <c r="E103" s="10" t="s">
        <v>68</v>
      </c>
      <c r="F103" s="11" t="s">
        <v>55</v>
      </c>
      <c r="G103" s="13" t="s">
        <v>437</v>
      </c>
      <c r="H103" s="13" t="s">
        <v>41</v>
      </c>
      <c r="I103" s="15">
        <v>42661</v>
      </c>
      <c r="J103" s="20">
        <f t="shared" ca="1" si="3"/>
        <v>3</v>
      </c>
      <c r="K103" s="10" t="s">
        <v>35</v>
      </c>
      <c r="L103" s="10"/>
      <c r="M103" s="10" t="s">
        <v>35</v>
      </c>
    </row>
    <row r="104" spans="1:13" ht="15" customHeight="1" x14ac:dyDescent="0.25">
      <c r="A104" s="10" t="s">
        <v>13</v>
      </c>
      <c r="B104" s="11" t="s">
        <v>14</v>
      </c>
      <c r="C104" s="12" t="s">
        <v>393</v>
      </c>
      <c r="D104" s="10" t="s">
        <v>394</v>
      </c>
      <c r="E104" s="10" t="s">
        <v>62</v>
      </c>
      <c r="F104" s="11" t="s">
        <v>155</v>
      </c>
      <c r="G104" s="13" t="s">
        <v>395</v>
      </c>
      <c r="H104" s="13" t="s">
        <v>95</v>
      </c>
      <c r="I104" s="15">
        <v>42662</v>
      </c>
      <c r="J104" s="20">
        <f t="shared" ca="1" si="3"/>
        <v>2</v>
      </c>
      <c r="K104" s="10"/>
      <c r="L104" s="10" t="s">
        <v>21</v>
      </c>
      <c r="M104" s="10" t="s">
        <v>21</v>
      </c>
    </row>
    <row r="105" spans="1:13" ht="15" customHeight="1" x14ac:dyDescent="0.25">
      <c r="A105" s="10" t="s">
        <v>29</v>
      </c>
      <c r="B105" s="11" t="s">
        <v>14</v>
      </c>
      <c r="C105" s="12" t="s">
        <v>396</v>
      </c>
      <c r="D105" s="10" t="s">
        <v>397</v>
      </c>
      <c r="E105" s="10" t="s">
        <v>17</v>
      </c>
      <c r="F105" s="11" t="s">
        <v>311</v>
      </c>
      <c r="G105" s="13" t="s">
        <v>398</v>
      </c>
      <c r="H105" s="10"/>
      <c r="I105" s="15">
        <v>42662</v>
      </c>
      <c r="J105" s="20">
        <f t="shared" ca="1" si="3"/>
        <v>2</v>
      </c>
      <c r="K105" s="10"/>
      <c r="L105" s="10" t="s">
        <v>35</v>
      </c>
      <c r="M105" s="10" t="s">
        <v>35</v>
      </c>
    </row>
    <row r="106" spans="1:13" ht="15" customHeight="1" x14ac:dyDescent="0.25">
      <c r="A106" s="10" t="s">
        <v>13</v>
      </c>
      <c r="B106" s="11" t="s">
        <v>14</v>
      </c>
      <c r="C106" s="12" t="s">
        <v>399</v>
      </c>
      <c r="D106" s="10" t="s">
        <v>400</v>
      </c>
      <c r="E106" s="10" t="s">
        <v>62</v>
      </c>
      <c r="F106" s="11" t="s">
        <v>311</v>
      </c>
      <c r="G106" s="13" t="s">
        <v>401</v>
      </c>
      <c r="H106" s="13" t="s">
        <v>402</v>
      </c>
      <c r="I106" s="15">
        <v>42662</v>
      </c>
      <c r="J106" s="20">
        <f t="shared" ca="1" si="3"/>
        <v>2</v>
      </c>
      <c r="K106" s="10"/>
      <c r="L106" s="10" t="s">
        <v>152</v>
      </c>
      <c r="M106" s="10" t="s">
        <v>152</v>
      </c>
    </row>
    <row r="107" spans="1:13" ht="15" customHeight="1" x14ac:dyDescent="0.25">
      <c r="A107" s="10" t="s">
        <v>29</v>
      </c>
      <c r="B107" s="11" t="s">
        <v>36</v>
      </c>
      <c r="C107" s="12" t="s">
        <v>403</v>
      </c>
      <c r="D107" s="10" t="s">
        <v>404</v>
      </c>
      <c r="E107" s="10" t="s">
        <v>32</v>
      </c>
      <c r="F107" s="11" t="s">
        <v>222</v>
      </c>
      <c r="G107" s="13" t="s">
        <v>405</v>
      </c>
      <c r="H107" s="13" t="s">
        <v>248</v>
      </c>
      <c r="I107" s="15">
        <v>42662</v>
      </c>
      <c r="J107" s="20">
        <f t="shared" ca="1" si="3"/>
        <v>2</v>
      </c>
      <c r="K107" s="10"/>
      <c r="L107" s="10" t="s">
        <v>42</v>
      </c>
      <c r="M107" s="10" t="s">
        <v>42</v>
      </c>
    </row>
    <row r="108" spans="1:13" ht="15" customHeight="1" x14ac:dyDescent="0.25">
      <c r="A108" s="10" t="s">
        <v>13</v>
      </c>
      <c r="B108" s="11" t="s">
        <v>22</v>
      </c>
      <c r="C108" s="12" t="s">
        <v>413</v>
      </c>
      <c r="D108" s="10" t="s">
        <v>414</v>
      </c>
      <c r="E108" s="14" t="s">
        <v>383</v>
      </c>
      <c r="F108" s="11" t="s">
        <v>311</v>
      </c>
      <c r="G108" s="13" t="s">
        <v>286</v>
      </c>
      <c r="H108" s="13" t="s">
        <v>41</v>
      </c>
      <c r="I108" s="15">
        <v>42662</v>
      </c>
      <c r="J108" s="20">
        <f t="shared" ca="1" si="3"/>
        <v>2</v>
      </c>
      <c r="K108" s="10" t="s">
        <v>28</v>
      </c>
      <c r="L108" s="10"/>
      <c r="M108" s="10" t="s">
        <v>28</v>
      </c>
    </row>
    <row r="109" spans="1:13" ht="15" customHeight="1" x14ac:dyDescent="0.25">
      <c r="A109" s="10" t="s">
        <v>13</v>
      </c>
      <c r="B109" s="11" t="s">
        <v>22</v>
      </c>
      <c r="C109" s="12" t="s">
        <v>415</v>
      </c>
      <c r="D109" s="10" t="s">
        <v>416</v>
      </c>
      <c r="E109" s="14" t="s">
        <v>383</v>
      </c>
      <c r="F109" s="11" t="s">
        <v>311</v>
      </c>
      <c r="G109" s="13" t="s">
        <v>286</v>
      </c>
      <c r="H109" s="13" t="s">
        <v>41</v>
      </c>
      <c r="I109" s="15">
        <v>42662</v>
      </c>
      <c r="J109" s="20">
        <f t="shared" ca="1" si="3"/>
        <v>2</v>
      </c>
      <c r="K109" s="10" t="s">
        <v>28</v>
      </c>
      <c r="L109" s="10"/>
      <c r="M109" s="10" t="s">
        <v>28</v>
      </c>
    </row>
    <row r="110" spans="1:13" ht="15" customHeight="1" x14ac:dyDescent="0.25">
      <c r="A110" s="10" t="s">
        <v>13</v>
      </c>
      <c r="B110" s="11" t="s">
        <v>22</v>
      </c>
      <c r="C110" s="12" t="s">
        <v>417</v>
      </c>
      <c r="D110" s="10" t="s">
        <v>418</v>
      </c>
      <c r="E110" s="14" t="s">
        <v>383</v>
      </c>
      <c r="F110" s="11" t="s">
        <v>311</v>
      </c>
      <c r="G110" s="13" t="s">
        <v>286</v>
      </c>
      <c r="H110" s="13" t="s">
        <v>41</v>
      </c>
      <c r="I110" s="15">
        <v>42662</v>
      </c>
      <c r="J110" s="20">
        <f t="shared" ca="1" si="3"/>
        <v>2</v>
      </c>
      <c r="K110" s="10" t="s">
        <v>65</v>
      </c>
      <c r="L110" s="10"/>
      <c r="M110" s="10" t="s">
        <v>65</v>
      </c>
    </row>
    <row r="111" spans="1:13" ht="15" customHeight="1" x14ac:dyDescent="0.25">
      <c r="A111" s="10" t="s">
        <v>13</v>
      </c>
      <c r="B111" s="11" t="s">
        <v>22</v>
      </c>
      <c r="C111" s="12" t="s">
        <v>419</v>
      </c>
      <c r="D111" s="10" t="s">
        <v>420</v>
      </c>
      <c r="E111" s="10" t="s">
        <v>17</v>
      </c>
      <c r="F111" s="11" t="s">
        <v>311</v>
      </c>
      <c r="G111" s="13" t="s">
        <v>286</v>
      </c>
      <c r="H111" s="13" t="s">
        <v>41</v>
      </c>
      <c r="I111" s="15">
        <v>42662</v>
      </c>
      <c r="J111" s="20">
        <f t="shared" ca="1" si="3"/>
        <v>2</v>
      </c>
      <c r="K111" s="10" t="s">
        <v>28</v>
      </c>
      <c r="L111" s="10"/>
      <c r="M111" s="10" t="s">
        <v>28</v>
      </c>
    </row>
    <row r="112" spans="1:13" ht="15" customHeight="1" x14ac:dyDescent="0.25">
      <c r="A112" s="10" t="s">
        <v>29</v>
      </c>
      <c r="B112" s="11" t="s">
        <v>22</v>
      </c>
      <c r="C112" s="12" t="s">
        <v>421</v>
      </c>
      <c r="D112" s="10" t="s">
        <v>422</v>
      </c>
      <c r="E112" s="10" t="s">
        <v>353</v>
      </c>
      <c r="F112" s="11" t="s">
        <v>311</v>
      </c>
      <c r="G112" s="13" t="s">
        <v>289</v>
      </c>
      <c r="H112" s="13" t="s">
        <v>316</v>
      </c>
      <c r="I112" s="15">
        <v>42662</v>
      </c>
      <c r="J112" s="20">
        <f t="shared" ca="1" si="3"/>
        <v>2</v>
      </c>
      <c r="K112" s="10" t="s">
        <v>35</v>
      </c>
      <c r="L112" s="10"/>
      <c r="M112" s="10" t="s">
        <v>35</v>
      </c>
    </row>
    <row r="113" spans="1:13" ht="15" customHeight="1" x14ac:dyDescent="0.25">
      <c r="A113" s="10" t="s">
        <v>13</v>
      </c>
      <c r="B113" s="11" t="s">
        <v>22</v>
      </c>
      <c r="C113" s="12" t="s">
        <v>409</v>
      </c>
      <c r="D113" s="10" t="s">
        <v>410</v>
      </c>
      <c r="E113" s="14" t="s">
        <v>383</v>
      </c>
      <c r="F113" s="11" t="s">
        <v>311</v>
      </c>
      <c r="G113" s="13" t="s">
        <v>286</v>
      </c>
      <c r="H113" s="13" t="s">
        <v>41</v>
      </c>
      <c r="I113" s="15">
        <v>42663</v>
      </c>
      <c r="J113" s="20">
        <f t="shared" ca="1" si="3"/>
        <v>1</v>
      </c>
      <c r="K113" s="10" t="s">
        <v>58</v>
      </c>
      <c r="L113" s="10"/>
      <c r="M113" s="10" t="s">
        <v>58</v>
      </c>
    </row>
    <row r="114" spans="1:13" ht="15" customHeight="1" x14ac:dyDescent="0.25">
      <c r="A114" s="10" t="s">
        <v>13</v>
      </c>
      <c r="B114" s="11" t="s">
        <v>22</v>
      </c>
      <c r="C114" s="12" t="s">
        <v>411</v>
      </c>
      <c r="D114" s="10" t="s">
        <v>412</v>
      </c>
      <c r="E114" s="14" t="s">
        <v>383</v>
      </c>
      <c r="F114" s="11" t="s">
        <v>311</v>
      </c>
      <c r="G114" s="13" t="s">
        <v>286</v>
      </c>
      <c r="H114" s="13" t="s">
        <v>41</v>
      </c>
      <c r="I114" s="15">
        <v>42663</v>
      </c>
      <c r="J114" s="20">
        <f t="shared" ca="1" si="3"/>
        <v>1</v>
      </c>
      <c r="K114" s="10" t="s">
        <v>28</v>
      </c>
      <c r="L114" s="10"/>
      <c r="M114" s="10" t="s">
        <v>28</v>
      </c>
    </row>
  </sheetData>
  <sortState ref="A2:M114">
    <sortCondition descending="1" ref="J2"/>
  </sortState>
  <hyperlinks>
    <hyperlink ref="C104" r:id="rId1" display="https://smiles.atlassian.net/browse/NGC-1682"/>
    <hyperlink ref="C105" r:id="rId2" display="https://smiles.atlassian.net/browse/NGC-1681"/>
    <hyperlink ref="C106" r:id="rId3" display="https://smiles.atlassian.net/browse/NGC-1680"/>
    <hyperlink ref="C107" r:id="rId4" display="https://smiles.atlassian.net/browse/NGC-1678"/>
    <hyperlink ref="C89" r:id="rId5" display="https://smiles.atlassian.net/browse/NGC-1669"/>
    <hyperlink ref="C90" r:id="rId6" display="https://smiles.atlassian.net/browse/NGC-1667"/>
    <hyperlink ref="C91" r:id="rId7" display="https://smiles.atlassian.net/browse/NGC-1666"/>
    <hyperlink ref="C92" r:id="rId8" display="https://smiles.atlassian.net/browse/NGC-1665"/>
    <hyperlink ref="C93" r:id="rId9" display="https://smiles.atlassian.net/browse/NGC-1662"/>
    <hyperlink ref="C84" r:id="rId10" display="https://smiles.atlassian.net/browse/NGC-1659"/>
    <hyperlink ref="C85" r:id="rId11" display="https://smiles.atlassian.net/browse/NGC-1654"/>
    <hyperlink ref="C76" r:id="rId12" display="https://smiles.atlassian.net/browse/NGC-1653"/>
    <hyperlink ref="C77" r:id="rId13" display="https://smiles.atlassian.net/browse/NGC-1651"/>
    <hyperlink ref="C68" r:id="rId14" display="https://smiles.atlassian.net/browse/NGC-1642"/>
    <hyperlink ref="C69" r:id="rId15" display="https://smiles.atlassian.net/browse/NGC-1641"/>
    <hyperlink ref="C62" r:id="rId16" display="https://smiles.atlassian.net/browse/NGC-1636"/>
    <hyperlink ref="C58" r:id="rId17" display="https://smiles.atlassian.net/browse/NGC-1621"/>
    <hyperlink ref="C54" r:id="rId18" display="https://smiles.atlassian.net/browse/NGC-1617"/>
    <hyperlink ref="C55" r:id="rId19" display="https://smiles.atlassian.net/browse/NGC-1616"/>
    <hyperlink ref="C50" r:id="rId20" display="https://smiles.atlassian.net/browse/NGC-1606"/>
    <hyperlink ref="C51" r:id="rId21" display="https://smiles.atlassian.net/browse/NGC-1595"/>
    <hyperlink ref="C46" r:id="rId22" display="https://smiles.atlassian.net/browse/NGC-1583"/>
    <hyperlink ref="C40" r:id="rId23" display="https://smiles.atlassian.net/browse/NGC-1541"/>
    <hyperlink ref="C37" r:id="rId24" display="https://smiles.atlassian.net/browse/NGC-1534"/>
    <hyperlink ref="C33" r:id="rId25" display="https://smiles.atlassian.net/browse/NGC-1506"/>
    <hyperlink ref="C34" r:id="rId26" display="https://smiles.atlassian.net/browse/NGC-1502"/>
    <hyperlink ref="C35" r:id="rId27" display="https://smiles.atlassian.net/browse/NGC-1500"/>
    <hyperlink ref="C29" r:id="rId28" display="https://smiles.atlassian.net/browse/NGC-1486"/>
    <hyperlink ref="C26" r:id="rId29" display="https://smiles.atlassian.net/browse/NGC-1484"/>
    <hyperlink ref="C27" r:id="rId30" display="https://smiles.atlassian.net/browse/NGC-1472"/>
    <hyperlink ref="C21" r:id="rId31" display="https://smiles.atlassian.net/browse/NGC-1460"/>
    <hyperlink ref="C22" r:id="rId32" display="https://smiles.atlassian.net/browse/NGC-1457"/>
    <hyperlink ref="C15" r:id="rId33" display="https://smiles.atlassian.net/browse/NGC-1405"/>
    <hyperlink ref="C14" r:id="rId34" display="https://smiles.atlassian.net/browse/NGC-1347"/>
    <hyperlink ref="C12" r:id="rId35" display="https://smiles.atlassian.net/browse/NGC-1312"/>
    <hyperlink ref="C9" r:id="rId36" display="https://smiles.atlassian.net/browse/NGC-1271"/>
    <hyperlink ref="C6" r:id="rId37" display="https://smiles.atlassian.net/browse/NGC-972"/>
    <hyperlink ref="C5" r:id="rId38" display="https://smiles.atlassian.net/browse/NGC-930"/>
    <hyperlink ref="C4" r:id="rId39" display="https://smiles.atlassian.net/browse/NGC-696"/>
    <hyperlink ref="C2" r:id="rId40" display="https://smiles.atlassian.net/browse/NGC-148"/>
    <hyperlink ref="C113" r:id="rId41" display="https://smiles.atlassian.net/browse/CSM-1667"/>
    <hyperlink ref="C114" r:id="rId42" display="https://smiles.atlassian.net/browse/CSM-1666"/>
    <hyperlink ref="C108" r:id="rId43" display="https://smiles.atlassian.net/browse/CSM-1665"/>
    <hyperlink ref="C109" r:id="rId44" display="https://smiles.atlassian.net/browse/CSM-1664"/>
    <hyperlink ref="C110" r:id="rId45" display="https://smiles.atlassian.net/browse/CSM-1663"/>
    <hyperlink ref="C111" r:id="rId46" display="https://smiles.atlassian.net/browse/CSM-1662"/>
    <hyperlink ref="C112" r:id="rId47" display="https://smiles.atlassian.net/browse/CSM-1661"/>
    <hyperlink ref="C98" r:id="rId48" display="https://smiles.atlassian.net/browse/CSM-1659"/>
    <hyperlink ref="C99" r:id="rId49" display="https://smiles.atlassian.net/browse/CSM-1658"/>
    <hyperlink ref="C100" r:id="rId50" display="https://smiles.atlassian.net/browse/CSM-1657"/>
    <hyperlink ref="C101" r:id="rId51" display="https://smiles.atlassian.net/browse/CSM-1656"/>
    <hyperlink ref="C102" r:id="rId52" display="https://smiles.atlassian.net/browse/CSM-1655"/>
    <hyperlink ref="C103" r:id="rId53" display="https://smiles.atlassian.net/browse/CSM-1654"/>
    <hyperlink ref="C94" r:id="rId54" display="https://smiles.atlassian.net/browse/CSM-1652"/>
    <hyperlink ref="C95" r:id="rId55" display="https://smiles.atlassian.net/browse/CSM-1650"/>
    <hyperlink ref="C96" r:id="rId56" display="https://smiles.atlassian.net/browse/CSM-1647"/>
    <hyperlink ref="C97" r:id="rId57" display="https://smiles.atlassian.net/browse/CSM-1646"/>
    <hyperlink ref="C88" r:id="rId58" display="https://smiles.atlassian.net/browse/CSM-1645"/>
    <hyperlink ref="C86" r:id="rId59" display="https://smiles.atlassian.net/browse/CSM-1641"/>
    <hyperlink ref="C87" r:id="rId60" display="https://smiles.atlassian.net/browse/CSM-1638"/>
    <hyperlink ref="C78" r:id="rId61" display="https://smiles.atlassian.net/browse/CSM-1636"/>
    <hyperlink ref="C79" r:id="rId62" display="https://smiles.atlassian.net/browse/CSM-1635"/>
    <hyperlink ref="C80" r:id="rId63" display="https://smiles.atlassian.net/browse/CSM-1633"/>
    <hyperlink ref="C81" r:id="rId64" display="https://smiles.atlassian.net/browse/CSM-1631"/>
    <hyperlink ref="C82" r:id="rId65" display="https://smiles.atlassian.net/browse/CSM-1630"/>
    <hyperlink ref="C83" r:id="rId66" display="https://smiles.atlassian.net/browse/CSM-1629"/>
    <hyperlink ref="C74" r:id="rId67" display="https://smiles.atlassian.net/browse/CSM-1626"/>
    <hyperlink ref="C75" r:id="rId68" display="https://smiles.atlassian.net/browse/CSM-1625"/>
    <hyperlink ref="C70" r:id="rId69" display="https://smiles.atlassian.net/browse/CSM-1623"/>
    <hyperlink ref="C71" r:id="rId70" display="https://smiles.atlassian.net/browse/CSM-1622"/>
    <hyperlink ref="C72" r:id="rId71" display="https://smiles.atlassian.net/browse/CSM-1620"/>
    <hyperlink ref="C73" r:id="rId72" display="https://smiles.atlassian.net/browse/CSM-1619"/>
    <hyperlink ref="C63" r:id="rId73" display="https://smiles.atlassian.net/browse/CSM-1618"/>
    <hyperlink ref="C64" r:id="rId74" display="https://smiles.atlassian.net/browse/CSM-1617"/>
    <hyperlink ref="C65" r:id="rId75" display="https://smiles.atlassian.net/browse/CSM-1616"/>
    <hyperlink ref="C66" r:id="rId76" display="https://smiles.atlassian.net/browse/CSM-1614"/>
    <hyperlink ref="C67" r:id="rId77" display="https://smiles.atlassian.net/browse/CSM-1612"/>
    <hyperlink ref="C59" r:id="rId78" display="https://smiles.atlassian.net/browse/CSM-1607"/>
    <hyperlink ref="C60" r:id="rId79" display="https://smiles.atlassian.net/browse/CSM-1606"/>
    <hyperlink ref="C61" r:id="rId80" display="https://smiles.atlassian.net/browse/CSM-1605"/>
    <hyperlink ref="C56" r:id="rId81" display="https://smiles.atlassian.net/browse/CSM-1599"/>
    <hyperlink ref="C57" r:id="rId82" display="https://smiles.atlassian.net/browse/CSM-1598"/>
    <hyperlink ref="C53" r:id="rId83" display="https://smiles.atlassian.net/browse/CSM-1593"/>
    <hyperlink ref="C52" r:id="rId84" display="https://smiles.atlassian.net/browse/CSM-1589"/>
    <hyperlink ref="C48" r:id="rId85" display="https://smiles.atlassian.net/browse/CSM-1587"/>
    <hyperlink ref="C49" r:id="rId86" display="https://smiles.atlassian.net/browse/CSM-1582"/>
    <hyperlink ref="C47" r:id="rId87" display="https://smiles.atlassian.net/browse/CSM-1579"/>
    <hyperlink ref="C44" r:id="rId88" display="https://smiles.atlassian.net/browse/CSM-1576"/>
    <hyperlink ref="C45" r:id="rId89" display="https://smiles.atlassian.net/browse/CSM-1573"/>
    <hyperlink ref="C42" r:id="rId90" display="https://smiles.atlassian.net/browse/CSM-1560"/>
    <hyperlink ref="C43" r:id="rId91" display="https://smiles.atlassian.net/browse/CSM-1557"/>
    <hyperlink ref="C41" r:id="rId92" display="https://smiles.atlassian.net/browse/CSM-1552"/>
    <hyperlink ref="C38" r:id="rId93" display="https://smiles.atlassian.net/browse/CSM-1545"/>
    <hyperlink ref="C39" r:id="rId94" display="https://smiles.atlassian.net/browse/CSM-1542"/>
    <hyperlink ref="C36" r:id="rId95" display="https://smiles.atlassian.net/browse/CSM-1539"/>
    <hyperlink ref="C32" r:id="rId96" display="https://smiles.atlassian.net/browse/CSM-1516"/>
    <hyperlink ref="C30" r:id="rId97" display="https://smiles.atlassian.net/browse/CSM-1511"/>
    <hyperlink ref="C31" r:id="rId98" display="https://smiles.atlassian.net/browse/CSM-1510"/>
    <hyperlink ref="C28" r:id="rId99" display="https://smiles.atlassian.net/browse/CSM-1499"/>
    <hyperlink ref="C25" r:id="rId100" display="https://smiles.atlassian.net/browse/CSM-1488"/>
    <hyperlink ref="C23" r:id="rId101" display="https://smiles.atlassian.net/browse/CSM-1483"/>
    <hyperlink ref="C24" r:id="rId102" display="https://smiles.atlassian.net/browse/CSM-1480"/>
    <hyperlink ref="C20" r:id="rId103" display="https://smiles.atlassian.net/browse/CSM-1478"/>
    <hyperlink ref="C18" r:id="rId104" display="https://smiles.atlassian.net/browse/CSM-1470"/>
    <hyperlink ref="C19" r:id="rId105" display="https://smiles.atlassian.net/browse/CSM-1465"/>
    <hyperlink ref="C16" r:id="rId106" display="https://smiles.atlassian.net/browse/CSM-1464"/>
    <hyperlink ref="C17" r:id="rId107" display="https://smiles.atlassian.net/browse/CSM-1463"/>
    <hyperlink ref="C13" r:id="rId108" display="https://smiles.atlassian.net/browse/CSM-1361"/>
    <hyperlink ref="C11" r:id="rId109" display="https://smiles.atlassian.net/browse/CSM-1338"/>
    <hyperlink ref="C10" r:id="rId110" display="https://smiles.atlassian.net/browse/CSM-1334"/>
    <hyperlink ref="C8" r:id="rId111" display="https://smiles.atlassian.net/browse/CSM-1262"/>
    <hyperlink ref="C7" r:id="rId112" display="https://smiles.atlassian.net/browse/CSM-1139"/>
    <hyperlink ref="C3" r:id="rId113" display="https://smiles.atlassian.net/browse/CSM-832"/>
  </hyperlinks>
  <printOptions horizontalCentered="1" verticalCentered="1"/>
  <pageMargins left="0.25" right="0.25" top="0.25" bottom="0.5" header="0.5" footer="0.25"/>
  <pageSetup paperSize="9" orientation="portrait" r:id="rId114"/>
  <headerFooter>
    <oddFooter>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a_Dinâmica"/>
  <dimension ref="B1:F5"/>
  <sheetViews>
    <sheetView workbookViewId="0">
      <selection activeCell="E5" sqref="E5"/>
    </sheetView>
  </sheetViews>
  <sheetFormatPr defaultRowHeight="15" x14ac:dyDescent="0.25"/>
  <cols>
    <col min="2" max="2" width="13" bestFit="1" customWidth="1"/>
    <col min="3" max="3" width="10" bestFit="1" customWidth="1"/>
    <col min="5" max="5" width="14.5" bestFit="1" customWidth="1"/>
    <col min="6" max="6" width="14.875" bestFit="1" customWidth="1"/>
    <col min="8" max="21" width="8.75" customWidth="1"/>
    <col min="22" max="22" width="10.75" customWidth="1"/>
    <col min="23" max="23" width="11.625" customWidth="1"/>
    <col min="24" max="24" width="14.75" customWidth="1"/>
    <col min="25" max="25" width="11.625" customWidth="1"/>
    <col min="26" max="26" width="14.75" customWidth="1"/>
    <col min="27" max="27" width="11.625" customWidth="1"/>
    <col min="28" max="28" width="14.75" bestFit="1" customWidth="1"/>
    <col min="29" max="29" width="11.625" customWidth="1"/>
    <col min="30" max="30" width="14.75" bestFit="1" customWidth="1"/>
    <col min="31" max="31" width="11.625" customWidth="1"/>
    <col min="32" max="32" width="14.75" bestFit="1" customWidth="1"/>
    <col min="33" max="33" width="11.625" customWidth="1"/>
    <col min="34" max="34" width="14.75" bestFit="1" customWidth="1"/>
    <col min="35" max="35" width="11.625" customWidth="1"/>
    <col min="36" max="36" width="14.75" bestFit="1" customWidth="1"/>
    <col min="37" max="37" width="11.625" customWidth="1"/>
    <col min="38" max="38" width="14.75" bestFit="1" customWidth="1"/>
    <col min="39" max="39" width="11.625" customWidth="1"/>
    <col min="40" max="40" width="14.75" bestFit="1" customWidth="1"/>
    <col min="41" max="41" width="11.625" customWidth="1"/>
    <col min="42" max="42" width="14.75" bestFit="1" customWidth="1"/>
    <col min="43" max="43" width="10.625" customWidth="1"/>
    <col min="44" max="44" width="13.75" bestFit="1" customWidth="1"/>
    <col min="45" max="45" width="10.75" bestFit="1" customWidth="1"/>
  </cols>
  <sheetData>
    <row r="1" spans="2:6" x14ac:dyDescent="0.25">
      <c r="B1" s="7" t="s">
        <v>1</v>
      </c>
      <c r="C1" s="5" t="s">
        <v>386</v>
      </c>
      <c r="E1" s="7" t="s">
        <v>1</v>
      </c>
      <c r="F1" s="5" t="s">
        <v>387</v>
      </c>
    </row>
    <row r="2" spans="2:6" x14ac:dyDescent="0.25">
      <c r="B2" s="7" t="s">
        <v>5</v>
      </c>
      <c r="C2" s="5" t="s">
        <v>386</v>
      </c>
      <c r="E2" s="7" t="s">
        <v>5</v>
      </c>
      <c r="F2" s="5" t="s">
        <v>387</v>
      </c>
    </row>
    <row r="4" spans="2:6" x14ac:dyDescent="0.25">
      <c r="B4" s="5" t="s">
        <v>388</v>
      </c>
      <c r="E4" s="5" t="s">
        <v>389</v>
      </c>
    </row>
    <row r="5" spans="2:6" x14ac:dyDescent="0.25">
      <c r="B5" s="6">
        <v>113</v>
      </c>
      <c r="E5" s="6">
        <v>48</v>
      </c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Base</vt:lpstr>
      <vt:lpstr>TabDinâmica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Backlog CSTI - Bruto (Full) (JIRA)</dc:title>
  <dc:creator>Felipe Lima</dc:creator>
  <cp:lastModifiedBy>lilly costa</cp:lastModifiedBy>
  <dcterms:created xsi:type="dcterms:W3CDTF">2016-10-18T18:24:38Z</dcterms:created>
  <dcterms:modified xsi:type="dcterms:W3CDTF">2016-10-21T13:21:07Z</dcterms:modified>
</cp:coreProperties>
</file>