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illy\Google Drive\Smiles\Demandas\2017-04 - Catálogo de Serviços Operações TI (+Cluster)\"/>
    </mc:Choice>
  </mc:AlternateContent>
  <bookViews>
    <workbookView xWindow="0" yWindow="0" windowWidth="20430" windowHeight="8070" tabRatio="842"/>
  </bookViews>
  <sheets>
    <sheet name="CAT Cluster" sheetId="11" r:id="rId1"/>
    <sheet name="CAT Cliente Smiles" sheetId="8" r:id="rId2"/>
    <sheet name="CAT Negócio" sheetId="1" r:id="rId3"/>
    <sheet name="CAT Escritório" sheetId="6" r:id="rId4"/>
    <sheet name="CAT TIpTI" sheetId="7" r:id="rId5"/>
    <sheet name="CAT GA" sheetId="9" r:id="rId6"/>
    <sheet name="Protótipo de Navegação" sheetId="3" r:id="rId7"/>
    <sheet name="Escopo" sheetId="4" r:id="rId8"/>
    <sheet name="CAT Monitoração" sheetId="10" r:id="rId9"/>
  </sheets>
  <definedNames>
    <definedName name="_xlnm._FilterDatabase" localSheetId="1" hidden="1">'CAT Cliente Smiles'!$A$6:$L$54</definedName>
    <definedName name="_xlnm._FilterDatabase" localSheetId="0" hidden="1">'CAT Cluster'!$A$6:$M$6</definedName>
    <definedName name="_xlnm._FilterDatabase" localSheetId="3" hidden="1">'CAT Escritório'!$A$6:$M$31</definedName>
    <definedName name="_xlnm._FilterDatabase" localSheetId="8" hidden="1">'CAT Monitoração'!$A$6:$L$8</definedName>
    <definedName name="_xlnm._FilterDatabase" localSheetId="2" hidden="1">'CAT Negócio'!$A$6:$M$51</definedName>
    <definedName name="_xlnm._FilterDatabase" localSheetId="4" hidden="1">'CAT TIpTI'!$A$6:$M$40</definedName>
    <definedName name="_xlnm._FilterDatabase" localSheetId="7" hidden="1">Escopo!$A$1:$C$19</definedName>
  </definedNames>
  <calcPr calcId="171027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11" l="1"/>
  <c r="E36" i="11"/>
  <c r="E37" i="11"/>
  <c r="E34" i="11"/>
  <c r="E35" i="11"/>
  <c r="E33" i="11"/>
  <c r="E32" i="11"/>
  <c r="E28" i="11"/>
  <c r="E26" i="11"/>
  <c r="E29" i="11"/>
  <c r="E25" i="11"/>
  <c r="E27" i="11"/>
  <c r="E13" i="11"/>
  <c r="E11" i="11"/>
  <c r="E14" i="11"/>
  <c r="E12" i="11"/>
  <c r="E15" i="11"/>
  <c r="E23" i="11"/>
  <c r="E17" i="11"/>
  <c r="E18" i="11"/>
  <c r="E22" i="11"/>
  <c r="E16" i="11"/>
  <c r="E24" i="11"/>
  <c r="E21" i="11"/>
  <c r="E19" i="11"/>
  <c r="E20" i="11"/>
  <c r="E41" i="11"/>
  <c r="E43" i="11"/>
  <c r="E38" i="11"/>
  <c r="E40" i="11"/>
  <c r="E42" i="11"/>
  <c r="E39" i="11"/>
  <c r="E10" i="11"/>
  <c r="E9" i="11"/>
  <c r="E8" i="11"/>
  <c r="E7" i="11"/>
  <c r="E31" i="11" l="1"/>
  <c r="E53" i="1" l="1"/>
  <c r="E52" i="1"/>
  <c r="E8" i="1" l="1"/>
  <c r="E9" i="1"/>
  <c r="E7" i="1" l="1"/>
  <c r="E18" i="1" l="1"/>
  <c r="E17" i="1"/>
  <c r="L5" i="10" l="1"/>
  <c r="E23" i="1"/>
  <c r="E24" i="1"/>
  <c r="E46" i="1" l="1"/>
  <c r="G5" i="3" l="1"/>
  <c r="E38" i="1" l="1"/>
  <c r="E39" i="1"/>
  <c r="E33" i="1" l="1"/>
  <c r="E18" i="7" l="1"/>
  <c r="E16" i="7"/>
  <c r="E17" i="7"/>
  <c r="E20" i="7"/>
  <c r="E14" i="7"/>
  <c r="E19" i="7"/>
  <c r="E15" i="7"/>
  <c r="E24" i="6"/>
  <c r="E31" i="6"/>
  <c r="E30" i="6"/>
  <c r="E22" i="6" l="1"/>
  <c r="M5" i="9" l="1"/>
  <c r="M5" i="7"/>
  <c r="L5" i="8"/>
  <c r="M5" i="6"/>
  <c r="E27" i="6" l="1"/>
  <c r="E10" i="9"/>
  <c r="E15" i="9" l="1"/>
  <c r="E14" i="9"/>
  <c r="E13" i="9"/>
  <c r="E12" i="9"/>
  <c r="E11" i="9"/>
  <c r="E9" i="9"/>
  <c r="E8" i="9"/>
  <c r="E7" i="9"/>
  <c r="E21" i="7" l="1"/>
  <c r="E27" i="7"/>
  <c r="E30" i="7"/>
  <c r="E40" i="7"/>
  <c r="E39" i="7"/>
  <c r="E33" i="7"/>
  <c r="E32" i="7"/>
  <c r="E28" i="7"/>
  <c r="E29" i="7"/>
  <c r="E23" i="7"/>
  <c r="E22" i="7"/>
  <c r="E36" i="7"/>
  <c r="E37" i="7"/>
  <c r="E34" i="7"/>
  <c r="E35" i="7"/>
  <c r="E25" i="7"/>
  <c r="E24" i="7"/>
  <c r="E26" i="7"/>
  <c r="E31" i="7"/>
  <c r="E11" i="7"/>
  <c r="E13" i="7"/>
  <c r="E10" i="7"/>
  <c r="E12" i="7"/>
  <c r="E38" i="7"/>
  <c r="E9" i="7"/>
  <c r="E7" i="7"/>
  <c r="E8" i="7"/>
  <c r="E29" i="6" l="1"/>
  <c r="E28" i="6"/>
  <c r="E26" i="6"/>
  <c r="E25" i="6"/>
  <c r="E23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20" i="1"/>
  <c r="E30" i="1"/>
  <c r="E26" i="1"/>
  <c r="E25" i="1"/>
  <c r="E29" i="1"/>
  <c r="E28" i="1"/>
  <c r="E27" i="1"/>
  <c r="E21" i="1"/>
  <c r="E22" i="1"/>
  <c r="E32" i="1"/>
  <c r="E31" i="1"/>
  <c r="E37" i="1"/>
  <c r="E36" i="1"/>
  <c r="E35" i="1"/>
  <c r="E34" i="1"/>
  <c r="E13" i="1"/>
  <c r="E11" i="1"/>
  <c r="E10" i="1"/>
  <c r="E14" i="1"/>
  <c r="E12" i="1"/>
  <c r="E50" i="1"/>
  <c r="E49" i="1"/>
  <c r="E51" i="1"/>
  <c r="E48" i="1"/>
  <c r="E47" i="1"/>
  <c r="E44" i="1"/>
  <c r="E45" i="1"/>
  <c r="E43" i="1"/>
  <c r="E41" i="1"/>
  <c r="E42" i="1"/>
  <c r="E40" i="1"/>
  <c r="E19" i="1"/>
  <c r="E15" i="1"/>
  <c r="E16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  <comment ref="G5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  <comment ref="H7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20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21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2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25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2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27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28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29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0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40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41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4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  <comment ref="H1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3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5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2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25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  <comment ref="H14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7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8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</commentList>
</comments>
</file>

<file path=xl/comments6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7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<sst xmlns="http://schemas.openxmlformats.org/spreadsheetml/2006/main" count="2193" uniqueCount="596">
  <si>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</si>
  <si>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</si>
  <si>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</si>
  <si>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</si>
  <si>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</si>
  <si>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</si>
  <si>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</si>
  <si>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</si>
  <si>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</si>
  <si>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</si>
  <si>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</si>
  <si>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</si>
  <si>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</si>
  <si>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</si>
  <si>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</si>
  <si>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</si>
  <si>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</si>
  <si>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</si>
  <si>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</si>
  <si>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</si>
  <si>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</si>
  <si>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</si>
  <si>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</si>
  <si>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</si>
  <si>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</si>
  <si>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</si>
  <si>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</si>
  <si>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</si>
  <si>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</si>
  <si>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</si>
  <si>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</si>
  <si>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</si>
  <si>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</si>
  <si>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</si>
  <si>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Cadastrar novo Parceiro</t>
  </si>
  <si>
    <t>Cliente não consegue resgatar</t>
  </si>
  <si>
    <t>Subtítulo</t>
  </si>
  <si>
    <t xml:space="preserve">Erro no Arquivo Contábil </t>
  </si>
  <si>
    <t>Erro no Arquivo de Vendas</t>
  </si>
  <si>
    <t xml:space="preserve">Execução pontual do Arquivo Contábil 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</si>
  <si>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</si>
  <si>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</si>
  <si>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</si>
  <si>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</si>
  <si>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</si>
  <si>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</si>
  <si>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</si>
  <si>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</si>
  <si>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</si>
  <si>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</si>
  <si>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</si>
  <si>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</si>
  <si>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</si>
  <si>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</si>
  <si>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</si>
  <si>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</si>
  <si>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</si>
  <si>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</si>
  <si>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</si>
  <si>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</si>
  <si>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</si>
  <si>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</si>
  <si>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</si>
  <si>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</si>
  <si>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</si>
  <si>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</si>
  <si>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</si>
  <si>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</si>
  <si>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</si>
  <si>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</si>
  <si>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</si>
  <si>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</si>
  <si>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</si>
  <si>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</si>
  <si>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</si>
  <si>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</si>
  <si>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</si>
  <si>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</si>
  <si>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</si>
  <si>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</si>
  <si>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</si>
  <si>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</si>
  <si>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</si>
  <si>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</si>
  <si>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</si>
  <si>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</si>
  <si>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</si>
  <si>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</si>
  <si>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</si>
  <si>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</si>
  <si>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</si>
  <si>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</si>
  <si>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</si>
  <si>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</si>
  <si>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</si>
  <si>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</si>
  <si>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</si>
  <si>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</si>
  <si>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o ID da Promoção a ser prorrogada e a nova data de vigência.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</si>
  <si>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</si>
  <si>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</si>
  <si>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</si>
  <si>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</si>
  <si>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</si>
  <si>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</si>
  <si>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</si>
  <si>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</si>
  <si>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</si>
  <si>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</si>
  <si>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</si>
  <si>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</si>
  <si>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</si>
  <si>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</si>
  <si>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</si>
  <si>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</si>
  <si>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Usuário não consegue navegar em um site específico.</t>
  </si>
  <si>
    <t>VPN não conecta, Erro de VPN.</t>
  </si>
  <si>
    <t>Usuário com problemas com mouse, teclado, headset, etc.</t>
  </si>
  <si>
    <t>Perda e Roubo de Laptop.</t>
  </si>
  <si>
    <t>Solicitação de Laptop e/ou Periféricos (mouse, teclado, headset, etc.)</t>
  </si>
  <si>
    <t>Laptop lento, Laptop com problemas, Configuração de Laptop, etc.</t>
  </si>
  <si>
    <t>Rede</t>
  </si>
  <si>
    <t>Software</t>
  </si>
  <si>
    <t>TI pra TI (Infra)</t>
  </si>
  <si>
    <t>Central de Atendimento</t>
  </si>
  <si>
    <t>Não entrou a quantidade de milhas esperada na conta do cliente
Cliente comprou e a quantindade de milhas cretidata estava errada</t>
  </si>
  <si>
    <t>Erros de Promoção / Bonificação</t>
  </si>
  <si>
    <t>Anexar a planilha padrão de chamados de promoção.</t>
  </si>
  <si>
    <t>Siebel e/ou Smiles Pay lento ou indisponível para TODA a Central de Atendimento.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</si>
  <si>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</si>
  <si>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</si>
  <si>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</si>
  <si>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</si>
  <si>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Informar a Data e Hora em que o erro ocorreu, anexar o "Print de Tela" com o erro e descrever com detalhes a situação.</t>
  </si>
  <si>
    <t>Informar a Data e Hora em que o erro ocorreu, anexar o "Print de Tela" com o erro e descrever com detalhes a situação.
Especificar qual cliente (número Smiles) e qual trecho está ocorrendo a falha.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</si>
  <si>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</si>
  <si>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</si>
  <si>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</si>
  <si>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</si>
  <si>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</si>
  <si>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</si>
  <si>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</si>
  <si>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</si>
  <si>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TODOS os clientes com problemas para solicitar seus créditos retroativos.</t>
  </si>
  <si>
    <t>Revogar Acesso VPN</t>
  </si>
  <si>
    <t>Conceder Acesso VPN</t>
  </si>
  <si>
    <t>Conceder Acesso ao Siebel ou Outras Ferramentas</t>
  </si>
  <si>
    <t>Revogar Acesso ao Siebel ou Outras Ferramentas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</si>
  <si>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</si>
  <si>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</si>
  <si>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</si>
  <si>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</si>
  <si>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</si>
  <si>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</si>
  <si>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</si>
  <si>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2 dias úteis</t>
  </si>
  <si>
    <t>Alta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</si>
  <si>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</si>
  <si>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</si>
  <si>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</si>
  <si>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</si>
  <si>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</si>
  <si>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</si>
  <si>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</si>
  <si>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</si>
  <si>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o erro ou falha apresentada e anexar evidência (print de tela).</t>
  </si>
  <si>
    <t>Informar o erro ou falha e qual periférico está apresentando problema (mouse, teclado, headset, etc.).</t>
  </si>
  <si>
    <t>Informar erro ou falha apresentada e também hostname ou número do ativo de seu Laptop.</t>
  </si>
  <si>
    <t>Infomar a necessidade e justificativa de aquisição e anexar o e-mail de aprovação do gestor imediato.</t>
  </si>
  <si>
    <t>Informar o usuário de rede do colaborador que teve seu Laptop perdido ou roubado e anexar cópia digitalizada do Boletim de Ocorrência (caso aplicável).</t>
  </si>
  <si>
    <t>Conceder Acesso à Pasta ou Diretório de Rede</t>
  </si>
  <si>
    <t>Solicitação de novo acesso a alguma pasta ou diretório de rede.</t>
  </si>
  <si>
    <t>Erro de acesso à pasta ou diretório de rede.</t>
  </si>
  <si>
    <t>Informar o usuário de rede e a pasta ou diretório que não está conseguindo acessar.</t>
  </si>
  <si>
    <t>Infomar a necessidade e justificativa de instalação e anexar o e-mail de aprovação do gestor imediato.</t>
  </si>
  <si>
    <t>Infomar a necessidade e justificativa de instalação.</t>
  </si>
  <si>
    <t>Informar o usuário de rede, o nome do software e o erro ou falha apresentada (ex.: Word não abre).</t>
  </si>
  <si>
    <t>Informar o usuário de rede, o nome do software e o erro ou falha apresentada (ex.: Visio não abre).</t>
  </si>
  <si>
    <t>3 dias úteis</t>
  </si>
  <si>
    <t>Médio</t>
  </si>
  <si>
    <t>SI</t>
  </si>
  <si>
    <t>Alterar Perfil de Acesso ao Siebel ou Outras Ferramentas</t>
  </si>
  <si>
    <t>Alteração de perfil de acesso ao Siebel ou outras Ferramentas.</t>
  </si>
  <si>
    <t>Informar o Nome do Usuário, CPF, RG, Data de Nascimento, E-mail, Telefone.
Em caso de terceiros, anexar ao chamado o e-mail de aprovação do Gestor do Contrato.</t>
  </si>
  <si>
    <t>Informar o Nome do Usuário e o Login de Rede que precisa ser revogado.
Em caso de terceiros, incluir o e-mail de aprovação do Gestor do Contrato.</t>
  </si>
  <si>
    <t>Informar o Nome do Usuário e o Login de Rede que precisa ter o acesso VPN revogado.
Em caso de terceiros, incluir o e-mail de aprovação do Gestor do Contrato.</t>
  </si>
  <si>
    <t>Informar o Nome do Usuário, Login de Rede, Período de Início e Fim para uso da VPN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</si>
  <si>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Nome da Ferramenta,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</si>
  <si>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Pasta ou Diretório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</si>
  <si>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da Ferramenta, Nome do Usuário e Login de Rede que precisa ter o acesso revogado.
Em caso de terceiros, incluir o e-mail de aprovação do Gestor do Contrato.</t>
  </si>
  <si>
    <t>Informar o Nome da Ferramenta, Nome do Usuário, Login de Rede e perfil de acesso que precisa ser alterado.
Em caso de funcionários Smiles, anexar ao chamado o e-mail de aprovação do Gestor Imediato.
Em caso de terceiros, anexar ao chamado o e-mail de aprovação do Gestor do Contrato.</t>
  </si>
  <si>
    <t>Informar o Nome da Ferramenta, Nome do Usuário, Login de Rede e permissionamentos que precisam ser alterados.
Em caso de funcionários Smiles, anexar ao chamado o e-mail de aprovação do Gestor Imediato.
Em caso de terceiros, anexar ao chamado o e-mail de aprovação do Gestor do Contrato.</t>
  </si>
  <si>
    <t>Acesso com Aprov. de SI</t>
  </si>
  <si>
    <t>Acesso com Aprov. Adicional</t>
  </si>
  <si>
    <t>Internet Explorer, Chrome, MS Office, Jabber, Outlook, SAP, etc.</t>
  </si>
  <si>
    <t>Project, Visio, etc.</t>
  </si>
  <si>
    <t>Conceder Login de Rede (AD)</t>
  </si>
  <si>
    <t>Revogar Login de Rede (AD)</t>
  </si>
  <si>
    <t>4 horas úteis</t>
  </si>
  <si>
    <t>Alterar de Nível de Log</t>
  </si>
  <si>
    <t>Acessos em TI</t>
  </si>
  <si>
    <t>Criar Acessos (TI)</t>
  </si>
  <si>
    <t>Alterar Acessos (TI)</t>
  </si>
  <si>
    <t>Revogar Acessos (TI)</t>
  </si>
  <si>
    <t>Informar o Login de Rede ou E-mail, Componente que deseja ter acesso, 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</si>
  <si>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Componente, Perfil ou permissionamento que deseja alterar o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</si>
  <si>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 que deseja revogar o acesso,  Perfil que deseja ter acesso revogado e também uma justificativa.
Em caso de funcionários Smiles, anexar ao chamado o e-mail de aprovação do Gestor Imediato.
Em caso de terceiros, anexar ao chamado o e-mail de aprovação do Gestor do Contrato.</t>
  </si>
  <si>
    <t>Informar o Ambiente, Lista de URLs (Nexus), informar o Projeto que está sendo trabalhado (caso aplicável).</t>
  </si>
  <si>
    <t>Informar o Ambiente, a Aplicação que precisa ser configurada e também anexar o Arquivo de Configuração (mandatório).</t>
  </si>
  <si>
    <t>Proxy</t>
  </si>
  <si>
    <t>DNS</t>
  </si>
  <si>
    <t>AD - Active Directory</t>
  </si>
  <si>
    <t>File Server</t>
  </si>
  <si>
    <t>DHCP</t>
  </si>
  <si>
    <t>Middleware</t>
  </si>
  <si>
    <t>Amazon</t>
  </si>
  <si>
    <t>Usuário bloqueado, Esqueci minha Senha, Reset de Senha, Conta bloqueada, Usuário expirado, etc.</t>
  </si>
  <si>
    <t>Informar o usuário de rede (login) que está com problemas.</t>
  </si>
  <si>
    <t>Lentidão ou Indisponibilidade no Portal de Parceiros</t>
  </si>
  <si>
    <t>Dificuldades na utilização do Portal de Parceiros</t>
  </si>
  <si>
    <t>Não consegue creditar milhas, Transações não processadas, etc.</t>
  </si>
  <si>
    <t>Cadastro não finalizado ou com divergência.</t>
  </si>
  <si>
    <t>Cadastro Clearsale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</si>
  <si>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</si>
  <si>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</si>
  <si>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</si>
  <si>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</si>
  <si>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</si>
  <si>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</si>
  <si>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</si>
  <si>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Compra/Trasnferência/Reativação de Milhas B2E</t>
  </si>
  <si>
    <t>Pedidos de Resgate Shopping Smiles não recebidos pela B2E (completo ou parcial), etc.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</si>
  <si>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</si>
  <si>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</si>
  <si>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</si>
  <si>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</si>
  <si>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</si>
  <si>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>Informar clientes que estão sendo impactados, evidências do erro ou falha, data e hora da falha.</t>
  </si>
  <si>
    <t>Informar o erro ou falha apresentada, data e hora da falha e incluir evidências (anexo).</t>
  </si>
  <si>
    <t>Crédito Retroativo está com erro para TODOS os Clientes</t>
  </si>
  <si>
    <t>Crédito Retroativo está com erro para um único Cliente</t>
  </si>
  <si>
    <t>Falha de Login para um único Cliente</t>
  </si>
  <si>
    <t>Falha de Login para TODOS os Clientes</t>
  </si>
  <si>
    <t>Processo de Emissão Congênere com erro em TODOS os Trechos ou para TODOS os Clientes</t>
  </si>
  <si>
    <t>Processo de Emissão G3 com erro em TODOS os Trechos ou para TODOS os Clientes</t>
  </si>
  <si>
    <t>Processo de Emissão G3 com erro em apenas um Trecho ou para um Cliente Específico</t>
  </si>
  <si>
    <t>Processo de Emissão Congênere com erro em apenas um Trecho ou para um Cliente Específico</t>
  </si>
  <si>
    <t>Erros relacionados ao Smiles Pay (MENOS indisponibilidade)</t>
  </si>
  <si>
    <t>Erros relacionados ao Nível do Participante</t>
  </si>
  <si>
    <t>Erros no processamento de Transações</t>
  </si>
  <si>
    <t>Erros no processo de Merge</t>
  </si>
  <si>
    <t>Erros relacionados ao Clube Smiles</t>
  </si>
  <si>
    <t>Erros relacionados a Saldo Divergente</t>
  </si>
  <si>
    <t>Erros relacionados a Cobrança</t>
  </si>
  <si>
    <t>Saldo de milhas do cliente apresenta inconsistências, etc.</t>
  </si>
  <si>
    <t>Problema no processo de merge de clientes, etc.</t>
  </si>
  <si>
    <t>Erro no processamento de transações, etc.</t>
  </si>
  <si>
    <t>Erro no processamento de Nível do Participante ou datas erradas (prazos de expiração dos Tiers), etc.</t>
  </si>
  <si>
    <t>Problemas no Smiles Pay, etc.</t>
  </si>
  <si>
    <t>Apenas um cliente com problemas para solicitar seus créditos retroativos</t>
  </si>
  <si>
    <t>Erros relacionados à Bonificação de Emissão</t>
  </si>
  <si>
    <t>Erros relacionados à Bonificação de Revalidação de Milhas</t>
  </si>
  <si>
    <t>Erros relacionados à Bonificação de Transferência de Milhas</t>
  </si>
  <si>
    <t>Erros relacionados à Bonificação do Crédito Retroativo de Milhas</t>
  </si>
  <si>
    <t>Erros relacionados à Voucher</t>
  </si>
  <si>
    <t>Erros relacionados à Bonificação do Clube Smiles</t>
  </si>
  <si>
    <t>Erros relacionados à Bonificação de Compra de Milhas</t>
  </si>
  <si>
    <t>Outros erros não categorizados.</t>
  </si>
  <si>
    <t>Rótulos de Linha</t>
  </si>
  <si>
    <t>Erros de Site</t>
  </si>
  <si>
    <t>Erros de Siebel</t>
  </si>
  <si>
    <t>Erros no Amadeus</t>
  </si>
  <si>
    <t>Firewall</t>
  </si>
  <si>
    <t>Inclusão ou Alteração de Regra de Fiwewall</t>
  </si>
  <si>
    <t>Network / Link</t>
  </si>
  <si>
    <t>(vazio)</t>
  </si>
  <si>
    <t>Solicitações de Infra</t>
  </si>
  <si>
    <t>Deploy</t>
  </si>
  <si>
    <t>Solicitações de Deploys em geral.</t>
  </si>
  <si>
    <t>Soliciações de atualização de arquivos de configuração de aplicações em geral.</t>
  </si>
  <si>
    <t>Restart de instâncias do Weblogic, SOA, API-Gateway, etc.</t>
  </si>
  <si>
    <t>Flush de Memcache (limpar dados)</t>
  </si>
  <si>
    <t>Atualização de imagens no portal, javascript, CSS, etc.</t>
  </si>
  <si>
    <t>Criação de Certificado Digital (SSL)</t>
  </si>
  <si>
    <t>Tombamento de PROD para HOM, de HOM para DEV, de HOM para HOM.</t>
  </si>
  <si>
    <t>Alteração do Nível de Log da Aplicação via JMX</t>
  </si>
  <si>
    <t>Liferay, Weblogic, Banco de Dados, etc.</t>
  </si>
  <si>
    <t>Nova URL</t>
  </si>
  <si>
    <t>Aplicar Patch</t>
  </si>
  <si>
    <t>Criar URL</t>
  </si>
  <si>
    <t>Criar Ambiente</t>
  </si>
  <si>
    <t>Criar Certificado Digital (SSL)</t>
  </si>
  <si>
    <t>Aplicação não está enviando e-mail</t>
  </si>
  <si>
    <t>Incidentes de Infra</t>
  </si>
  <si>
    <t>Alterar permissionamento ou usuários de Aplicação, Banco de Dados, Console, Servidor, Bucket, Log, etc.</t>
  </si>
  <si>
    <t>Excluir usuários de Aplicação, Banco de Dados, Console, Servidor, Bucket, Log, etc.</t>
  </si>
  <si>
    <t>Criar usuários de Aplicação, Banco de Dados, Console, Servidor, Bucket, Log, etc.</t>
  </si>
  <si>
    <t>E-mail</t>
  </si>
  <si>
    <t>Criação ou Alteração de Grupos de E-mails</t>
  </si>
  <si>
    <t>Listas de Distribuição de E-mails departamentais, ex.: Jurídico, Marketing, Projeto ABC, etc.</t>
  </si>
  <si>
    <t>Criar ou ampliar quota de pasta ou diretório de rede</t>
  </si>
  <si>
    <t>Criar ou alterar entradas DNS</t>
  </si>
  <si>
    <t>Data Source, Mail Session, JMS, etc.</t>
  </si>
  <si>
    <t>Criar ou alterar componentes para aplicação</t>
  </si>
  <si>
    <t xml:space="preserve">Executar Refresh de Banco de Dados </t>
  </si>
  <si>
    <t>Executar Restart de Aplicação</t>
  </si>
  <si>
    <t>Executar Flush de Memcache (limpar dados)</t>
  </si>
  <si>
    <t>Executar Flush Akamai (limpar cache)</t>
  </si>
  <si>
    <t>Erros relacionados a Banco de Dados</t>
  </si>
  <si>
    <t>Aplicação lenta ou indisponível</t>
  </si>
  <si>
    <t>Erros na execução de Deploys em DEV</t>
  </si>
  <si>
    <t>Bounce do Princing</t>
  </si>
  <si>
    <t>Disponibilizar Log</t>
  </si>
  <si>
    <t>Log histórico compactado, etc.</t>
  </si>
  <si>
    <t>Erros relacionados a Certificados</t>
  </si>
  <si>
    <t>Erro de Conexão na VPN Smiles-AWS</t>
  </si>
  <si>
    <t>Erro de Conexão com Aplicações</t>
  </si>
  <si>
    <t>Siebel, Navitaire, Big Data, Integrador de Sites, Gateway Smiles, etc.</t>
  </si>
  <si>
    <t>Problemas entre a conexão Smiles - AWS.</t>
  </si>
  <si>
    <t>Integrar Aplicações</t>
  </si>
  <si>
    <t>Ex.: Cielo com Barramento, Bancob com API Gateway, etc.</t>
  </si>
  <si>
    <t>Erro na Integração entre Aplicações</t>
  </si>
  <si>
    <t>Dump de Banco de Dados ou Bucket do Liferay</t>
  </si>
  <si>
    <t>Sincronizar Bucket</t>
  </si>
  <si>
    <t>Sincronizar Bucket PROD com HOM, etc.</t>
  </si>
  <si>
    <t>Executar Scritps em Banco de Dados</t>
  </si>
  <si>
    <t>Atualizar Arquivo de Configuração de Aplicação</t>
  </si>
  <si>
    <t>Criação ou alteração de Tabelas, Inserção ou Deleção de Dados, etc.</t>
  </si>
  <si>
    <t xml:space="preserve">Criar job </t>
  </si>
  <si>
    <t>Criar ou alterar pasta no FTP</t>
  </si>
  <si>
    <t>Criação de processos batch (automatização)</t>
  </si>
  <si>
    <t>Informar destino, anexar os scripts e a periodicidade.</t>
  </si>
  <si>
    <t>Alterar agendamento de start-stop de Ambiente</t>
  </si>
  <si>
    <t>Informar qual ambiente e qual período.</t>
  </si>
  <si>
    <t>Informar o nome da pasta, quem deve ter permissão.</t>
  </si>
  <si>
    <t>Informar origem e destino e data prevista para execução da sincronização.</t>
  </si>
  <si>
    <t>Pasta / Diretório</t>
  </si>
  <si>
    <t>Informar o nome da pasta ou diretório que precisa ser criada, o espaço requerido (tamanho da pasta) e também os usuários que precisam ter acesso.</t>
  </si>
  <si>
    <t>Executar Deploy de Aplicação</t>
  </si>
  <si>
    <t>Informar o Pacote, Ambiente, Servidor e descrever o erro ou falha apresentado.</t>
  </si>
  <si>
    <t>Informar o Banco de Dados e anexar o script a ser executado.</t>
  </si>
  <si>
    <t>Informar a URL a ser criada, qual aplicação será apontada e também se é necessário Certificado Digital (SSL).</t>
  </si>
  <si>
    <t>Criar Infraestrutura para Aplicação</t>
  </si>
  <si>
    <t>Servidor, Banco de Dados, Cache, etc.</t>
  </si>
  <si>
    <t>Informar URL que precisa do Certificado.</t>
  </si>
  <si>
    <t>Informar o Memcache que precisa ser limpo.</t>
  </si>
  <si>
    <t>-</t>
  </si>
  <si>
    <t>Informar qual Aplicação precisa ser reiniciada, Ambiente em que se encontra e o respectivo IP.</t>
  </si>
  <si>
    <t>Infomar qual Banco de Dados de Origem e o Destino para o refresh.</t>
  </si>
  <si>
    <t>Informar qual é o Patch que precisa ser aplicado, Ambiente, Aplicação e também incluir o link do Patch ou anexá-lo ao chamado.</t>
  </si>
  <si>
    <t>Informar o alias e ser criado e também o tipo de entrada DNS relativo ao mesmo.</t>
  </si>
  <si>
    <t>Informar nome do appender, nível do log e período necessário.</t>
  </si>
  <si>
    <t>Criar novo ambiente completo (UAT, DEV).</t>
  </si>
  <si>
    <t>Informar o ambiente de referência (espelho).</t>
  </si>
  <si>
    <t>Informar o componente a ser criado ou alterado e suas especificações.</t>
  </si>
  <si>
    <t>Informar qual o Log necessário e o período da retenção.</t>
  </si>
  <si>
    <t>Infomar qual Banco de Dados e o Bucket a ser realizado o Dump.</t>
  </si>
  <si>
    <t>Informar quais Aplicações precisam ser integradas e anexar desenho da solução de integração.</t>
  </si>
  <si>
    <t>Infomar sizing da Infraestrutura (capacidade requerida) e anexar o desenho de arquitetura da solução.</t>
  </si>
  <si>
    <t>Certificado Expirado, Incorreto, Inativo</t>
  </si>
  <si>
    <t>Informar a Aplicação afetada e anexar o Log do Erro (caso aplicável).</t>
  </si>
  <si>
    <t>Informar o Banco de Dados que apresenta o erro e anexar o Log do Erro (caso aplicável).</t>
  </si>
  <si>
    <t>Informar a Aplicação que esta apresentando lentidão ou Indisponibilidade.</t>
  </si>
  <si>
    <t>Informar o Certificado que está apresentando Erro e anexar o Log do mesmo (caso aplicável).</t>
  </si>
  <si>
    <t>Informar o usuário de VPN com erro e e anexar o Log do Erro (caso aplicável).</t>
  </si>
  <si>
    <t>Informar Aplicações afetadas (origem e destino) ou seus componetes que apresentam erro e anexar o Log do Erro (caso aplicável).</t>
  </si>
  <si>
    <t xml:space="preserve">Precificação </t>
  </si>
  <si>
    <t>Restart do sistema de precificação.</t>
  </si>
  <si>
    <t>Informar data e hora da execução.</t>
  </si>
  <si>
    <t>Informar os IPs e Portas de Origem e Destino, Protocolo (TCP/UDP) e a regra de permissão ou bloqueio de conexão.</t>
  </si>
  <si>
    <t>Inclusão ou Alteração de Regra de Firewall.</t>
  </si>
  <si>
    <t>TI para TI</t>
  </si>
  <si>
    <t>Assunto</t>
  </si>
  <si>
    <t>Área</t>
  </si>
  <si>
    <t>1. Concessão de Acessos</t>
  </si>
  <si>
    <t>2. Revogação de Acessos</t>
  </si>
  <si>
    <t>3. Alteração de Perfil</t>
  </si>
  <si>
    <t>Alteração de permissionamentos específicos em Ferramentas ou Pastas/Diretórios.</t>
  </si>
  <si>
    <t>Alterar Permissionamentos Específicos</t>
  </si>
  <si>
    <t>Indisponibilidade Navitaire</t>
  </si>
  <si>
    <t>Navitaire lento ou indisponível para TODA a Central de Atendimento.</t>
  </si>
  <si>
    <t>Erros no Navitaire</t>
  </si>
  <si>
    <t>Erro no Arquivo Faturamento</t>
  </si>
  <si>
    <t>Execução pontual do Arquivo Faturamento</t>
  </si>
  <si>
    <t>Cliente cobrado erroneamente, pagamento em duplicidade, etc.</t>
  </si>
  <si>
    <t>Referente a Busca de Vôo, Emissão, Pagamento, etc.</t>
  </si>
  <si>
    <t>Falha na bonificação do cliente, bonificação a mais ou a menos, etc.</t>
  </si>
  <si>
    <t>Voucher com desconto incorreto, Voucher com data de expiração incorreta, etc.</t>
  </si>
  <si>
    <t>Não estão aparecendo as milhas para o cliente revalidar, etc.</t>
  </si>
  <si>
    <t>Falha na bonificação relacionada a emissões, etc.</t>
  </si>
  <si>
    <t>Falha na bonificação de transferências, etc.</t>
  </si>
  <si>
    <t>Falha na bonificação de crédito retroativo, etc.</t>
  </si>
  <si>
    <t>Erro ou Falha de Publicação de Conteúdo</t>
  </si>
  <si>
    <t>Publicações</t>
  </si>
  <si>
    <t>Erro ou Falha de Publicação de Motivos ou Promoções GOL / Parceiros Críticos</t>
  </si>
  <si>
    <t>GOL, Itaú, Bradesco, HSBC, Caixa Econômica, Santander e Banco do Brasil.</t>
  </si>
  <si>
    <t>Banners, Regulamentos, etc.</t>
  </si>
  <si>
    <t>Operações de TI</t>
  </si>
  <si>
    <t>BLOCKER</t>
  </si>
  <si>
    <t>BackOffice (Central de Atendimento)</t>
  </si>
  <si>
    <t>CRITICAL</t>
  </si>
  <si>
    <t>MAJOR</t>
  </si>
  <si>
    <t>MINOR</t>
  </si>
  <si>
    <t>Escritório / Informática</t>
  </si>
  <si>
    <t>Áreas de Negócio</t>
  </si>
  <si>
    <t>Cliente Smiles</t>
  </si>
  <si>
    <t>INFRA</t>
  </si>
  <si>
    <t>Informar o que está ocorrendo, data e hora da falha e incluir evidências do erro ou falha.</t>
  </si>
  <si>
    <t>Criar pasta/diretório ou ampliar quota</t>
  </si>
  <si>
    <t>Redes Wireless do escritório da Smiles.</t>
  </si>
  <si>
    <t>Informar em qual rede você está conectado, seu usuário de rede e o erro ou falha apresentada. Se possível, anexar um print de tela, evidenciando a situação.</t>
  </si>
  <si>
    <t>Informar em qual rede você que está conectado (ex. Wifi Guest, Wifi Corp, etc.).</t>
  </si>
  <si>
    <t>Informar em qual rede você que está conectado (ex. Wifi Guest, Wifi Corp, etc.) e o site em que não está conseguindo navegar.</t>
  </si>
  <si>
    <t>Solicitação de Ramal</t>
  </si>
  <si>
    <t>Configuração e Manutenção de Ramal</t>
  </si>
  <si>
    <t>Problemas com ramal ou ligações</t>
  </si>
  <si>
    <t>Configuração de Impressora</t>
  </si>
  <si>
    <t>Erro ou Falha de Impressão</t>
  </si>
  <si>
    <t>Verificação da Vídeo Conferência para uso</t>
  </si>
  <si>
    <t>Erro ou Falha da Vídeo Conferência</t>
  </si>
  <si>
    <t>Erros ou Falhas em equipamentos das Salas de Reunião</t>
  </si>
  <si>
    <t>Lentidão ou Indisponibilidade no acesso à Internet</t>
  </si>
  <si>
    <t>Não navega em um site específico</t>
  </si>
  <si>
    <t>Erro de conexão VPN</t>
  </si>
  <si>
    <t>Periféricos com mau funcionamento</t>
  </si>
  <si>
    <t>Configuração e Manutenção de Laptop</t>
  </si>
  <si>
    <t>Aquisição de Laptop e/ou Periféricos</t>
  </si>
  <si>
    <t>Perda e Roubo de Laptop</t>
  </si>
  <si>
    <t>Não consegue logar no Laptop ou na rede</t>
  </si>
  <si>
    <t>Não consegue acessar pasta ou diretório de rede</t>
  </si>
  <si>
    <t>Lentidão ou Indisponibilidade no acesso à rede</t>
  </si>
  <si>
    <t>Instalação de Software (padrão)</t>
  </si>
  <si>
    <t>Instalação de Software (não-padrão)</t>
  </si>
  <si>
    <t>Configuração ou Erro em Software (padrão)</t>
  </si>
  <si>
    <t>Configuração ou Erro em Software (não-padrão)</t>
  </si>
  <si>
    <t>Informar o nome do Grupo ou Lista de E-mails e os usuários que devem fazer parte do mesmo.</t>
  </si>
  <si>
    <t>Criação ou Alteração de Conta de E-mail</t>
  </si>
  <si>
    <t>Informar o usuário de rede, o nome do colaborador e as alterações necessárias (ex. tamanho da caixa de e-mail). Anexar e-mail de aprovação do gestor imediato.</t>
  </si>
  <si>
    <t xml:space="preserve"> Informar qual o erro, ID da Promoção com erro e anexar evidências do erro (ID da Transação, Print de Tela do erro).</t>
  </si>
  <si>
    <t>Erros relacionados na aplicação Amadeus (Selling)</t>
  </si>
  <si>
    <t>Erros relacionados ao Amadeus (Selling) para a Central de Atendimento.</t>
  </si>
  <si>
    <t>Outros</t>
  </si>
  <si>
    <t>Caso não tenha encontrado a opção adequada a sua necessidade, utilizar esta categoria de abertura de seu chamado</t>
  </si>
  <si>
    <t>Erros relacionados aos Produtos Compra, Reativação, Transferência, Clube Smiles, Gift</t>
  </si>
  <si>
    <t>Erros de site relacionados aos produtos (Compra, Reativação, Transferência, Clube Smiles, Gift), etc.</t>
  </si>
  <si>
    <t>Informar a Data e Hora em que o erro ocorreu, anexar o "Print de Tela" com o erro e descrever com detalhes a situação.
Especificar qual cliente (número Smiles).
Especificar o aparelho smartphone (iPhone, iPad ou Android).</t>
  </si>
  <si>
    <t>Atendimento Online (Emilia) não abre ou com lentidão</t>
  </si>
  <si>
    <t>Atendimento Online (Emilia) com alto volume de chamadas não logadas</t>
  </si>
  <si>
    <t>Erros no APP Smiles</t>
  </si>
  <si>
    <t>Um único cliente com dificuldade/erro para abrir o APP Smiles</t>
  </si>
  <si>
    <t>TODOS os clientes com dificuldade para abrir o APP Smiles</t>
  </si>
  <si>
    <t>APP não abre / não loga para um único Cliente</t>
  </si>
  <si>
    <t>APP não abre / não loga para TODOS os Clientes</t>
  </si>
  <si>
    <t>URA de Atendimento não está autenticando um único cliente</t>
  </si>
  <si>
    <t>O cliente informa número Smiles ou CPF e a Senha, mas a autenticação não está sendo feita.</t>
  </si>
  <si>
    <t>Informar a Data e Hora em que o erro ocorreu e descrever com detalhes a situação.
Especificar qual cliente (número Smiles).</t>
  </si>
  <si>
    <t>URA de Atendimento não está autenticando para TODOS os clientes</t>
  </si>
  <si>
    <t>Os clientes informam o número Smiles ou CPF e a Senha, mas a autenticação não está sendo feita.</t>
  </si>
  <si>
    <t>Informar a Data e Hora em que o erro ocorreu e descrever com detalhes a situação.</t>
  </si>
  <si>
    <t>Erros no Right Now</t>
  </si>
  <si>
    <t>Erros na URA</t>
  </si>
  <si>
    <t>Right Now não abre / não loga para um único Colaborador</t>
  </si>
  <si>
    <t>Right Now não abre / não loga para TODOS os Coloboradores</t>
  </si>
  <si>
    <t>Um único colaborador com dificuldade/erro para abrir ou logar no Right Now</t>
  </si>
  <si>
    <t>TODOS os colaboradores com dificuldade para abrir ou logar no Right Now</t>
  </si>
  <si>
    <t>Informar a Data e Hora em que o erro ocorreu, anexar o "Print de Tela" com o erro e descrever com detalhes a situação.
Especificar qual login do colaborador que está com problema</t>
  </si>
  <si>
    <t>Erros relacionados a envio e recebimento de e-mails.</t>
  </si>
  <si>
    <t xml:space="preserve">Informar o Código Smiles e o tipo de e-mail, exemplo: e-mail de voucher, promocional, emissão, resgate de milhas.
</t>
  </si>
  <si>
    <t>Erros relacionados a envio e recebimento de e-mail</t>
  </si>
  <si>
    <t>Informações para Auditoria Interna e Externa</t>
  </si>
  <si>
    <t>Relatórios, evidências e interações junto a auditoria interna e externa.</t>
  </si>
  <si>
    <t>Informar nome do relatório, data de execução ou nome do arquivo para que nos ajude no entendimento.</t>
  </si>
  <si>
    <t>Cielo - Erro no cadastro do parceiro</t>
  </si>
  <si>
    <t>Informar qual o parceiro, etapa do cadastro, número do estabelecimento, razão social (caso aplicável) e código do erro.</t>
  </si>
  <si>
    <t>Cielo - Erro no acúmulo/resgate</t>
  </si>
  <si>
    <t>Erro ao efeturar o cadastro de novos parceiros via Cielo</t>
  </si>
  <si>
    <t>Erro durante o processo de acúmulo ou resgate via Cielo</t>
  </si>
  <si>
    <t>Informar qual operação afetada (acúmulo ou resgate), parceiro, , número do estabelecimento, razão social (caso aplicável) e código do erro.</t>
  </si>
  <si>
    <t>Processo de checkout assíncrono</t>
  </si>
  <si>
    <t>Ero sistêmico ou de código</t>
  </si>
  <si>
    <t>Mensagem de erro/log</t>
  </si>
  <si>
    <t>Gateway de Pagamento - ADYEN</t>
  </si>
  <si>
    <t>Emissão sem Milhas</t>
  </si>
  <si>
    <t>Indisponibilidade do site Smiles</t>
  </si>
  <si>
    <t>Site Smiles lento ou indisponível</t>
  </si>
  <si>
    <t>Informar a Data e Horário do Erro, telefone e contato do Supervisor.</t>
  </si>
  <si>
    <t>Indisponibilidade do Siebel Loyalty</t>
  </si>
  <si>
    <t>Siebel Loyalty lento ou indisponível para TODA a Central de Atendimento.</t>
  </si>
  <si>
    <t>Informar a Data e Horário do Erro "Print de Tela", telefone e contato do Supervisor.</t>
  </si>
  <si>
    <t>APP - Processo de Emissão Congênere com erro em apenas um Trecho ou para um Cliente Específico</t>
  </si>
  <si>
    <t>APP - Processo de Emissão Congênere com erro em TODOS os Trechos ou para TODOS os Clientes</t>
  </si>
  <si>
    <t>APP - Processo de Emissão G3 com erro em apenas um Trecho ou para um Cliente Específico</t>
  </si>
  <si>
    <t>APP - Processo de Emissão G3 com erro em TODOS os Trechos ou para TODOS os Clientes</t>
  </si>
  <si>
    <t>Informar a Data e Hora em que o erro ocorreu, anexar a "Foto da Tela" com o erro e descrever com detalhes a situação.
Especificar qual cliente (número Smiles) e qual trecho está ocorrendo a falha.</t>
  </si>
  <si>
    <t>Informar a Data e Hora em que o erro ocorreu, anexar a "Foto da Tela" com o erro e descrever com detalhes a situação.</t>
  </si>
  <si>
    <t>Referente a Quitação do processo de Emissão sem Milhas</t>
  </si>
  <si>
    <t>Processo de Emissão sem Milhas com erro de Quitação e Pagamento para um Cliente Específico</t>
  </si>
  <si>
    <t>Processo de Emissão sem Milhas com erro de Cancelamento para um Cliente Específico</t>
  </si>
  <si>
    <t>Criar Novo Parceiro (Aéreo), Mapa de Distância</t>
  </si>
  <si>
    <t>Envio, Retenção ou Liberação de arquivos EDI</t>
  </si>
  <si>
    <t>Enviar, Reter ou Liberar arquivos EDI</t>
  </si>
  <si>
    <t>Informar o Alias do Parceiro e Sequencia do arquivo.</t>
  </si>
  <si>
    <t>Erro no processamento de arquivos de Crédito Retroativo.</t>
  </si>
  <si>
    <t>Erro no processamento de arquivo de Crédito Retroativo</t>
  </si>
  <si>
    <t>Cliente não está passando pela recorrência de pagamento, problema de cancelamento, etc.</t>
  </si>
  <si>
    <t>BI</t>
  </si>
  <si>
    <t>Problema com a carga de informações no BI</t>
  </si>
  <si>
    <t>Divergência de informações no BI</t>
  </si>
  <si>
    <t>Informar a tabela com divergência, XML, data e hora da falha e incluir evidências (anexo).</t>
  </si>
  <si>
    <t>Outras solicitações (BI)</t>
  </si>
  <si>
    <t>Performance das consultas</t>
  </si>
  <si>
    <t>Problemas com performance das consultas, relatórios</t>
  </si>
  <si>
    <t>Informar a tabela, data e hora da lentidão e incluir evidências (anexo).</t>
  </si>
  <si>
    <t>Indisponibilidade Siebel e/ou Aba Serviços</t>
  </si>
  <si>
    <t>Rocketmiles</t>
  </si>
  <si>
    <t>Rocketmiles não carrega, Erros na página da Rocketmiles</t>
  </si>
  <si>
    <t>Localiza</t>
  </si>
  <si>
    <t>Localiza não carrega, Erros na página da Localiza</t>
  </si>
  <si>
    <t>Rotinas</t>
  </si>
  <si>
    <t>Backup/Restore</t>
  </si>
  <si>
    <t>Erro de conexão/indisponibilidade</t>
  </si>
  <si>
    <t>VPN AWS</t>
  </si>
  <si>
    <t>DNS - Criação de apontamento/entrada</t>
  </si>
  <si>
    <t>DNS - Alteração de apontamento/entrada</t>
  </si>
  <si>
    <t>DNS - Remoção de apontamento/entrada</t>
  </si>
  <si>
    <t>Infra/Ambiente</t>
  </si>
  <si>
    <t>Alteração de ambiente</t>
  </si>
  <si>
    <t>Criação de ambiente</t>
  </si>
  <si>
    <t>Remoção de ambiente</t>
  </si>
  <si>
    <t>Banco de Dados</t>
  </si>
  <si>
    <t>Execução de script/job</t>
  </si>
  <si>
    <t>Agendamento de recurso (DBA)</t>
  </si>
  <si>
    <t>Monitoração AWS</t>
  </si>
  <si>
    <t>Informar o ID da instância e data de referência</t>
  </si>
  <si>
    <t>Informar a conta a ser removida</t>
  </si>
  <si>
    <t>Informar usuário com problema</t>
  </si>
  <si>
    <t>Cluster2GO</t>
  </si>
  <si>
    <t>Criação de rotina de backup EC2</t>
  </si>
  <si>
    <t>Solitação de Restore EC2</t>
  </si>
  <si>
    <t>Alteração de Senha de usuário VPN</t>
  </si>
  <si>
    <t>Solitação de Restore de Banco de Dados</t>
  </si>
  <si>
    <t>Criação de rotina de backup de Banco de Dados</t>
  </si>
  <si>
    <t>Solicitação de Instalador VPN AWS</t>
  </si>
  <si>
    <t>Informar domínio e entrada</t>
  </si>
  <si>
    <t xml:space="preserve">Não </t>
  </si>
  <si>
    <t>Lentidão de acessos utilizando conexão VPN</t>
  </si>
  <si>
    <t>Importação e Exportação de Banco de Dados</t>
  </si>
  <si>
    <t>Criação/Alteração de Monitoração em Banco de Dados</t>
  </si>
  <si>
    <t>Validação EDI Co-Branded</t>
  </si>
  <si>
    <t>Criação de usuário VPN AWS</t>
  </si>
  <si>
    <t>Remoção de usuário VPN AWS</t>
  </si>
  <si>
    <t>Lentidão VPN</t>
  </si>
  <si>
    <t>Alteração de acesso a ambiente</t>
  </si>
  <si>
    <t>Remoção de acesso a ambiente</t>
  </si>
  <si>
    <t>Solicitação de acesso a ambiente</t>
  </si>
  <si>
    <t>Análise de Performance</t>
  </si>
  <si>
    <t>Dump de Banco de Dados (importação/exportação)</t>
  </si>
  <si>
    <t>Criação de  Monitoração</t>
  </si>
  <si>
    <t>Alteração de  Monitoração</t>
  </si>
  <si>
    <t>Remoção de  Monitoração</t>
  </si>
  <si>
    <t>Analisar Alertas de Monitoração</t>
  </si>
  <si>
    <t>Criar/Alterar Notificação de Alertas</t>
  </si>
  <si>
    <t>Validação Acúmulo de Milhas: EDI</t>
  </si>
  <si>
    <t>Validação Acúmulo de Milhas: Online</t>
  </si>
  <si>
    <t>Validação Site: Emissões G3 e Congênere</t>
  </si>
  <si>
    <t>Validação Site: Adesão ao Clube Smiles</t>
  </si>
  <si>
    <t>Validação Site: Rocketmiles</t>
  </si>
  <si>
    <t>Validação Site: Localiza</t>
  </si>
  <si>
    <t>Acompanhamento Pontual: Recorrência Clube Smiles</t>
  </si>
  <si>
    <t>Rotina de Acompanhamento da Recorrência do Clube Smiles (todos os dias 05, 15 e 25 de cada mês).</t>
  </si>
  <si>
    <t>Rotina de validação do arquivo Co-Branded (seg. a sexta)</t>
  </si>
  <si>
    <t>Rotina Diária de Validação do Acúmulo de Minhas EDI</t>
  </si>
  <si>
    <t>Rotina Diária de Validação do Acúmulo de Milhas Online</t>
  </si>
  <si>
    <t>Rotina Diária de Validação de Adesões ao Clube Smiles</t>
  </si>
  <si>
    <t>Rotina Diária de Validação de Emissões G3 e Congênere</t>
  </si>
  <si>
    <t>Rotina Diária de Validação Localiza</t>
  </si>
  <si>
    <t>Rotina Diária de Validação Rocketmiles</t>
  </si>
  <si>
    <t>elaborado por CHACON Consultoria</t>
  </si>
  <si>
    <t>Informar o ID da instância e a periodicidade da retenção do backup</t>
  </si>
  <si>
    <t>Informar usuário com problema e anexar evidência (Print de Tela)</t>
  </si>
  <si>
    <t>Informar usuário que precisa ter a senha alterada</t>
  </si>
  <si>
    <t>Informar usuário que precisa do instalador</t>
  </si>
  <si>
    <t>Informar espeficicações necessárias para criação do ambiente</t>
  </si>
  <si>
    <t>Informar espeficicações necessárias para alteração do ambiente</t>
  </si>
  <si>
    <t>Informar qual ambiente será removido e respectivas especificações</t>
  </si>
  <si>
    <t xml:space="preserve">Informar detalhes da atividade a ser realizada e a respectiva data e horário </t>
  </si>
  <si>
    <t>Informar a monitoração desejada, o Banco de Dados e o Ambiente (Produção, Homologação e Desenvolvimento)</t>
  </si>
  <si>
    <t>Informar o  Nome completo, e-mail, cargo, CPF, telefone e ambiente (Produção, Homologação ou Desenvolvimento)</t>
  </si>
  <si>
    <t>Informar o  Nome completo, e-mail e ambiente (Produção, Homologação ou Desenvolvimento)</t>
  </si>
  <si>
    <t>Informar o Banco de Dados, o Ambiente (Produção, Homologação ou Desenvolvimento) e anexar o script a ser executado</t>
  </si>
  <si>
    <t>Informar o Banco de Dados e o Ambiente (Produção, Homologação ou Desenvolvimento) que precisa ser analisado</t>
  </si>
  <si>
    <t>Informar o Banco de Dados e o Ambiente (Produção, Homologação ou Desenvolvimento) e o destino do Dump</t>
  </si>
  <si>
    <t>Informar a monitoração e os thresholds desejados e também o Ambiente (Produção, Homologação e Desenvolvimento)</t>
  </si>
  <si>
    <t>Informar a monitoração que deve ser removida e também o Ambiente (Produção, Homologação e Desenvolvimento)</t>
  </si>
  <si>
    <t>Informar o alerta a ser analisado</t>
  </si>
  <si>
    <t>Informar qual alerta deve ter a nitificação alterada e qual público deverá passar a receber as notificações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</si>
</sst>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:ss;@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14" fontId="4" fillId="2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4" borderId="1" xfId="0" quotePrefix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7" fillId="7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indent="1"/>
    </xf>
    <xf numFmtId="0" fontId="7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 indent="1"/>
    </xf>
    <xf numFmtId="0" fontId="9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3" fillId="8" borderId="1" xfId="0" applyFont="1" applyFill="1" applyBorder="1" applyAlignment="1">
      <alignment horizontal="left" vertical="center" indent="1"/>
    </xf>
    <xf numFmtId="164" fontId="11" fillId="13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29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colors>
    <mruColors>
      <color rgb="FFFF3300"/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390C1B2-54BC-4726-8193-EBA95239FE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23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rge Filho" refreshedDate="42341.776958912036" createdVersion="6" refreshedVersion="6" minRefreshableVersion="3" recordCount="28">
  <cacheSource type="worksheet">
    <worksheetSource ref="A6:L35" sheet="CAT Cliente Smiles"/>
  </cacheSource>
  <cacheFields count="12">
    <cacheField name="Portal " numFmtId="0">
      <sharedItems count="1">
        <s v="Central de Atendimento"/>
      </sharedItems>
    </cacheField>
    <cacheField name="Produto ou Grupo" numFmtId="0">
      <sharedItems count="7">
        <s v="Erros de Promoção / Bonificação"/>
        <s v="Erros de Siebel"/>
        <s v="Erros no Amadeus"/>
        <s v="Erros de Site"/>
        <s v="Erros Site" u="1"/>
        <s v="Erros Siebel" u="1"/>
        <s v="Erros Amadeus" u="1"/>
      </sharedItems>
    </cacheField>
    <cacheField name="Item de Catálogo" numFmtId="0">
      <sharedItems count="28">
        <s v="Erros relacionados à Bonificação de Compra de Milhas"/>
        <s v="Erros relacionados à Bonificação do Clube Smiles"/>
        <s v="Erros relacionados à Voucher"/>
        <s v="Erros relacionados à Bonificação de Revalidação de Milhas"/>
        <s v="Erros relacionados à Bonificação de Emissão"/>
        <s v="Erros relacionados à Bonificação de Transferência de Milhas"/>
        <s v="Erros relacionados à Bonificação do Crédito Retroativo de Milhas"/>
        <s v="Erros relacionados a Cobrança"/>
        <s v="Erros relacionados a Saldo Divergente"/>
        <s v="Erros relacionados ao Clube Smiles"/>
        <s v="Erros no processo de Merge"/>
        <s v="Erros no processamento de Transações"/>
        <s v="Erros relacionados ao Nível do Participante"/>
        <s v="Erros relacionados ao Smiles Pay (MENOS indisponibilidade)"/>
        <s v="Indisponibilidade Siebel e/ou Smiles Pay"/>
        <s v="Indisponibilidade Amadeus"/>
        <s v="Erros relacionados aos Produtos Compra, Reativação, Transferência, Clube Smiles"/>
        <s v="Processo de Emissão G3 com erro em apenas um Trecho ou para um Cliente Específico"/>
        <s v="Processo de Emissão G3 com erro em TODOS os Trechos ou para TODOS os Clientes"/>
        <s v="Processo de Emissão Congênere com erro em apenas um Trecho ou para um Cliente Específico"/>
        <s v="Processo de Emissão Congênere com erro em TODOS os Trechos ou para TODOS os Clientes"/>
        <s v="Falha de Login para um único Cliente"/>
        <s v="Falha de Login para TODOS os Clientes"/>
        <s v="Shopping Smiles não abre para um único Cliente"/>
        <s v="Shopping Smiles não abre para TODOS os Clientes"/>
        <s v="Crédito Retroativo está com erro para um único Cliente"/>
        <s v="Crédito Retroativo está com erro para TODOS os Clientes"/>
        <s v="Outros erros não categorizados."/>
      </sharedItems>
    </cacheField>
    <cacheField name="Subtítulo" numFmtId="0">
      <sharedItems/>
    </cacheField>
    <cacheField name="Tipo de Chamado" numFmtId="0">
      <sharedItems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NonDate="0" containsString="0" containsBlank="1"/>
    </cacheField>
    <cacheField name="Anexo?" numFmtId="0">
      <sharedItems containsNonDate="0" containsString="0" containsBlank="1"/>
    </cacheField>
    <cacheField name="Atributos mínimos _x000a_para atendi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rge Filho" refreshedDate="42341.799928472225" createdVersion="6" refreshedVersion="6" minRefreshableVersion="3" recordCount="35">
  <cacheSource type="worksheet">
    <worksheetSource ref="A6:D20" sheet="CAT TIpTI"/>
  </cacheSource>
  <cacheFields count="4">
    <cacheField name="Portal " numFmtId="0">
      <sharedItems containsBlank="1" count="2">
        <s v="TI pra TI (Infra)"/>
        <m/>
      </sharedItems>
    </cacheField>
    <cacheField name="Produto ou Grupo" numFmtId="0">
      <sharedItems containsBlank="1" count="11">
        <s v="Acessos em TI"/>
        <s v="Middleware"/>
        <s v="Amazon"/>
        <s v="AD - Active Directory"/>
        <s v="DHCP"/>
        <s v="DNS"/>
        <s v="File Server"/>
        <s v="Network / Link"/>
        <s v="Proxy"/>
        <s v="Firewall"/>
        <m/>
      </sharedItems>
    </cacheField>
    <cacheField name="Item de Catálogo" numFmtId="0">
      <sharedItems containsBlank="1" count="26">
        <s v="Criar Acessos (TI)"/>
        <s v="Alterar Acessos (TI)"/>
        <s v="Revogar Acessos (TI)"/>
        <s v="Lentidão ou Indisponibilidade em Ambientes"/>
        <s v="Execução de Deploy"/>
        <s v="Atualização de Configuração de Aplicação"/>
        <s v="Erro ou Falha em Componentes"/>
        <s v="Criação de Componente"/>
        <s v="Alterar de Nível de Log"/>
        <s v="Rodar Script em Banco de Dados"/>
        <s v="Erro ou Falha relacionado a Amazon (AWS)"/>
        <s v="Solicitações gerais relacionadas a Amazon (AWS)"/>
        <s v="Erro ou Falha relacionado a AD - Active Directory"/>
        <s v="Solicitações gerais relacionadas a AD - Active Directory"/>
        <s v="Erro ou Falha relacionado a DHCP"/>
        <s v="Solicitações gerais relacionadas a DHCP"/>
        <s v="Erro ou Falha relacionado a DNS"/>
        <s v="Solicitações gerais relacionadas a DNS"/>
        <s v="Erro ou Falha relacionado a File Server"/>
        <s v="Solicitações gerais relacionadas a File Server"/>
        <s v="Erro ou Falha relacionado a Rede LAN (local), Rede WAN (MPLS ou Internet) e VPN."/>
        <s v="Solicitações gerais relacionadas a Rede LAN (local), Rede WAN (MPLS ou Internet) e VPN."/>
        <s v="Erro ou Falha relacionado a Proxy"/>
        <s v="Solicitações gerais relacionadas a Proxy"/>
        <s v="Inclusão ou Alteração de Regra de Fiwewall"/>
        <m/>
      </sharedItems>
    </cacheField>
    <cacheField name="Subtítulo" numFmtId="0">
      <sharedItems containsBlank="1" count="22">
        <s v="Em Banco de Dados, Console, Servidor, Bucket, Log, etc."/>
        <m/>
        <s v="Execução de Deploys em geral."/>
        <s v="Atualização de Configuração de Aplicações em geral."/>
        <s v="BD, Weblogic, Site/Aplicação, Memcache, Perda de Sessão, etc."/>
        <s v="BD, Weblogic, Site/Aplicação, Mdecache, Pcrda de Sessão, etc."/>
        <s v="BD, Weblogic, Site/Aplicação, Mdecache, Palda de Sessão, etc."/>
        <s v="BD, Weblogic, Site/Aplicação, Mdecache, Proda de Sessão, etc."/>
        <s v="Restart, Instância, ELB, Routing Table, RDS, etc."/>
        <s v="Autenticação, Usuário de Sistema expirado, etc."/>
        <s v="Grupos, Perfis, Usuário de Sistema, etc."/>
        <s v="Falha na distribuição de endereços IP, etc."/>
        <s v="Inclusão de novo range DHCP, etc."/>
        <s v="Erro ou Falha relacionado a DNS."/>
        <s v="Inclusão de alias DNS, criação de entradas DNS, etc."/>
        <s v="Diretório não acessível, falta de espaço em Diretório, etc."/>
        <s v="Criação de Diretórios de Rede, Alteração de Nome de Diretório de Rede, Configuração de Cota (espaço de armazenamento), etc."/>
        <s v="Problemas com Roteadores ou Switches, ex.: Problemas de conexão na rede LAN ou WAN (MPLS ou Internet)."/>
        <s v="Solicitações sobre Roteadores ou Switches, ex.: Inclusão ou Alteração de Rotas, Criação de NAT, etc."/>
        <s v="Problema de acesso a categorização de conteúdo, etc."/>
        <s v="Criação ou alteração de grupos ou perfis de acesso à Internet no Proxy, etc."/>
        <s v="Inclusão ou Alteração de Regra de Firewall, etc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">
  <r>
    <x v="0"/>
    <x v="0"/>
    <x v="0"/>
    <s v="Não entrou a quantidade de milhas esperada na conta do cliente_x000a_Cliente comprou e a quantindade de milhas cretidata estava errada"/>
    <s v="Incidente"/>
    <m/>
    <m/>
    <m/>
    <m/>
    <m/>
    <m/>
    <s v="Anexar a planilha padrão de chamados de promoção."/>
  </r>
  <r>
    <x v="0"/>
    <x v="0"/>
    <x v="1"/>
    <s v="Falha na bonificação do cliente."/>
    <s v="Incidente"/>
    <m/>
    <m/>
    <m/>
    <m/>
    <m/>
    <m/>
    <s v="Anexar a planilha padrão de chamados de promoção."/>
  </r>
  <r>
    <x v="0"/>
    <x v="0"/>
    <x v="2"/>
    <s v="Voucher com desconto incorreto_x000a_Voucher com data de expiração incorreta"/>
    <s v="Incidente"/>
    <m/>
    <m/>
    <m/>
    <m/>
    <m/>
    <m/>
    <s v="Anexar a planilha padrão de chamados de promoção."/>
  </r>
  <r>
    <x v="0"/>
    <x v="0"/>
    <x v="3"/>
    <s v="Não estão aparecendo as milhas para o cliente revalidar."/>
    <s v="Incidente"/>
    <m/>
    <m/>
    <m/>
    <m/>
    <m/>
    <m/>
    <s v="Anexar a planilha padrão de chamados de promoção."/>
  </r>
  <r>
    <x v="0"/>
    <x v="0"/>
    <x v="4"/>
    <s v="Falha na bonificação relacionada a emissões."/>
    <s v="Incidente"/>
    <m/>
    <m/>
    <m/>
    <m/>
    <m/>
    <m/>
    <s v="Anexar a planilha padrão de chamados de promoção."/>
  </r>
  <r>
    <x v="0"/>
    <x v="0"/>
    <x v="5"/>
    <s v="Falha na bonificação de transferências."/>
    <s v="Incidente"/>
    <m/>
    <m/>
    <m/>
    <m/>
    <m/>
    <m/>
    <s v="Anexar a planilha padrão de chamados de promoção."/>
  </r>
  <r>
    <x v="0"/>
    <x v="0"/>
    <x v="6"/>
    <s v="Falha na bonificação de crédito retroativo."/>
    <s v="Incidente"/>
    <m/>
    <m/>
    <m/>
    <m/>
    <m/>
    <m/>
    <s v="Anexar a planilha padrão de chamados de promoção."/>
  </r>
  <r>
    <x v="0"/>
    <x v="1"/>
    <x v="7"/>
    <s v="Cliente cobrado erroneamente, etc."/>
    <s v="Incidente"/>
    <m/>
    <m/>
    <m/>
    <m/>
    <m/>
    <m/>
    <s v="Informar o Código Smiles, Data do Erro e &quot;Print de Tela&quot; do Erro (caso aplicável)."/>
  </r>
  <r>
    <x v="0"/>
    <x v="1"/>
    <x v="8"/>
    <s v="Saldo de milhas do cliente apresenta inconsistências, etc."/>
    <s v="Incidente"/>
    <m/>
    <m/>
    <m/>
    <m/>
    <m/>
    <m/>
    <s v="Informar o Código Smiles, Data do Erro e &quot;Print de Tela&quot; do Erro (caso aplicável)."/>
  </r>
  <r>
    <x v="0"/>
    <x v="1"/>
    <x v="9"/>
    <s v="Cliente não está passando pela recorrência de pagamento, etc."/>
    <s v="Incidente"/>
    <m/>
    <m/>
    <m/>
    <m/>
    <m/>
    <m/>
    <s v="Informar o Código Smiles, Data do Erro e &quot;Print de Tela&quot; do Erro (caso aplicável)."/>
  </r>
  <r>
    <x v="0"/>
    <x v="1"/>
    <x v="10"/>
    <s v="Problema no processo de merge de clientes, etc."/>
    <s v="Incidente"/>
    <m/>
    <m/>
    <m/>
    <m/>
    <m/>
    <m/>
    <s v="Informar o Código Smiles, Data do Erro e &quot;Print de Tela&quot; do Erro (caso aplicável)."/>
  </r>
  <r>
    <x v="0"/>
    <x v="1"/>
    <x v="11"/>
    <s v="Erro no processamento de transações, etc."/>
    <s v="Incidente"/>
    <m/>
    <m/>
    <m/>
    <m/>
    <m/>
    <m/>
    <s v="Informar o Código Smiles, Data do Erro e &quot;Print de Tela&quot; do Erro (caso aplicável)."/>
  </r>
  <r>
    <x v="0"/>
    <x v="1"/>
    <x v="12"/>
    <s v="Erro no processamento de Nível do Participante ou datas erradas (prazos de expiração dos Tiers), etc."/>
    <s v="Incidente"/>
    <m/>
    <m/>
    <m/>
    <m/>
    <m/>
    <m/>
    <s v="Informar o Código Smiles, Data do Erro e &quot;Print de Tela&quot; do Erro (caso aplicável)."/>
  </r>
  <r>
    <x v="0"/>
    <x v="1"/>
    <x v="13"/>
    <s v="Problemas no Smiles Pay, etc."/>
    <s v="Incidente"/>
    <m/>
    <m/>
    <m/>
    <m/>
    <m/>
    <m/>
    <s v="Informar o Código Smiles, Data do Erro e &quot;Print de Tela&quot; do Erro (caso aplicável)."/>
  </r>
  <r>
    <x v="0"/>
    <x v="1"/>
    <x v="14"/>
    <s v="Siebel e/ou Smiles Pay lento ou indisponível para TODA a Central de Atendimento."/>
    <s v="Incidente_Crítico"/>
    <m/>
    <m/>
    <m/>
    <m/>
    <m/>
    <m/>
    <s v="Informar a Data do Erro e &quot;Print de Tela&quot; do Erro (caso aplicável)."/>
  </r>
  <r>
    <x v="0"/>
    <x v="2"/>
    <x v="15"/>
    <s v="Amadeus lento ou indisponível para TODA a Central de Atendimento."/>
    <s v="Incidente_Crítico"/>
    <m/>
    <m/>
    <m/>
    <m/>
    <m/>
    <m/>
    <s v="Informar a Data do Erro e &quot;Print de Tela&quot; do Erro (caso aplicável)."/>
  </r>
  <r>
    <x v="0"/>
    <x v="3"/>
    <x v="16"/>
    <s v="Erros de site relacionados aos produtos (Compra, Reativação, Transferência, Clube Smiles), etc."/>
    <s v="Incidente"/>
    <m/>
    <m/>
    <m/>
    <m/>
    <m/>
    <m/>
    <s v="Informar a Data e Hora em que o erro ocorreu, anexar o &quot;Print de Tela&quot; com o erro e descrever com detalhes a situação."/>
  </r>
  <r>
    <x v="0"/>
    <x v="3"/>
    <x v="17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18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19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20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1"/>
    <s v="Um único cliente com dificuldade/erro para logar no site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2"/>
    <s v="TODOS os clientes com dificuldade para logar no site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3"/>
    <s v="Um único cliente com dificuldade/erro para abrir o Shopping Smiles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4"/>
    <s v="TODOS os clientes com dificuldade para abrir o Shopping Smile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5"/>
    <s v="Apenas um cliente com problemas para solicitar seus créditos retroativos"/>
    <s v="Incidente"/>
    <m/>
    <m/>
    <m/>
    <m/>
    <m/>
    <m/>
    <s v="Informar a Data e Hora em que o erro ocorreu, anexar o &quot;Print de Tela&quot; com o erro e descrever com detalhes a situação._x000a_Especificar qual cliente (número Smiles) e as informações sobre o vôo que o cliente está tentando solicitar o crédito."/>
  </r>
  <r>
    <x v="0"/>
    <x v="3"/>
    <x v="26"/>
    <s v="TODOS os clientes com problemas para solicitar seus créditos retroativo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7"/>
    <s v="Caso não tenha encontrado a opção adequada, utilizar esta categoria para abrir seu chamado."/>
    <s v="Incidente"/>
    <m/>
    <m/>
    <m/>
    <m/>
    <m/>
    <m/>
    <s v="Informar detalhadamente sua necessidade ou falha identificada, para que possamos compreendê-la e prover a adequada tratativa. Caso possua algum documento ou &quot;print de tela&quot; que nos ajude no entendimento, favor anexar ao chamado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</r>
  <r>
    <x v="0"/>
    <x v="0"/>
    <x v="1"/>
    <x v="0"/>
  </r>
  <r>
    <x v="0"/>
    <x v="0"/>
    <x v="2"/>
    <x v="0"/>
  </r>
  <r>
    <x v="0"/>
    <x v="1"/>
    <x v="3"/>
    <x v="1"/>
  </r>
  <r>
    <x v="0"/>
    <x v="1"/>
    <x v="4"/>
    <x v="2"/>
  </r>
  <r>
    <x v="0"/>
    <x v="1"/>
    <x v="5"/>
    <x v="3"/>
  </r>
  <r>
    <x v="0"/>
    <x v="1"/>
    <x v="6"/>
    <x v="4"/>
  </r>
  <r>
    <x v="0"/>
    <x v="1"/>
    <x v="7"/>
    <x v="5"/>
  </r>
  <r>
    <x v="0"/>
    <x v="1"/>
    <x v="8"/>
    <x v="6"/>
  </r>
  <r>
    <x v="0"/>
    <x v="1"/>
    <x v="9"/>
    <x v="7"/>
  </r>
  <r>
    <x v="0"/>
    <x v="2"/>
    <x v="10"/>
    <x v="8"/>
  </r>
  <r>
    <x v="0"/>
    <x v="2"/>
    <x v="11"/>
    <x v="8"/>
  </r>
  <r>
    <x v="0"/>
    <x v="3"/>
    <x v="12"/>
    <x v="9"/>
  </r>
  <r>
    <x v="0"/>
    <x v="3"/>
    <x v="13"/>
    <x v="10"/>
  </r>
  <r>
    <x v="0"/>
    <x v="4"/>
    <x v="14"/>
    <x v="11"/>
  </r>
  <r>
    <x v="0"/>
    <x v="4"/>
    <x v="15"/>
    <x v="12"/>
  </r>
  <r>
    <x v="0"/>
    <x v="5"/>
    <x v="16"/>
    <x v="13"/>
  </r>
  <r>
    <x v="0"/>
    <x v="5"/>
    <x v="17"/>
    <x v="14"/>
  </r>
  <r>
    <x v="0"/>
    <x v="6"/>
    <x v="18"/>
    <x v="15"/>
  </r>
  <r>
    <x v="0"/>
    <x v="6"/>
    <x v="19"/>
    <x v="16"/>
  </r>
  <r>
    <x v="0"/>
    <x v="7"/>
    <x v="20"/>
    <x v="17"/>
  </r>
  <r>
    <x v="0"/>
    <x v="7"/>
    <x v="21"/>
    <x v="18"/>
  </r>
  <r>
    <x v="0"/>
    <x v="8"/>
    <x v="22"/>
    <x v="19"/>
  </r>
  <r>
    <x v="0"/>
    <x v="8"/>
    <x v="23"/>
    <x v="20"/>
  </r>
  <r>
    <x v="0"/>
    <x v="9"/>
    <x v="24"/>
    <x v="2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7:C13" firstHeaderRow="1" firstDataRow="1" firstDataCol="1"/>
  <pivotFields count="12">
    <pivotField axis="axisRow" showAll="0">
      <items count="2">
        <item x="0"/>
        <item t="default"/>
      </items>
    </pivotField>
    <pivotField axis="axisRow" showAll="0">
      <items count="8">
        <item sd="0" m="1" x="6"/>
        <item sd="0" x="0"/>
        <item sd="0" m="1" x="5"/>
        <item sd="0" m="1" x="4"/>
        <item sd="0" x="1"/>
        <item sd="0" x="2"/>
        <item sd="0" x="3"/>
        <item t="default"/>
      </items>
    </pivotField>
    <pivotField axis="axisRow" showAll="0">
      <items count="29">
        <item x="26"/>
        <item x="25"/>
        <item x="11"/>
        <item x="10"/>
        <item x="0"/>
        <item x="4"/>
        <item x="3"/>
        <item x="5"/>
        <item x="1"/>
        <item x="6"/>
        <item x="7"/>
        <item x="8"/>
        <item x="2"/>
        <item x="9"/>
        <item x="12"/>
        <item x="13"/>
        <item x="16"/>
        <item x="22"/>
        <item x="21"/>
        <item x="15"/>
        <item x="14"/>
        <item x="27"/>
        <item x="19"/>
        <item x="20"/>
        <item x="17"/>
        <item x="18"/>
        <item x="24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6">
    <i>
      <x/>
    </i>
    <i r="1">
      <x v="1"/>
    </i>
    <i r="1">
      <x v="4"/>
    </i>
    <i r="1">
      <x v="5"/>
    </i>
    <i r="1"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dinâmica3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16:C29" firstHeaderRow="1" firstDataRow="1" firstDataCol="1"/>
  <pivotFields count="4">
    <pivotField axis="axisRow" showAll="0">
      <items count="3">
        <item x="0"/>
        <item sd="0" x="1"/>
        <item t="default"/>
      </items>
    </pivotField>
    <pivotField axis="axisRow" showAll="0">
      <items count="12">
        <item sd="0" x="0"/>
        <item sd="0" x="3"/>
        <item sd="0" x="2"/>
        <item sd="0" x="4"/>
        <item sd="0" x="5"/>
        <item sd="0" x="6"/>
        <item sd="0" x="9"/>
        <item sd="0" x="1"/>
        <item sd="0" x="7"/>
        <item sd="0" x="8"/>
        <item x="10"/>
        <item t="default"/>
      </items>
    </pivotField>
    <pivotField axis="axisRow" showAll="0">
      <items count="27">
        <item x="1"/>
        <item x="8"/>
        <item x="5"/>
        <item x="7"/>
        <item x="0"/>
        <item x="6"/>
        <item x="12"/>
        <item x="10"/>
        <item x="14"/>
        <item x="16"/>
        <item sd="0" x="18"/>
        <item x="22"/>
        <item sd="0" x="20"/>
        <item x="4"/>
        <item sd="0" x="24"/>
        <item x="3"/>
        <item x="2"/>
        <item x="9"/>
        <item x="13"/>
        <item x="11"/>
        <item x="15"/>
        <item x="17"/>
        <item sd="0" x="19"/>
        <item x="23"/>
        <item sd="0" x="21"/>
        <item x="25"/>
        <item t="default"/>
      </items>
    </pivotField>
    <pivotField axis="axisRow" showAll="0">
      <items count="23">
        <item x="3"/>
        <item x="9"/>
        <item x="6"/>
        <item x="5"/>
        <item x="7"/>
        <item x="4"/>
        <item x="16"/>
        <item x="20"/>
        <item x="15"/>
        <item x="0"/>
        <item x="13"/>
        <item x="2"/>
        <item x="11"/>
        <item x="10"/>
        <item x="14"/>
        <item x="12"/>
        <item x="21"/>
        <item x="19"/>
        <item x="17"/>
        <item x="8"/>
        <item x="18"/>
        <item x="1"/>
        <item t="default"/>
      </items>
    </pivotField>
  </pivotFields>
  <rowFields count="4">
    <field x="0"/>
    <field x="1"/>
    <field x="2"/>
    <field x="3"/>
  </rowFields>
  <rowItems count="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3"/>
  <sheetViews>
    <sheetView showGridLines="0" tabSelected="1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8.75" x14ac:dyDescent="0.25"/>
  <cols>
    <col min="1" max="1" width="27.85546875" style="27" customWidth="1"/>
    <col min="2" max="2" width="22.28515625" style="27" customWidth="1"/>
    <col min="3" max="3" width="46.28515625" style="11" customWidth="1"/>
    <col min="4" max="4" width="55.140625" style="21" customWidth="1"/>
    <col min="5" max="5" width="5.5703125" style="31" customWidth="1"/>
    <col min="6" max="6" width="16.42578125" style="11" customWidth="1"/>
    <col min="7" max="7" width="18.42578125" style="11" customWidth="1"/>
    <col min="8" max="8" width="13.7109375" style="11" customWidth="1"/>
    <col min="9" max="9" width="13.85546875" style="11" customWidth="1"/>
    <col min="10" max="10" width="14.5703125" style="11" customWidth="1"/>
    <col min="11" max="12" width="13.7109375" style="17" customWidth="1"/>
    <col min="13" max="13" width="60.7109375" style="21" customWidth="1"/>
    <col min="14" max="16384" width="9.140625" style="11"/>
  </cols>
  <sheetData>
    <row r="1" spans="1:13" x14ac:dyDescent="0.25">
      <c r="A1" s="25"/>
      <c r="B1" s="52" t="s">
        <v>1</v>
      </c>
      <c r="C1" s="52"/>
      <c r="D1" s="18"/>
      <c r="E1" s="29"/>
      <c r="F1" s="9"/>
      <c r="G1" s="9"/>
      <c r="H1" s="9"/>
      <c r="I1" s="9"/>
      <c r="J1" s="9"/>
      <c r="K1" s="10"/>
      <c r="L1" s="10"/>
      <c r="M1" s="18"/>
    </row>
    <row r="2" spans="1:13" ht="15.75" x14ac:dyDescent="0.25">
      <c r="A2" s="25"/>
      <c r="B2" s="52"/>
      <c r="C2" s="52"/>
      <c r="D2" s="45"/>
      <c r="E2" s="45"/>
      <c r="F2" s="45"/>
      <c r="G2" s="45"/>
      <c r="H2" s="45"/>
      <c r="I2" s="45"/>
      <c r="J2" s="45"/>
      <c r="K2" s="12"/>
      <c r="L2" s="12"/>
      <c r="M2" s="18"/>
    </row>
    <row r="3" spans="1:13" ht="15" customHeight="1" x14ac:dyDescent="0.25">
      <c r="A3" s="25"/>
      <c r="B3" s="53" t="s">
        <v>0</v>
      </c>
      <c r="C3" s="53"/>
      <c r="D3" s="46"/>
      <c r="E3" s="46"/>
      <c r="F3" s="46"/>
      <c r="G3" s="46"/>
      <c r="H3" s="46"/>
      <c r="I3" s="46"/>
      <c r="J3" s="46"/>
      <c r="K3" s="2"/>
      <c r="L3" s="2"/>
      <c r="M3" s="18"/>
    </row>
    <row r="4" spans="1:13" ht="15" customHeight="1" x14ac:dyDescent="0.25">
      <c r="A4" s="25"/>
      <c r="B4" s="53"/>
      <c r="C4" s="53"/>
      <c r="D4" s="46"/>
      <c r="E4" s="46"/>
      <c r="F4" s="46"/>
      <c r="G4" s="46"/>
      <c r="H4" s="46"/>
      <c r="I4" s="46"/>
      <c r="J4" s="46"/>
      <c r="K4" s="2"/>
      <c r="L4" s="2"/>
      <c r="M4" s="19" t="s">
        <v>577</v>
      </c>
    </row>
    <row r="5" spans="1:13" x14ac:dyDescent="0.25">
      <c r="A5" s="25"/>
      <c r="B5" s="25"/>
      <c r="C5" s="9"/>
      <c r="D5" s="18"/>
      <c r="E5" s="29"/>
      <c r="F5" s="9"/>
      <c r="G5" s="9"/>
      <c r="H5" s="9"/>
      <c r="I5" s="9"/>
      <c r="J5" s="9"/>
      <c r="K5" s="10"/>
      <c r="L5" s="10"/>
      <c r="M5" s="20">
        <v>42836</v>
      </c>
    </row>
    <row r="6" spans="1:13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7" t="s">
        <v>88</v>
      </c>
      <c r="F6" s="5" t="s">
        <v>6</v>
      </c>
      <c r="G6" s="5" t="s">
        <v>11</v>
      </c>
      <c r="H6" s="5" t="s">
        <v>8</v>
      </c>
      <c r="I6" s="5" t="s">
        <v>9</v>
      </c>
      <c r="J6" s="5" t="s">
        <v>10</v>
      </c>
      <c r="K6" s="7" t="s">
        <v>12</v>
      </c>
      <c r="L6" s="7" t="s">
        <v>15</v>
      </c>
      <c r="M6" s="7" t="s">
        <v>13</v>
      </c>
    </row>
    <row r="7" spans="1:13" ht="51" customHeight="1" x14ac:dyDescent="0.25">
      <c r="A7" s="26" t="s">
        <v>536</v>
      </c>
      <c r="B7" s="50" t="s">
        <v>519</v>
      </c>
      <c r="C7" s="13" t="s">
        <v>541</v>
      </c>
      <c r="D7" s="15" t="s">
        <v>346</v>
      </c>
      <c r="E7" s="30">
        <f>LEN(D7)</f>
        <v>1</v>
      </c>
      <c r="F7" s="14" t="s">
        <v>17</v>
      </c>
      <c r="G7" s="33" t="s">
        <v>536</v>
      </c>
      <c r="H7" s="51"/>
      <c r="I7" s="51"/>
      <c r="J7" s="51"/>
      <c r="K7" s="14" t="s">
        <v>14</v>
      </c>
      <c r="L7" s="14" t="s">
        <v>18</v>
      </c>
      <c r="M7" s="15" t="s">
        <v>578</v>
      </c>
    </row>
    <row r="8" spans="1:13" ht="51" customHeight="1" x14ac:dyDescent="0.25">
      <c r="A8" s="26" t="s">
        <v>536</v>
      </c>
      <c r="B8" s="50" t="s">
        <v>519</v>
      </c>
      <c r="C8" s="13" t="s">
        <v>537</v>
      </c>
      <c r="D8" s="15" t="s">
        <v>346</v>
      </c>
      <c r="E8" s="30">
        <f>LEN(D8)</f>
        <v>1</v>
      </c>
      <c r="F8" s="14" t="s">
        <v>17</v>
      </c>
      <c r="G8" s="33" t="s">
        <v>536</v>
      </c>
      <c r="H8" s="51"/>
      <c r="I8" s="51"/>
      <c r="J8" s="51"/>
      <c r="K8" s="14" t="s">
        <v>14</v>
      </c>
      <c r="L8" s="14" t="s">
        <v>544</v>
      </c>
      <c r="M8" s="15" t="s">
        <v>578</v>
      </c>
    </row>
    <row r="9" spans="1:13" ht="51" customHeight="1" x14ac:dyDescent="0.25">
      <c r="A9" s="26" t="s">
        <v>536</v>
      </c>
      <c r="B9" s="50" t="s">
        <v>519</v>
      </c>
      <c r="C9" s="13" t="s">
        <v>540</v>
      </c>
      <c r="D9" s="15" t="s">
        <v>346</v>
      </c>
      <c r="E9" s="30">
        <f>LEN(D9)</f>
        <v>1</v>
      </c>
      <c r="F9" s="14" t="s">
        <v>17</v>
      </c>
      <c r="G9" s="33" t="s">
        <v>536</v>
      </c>
      <c r="H9" s="51"/>
      <c r="I9" s="51"/>
      <c r="J9" s="51"/>
      <c r="K9" s="14" t="s">
        <v>14</v>
      </c>
      <c r="L9" s="14" t="s">
        <v>18</v>
      </c>
      <c r="M9" s="15" t="s">
        <v>533</v>
      </c>
    </row>
    <row r="10" spans="1:13" ht="51" customHeight="1" x14ac:dyDescent="0.25">
      <c r="A10" s="26" t="s">
        <v>536</v>
      </c>
      <c r="B10" s="50" t="s">
        <v>519</v>
      </c>
      <c r="C10" s="13" t="s">
        <v>538</v>
      </c>
      <c r="D10" s="15" t="s">
        <v>346</v>
      </c>
      <c r="E10" s="30">
        <f>LEN(D10)</f>
        <v>1</v>
      </c>
      <c r="F10" s="14" t="s">
        <v>17</v>
      </c>
      <c r="G10" s="33" t="s">
        <v>536</v>
      </c>
      <c r="H10" s="51"/>
      <c r="I10" s="51"/>
      <c r="J10" s="51"/>
      <c r="K10" s="14" t="s">
        <v>14</v>
      </c>
      <c r="L10" s="14" t="s">
        <v>18</v>
      </c>
      <c r="M10" s="15" t="s">
        <v>533</v>
      </c>
    </row>
    <row r="11" spans="1:13" ht="51" customHeight="1" x14ac:dyDescent="0.25">
      <c r="A11" s="26" t="s">
        <v>536</v>
      </c>
      <c r="B11" s="50" t="s">
        <v>529</v>
      </c>
      <c r="C11" s="13" t="s">
        <v>531</v>
      </c>
      <c r="D11" s="15" t="s">
        <v>346</v>
      </c>
      <c r="E11" s="30">
        <f>LEN(D11)</f>
        <v>1</v>
      </c>
      <c r="F11" s="14" t="s">
        <v>17</v>
      </c>
      <c r="G11" s="33" t="s">
        <v>536</v>
      </c>
      <c r="H11" s="51"/>
      <c r="I11" s="51"/>
      <c r="J11" s="51"/>
      <c r="K11" s="14" t="s">
        <v>14</v>
      </c>
      <c r="L11" s="14" t="s">
        <v>18</v>
      </c>
      <c r="M11" s="15" t="s">
        <v>585</v>
      </c>
    </row>
    <row r="12" spans="1:13" ht="51" customHeight="1" x14ac:dyDescent="0.25">
      <c r="A12" s="26" t="s">
        <v>536</v>
      </c>
      <c r="B12" s="50" t="s">
        <v>529</v>
      </c>
      <c r="C12" s="13" t="s">
        <v>555</v>
      </c>
      <c r="D12" s="15" t="s">
        <v>346</v>
      </c>
      <c r="E12" s="30">
        <f>LEN(D12)</f>
        <v>1</v>
      </c>
      <c r="F12" s="14" t="s">
        <v>17</v>
      </c>
      <c r="G12" s="33" t="s">
        <v>536</v>
      </c>
      <c r="H12" s="51"/>
      <c r="I12" s="51"/>
      <c r="J12" s="51"/>
      <c r="K12" s="14" t="s">
        <v>14</v>
      </c>
      <c r="L12" s="14" t="s">
        <v>18</v>
      </c>
      <c r="M12" s="15" t="s">
        <v>590</v>
      </c>
    </row>
    <row r="13" spans="1:13" ht="51" customHeight="1" x14ac:dyDescent="0.25">
      <c r="A13" s="26" t="s">
        <v>536</v>
      </c>
      <c r="B13" s="50" t="s">
        <v>529</v>
      </c>
      <c r="C13" s="13" t="s">
        <v>547</v>
      </c>
      <c r="D13" s="15" t="s">
        <v>346</v>
      </c>
      <c r="E13" s="30">
        <f>LEN(D13)</f>
        <v>1</v>
      </c>
      <c r="F13" s="14" t="s">
        <v>17</v>
      </c>
      <c r="G13" s="33" t="s">
        <v>536</v>
      </c>
      <c r="H13" s="51"/>
      <c r="I13" s="51"/>
      <c r="J13" s="51"/>
      <c r="K13" s="14" t="s">
        <v>14</v>
      </c>
      <c r="L13" s="14" t="s">
        <v>18</v>
      </c>
      <c r="M13" s="15" t="s">
        <v>586</v>
      </c>
    </row>
    <row r="14" spans="1:13" ht="51" customHeight="1" x14ac:dyDescent="0.25">
      <c r="A14" s="26" t="s">
        <v>536</v>
      </c>
      <c r="B14" s="50" t="s">
        <v>529</v>
      </c>
      <c r="C14" s="13" t="s">
        <v>556</v>
      </c>
      <c r="D14" s="15" t="s">
        <v>546</v>
      </c>
      <c r="E14" s="30">
        <f>LEN(D14)</f>
        <v>41</v>
      </c>
      <c r="F14" s="14" t="s">
        <v>17</v>
      </c>
      <c r="G14" s="33" t="s">
        <v>536</v>
      </c>
      <c r="H14" s="51"/>
      <c r="I14" s="51"/>
      <c r="J14" s="51"/>
      <c r="K14" s="14" t="s">
        <v>14</v>
      </c>
      <c r="L14" s="14" t="s">
        <v>18</v>
      </c>
      <c r="M14" s="15" t="s">
        <v>591</v>
      </c>
    </row>
    <row r="15" spans="1:13" ht="51" customHeight="1" x14ac:dyDescent="0.25">
      <c r="A15" s="26" t="s">
        <v>536</v>
      </c>
      <c r="B15" s="50" t="s">
        <v>529</v>
      </c>
      <c r="C15" s="13" t="s">
        <v>530</v>
      </c>
      <c r="D15" s="15" t="s">
        <v>346</v>
      </c>
      <c r="E15" s="30">
        <f>LEN(D15)</f>
        <v>1</v>
      </c>
      <c r="F15" s="14" t="s">
        <v>17</v>
      </c>
      <c r="G15" s="33" t="s">
        <v>536</v>
      </c>
      <c r="H15" s="51"/>
      <c r="I15" s="51"/>
      <c r="J15" s="51"/>
      <c r="K15" s="14" t="s">
        <v>14</v>
      </c>
      <c r="L15" s="14" t="s">
        <v>18</v>
      </c>
      <c r="M15" s="15" t="s">
        <v>589</v>
      </c>
    </row>
    <row r="16" spans="1:13" ht="51" customHeight="1" x14ac:dyDescent="0.25">
      <c r="A16" s="26" t="s">
        <v>536</v>
      </c>
      <c r="B16" s="50" t="s">
        <v>525</v>
      </c>
      <c r="C16" s="13" t="s">
        <v>552</v>
      </c>
      <c r="D16" s="15" t="s">
        <v>346</v>
      </c>
      <c r="E16" s="30">
        <f>LEN(D16)</f>
        <v>1</v>
      </c>
      <c r="F16" s="14" t="s">
        <v>17</v>
      </c>
      <c r="G16" s="33" t="s">
        <v>536</v>
      </c>
      <c r="H16" s="51"/>
      <c r="I16" s="51"/>
      <c r="J16" s="51"/>
      <c r="K16" s="14" t="s">
        <v>14</v>
      </c>
      <c r="L16" s="14" t="s">
        <v>544</v>
      </c>
      <c r="M16" s="15" t="s">
        <v>588</v>
      </c>
    </row>
    <row r="17" spans="1:13" ht="51" customHeight="1" x14ac:dyDescent="0.25">
      <c r="A17" s="26" t="s">
        <v>536</v>
      </c>
      <c r="B17" s="50" t="s">
        <v>525</v>
      </c>
      <c r="C17" s="13" t="s">
        <v>526</v>
      </c>
      <c r="D17" s="15" t="s">
        <v>346</v>
      </c>
      <c r="E17" s="30">
        <f>LEN(D17)</f>
        <v>1</v>
      </c>
      <c r="F17" s="14" t="s">
        <v>17</v>
      </c>
      <c r="G17" s="33" t="s">
        <v>536</v>
      </c>
      <c r="H17" s="51"/>
      <c r="I17" s="51"/>
      <c r="J17" s="51"/>
      <c r="K17" s="14" t="s">
        <v>14</v>
      </c>
      <c r="L17" s="14" t="s">
        <v>18</v>
      </c>
      <c r="M17" s="15" t="s">
        <v>583</v>
      </c>
    </row>
    <row r="18" spans="1:13" ht="51" customHeight="1" x14ac:dyDescent="0.25">
      <c r="A18" s="26" t="s">
        <v>536</v>
      </c>
      <c r="B18" s="50" t="s">
        <v>525</v>
      </c>
      <c r="C18" s="13" t="s">
        <v>527</v>
      </c>
      <c r="D18" s="15" t="s">
        <v>346</v>
      </c>
      <c r="E18" s="30">
        <f>LEN(D18)</f>
        <v>1</v>
      </c>
      <c r="F18" s="14" t="s">
        <v>17</v>
      </c>
      <c r="G18" s="33" t="s">
        <v>536</v>
      </c>
      <c r="H18" s="51"/>
      <c r="I18" s="51"/>
      <c r="J18" s="51"/>
      <c r="K18" s="14" t="s">
        <v>14</v>
      </c>
      <c r="L18" s="14" t="s">
        <v>18</v>
      </c>
      <c r="M18" s="15" t="s">
        <v>582</v>
      </c>
    </row>
    <row r="19" spans="1:13" ht="51" customHeight="1" x14ac:dyDescent="0.25">
      <c r="A19" s="26" t="s">
        <v>536</v>
      </c>
      <c r="B19" s="50" t="s">
        <v>525</v>
      </c>
      <c r="C19" s="13" t="s">
        <v>523</v>
      </c>
      <c r="D19" s="15" t="s">
        <v>346</v>
      </c>
      <c r="E19" s="30">
        <f>LEN(D19)</f>
        <v>1</v>
      </c>
      <c r="F19" s="14" t="s">
        <v>17</v>
      </c>
      <c r="G19" s="33" t="s">
        <v>536</v>
      </c>
      <c r="H19" s="51"/>
      <c r="I19" s="51"/>
      <c r="J19" s="51"/>
      <c r="K19" s="14" t="s">
        <v>14</v>
      </c>
      <c r="L19" s="14" t="s">
        <v>18</v>
      </c>
      <c r="M19" s="15" t="s">
        <v>543</v>
      </c>
    </row>
    <row r="20" spans="1:13" ht="51" customHeight="1" x14ac:dyDescent="0.25">
      <c r="A20" s="26" t="s">
        <v>536</v>
      </c>
      <c r="B20" s="50" t="s">
        <v>525</v>
      </c>
      <c r="C20" s="13" t="s">
        <v>522</v>
      </c>
      <c r="D20" s="15" t="s">
        <v>346</v>
      </c>
      <c r="E20" s="30">
        <f>LEN(D20)</f>
        <v>1</v>
      </c>
      <c r="F20" s="14" t="s">
        <v>17</v>
      </c>
      <c r="G20" s="33" t="s">
        <v>536</v>
      </c>
      <c r="H20" s="51"/>
      <c r="I20" s="51"/>
      <c r="J20" s="51"/>
      <c r="K20" s="14" t="s">
        <v>14</v>
      </c>
      <c r="L20" s="14" t="s">
        <v>18</v>
      </c>
      <c r="M20" s="15" t="s">
        <v>543</v>
      </c>
    </row>
    <row r="21" spans="1:13" ht="51" customHeight="1" x14ac:dyDescent="0.25">
      <c r="A21" s="26" t="s">
        <v>536</v>
      </c>
      <c r="B21" s="50" t="s">
        <v>525</v>
      </c>
      <c r="C21" s="13" t="s">
        <v>524</v>
      </c>
      <c r="D21" s="15" t="s">
        <v>346</v>
      </c>
      <c r="E21" s="30">
        <f>LEN(D21)</f>
        <v>1</v>
      </c>
      <c r="F21" s="14" t="s">
        <v>17</v>
      </c>
      <c r="G21" s="33" t="s">
        <v>536</v>
      </c>
      <c r="H21" s="51"/>
      <c r="I21" s="51"/>
      <c r="J21" s="51"/>
      <c r="K21" s="14" t="s">
        <v>14</v>
      </c>
      <c r="L21" s="14" t="s">
        <v>18</v>
      </c>
      <c r="M21" s="15" t="s">
        <v>543</v>
      </c>
    </row>
    <row r="22" spans="1:13" ht="51" customHeight="1" x14ac:dyDescent="0.25">
      <c r="A22" s="26" t="s">
        <v>536</v>
      </c>
      <c r="B22" s="50" t="s">
        <v>525</v>
      </c>
      <c r="C22" s="13" t="s">
        <v>553</v>
      </c>
      <c r="D22" s="15" t="s">
        <v>346</v>
      </c>
      <c r="E22" s="30">
        <f>LEN(D22)</f>
        <v>1</v>
      </c>
      <c r="F22" s="14" t="s">
        <v>17</v>
      </c>
      <c r="G22" s="33" t="s">
        <v>536</v>
      </c>
      <c r="H22" s="51"/>
      <c r="I22" s="51"/>
      <c r="J22" s="51"/>
      <c r="K22" s="14" t="s">
        <v>14</v>
      </c>
      <c r="L22" s="14" t="s">
        <v>18</v>
      </c>
      <c r="M22" s="15" t="s">
        <v>588</v>
      </c>
    </row>
    <row r="23" spans="1:13" ht="51" customHeight="1" x14ac:dyDescent="0.25">
      <c r="A23" s="26" t="s">
        <v>536</v>
      </c>
      <c r="B23" s="50" t="s">
        <v>525</v>
      </c>
      <c r="C23" s="13" t="s">
        <v>528</v>
      </c>
      <c r="D23" s="15" t="s">
        <v>346</v>
      </c>
      <c r="E23" s="30">
        <f>LEN(D23)</f>
        <v>1</v>
      </c>
      <c r="F23" s="14" t="s">
        <v>17</v>
      </c>
      <c r="G23" s="33" t="s">
        <v>536</v>
      </c>
      <c r="H23" s="51"/>
      <c r="I23" s="51"/>
      <c r="J23" s="51"/>
      <c r="K23" s="14" t="s">
        <v>14</v>
      </c>
      <c r="L23" s="14" t="s">
        <v>18</v>
      </c>
      <c r="M23" s="15" t="s">
        <v>584</v>
      </c>
    </row>
    <row r="24" spans="1:13" ht="51" customHeight="1" x14ac:dyDescent="0.25">
      <c r="A24" s="26" t="s">
        <v>536</v>
      </c>
      <c r="B24" s="50" t="s">
        <v>525</v>
      </c>
      <c r="C24" s="13" t="s">
        <v>554</v>
      </c>
      <c r="D24" s="15" t="s">
        <v>346</v>
      </c>
      <c r="E24" s="30">
        <f>LEN(D24)</f>
        <v>1</v>
      </c>
      <c r="F24" s="14" t="s">
        <v>17</v>
      </c>
      <c r="G24" s="33" t="s">
        <v>536</v>
      </c>
      <c r="H24" s="51"/>
      <c r="I24" s="51"/>
      <c r="J24" s="51"/>
      <c r="K24" s="14" t="s">
        <v>14</v>
      </c>
      <c r="L24" s="14" t="s">
        <v>18</v>
      </c>
      <c r="M24" s="15" t="s">
        <v>588</v>
      </c>
    </row>
    <row r="25" spans="1:13" ht="51" customHeight="1" x14ac:dyDescent="0.25">
      <c r="A25" s="26" t="s">
        <v>536</v>
      </c>
      <c r="B25" s="50" t="s">
        <v>532</v>
      </c>
      <c r="C25" s="13" t="s">
        <v>558</v>
      </c>
      <c r="D25" s="15" t="s">
        <v>346</v>
      </c>
      <c r="E25" s="30">
        <f>LEN(D25)</f>
        <v>1</v>
      </c>
      <c r="F25" s="14" t="s">
        <v>17</v>
      </c>
      <c r="G25" s="33" t="s">
        <v>536</v>
      </c>
      <c r="H25" s="51"/>
      <c r="I25" s="51"/>
      <c r="J25" s="51"/>
      <c r="K25" s="14" t="s">
        <v>14</v>
      </c>
      <c r="L25" s="14" t="s">
        <v>18</v>
      </c>
      <c r="M25" s="15" t="s">
        <v>592</v>
      </c>
    </row>
    <row r="26" spans="1:13" ht="51" customHeight="1" x14ac:dyDescent="0.25">
      <c r="A26" s="26" t="s">
        <v>536</v>
      </c>
      <c r="B26" s="50" t="s">
        <v>532</v>
      </c>
      <c r="C26" s="13" t="s">
        <v>560</v>
      </c>
      <c r="D26" s="15" t="s">
        <v>346</v>
      </c>
      <c r="E26" s="30">
        <f>LEN(D26)</f>
        <v>1</v>
      </c>
      <c r="F26" s="14" t="s">
        <v>17</v>
      </c>
      <c r="G26" s="33" t="s">
        <v>536</v>
      </c>
      <c r="H26" s="51"/>
      <c r="I26" s="51"/>
      <c r="J26" s="51"/>
      <c r="K26" s="14" t="s">
        <v>14</v>
      </c>
      <c r="L26" s="14" t="s">
        <v>18</v>
      </c>
      <c r="M26" s="15" t="s">
        <v>594</v>
      </c>
    </row>
    <row r="27" spans="1:13" ht="51" customHeight="1" x14ac:dyDescent="0.25">
      <c r="A27" s="26" t="s">
        <v>536</v>
      </c>
      <c r="B27" s="50" t="s">
        <v>532</v>
      </c>
      <c r="C27" s="13" t="s">
        <v>557</v>
      </c>
      <c r="D27" s="15" t="s">
        <v>346</v>
      </c>
      <c r="E27" s="30">
        <f>LEN(D27)</f>
        <v>1</v>
      </c>
      <c r="F27" s="14" t="s">
        <v>17</v>
      </c>
      <c r="G27" s="33" t="s">
        <v>536</v>
      </c>
      <c r="H27" s="51"/>
      <c r="I27" s="51"/>
      <c r="J27" s="51"/>
      <c r="K27" s="14" t="s">
        <v>14</v>
      </c>
      <c r="L27" s="14" t="s">
        <v>18</v>
      </c>
      <c r="M27" s="15" t="s">
        <v>592</v>
      </c>
    </row>
    <row r="28" spans="1:13" ht="51" customHeight="1" x14ac:dyDescent="0.25">
      <c r="A28" s="26" t="s">
        <v>536</v>
      </c>
      <c r="B28" s="50" t="s">
        <v>532</v>
      </c>
      <c r="C28" s="13" t="s">
        <v>561</v>
      </c>
      <c r="D28" s="15" t="s">
        <v>346</v>
      </c>
      <c r="E28" s="30">
        <f>LEN(D28)</f>
        <v>1</v>
      </c>
      <c r="F28" s="14" t="s">
        <v>17</v>
      </c>
      <c r="G28" s="33" t="s">
        <v>536</v>
      </c>
      <c r="H28" s="51"/>
      <c r="I28" s="51"/>
      <c r="J28" s="51"/>
      <c r="K28" s="14" t="s">
        <v>14</v>
      </c>
      <c r="L28" s="14" t="s">
        <v>18</v>
      </c>
      <c r="M28" s="15" t="s">
        <v>595</v>
      </c>
    </row>
    <row r="29" spans="1:13" ht="51" customHeight="1" x14ac:dyDescent="0.25">
      <c r="A29" s="26" t="s">
        <v>536</v>
      </c>
      <c r="B29" s="50" t="s">
        <v>532</v>
      </c>
      <c r="C29" s="13" t="s">
        <v>559</v>
      </c>
      <c r="D29" s="15" t="s">
        <v>346</v>
      </c>
      <c r="E29" s="30">
        <f>LEN(D29)</f>
        <v>1</v>
      </c>
      <c r="F29" s="14" t="s">
        <v>17</v>
      </c>
      <c r="G29" s="33" t="s">
        <v>536</v>
      </c>
      <c r="H29" s="51"/>
      <c r="I29" s="51"/>
      <c r="J29" s="51"/>
      <c r="K29" s="14" t="s">
        <v>14</v>
      </c>
      <c r="L29" s="14" t="s">
        <v>18</v>
      </c>
      <c r="M29" s="15" t="s">
        <v>593</v>
      </c>
    </row>
    <row r="30" spans="1:13" ht="51" customHeight="1" x14ac:dyDescent="0.25">
      <c r="A30" s="26" t="s">
        <v>536</v>
      </c>
      <c r="B30" s="50" t="s">
        <v>518</v>
      </c>
      <c r="C30" s="13" t="s">
        <v>568</v>
      </c>
      <c r="D30" s="15" t="s">
        <v>569</v>
      </c>
      <c r="E30" s="30">
        <f>LEN(D30)</f>
        <v>96</v>
      </c>
      <c r="F30" s="14" t="s">
        <v>17</v>
      </c>
      <c r="G30" s="33" t="s">
        <v>536</v>
      </c>
      <c r="H30" s="51"/>
      <c r="I30" s="51"/>
      <c r="J30" s="51"/>
      <c r="K30" s="14" t="s">
        <v>18</v>
      </c>
      <c r="L30" s="14" t="s">
        <v>18</v>
      </c>
      <c r="M30" s="15" t="s">
        <v>346</v>
      </c>
    </row>
    <row r="31" spans="1:13" ht="51" customHeight="1" x14ac:dyDescent="0.25">
      <c r="A31" s="26" t="s">
        <v>536</v>
      </c>
      <c r="B31" s="50" t="s">
        <v>518</v>
      </c>
      <c r="C31" s="13" t="s">
        <v>562</v>
      </c>
      <c r="D31" s="15" t="s">
        <v>571</v>
      </c>
      <c r="E31" s="30">
        <f>LEN(D31)</f>
        <v>51</v>
      </c>
      <c r="F31" s="14" t="s">
        <v>17</v>
      </c>
      <c r="G31" s="33" t="s">
        <v>536</v>
      </c>
      <c r="H31" s="51"/>
      <c r="I31" s="51"/>
      <c r="J31" s="51"/>
      <c r="K31" s="14" t="s">
        <v>18</v>
      </c>
      <c r="L31" s="14" t="s">
        <v>18</v>
      </c>
      <c r="M31" s="15" t="s">
        <v>346</v>
      </c>
    </row>
    <row r="32" spans="1:13" ht="51" customHeight="1" x14ac:dyDescent="0.25">
      <c r="A32" s="26" t="s">
        <v>536</v>
      </c>
      <c r="B32" s="50" t="s">
        <v>518</v>
      </c>
      <c r="C32" s="13" t="s">
        <v>563</v>
      </c>
      <c r="D32" s="15" t="s">
        <v>572</v>
      </c>
      <c r="E32" s="30">
        <f>LEN(D32)</f>
        <v>54</v>
      </c>
      <c r="F32" s="14" t="s">
        <v>17</v>
      </c>
      <c r="G32" s="33" t="s">
        <v>536</v>
      </c>
      <c r="H32" s="51"/>
      <c r="I32" s="51"/>
      <c r="J32" s="51"/>
      <c r="K32" s="14" t="s">
        <v>18</v>
      </c>
      <c r="L32" s="14" t="s">
        <v>18</v>
      </c>
      <c r="M32" s="15" t="s">
        <v>346</v>
      </c>
    </row>
    <row r="33" spans="1:13" ht="51" customHeight="1" x14ac:dyDescent="0.25">
      <c r="A33" s="26" t="s">
        <v>536</v>
      </c>
      <c r="B33" s="50" t="s">
        <v>518</v>
      </c>
      <c r="C33" s="13" t="s">
        <v>548</v>
      </c>
      <c r="D33" s="15" t="s">
        <v>570</v>
      </c>
      <c r="E33" s="30">
        <f>LEN(D33)</f>
        <v>56</v>
      </c>
      <c r="F33" s="14" t="s">
        <v>17</v>
      </c>
      <c r="G33" s="33" t="s">
        <v>536</v>
      </c>
      <c r="H33" s="51"/>
      <c r="I33" s="51"/>
      <c r="J33" s="51"/>
      <c r="K33" s="14" t="s">
        <v>18</v>
      </c>
      <c r="L33" s="14" t="s">
        <v>18</v>
      </c>
      <c r="M33" s="15" t="s">
        <v>346</v>
      </c>
    </row>
    <row r="34" spans="1:13" ht="51" customHeight="1" x14ac:dyDescent="0.25">
      <c r="A34" s="26" t="s">
        <v>536</v>
      </c>
      <c r="B34" s="50" t="s">
        <v>518</v>
      </c>
      <c r="C34" s="13" t="s">
        <v>565</v>
      </c>
      <c r="D34" s="15" t="s">
        <v>573</v>
      </c>
      <c r="E34" s="30">
        <f>LEN(D34)</f>
        <v>53</v>
      </c>
      <c r="F34" s="14" t="s">
        <v>17</v>
      </c>
      <c r="G34" s="33" t="s">
        <v>536</v>
      </c>
      <c r="H34" s="51"/>
      <c r="I34" s="51"/>
      <c r="J34" s="51"/>
      <c r="K34" s="14" t="s">
        <v>18</v>
      </c>
      <c r="L34" s="14" t="s">
        <v>18</v>
      </c>
      <c r="M34" s="15" t="s">
        <v>346</v>
      </c>
    </row>
    <row r="35" spans="1:13" ht="51" customHeight="1" x14ac:dyDescent="0.25">
      <c r="A35" s="26" t="s">
        <v>536</v>
      </c>
      <c r="B35" s="50" t="s">
        <v>518</v>
      </c>
      <c r="C35" s="13" t="s">
        <v>564</v>
      </c>
      <c r="D35" s="15" t="s">
        <v>574</v>
      </c>
      <c r="E35" s="30">
        <f>LEN(D35)</f>
        <v>53</v>
      </c>
      <c r="F35" s="14" t="s">
        <v>17</v>
      </c>
      <c r="G35" s="33" t="s">
        <v>536</v>
      </c>
      <c r="H35" s="51"/>
      <c r="I35" s="51"/>
      <c r="J35" s="51"/>
      <c r="K35" s="14" t="s">
        <v>18</v>
      </c>
      <c r="L35" s="14" t="s">
        <v>18</v>
      </c>
      <c r="M35" s="15" t="s">
        <v>346</v>
      </c>
    </row>
    <row r="36" spans="1:13" ht="51" customHeight="1" x14ac:dyDescent="0.25">
      <c r="A36" s="26" t="s">
        <v>536</v>
      </c>
      <c r="B36" s="50" t="s">
        <v>518</v>
      </c>
      <c r="C36" s="13" t="s">
        <v>567</v>
      </c>
      <c r="D36" s="15" t="s">
        <v>575</v>
      </c>
      <c r="E36" s="30">
        <f>LEN(D36)</f>
        <v>35</v>
      </c>
      <c r="F36" s="14" t="s">
        <v>17</v>
      </c>
      <c r="G36" s="33" t="s">
        <v>536</v>
      </c>
      <c r="H36" s="51"/>
      <c r="I36" s="51"/>
      <c r="J36" s="51"/>
      <c r="K36" s="14" t="s">
        <v>18</v>
      </c>
      <c r="L36" s="14" t="s">
        <v>18</v>
      </c>
      <c r="M36" s="15" t="s">
        <v>346</v>
      </c>
    </row>
    <row r="37" spans="1:13" ht="51" customHeight="1" x14ac:dyDescent="0.25">
      <c r="A37" s="26" t="s">
        <v>536</v>
      </c>
      <c r="B37" s="50" t="s">
        <v>518</v>
      </c>
      <c r="C37" s="13" t="s">
        <v>566</v>
      </c>
      <c r="D37" s="15" t="s">
        <v>576</v>
      </c>
      <c r="E37" s="30">
        <f>LEN(D37)</f>
        <v>38</v>
      </c>
      <c r="F37" s="14" t="s">
        <v>17</v>
      </c>
      <c r="G37" s="33" t="s">
        <v>536</v>
      </c>
      <c r="H37" s="51"/>
      <c r="I37" s="51"/>
      <c r="J37" s="51"/>
      <c r="K37" s="14" t="s">
        <v>18</v>
      </c>
      <c r="L37" s="14" t="s">
        <v>18</v>
      </c>
      <c r="M37" s="15" t="s">
        <v>346</v>
      </c>
    </row>
    <row r="38" spans="1:13" ht="51" customHeight="1" x14ac:dyDescent="0.25">
      <c r="A38" s="26" t="s">
        <v>536</v>
      </c>
      <c r="B38" s="50" t="s">
        <v>521</v>
      </c>
      <c r="C38" s="13" t="s">
        <v>539</v>
      </c>
      <c r="D38" s="15" t="s">
        <v>346</v>
      </c>
      <c r="E38" s="30">
        <f>LEN(D38)</f>
        <v>1</v>
      </c>
      <c r="F38" s="14" t="s">
        <v>17</v>
      </c>
      <c r="G38" s="33" t="s">
        <v>536</v>
      </c>
      <c r="H38" s="51"/>
      <c r="I38" s="51"/>
      <c r="J38" s="51"/>
      <c r="K38" s="14" t="s">
        <v>14</v>
      </c>
      <c r="L38" s="14" t="s">
        <v>18</v>
      </c>
      <c r="M38" s="15" t="s">
        <v>580</v>
      </c>
    </row>
    <row r="39" spans="1:13" ht="51" customHeight="1" x14ac:dyDescent="0.25">
      <c r="A39" s="26" t="s">
        <v>536</v>
      </c>
      <c r="B39" s="50" t="s">
        <v>521</v>
      </c>
      <c r="C39" s="13" t="s">
        <v>549</v>
      </c>
      <c r="D39" s="15" t="s">
        <v>346</v>
      </c>
      <c r="E39" s="30">
        <f>LEN(D39)</f>
        <v>1</v>
      </c>
      <c r="F39" s="14" t="s">
        <v>17</v>
      </c>
      <c r="G39" s="33" t="s">
        <v>536</v>
      </c>
      <c r="H39" s="51"/>
      <c r="I39" s="51"/>
      <c r="J39" s="51"/>
      <c r="K39" s="14" t="s">
        <v>14</v>
      </c>
      <c r="L39" s="14" t="s">
        <v>544</v>
      </c>
      <c r="M39" s="15" t="s">
        <v>587</v>
      </c>
    </row>
    <row r="40" spans="1:13" ht="51" customHeight="1" x14ac:dyDescent="0.25">
      <c r="A40" s="26" t="s">
        <v>536</v>
      </c>
      <c r="B40" s="50" t="s">
        <v>521</v>
      </c>
      <c r="C40" s="13" t="s">
        <v>520</v>
      </c>
      <c r="D40" s="15" t="s">
        <v>346</v>
      </c>
      <c r="E40" s="30">
        <f>LEN(D40)</f>
        <v>1</v>
      </c>
      <c r="F40" s="14" t="s">
        <v>47</v>
      </c>
      <c r="G40" s="33" t="s">
        <v>536</v>
      </c>
      <c r="H40" s="51"/>
      <c r="I40" s="51"/>
      <c r="J40" s="51"/>
      <c r="K40" s="14" t="s">
        <v>14</v>
      </c>
      <c r="L40" s="14" t="s">
        <v>14</v>
      </c>
      <c r="M40" s="15" t="s">
        <v>579</v>
      </c>
    </row>
    <row r="41" spans="1:13" ht="51" customHeight="1" x14ac:dyDescent="0.25">
      <c r="A41" s="26" t="s">
        <v>536</v>
      </c>
      <c r="B41" s="50" t="s">
        <v>521</v>
      </c>
      <c r="C41" s="13" t="s">
        <v>551</v>
      </c>
      <c r="D41" s="15" t="s">
        <v>545</v>
      </c>
      <c r="E41" s="30">
        <f>LEN(D41)</f>
        <v>42</v>
      </c>
      <c r="F41" s="14" t="s">
        <v>47</v>
      </c>
      <c r="G41" s="33" t="s">
        <v>536</v>
      </c>
      <c r="H41" s="51"/>
      <c r="I41" s="51"/>
      <c r="J41" s="51"/>
      <c r="K41" s="14" t="s">
        <v>14</v>
      </c>
      <c r="L41" s="14" t="s">
        <v>18</v>
      </c>
      <c r="M41" s="15" t="s">
        <v>535</v>
      </c>
    </row>
    <row r="42" spans="1:13" ht="51" customHeight="1" x14ac:dyDescent="0.25">
      <c r="A42" s="26" t="s">
        <v>536</v>
      </c>
      <c r="B42" s="50" t="s">
        <v>521</v>
      </c>
      <c r="C42" s="13" t="s">
        <v>550</v>
      </c>
      <c r="D42" s="15" t="s">
        <v>346</v>
      </c>
      <c r="E42" s="30">
        <f>LEN(D42)</f>
        <v>1</v>
      </c>
      <c r="F42" s="14" t="s">
        <v>17</v>
      </c>
      <c r="G42" s="33" t="s">
        <v>536</v>
      </c>
      <c r="H42" s="51"/>
      <c r="I42" s="51"/>
      <c r="J42" s="51"/>
      <c r="K42" s="14" t="s">
        <v>14</v>
      </c>
      <c r="L42" s="14" t="s">
        <v>18</v>
      </c>
      <c r="M42" s="15" t="s">
        <v>534</v>
      </c>
    </row>
    <row r="43" spans="1:13" ht="51" customHeight="1" x14ac:dyDescent="0.25">
      <c r="A43" s="26" t="s">
        <v>536</v>
      </c>
      <c r="B43" s="50" t="s">
        <v>521</v>
      </c>
      <c r="C43" s="13" t="s">
        <v>542</v>
      </c>
      <c r="D43" s="15" t="s">
        <v>346</v>
      </c>
      <c r="E43" s="30">
        <f>LEN(D43)</f>
        <v>1</v>
      </c>
      <c r="F43" s="14" t="s">
        <v>17</v>
      </c>
      <c r="G43" s="33" t="s">
        <v>536</v>
      </c>
      <c r="H43" s="51"/>
      <c r="I43" s="51"/>
      <c r="J43" s="51"/>
      <c r="K43" s="14" t="s">
        <v>14</v>
      </c>
      <c r="L43" s="14" t="s">
        <v>544</v>
      </c>
      <c r="M43" s="15" t="s">
        <v>581</v>
      </c>
    </row>
  </sheetData>
  <autoFilter ref="A6:M6"/>
  <sortState ref="A7:M43">
    <sortCondition ref="B7:B43"/>
    <sortCondition ref="C7:C43"/>
  </sortState>
  <mergeCells count="2">
    <mergeCell ref="B3:C4"/>
    <mergeCell ref="B1:C2"/>
  </mergeCells>
  <conditionalFormatting sqref="E7:E43">
    <cfRule type="cellIs" dxfId="27" priority="9" operator="greaterThan">
      <formula>104</formula>
    </cfRule>
  </conditionalFormatting>
  <conditionalFormatting sqref="E7">
    <cfRule type="cellIs" dxfId="26" priority="6" operator="greaterThan">
      <formula>104</formula>
    </cfRule>
  </conditionalFormatting>
  <conditionalFormatting sqref="E37:E43">
    <cfRule type="cellIs" dxfId="25" priority="5" operator="greaterThan">
      <formula>104</formula>
    </cfRule>
  </conditionalFormatting>
  <conditionalFormatting sqref="E8">
    <cfRule type="cellIs" dxfId="24" priority="4" operator="greaterThan">
      <formula>104</formula>
    </cfRule>
  </conditionalFormatting>
  <conditionalFormatting sqref="E10">
    <cfRule type="cellIs" dxfId="23" priority="3" operator="greaterThan">
      <formula>104</formula>
    </cfRule>
  </conditionalFormatting>
  <conditionalFormatting sqref="E14">
    <cfRule type="cellIs" dxfId="22" priority="2" operator="greaterThan">
      <formula>104</formula>
    </cfRule>
  </conditionalFormatting>
  <conditionalFormatting sqref="E15">
    <cfRule type="cellIs" dxfId="21" priority="1" operator="greaterThan">
      <formula>104</formula>
    </cfRule>
  </conditionalFormatting>
  <dataValidations count="1">
    <dataValidation type="list" allowBlank="1" showInputMessage="1" showErrorMessage="1" sqref="K7:L43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54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7" sqref="A7"/>
    </sheetView>
  </sheetViews>
  <sheetFormatPr defaultRowHeight="15" x14ac:dyDescent="0.25"/>
  <cols>
    <col min="1" max="1" width="27.85546875" style="27" customWidth="1"/>
    <col min="2" max="2" width="31.28515625" style="27" customWidth="1"/>
    <col min="3" max="3" width="58.5703125" style="11" customWidth="1"/>
    <col min="4" max="4" width="55.140625" style="21" customWidth="1"/>
    <col min="5" max="5" width="16.42578125" style="11" bestFit="1" customWidth="1"/>
    <col min="6" max="6" width="18.42578125" style="11" customWidth="1"/>
    <col min="7" max="7" width="13.7109375" style="11" customWidth="1"/>
    <col min="8" max="8" width="13.85546875" style="11" bestFit="1" customWidth="1"/>
    <col min="9" max="9" width="14.5703125" style="11" bestFit="1" customWidth="1"/>
    <col min="10" max="11" width="13.7109375" style="17" customWidth="1"/>
    <col min="12" max="12" width="60.7109375" style="21" customWidth="1"/>
    <col min="13" max="16384" width="9.140625" style="11"/>
  </cols>
  <sheetData>
    <row r="1" spans="1:12" x14ac:dyDescent="0.25">
      <c r="A1" s="25"/>
      <c r="B1" s="25"/>
      <c r="C1" s="9"/>
      <c r="D1" s="18"/>
      <c r="E1" s="9"/>
      <c r="F1" s="9"/>
      <c r="G1" s="9"/>
      <c r="H1" s="9"/>
      <c r="I1" s="9"/>
      <c r="J1" s="10"/>
      <c r="K1" s="10"/>
      <c r="L1" s="18"/>
    </row>
    <row r="2" spans="1:12" ht="15.75" x14ac:dyDescent="0.25">
      <c r="A2" s="25"/>
      <c r="B2" s="25"/>
      <c r="C2" s="47" t="s">
        <v>1</v>
      </c>
      <c r="D2" s="47"/>
      <c r="E2" s="47"/>
      <c r="F2" s="47"/>
      <c r="G2" s="47"/>
      <c r="H2" s="47"/>
      <c r="I2" s="47"/>
      <c r="J2" s="12"/>
      <c r="K2" s="12"/>
      <c r="L2" s="18"/>
    </row>
    <row r="3" spans="1:12" ht="15" customHeight="1" x14ac:dyDescent="0.25">
      <c r="A3" s="25"/>
      <c r="B3" s="25"/>
      <c r="C3" s="48" t="s">
        <v>0</v>
      </c>
      <c r="D3" s="48"/>
      <c r="E3" s="48"/>
      <c r="F3" s="48"/>
      <c r="G3" s="48"/>
      <c r="H3" s="48"/>
      <c r="I3" s="48"/>
      <c r="J3" s="2"/>
      <c r="K3" s="2"/>
      <c r="L3" s="18"/>
    </row>
    <row r="4" spans="1:12" ht="15" customHeight="1" x14ac:dyDescent="0.25">
      <c r="A4" s="25"/>
      <c r="B4" s="25"/>
      <c r="C4" s="48"/>
      <c r="D4" s="48"/>
      <c r="E4" s="48"/>
      <c r="F4" s="48"/>
      <c r="G4" s="48"/>
      <c r="H4" s="48"/>
      <c r="I4" s="48"/>
      <c r="J4" s="2"/>
      <c r="K4" s="2"/>
      <c r="L4" s="19" t="s">
        <v>2</v>
      </c>
    </row>
    <row r="5" spans="1:12" x14ac:dyDescent="0.25">
      <c r="A5" s="25"/>
      <c r="B5" s="25"/>
      <c r="C5" s="9"/>
      <c r="D5" s="18"/>
      <c r="E5" s="9"/>
      <c r="F5" s="9"/>
      <c r="G5" s="9"/>
      <c r="H5" s="9"/>
      <c r="I5" s="9"/>
      <c r="J5" s="10"/>
      <c r="K5" s="10"/>
      <c r="L5" s="20">
        <f>'CAT Negócio'!M5</f>
        <v>42347</v>
      </c>
    </row>
    <row r="6" spans="1:12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5" t="s">
        <v>6</v>
      </c>
      <c r="F6" s="5" t="s">
        <v>11</v>
      </c>
      <c r="G6" s="5" t="s">
        <v>8</v>
      </c>
      <c r="H6" s="5" t="s">
        <v>9</v>
      </c>
      <c r="I6" s="5" t="s">
        <v>10</v>
      </c>
      <c r="J6" s="7" t="s">
        <v>12</v>
      </c>
      <c r="K6" s="7" t="s">
        <v>15</v>
      </c>
      <c r="L6" s="7" t="s">
        <v>13</v>
      </c>
    </row>
    <row r="7" spans="1:12" s="16" customFormat="1" ht="51" customHeight="1" x14ac:dyDescent="0.25">
      <c r="A7" s="42" t="s">
        <v>405</v>
      </c>
      <c r="B7" s="28" t="s">
        <v>126</v>
      </c>
      <c r="C7" s="13" t="s">
        <v>266</v>
      </c>
      <c r="D7" s="15" t="s">
        <v>125</v>
      </c>
      <c r="E7" s="24" t="s">
        <v>47</v>
      </c>
      <c r="F7" s="13" t="s">
        <v>397</v>
      </c>
      <c r="G7" s="40" t="s">
        <v>401</v>
      </c>
      <c r="H7" s="37">
        <v>0.33333333333333331</v>
      </c>
      <c r="I7" s="37">
        <v>1</v>
      </c>
      <c r="J7" s="14" t="s">
        <v>14</v>
      </c>
      <c r="K7" s="14" t="s">
        <v>14</v>
      </c>
      <c r="L7" s="15" t="s">
        <v>127</v>
      </c>
    </row>
    <row r="8" spans="1:12" s="16" customFormat="1" ht="51" customHeight="1" x14ac:dyDescent="0.25">
      <c r="A8" s="42" t="s">
        <v>405</v>
      </c>
      <c r="B8" s="28" t="s">
        <v>126</v>
      </c>
      <c r="C8" s="13" t="s">
        <v>260</v>
      </c>
      <c r="D8" s="15" t="s">
        <v>389</v>
      </c>
      <c r="E8" s="24" t="s">
        <v>47</v>
      </c>
      <c r="F8" s="13" t="s">
        <v>397</v>
      </c>
      <c r="G8" s="40" t="s">
        <v>401</v>
      </c>
      <c r="H8" s="37">
        <v>0.33333333333333331</v>
      </c>
      <c r="I8" s="37">
        <v>1</v>
      </c>
      <c r="J8" s="14" t="s">
        <v>14</v>
      </c>
      <c r="K8" s="14" t="s">
        <v>14</v>
      </c>
      <c r="L8" s="15" t="s">
        <v>127</v>
      </c>
    </row>
    <row r="9" spans="1:12" s="16" customFormat="1" ht="51" customHeight="1" x14ac:dyDescent="0.25">
      <c r="A9" s="42" t="s">
        <v>405</v>
      </c>
      <c r="B9" s="28" t="s">
        <v>126</v>
      </c>
      <c r="C9" s="13" t="s">
        <v>261</v>
      </c>
      <c r="D9" s="15" t="s">
        <v>388</v>
      </c>
      <c r="E9" s="24" t="s">
        <v>47</v>
      </c>
      <c r="F9" s="13" t="s">
        <v>397</v>
      </c>
      <c r="G9" s="40" t="s">
        <v>401</v>
      </c>
      <c r="H9" s="37">
        <v>0.33333333333333331</v>
      </c>
      <c r="I9" s="37">
        <v>1</v>
      </c>
      <c r="J9" s="14" t="s">
        <v>14</v>
      </c>
      <c r="K9" s="14" t="s">
        <v>14</v>
      </c>
      <c r="L9" s="15" t="s">
        <v>127</v>
      </c>
    </row>
    <row r="10" spans="1:12" s="16" customFormat="1" ht="51" customHeight="1" x14ac:dyDescent="0.25">
      <c r="A10" s="42" t="s">
        <v>405</v>
      </c>
      <c r="B10" s="28" t="s">
        <v>126</v>
      </c>
      <c r="C10" s="13" t="s">
        <v>262</v>
      </c>
      <c r="D10" s="15" t="s">
        <v>390</v>
      </c>
      <c r="E10" s="24" t="s">
        <v>47</v>
      </c>
      <c r="F10" s="13" t="s">
        <v>397</v>
      </c>
      <c r="G10" s="40" t="s">
        <v>401</v>
      </c>
      <c r="H10" s="37">
        <v>0.33333333333333331</v>
      </c>
      <c r="I10" s="37">
        <v>1</v>
      </c>
      <c r="J10" s="14" t="s">
        <v>14</v>
      </c>
      <c r="K10" s="14" t="s">
        <v>14</v>
      </c>
      <c r="L10" s="15" t="s">
        <v>127</v>
      </c>
    </row>
    <row r="11" spans="1:12" s="16" customFormat="1" ht="51" customHeight="1" x14ac:dyDescent="0.25">
      <c r="A11" s="42" t="s">
        <v>405</v>
      </c>
      <c r="B11" s="28" t="s">
        <v>126</v>
      </c>
      <c r="C11" s="13" t="s">
        <v>265</v>
      </c>
      <c r="D11" s="15" t="s">
        <v>386</v>
      </c>
      <c r="E11" s="24" t="s">
        <v>47</v>
      </c>
      <c r="F11" s="13" t="s">
        <v>397</v>
      </c>
      <c r="G11" s="40" t="s">
        <v>401</v>
      </c>
      <c r="H11" s="37">
        <v>0.33333333333333331</v>
      </c>
      <c r="I11" s="37">
        <v>1</v>
      </c>
      <c r="J11" s="14" t="s">
        <v>14</v>
      </c>
      <c r="K11" s="14" t="s">
        <v>14</v>
      </c>
      <c r="L11" s="15" t="s">
        <v>127</v>
      </c>
    </row>
    <row r="12" spans="1:12" s="16" customFormat="1" ht="51" customHeight="1" x14ac:dyDescent="0.25">
      <c r="A12" s="42" t="s">
        <v>405</v>
      </c>
      <c r="B12" s="28" t="s">
        <v>126</v>
      </c>
      <c r="C12" s="13" t="s">
        <v>263</v>
      </c>
      <c r="D12" s="15" t="s">
        <v>391</v>
      </c>
      <c r="E12" s="24" t="s">
        <v>47</v>
      </c>
      <c r="F12" s="13" t="s">
        <v>397</v>
      </c>
      <c r="G12" s="40" t="s">
        <v>401</v>
      </c>
      <c r="H12" s="37">
        <v>0.33333333333333331</v>
      </c>
      <c r="I12" s="37">
        <v>1</v>
      </c>
      <c r="J12" s="14" t="s">
        <v>14</v>
      </c>
      <c r="K12" s="14" t="s">
        <v>14</v>
      </c>
      <c r="L12" s="15" t="s">
        <v>127</v>
      </c>
    </row>
    <row r="13" spans="1:12" s="16" customFormat="1" ht="51" customHeight="1" x14ac:dyDescent="0.25">
      <c r="A13" s="42" t="s">
        <v>405</v>
      </c>
      <c r="B13" s="28" t="s">
        <v>126</v>
      </c>
      <c r="C13" s="13" t="s">
        <v>264</v>
      </c>
      <c r="D13" s="15" t="s">
        <v>387</v>
      </c>
      <c r="E13" s="24" t="s">
        <v>47</v>
      </c>
      <c r="F13" s="13" t="s">
        <v>397</v>
      </c>
      <c r="G13" s="40" t="s">
        <v>401</v>
      </c>
      <c r="H13" s="37">
        <v>0.33333333333333331</v>
      </c>
      <c r="I13" s="37">
        <v>1</v>
      </c>
      <c r="J13" s="14" t="s">
        <v>14</v>
      </c>
      <c r="K13" s="14" t="s">
        <v>14</v>
      </c>
      <c r="L13" s="15" t="s">
        <v>127</v>
      </c>
    </row>
    <row r="14" spans="1:12" s="16" customFormat="1" ht="51" customHeight="1" x14ac:dyDescent="0.25">
      <c r="A14" s="42" t="s">
        <v>405</v>
      </c>
      <c r="B14" s="28" t="s">
        <v>270</v>
      </c>
      <c r="C14" s="13" t="s">
        <v>249</v>
      </c>
      <c r="D14" s="15" t="s">
        <v>256</v>
      </c>
      <c r="E14" s="24" t="s">
        <v>47</v>
      </c>
      <c r="F14" s="13" t="s">
        <v>397</v>
      </c>
      <c r="G14" s="40" t="s">
        <v>401</v>
      </c>
      <c r="H14" s="37">
        <v>0.33333333333333331</v>
      </c>
      <c r="I14" s="37">
        <v>1</v>
      </c>
      <c r="J14" s="14" t="s">
        <v>14</v>
      </c>
      <c r="K14" s="14" t="s">
        <v>14</v>
      </c>
      <c r="L14" s="15" t="s">
        <v>131</v>
      </c>
    </row>
    <row r="15" spans="1:12" s="16" customFormat="1" ht="51" customHeight="1" x14ac:dyDescent="0.25">
      <c r="A15" s="42" t="s">
        <v>405</v>
      </c>
      <c r="B15" s="28" t="s">
        <v>270</v>
      </c>
      <c r="C15" s="13" t="s">
        <v>250</v>
      </c>
      <c r="D15" s="15" t="s">
        <v>255</v>
      </c>
      <c r="E15" s="24" t="s">
        <v>47</v>
      </c>
      <c r="F15" s="13" t="s">
        <v>397</v>
      </c>
      <c r="G15" s="40" t="s">
        <v>401</v>
      </c>
      <c r="H15" s="37">
        <v>0.33333333333333331</v>
      </c>
      <c r="I15" s="37">
        <v>1</v>
      </c>
      <c r="J15" s="14" t="s">
        <v>14</v>
      </c>
      <c r="K15" s="14" t="s">
        <v>14</v>
      </c>
      <c r="L15" s="15" t="s">
        <v>131</v>
      </c>
    </row>
    <row r="16" spans="1:12" s="16" customFormat="1" ht="51" customHeight="1" x14ac:dyDescent="0.25">
      <c r="A16" s="42" t="s">
        <v>405</v>
      </c>
      <c r="B16" s="28" t="s">
        <v>270</v>
      </c>
      <c r="C16" s="13" t="s">
        <v>253</v>
      </c>
      <c r="D16" s="15" t="s">
        <v>384</v>
      </c>
      <c r="E16" s="24" t="s">
        <v>47</v>
      </c>
      <c r="F16" s="13" t="s">
        <v>397</v>
      </c>
      <c r="G16" s="40" t="s">
        <v>401</v>
      </c>
      <c r="H16" s="37">
        <v>0.33333333333333331</v>
      </c>
      <c r="I16" s="37">
        <v>1</v>
      </c>
      <c r="J16" s="14" t="s">
        <v>14</v>
      </c>
      <c r="K16" s="14" t="s">
        <v>14</v>
      </c>
      <c r="L16" s="15" t="s">
        <v>131</v>
      </c>
    </row>
    <row r="17" spans="1:12" s="16" customFormat="1" ht="51" customHeight="1" x14ac:dyDescent="0.25">
      <c r="A17" s="42" t="s">
        <v>405</v>
      </c>
      <c r="B17" s="28" t="s">
        <v>270</v>
      </c>
      <c r="C17" s="13" t="s">
        <v>468</v>
      </c>
      <c r="D17" s="13" t="s">
        <v>466</v>
      </c>
      <c r="E17" s="24" t="s">
        <v>47</v>
      </c>
      <c r="F17" s="13" t="s">
        <v>397</v>
      </c>
      <c r="G17" s="40" t="s">
        <v>401</v>
      </c>
      <c r="H17" s="37">
        <v>0.33333333333333331</v>
      </c>
      <c r="I17" s="37">
        <v>1</v>
      </c>
      <c r="J17" s="14" t="s">
        <v>14</v>
      </c>
      <c r="K17" s="14" t="s">
        <v>14</v>
      </c>
      <c r="L17" s="15" t="s">
        <v>467</v>
      </c>
    </row>
    <row r="18" spans="1:12" s="16" customFormat="1" ht="51" customHeight="1" x14ac:dyDescent="0.25">
      <c r="A18" s="42" t="s">
        <v>405</v>
      </c>
      <c r="B18" s="28" t="s">
        <v>270</v>
      </c>
      <c r="C18" s="13" t="s">
        <v>252</v>
      </c>
      <c r="D18" s="15" t="s">
        <v>254</v>
      </c>
      <c r="E18" s="24" t="s">
        <v>47</v>
      </c>
      <c r="F18" s="13" t="s">
        <v>397</v>
      </c>
      <c r="G18" s="40" t="s">
        <v>401</v>
      </c>
      <c r="H18" s="37">
        <v>0.33333333333333331</v>
      </c>
      <c r="I18" s="37">
        <v>1</v>
      </c>
      <c r="J18" s="14" t="s">
        <v>14</v>
      </c>
      <c r="K18" s="14" t="s">
        <v>14</v>
      </c>
      <c r="L18" s="15" t="s">
        <v>131</v>
      </c>
    </row>
    <row r="19" spans="1:12" s="16" customFormat="1" ht="51" customHeight="1" x14ac:dyDescent="0.25">
      <c r="A19" s="42" t="s">
        <v>405</v>
      </c>
      <c r="B19" s="28" t="s">
        <v>270</v>
      </c>
      <c r="C19" s="13" t="s">
        <v>251</v>
      </c>
      <c r="D19" s="15" t="s">
        <v>504</v>
      </c>
      <c r="E19" s="24" t="s">
        <v>47</v>
      </c>
      <c r="F19" s="13" t="s">
        <v>397</v>
      </c>
      <c r="G19" s="40" t="s">
        <v>401</v>
      </c>
      <c r="H19" s="37">
        <v>0.33333333333333331</v>
      </c>
      <c r="I19" s="37">
        <v>1</v>
      </c>
      <c r="J19" s="14" t="s">
        <v>14</v>
      </c>
      <c r="K19" s="14" t="s">
        <v>14</v>
      </c>
      <c r="L19" s="15" t="s">
        <v>131</v>
      </c>
    </row>
    <row r="20" spans="1:12" s="16" customFormat="1" ht="51" customHeight="1" x14ac:dyDescent="0.25">
      <c r="A20" s="42" t="s">
        <v>405</v>
      </c>
      <c r="B20" s="28" t="s">
        <v>270</v>
      </c>
      <c r="C20" s="13" t="s">
        <v>248</v>
      </c>
      <c r="D20" s="15" t="s">
        <v>257</v>
      </c>
      <c r="E20" s="24" t="s">
        <v>47</v>
      </c>
      <c r="F20" s="13" t="s">
        <v>397</v>
      </c>
      <c r="G20" s="40" t="s">
        <v>401</v>
      </c>
      <c r="H20" s="37">
        <v>0.33333333333333331</v>
      </c>
      <c r="I20" s="37">
        <v>1</v>
      </c>
      <c r="J20" s="14" t="s">
        <v>14</v>
      </c>
      <c r="K20" s="14" t="s">
        <v>14</v>
      </c>
      <c r="L20" s="15" t="s">
        <v>131</v>
      </c>
    </row>
    <row r="21" spans="1:12" s="16" customFormat="1" ht="51" customHeight="1" x14ac:dyDescent="0.25">
      <c r="A21" s="42" t="s">
        <v>405</v>
      </c>
      <c r="B21" s="28" t="s">
        <v>270</v>
      </c>
      <c r="C21" s="13" t="s">
        <v>247</v>
      </c>
      <c r="D21" s="15" t="s">
        <v>258</v>
      </c>
      <c r="E21" s="24" t="s">
        <v>47</v>
      </c>
      <c r="F21" s="13" t="s">
        <v>397</v>
      </c>
      <c r="G21" s="40" t="s">
        <v>401</v>
      </c>
      <c r="H21" s="37">
        <v>0.33333333333333331</v>
      </c>
      <c r="I21" s="37">
        <v>1</v>
      </c>
      <c r="J21" s="14" t="s">
        <v>14</v>
      </c>
      <c r="K21" s="14" t="s">
        <v>14</v>
      </c>
      <c r="L21" s="15" t="s">
        <v>131</v>
      </c>
    </row>
    <row r="22" spans="1:12" s="16" customFormat="1" ht="51" customHeight="1" x14ac:dyDescent="0.25">
      <c r="A22" s="42" t="s">
        <v>405</v>
      </c>
      <c r="B22" s="28" t="s">
        <v>270</v>
      </c>
      <c r="C22" s="13" t="s">
        <v>513</v>
      </c>
      <c r="D22" s="15" t="s">
        <v>128</v>
      </c>
      <c r="E22" s="13" t="s">
        <v>47</v>
      </c>
      <c r="F22" s="13" t="s">
        <v>397</v>
      </c>
      <c r="G22" s="36" t="s">
        <v>398</v>
      </c>
      <c r="H22" s="37">
        <v>4.1666666666666664E-2</v>
      </c>
      <c r="I22" s="37">
        <v>0.16666666666666666</v>
      </c>
      <c r="J22" s="14" t="s">
        <v>14</v>
      </c>
      <c r="K22" s="14" t="s">
        <v>14</v>
      </c>
      <c r="L22" s="15" t="s">
        <v>132</v>
      </c>
    </row>
    <row r="23" spans="1:12" s="16" customFormat="1" ht="37.5" customHeight="1" x14ac:dyDescent="0.25">
      <c r="A23" s="42" t="s">
        <v>405</v>
      </c>
      <c r="B23" s="28" t="s">
        <v>270</v>
      </c>
      <c r="C23" s="13" t="s">
        <v>486</v>
      </c>
      <c r="D23" s="15" t="s">
        <v>487</v>
      </c>
      <c r="E23" s="13" t="s">
        <v>47</v>
      </c>
      <c r="F23" s="13" t="s">
        <v>397</v>
      </c>
      <c r="G23" s="36" t="s">
        <v>398</v>
      </c>
      <c r="H23" s="37">
        <v>4.1666666666666664E-2</v>
      </c>
      <c r="I23" s="37">
        <v>0.16666666666666666</v>
      </c>
      <c r="J23" s="14" t="s">
        <v>14</v>
      </c>
      <c r="K23" s="14" t="s">
        <v>14</v>
      </c>
      <c r="L23" s="15" t="s">
        <v>488</v>
      </c>
    </row>
    <row r="24" spans="1:12" s="16" customFormat="1" ht="51" customHeight="1" x14ac:dyDescent="0.25">
      <c r="A24" s="42" t="s">
        <v>405</v>
      </c>
      <c r="B24" s="28" t="s">
        <v>269</v>
      </c>
      <c r="C24" s="13" t="s">
        <v>447</v>
      </c>
      <c r="D24" s="15" t="s">
        <v>447</v>
      </c>
      <c r="E24" s="13" t="s">
        <v>47</v>
      </c>
      <c r="F24" s="13" t="s">
        <v>397</v>
      </c>
      <c r="G24" s="36" t="s">
        <v>398</v>
      </c>
      <c r="H24" s="37">
        <v>4.1666666666666664E-2</v>
      </c>
      <c r="I24" s="37">
        <v>0.16666666666666666</v>
      </c>
      <c r="J24" s="14" t="s">
        <v>14</v>
      </c>
      <c r="K24" s="14" t="s">
        <v>14</v>
      </c>
      <c r="L24" s="15" t="s">
        <v>133</v>
      </c>
    </row>
    <row r="25" spans="1:12" s="16" customFormat="1" ht="51" customHeight="1" x14ac:dyDescent="0.25">
      <c r="A25" s="42" t="s">
        <v>405</v>
      </c>
      <c r="B25" s="28" t="s">
        <v>269</v>
      </c>
      <c r="C25" s="13" t="s">
        <v>446</v>
      </c>
      <c r="D25" s="15" t="s">
        <v>446</v>
      </c>
      <c r="E25" s="13" t="s">
        <v>47</v>
      </c>
      <c r="F25" s="13" t="s">
        <v>397</v>
      </c>
      <c r="G25" s="40" t="s">
        <v>401</v>
      </c>
      <c r="H25" s="37">
        <v>0.33333333333333331</v>
      </c>
      <c r="I25" s="37">
        <v>1</v>
      </c>
      <c r="J25" s="14" t="s">
        <v>14</v>
      </c>
      <c r="K25" s="14" t="s">
        <v>18</v>
      </c>
      <c r="L25" s="15" t="s">
        <v>133</v>
      </c>
    </row>
    <row r="26" spans="1:12" s="16" customFormat="1" ht="51" customHeight="1" x14ac:dyDescent="0.25">
      <c r="A26" s="42" t="s">
        <v>405</v>
      </c>
      <c r="B26" s="28" t="s">
        <v>269</v>
      </c>
      <c r="C26" s="13" t="s">
        <v>239</v>
      </c>
      <c r="D26" s="15" t="s">
        <v>143</v>
      </c>
      <c r="E26" s="13" t="s">
        <v>47</v>
      </c>
      <c r="F26" s="13" t="s">
        <v>397</v>
      </c>
      <c r="G26" s="36" t="s">
        <v>398</v>
      </c>
      <c r="H26" s="37">
        <v>4.1666666666666664E-2</v>
      </c>
      <c r="I26" s="37">
        <v>0.16666666666666666</v>
      </c>
      <c r="J26" s="14" t="s">
        <v>14</v>
      </c>
      <c r="K26" s="14" t="s">
        <v>14</v>
      </c>
      <c r="L26" s="15" t="s">
        <v>133</v>
      </c>
    </row>
    <row r="27" spans="1:12" s="16" customFormat="1" ht="51" customHeight="1" x14ac:dyDescent="0.25">
      <c r="A27" s="42" t="s">
        <v>405</v>
      </c>
      <c r="B27" s="28" t="s">
        <v>269</v>
      </c>
      <c r="C27" s="13" t="s">
        <v>240</v>
      </c>
      <c r="D27" s="15" t="s">
        <v>259</v>
      </c>
      <c r="E27" s="13" t="s">
        <v>47</v>
      </c>
      <c r="F27" s="13" t="s">
        <v>397</v>
      </c>
      <c r="G27" s="40" t="s">
        <v>401</v>
      </c>
      <c r="H27" s="37">
        <v>0.33333333333333331</v>
      </c>
      <c r="I27" s="37">
        <v>1</v>
      </c>
      <c r="J27" s="14" t="s">
        <v>14</v>
      </c>
      <c r="K27" s="14" t="s">
        <v>14</v>
      </c>
      <c r="L27" s="15" t="s">
        <v>142</v>
      </c>
    </row>
    <row r="28" spans="1:12" s="16" customFormat="1" ht="51" customHeight="1" x14ac:dyDescent="0.25">
      <c r="A28" s="42" t="s">
        <v>405</v>
      </c>
      <c r="B28" s="28" t="s">
        <v>269</v>
      </c>
      <c r="C28" s="15" t="s">
        <v>443</v>
      </c>
      <c r="D28" s="15" t="s">
        <v>444</v>
      </c>
      <c r="E28" s="13" t="s">
        <v>47</v>
      </c>
      <c r="F28" s="13" t="s">
        <v>397</v>
      </c>
      <c r="G28" s="40" t="s">
        <v>401</v>
      </c>
      <c r="H28" s="37">
        <v>0.33333333333333331</v>
      </c>
      <c r="I28" s="37">
        <v>1</v>
      </c>
      <c r="J28" s="14" t="s">
        <v>14</v>
      </c>
      <c r="K28" s="14" t="s">
        <v>14</v>
      </c>
      <c r="L28" s="15" t="s">
        <v>133</v>
      </c>
    </row>
    <row r="29" spans="1:12" s="16" customFormat="1" ht="51" customHeight="1" x14ac:dyDescent="0.25">
      <c r="A29" s="42" t="s">
        <v>405</v>
      </c>
      <c r="B29" s="28" t="s">
        <v>269</v>
      </c>
      <c r="C29" s="13" t="s">
        <v>242</v>
      </c>
      <c r="D29" s="15" t="s">
        <v>137</v>
      </c>
      <c r="E29" s="13" t="s">
        <v>47</v>
      </c>
      <c r="F29" s="13" t="s">
        <v>397</v>
      </c>
      <c r="G29" s="36" t="s">
        <v>398</v>
      </c>
      <c r="H29" s="37">
        <v>4.1666666666666664E-2</v>
      </c>
      <c r="I29" s="37">
        <v>0.16666666666666666</v>
      </c>
      <c r="J29" s="14" t="s">
        <v>14</v>
      </c>
      <c r="K29" s="14" t="s">
        <v>14</v>
      </c>
      <c r="L29" s="15" t="s">
        <v>133</v>
      </c>
    </row>
    <row r="30" spans="1:12" s="16" customFormat="1" ht="51" customHeight="1" x14ac:dyDescent="0.25">
      <c r="A30" s="42" t="s">
        <v>405</v>
      </c>
      <c r="B30" s="28" t="s">
        <v>269</v>
      </c>
      <c r="C30" s="13" t="s">
        <v>241</v>
      </c>
      <c r="D30" s="15" t="s">
        <v>135</v>
      </c>
      <c r="E30" s="13" t="s">
        <v>47</v>
      </c>
      <c r="F30" s="13" t="s">
        <v>397</v>
      </c>
      <c r="G30" s="40" t="s">
        <v>401</v>
      </c>
      <c r="H30" s="37">
        <v>0.33333333333333331</v>
      </c>
      <c r="I30" s="37">
        <v>1</v>
      </c>
      <c r="J30" s="14" t="s">
        <v>14</v>
      </c>
      <c r="K30" s="14" t="s">
        <v>14</v>
      </c>
      <c r="L30" s="15" t="s">
        <v>136</v>
      </c>
    </row>
    <row r="31" spans="1:12" s="16" customFormat="1" ht="29.25" customHeight="1" x14ac:dyDescent="0.25">
      <c r="A31" s="42" t="s">
        <v>405</v>
      </c>
      <c r="B31" s="28" t="s">
        <v>269</v>
      </c>
      <c r="C31" s="13" t="s">
        <v>483</v>
      </c>
      <c r="D31" s="15" t="s">
        <v>484</v>
      </c>
      <c r="E31" s="13" t="s">
        <v>47</v>
      </c>
      <c r="F31" s="13" t="s">
        <v>397</v>
      </c>
      <c r="G31" s="36" t="s">
        <v>398</v>
      </c>
      <c r="H31" s="37">
        <v>4.1666666666666664E-2</v>
      </c>
      <c r="I31" s="37">
        <v>0.16666666666666666</v>
      </c>
      <c r="J31" s="14" t="s">
        <v>14</v>
      </c>
      <c r="K31" s="14" t="s">
        <v>14</v>
      </c>
      <c r="L31" s="15" t="s">
        <v>485</v>
      </c>
    </row>
    <row r="32" spans="1:12" s="16" customFormat="1" ht="51" customHeight="1" x14ac:dyDescent="0.25">
      <c r="A32" s="42" t="s">
        <v>405</v>
      </c>
      <c r="B32" s="28" t="s">
        <v>269</v>
      </c>
      <c r="C32" s="13" t="s">
        <v>267</v>
      </c>
      <c r="D32" s="15" t="s">
        <v>68</v>
      </c>
      <c r="E32" s="13" t="s">
        <v>47</v>
      </c>
      <c r="F32" s="13" t="s">
        <v>397</v>
      </c>
      <c r="G32" s="40" t="s">
        <v>401</v>
      </c>
      <c r="H32" s="37">
        <v>0.33333333333333331</v>
      </c>
      <c r="I32" s="37">
        <v>1</v>
      </c>
      <c r="J32" s="14" t="s">
        <v>14</v>
      </c>
      <c r="K32" s="14" t="s">
        <v>14</v>
      </c>
      <c r="L32" s="15" t="s">
        <v>64</v>
      </c>
    </row>
    <row r="33" spans="1:12" s="16" customFormat="1" ht="51" customHeight="1" x14ac:dyDescent="0.25">
      <c r="A33" s="42" t="s">
        <v>405</v>
      </c>
      <c r="B33" s="28" t="s">
        <v>269</v>
      </c>
      <c r="C33" s="15" t="s">
        <v>246</v>
      </c>
      <c r="D33" s="15" t="s">
        <v>385</v>
      </c>
      <c r="E33" s="13" t="s">
        <v>47</v>
      </c>
      <c r="F33" s="13" t="s">
        <v>397</v>
      </c>
      <c r="G33" s="40" t="s">
        <v>401</v>
      </c>
      <c r="H33" s="37">
        <v>0.33333333333333331</v>
      </c>
      <c r="I33" s="37">
        <v>1</v>
      </c>
      <c r="J33" s="14" t="s">
        <v>14</v>
      </c>
      <c r="K33" s="14" t="s">
        <v>14</v>
      </c>
      <c r="L33" s="15" t="s">
        <v>134</v>
      </c>
    </row>
    <row r="34" spans="1:12" s="16" customFormat="1" ht="51" customHeight="1" x14ac:dyDescent="0.25">
      <c r="A34" s="42" t="s">
        <v>405</v>
      </c>
      <c r="B34" s="28" t="s">
        <v>269</v>
      </c>
      <c r="C34" s="15" t="s">
        <v>243</v>
      </c>
      <c r="D34" s="15" t="s">
        <v>385</v>
      </c>
      <c r="E34" s="13" t="s">
        <v>47</v>
      </c>
      <c r="F34" s="13" t="s">
        <v>397</v>
      </c>
      <c r="G34" s="36" t="s">
        <v>398</v>
      </c>
      <c r="H34" s="37">
        <v>4.1666666666666664E-2</v>
      </c>
      <c r="I34" s="37">
        <v>0.16666666666666666</v>
      </c>
      <c r="J34" s="14" t="s">
        <v>14</v>
      </c>
      <c r="K34" s="14" t="s">
        <v>14</v>
      </c>
      <c r="L34" s="15" t="s">
        <v>133</v>
      </c>
    </row>
    <row r="35" spans="1:12" s="16" customFormat="1" ht="51" customHeight="1" x14ac:dyDescent="0.25">
      <c r="A35" s="42" t="s">
        <v>405</v>
      </c>
      <c r="B35" s="28" t="s">
        <v>269</v>
      </c>
      <c r="C35" s="15" t="s">
        <v>245</v>
      </c>
      <c r="D35" s="15" t="s">
        <v>385</v>
      </c>
      <c r="E35" s="13" t="s">
        <v>47</v>
      </c>
      <c r="F35" s="13" t="s">
        <v>397</v>
      </c>
      <c r="G35" s="40" t="s">
        <v>401</v>
      </c>
      <c r="H35" s="37">
        <v>0.33333333333333331</v>
      </c>
      <c r="I35" s="37">
        <v>1</v>
      </c>
      <c r="J35" s="14" t="s">
        <v>14</v>
      </c>
      <c r="K35" s="14" t="s">
        <v>14</v>
      </c>
      <c r="L35" s="15" t="s">
        <v>134</v>
      </c>
    </row>
    <row r="36" spans="1:12" ht="25.5" x14ac:dyDescent="0.25">
      <c r="A36" s="42" t="s">
        <v>405</v>
      </c>
      <c r="B36" s="28" t="s">
        <v>269</v>
      </c>
      <c r="C36" s="15" t="s">
        <v>244</v>
      </c>
      <c r="D36" s="15" t="s">
        <v>385</v>
      </c>
      <c r="E36" s="13" t="s">
        <v>47</v>
      </c>
      <c r="F36" s="13" t="s">
        <v>397</v>
      </c>
      <c r="G36" s="36" t="s">
        <v>398</v>
      </c>
      <c r="H36" s="37">
        <v>4.1666666666666664E-2</v>
      </c>
      <c r="I36" s="37">
        <v>0.16666666666666666</v>
      </c>
      <c r="J36" s="14" t="s">
        <v>14</v>
      </c>
      <c r="K36" s="14" t="s">
        <v>14</v>
      </c>
      <c r="L36" s="15" t="s">
        <v>133</v>
      </c>
    </row>
    <row r="37" spans="1:12" ht="37.5" customHeight="1" x14ac:dyDescent="0.25">
      <c r="A37" s="42" t="s">
        <v>405</v>
      </c>
      <c r="B37" s="28" t="s">
        <v>269</v>
      </c>
      <c r="C37" s="15" t="s">
        <v>497</v>
      </c>
      <c r="D37" s="15" t="s">
        <v>495</v>
      </c>
      <c r="E37" s="13" t="s">
        <v>47</v>
      </c>
      <c r="F37" s="13" t="s">
        <v>397</v>
      </c>
      <c r="G37" s="40" t="s">
        <v>401</v>
      </c>
      <c r="H37" s="37">
        <v>0.33333333333333331</v>
      </c>
      <c r="I37" s="37">
        <v>1</v>
      </c>
      <c r="J37" s="14" t="s">
        <v>14</v>
      </c>
      <c r="K37" s="14" t="s">
        <v>14</v>
      </c>
      <c r="L37" s="15" t="s">
        <v>131</v>
      </c>
    </row>
    <row r="38" spans="1:12" ht="36.75" customHeight="1" x14ac:dyDescent="0.25">
      <c r="A38" s="42" t="s">
        <v>405</v>
      </c>
      <c r="B38" s="28" t="s">
        <v>269</v>
      </c>
      <c r="C38" s="15" t="s">
        <v>496</v>
      </c>
      <c r="D38" s="15" t="s">
        <v>495</v>
      </c>
      <c r="E38" s="13" t="s">
        <v>47</v>
      </c>
      <c r="F38" s="13" t="s">
        <v>397</v>
      </c>
      <c r="G38" s="40" t="s">
        <v>401</v>
      </c>
      <c r="H38" s="37">
        <v>0.33333333333333331</v>
      </c>
      <c r="I38" s="37">
        <v>1</v>
      </c>
      <c r="J38" s="14" t="s">
        <v>14</v>
      </c>
      <c r="K38" s="14" t="s">
        <v>14</v>
      </c>
      <c r="L38" s="15" t="s">
        <v>131</v>
      </c>
    </row>
    <row r="39" spans="1:12" ht="25.5" x14ac:dyDescent="0.25">
      <c r="A39" s="42" t="s">
        <v>405</v>
      </c>
      <c r="B39" s="28" t="s">
        <v>269</v>
      </c>
      <c r="C39" s="13" t="s">
        <v>140</v>
      </c>
      <c r="D39" s="15" t="s">
        <v>141</v>
      </c>
      <c r="E39" s="13" t="s">
        <v>47</v>
      </c>
      <c r="F39" s="13" t="s">
        <v>397</v>
      </c>
      <c r="G39" s="36" t="s">
        <v>398</v>
      </c>
      <c r="H39" s="37">
        <v>4.1666666666666664E-2</v>
      </c>
      <c r="I39" s="37">
        <v>0.16666666666666666</v>
      </c>
      <c r="J39" s="14" t="s">
        <v>14</v>
      </c>
      <c r="K39" s="14" t="s">
        <v>14</v>
      </c>
      <c r="L39" s="15" t="s">
        <v>133</v>
      </c>
    </row>
    <row r="40" spans="1:12" ht="38.25" x14ac:dyDescent="0.25">
      <c r="A40" s="42" t="s">
        <v>405</v>
      </c>
      <c r="B40" s="28" t="s">
        <v>269</v>
      </c>
      <c r="C40" s="13" t="s">
        <v>138</v>
      </c>
      <c r="D40" s="15" t="s">
        <v>139</v>
      </c>
      <c r="E40" s="13" t="s">
        <v>47</v>
      </c>
      <c r="F40" s="13" t="s">
        <v>397</v>
      </c>
      <c r="G40" s="40" t="s">
        <v>401</v>
      </c>
      <c r="H40" s="37">
        <v>0.33333333333333331</v>
      </c>
      <c r="I40" s="37">
        <v>1</v>
      </c>
      <c r="J40" s="14" t="s">
        <v>14</v>
      </c>
      <c r="K40" s="14" t="s">
        <v>14</v>
      </c>
      <c r="L40" s="15" t="s">
        <v>136</v>
      </c>
    </row>
    <row r="41" spans="1:12" ht="28.5" customHeight="1" x14ac:dyDescent="0.25">
      <c r="A41" s="42" t="s">
        <v>405</v>
      </c>
      <c r="B41" s="28" t="s">
        <v>460</v>
      </c>
      <c r="C41" s="13" t="s">
        <v>456</v>
      </c>
      <c r="D41" s="15" t="s">
        <v>457</v>
      </c>
      <c r="E41" s="13" t="s">
        <v>47</v>
      </c>
      <c r="F41" s="13" t="s">
        <v>397</v>
      </c>
      <c r="G41" s="36" t="s">
        <v>398</v>
      </c>
      <c r="H41" s="37">
        <v>4.1666666666666664E-2</v>
      </c>
      <c r="I41" s="37">
        <v>0.16666666666666666</v>
      </c>
      <c r="J41" s="14" t="s">
        <v>14</v>
      </c>
      <c r="K41" s="14" t="s">
        <v>18</v>
      </c>
      <c r="L41" s="15" t="s">
        <v>458</v>
      </c>
    </row>
    <row r="42" spans="1:12" ht="38.25" x14ac:dyDescent="0.25">
      <c r="A42" s="42" t="s">
        <v>405</v>
      </c>
      <c r="B42" s="28" t="s">
        <v>460</v>
      </c>
      <c r="C42" s="13" t="s">
        <v>453</v>
      </c>
      <c r="D42" s="15" t="s">
        <v>454</v>
      </c>
      <c r="E42" s="13" t="s">
        <v>47</v>
      </c>
      <c r="F42" s="13" t="s">
        <v>397</v>
      </c>
      <c r="G42" s="40" t="s">
        <v>401</v>
      </c>
      <c r="H42" s="37">
        <v>0.33333333333333331</v>
      </c>
      <c r="I42" s="37">
        <v>1</v>
      </c>
      <c r="J42" s="14" t="s">
        <v>14</v>
      </c>
      <c r="K42" s="14" t="s">
        <v>18</v>
      </c>
      <c r="L42" s="15" t="s">
        <v>455</v>
      </c>
    </row>
    <row r="43" spans="1:12" ht="25.5" x14ac:dyDescent="0.25">
      <c r="A43" s="42" t="s">
        <v>405</v>
      </c>
      <c r="B43" s="28" t="s">
        <v>271</v>
      </c>
      <c r="C43" s="13" t="s">
        <v>439</v>
      </c>
      <c r="D43" s="15" t="s">
        <v>440</v>
      </c>
      <c r="E43" s="13" t="s">
        <v>47</v>
      </c>
      <c r="F43" s="13" t="s">
        <v>397</v>
      </c>
      <c r="G43" s="40" t="s">
        <v>401</v>
      </c>
      <c r="H43" s="37">
        <v>0.33333333333333331</v>
      </c>
      <c r="I43" s="37">
        <v>1</v>
      </c>
      <c r="J43" s="14" t="s">
        <v>14</v>
      </c>
      <c r="K43" s="14" t="s">
        <v>14</v>
      </c>
      <c r="L43" s="15" t="s">
        <v>132</v>
      </c>
    </row>
    <row r="44" spans="1:12" ht="25.5" x14ac:dyDescent="0.25">
      <c r="A44" s="42" t="s">
        <v>405</v>
      </c>
      <c r="B44" s="28" t="s">
        <v>271</v>
      </c>
      <c r="C44" s="13" t="s">
        <v>129</v>
      </c>
      <c r="D44" s="15" t="s">
        <v>130</v>
      </c>
      <c r="E44" s="13" t="s">
        <v>47</v>
      </c>
      <c r="F44" s="13" t="s">
        <v>397</v>
      </c>
      <c r="G44" s="36" t="s">
        <v>398</v>
      </c>
      <c r="H44" s="37">
        <v>4.1666666666666664E-2</v>
      </c>
      <c r="I44" s="37">
        <v>0.16666666666666666</v>
      </c>
      <c r="J44" s="14" t="s">
        <v>14</v>
      </c>
      <c r="K44" s="14" t="s">
        <v>14</v>
      </c>
      <c r="L44" s="15" t="s">
        <v>132</v>
      </c>
    </row>
    <row r="45" spans="1:12" ht="51" x14ac:dyDescent="0.25">
      <c r="A45" s="42" t="s">
        <v>405</v>
      </c>
      <c r="B45" s="28" t="s">
        <v>448</v>
      </c>
      <c r="C45" s="15" t="s">
        <v>489</v>
      </c>
      <c r="D45" s="15" t="s">
        <v>385</v>
      </c>
      <c r="E45" s="13" t="s">
        <v>47</v>
      </c>
      <c r="F45" s="13" t="s">
        <v>397</v>
      </c>
      <c r="G45" s="40" t="s">
        <v>401</v>
      </c>
      <c r="H45" s="37">
        <v>0.33333333333333331</v>
      </c>
      <c r="I45" s="37">
        <v>1</v>
      </c>
      <c r="J45" s="14" t="s">
        <v>14</v>
      </c>
      <c r="K45" s="14" t="s">
        <v>14</v>
      </c>
      <c r="L45" s="15" t="s">
        <v>493</v>
      </c>
    </row>
    <row r="46" spans="1:12" ht="33" customHeight="1" x14ac:dyDescent="0.25">
      <c r="A46" s="42" t="s">
        <v>405</v>
      </c>
      <c r="B46" s="28" t="s">
        <v>448</v>
      </c>
      <c r="C46" s="15" t="s">
        <v>490</v>
      </c>
      <c r="D46" s="15" t="s">
        <v>385</v>
      </c>
      <c r="E46" s="13" t="s">
        <v>47</v>
      </c>
      <c r="F46" s="13" t="s">
        <v>397</v>
      </c>
      <c r="G46" s="36" t="s">
        <v>398</v>
      </c>
      <c r="H46" s="37">
        <v>4.1666666666666664E-2</v>
      </c>
      <c r="I46" s="37">
        <v>0.16666666666666666</v>
      </c>
      <c r="J46" s="14" t="s">
        <v>14</v>
      </c>
      <c r="K46" s="14" t="s">
        <v>14</v>
      </c>
      <c r="L46" s="15" t="s">
        <v>494</v>
      </c>
    </row>
    <row r="47" spans="1:12" ht="51" x14ac:dyDescent="0.25">
      <c r="A47" s="42" t="s">
        <v>405</v>
      </c>
      <c r="B47" s="28" t="s">
        <v>448</v>
      </c>
      <c r="C47" s="15" t="s">
        <v>491</v>
      </c>
      <c r="D47" s="15" t="s">
        <v>385</v>
      </c>
      <c r="E47" s="13" t="s">
        <v>47</v>
      </c>
      <c r="F47" s="13" t="s">
        <v>397</v>
      </c>
      <c r="G47" s="40" t="s">
        <v>401</v>
      </c>
      <c r="H47" s="37">
        <v>0.33333333333333331</v>
      </c>
      <c r="I47" s="37">
        <v>1</v>
      </c>
      <c r="J47" s="14" t="s">
        <v>14</v>
      </c>
      <c r="K47" s="14" t="s">
        <v>14</v>
      </c>
      <c r="L47" s="15" t="s">
        <v>493</v>
      </c>
    </row>
    <row r="48" spans="1:12" ht="33.75" customHeight="1" x14ac:dyDescent="0.25">
      <c r="A48" s="42" t="s">
        <v>405</v>
      </c>
      <c r="B48" s="28" t="s">
        <v>448</v>
      </c>
      <c r="C48" s="15" t="s">
        <v>492</v>
      </c>
      <c r="D48" s="15" t="s">
        <v>385</v>
      </c>
      <c r="E48" s="13" t="s">
        <v>47</v>
      </c>
      <c r="F48" s="13" t="s">
        <v>397</v>
      </c>
      <c r="G48" s="36" t="s">
        <v>398</v>
      </c>
      <c r="H48" s="37">
        <v>4.1666666666666664E-2</v>
      </c>
      <c r="I48" s="37">
        <v>0.16666666666666666</v>
      </c>
      <c r="J48" s="14" t="s">
        <v>14</v>
      </c>
      <c r="K48" s="14" t="s">
        <v>14</v>
      </c>
      <c r="L48" s="15" t="s">
        <v>494</v>
      </c>
    </row>
    <row r="49" spans="1:12" ht="25.5" x14ac:dyDescent="0.25">
      <c r="A49" s="42" t="s">
        <v>405</v>
      </c>
      <c r="B49" s="28" t="s">
        <v>448</v>
      </c>
      <c r="C49" s="13" t="s">
        <v>452</v>
      </c>
      <c r="D49" s="15" t="s">
        <v>450</v>
      </c>
      <c r="E49" s="13" t="s">
        <v>47</v>
      </c>
      <c r="F49" s="13" t="s">
        <v>397</v>
      </c>
      <c r="G49" s="36" t="s">
        <v>398</v>
      </c>
      <c r="H49" s="37">
        <v>4.1666666666666664E-2</v>
      </c>
      <c r="I49" s="37">
        <v>0.16666666666666666</v>
      </c>
      <c r="J49" s="14" t="s">
        <v>14</v>
      </c>
      <c r="K49" s="14" t="s">
        <v>18</v>
      </c>
      <c r="L49" s="15" t="s">
        <v>133</v>
      </c>
    </row>
    <row r="50" spans="1:12" ht="31.5" customHeight="1" x14ac:dyDescent="0.25">
      <c r="A50" s="42" t="s">
        <v>405</v>
      </c>
      <c r="B50" s="28" t="s">
        <v>448</v>
      </c>
      <c r="C50" s="13" t="s">
        <v>451</v>
      </c>
      <c r="D50" s="15" t="s">
        <v>449</v>
      </c>
      <c r="E50" s="13" t="s">
        <v>47</v>
      </c>
      <c r="F50" s="13" t="s">
        <v>397</v>
      </c>
      <c r="G50" s="40" t="s">
        <v>401</v>
      </c>
      <c r="H50" s="37">
        <v>0.33333333333333331</v>
      </c>
      <c r="I50" s="37">
        <v>1</v>
      </c>
      <c r="J50" s="14" t="s">
        <v>14</v>
      </c>
      <c r="K50" s="14" t="s">
        <v>14</v>
      </c>
      <c r="L50" s="15" t="s">
        <v>445</v>
      </c>
    </row>
    <row r="51" spans="1:12" ht="39" customHeight="1" x14ac:dyDescent="0.25">
      <c r="A51" s="42" t="s">
        <v>405</v>
      </c>
      <c r="B51" s="28" t="s">
        <v>381</v>
      </c>
      <c r="C51" s="13" t="s">
        <v>379</v>
      </c>
      <c r="D51" s="15" t="s">
        <v>380</v>
      </c>
      <c r="E51" s="13" t="s">
        <v>47</v>
      </c>
      <c r="F51" s="13" t="s">
        <v>397</v>
      </c>
      <c r="G51" s="36" t="s">
        <v>398</v>
      </c>
      <c r="H51" s="37">
        <v>4.1666666666666664E-2</v>
      </c>
      <c r="I51" s="37">
        <v>0.16666666666666666</v>
      </c>
      <c r="J51" s="14" t="s">
        <v>14</v>
      </c>
      <c r="K51" s="14" t="s">
        <v>14</v>
      </c>
      <c r="L51" s="15" t="s">
        <v>132</v>
      </c>
    </row>
    <row r="52" spans="1:12" ht="33.75" customHeight="1" x14ac:dyDescent="0.25">
      <c r="A52" s="42" t="s">
        <v>405</v>
      </c>
      <c r="B52" s="28" t="s">
        <v>459</v>
      </c>
      <c r="C52" s="13" t="s">
        <v>462</v>
      </c>
      <c r="D52" s="15" t="s">
        <v>464</v>
      </c>
      <c r="E52" s="13" t="s">
        <v>47</v>
      </c>
      <c r="F52" s="13" t="s">
        <v>397</v>
      </c>
      <c r="G52" s="39" t="s">
        <v>400</v>
      </c>
      <c r="H52" s="37">
        <v>0.16666666666666666</v>
      </c>
      <c r="I52" s="37">
        <v>0.33333333333333331</v>
      </c>
      <c r="J52" s="14" t="s">
        <v>14</v>
      </c>
      <c r="K52" s="14" t="s">
        <v>18</v>
      </c>
      <c r="L52" s="15" t="s">
        <v>133</v>
      </c>
    </row>
    <row r="53" spans="1:12" ht="42" customHeight="1" x14ac:dyDescent="0.25">
      <c r="A53" s="42" t="s">
        <v>405</v>
      </c>
      <c r="B53" s="28" t="s">
        <v>459</v>
      </c>
      <c r="C53" s="13" t="s">
        <v>461</v>
      </c>
      <c r="D53" s="15" t="s">
        <v>463</v>
      </c>
      <c r="E53" s="13" t="s">
        <v>47</v>
      </c>
      <c r="F53" s="13" t="s">
        <v>397</v>
      </c>
      <c r="G53" s="40" t="s">
        <v>401</v>
      </c>
      <c r="H53" s="37">
        <v>0.33333333333333331</v>
      </c>
      <c r="I53" s="37">
        <v>1</v>
      </c>
      <c r="J53" s="14" t="s">
        <v>14</v>
      </c>
      <c r="K53" s="14" t="s">
        <v>14</v>
      </c>
      <c r="L53" s="15" t="s">
        <v>465</v>
      </c>
    </row>
    <row r="54" spans="1:12" ht="37.5" customHeight="1" x14ac:dyDescent="0.25">
      <c r="A54" s="42" t="s">
        <v>405</v>
      </c>
      <c r="B54" s="28" t="s">
        <v>441</v>
      </c>
      <c r="C54" s="13" t="s">
        <v>441</v>
      </c>
      <c r="D54" s="15" t="s">
        <v>442</v>
      </c>
      <c r="E54" s="13" t="s">
        <v>47</v>
      </c>
      <c r="F54" s="13" t="s">
        <v>397</v>
      </c>
      <c r="G54" s="43" t="s">
        <v>402</v>
      </c>
      <c r="H54" s="37">
        <v>0.33333333333333331</v>
      </c>
      <c r="I54" s="37">
        <v>1.6666666666666667</v>
      </c>
      <c r="J54" s="14" t="s">
        <v>14</v>
      </c>
      <c r="K54" s="14" t="s">
        <v>14</v>
      </c>
      <c r="L54" s="15" t="s">
        <v>64</v>
      </c>
    </row>
  </sheetData>
  <autoFilter ref="A6:L54"/>
  <sortState ref="A7:L54">
    <sortCondition ref="B7:B54"/>
    <sortCondition ref="C7:C54"/>
  </sortState>
  <mergeCells count="2">
    <mergeCell ref="C2:I2"/>
    <mergeCell ref="C3:I4"/>
  </mergeCells>
  <dataValidations count="1">
    <dataValidation type="list" allowBlank="1" showInputMessage="1" showErrorMessage="1" sqref="J7:K54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53"/>
  <sheetViews>
    <sheetView showGridLines="0" zoomScale="80" zoomScaleNormal="80" workbookViewId="0">
      <pane xSplit="3" ySplit="6" topLeftCell="D13" activePane="bottomRight" state="frozen"/>
      <selection pane="topRight" activeCell="D1" sqref="D1"/>
      <selection pane="bottomLeft" activeCell="A7" sqref="A7"/>
      <selection pane="bottomRight" activeCell="C16" sqref="C16"/>
    </sheetView>
  </sheetViews>
  <sheetFormatPr defaultRowHeight="18.75" x14ac:dyDescent="0.25"/>
  <cols>
    <col min="1" max="1" width="27.85546875" style="27" customWidth="1"/>
    <col min="2" max="2" width="23.42578125" style="27" customWidth="1"/>
    <col min="3" max="3" width="58.42578125" style="11" bestFit="1" customWidth="1"/>
    <col min="4" max="4" width="55.140625" style="21" customWidth="1"/>
    <col min="5" max="5" width="5.5703125" style="31" bestFit="1" customWidth="1"/>
    <col min="6" max="6" width="16.42578125" style="11" bestFit="1" customWidth="1"/>
    <col min="7" max="7" width="31.85546875" style="11" bestFit="1" customWidth="1"/>
    <col min="8" max="8" width="13.7109375" style="11" customWidth="1"/>
    <col min="9" max="9" width="13.85546875" style="11" bestFit="1" customWidth="1"/>
    <col min="10" max="10" width="14.5703125" style="11" bestFit="1" customWidth="1"/>
    <col min="11" max="12" width="13.7109375" style="17" customWidth="1"/>
    <col min="13" max="13" width="60.7109375" style="21" customWidth="1"/>
    <col min="14" max="16384" width="9.140625" style="11"/>
  </cols>
  <sheetData>
    <row r="1" spans="1:13" x14ac:dyDescent="0.25">
      <c r="A1" s="25"/>
      <c r="B1" s="25"/>
      <c r="C1" s="9"/>
      <c r="D1" s="18"/>
      <c r="E1" s="29"/>
      <c r="F1" s="9"/>
      <c r="G1" s="9"/>
      <c r="H1" s="9"/>
      <c r="I1" s="9"/>
      <c r="J1" s="9"/>
      <c r="K1" s="10"/>
      <c r="L1" s="10"/>
      <c r="M1" s="18"/>
    </row>
    <row r="2" spans="1:13" ht="15.75" x14ac:dyDescent="0.25">
      <c r="A2" s="25"/>
      <c r="B2" s="25"/>
      <c r="C2" s="47" t="s">
        <v>1</v>
      </c>
      <c r="D2" s="47"/>
      <c r="E2" s="47"/>
      <c r="F2" s="47"/>
      <c r="G2" s="47"/>
      <c r="H2" s="47"/>
      <c r="I2" s="47"/>
      <c r="J2" s="47"/>
      <c r="K2" s="12"/>
      <c r="L2" s="12"/>
      <c r="M2" s="18"/>
    </row>
    <row r="3" spans="1:13" ht="15" customHeight="1" x14ac:dyDescent="0.25">
      <c r="A3" s="25"/>
      <c r="B3" s="25"/>
      <c r="C3" s="48" t="s">
        <v>0</v>
      </c>
      <c r="D3" s="48"/>
      <c r="E3" s="48"/>
      <c r="F3" s="48"/>
      <c r="G3" s="48"/>
      <c r="H3" s="48"/>
      <c r="I3" s="48"/>
      <c r="J3" s="48"/>
      <c r="K3" s="2"/>
      <c r="L3" s="2"/>
      <c r="M3" s="18"/>
    </row>
    <row r="4" spans="1:13" ht="15" customHeight="1" x14ac:dyDescent="0.25">
      <c r="A4" s="25"/>
      <c r="B4" s="25"/>
      <c r="C4" s="48"/>
      <c r="D4" s="48"/>
      <c r="E4" s="48"/>
      <c r="F4" s="48"/>
      <c r="G4" s="48"/>
      <c r="H4" s="48"/>
      <c r="I4" s="48"/>
      <c r="J4" s="48"/>
      <c r="K4" s="2"/>
      <c r="L4" s="2"/>
      <c r="M4" s="19" t="s">
        <v>2</v>
      </c>
    </row>
    <row r="5" spans="1:13" x14ac:dyDescent="0.25">
      <c r="A5" s="25"/>
      <c r="B5" s="25"/>
      <c r="C5" s="9"/>
      <c r="D5" s="18"/>
      <c r="E5" s="29"/>
      <c r="F5" s="9"/>
      <c r="G5" s="9"/>
      <c r="H5" s="9"/>
      <c r="I5" s="9"/>
      <c r="J5" s="9"/>
      <c r="K5" s="10"/>
      <c r="L5" s="10"/>
      <c r="M5" s="20">
        <v>42347</v>
      </c>
    </row>
    <row r="6" spans="1:13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7" t="s">
        <v>88</v>
      </c>
      <c r="F6" s="5" t="s">
        <v>6</v>
      </c>
      <c r="G6" s="5" t="s">
        <v>11</v>
      </c>
      <c r="H6" s="5" t="s">
        <v>8</v>
      </c>
      <c r="I6" s="5" t="s">
        <v>9</v>
      </c>
      <c r="J6" s="5" t="s">
        <v>10</v>
      </c>
      <c r="K6" s="7" t="s">
        <v>12</v>
      </c>
      <c r="L6" s="7" t="s">
        <v>15</v>
      </c>
      <c r="M6" s="7" t="s">
        <v>13</v>
      </c>
    </row>
    <row r="7" spans="1:13" s="16" customFormat="1" ht="51" customHeight="1" x14ac:dyDescent="0.25">
      <c r="A7" s="42" t="s">
        <v>404</v>
      </c>
      <c r="B7" s="28" t="s">
        <v>505</v>
      </c>
      <c r="C7" s="13" t="s">
        <v>507</v>
      </c>
      <c r="D7" s="15" t="s">
        <v>506</v>
      </c>
      <c r="E7" s="30">
        <f t="shared" ref="E7:E51" si="0">LEN(D7)</f>
        <v>41</v>
      </c>
      <c r="F7" s="24" t="s">
        <v>47</v>
      </c>
      <c r="G7" s="13" t="s">
        <v>397</v>
      </c>
      <c r="H7" s="39" t="s">
        <v>400</v>
      </c>
      <c r="I7" s="37">
        <v>0.16666666666666666</v>
      </c>
      <c r="J7" s="37">
        <v>0.33333333333333331</v>
      </c>
      <c r="K7" s="14" t="s">
        <v>14</v>
      </c>
      <c r="L7" s="14" t="s">
        <v>14</v>
      </c>
      <c r="M7" s="15" t="s">
        <v>508</v>
      </c>
    </row>
    <row r="8" spans="1:13" s="16" customFormat="1" ht="51" customHeight="1" x14ac:dyDescent="0.25">
      <c r="A8" s="42" t="s">
        <v>404</v>
      </c>
      <c r="B8" s="28" t="s">
        <v>505</v>
      </c>
      <c r="C8" s="13" t="s">
        <v>510</v>
      </c>
      <c r="D8" s="15" t="s">
        <v>511</v>
      </c>
      <c r="E8" s="30">
        <f t="shared" si="0"/>
        <v>51</v>
      </c>
      <c r="F8" s="24" t="s">
        <v>47</v>
      </c>
      <c r="G8" s="13" t="s">
        <v>397</v>
      </c>
      <c r="H8" s="40" t="s">
        <v>401</v>
      </c>
      <c r="I8" s="37">
        <v>0.33333333333333331</v>
      </c>
      <c r="J8" s="37">
        <v>1</v>
      </c>
      <c r="K8" s="14" t="s">
        <v>14</v>
      </c>
      <c r="L8" s="14" t="s">
        <v>14</v>
      </c>
      <c r="M8" s="15" t="s">
        <v>512</v>
      </c>
    </row>
    <row r="9" spans="1:13" s="16" customFormat="1" ht="51" customHeight="1" x14ac:dyDescent="0.25">
      <c r="A9" s="42" t="s">
        <v>404</v>
      </c>
      <c r="B9" s="28" t="s">
        <v>505</v>
      </c>
      <c r="C9" s="13" t="s">
        <v>509</v>
      </c>
      <c r="D9" s="15" t="s">
        <v>68</v>
      </c>
      <c r="E9" s="30">
        <f t="shared" si="0"/>
        <v>91</v>
      </c>
      <c r="F9" s="13" t="s">
        <v>17</v>
      </c>
      <c r="G9" s="13" t="s">
        <v>397</v>
      </c>
      <c r="H9" s="40" t="s">
        <v>401</v>
      </c>
      <c r="I9" s="37">
        <v>0.33333333333333331</v>
      </c>
      <c r="J9" s="37">
        <v>1</v>
      </c>
      <c r="K9" s="14" t="s">
        <v>14</v>
      </c>
      <c r="L9" s="14" t="s">
        <v>14</v>
      </c>
      <c r="M9" s="15" t="s">
        <v>64</v>
      </c>
    </row>
    <row r="10" spans="1:13" s="16" customFormat="1" ht="51" customHeight="1" x14ac:dyDescent="0.25">
      <c r="A10" s="42" t="s">
        <v>404</v>
      </c>
      <c r="B10" s="28" t="s">
        <v>93</v>
      </c>
      <c r="C10" s="13" t="s">
        <v>81</v>
      </c>
      <c r="D10" s="15" t="s">
        <v>498</v>
      </c>
      <c r="E10" s="30">
        <f t="shared" si="0"/>
        <v>46</v>
      </c>
      <c r="F10" s="13" t="s">
        <v>17</v>
      </c>
      <c r="G10" s="13" t="s">
        <v>397</v>
      </c>
      <c r="H10" s="40" t="s">
        <v>401</v>
      </c>
      <c r="I10" s="37">
        <v>0.33333333333333331</v>
      </c>
      <c r="J10" s="37">
        <v>1</v>
      </c>
      <c r="K10" s="14" t="s">
        <v>14</v>
      </c>
      <c r="L10" s="14" t="s">
        <v>18</v>
      </c>
      <c r="M10" s="15" t="s">
        <v>85</v>
      </c>
    </row>
    <row r="11" spans="1:13" s="16" customFormat="1" ht="51" customHeight="1" x14ac:dyDescent="0.25">
      <c r="A11" s="42" t="s">
        <v>404</v>
      </c>
      <c r="B11" s="28" t="s">
        <v>93</v>
      </c>
      <c r="C11" s="13" t="s">
        <v>83</v>
      </c>
      <c r="D11" s="15" t="s">
        <v>84</v>
      </c>
      <c r="E11" s="30">
        <f t="shared" si="0"/>
        <v>31</v>
      </c>
      <c r="F11" s="13" t="s">
        <v>17</v>
      </c>
      <c r="G11" s="13" t="s">
        <v>397</v>
      </c>
      <c r="H11" s="40" t="s">
        <v>401</v>
      </c>
      <c r="I11" s="37">
        <v>0.33333333333333331</v>
      </c>
      <c r="J11" s="37">
        <v>1</v>
      </c>
      <c r="K11" s="14" t="s">
        <v>14</v>
      </c>
      <c r="L11" s="14" t="s">
        <v>18</v>
      </c>
      <c r="M11" s="15" t="s">
        <v>92</v>
      </c>
    </row>
    <row r="12" spans="1:13" s="16" customFormat="1" ht="51" customHeight="1" x14ac:dyDescent="0.25">
      <c r="A12" s="42" t="s">
        <v>404</v>
      </c>
      <c r="B12" s="28" t="s">
        <v>93</v>
      </c>
      <c r="C12" s="13" t="s">
        <v>71</v>
      </c>
      <c r="D12" s="15" t="s">
        <v>79</v>
      </c>
      <c r="E12" s="30">
        <f t="shared" si="0"/>
        <v>44</v>
      </c>
      <c r="F12" s="13" t="s">
        <v>17</v>
      </c>
      <c r="G12" s="13" t="s">
        <v>397</v>
      </c>
      <c r="H12" s="40" t="s">
        <v>401</v>
      </c>
      <c r="I12" s="37">
        <v>0.33333333333333331</v>
      </c>
      <c r="J12" s="37">
        <v>1</v>
      </c>
      <c r="K12" s="14" t="s">
        <v>14</v>
      </c>
      <c r="L12" s="14" t="s">
        <v>18</v>
      </c>
      <c r="M12" s="15" t="s">
        <v>94</v>
      </c>
    </row>
    <row r="13" spans="1:13" s="16" customFormat="1" ht="51" customHeight="1" x14ac:dyDescent="0.25">
      <c r="A13" s="42" t="s">
        <v>404</v>
      </c>
      <c r="B13" s="28" t="s">
        <v>93</v>
      </c>
      <c r="C13" s="13" t="s">
        <v>91</v>
      </c>
      <c r="D13" s="15" t="s">
        <v>82</v>
      </c>
      <c r="E13" s="30">
        <f t="shared" si="0"/>
        <v>33</v>
      </c>
      <c r="F13" s="13" t="s">
        <v>17</v>
      </c>
      <c r="G13" s="13" t="s">
        <v>397</v>
      </c>
      <c r="H13" s="40" t="s">
        <v>401</v>
      </c>
      <c r="I13" s="37">
        <v>0.33333333333333331</v>
      </c>
      <c r="J13" s="37">
        <v>1</v>
      </c>
      <c r="K13" s="14" t="s">
        <v>14</v>
      </c>
      <c r="L13" s="14" t="s">
        <v>18</v>
      </c>
      <c r="M13" s="15" t="s">
        <v>87</v>
      </c>
    </row>
    <row r="14" spans="1:13" s="16" customFormat="1" ht="51" customHeight="1" x14ac:dyDescent="0.25">
      <c r="A14" s="42" t="s">
        <v>404</v>
      </c>
      <c r="B14" s="28" t="s">
        <v>93</v>
      </c>
      <c r="C14" s="13" t="s">
        <v>80</v>
      </c>
      <c r="D14" s="15" t="s">
        <v>72</v>
      </c>
      <c r="E14" s="30">
        <f t="shared" si="0"/>
        <v>20</v>
      </c>
      <c r="F14" s="13" t="s">
        <v>17</v>
      </c>
      <c r="G14" s="13" t="s">
        <v>397</v>
      </c>
      <c r="H14" s="40" t="s">
        <v>401</v>
      </c>
      <c r="I14" s="37">
        <v>0.33333333333333331</v>
      </c>
      <c r="J14" s="37">
        <v>1</v>
      </c>
      <c r="K14" s="14" t="s">
        <v>14</v>
      </c>
      <c r="L14" s="14" t="s">
        <v>18</v>
      </c>
      <c r="M14" s="15" t="s">
        <v>86</v>
      </c>
    </row>
    <row r="15" spans="1:13" s="16" customFormat="1" ht="51" customHeight="1" x14ac:dyDescent="0.25">
      <c r="A15" s="42" t="s">
        <v>404</v>
      </c>
      <c r="B15" s="28" t="s">
        <v>43</v>
      </c>
      <c r="C15" s="13" t="s">
        <v>42</v>
      </c>
      <c r="D15" s="15" t="s">
        <v>54</v>
      </c>
      <c r="E15" s="30">
        <f t="shared" si="0"/>
        <v>69</v>
      </c>
      <c r="F15" s="24" t="s">
        <v>47</v>
      </c>
      <c r="G15" s="13" t="s">
        <v>397</v>
      </c>
      <c r="H15" s="40" t="s">
        <v>401</v>
      </c>
      <c r="I15" s="37">
        <v>0.33333333333333331</v>
      </c>
      <c r="J15" s="37">
        <v>1</v>
      </c>
      <c r="K15" s="14" t="s">
        <v>14</v>
      </c>
      <c r="L15" s="14" t="s">
        <v>18</v>
      </c>
      <c r="M15" s="15" t="s">
        <v>53</v>
      </c>
    </row>
    <row r="16" spans="1:13" s="16" customFormat="1" ht="51" customHeight="1" x14ac:dyDescent="0.25">
      <c r="A16" s="42" t="s">
        <v>404</v>
      </c>
      <c r="B16" s="28" t="s">
        <v>43</v>
      </c>
      <c r="C16" s="13" t="s">
        <v>41</v>
      </c>
      <c r="D16" s="15" t="s">
        <v>69</v>
      </c>
      <c r="E16" s="30">
        <f t="shared" si="0"/>
        <v>102</v>
      </c>
      <c r="F16" s="24" t="s">
        <v>47</v>
      </c>
      <c r="G16" s="13" t="s">
        <v>397</v>
      </c>
      <c r="H16" s="36" t="s">
        <v>398</v>
      </c>
      <c r="I16" s="37">
        <v>4.1666666666666664E-2</v>
      </c>
      <c r="J16" s="37">
        <v>0.16666666666666666</v>
      </c>
      <c r="K16" s="14" t="s">
        <v>14</v>
      </c>
      <c r="L16" s="14" t="s">
        <v>18</v>
      </c>
      <c r="M16" s="15" t="s">
        <v>53</v>
      </c>
    </row>
    <row r="17" spans="1:13" s="16" customFormat="1" ht="51" customHeight="1" x14ac:dyDescent="0.25">
      <c r="A17" s="42" t="s">
        <v>404</v>
      </c>
      <c r="B17" s="28" t="s">
        <v>43</v>
      </c>
      <c r="C17" s="13" t="s">
        <v>499</v>
      </c>
      <c r="D17" s="15" t="s">
        <v>500</v>
      </c>
      <c r="E17" s="30">
        <f t="shared" si="0"/>
        <v>37</v>
      </c>
      <c r="F17" s="13" t="s">
        <v>17</v>
      </c>
      <c r="G17" s="13" t="s">
        <v>397</v>
      </c>
      <c r="H17" s="40" t="s">
        <v>401</v>
      </c>
      <c r="I17" s="37">
        <v>0.33333333333333331</v>
      </c>
      <c r="J17" s="37">
        <v>1</v>
      </c>
      <c r="K17" s="14" t="s">
        <v>14</v>
      </c>
      <c r="L17" s="14" t="s">
        <v>14</v>
      </c>
      <c r="M17" s="15" t="s">
        <v>501</v>
      </c>
    </row>
    <row r="18" spans="1:13" s="16" customFormat="1" ht="51" customHeight="1" x14ac:dyDescent="0.25">
      <c r="A18" s="42" t="s">
        <v>404</v>
      </c>
      <c r="B18" s="28" t="s">
        <v>43</v>
      </c>
      <c r="C18" s="13" t="s">
        <v>503</v>
      </c>
      <c r="D18" s="15" t="s">
        <v>502</v>
      </c>
      <c r="E18" s="30">
        <f t="shared" si="0"/>
        <v>56</v>
      </c>
      <c r="F18" s="24" t="s">
        <v>47</v>
      </c>
      <c r="G18" s="13" t="s">
        <v>397</v>
      </c>
      <c r="H18" s="40" t="s">
        <v>401</v>
      </c>
      <c r="I18" s="37">
        <v>0.33333333333333331</v>
      </c>
      <c r="J18" s="37">
        <v>1</v>
      </c>
      <c r="K18" s="14" t="s">
        <v>14</v>
      </c>
      <c r="L18" s="14" t="s">
        <v>18</v>
      </c>
      <c r="M18" s="15" t="s">
        <v>53</v>
      </c>
    </row>
    <row r="19" spans="1:13" s="16" customFormat="1" ht="51" customHeight="1" x14ac:dyDescent="0.25">
      <c r="A19" s="42" t="s">
        <v>404</v>
      </c>
      <c r="B19" s="28" t="s">
        <v>43</v>
      </c>
      <c r="C19" s="13" t="s">
        <v>52</v>
      </c>
      <c r="D19" s="15" t="s">
        <v>68</v>
      </c>
      <c r="E19" s="30">
        <f t="shared" si="0"/>
        <v>91</v>
      </c>
      <c r="F19" s="13" t="s">
        <v>17</v>
      </c>
      <c r="G19" s="13" t="s">
        <v>397</v>
      </c>
      <c r="H19" s="40" t="s">
        <v>401</v>
      </c>
      <c r="I19" s="37">
        <v>0.33333333333333331</v>
      </c>
      <c r="J19" s="37">
        <v>1</v>
      </c>
      <c r="K19" s="14" t="s">
        <v>14</v>
      </c>
      <c r="L19" s="14" t="s">
        <v>14</v>
      </c>
      <c r="M19" s="15" t="s">
        <v>64</v>
      </c>
    </row>
    <row r="20" spans="1:13" s="16" customFormat="1" ht="51" customHeight="1" x14ac:dyDescent="0.25">
      <c r="A20" s="42" t="s">
        <v>404</v>
      </c>
      <c r="B20" s="28" t="s">
        <v>25</v>
      </c>
      <c r="C20" s="13" t="s">
        <v>235</v>
      </c>
      <c r="D20" s="15" t="s">
        <v>236</v>
      </c>
      <c r="E20" s="30">
        <f t="shared" si="0"/>
        <v>89</v>
      </c>
      <c r="F20" s="13" t="s">
        <v>47</v>
      </c>
      <c r="G20" s="13" t="s">
        <v>397</v>
      </c>
      <c r="H20" s="39" t="s">
        <v>400</v>
      </c>
      <c r="I20" s="37">
        <v>0.16666666666666666</v>
      </c>
      <c r="J20" s="37">
        <v>0.33333333333333331</v>
      </c>
      <c r="K20" s="14" t="s">
        <v>14</v>
      </c>
      <c r="L20" s="14" t="s">
        <v>14</v>
      </c>
      <c r="M20" s="15" t="s">
        <v>237</v>
      </c>
    </row>
    <row r="21" spans="1:13" s="16" customFormat="1" ht="51" customHeight="1" x14ac:dyDescent="0.25">
      <c r="A21" s="42" t="s">
        <v>404</v>
      </c>
      <c r="B21" s="28" t="s">
        <v>25</v>
      </c>
      <c r="C21" s="13" t="s">
        <v>223</v>
      </c>
      <c r="D21" s="15" t="s">
        <v>224</v>
      </c>
      <c r="E21" s="30">
        <f t="shared" si="0"/>
        <v>46</v>
      </c>
      <c r="F21" s="13" t="s">
        <v>47</v>
      </c>
      <c r="G21" s="13" t="s">
        <v>397</v>
      </c>
      <c r="H21" s="39" t="s">
        <v>400</v>
      </c>
      <c r="I21" s="37">
        <v>0.16666666666666666</v>
      </c>
      <c r="J21" s="37">
        <v>0.33333333333333331</v>
      </c>
      <c r="K21" s="14" t="s">
        <v>14</v>
      </c>
      <c r="L21" s="14" t="s">
        <v>14</v>
      </c>
      <c r="M21" s="15" t="s">
        <v>237</v>
      </c>
    </row>
    <row r="22" spans="1:13" s="16" customFormat="1" ht="51" customHeight="1" x14ac:dyDescent="0.25">
      <c r="A22" s="42" t="s">
        <v>404</v>
      </c>
      <c r="B22" s="28" t="s">
        <v>25</v>
      </c>
      <c r="C22" s="13" t="s">
        <v>222</v>
      </c>
      <c r="D22" s="13" t="s">
        <v>221</v>
      </c>
      <c r="E22" s="30">
        <f t="shared" si="0"/>
        <v>43</v>
      </c>
      <c r="F22" s="13" t="s">
        <v>47</v>
      </c>
      <c r="G22" s="13" t="s">
        <v>397</v>
      </c>
      <c r="H22" s="39" t="s">
        <v>400</v>
      </c>
      <c r="I22" s="37">
        <v>0.16666666666666666</v>
      </c>
      <c r="J22" s="37">
        <v>0.33333333333333331</v>
      </c>
      <c r="K22" s="14" t="s">
        <v>14</v>
      </c>
      <c r="L22" s="14" t="s">
        <v>14</v>
      </c>
      <c r="M22" s="15" t="s">
        <v>237</v>
      </c>
    </row>
    <row r="23" spans="1:13" s="16" customFormat="1" ht="51" customHeight="1" x14ac:dyDescent="0.25">
      <c r="A23" s="42" t="s">
        <v>404</v>
      </c>
      <c r="B23" s="28" t="s">
        <v>25</v>
      </c>
      <c r="C23" s="13" t="s">
        <v>474</v>
      </c>
      <c r="D23" s="15" t="s">
        <v>476</v>
      </c>
      <c r="E23" s="30">
        <f t="shared" si="0"/>
        <v>55</v>
      </c>
      <c r="F23" s="13" t="s">
        <v>47</v>
      </c>
      <c r="G23" s="13" t="s">
        <v>397</v>
      </c>
      <c r="H23" s="40" t="s">
        <v>401</v>
      </c>
      <c r="I23" s="37">
        <v>0.33333333333333331</v>
      </c>
      <c r="J23" s="37">
        <v>1</v>
      </c>
      <c r="K23" s="14" t="s">
        <v>14</v>
      </c>
      <c r="L23" s="14" t="s">
        <v>14</v>
      </c>
      <c r="M23" s="15" t="s">
        <v>477</v>
      </c>
    </row>
    <row r="24" spans="1:13" s="16" customFormat="1" ht="51" customHeight="1" x14ac:dyDescent="0.25">
      <c r="A24" s="42" t="s">
        <v>404</v>
      </c>
      <c r="B24" s="28" t="s">
        <v>25</v>
      </c>
      <c r="C24" s="13" t="s">
        <v>472</v>
      </c>
      <c r="D24" s="15" t="s">
        <v>475</v>
      </c>
      <c r="E24" s="30">
        <f t="shared" si="0"/>
        <v>56</v>
      </c>
      <c r="F24" s="13" t="s">
        <v>47</v>
      </c>
      <c r="G24" s="13" t="s">
        <v>397</v>
      </c>
      <c r="H24" s="40" t="s">
        <v>401</v>
      </c>
      <c r="I24" s="37">
        <v>0.33333333333333331</v>
      </c>
      <c r="J24" s="37">
        <v>1</v>
      </c>
      <c r="K24" s="14" t="s">
        <v>14</v>
      </c>
      <c r="L24" s="14" t="s">
        <v>14</v>
      </c>
      <c r="M24" s="15" t="s">
        <v>473</v>
      </c>
    </row>
    <row r="25" spans="1:13" s="16" customFormat="1" ht="51" customHeight="1" x14ac:dyDescent="0.25">
      <c r="A25" s="42" t="s">
        <v>404</v>
      </c>
      <c r="B25" s="28" t="s">
        <v>25</v>
      </c>
      <c r="C25" s="13" t="s">
        <v>230</v>
      </c>
      <c r="D25" s="15" t="s">
        <v>232</v>
      </c>
      <c r="E25" s="30">
        <f t="shared" si="0"/>
        <v>103</v>
      </c>
      <c r="F25" s="13" t="s">
        <v>47</v>
      </c>
      <c r="G25" s="13" t="s">
        <v>397</v>
      </c>
      <c r="H25" s="39" t="s">
        <v>400</v>
      </c>
      <c r="I25" s="37">
        <v>0.16666666666666666</v>
      </c>
      <c r="J25" s="37">
        <v>0.33333333333333331</v>
      </c>
      <c r="K25" s="14" t="s">
        <v>14</v>
      </c>
      <c r="L25" s="14" t="s">
        <v>14</v>
      </c>
      <c r="M25" s="15" t="s">
        <v>237</v>
      </c>
    </row>
    <row r="26" spans="1:13" s="16" customFormat="1" ht="51" customHeight="1" x14ac:dyDescent="0.25">
      <c r="A26" s="42" t="s">
        <v>404</v>
      </c>
      <c r="B26" s="28" t="s">
        <v>25</v>
      </c>
      <c r="C26" s="13" t="s">
        <v>233</v>
      </c>
      <c r="D26" s="13" t="s">
        <v>233</v>
      </c>
      <c r="E26" s="30">
        <f t="shared" si="0"/>
        <v>49</v>
      </c>
      <c r="F26" s="13" t="s">
        <v>47</v>
      </c>
      <c r="G26" s="13" t="s">
        <v>397</v>
      </c>
      <c r="H26" s="39" t="s">
        <v>400</v>
      </c>
      <c r="I26" s="37">
        <v>0.16666666666666666</v>
      </c>
      <c r="J26" s="37">
        <v>0.33333333333333331</v>
      </c>
      <c r="K26" s="14" t="s">
        <v>14</v>
      </c>
      <c r="L26" s="14" t="s">
        <v>14</v>
      </c>
      <c r="M26" s="15" t="s">
        <v>237</v>
      </c>
    </row>
    <row r="27" spans="1:13" s="16" customFormat="1" ht="51" customHeight="1" x14ac:dyDescent="0.25">
      <c r="A27" s="42" t="s">
        <v>404</v>
      </c>
      <c r="B27" s="28" t="s">
        <v>25</v>
      </c>
      <c r="C27" s="13" t="s">
        <v>225</v>
      </c>
      <c r="D27" s="15" t="s">
        <v>226</v>
      </c>
      <c r="E27" s="30">
        <f t="shared" si="0"/>
        <v>33</v>
      </c>
      <c r="F27" s="13" t="s">
        <v>47</v>
      </c>
      <c r="G27" s="13" t="s">
        <v>397</v>
      </c>
      <c r="H27" s="39" t="s">
        <v>400</v>
      </c>
      <c r="I27" s="37">
        <v>0.16666666666666666</v>
      </c>
      <c r="J27" s="37">
        <v>0.33333333333333331</v>
      </c>
      <c r="K27" s="14" t="s">
        <v>14</v>
      </c>
      <c r="L27" s="14" t="s">
        <v>14</v>
      </c>
      <c r="M27" s="15" t="s">
        <v>237</v>
      </c>
    </row>
    <row r="28" spans="1:13" s="16" customFormat="1" ht="51" customHeight="1" x14ac:dyDescent="0.25">
      <c r="A28" s="42" t="s">
        <v>404</v>
      </c>
      <c r="B28" s="28" t="s">
        <v>25</v>
      </c>
      <c r="C28" s="13" t="s">
        <v>227</v>
      </c>
      <c r="D28" s="15" t="s">
        <v>228</v>
      </c>
      <c r="E28" s="30">
        <f t="shared" si="0"/>
        <v>53</v>
      </c>
      <c r="F28" s="13" t="s">
        <v>47</v>
      </c>
      <c r="G28" s="13" t="s">
        <v>397</v>
      </c>
      <c r="H28" s="39" t="s">
        <v>400</v>
      </c>
      <c r="I28" s="37">
        <v>0.16666666666666666</v>
      </c>
      <c r="J28" s="37">
        <v>0.33333333333333331</v>
      </c>
      <c r="K28" s="14" t="s">
        <v>14</v>
      </c>
      <c r="L28" s="14" t="s">
        <v>14</v>
      </c>
      <c r="M28" s="15" t="s">
        <v>237</v>
      </c>
    </row>
    <row r="29" spans="1:13" s="16" customFormat="1" ht="51" customHeight="1" x14ac:dyDescent="0.25">
      <c r="A29" s="42" t="s">
        <v>404</v>
      </c>
      <c r="B29" s="28" t="s">
        <v>25</v>
      </c>
      <c r="C29" s="13" t="s">
        <v>229</v>
      </c>
      <c r="D29" s="15" t="s">
        <v>231</v>
      </c>
      <c r="E29" s="30">
        <f t="shared" si="0"/>
        <v>85</v>
      </c>
      <c r="F29" s="13" t="s">
        <v>47</v>
      </c>
      <c r="G29" s="13" t="s">
        <v>397</v>
      </c>
      <c r="H29" s="39" t="s">
        <v>400</v>
      </c>
      <c r="I29" s="37">
        <v>0.16666666666666666</v>
      </c>
      <c r="J29" s="37">
        <v>0.33333333333333331</v>
      </c>
      <c r="K29" s="14" t="s">
        <v>14</v>
      </c>
      <c r="L29" s="14" t="s">
        <v>14</v>
      </c>
      <c r="M29" s="15" t="s">
        <v>237</v>
      </c>
    </row>
    <row r="30" spans="1:13" s="16" customFormat="1" ht="51" customHeight="1" x14ac:dyDescent="0.25">
      <c r="A30" s="42" t="s">
        <v>404</v>
      </c>
      <c r="B30" s="28" t="s">
        <v>25</v>
      </c>
      <c r="C30" s="13" t="s">
        <v>234</v>
      </c>
      <c r="D30" s="13" t="s">
        <v>234</v>
      </c>
      <c r="E30" s="30">
        <f t="shared" si="0"/>
        <v>68</v>
      </c>
      <c r="F30" s="13" t="s">
        <v>47</v>
      </c>
      <c r="G30" s="13" t="s">
        <v>397</v>
      </c>
      <c r="H30" s="39" t="s">
        <v>400</v>
      </c>
      <c r="I30" s="37">
        <v>0.16666666666666666</v>
      </c>
      <c r="J30" s="37">
        <v>0.33333333333333331</v>
      </c>
      <c r="K30" s="14" t="s">
        <v>14</v>
      </c>
      <c r="L30" s="14" t="s">
        <v>14</v>
      </c>
      <c r="M30" s="15" t="s">
        <v>237</v>
      </c>
    </row>
    <row r="31" spans="1:13" s="16" customFormat="1" ht="51" customHeight="1" x14ac:dyDescent="0.25">
      <c r="A31" s="42" t="s">
        <v>404</v>
      </c>
      <c r="B31" s="28" t="s">
        <v>33</v>
      </c>
      <c r="C31" s="13" t="s">
        <v>219</v>
      </c>
      <c r="D31" s="15" t="s">
        <v>220</v>
      </c>
      <c r="E31" s="30">
        <f t="shared" si="0"/>
        <v>62</v>
      </c>
      <c r="F31" s="13" t="s">
        <v>47</v>
      </c>
      <c r="G31" s="13" t="s">
        <v>397</v>
      </c>
      <c r="H31" s="40" t="s">
        <v>401</v>
      </c>
      <c r="I31" s="37">
        <v>0.33333333333333331</v>
      </c>
      <c r="J31" s="37">
        <v>1</v>
      </c>
      <c r="K31" s="14" t="s">
        <v>14</v>
      </c>
      <c r="L31" s="14" t="s">
        <v>14</v>
      </c>
      <c r="M31" s="15" t="s">
        <v>238</v>
      </c>
    </row>
    <row r="32" spans="1:13" s="16" customFormat="1" ht="51" customHeight="1" x14ac:dyDescent="0.25">
      <c r="A32" s="42" t="s">
        <v>404</v>
      </c>
      <c r="B32" s="28" t="s">
        <v>33</v>
      </c>
      <c r="C32" s="13" t="s">
        <v>218</v>
      </c>
      <c r="D32" s="13" t="s">
        <v>218</v>
      </c>
      <c r="E32" s="30">
        <f t="shared" si="0"/>
        <v>52</v>
      </c>
      <c r="F32" s="13" t="s">
        <v>47</v>
      </c>
      <c r="G32" s="13" t="s">
        <v>397</v>
      </c>
      <c r="H32" s="39" t="s">
        <v>400</v>
      </c>
      <c r="I32" s="37">
        <v>0.16666666666666666</v>
      </c>
      <c r="J32" s="37">
        <v>0.33333333333333331</v>
      </c>
      <c r="K32" s="14" t="s">
        <v>14</v>
      </c>
      <c r="L32" s="14" t="s">
        <v>14</v>
      </c>
      <c r="M32" s="15" t="s">
        <v>238</v>
      </c>
    </row>
    <row r="33" spans="1:13" s="16" customFormat="1" ht="51" customHeight="1" x14ac:dyDescent="0.25">
      <c r="A33" s="42" t="s">
        <v>404</v>
      </c>
      <c r="B33" s="28" t="s">
        <v>366</v>
      </c>
      <c r="C33" s="13" t="s">
        <v>311</v>
      </c>
      <c r="D33" s="15" t="s">
        <v>367</v>
      </c>
      <c r="E33" s="30">
        <f t="shared" si="0"/>
        <v>35</v>
      </c>
      <c r="F33" s="13" t="s">
        <v>17</v>
      </c>
      <c r="G33" s="13" t="s">
        <v>397</v>
      </c>
      <c r="H33" s="40" t="s">
        <v>401</v>
      </c>
      <c r="I33" s="37">
        <v>0.33333333333333331</v>
      </c>
      <c r="J33" s="37">
        <v>1</v>
      </c>
      <c r="K33" s="14" t="s">
        <v>14</v>
      </c>
      <c r="L33" s="14" t="s">
        <v>14</v>
      </c>
      <c r="M33" s="15" t="s">
        <v>368</v>
      </c>
    </row>
    <row r="34" spans="1:13" s="16" customFormat="1" ht="51" customHeight="1" x14ac:dyDescent="0.25">
      <c r="A34" s="42" t="s">
        <v>404</v>
      </c>
      <c r="B34" s="28" t="s">
        <v>19</v>
      </c>
      <c r="C34" s="13" t="s">
        <v>76</v>
      </c>
      <c r="D34" s="15" t="s">
        <v>77</v>
      </c>
      <c r="E34" s="30">
        <f t="shared" si="0"/>
        <v>47</v>
      </c>
      <c r="F34" s="13" t="s">
        <v>17</v>
      </c>
      <c r="G34" s="13" t="s">
        <v>397</v>
      </c>
      <c r="H34" s="41" t="s">
        <v>402</v>
      </c>
      <c r="I34" s="37">
        <v>0.33333333333333331</v>
      </c>
      <c r="J34" s="37">
        <v>1.6666666666666667</v>
      </c>
      <c r="K34" s="14" t="s">
        <v>14</v>
      </c>
      <c r="L34" s="14" t="s">
        <v>14</v>
      </c>
      <c r="M34" s="15" t="s">
        <v>96</v>
      </c>
    </row>
    <row r="35" spans="1:13" s="16" customFormat="1" ht="51" customHeight="1" x14ac:dyDescent="0.25">
      <c r="A35" s="42" t="s">
        <v>404</v>
      </c>
      <c r="B35" s="28" t="s">
        <v>19</v>
      </c>
      <c r="C35" s="13" t="s">
        <v>75</v>
      </c>
      <c r="D35" s="15" t="s">
        <v>95</v>
      </c>
      <c r="E35" s="30">
        <f t="shared" si="0"/>
        <v>64</v>
      </c>
      <c r="F35" s="13" t="s">
        <v>17</v>
      </c>
      <c r="G35" s="13" t="s">
        <v>397</v>
      </c>
      <c r="H35" s="40" t="s">
        <v>401</v>
      </c>
      <c r="I35" s="37">
        <v>0.33333333333333331</v>
      </c>
      <c r="J35" s="37">
        <v>1</v>
      </c>
      <c r="K35" s="14" t="s">
        <v>14</v>
      </c>
      <c r="L35" s="14" t="s">
        <v>18</v>
      </c>
      <c r="M35" s="15" t="s">
        <v>97</v>
      </c>
    </row>
    <row r="36" spans="1:13" s="16" customFormat="1" ht="51" customHeight="1" x14ac:dyDescent="0.25">
      <c r="A36" s="42" t="s">
        <v>404</v>
      </c>
      <c r="B36" s="28" t="s">
        <v>19</v>
      </c>
      <c r="C36" s="13" t="s">
        <v>73</v>
      </c>
      <c r="D36" s="15" t="s">
        <v>78</v>
      </c>
      <c r="E36" s="30">
        <f t="shared" si="0"/>
        <v>48</v>
      </c>
      <c r="F36" s="13" t="s">
        <v>47</v>
      </c>
      <c r="G36" s="13" t="s">
        <v>397</v>
      </c>
      <c r="H36" s="40" t="s">
        <v>401</v>
      </c>
      <c r="I36" s="37">
        <v>0.33333333333333331</v>
      </c>
      <c r="J36" s="37">
        <v>1</v>
      </c>
      <c r="K36" s="14" t="s">
        <v>14</v>
      </c>
      <c r="L36" s="14" t="s">
        <v>14</v>
      </c>
      <c r="M36" s="15" t="s">
        <v>438</v>
      </c>
    </row>
    <row r="37" spans="1:13" s="16" customFormat="1" ht="51" customHeight="1" x14ac:dyDescent="0.25">
      <c r="A37" s="42" t="s">
        <v>404</v>
      </c>
      <c r="B37" s="28" t="s">
        <v>19</v>
      </c>
      <c r="C37" s="13" t="s">
        <v>20</v>
      </c>
      <c r="D37" s="15" t="s">
        <v>74</v>
      </c>
      <c r="E37" s="30">
        <f t="shared" si="0"/>
        <v>77</v>
      </c>
      <c r="F37" s="13" t="s">
        <v>17</v>
      </c>
      <c r="G37" s="13" t="s">
        <v>397</v>
      </c>
      <c r="H37" s="40" t="s">
        <v>401</v>
      </c>
      <c r="I37" s="37">
        <v>0.33333333333333331</v>
      </c>
      <c r="J37" s="37">
        <v>1</v>
      </c>
      <c r="K37" s="14" t="s">
        <v>14</v>
      </c>
      <c r="L37" s="14" t="s">
        <v>18</v>
      </c>
      <c r="M37" s="15" t="s">
        <v>98</v>
      </c>
    </row>
    <row r="38" spans="1:13" s="16" customFormat="1" ht="51" customHeight="1" x14ac:dyDescent="0.25">
      <c r="A38" s="42" t="s">
        <v>404</v>
      </c>
      <c r="B38" s="28" t="s">
        <v>393</v>
      </c>
      <c r="C38" s="13" t="s">
        <v>392</v>
      </c>
      <c r="D38" s="15" t="s">
        <v>396</v>
      </c>
      <c r="E38" s="30">
        <f t="shared" si="0"/>
        <v>27</v>
      </c>
      <c r="F38" s="13" t="s">
        <v>47</v>
      </c>
      <c r="G38" s="13" t="s">
        <v>397</v>
      </c>
      <c r="H38" s="40" t="s">
        <v>401</v>
      </c>
      <c r="I38" s="37">
        <v>0.33333333333333331</v>
      </c>
      <c r="J38" s="37">
        <v>1</v>
      </c>
      <c r="K38" s="14" t="s">
        <v>14</v>
      </c>
      <c r="L38" s="14" t="s">
        <v>14</v>
      </c>
      <c r="M38" s="15" t="s">
        <v>407</v>
      </c>
    </row>
    <row r="39" spans="1:13" s="16" customFormat="1" ht="51" customHeight="1" x14ac:dyDescent="0.25">
      <c r="A39" s="42" t="s">
        <v>404</v>
      </c>
      <c r="B39" s="28" t="s">
        <v>393</v>
      </c>
      <c r="C39" s="13" t="s">
        <v>394</v>
      </c>
      <c r="D39" s="15" t="s">
        <v>395</v>
      </c>
      <c r="E39" s="30">
        <f t="shared" si="0"/>
        <v>72</v>
      </c>
      <c r="F39" s="24" t="s">
        <v>47</v>
      </c>
      <c r="G39" s="13" t="s">
        <v>397</v>
      </c>
      <c r="H39" s="36" t="s">
        <v>398</v>
      </c>
      <c r="I39" s="37">
        <v>4.1666666666666664E-2</v>
      </c>
      <c r="J39" s="37">
        <v>0.16666666666666666</v>
      </c>
      <c r="K39" s="14" t="s">
        <v>14</v>
      </c>
      <c r="L39" s="14" t="s">
        <v>14</v>
      </c>
      <c r="M39" s="15" t="s">
        <v>407</v>
      </c>
    </row>
    <row r="40" spans="1:13" s="16" customFormat="1" ht="51" customHeight="1" x14ac:dyDescent="0.25">
      <c r="A40" s="42" t="s">
        <v>404</v>
      </c>
      <c r="B40" s="28" t="s">
        <v>44</v>
      </c>
      <c r="C40" s="13" t="s">
        <v>37</v>
      </c>
      <c r="D40" s="15" t="s">
        <v>70</v>
      </c>
      <c r="E40" s="30">
        <f t="shared" si="0"/>
        <v>62</v>
      </c>
      <c r="F40" s="24" t="s">
        <v>47</v>
      </c>
      <c r="G40" s="13" t="s">
        <v>397</v>
      </c>
      <c r="H40" s="39" t="s">
        <v>400</v>
      </c>
      <c r="I40" s="37">
        <v>0.16666666666666666</v>
      </c>
      <c r="J40" s="37">
        <v>0.33333333333333331</v>
      </c>
      <c r="K40" s="14" t="s">
        <v>14</v>
      </c>
      <c r="L40" s="14" t="s">
        <v>18</v>
      </c>
      <c r="M40" s="15" t="s">
        <v>55</v>
      </c>
    </row>
    <row r="41" spans="1:13" s="16" customFormat="1" ht="51" customHeight="1" x14ac:dyDescent="0.25">
      <c r="A41" s="42" t="s">
        <v>404</v>
      </c>
      <c r="B41" s="28" t="s">
        <v>44</v>
      </c>
      <c r="C41" s="13" t="s">
        <v>38</v>
      </c>
      <c r="D41" s="15" t="s">
        <v>70</v>
      </c>
      <c r="E41" s="30">
        <f t="shared" si="0"/>
        <v>62</v>
      </c>
      <c r="F41" s="24" t="s">
        <v>47</v>
      </c>
      <c r="G41" s="13" t="s">
        <v>397</v>
      </c>
      <c r="H41" s="39" t="s">
        <v>400</v>
      </c>
      <c r="I41" s="37">
        <v>0.16666666666666666</v>
      </c>
      <c r="J41" s="37">
        <v>0.33333333333333331</v>
      </c>
      <c r="K41" s="14" t="s">
        <v>14</v>
      </c>
      <c r="L41" s="14" t="s">
        <v>18</v>
      </c>
      <c r="M41" s="15" t="s">
        <v>55</v>
      </c>
    </row>
    <row r="42" spans="1:13" s="16" customFormat="1" ht="51" customHeight="1" x14ac:dyDescent="0.25">
      <c r="A42" s="42" t="s">
        <v>404</v>
      </c>
      <c r="B42" s="28" t="s">
        <v>44</v>
      </c>
      <c r="C42" s="13" t="s">
        <v>382</v>
      </c>
      <c r="D42" s="15" t="s">
        <v>70</v>
      </c>
      <c r="E42" s="30">
        <f t="shared" si="0"/>
        <v>62</v>
      </c>
      <c r="F42" s="24" t="s">
        <v>47</v>
      </c>
      <c r="G42" s="13" t="s">
        <v>397</v>
      </c>
      <c r="H42" s="39" t="s">
        <v>400</v>
      </c>
      <c r="I42" s="37">
        <v>0.16666666666666666</v>
      </c>
      <c r="J42" s="37">
        <v>0.33333333333333331</v>
      </c>
      <c r="K42" s="14" t="s">
        <v>14</v>
      </c>
      <c r="L42" s="14" t="s">
        <v>18</v>
      </c>
      <c r="M42" s="15" t="s">
        <v>55</v>
      </c>
    </row>
    <row r="43" spans="1:13" s="16" customFormat="1" ht="51" customHeight="1" x14ac:dyDescent="0.25">
      <c r="A43" s="42" t="s">
        <v>404</v>
      </c>
      <c r="B43" s="28" t="s">
        <v>44</v>
      </c>
      <c r="C43" s="13" t="s">
        <v>39</v>
      </c>
      <c r="D43" s="15" t="s">
        <v>56</v>
      </c>
      <c r="E43" s="30">
        <f t="shared" si="0"/>
        <v>123</v>
      </c>
      <c r="F43" s="24" t="s">
        <v>17</v>
      </c>
      <c r="G43" s="13" t="s">
        <v>397</v>
      </c>
      <c r="H43" s="40" t="s">
        <v>401</v>
      </c>
      <c r="I43" s="37">
        <v>0.33333333333333331</v>
      </c>
      <c r="J43" s="37">
        <v>1</v>
      </c>
      <c r="K43" s="14" t="s">
        <v>14</v>
      </c>
      <c r="L43" s="14" t="s">
        <v>14</v>
      </c>
      <c r="M43" s="15" t="s">
        <v>59</v>
      </c>
    </row>
    <row r="44" spans="1:13" s="16" customFormat="1" ht="51" customHeight="1" x14ac:dyDescent="0.25">
      <c r="A44" s="42" t="s">
        <v>404</v>
      </c>
      <c r="B44" s="28" t="s">
        <v>44</v>
      </c>
      <c r="C44" s="13" t="s">
        <v>40</v>
      </c>
      <c r="D44" s="15" t="s">
        <v>58</v>
      </c>
      <c r="E44" s="30">
        <f t="shared" si="0"/>
        <v>124</v>
      </c>
      <c r="F44" s="24" t="s">
        <v>17</v>
      </c>
      <c r="G44" s="13" t="s">
        <v>397</v>
      </c>
      <c r="H44" s="40" t="s">
        <v>401</v>
      </c>
      <c r="I44" s="37">
        <v>0.33333333333333331</v>
      </c>
      <c r="J44" s="37">
        <v>1</v>
      </c>
      <c r="K44" s="14" t="s">
        <v>14</v>
      </c>
      <c r="L44" s="14" t="s">
        <v>14</v>
      </c>
      <c r="M44" s="15" t="s">
        <v>61</v>
      </c>
    </row>
    <row r="45" spans="1:13" s="16" customFormat="1" ht="51" customHeight="1" x14ac:dyDescent="0.25">
      <c r="A45" s="42" t="s">
        <v>404</v>
      </c>
      <c r="B45" s="28" t="s">
        <v>44</v>
      </c>
      <c r="C45" s="13" t="s">
        <v>383</v>
      </c>
      <c r="D45" s="15" t="s">
        <v>57</v>
      </c>
      <c r="E45" s="30">
        <f t="shared" si="0"/>
        <v>125</v>
      </c>
      <c r="F45" s="24" t="s">
        <v>17</v>
      </c>
      <c r="G45" s="13" t="s">
        <v>397</v>
      </c>
      <c r="H45" s="40" t="s">
        <v>401</v>
      </c>
      <c r="I45" s="37">
        <v>0.33333333333333331</v>
      </c>
      <c r="J45" s="37">
        <v>1</v>
      </c>
      <c r="K45" s="14" t="s">
        <v>14</v>
      </c>
      <c r="L45" s="14" t="s">
        <v>14</v>
      </c>
      <c r="M45" s="15" t="s">
        <v>60</v>
      </c>
    </row>
    <row r="46" spans="1:13" s="16" customFormat="1" ht="51" customHeight="1" x14ac:dyDescent="0.25">
      <c r="A46" s="42" t="s">
        <v>404</v>
      </c>
      <c r="B46" s="28" t="s">
        <v>44</v>
      </c>
      <c r="C46" s="13" t="s">
        <v>469</v>
      </c>
      <c r="D46" s="15" t="s">
        <v>470</v>
      </c>
      <c r="E46" s="30">
        <f t="shared" si="0"/>
        <v>72</v>
      </c>
      <c r="F46" s="24" t="s">
        <v>17</v>
      </c>
      <c r="G46" s="13" t="s">
        <v>397</v>
      </c>
      <c r="H46" s="40" t="s">
        <v>401</v>
      </c>
      <c r="I46" s="37">
        <v>0.33333333333333331</v>
      </c>
      <c r="J46" s="37">
        <v>1</v>
      </c>
      <c r="K46" s="14" t="s">
        <v>14</v>
      </c>
      <c r="L46" s="14" t="s">
        <v>14</v>
      </c>
      <c r="M46" s="15" t="s">
        <v>471</v>
      </c>
    </row>
    <row r="47" spans="1:13" s="16" customFormat="1" ht="51" customHeight="1" x14ac:dyDescent="0.25">
      <c r="A47" s="42" t="s">
        <v>404</v>
      </c>
      <c r="B47" s="28" t="s">
        <v>44</v>
      </c>
      <c r="C47" s="13" t="s">
        <v>66</v>
      </c>
      <c r="D47" s="15" t="s">
        <v>68</v>
      </c>
      <c r="E47" s="30">
        <f t="shared" si="0"/>
        <v>91</v>
      </c>
      <c r="F47" s="13" t="s">
        <v>17</v>
      </c>
      <c r="G47" s="13" t="s">
        <v>397</v>
      </c>
      <c r="H47" s="40" t="s">
        <v>401</v>
      </c>
      <c r="I47" s="37">
        <v>0.33333333333333331</v>
      </c>
      <c r="J47" s="37">
        <v>1</v>
      </c>
      <c r="K47" s="14" t="s">
        <v>14</v>
      </c>
      <c r="L47" s="14" t="s">
        <v>14</v>
      </c>
      <c r="M47" s="15" t="s">
        <v>64</v>
      </c>
    </row>
    <row r="48" spans="1:13" s="16" customFormat="1" ht="51" customHeight="1" x14ac:dyDescent="0.25">
      <c r="A48" s="42" t="s">
        <v>404</v>
      </c>
      <c r="B48" s="28" t="s">
        <v>46</v>
      </c>
      <c r="C48" s="13" t="s">
        <v>34</v>
      </c>
      <c r="D48" s="15" t="s">
        <v>49</v>
      </c>
      <c r="E48" s="30">
        <f t="shared" si="0"/>
        <v>43</v>
      </c>
      <c r="F48" s="13" t="s">
        <v>17</v>
      </c>
      <c r="G48" s="13" t="s">
        <v>397</v>
      </c>
      <c r="H48" s="40" t="s">
        <v>401</v>
      </c>
      <c r="I48" s="37">
        <v>0.33333333333333331</v>
      </c>
      <c r="J48" s="37">
        <v>1</v>
      </c>
      <c r="K48" s="14" t="s">
        <v>14</v>
      </c>
      <c r="L48" s="14" t="s">
        <v>18</v>
      </c>
      <c r="M48" s="15" t="s">
        <v>62</v>
      </c>
    </row>
    <row r="49" spans="1:13" ht="48" customHeight="1" x14ac:dyDescent="0.25">
      <c r="A49" s="42" t="s">
        <v>404</v>
      </c>
      <c r="B49" s="28" t="s">
        <v>46</v>
      </c>
      <c r="C49" s="13" t="s">
        <v>35</v>
      </c>
      <c r="D49" s="15" t="s">
        <v>51</v>
      </c>
      <c r="E49" s="30">
        <f t="shared" si="0"/>
        <v>49</v>
      </c>
      <c r="F49" s="13" t="s">
        <v>47</v>
      </c>
      <c r="G49" s="13" t="s">
        <v>397</v>
      </c>
      <c r="H49" s="40" t="s">
        <v>401</v>
      </c>
      <c r="I49" s="37">
        <v>0.33333333333333331</v>
      </c>
      <c r="J49" s="37">
        <v>1</v>
      </c>
      <c r="K49" s="14" t="s">
        <v>14</v>
      </c>
      <c r="L49" s="14" t="s">
        <v>14</v>
      </c>
      <c r="M49" s="15" t="s">
        <v>65</v>
      </c>
    </row>
    <row r="50" spans="1:13" ht="31.5" customHeight="1" x14ac:dyDescent="0.25">
      <c r="A50" s="42" t="s">
        <v>404</v>
      </c>
      <c r="B50" s="28" t="s">
        <v>46</v>
      </c>
      <c r="C50" s="13" t="s">
        <v>48</v>
      </c>
      <c r="D50" s="15" t="s">
        <v>68</v>
      </c>
      <c r="E50" s="30">
        <f t="shared" si="0"/>
        <v>91</v>
      </c>
      <c r="F50" s="13" t="s">
        <v>17</v>
      </c>
      <c r="G50" s="13" t="s">
        <v>397</v>
      </c>
      <c r="H50" s="40" t="s">
        <v>401</v>
      </c>
      <c r="I50" s="37">
        <v>0.33333333333333331</v>
      </c>
      <c r="J50" s="37">
        <v>1</v>
      </c>
      <c r="K50" s="14" t="s">
        <v>14</v>
      </c>
      <c r="L50" s="14" t="s">
        <v>14</v>
      </c>
      <c r="M50" s="15" t="s">
        <v>64</v>
      </c>
    </row>
    <row r="51" spans="1:13" ht="25.5" x14ac:dyDescent="0.25">
      <c r="A51" s="42" t="s">
        <v>404</v>
      </c>
      <c r="B51" s="28" t="s">
        <v>46</v>
      </c>
      <c r="C51" s="13" t="s">
        <v>45</v>
      </c>
      <c r="D51" s="15" t="s">
        <v>50</v>
      </c>
      <c r="E51" s="30">
        <f t="shared" si="0"/>
        <v>64</v>
      </c>
      <c r="F51" s="24" t="s">
        <v>47</v>
      </c>
      <c r="G51" s="13" t="s">
        <v>397</v>
      </c>
      <c r="H51" s="36" t="s">
        <v>398</v>
      </c>
      <c r="I51" s="37">
        <v>4.1666666666666664E-2</v>
      </c>
      <c r="J51" s="37">
        <v>0.16666666666666666</v>
      </c>
      <c r="K51" s="14" t="s">
        <v>14</v>
      </c>
      <c r="L51" s="14" t="s">
        <v>14</v>
      </c>
      <c r="M51" s="15" t="s">
        <v>63</v>
      </c>
    </row>
    <row r="52" spans="1:13" ht="25.5" x14ac:dyDescent="0.25">
      <c r="A52" s="44" t="s">
        <v>404</v>
      </c>
      <c r="B52" s="28" t="s">
        <v>514</v>
      </c>
      <c r="C52" s="13" t="s">
        <v>45</v>
      </c>
      <c r="D52" s="15" t="s">
        <v>515</v>
      </c>
      <c r="E52" s="30">
        <f t="shared" ref="E52" si="1">LEN(D52)</f>
        <v>55</v>
      </c>
      <c r="F52" s="24" t="s">
        <v>47</v>
      </c>
      <c r="G52" s="13" t="s">
        <v>397</v>
      </c>
      <c r="H52" s="36" t="s">
        <v>398</v>
      </c>
      <c r="I52" s="37">
        <v>4.1666666666666664E-2</v>
      </c>
      <c r="J52" s="37">
        <v>0.16666666666666666</v>
      </c>
      <c r="K52" s="14" t="s">
        <v>14</v>
      </c>
      <c r="L52" s="14" t="s">
        <v>14</v>
      </c>
      <c r="M52" s="15" t="s">
        <v>63</v>
      </c>
    </row>
    <row r="53" spans="1:13" ht="25.5" x14ac:dyDescent="0.25">
      <c r="A53" s="44" t="s">
        <v>404</v>
      </c>
      <c r="B53" s="28" t="s">
        <v>516</v>
      </c>
      <c r="C53" s="13" t="s">
        <v>45</v>
      </c>
      <c r="D53" s="15" t="s">
        <v>517</v>
      </c>
      <c r="E53" s="30">
        <f t="shared" ref="E53" si="2">LEN(D53)</f>
        <v>49</v>
      </c>
      <c r="F53" s="24" t="s">
        <v>47</v>
      </c>
      <c r="G53" s="13" t="s">
        <v>397</v>
      </c>
      <c r="H53" s="36" t="s">
        <v>398</v>
      </c>
      <c r="I53" s="37">
        <v>4.1666666666666664E-2</v>
      </c>
      <c r="J53" s="37">
        <v>0.16666666666666666</v>
      </c>
      <c r="K53" s="14" t="s">
        <v>14</v>
      </c>
      <c r="L53" s="14" t="s">
        <v>14</v>
      </c>
      <c r="M53" s="15" t="s">
        <v>63</v>
      </c>
    </row>
  </sheetData>
  <autoFilter ref="A6:M51"/>
  <sortState ref="A7:M49">
    <sortCondition ref="B7:B49"/>
    <sortCondition ref="C7:C49"/>
  </sortState>
  <mergeCells count="2">
    <mergeCell ref="C3:J4"/>
    <mergeCell ref="C2:J2"/>
  </mergeCells>
  <conditionalFormatting sqref="E10:E44 E7:E8">
    <cfRule type="cellIs" dxfId="20" priority="16" operator="greaterThan">
      <formula>104</formula>
    </cfRule>
  </conditionalFormatting>
  <conditionalFormatting sqref="E46:E48">
    <cfRule type="cellIs" dxfId="19" priority="9" operator="greaterThan">
      <formula>104</formula>
    </cfRule>
  </conditionalFormatting>
  <conditionalFormatting sqref="E45">
    <cfRule type="cellIs" dxfId="18" priority="7" operator="greaterThan">
      <formula>104</formula>
    </cfRule>
  </conditionalFormatting>
  <conditionalFormatting sqref="E49">
    <cfRule type="cellIs" dxfId="17" priority="6" operator="greaterThan">
      <formula>104</formula>
    </cfRule>
  </conditionalFormatting>
  <conditionalFormatting sqref="E50">
    <cfRule type="cellIs" dxfId="16" priority="5" operator="greaterThan">
      <formula>104</formula>
    </cfRule>
  </conditionalFormatting>
  <conditionalFormatting sqref="E51">
    <cfRule type="cellIs" dxfId="15" priority="4" operator="greaterThan">
      <formula>104</formula>
    </cfRule>
  </conditionalFormatting>
  <conditionalFormatting sqref="E9">
    <cfRule type="cellIs" dxfId="14" priority="3" operator="greaterThan">
      <formula>104</formula>
    </cfRule>
  </conditionalFormatting>
  <conditionalFormatting sqref="E52">
    <cfRule type="cellIs" dxfId="13" priority="2" operator="greaterThan">
      <formula>104</formula>
    </cfRule>
  </conditionalFormatting>
  <conditionalFormatting sqref="E53">
    <cfRule type="cellIs" dxfId="12" priority="1" operator="greaterThan">
      <formula>104</formula>
    </cfRule>
  </conditionalFormatting>
  <dataValidations count="1">
    <dataValidation type="list" allowBlank="1" showInputMessage="1" showErrorMessage="1" sqref="K7:L53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31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RowHeight="18.75" x14ac:dyDescent="0.25"/>
  <cols>
    <col min="1" max="1" width="27.85546875" style="27" customWidth="1"/>
    <col min="2" max="2" width="22.28515625" style="27" bestFit="1" customWidth="1"/>
    <col min="3" max="3" width="42.5703125" style="11" bestFit="1" customWidth="1"/>
    <col min="4" max="4" width="55.140625" style="21" customWidth="1"/>
    <col min="5" max="5" width="5.5703125" style="31" bestFit="1" customWidth="1"/>
    <col min="6" max="6" width="16.42578125" style="11" bestFit="1" customWidth="1"/>
    <col min="7" max="7" width="18.42578125" style="11" customWidth="1"/>
    <col min="8" max="8" width="13.7109375" style="11" customWidth="1"/>
    <col min="9" max="9" width="13.85546875" style="11" bestFit="1" customWidth="1"/>
    <col min="10" max="10" width="14.5703125" style="11" bestFit="1" customWidth="1"/>
    <col min="11" max="12" width="13.7109375" style="17" customWidth="1"/>
    <col min="13" max="13" width="60.7109375" style="21" customWidth="1"/>
    <col min="14" max="16384" width="9.140625" style="11"/>
  </cols>
  <sheetData>
    <row r="1" spans="1:13" x14ac:dyDescent="0.25">
      <c r="A1" s="25"/>
      <c r="B1" s="25"/>
      <c r="C1" s="9"/>
      <c r="D1" s="18"/>
      <c r="E1" s="29"/>
      <c r="F1" s="9"/>
      <c r="G1" s="9"/>
      <c r="H1" s="9"/>
      <c r="I1" s="9"/>
      <c r="J1" s="9"/>
      <c r="K1" s="10"/>
      <c r="L1" s="10"/>
      <c r="M1" s="18"/>
    </row>
    <row r="2" spans="1:13" ht="15.75" x14ac:dyDescent="0.25">
      <c r="A2" s="25"/>
      <c r="B2" s="25"/>
      <c r="C2" s="47" t="s">
        <v>1</v>
      </c>
      <c r="D2" s="47"/>
      <c r="E2" s="47"/>
      <c r="F2" s="47"/>
      <c r="G2" s="47"/>
      <c r="H2" s="47"/>
      <c r="I2" s="47"/>
      <c r="J2" s="47"/>
      <c r="K2" s="12"/>
      <c r="L2" s="12"/>
      <c r="M2" s="18"/>
    </row>
    <row r="3" spans="1:13" ht="15" customHeight="1" x14ac:dyDescent="0.25">
      <c r="A3" s="25"/>
      <c r="B3" s="25"/>
      <c r="C3" s="48" t="s">
        <v>0</v>
      </c>
      <c r="D3" s="48"/>
      <c r="E3" s="48"/>
      <c r="F3" s="48"/>
      <c r="G3" s="48"/>
      <c r="H3" s="48"/>
      <c r="I3" s="48"/>
      <c r="J3" s="48"/>
      <c r="K3" s="2"/>
      <c r="L3" s="2"/>
      <c r="M3" s="18"/>
    </row>
    <row r="4" spans="1:13" ht="15" customHeight="1" x14ac:dyDescent="0.25">
      <c r="A4" s="25"/>
      <c r="B4" s="25"/>
      <c r="C4" s="48"/>
      <c r="D4" s="48"/>
      <c r="E4" s="48"/>
      <c r="F4" s="48"/>
      <c r="G4" s="48"/>
      <c r="H4" s="48"/>
      <c r="I4" s="48"/>
      <c r="J4" s="48"/>
      <c r="K4" s="2"/>
      <c r="L4" s="2"/>
      <c r="M4" s="19" t="s">
        <v>2</v>
      </c>
    </row>
    <row r="5" spans="1:13" x14ac:dyDescent="0.25">
      <c r="A5" s="25"/>
      <c r="B5" s="25"/>
      <c r="C5" s="9"/>
      <c r="D5" s="18"/>
      <c r="E5" s="29"/>
      <c r="F5" s="9"/>
      <c r="G5" s="9"/>
      <c r="H5" s="9"/>
      <c r="I5" s="9"/>
      <c r="J5" s="9"/>
      <c r="K5" s="10"/>
      <c r="L5" s="10"/>
      <c r="M5" s="20">
        <f>'CAT Negócio'!M5</f>
        <v>42347</v>
      </c>
    </row>
    <row r="6" spans="1:13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7" t="s">
        <v>88</v>
      </c>
      <c r="F6" s="5" t="s">
        <v>6</v>
      </c>
      <c r="G6" s="5" t="s">
        <v>11</v>
      </c>
      <c r="H6" s="5" t="s">
        <v>8</v>
      </c>
      <c r="I6" s="5" t="s">
        <v>9</v>
      </c>
      <c r="J6" s="5" t="s">
        <v>10</v>
      </c>
      <c r="K6" s="7" t="s">
        <v>12</v>
      </c>
      <c r="L6" s="7" t="s">
        <v>15</v>
      </c>
      <c r="M6" s="7" t="s">
        <v>13</v>
      </c>
    </row>
    <row r="7" spans="1:13" s="16" customFormat="1" ht="51" customHeight="1" x14ac:dyDescent="0.25">
      <c r="A7" s="42" t="s">
        <v>403</v>
      </c>
      <c r="B7" s="28" t="s">
        <v>101</v>
      </c>
      <c r="C7" s="15" t="s">
        <v>413</v>
      </c>
      <c r="D7" s="15" t="s">
        <v>106</v>
      </c>
      <c r="E7" s="30">
        <f>LEN(D7)</f>
        <v>57</v>
      </c>
      <c r="F7" s="32" t="s">
        <v>17</v>
      </c>
      <c r="G7" s="15" t="s">
        <v>397</v>
      </c>
      <c r="H7" s="40" t="s">
        <v>401</v>
      </c>
      <c r="I7" s="37">
        <v>0.33333333333333331</v>
      </c>
      <c r="J7" s="37">
        <v>1</v>
      </c>
      <c r="K7" s="33" t="s">
        <v>14</v>
      </c>
      <c r="L7" s="33" t="s">
        <v>14</v>
      </c>
      <c r="M7" s="15" t="s">
        <v>157</v>
      </c>
    </row>
    <row r="8" spans="1:13" s="16" customFormat="1" ht="51" customHeight="1" x14ac:dyDescent="0.25">
      <c r="A8" s="42" t="s">
        <v>403</v>
      </c>
      <c r="B8" s="28" t="s">
        <v>101</v>
      </c>
      <c r="C8" s="15" t="s">
        <v>414</v>
      </c>
      <c r="D8" s="15" t="s">
        <v>107</v>
      </c>
      <c r="E8" s="30">
        <f t="shared" ref="E8:E29" si="0">LEN(D8)</f>
        <v>59</v>
      </c>
      <c r="F8" s="32" t="s">
        <v>17</v>
      </c>
      <c r="G8" s="15" t="s">
        <v>397</v>
      </c>
      <c r="H8" s="40" t="s">
        <v>401</v>
      </c>
      <c r="I8" s="37">
        <v>0.33333333333333331</v>
      </c>
      <c r="J8" s="37">
        <v>1</v>
      </c>
      <c r="K8" s="33" t="s">
        <v>14</v>
      </c>
      <c r="L8" s="33" t="s">
        <v>14</v>
      </c>
      <c r="M8" s="15" t="s">
        <v>158</v>
      </c>
    </row>
    <row r="9" spans="1:13" s="16" customFormat="1" ht="51" customHeight="1" x14ac:dyDescent="0.25">
      <c r="A9" s="42" t="s">
        <v>403</v>
      </c>
      <c r="B9" s="28" t="s">
        <v>101</v>
      </c>
      <c r="C9" s="15" t="s">
        <v>415</v>
      </c>
      <c r="D9" s="15" t="s">
        <v>105</v>
      </c>
      <c r="E9" s="30">
        <f t="shared" si="0"/>
        <v>94</v>
      </c>
      <c r="F9" s="15" t="s">
        <v>47</v>
      </c>
      <c r="G9" s="15" t="s">
        <v>397</v>
      </c>
      <c r="H9" s="40" t="s">
        <v>401</v>
      </c>
      <c r="I9" s="37">
        <v>0.33333333333333331</v>
      </c>
      <c r="J9" s="37">
        <v>1</v>
      </c>
      <c r="K9" s="33" t="s">
        <v>14</v>
      </c>
      <c r="L9" s="33" t="s">
        <v>14</v>
      </c>
      <c r="M9" s="15" t="s">
        <v>159</v>
      </c>
    </row>
    <row r="10" spans="1:13" s="16" customFormat="1" ht="114.75" x14ac:dyDescent="0.25">
      <c r="A10" s="42" t="s">
        <v>403</v>
      </c>
      <c r="B10" s="28" t="s">
        <v>99</v>
      </c>
      <c r="C10" s="15" t="s">
        <v>416</v>
      </c>
      <c r="D10" s="15" t="s">
        <v>108</v>
      </c>
      <c r="E10" s="30">
        <f t="shared" si="0"/>
        <v>64</v>
      </c>
      <c r="F10" s="32" t="s">
        <v>17</v>
      </c>
      <c r="G10" s="15" t="s">
        <v>397</v>
      </c>
      <c r="H10" s="40" t="s">
        <v>401</v>
      </c>
      <c r="I10" s="37">
        <v>0.33333333333333331</v>
      </c>
      <c r="J10" s="37">
        <v>1</v>
      </c>
      <c r="K10" s="33" t="s">
        <v>14</v>
      </c>
      <c r="L10" s="33" t="s">
        <v>14</v>
      </c>
      <c r="M10" s="15" t="s">
        <v>160</v>
      </c>
    </row>
    <row r="11" spans="1:13" s="16" customFormat="1" ht="51" customHeight="1" x14ac:dyDescent="0.25">
      <c r="A11" s="42" t="s">
        <v>403</v>
      </c>
      <c r="B11" s="28" t="s">
        <v>99</v>
      </c>
      <c r="C11" s="15" t="s">
        <v>417</v>
      </c>
      <c r="D11" s="15" t="s">
        <v>109</v>
      </c>
      <c r="E11" s="30">
        <f t="shared" si="0"/>
        <v>92</v>
      </c>
      <c r="F11" s="32" t="s">
        <v>47</v>
      </c>
      <c r="G11" s="15" t="s">
        <v>397</v>
      </c>
      <c r="H11" s="40" t="s">
        <v>401</v>
      </c>
      <c r="I11" s="37">
        <v>0.33333333333333331</v>
      </c>
      <c r="J11" s="37">
        <v>1</v>
      </c>
      <c r="K11" s="33" t="s">
        <v>14</v>
      </c>
      <c r="L11" s="33" t="s">
        <v>14</v>
      </c>
      <c r="M11" s="15" t="s">
        <v>161</v>
      </c>
    </row>
    <row r="12" spans="1:13" s="16" customFormat="1" ht="51" customHeight="1" x14ac:dyDescent="0.25">
      <c r="A12" s="42" t="s">
        <v>403</v>
      </c>
      <c r="B12" s="28" t="s">
        <v>100</v>
      </c>
      <c r="C12" s="15" t="s">
        <v>418</v>
      </c>
      <c r="D12" s="15" t="s">
        <v>110</v>
      </c>
      <c r="E12" s="30">
        <f t="shared" si="0"/>
        <v>48</v>
      </c>
      <c r="F12" s="32" t="s">
        <v>17</v>
      </c>
      <c r="G12" s="15" t="s">
        <v>397</v>
      </c>
      <c r="H12" s="39" t="s">
        <v>400</v>
      </c>
      <c r="I12" s="37">
        <v>8.3333333333333329E-2</v>
      </c>
      <c r="J12" s="37">
        <v>0.16666666666666666</v>
      </c>
      <c r="K12" s="33" t="s">
        <v>14</v>
      </c>
      <c r="L12" s="33" t="s">
        <v>14</v>
      </c>
      <c r="M12" s="15" t="s">
        <v>162</v>
      </c>
    </row>
    <row r="13" spans="1:13" s="16" customFormat="1" ht="51" customHeight="1" x14ac:dyDescent="0.25">
      <c r="A13" s="42" t="s">
        <v>403</v>
      </c>
      <c r="B13" s="28" t="s">
        <v>100</v>
      </c>
      <c r="C13" s="15" t="s">
        <v>419</v>
      </c>
      <c r="D13" s="15" t="s">
        <v>111</v>
      </c>
      <c r="E13" s="30">
        <f t="shared" si="0"/>
        <v>31</v>
      </c>
      <c r="F13" s="32" t="s">
        <v>47</v>
      </c>
      <c r="G13" s="15" t="s">
        <v>397</v>
      </c>
      <c r="H13" s="39" t="s">
        <v>400</v>
      </c>
      <c r="I13" s="37">
        <v>0.16666666666666666</v>
      </c>
      <c r="J13" s="37">
        <v>0.33333333333333331</v>
      </c>
      <c r="K13" s="33" t="s">
        <v>14</v>
      </c>
      <c r="L13" s="33" t="s">
        <v>14</v>
      </c>
      <c r="M13" s="15" t="s">
        <v>163</v>
      </c>
    </row>
    <row r="14" spans="1:13" s="16" customFormat="1" ht="51" customHeight="1" x14ac:dyDescent="0.25">
      <c r="A14" s="42" t="s">
        <v>403</v>
      </c>
      <c r="B14" s="28" t="s">
        <v>113</v>
      </c>
      <c r="C14" s="15" t="s">
        <v>420</v>
      </c>
      <c r="D14" s="15" t="s">
        <v>112</v>
      </c>
      <c r="E14" s="30">
        <f t="shared" si="0"/>
        <v>92</v>
      </c>
      <c r="F14" s="32" t="s">
        <v>47</v>
      </c>
      <c r="G14" s="15" t="s">
        <v>397</v>
      </c>
      <c r="H14" s="40" t="s">
        <v>401</v>
      </c>
      <c r="I14" s="37">
        <v>0.33333333333333331</v>
      </c>
      <c r="J14" s="37">
        <v>1</v>
      </c>
      <c r="K14" s="33" t="s">
        <v>14</v>
      </c>
      <c r="L14" s="33" t="s">
        <v>14</v>
      </c>
      <c r="M14" s="15" t="s">
        <v>164</v>
      </c>
    </row>
    <row r="15" spans="1:13" s="16" customFormat="1" ht="51" customHeight="1" x14ac:dyDescent="0.25">
      <c r="A15" s="42" t="s">
        <v>403</v>
      </c>
      <c r="B15" s="28" t="s">
        <v>103</v>
      </c>
      <c r="C15" s="15" t="s">
        <v>421</v>
      </c>
      <c r="D15" s="15" t="s">
        <v>114</v>
      </c>
      <c r="E15" s="30">
        <f t="shared" si="0"/>
        <v>22</v>
      </c>
      <c r="F15" s="32" t="s">
        <v>47</v>
      </c>
      <c r="G15" s="15" t="s">
        <v>397</v>
      </c>
      <c r="H15" s="39" t="s">
        <v>400</v>
      </c>
      <c r="I15" s="37">
        <v>0.16666666666666666</v>
      </c>
      <c r="J15" s="37">
        <v>0.33333333333333331</v>
      </c>
      <c r="K15" s="33" t="s">
        <v>14</v>
      </c>
      <c r="L15" s="33" t="s">
        <v>14</v>
      </c>
      <c r="M15" s="15" t="s">
        <v>411</v>
      </c>
    </row>
    <row r="16" spans="1:13" s="16" customFormat="1" ht="51" customHeight="1" x14ac:dyDescent="0.25">
      <c r="A16" s="42" t="s">
        <v>403</v>
      </c>
      <c r="B16" s="28" t="s">
        <v>103</v>
      </c>
      <c r="C16" s="15" t="s">
        <v>422</v>
      </c>
      <c r="D16" s="15" t="s">
        <v>115</v>
      </c>
      <c r="E16" s="30">
        <f t="shared" si="0"/>
        <v>51</v>
      </c>
      <c r="F16" s="15" t="s">
        <v>47</v>
      </c>
      <c r="G16" s="15" t="s">
        <v>397</v>
      </c>
      <c r="H16" s="40" t="s">
        <v>401</v>
      </c>
      <c r="I16" s="37">
        <v>0.33333333333333331</v>
      </c>
      <c r="J16" s="37">
        <v>1</v>
      </c>
      <c r="K16" s="33" t="s">
        <v>14</v>
      </c>
      <c r="L16" s="33" t="s">
        <v>14</v>
      </c>
      <c r="M16" s="15" t="s">
        <v>412</v>
      </c>
    </row>
    <row r="17" spans="1:13" s="16" customFormat="1" ht="51" customHeight="1" x14ac:dyDescent="0.25">
      <c r="A17" s="42" t="s">
        <v>403</v>
      </c>
      <c r="B17" s="28" t="s">
        <v>104</v>
      </c>
      <c r="C17" s="15" t="s">
        <v>423</v>
      </c>
      <c r="D17" s="15" t="s">
        <v>116</v>
      </c>
      <c r="E17" s="30">
        <f t="shared" si="0"/>
        <v>29</v>
      </c>
      <c r="F17" s="15" t="s">
        <v>47</v>
      </c>
      <c r="G17" s="15" t="s">
        <v>397</v>
      </c>
      <c r="H17" s="40" t="s">
        <v>401</v>
      </c>
      <c r="I17" s="37">
        <v>0.33333333333333331</v>
      </c>
      <c r="J17" s="37">
        <v>1</v>
      </c>
      <c r="K17" s="33" t="s">
        <v>14</v>
      </c>
      <c r="L17" s="33" t="s">
        <v>14</v>
      </c>
      <c r="M17" s="15" t="s">
        <v>165</v>
      </c>
    </row>
    <row r="18" spans="1:13" s="16" customFormat="1" ht="51" customHeight="1" x14ac:dyDescent="0.25">
      <c r="A18" s="42" t="s">
        <v>403</v>
      </c>
      <c r="B18" s="28" t="s">
        <v>102</v>
      </c>
      <c r="C18" s="15" t="s">
        <v>424</v>
      </c>
      <c r="D18" s="15" t="s">
        <v>117</v>
      </c>
      <c r="E18" s="30">
        <f t="shared" si="0"/>
        <v>55</v>
      </c>
      <c r="F18" s="15" t="s">
        <v>47</v>
      </c>
      <c r="G18" s="15" t="s">
        <v>397</v>
      </c>
      <c r="H18" s="40" t="s">
        <v>401</v>
      </c>
      <c r="I18" s="37">
        <v>0.33333333333333331</v>
      </c>
      <c r="J18" s="37">
        <v>1</v>
      </c>
      <c r="K18" s="33" t="s">
        <v>14</v>
      </c>
      <c r="L18" s="33" t="s">
        <v>14</v>
      </c>
      <c r="M18" s="15" t="s">
        <v>166</v>
      </c>
    </row>
    <row r="19" spans="1:13" s="16" customFormat="1" ht="51" customHeight="1" x14ac:dyDescent="0.25">
      <c r="A19" s="42" t="s">
        <v>403</v>
      </c>
      <c r="B19" s="28" t="s">
        <v>102</v>
      </c>
      <c r="C19" s="15" t="s">
        <v>425</v>
      </c>
      <c r="D19" s="15" t="s">
        <v>120</v>
      </c>
      <c r="E19" s="30">
        <f t="shared" si="0"/>
        <v>64</v>
      </c>
      <c r="F19" s="15" t="s">
        <v>47</v>
      </c>
      <c r="G19" s="15" t="s">
        <v>397</v>
      </c>
      <c r="H19" s="40" t="s">
        <v>401</v>
      </c>
      <c r="I19" s="37">
        <v>0.33333333333333331</v>
      </c>
      <c r="J19" s="37">
        <v>1</v>
      </c>
      <c r="K19" s="33" t="s">
        <v>14</v>
      </c>
      <c r="L19" s="33" t="s">
        <v>14</v>
      </c>
      <c r="M19" s="15" t="s">
        <v>167</v>
      </c>
    </row>
    <row r="20" spans="1:13" s="16" customFormat="1" ht="51" customHeight="1" x14ac:dyDescent="0.25">
      <c r="A20" s="42" t="s">
        <v>403</v>
      </c>
      <c r="B20" s="28" t="s">
        <v>102</v>
      </c>
      <c r="C20" s="15" t="s">
        <v>426</v>
      </c>
      <c r="D20" s="15" t="s">
        <v>119</v>
      </c>
      <c r="E20" s="30">
        <f t="shared" si="0"/>
        <v>70</v>
      </c>
      <c r="F20" s="15" t="s">
        <v>17</v>
      </c>
      <c r="G20" s="15" t="s">
        <v>397</v>
      </c>
      <c r="H20" s="40" t="s">
        <v>401</v>
      </c>
      <c r="I20" s="37">
        <v>0.33333333333333331</v>
      </c>
      <c r="J20" s="37">
        <v>1</v>
      </c>
      <c r="K20" s="33" t="s">
        <v>14</v>
      </c>
      <c r="L20" s="33" t="s">
        <v>14</v>
      </c>
      <c r="M20" s="15" t="s">
        <v>168</v>
      </c>
    </row>
    <row r="21" spans="1:13" s="16" customFormat="1" ht="51" customHeight="1" x14ac:dyDescent="0.25">
      <c r="A21" s="42" t="s">
        <v>403</v>
      </c>
      <c r="B21" s="28" t="s">
        <v>102</v>
      </c>
      <c r="C21" s="15" t="s">
        <v>427</v>
      </c>
      <c r="D21" s="15" t="s">
        <v>118</v>
      </c>
      <c r="E21" s="30">
        <f t="shared" si="0"/>
        <v>24</v>
      </c>
      <c r="F21" s="15" t="s">
        <v>47</v>
      </c>
      <c r="G21" s="15" t="s">
        <v>397</v>
      </c>
      <c r="H21" s="40" t="s">
        <v>401</v>
      </c>
      <c r="I21" s="37">
        <v>0.33333333333333331</v>
      </c>
      <c r="J21" s="37">
        <v>1</v>
      </c>
      <c r="K21" s="33" t="s">
        <v>14</v>
      </c>
      <c r="L21" s="33" t="s">
        <v>14</v>
      </c>
      <c r="M21" s="15" t="s">
        <v>169</v>
      </c>
    </row>
    <row r="22" spans="1:13" s="16" customFormat="1" ht="51" customHeight="1" x14ac:dyDescent="0.25">
      <c r="A22" s="42" t="s">
        <v>403</v>
      </c>
      <c r="B22" s="28" t="s">
        <v>121</v>
      </c>
      <c r="C22" s="15" t="s">
        <v>428</v>
      </c>
      <c r="D22" s="15" t="s">
        <v>216</v>
      </c>
      <c r="E22" s="30">
        <f t="shared" ref="E22" si="1">LEN(D22)</f>
        <v>95</v>
      </c>
      <c r="F22" s="15" t="s">
        <v>47</v>
      </c>
      <c r="G22" s="15" t="s">
        <v>397</v>
      </c>
      <c r="H22" s="39" t="s">
        <v>400</v>
      </c>
      <c r="I22" s="37">
        <v>0.16666666666666666</v>
      </c>
      <c r="J22" s="37">
        <v>0.33333333333333331</v>
      </c>
      <c r="K22" s="33" t="s">
        <v>14</v>
      </c>
      <c r="L22" s="33" t="s">
        <v>14</v>
      </c>
      <c r="M22" s="15" t="s">
        <v>217</v>
      </c>
    </row>
    <row r="23" spans="1:13" s="16" customFormat="1" ht="51" customHeight="1" x14ac:dyDescent="0.25">
      <c r="A23" s="42" t="s">
        <v>403</v>
      </c>
      <c r="B23" s="28" t="s">
        <v>336</v>
      </c>
      <c r="C23" s="15" t="s">
        <v>429</v>
      </c>
      <c r="D23" s="15" t="s">
        <v>172</v>
      </c>
      <c r="E23" s="30">
        <f t="shared" si="0"/>
        <v>44</v>
      </c>
      <c r="F23" s="15" t="s">
        <v>47</v>
      </c>
      <c r="G23" s="15" t="s">
        <v>397</v>
      </c>
      <c r="H23" s="40" t="s">
        <v>401</v>
      </c>
      <c r="I23" s="37">
        <v>0.33333333333333331</v>
      </c>
      <c r="J23" s="37">
        <v>1</v>
      </c>
      <c r="K23" s="33" t="s">
        <v>14</v>
      </c>
      <c r="L23" s="33" t="s">
        <v>14</v>
      </c>
      <c r="M23" s="15" t="s">
        <v>173</v>
      </c>
    </row>
    <row r="24" spans="1:13" s="16" customFormat="1" ht="51" customHeight="1" x14ac:dyDescent="0.25">
      <c r="A24" s="42" t="s">
        <v>403</v>
      </c>
      <c r="B24" s="28" t="s">
        <v>336</v>
      </c>
      <c r="C24" s="15" t="s">
        <v>408</v>
      </c>
      <c r="D24" s="15" t="s">
        <v>300</v>
      </c>
      <c r="E24" s="30">
        <f t="shared" ref="E24" si="2">LEN(D24)</f>
        <v>52</v>
      </c>
      <c r="F24" s="15" t="s">
        <v>17</v>
      </c>
      <c r="G24" s="15" t="s">
        <v>397</v>
      </c>
      <c r="H24" s="40" t="s">
        <v>401</v>
      </c>
      <c r="I24" s="37">
        <v>0.33333333333333331</v>
      </c>
      <c r="J24" s="37">
        <v>1</v>
      </c>
      <c r="K24" s="33" t="s">
        <v>14</v>
      </c>
      <c r="L24" s="33" t="s">
        <v>14</v>
      </c>
      <c r="M24" s="15" t="s">
        <v>337</v>
      </c>
    </row>
    <row r="25" spans="1:13" s="16" customFormat="1" ht="51" customHeight="1" x14ac:dyDescent="0.25">
      <c r="A25" s="42" t="s">
        <v>403</v>
      </c>
      <c r="B25" s="28" t="s">
        <v>121</v>
      </c>
      <c r="C25" s="15" t="s">
        <v>430</v>
      </c>
      <c r="D25" s="15" t="s">
        <v>409</v>
      </c>
      <c r="E25" s="30">
        <f t="shared" si="0"/>
        <v>39</v>
      </c>
      <c r="F25" s="15" t="s">
        <v>47</v>
      </c>
      <c r="G25" s="15" t="s">
        <v>397</v>
      </c>
      <c r="H25" s="39" t="s">
        <v>400</v>
      </c>
      <c r="I25" s="37">
        <v>0.16666666666666666</v>
      </c>
      <c r="J25" s="37">
        <v>0.33333333333333331</v>
      </c>
      <c r="K25" s="33" t="s">
        <v>14</v>
      </c>
      <c r="L25" s="33" t="s">
        <v>14</v>
      </c>
      <c r="M25" s="15" t="s">
        <v>410</v>
      </c>
    </row>
    <row r="26" spans="1:13" s="16" customFormat="1" ht="51" customHeight="1" x14ac:dyDescent="0.25">
      <c r="A26" s="42" t="s">
        <v>403</v>
      </c>
      <c r="B26" s="28" t="s">
        <v>122</v>
      </c>
      <c r="C26" s="15" t="s">
        <v>431</v>
      </c>
      <c r="D26" s="15" t="s">
        <v>194</v>
      </c>
      <c r="E26" s="30">
        <f t="shared" si="0"/>
        <v>64</v>
      </c>
      <c r="F26" s="15" t="s">
        <v>17</v>
      </c>
      <c r="G26" s="15" t="s">
        <v>397</v>
      </c>
      <c r="H26" s="40" t="s">
        <v>401</v>
      </c>
      <c r="I26" s="37">
        <v>0.33333333333333331</v>
      </c>
      <c r="J26" s="37">
        <v>1</v>
      </c>
      <c r="K26" s="33" t="s">
        <v>14</v>
      </c>
      <c r="L26" s="33" t="s">
        <v>14</v>
      </c>
      <c r="M26" s="15" t="s">
        <v>175</v>
      </c>
    </row>
    <row r="27" spans="1:13" s="16" customFormat="1" ht="51" customHeight="1" x14ac:dyDescent="0.25">
      <c r="A27" s="42" t="s">
        <v>403</v>
      </c>
      <c r="B27" s="28" t="s">
        <v>122</v>
      </c>
      <c r="C27" s="15" t="s">
        <v>432</v>
      </c>
      <c r="D27" s="15" t="s">
        <v>195</v>
      </c>
      <c r="E27" s="30">
        <f t="shared" ref="E27" si="3">LEN(D27)</f>
        <v>20</v>
      </c>
      <c r="F27" s="15" t="s">
        <v>17</v>
      </c>
      <c r="G27" s="15" t="s">
        <v>397</v>
      </c>
      <c r="H27" s="40" t="s">
        <v>401</v>
      </c>
      <c r="I27" s="37">
        <v>0.33333333333333331</v>
      </c>
      <c r="J27" s="37">
        <v>1</v>
      </c>
      <c r="K27" s="33" t="s">
        <v>14</v>
      </c>
      <c r="L27" s="33" t="s">
        <v>14</v>
      </c>
      <c r="M27" s="15" t="s">
        <v>174</v>
      </c>
    </row>
    <row r="28" spans="1:13" s="16" customFormat="1" ht="51" customHeight="1" x14ac:dyDescent="0.25">
      <c r="A28" s="42" t="s">
        <v>403</v>
      </c>
      <c r="B28" s="28" t="s">
        <v>122</v>
      </c>
      <c r="C28" s="15" t="s">
        <v>433</v>
      </c>
      <c r="D28" s="15" t="s">
        <v>194</v>
      </c>
      <c r="E28" s="30">
        <f t="shared" si="0"/>
        <v>64</v>
      </c>
      <c r="F28" s="13" t="s">
        <v>47</v>
      </c>
      <c r="G28" s="15" t="s">
        <v>397</v>
      </c>
      <c r="H28" s="40" t="s">
        <v>401</v>
      </c>
      <c r="I28" s="37">
        <v>0.33333333333333331</v>
      </c>
      <c r="J28" s="37">
        <v>1</v>
      </c>
      <c r="K28" s="33" t="s">
        <v>14</v>
      </c>
      <c r="L28" s="33" t="s">
        <v>14</v>
      </c>
      <c r="M28" s="15" t="s">
        <v>176</v>
      </c>
    </row>
    <row r="29" spans="1:13" s="16" customFormat="1" ht="51" customHeight="1" x14ac:dyDescent="0.25">
      <c r="A29" s="42" t="s">
        <v>403</v>
      </c>
      <c r="B29" s="28" t="s">
        <v>122</v>
      </c>
      <c r="C29" s="15" t="s">
        <v>434</v>
      </c>
      <c r="D29" s="15" t="s">
        <v>195</v>
      </c>
      <c r="E29" s="30">
        <f t="shared" si="0"/>
        <v>20</v>
      </c>
      <c r="F29" s="13" t="s">
        <v>47</v>
      </c>
      <c r="G29" s="15" t="s">
        <v>397</v>
      </c>
      <c r="H29" s="40" t="s">
        <v>401</v>
      </c>
      <c r="I29" s="37">
        <v>0.33333333333333331</v>
      </c>
      <c r="J29" s="37">
        <v>1</v>
      </c>
      <c r="K29" s="33" t="s">
        <v>14</v>
      </c>
      <c r="L29" s="33" t="s">
        <v>14</v>
      </c>
      <c r="M29" s="15" t="s">
        <v>177</v>
      </c>
    </row>
    <row r="30" spans="1:13" s="16" customFormat="1" ht="51" customHeight="1" x14ac:dyDescent="0.25">
      <c r="A30" s="42" t="s">
        <v>403</v>
      </c>
      <c r="B30" s="28" t="s">
        <v>297</v>
      </c>
      <c r="C30" s="15" t="s">
        <v>298</v>
      </c>
      <c r="D30" s="15" t="s">
        <v>299</v>
      </c>
      <c r="E30" s="30">
        <f t="shared" ref="E30" si="4">LEN(D30)</f>
        <v>93</v>
      </c>
      <c r="F30" s="13" t="s">
        <v>17</v>
      </c>
      <c r="G30" s="15" t="s">
        <v>397</v>
      </c>
      <c r="H30" s="40" t="s">
        <v>401</v>
      </c>
      <c r="I30" s="37">
        <v>0.33333333333333331</v>
      </c>
      <c r="J30" s="37">
        <v>1</v>
      </c>
      <c r="K30" s="33" t="s">
        <v>14</v>
      </c>
      <c r="L30" s="33" t="s">
        <v>14</v>
      </c>
      <c r="M30" s="15" t="s">
        <v>435</v>
      </c>
    </row>
    <row r="31" spans="1:13" s="16" customFormat="1" ht="51" customHeight="1" x14ac:dyDescent="0.25">
      <c r="A31" s="42" t="s">
        <v>403</v>
      </c>
      <c r="B31" s="28" t="s">
        <v>297</v>
      </c>
      <c r="C31" s="15" t="s">
        <v>436</v>
      </c>
      <c r="D31" s="15" t="s">
        <v>436</v>
      </c>
      <c r="E31" s="30">
        <f t="shared" ref="E31" si="5">LEN(D31)</f>
        <v>39</v>
      </c>
      <c r="F31" s="13" t="s">
        <v>17</v>
      </c>
      <c r="G31" s="15" t="s">
        <v>397</v>
      </c>
      <c r="H31" s="40" t="s">
        <v>401</v>
      </c>
      <c r="I31" s="37">
        <v>0.33333333333333331</v>
      </c>
      <c r="J31" s="37">
        <v>1</v>
      </c>
      <c r="K31" s="33" t="s">
        <v>14</v>
      </c>
      <c r="L31" s="33" t="s">
        <v>14</v>
      </c>
      <c r="M31" s="15" t="s">
        <v>437</v>
      </c>
    </row>
  </sheetData>
  <autoFilter ref="A6:M31"/>
  <mergeCells count="2">
    <mergeCell ref="C2:J2"/>
    <mergeCell ref="C3:J4"/>
  </mergeCells>
  <conditionalFormatting sqref="E7:E21 E28:E29 E23 E25:E26">
    <cfRule type="cellIs" dxfId="11" priority="8" operator="greaterThan">
      <formula>104</formula>
    </cfRule>
  </conditionalFormatting>
  <conditionalFormatting sqref="E27">
    <cfRule type="cellIs" dxfId="10" priority="5" operator="greaterThan">
      <formula>104</formula>
    </cfRule>
  </conditionalFormatting>
  <conditionalFormatting sqref="E22">
    <cfRule type="cellIs" dxfId="9" priority="4" operator="greaterThan">
      <formula>104</formula>
    </cfRule>
  </conditionalFormatting>
  <conditionalFormatting sqref="E30">
    <cfRule type="cellIs" dxfId="8" priority="3" operator="greaterThan">
      <formula>104</formula>
    </cfRule>
  </conditionalFormatting>
  <conditionalFormatting sqref="E31">
    <cfRule type="cellIs" dxfId="7" priority="2" operator="greaterThan">
      <formula>104</formula>
    </cfRule>
  </conditionalFormatting>
  <conditionalFormatting sqref="E24">
    <cfRule type="cellIs" dxfId="6" priority="1" operator="greaterThan">
      <formula>104</formula>
    </cfRule>
  </conditionalFormatting>
  <dataValidations count="1">
    <dataValidation type="list" allowBlank="1" showInputMessage="1" showErrorMessage="1" sqref="K7:L3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0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6" sqref="A6"/>
    </sheetView>
  </sheetViews>
  <sheetFormatPr defaultRowHeight="18.75" x14ac:dyDescent="0.25"/>
  <cols>
    <col min="1" max="1" width="27.85546875" style="27" customWidth="1"/>
    <col min="2" max="2" width="22.28515625" style="27" bestFit="1" customWidth="1"/>
    <col min="3" max="3" width="46.28515625" style="11" bestFit="1" customWidth="1"/>
    <col min="4" max="4" width="55.140625" style="21" customWidth="1"/>
    <col min="5" max="5" width="5.5703125" style="31" bestFit="1" customWidth="1"/>
    <col min="6" max="6" width="16.42578125" style="11" bestFit="1" customWidth="1"/>
    <col min="7" max="7" width="18.42578125" style="11" customWidth="1"/>
    <col min="8" max="8" width="13.7109375" style="11" customWidth="1"/>
    <col min="9" max="9" width="13.85546875" style="11" customWidth="1"/>
    <col min="10" max="10" width="14.5703125" style="11" customWidth="1"/>
    <col min="11" max="12" width="13.7109375" style="17" customWidth="1"/>
    <col min="13" max="13" width="60.7109375" style="21" customWidth="1"/>
    <col min="14" max="16384" width="9.140625" style="11"/>
  </cols>
  <sheetData>
    <row r="1" spans="1:13" x14ac:dyDescent="0.25">
      <c r="A1" s="25"/>
      <c r="B1" s="25"/>
      <c r="C1" s="9"/>
      <c r="D1" s="18"/>
      <c r="E1" s="29"/>
      <c r="F1" s="9"/>
      <c r="G1" s="9"/>
      <c r="H1" s="9"/>
      <c r="I1" s="9"/>
      <c r="J1" s="9"/>
      <c r="K1" s="10"/>
      <c r="L1" s="10"/>
      <c r="M1" s="18"/>
    </row>
    <row r="2" spans="1:13" ht="15.75" x14ac:dyDescent="0.25">
      <c r="A2" s="25"/>
      <c r="B2" s="25"/>
      <c r="C2" s="47" t="s">
        <v>1</v>
      </c>
      <c r="D2" s="47"/>
      <c r="E2" s="47"/>
      <c r="F2" s="47"/>
      <c r="G2" s="47"/>
      <c r="H2" s="47"/>
      <c r="I2" s="47"/>
      <c r="J2" s="47"/>
      <c r="K2" s="12"/>
      <c r="L2" s="12"/>
      <c r="M2" s="18"/>
    </row>
    <row r="3" spans="1:13" ht="15" customHeight="1" x14ac:dyDescent="0.25">
      <c r="A3" s="25"/>
      <c r="B3" s="25"/>
      <c r="C3" s="48" t="s">
        <v>0</v>
      </c>
      <c r="D3" s="48"/>
      <c r="E3" s="48"/>
      <c r="F3" s="48"/>
      <c r="G3" s="48"/>
      <c r="H3" s="48"/>
      <c r="I3" s="48"/>
      <c r="J3" s="48"/>
      <c r="K3" s="2"/>
      <c r="L3" s="2"/>
      <c r="M3" s="18"/>
    </row>
    <row r="4" spans="1:13" ht="15" customHeight="1" x14ac:dyDescent="0.25">
      <c r="A4" s="25"/>
      <c r="B4" s="25"/>
      <c r="C4" s="48"/>
      <c r="D4" s="48"/>
      <c r="E4" s="48"/>
      <c r="F4" s="48"/>
      <c r="G4" s="48"/>
      <c r="H4" s="48"/>
      <c r="I4" s="48"/>
      <c r="J4" s="48"/>
      <c r="K4" s="2"/>
      <c r="L4" s="2"/>
      <c r="M4" s="19" t="s">
        <v>2</v>
      </c>
    </row>
    <row r="5" spans="1:13" x14ac:dyDescent="0.25">
      <c r="A5" s="25"/>
      <c r="B5" s="25"/>
      <c r="C5" s="9"/>
      <c r="D5" s="18"/>
      <c r="E5" s="29"/>
      <c r="F5" s="9"/>
      <c r="G5" s="9"/>
      <c r="H5" s="9"/>
      <c r="I5" s="9"/>
      <c r="J5" s="9"/>
      <c r="K5" s="10"/>
      <c r="L5" s="10"/>
      <c r="M5" s="20">
        <f>'CAT Negócio'!M5</f>
        <v>42347</v>
      </c>
    </row>
    <row r="6" spans="1:13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7" t="s">
        <v>88</v>
      </c>
      <c r="F6" s="5" t="s">
        <v>6</v>
      </c>
      <c r="G6" s="5" t="s">
        <v>11</v>
      </c>
      <c r="H6" s="5" t="s">
        <v>8</v>
      </c>
      <c r="I6" s="5" t="s">
        <v>9</v>
      </c>
      <c r="J6" s="5" t="s">
        <v>10</v>
      </c>
      <c r="K6" s="7" t="s">
        <v>12</v>
      </c>
      <c r="L6" s="7" t="s">
        <v>15</v>
      </c>
      <c r="M6" s="7" t="s">
        <v>13</v>
      </c>
    </row>
    <row r="7" spans="1:13" s="16" customFormat="1" ht="51" customHeight="1" x14ac:dyDescent="0.25">
      <c r="A7" s="42" t="s">
        <v>371</v>
      </c>
      <c r="B7" s="28" t="s">
        <v>200</v>
      </c>
      <c r="C7" s="13" t="s">
        <v>202</v>
      </c>
      <c r="D7" s="15" t="s">
        <v>294</v>
      </c>
      <c r="E7" s="30">
        <f t="shared" ref="E7:E40" si="0">LEN(D7)</f>
        <v>103</v>
      </c>
      <c r="F7" s="32" t="s">
        <v>193</v>
      </c>
      <c r="G7" s="33" t="s">
        <v>180</v>
      </c>
      <c r="H7" s="33" t="s">
        <v>179</v>
      </c>
      <c r="I7" s="34" t="s">
        <v>198</v>
      </c>
      <c r="J7" s="34" t="s">
        <v>155</v>
      </c>
      <c r="K7" s="14" t="s">
        <v>14</v>
      </c>
      <c r="L7" s="33" t="s">
        <v>14</v>
      </c>
      <c r="M7" s="15" t="s">
        <v>205</v>
      </c>
    </row>
    <row r="8" spans="1:13" s="16" customFormat="1" ht="51" customHeight="1" x14ac:dyDescent="0.25">
      <c r="A8" s="42" t="s">
        <v>371</v>
      </c>
      <c r="B8" s="28" t="s">
        <v>200</v>
      </c>
      <c r="C8" s="13" t="s">
        <v>201</v>
      </c>
      <c r="D8" s="15" t="s">
        <v>296</v>
      </c>
      <c r="E8" s="30">
        <f t="shared" si="0"/>
        <v>81</v>
      </c>
      <c r="F8" s="32" t="s">
        <v>193</v>
      </c>
      <c r="G8" s="33" t="s">
        <v>180</v>
      </c>
      <c r="H8" s="33" t="s">
        <v>179</v>
      </c>
      <c r="I8" s="34" t="s">
        <v>198</v>
      </c>
      <c r="J8" s="34" t="s">
        <v>155</v>
      </c>
      <c r="K8" s="14" t="s">
        <v>14</v>
      </c>
      <c r="L8" s="33" t="s">
        <v>14</v>
      </c>
      <c r="M8" s="15" t="s">
        <v>204</v>
      </c>
    </row>
    <row r="9" spans="1:13" s="16" customFormat="1" ht="51" customHeight="1" x14ac:dyDescent="0.25">
      <c r="A9" s="42" t="s">
        <v>371</v>
      </c>
      <c r="B9" s="28" t="s">
        <v>200</v>
      </c>
      <c r="C9" s="13" t="s">
        <v>203</v>
      </c>
      <c r="D9" s="15" t="s">
        <v>295</v>
      </c>
      <c r="E9" s="30">
        <f t="shared" si="0"/>
        <v>83</v>
      </c>
      <c r="F9" s="32" t="s">
        <v>193</v>
      </c>
      <c r="G9" s="33" t="s">
        <v>180</v>
      </c>
      <c r="H9" s="33" t="s">
        <v>179</v>
      </c>
      <c r="I9" s="34" t="s">
        <v>198</v>
      </c>
      <c r="J9" s="34" t="s">
        <v>155</v>
      </c>
      <c r="K9" s="14" t="s">
        <v>14</v>
      </c>
      <c r="L9" s="33" t="s">
        <v>14</v>
      </c>
      <c r="M9" s="15" t="s">
        <v>206</v>
      </c>
    </row>
    <row r="10" spans="1:13" s="16" customFormat="1" ht="51" customHeight="1" x14ac:dyDescent="0.25">
      <c r="A10" s="42" t="s">
        <v>371</v>
      </c>
      <c r="B10" s="28" t="s">
        <v>277</v>
      </c>
      <c r="C10" s="13" t="s">
        <v>326</v>
      </c>
      <c r="D10" s="15" t="s">
        <v>279</v>
      </c>
      <c r="E10" s="30">
        <f t="shared" si="0"/>
        <v>78</v>
      </c>
      <c r="F10" s="13" t="s">
        <v>17</v>
      </c>
      <c r="G10" s="33" t="s">
        <v>406</v>
      </c>
      <c r="H10" s="40" t="s">
        <v>401</v>
      </c>
      <c r="I10" s="37">
        <v>0.33333333333333331</v>
      </c>
      <c r="J10" s="37">
        <v>1</v>
      </c>
      <c r="K10" s="14" t="s">
        <v>14</v>
      </c>
      <c r="L10" s="14" t="s">
        <v>14</v>
      </c>
      <c r="M10" s="15" t="s">
        <v>208</v>
      </c>
    </row>
    <row r="11" spans="1:13" s="16" customFormat="1" ht="51" customHeight="1" x14ac:dyDescent="0.25">
      <c r="A11" s="42" t="s">
        <v>371</v>
      </c>
      <c r="B11" s="28" t="s">
        <v>277</v>
      </c>
      <c r="C11" s="13" t="s">
        <v>310</v>
      </c>
      <c r="D11" s="13" t="s">
        <v>310</v>
      </c>
      <c r="E11" s="30">
        <f t="shared" si="0"/>
        <v>35</v>
      </c>
      <c r="F11" s="13" t="s">
        <v>47</v>
      </c>
      <c r="G11" s="33" t="s">
        <v>406</v>
      </c>
      <c r="H11" s="40" t="s">
        <v>401</v>
      </c>
      <c r="I11" s="37">
        <v>0.33333333333333331</v>
      </c>
      <c r="J11" s="37">
        <v>1</v>
      </c>
      <c r="K11" s="14" t="s">
        <v>14</v>
      </c>
      <c r="L11" s="14" t="s">
        <v>14</v>
      </c>
      <c r="M11" s="15" t="s">
        <v>339</v>
      </c>
    </row>
    <row r="12" spans="1:13" s="16" customFormat="1" ht="51" customHeight="1" x14ac:dyDescent="0.25">
      <c r="A12" s="42" t="s">
        <v>371</v>
      </c>
      <c r="B12" s="28" t="s">
        <v>277</v>
      </c>
      <c r="C12" s="13" t="s">
        <v>338</v>
      </c>
      <c r="D12" s="15" t="s">
        <v>278</v>
      </c>
      <c r="E12" s="30">
        <f t="shared" si="0"/>
        <v>33</v>
      </c>
      <c r="F12" s="13" t="s">
        <v>17</v>
      </c>
      <c r="G12" s="33" t="s">
        <v>406</v>
      </c>
      <c r="H12" s="40" t="s">
        <v>401</v>
      </c>
      <c r="I12" s="37">
        <v>0.33333333333333331</v>
      </c>
      <c r="J12" s="37">
        <v>1</v>
      </c>
      <c r="K12" s="14" t="s">
        <v>14</v>
      </c>
      <c r="L12" s="14" t="s">
        <v>14</v>
      </c>
      <c r="M12" s="15" t="s">
        <v>207</v>
      </c>
    </row>
    <row r="13" spans="1:13" s="16" customFormat="1" ht="51" customHeight="1" x14ac:dyDescent="0.25">
      <c r="A13" s="42" t="s">
        <v>371</v>
      </c>
      <c r="B13" s="28" t="s">
        <v>277</v>
      </c>
      <c r="C13" s="13" t="s">
        <v>325</v>
      </c>
      <c r="D13" s="15" t="s">
        <v>327</v>
      </c>
      <c r="E13" s="30">
        <f t="shared" si="0"/>
        <v>67</v>
      </c>
      <c r="F13" s="13" t="s">
        <v>17</v>
      </c>
      <c r="G13" s="33" t="s">
        <v>406</v>
      </c>
      <c r="H13" s="40" t="s">
        <v>401</v>
      </c>
      <c r="I13" s="37">
        <v>0.33333333333333331</v>
      </c>
      <c r="J13" s="37">
        <v>1</v>
      </c>
      <c r="K13" s="14" t="s">
        <v>14</v>
      </c>
      <c r="L13" s="14" t="s">
        <v>14</v>
      </c>
      <c r="M13" s="15" t="s">
        <v>340</v>
      </c>
    </row>
    <row r="14" spans="1:13" s="16" customFormat="1" ht="51" customHeight="1" x14ac:dyDescent="0.25">
      <c r="A14" s="42" t="s">
        <v>371</v>
      </c>
      <c r="B14" s="28" t="s">
        <v>293</v>
      </c>
      <c r="C14" s="13" t="s">
        <v>309</v>
      </c>
      <c r="D14" s="13" t="s">
        <v>309</v>
      </c>
      <c r="E14" s="30">
        <f t="shared" si="0"/>
        <v>31</v>
      </c>
      <c r="F14" s="13" t="s">
        <v>47</v>
      </c>
      <c r="G14" s="33" t="s">
        <v>406</v>
      </c>
      <c r="H14" s="39" t="s">
        <v>400</v>
      </c>
      <c r="I14" s="37">
        <v>0.16666666666666666</v>
      </c>
      <c r="J14" s="37">
        <v>0.33333333333333331</v>
      </c>
      <c r="K14" s="14" t="s">
        <v>14</v>
      </c>
      <c r="L14" s="14" t="s">
        <v>14</v>
      </c>
      <c r="M14" s="15" t="s">
        <v>362</v>
      </c>
    </row>
    <row r="15" spans="1:13" s="16" customFormat="1" ht="51" customHeight="1" x14ac:dyDescent="0.25">
      <c r="A15" s="42" t="s">
        <v>371</v>
      </c>
      <c r="B15" s="28" t="s">
        <v>293</v>
      </c>
      <c r="C15" s="13" t="s">
        <v>292</v>
      </c>
      <c r="D15" s="13" t="s">
        <v>292</v>
      </c>
      <c r="E15" s="30">
        <f t="shared" si="0"/>
        <v>34</v>
      </c>
      <c r="F15" s="13" t="s">
        <v>47</v>
      </c>
      <c r="G15" s="33" t="s">
        <v>406</v>
      </c>
      <c r="H15" s="40" t="s">
        <v>401</v>
      </c>
      <c r="I15" s="37">
        <v>0.33333333333333331</v>
      </c>
      <c r="J15" s="37">
        <v>1</v>
      </c>
      <c r="K15" s="14" t="s">
        <v>14</v>
      </c>
      <c r="L15" s="14" t="s">
        <v>14</v>
      </c>
      <c r="M15" s="15" t="s">
        <v>360</v>
      </c>
    </row>
    <row r="16" spans="1:13" s="16" customFormat="1" ht="51" customHeight="1" x14ac:dyDescent="0.25">
      <c r="A16" s="42" t="s">
        <v>371</v>
      </c>
      <c r="B16" s="28" t="s">
        <v>293</v>
      </c>
      <c r="C16" s="13" t="s">
        <v>316</v>
      </c>
      <c r="D16" s="15" t="s">
        <v>317</v>
      </c>
      <c r="E16" s="30">
        <f t="shared" si="0"/>
        <v>70</v>
      </c>
      <c r="F16" s="13" t="s">
        <v>47</v>
      </c>
      <c r="G16" s="33" t="s">
        <v>406</v>
      </c>
      <c r="H16" s="39" t="s">
        <v>400</v>
      </c>
      <c r="I16" s="37">
        <v>0.16666666666666666</v>
      </c>
      <c r="J16" s="37">
        <v>0.33333333333333331</v>
      </c>
      <c r="K16" s="14" t="s">
        <v>14</v>
      </c>
      <c r="L16" s="14" t="s">
        <v>14</v>
      </c>
      <c r="M16" s="15" t="s">
        <v>365</v>
      </c>
    </row>
    <row r="17" spans="1:13" s="16" customFormat="1" ht="51" customHeight="1" x14ac:dyDescent="0.25">
      <c r="A17" s="42" t="s">
        <v>371</v>
      </c>
      <c r="B17" s="28" t="s">
        <v>293</v>
      </c>
      <c r="C17" s="13" t="s">
        <v>315</v>
      </c>
      <c r="D17" s="15" t="s">
        <v>318</v>
      </c>
      <c r="E17" s="30">
        <f t="shared" si="0"/>
        <v>39</v>
      </c>
      <c r="F17" s="13" t="s">
        <v>47</v>
      </c>
      <c r="G17" s="33" t="s">
        <v>406</v>
      </c>
      <c r="H17" s="39" t="s">
        <v>400</v>
      </c>
      <c r="I17" s="37">
        <v>0.16666666666666666</v>
      </c>
      <c r="J17" s="37">
        <v>0.33333333333333331</v>
      </c>
      <c r="K17" s="14" t="s">
        <v>14</v>
      </c>
      <c r="L17" s="14" t="s">
        <v>14</v>
      </c>
      <c r="M17" s="15" t="s">
        <v>364</v>
      </c>
    </row>
    <row r="18" spans="1:13" s="16" customFormat="1" ht="51" customHeight="1" x14ac:dyDescent="0.25">
      <c r="A18" s="42" t="s">
        <v>371</v>
      </c>
      <c r="B18" s="28" t="s">
        <v>293</v>
      </c>
      <c r="C18" s="13" t="s">
        <v>321</v>
      </c>
      <c r="D18" s="15" t="s">
        <v>320</v>
      </c>
      <c r="E18" s="30">
        <f t="shared" si="0"/>
        <v>55</v>
      </c>
      <c r="F18" s="13" t="s">
        <v>47</v>
      </c>
      <c r="G18" s="33" t="s">
        <v>406</v>
      </c>
      <c r="H18" s="39" t="s">
        <v>400</v>
      </c>
      <c r="I18" s="37">
        <v>0.16666666666666666</v>
      </c>
      <c r="J18" s="37">
        <v>0.33333333333333331</v>
      </c>
      <c r="K18" s="14" t="s">
        <v>14</v>
      </c>
      <c r="L18" s="14" t="s">
        <v>14</v>
      </c>
      <c r="M18" s="15" t="s">
        <v>365</v>
      </c>
    </row>
    <row r="19" spans="1:13" s="16" customFormat="1" ht="51" customHeight="1" x14ac:dyDescent="0.25">
      <c r="A19" s="42" t="s">
        <v>371</v>
      </c>
      <c r="B19" s="28" t="s">
        <v>293</v>
      </c>
      <c r="C19" s="13" t="s">
        <v>308</v>
      </c>
      <c r="D19" s="13" t="s">
        <v>308</v>
      </c>
      <c r="E19" s="30">
        <f t="shared" si="0"/>
        <v>35</v>
      </c>
      <c r="F19" s="13" t="s">
        <v>47</v>
      </c>
      <c r="G19" s="33" t="s">
        <v>406</v>
      </c>
      <c r="H19" s="40" t="s">
        <v>401</v>
      </c>
      <c r="I19" s="37">
        <v>0.33333333333333331</v>
      </c>
      <c r="J19" s="37">
        <v>1</v>
      </c>
      <c r="K19" s="14" t="s">
        <v>14</v>
      </c>
      <c r="L19" s="14" t="s">
        <v>14</v>
      </c>
      <c r="M19" s="15" t="s">
        <v>361</v>
      </c>
    </row>
    <row r="20" spans="1:13" s="16" customFormat="1" ht="51" customHeight="1" x14ac:dyDescent="0.25">
      <c r="A20" s="42" t="s">
        <v>371</v>
      </c>
      <c r="B20" s="28" t="s">
        <v>293</v>
      </c>
      <c r="C20" s="13" t="s">
        <v>314</v>
      </c>
      <c r="D20" s="15" t="s">
        <v>359</v>
      </c>
      <c r="E20" s="30">
        <f t="shared" si="0"/>
        <v>40</v>
      </c>
      <c r="F20" s="13" t="s">
        <v>47</v>
      </c>
      <c r="G20" s="33" t="s">
        <v>406</v>
      </c>
      <c r="H20" s="40" t="s">
        <v>401</v>
      </c>
      <c r="I20" s="37">
        <v>0.33333333333333331</v>
      </c>
      <c r="J20" s="37">
        <v>1</v>
      </c>
      <c r="K20" s="14" t="s">
        <v>14</v>
      </c>
      <c r="L20" s="14" t="s">
        <v>14</v>
      </c>
      <c r="M20" s="15" t="s">
        <v>363</v>
      </c>
    </row>
    <row r="21" spans="1:13" s="16" customFormat="1" ht="51" customHeight="1" x14ac:dyDescent="0.25">
      <c r="A21" s="42" t="s">
        <v>371</v>
      </c>
      <c r="B21" s="28" t="s">
        <v>276</v>
      </c>
      <c r="C21" s="13" t="s">
        <v>332</v>
      </c>
      <c r="D21" s="15" t="s">
        <v>332</v>
      </c>
      <c r="E21" s="30">
        <f t="shared" si="0"/>
        <v>45</v>
      </c>
      <c r="F21" s="13" t="s">
        <v>17</v>
      </c>
      <c r="G21" s="33" t="s">
        <v>406</v>
      </c>
      <c r="H21" s="40" t="s">
        <v>401</v>
      </c>
      <c r="I21" s="37">
        <v>0.33333333333333331</v>
      </c>
      <c r="J21" s="37">
        <v>1</v>
      </c>
      <c r="K21" s="14" t="s">
        <v>14</v>
      </c>
      <c r="L21" s="14" t="s">
        <v>14</v>
      </c>
      <c r="M21" s="15" t="s">
        <v>333</v>
      </c>
    </row>
    <row r="22" spans="1:13" s="16" customFormat="1" ht="51" customHeight="1" x14ac:dyDescent="0.25">
      <c r="A22" s="42" t="s">
        <v>371</v>
      </c>
      <c r="B22" s="28" t="s">
        <v>276</v>
      </c>
      <c r="C22" s="13" t="s">
        <v>199</v>
      </c>
      <c r="D22" s="15" t="s">
        <v>285</v>
      </c>
      <c r="E22" s="30">
        <f t="shared" si="0"/>
        <v>46</v>
      </c>
      <c r="F22" s="13" t="s">
        <v>17</v>
      </c>
      <c r="G22" s="33" t="s">
        <v>406</v>
      </c>
      <c r="H22" s="40" t="s">
        <v>401</v>
      </c>
      <c r="I22" s="37">
        <v>0.33333333333333331</v>
      </c>
      <c r="J22" s="37">
        <v>1</v>
      </c>
      <c r="K22" s="14" t="s">
        <v>14</v>
      </c>
      <c r="L22" s="14" t="s">
        <v>14</v>
      </c>
      <c r="M22" s="15" t="s">
        <v>351</v>
      </c>
    </row>
    <row r="23" spans="1:13" s="16" customFormat="1" ht="51" customHeight="1" x14ac:dyDescent="0.25">
      <c r="A23" s="42" t="s">
        <v>371</v>
      </c>
      <c r="B23" s="28" t="s">
        <v>276</v>
      </c>
      <c r="C23" s="13" t="s">
        <v>288</v>
      </c>
      <c r="D23" s="15" t="s">
        <v>286</v>
      </c>
      <c r="E23" s="30">
        <f t="shared" si="0"/>
        <v>39</v>
      </c>
      <c r="F23" s="13" t="s">
        <v>17</v>
      </c>
      <c r="G23" s="33" t="s">
        <v>406</v>
      </c>
      <c r="H23" s="40" t="s">
        <v>401</v>
      </c>
      <c r="I23" s="37">
        <v>0.33333333333333331</v>
      </c>
      <c r="J23" s="37">
        <v>1</v>
      </c>
      <c r="K23" s="14" t="s">
        <v>14</v>
      </c>
      <c r="L23" s="14" t="s">
        <v>14</v>
      </c>
      <c r="M23" s="15" t="s">
        <v>349</v>
      </c>
    </row>
    <row r="24" spans="1:13" s="16" customFormat="1" ht="51" customHeight="1" x14ac:dyDescent="0.25">
      <c r="A24" s="42" t="s">
        <v>371</v>
      </c>
      <c r="B24" s="28" t="s">
        <v>276</v>
      </c>
      <c r="C24" s="13" t="s">
        <v>290</v>
      </c>
      <c r="D24" s="15" t="s">
        <v>352</v>
      </c>
      <c r="E24" s="30">
        <f t="shared" si="0"/>
        <v>40</v>
      </c>
      <c r="F24" s="13" t="s">
        <v>17</v>
      </c>
      <c r="G24" s="33" t="s">
        <v>406</v>
      </c>
      <c r="H24" s="40" t="s">
        <v>401</v>
      </c>
      <c r="I24" s="37">
        <v>0.33333333333333331</v>
      </c>
      <c r="J24" s="37">
        <v>1</v>
      </c>
      <c r="K24" s="14" t="s">
        <v>14</v>
      </c>
      <c r="L24" s="14" t="s">
        <v>14</v>
      </c>
      <c r="M24" s="15" t="s">
        <v>353</v>
      </c>
    </row>
    <row r="25" spans="1:13" s="16" customFormat="1" ht="51" customHeight="1" x14ac:dyDescent="0.25">
      <c r="A25" s="42" t="s">
        <v>371</v>
      </c>
      <c r="B25" s="28" t="s">
        <v>276</v>
      </c>
      <c r="C25" s="13" t="s">
        <v>291</v>
      </c>
      <c r="D25" s="15" t="s">
        <v>283</v>
      </c>
      <c r="E25" s="30">
        <f t="shared" si="0"/>
        <v>36</v>
      </c>
      <c r="F25" s="13" t="s">
        <v>17</v>
      </c>
      <c r="G25" s="33" t="s">
        <v>406</v>
      </c>
      <c r="H25" s="40" t="s">
        <v>401</v>
      </c>
      <c r="I25" s="37">
        <v>0.33333333333333331</v>
      </c>
      <c r="J25" s="37">
        <v>1</v>
      </c>
      <c r="K25" s="14" t="s">
        <v>14</v>
      </c>
      <c r="L25" s="14" t="s">
        <v>18</v>
      </c>
      <c r="M25" s="15" t="s">
        <v>344</v>
      </c>
    </row>
    <row r="26" spans="1:13" s="16" customFormat="1" ht="51" customHeight="1" x14ac:dyDescent="0.25">
      <c r="A26" s="42" t="s">
        <v>371</v>
      </c>
      <c r="B26" s="28" t="s">
        <v>276</v>
      </c>
      <c r="C26" s="13" t="s">
        <v>342</v>
      </c>
      <c r="D26" s="15" t="s">
        <v>343</v>
      </c>
      <c r="E26" s="30">
        <f t="shared" si="0"/>
        <v>37</v>
      </c>
      <c r="F26" s="13" t="s">
        <v>17</v>
      </c>
      <c r="G26" s="33" t="s">
        <v>406</v>
      </c>
      <c r="H26" s="40" t="s">
        <v>401</v>
      </c>
      <c r="I26" s="37">
        <v>0.33333333333333331</v>
      </c>
      <c r="J26" s="37">
        <v>1</v>
      </c>
      <c r="K26" s="14" t="s">
        <v>14</v>
      </c>
      <c r="L26" s="14" t="s">
        <v>14</v>
      </c>
      <c r="M26" s="15" t="s">
        <v>358</v>
      </c>
    </row>
    <row r="27" spans="1:13" s="16" customFormat="1" ht="51" customHeight="1" x14ac:dyDescent="0.25">
      <c r="A27" s="42" t="s">
        <v>371</v>
      </c>
      <c r="B27" s="28" t="s">
        <v>276</v>
      </c>
      <c r="C27" s="13" t="s">
        <v>328</v>
      </c>
      <c r="D27" s="15" t="s">
        <v>330</v>
      </c>
      <c r="E27" s="30">
        <f t="shared" si="0"/>
        <v>42</v>
      </c>
      <c r="F27" s="13" t="s">
        <v>17</v>
      </c>
      <c r="G27" s="33" t="s">
        <v>406</v>
      </c>
      <c r="H27" s="40" t="s">
        <v>401</v>
      </c>
      <c r="I27" s="37">
        <v>0.33333333333333331</v>
      </c>
      <c r="J27" s="37">
        <v>1</v>
      </c>
      <c r="K27" s="14" t="s">
        <v>14</v>
      </c>
      <c r="L27" s="14" t="s">
        <v>14</v>
      </c>
      <c r="M27" s="15" t="s">
        <v>331</v>
      </c>
    </row>
    <row r="28" spans="1:13" s="16" customFormat="1" ht="51" customHeight="1" x14ac:dyDescent="0.25">
      <c r="A28" s="42" t="s">
        <v>371</v>
      </c>
      <c r="B28" s="28" t="s">
        <v>276</v>
      </c>
      <c r="C28" s="13" t="s">
        <v>303</v>
      </c>
      <c r="D28" s="15" t="s">
        <v>302</v>
      </c>
      <c r="E28" s="30">
        <f t="shared" si="0"/>
        <v>36</v>
      </c>
      <c r="F28" s="13" t="s">
        <v>17</v>
      </c>
      <c r="G28" s="33" t="s">
        <v>406</v>
      </c>
      <c r="H28" s="40" t="s">
        <v>401</v>
      </c>
      <c r="I28" s="37">
        <v>0.33333333333333331</v>
      </c>
      <c r="J28" s="37">
        <v>1</v>
      </c>
      <c r="K28" s="14" t="s">
        <v>14</v>
      </c>
      <c r="L28" s="14" t="s">
        <v>14</v>
      </c>
      <c r="M28" s="15" t="s">
        <v>354</v>
      </c>
    </row>
    <row r="29" spans="1:13" s="16" customFormat="1" ht="51" customHeight="1" x14ac:dyDescent="0.25">
      <c r="A29" s="42" t="s">
        <v>371</v>
      </c>
      <c r="B29" s="28" t="s">
        <v>276</v>
      </c>
      <c r="C29" s="13" t="s">
        <v>301</v>
      </c>
      <c r="D29" s="15" t="s">
        <v>301</v>
      </c>
      <c r="E29" s="30">
        <f t="shared" si="0"/>
        <v>29</v>
      </c>
      <c r="F29" s="13" t="s">
        <v>17</v>
      </c>
      <c r="G29" s="33" t="s">
        <v>406</v>
      </c>
      <c r="H29" s="40" t="s">
        <v>401</v>
      </c>
      <c r="I29" s="37">
        <v>0.33333333333333331</v>
      </c>
      <c r="J29" s="37">
        <v>1</v>
      </c>
      <c r="K29" s="14" t="s">
        <v>14</v>
      </c>
      <c r="L29" s="14" t="s">
        <v>14</v>
      </c>
      <c r="M29" s="15" t="s">
        <v>350</v>
      </c>
    </row>
    <row r="30" spans="1:13" s="16" customFormat="1" ht="51" customHeight="1" x14ac:dyDescent="0.25">
      <c r="A30" s="42" t="s">
        <v>371</v>
      </c>
      <c r="B30" s="28" t="s">
        <v>276</v>
      </c>
      <c r="C30" s="13" t="s">
        <v>329</v>
      </c>
      <c r="D30" s="15" t="s">
        <v>329</v>
      </c>
      <c r="E30" s="30">
        <f t="shared" si="0"/>
        <v>29</v>
      </c>
      <c r="F30" s="13" t="s">
        <v>17</v>
      </c>
      <c r="G30" s="33" t="s">
        <v>406</v>
      </c>
      <c r="H30" s="40" t="s">
        <v>401</v>
      </c>
      <c r="I30" s="37">
        <v>0.33333333333333331</v>
      </c>
      <c r="J30" s="37">
        <v>1</v>
      </c>
      <c r="K30" s="14" t="s">
        <v>14</v>
      </c>
      <c r="L30" s="14" t="s">
        <v>14</v>
      </c>
      <c r="M30" s="15" t="s">
        <v>334</v>
      </c>
    </row>
    <row r="31" spans="1:13" s="16" customFormat="1" ht="51" customHeight="1" x14ac:dyDescent="0.25">
      <c r="A31" s="42" t="s">
        <v>371</v>
      </c>
      <c r="B31" s="28" t="s">
        <v>276</v>
      </c>
      <c r="C31" s="13" t="s">
        <v>289</v>
      </c>
      <c r="D31" s="15" t="s">
        <v>287</v>
      </c>
      <c r="E31" s="30">
        <f t="shared" si="0"/>
        <v>8</v>
      </c>
      <c r="F31" s="13" t="s">
        <v>17</v>
      </c>
      <c r="G31" s="33" t="s">
        <v>406</v>
      </c>
      <c r="H31" s="40" t="s">
        <v>401</v>
      </c>
      <c r="I31" s="37">
        <v>0.33333333333333331</v>
      </c>
      <c r="J31" s="37">
        <v>1</v>
      </c>
      <c r="K31" s="14" t="s">
        <v>14</v>
      </c>
      <c r="L31" s="14" t="s">
        <v>14</v>
      </c>
      <c r="M31" s="15" t="s">
        <v>341</v>
      </c>
    </row>
    <row r="32" spans="1:13" s="16" customFormat="1" ht="51" customHeight="1" x14ac:dyDescent="0.25">
      <c r="A32" s="42" t="s">
        <v>371</v>
      </c>
      <c r="B32" s="28" t="s">
        <v>276</v>
      </c>
      <c r="C32" s="13" t="s">
        <v>312</v>
      </c>
      <c r="D32" s="15" t="s">
        <v>313</v>
      </c>
      <c r="E32" s="30">
        <f t="shared" si="0"/>
        <v>30</v>
      </c>
      <c r="F32" s="13" t="s">
        <v>17</v>
      </c>
      <c r="G32" s="33" t="s">
        <v>406</v>
      </c>
      <c r="H32" s="40" t="s">
        <v>401</v>
      </c>
      <c r="I32" s="37">
        <v>0.33333333333333331</v>
      </c>
      <c r="J32" s="37">
        <v>1</v>
      </c>
      <c r="K32" s="14" t="s">
        <v>14</v>
      </c>
      <c r="L32" s="14" t="s">
        <v>14</v>
      </c>
      <c r="M32" s="15" t="s">
        <v>355</v>
      </c>
    </row>
    <row r="33" spans="1:13" s="16" customFormat="1" ht="51" customHeight="1" x14ac:dyDescent="0.25">
      <c r="A33" s="42" t="s">
        <v>371</v>
      </c>
      <c r="B33" s="28" t="s">
        <v>276</v>
      </c>
      <c r="C33" s="13" t="s">
        <v>322</v>
      </c>
      <c r="D33" s="15" t="s">
        <v>322</v>
      </c>
      <c r="E33" s="30">
        <f t="shared" si="0"/>
        <v>43</v>
      </c>
      <c r="F33" s="13" t="s">
        <v>17</v>
      </c>
      <c r="G33" s="33" t="s">
        <v>406</v>
      </c>
      <c r="H33" s="40" t="s">
        <v>401</v>
      </c>
      <c r="I33" s="37">
        <v>0.33333333333333331</v>
      </c>
      <c r="J33" s="37">
        <v>1</v>
      </c>
      <c r="K33" s="14" t="s">
        <v>14</v>
      </c>
      <c r="L33" s="14" t="s">
        <v>14</v>
      </c>
      <c r="M33" s="15" t="s">
        <v>356</v>
      </c>
    </row>
    <row r="34" spans="1:13" s="16" customFormat="1" ht="51" customHeight="1" x14ac:dyDescent="0.25">
      <c r="A34" s="42" t="s">
        <v>371</v>
      </c>
      <c r="B34" s="28" t="s">
        <v>276</v>
      </c>
      <c r="C34" s="13" t="s">
        <v>307</v>
      </c>
      <c r="D34" s="15" t="s">
        <v>282</v>
      </c>
      <c r="E34" s="30">
        <f t="shared" si="0"/>
        <v>55</v>
      </c>
      <c r="F34" s="13" t="s">
        <v>17</v>
      </c>
      <c r="G34" s="33" t="s">
        <v>406</v>
      </c>
      <c r="H34" s="40" t="s">
        <v>401</v>
      </c>
      <c r="I34" s="37">
        <v>0.33333333333333331</v>
      </c>
      <c r="J34" s="37">
        <v>1</v>
      </c>
      <c r="K34" s="14" t="s">
        <v>14</v>
      </c>
      <c r="L34" s="14" t="s">
        <v>14</v>
      </c>
      <c r="M34" s="15" t="s">
        <v>346</v>
      </c>
    </row>
    <row r="35" spans="1:13" s="16" customFormat="1" ht="51" customHeight="1" x14ac:dyDescent="0.25">
      <c r="A35" s="42" t="s">
        <v>371</v>
      </c>
      <c r="B35" s="28" t="s">
        <v>276</v>
      </c>
      <c r="C35" s="13" t="s">
        <v>306</v>
      </c>
      <c r="D35" s="15" t="s">
        <v>281</v>
      </c>
      <c r="E35" s="30">
        <f t="shared" si="0"/>
        <v>32</v>
      </c>
      <c r="F35" s="13" t="s">
        <v>17</v>
      </c>
      <c r="G35" s="33" t="s">
        <v>406</v>
      </c>
      <c r="H35" s="40" t="s">
        <v>401</v>
      </c>
      <c r="I35" s="37">
        <v>0.33333333333333331</v>
      </c>
      <c r="J35" s="37">
        <v>1</v>
      </c>
      <c r="K35" s="14" t="s">
        <v>14</v>
      </c>
      <c r="L35" s="14" t="s">
        <v>14</v>
      </c>
      <c r="M35" s="15" t="s">
        <v>345</v>
      </c>
    </row>
    <row r="36" spans="1:13" s="16" customFormat="1" ht="51" customHeight="1" x14ac:dyDescent="0.25">
      <c r="A36" s="42" t="s">
        <v>371</v>
      </c>
      <c r="B36" s="28" t="s">
        <v>276</v>
      </c>
      <c r="C36" s="13" t="s">
        <v>304</v>
      </c>
      <c r="D36" s="15" t="s">
        <v>284</v>
      </c>
      <c r="E36" s="30">
        <f t="shared" si="0"/>
        <v>62</v>
      </c>
      <c r="F36" s="13" t="s">
        <v>17</v>
      </c>
      <c r="G36" s="33" t="s">
        <v>406</v>
      </c>
      <c r="H36" s="40" t="s">
        <v>401</v>
      </c>
      <c r="I36" s="37">
        <v>0.33333333333333331</v>
      </c>
      <c r="J36" s="37">
        <v>1</v>
      </c>
      <c r="K36" s="14" t="s">
        <v>14</v>
      </c>
      <c r="L36" s="14" t="s">
        <v>14</v>
      </c>
      <c r="M36" s="15" t="s">
        <v>348</v>
      </c>
    </row>
    <row r="37" spans="1:13" s="16" customFormat="1" ht="51" customHeight="1" x14ac:dyDescent="0.25">
      <c r="A37" s="42" t="s">
        <v>371</v>
      </c>
      <c r="B37" s="28" t="s">
        <v>276</v>
      </c>
      <c r="C37" s="13" t="s">
        <v>305</v>
      </c>
      <c r="D37" s="15" t="s">
        <v>280</v>
      </c>
      <c r="E37" s="30">
        <f t="shared" si="0"/>
        <v>57</v>
      </c>
      <c r="F37" s="13" t="s">
        <v>17</v>
      </c>
      <c r="G37" s="33" t="s">
        <v>406</v>
      </c>
      <c r="H37" s="40" t="s">
        <v>401</v>
      </c>
      <c r="I37" s="37">
        <v>0.33333333333333331</v>
      </c>
      <c r="J37" s="37">
        <v>1</v>
      </c>
      <c r="K37" s="14" t="s">
        <v>14</v>
      </c>
      <c r="L37" s="14" t="s">
        <v>14</v>
      </c>
      <c r="M37" s="15" t="s">
        <v>347</v>
      </c>
    </row>
    <row r="38" spans="1:13" s="16" customFormat="1" ht="51" customHeight="1" x14ac:dyDescent="0.25">
      <c r="A38" s="42" t="s">
        <v>371</v>
      </c>
      <c r="B38" s="28" t="s">
        <v>276</v>
      </c>
      <c r="C38" s="13" t="s">
        <v>273</v>
      </c>
      <c r="D38" s="13" t="s">
        <v>370</v>
      </c>
      <c r="E38" s="30">
        <f t="shared" si="0"/>
        <v>43</v>
      </c>
      <c r="F38" s="13" t="s">
        <v>17</v>
      </c>
      <c r="G38" s="33" t="s">
        <v>406</v>
      </c>
      <c r="H38" s="40" t="s">
        <v>401</v>
      </c>
      <c r="I38" s="37">
        <v>0.33333333333333331</v>
      </c>
      <c r="J38" s="37">
        <v>1</v>
      </c>
      <c r="K38" s="14" t="s">
        <v>14</v>
      </c>
      <c r="L38" s="14" t="s">
        <v>14</v>
      </c>
      <c r="M38" s="15" t="s">
        <v>369</v>
      </c>
    </row>
    <row r="39" spans="1:13" s="16" customFormat="1" ht="51" customHeight="1" x14ac:dyDescent="0.25">
      <c r="A39" s="42" t="s">
        <v>371</v>
      </c>
      <c r="B39" s="28" t="s">
        <v>276</v>
      </c>
      <c r="C39" s="13" t="s">
        <v>319</v>
      </c>
      <c r="D39" s="15" t="s">
        <v>320</v>
      </c>
      <c r="E39" s="30">
        <f t="shared" si="0"/>
        <v>55</v>
      </c>
      <c r="F39" s="13" t="s">
        <v>17</v>
      </c>
      <c r="G39" s="33" t="s">
        <v>406</v>
      </c>
      <c r="H39" s="40" t="s">
        <v>401</v>
      </c>
      <c r="I39" s="37">
        <v>0.33333333333333331</v>
      </c>
      <c r="J39" s="37">
        <v>1</v>
      </c>
      <c r="K39" s="14" t="s">
        <v>14</v>
      </c>
      <c r="L39" s="14" t="s">
        <v>14</v>
      </c>
      <c r="M39" s="15" t="s">
        <v>357</v>
      </c>
    </row>
    <row r="40" spans="1:13" s="16" customFormat="1" ht="51" customHeight="1" x14ac:dyDescent="0.25">
      <c r="A40" s="42" t="s">
        <v>371</v>
      </c>
      <c r="B40" s="28" t="s">
        <v>276</v>
      </c>
      <c r="C40" s="13" t="s">
        <v>323</v>
      </c>
      <c r="D40" s="15" t="s">
        <v>324</v>
      </c>
      <c r="E40" s="30">
        <f t="shared" si="0"/>
        <v>37</v>
      </c>
      <c r="F40" s="13" t="s">
        <v>17</v>
      </c>
      <c r="G40" s="33" t="s">
        <v>406</v>
      </c>
      <c r="H40" s="40" t="s">
        <v>401</v>
      </c>
      <c r="I40" s="37">
        <v>0.33333333333333331</v>
      </c>
      <c r="J40" s="37">
        <v>1</v>
      </c>
      <c r="K40" s="14" t="s">
        <v>14</v>
      </c>
      <c r="L40" s="14" t="s">
        <v>14</v>
      </c>
      <c r="M40" s="15" t="s">
        <v>335</v>
      </c>
    </row>
  </sheetData>
  <autoFilter ref="A6:M40">
    <sortState ref="A7:M40">
      <sortCondition ref="B7:B40"/>
      <sortCondition ref="C7:C40"/>
    </sortState>
  </autoFilter>
  <mergeCells count="2">
    <mergeCell ref="C2:J2"/>
    <mergeCell ref="C3:J4"/>
  </mergeCells>
  <conditionalFormatting sqref="E7:E15 E18:E40">
    <cfRule type="cellIs" dxfId="5" priority="7" operator="greaterThan">
      <formula>104</formula>
    </cfRule>
  </conditionalFormatting>
  <conditionalFormatting sqref="E17">
    <cfRule type="cellIs" dxfId="4" priority="4" operator="greaterThan">
      <formula>104</formula>
    </cfRule>
  </conditionalFormatting>
  <conditionalFormatting sqref="E16">
    <cfRule type="cellIs" dxfId="3" priority="3" operator="greaterThan">
      <formula>104</formula>
    </cfRule>
  </conditionalFormatting>
  <dataValidations count="1">
    <dataValidation type="list" allowBlank="1" showInputMessage="1" showErrorMessage="1" sqref="K7:L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15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7" sqref="A7"/>
    </sheetView>
  </sheetViews>
  <sheetFormatPr defaultRowHeight="18.75" x14ac:dyDescent="0.25"/>
  <cols>
    <col min="1" max="1" width="27.85546875" style="27" customWidth="1"/>
    <col min="2" max="2" width="23.7109375" style="27" bestFit="1" customWidth="1"/>
    <col min="3" max="3" width="42.5703125" style="11" bestFit="1" customWidth="1"/>
    <col min="4" max="4" width="55.140625" style="21" customWidth="1"/>
    <col min="5" max="5" width="5.5703125" style="31" bestFit="1" customWidth="1"/>
    <col min="6" max="6" width="16.42578125" style="11" bestFit="1" customWidth="1"/>
    <col min="7" max="7" width="18.42578125" style="17" customWidth="1"/>
    <col min="8" max="8" width="13.7109375" style="17" customWidth="1"/>
    <col min="9" max="9" width="13.85546875" style="17" bestFit="1" customWidth="1"/>
    <col min="10" max="10" width="14.5703125" style="17" bestFit="1" customWidth="1"/>
    <col min="11" max="12" width="13.7109375" style="17" customWidth="1"/>
    <col min="13" max="13" width="60.7109375" style="21" customWidth="1"/>
    <col min="14" max="16384" width="9.140625" style="11"/>
  </cols>
  <sheetData>
    <row r="1" spans="1:13" x14ac:dyDescent="0.25">
      <c r="A1" s="25"/>
      <c r="B1" s="25"/>
      <c r="C1" s="9"/>
      <c r="D1" s="18"/>
      <c r="E1" s="29"/>
      <c r="F1" s="9"/>
      <c r="G1" s="10"/>
      <c r="H1" s="10"/>
      <c r="I1" s="10"/>
      <c r="J1" s="10"/>
      <c r="K1" s="10"/>
      <c r="L1" s="10"/>
      <c r="M1" s="18"/>
    </row>
    <row r="2" spans="1:13" ht="15.75" x14ac:dyDescent="0.25">
      <c r="A2" s="25"/>
      <c r="B2" s="25"/>
      <c r="C2" s="47" t="s">
        <v>1</v>
      </c>
      <c r="D2" s="47"/>
      <c r="E2" s="47"/>
      <c r="F2" s="47"/>
      <c r="G2" s="47"/>
      <c r="H2" s="47"/>
      <c r="I2" s="47"/>
      <c r="J2" s="47"/>
      <c r="K2" s="12"/>
      <c r="L2" s="12"/>
      <c r="M2" s="18"/>
    </row>
    <row r="3" spans="1:13" ht="15" customHeight="1" x14ac:dyDescent="0.25">
      <c r="A3" s="25"/>
      <c r="B3" s="25"/>
      <c r="C3" s="48" t="s">
        <v>0</v>
      </c>
      <c r="D3" s="48"/>
      <c r="E3" s="48"/>
      <c r="F3" s="48"/>
      <c r="G3" s="48"/>
      <c r="H3" s="48"/>
      <c r="I3" s="48"/>
      <c r="J3" s="48"/>
      <c r="K3" s="2"/>
      <c r="L3" s="2"/>
      <c r="M3" s="18"/>
    </row>
    <row r="4" spans="1:13" ht="15" customHeight="1" x14ac:dyDescent="0.25">
      <c r="A4" s="25"/>
      <c r="B4" s="25"/>
      <c r="C4" s="48"/>
      <c r="D4" s="48"/>
      <c r="E4" s="48"/>
      <c r="F4" s="48"/>
      <c r="G4" s="48"/>
      <c r="H4" s="48"/>
      <c r="I4" s="48"/>
      <c r="J4" s="48"/>
      <c r="K4" s="2"/>
      <c r="L4" s="2"/>
      <c r="M4" s="19" t="s">
        <v>2</v>
      </c>
    </row>
    <row r="5" spans="1:13" x14ac:dyDescent="0.25">
      <c r="A5" s="25"/>
      <c r="B5" s="25"/>
      <c r="C5" s="9"/>
      <c r="D5" s="18"/>
      <c r="E5" s="29"/>
      <c r="F5" s="9"/>
      <c r="G5" s="10"/>
      <c r="H5" s="10"/>
      <c r="I5" s="10"/>
      <c r="J5" s="10"/>
      <c r="K5" s="10"/>
      <c r="L5" s="10"/>
      <c r="M5" s="20">
        <f>'CAT Negócio'!M5</f>
        <v>42347</v>
      </c>
    </row>
    <row r="6" spans="1:13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7" t="s">
        <v>88</v>
      </c>
      <c r="F6" s="5" t="s">
        <v>6</v>
      </c>
      <c r="G6" s="5" t="s">
        <v>11</v>
      </c>
      <c r="H6" s="5" t="s">
        <v>8</v>
      </c>
      <c r="I6" s="5" t="s">
        <v>9</v>
      </c>
      <c r="J6" s="5" t="s">
        <v>10</v>
      </c>
      <c r="K6" s="7" t="s">
        <v>12</v>
      </c>
      <c r="L6" s="7" t="s">
        <v>15</v>
      </c>
      <c r="M6" s="7" t="s">
        <v>13</v>
      </c>
    </row>
    <row r="7" spans="1:13" s="16" customFormat="1" ht="63.75" x14ac:dyDescent="0.25">
      <c r="A7" s="26" t="s">
        <v>148</v>
      </c>
      <c r="B7" s="28" t="s">
        <v>374</v>
      </c>
      <c r="C7" s="13" t="s">
        <v>196</v>
      </c>
      <c r="D7" s="15" t="s">
        <v>149</v>
      </c>
      <c r="E7" s="30">
        <f>LEN(D7)</f>
        <v>33</v>
      </c>
      <c r="F7" s="32" t="s">
        <v>192</v>
      </c>
      <c r="G7" s="33" t="s">
        <v>180</v>
      </c>
      <c r="H7" s="33" t="s">
        <v>156</v>
      </c>
      <c r="I7" s="34" t="s">
        <v>198</v>
      </c>
      <c r="J7" s="34" t="s">
        <v>155</v>
      </c>
      <c r="K7" s="33" t="s">
        <v>14</v>
      </c>
      <c r="L7" s="33" t="s">
        <v>14</v>
      </c>
      <c r="M7" s="15" t="s">
        <v>183</v>
      </c>
    </row>
    <row r="8" spans="1:13" s="16" customFormat="1" ht="102" x14ac:dyDescent="0.25">
      <c r="A8" s="26" t="s">
        <v>148</v>
      </c>
      <c r="B8" s="28" t="s">
        <v>374</v>
      </c>
      <c r="C8" s="13" t="s">
        <v>145</v>
      </c>
      <c r="D8" s="15" t="s">
        <v>153</v>
      </c>
      <c r="E8" s="30">
        <f t="shared" ref="E8:E15" si="0">LEN(D8)</f>
        <v>33</v>
      </c>
      <c r="F8" s="32" t="s">
        <v>193</v>
      </c>
      <c r="G8" s="33" t="s">
        <v>180</v>
      </c>
      <c r="H8" s="33" t="s">
        <v>179</v>
      </c>
      <c r="I8" s="34" t="s">
        <v>198</v>
      </c>
      <c r="J8" s="34" t="s">
        <v>178</v>
      </c>
      <c r="K8" s="33" t="s">
        <v>14</v>
      </c>
      <c r="L8" s="33" t="s">
        <v>14</v>
      </c>
      <c r="M8" s="15" t="s">
        <v>186</v>
      </c>
    </row>
    <row r="9" spans="1:13" s="16" customFormat="1" ht="102" x14ac:dyDescent="0.25">
      <c r="A9" s="26" t="s">
        <v>148</v>
      </c>
      <c r="B9" s="28" t="s">
        <v>374</v>
      </c>
      <c r="C9" s="13" t="s">
        <v>146</v>
      </c>
      <c r="D9" s="15" t="s">
        <v>150</v>
      </c>
      <c r="E9" s="30">
        <f t="shared" si="0"/>
        <v>59</v>
      </c>
      <c r="F9" s="32" t="s">
        <v>193</v>
      </c>
      <c r="G9" s="33" t="s">
        <v>180</v>
      </c>
      <c r="H9" s="33" t="s">
        <v>179</v>
      </c>
      <c r="I9" s="34" t="s">
        <v>198</v>
      </c>
      <c r="J9" s="34" t="s">
        <v>155</v>
      </c>
      <c r="K9" s="33" t="s">
        <v>14</v>
      </c>
      <c r="L9" s="33" t="s">
        <v>14</v>
      </c>
      <c r="M9" s="15" t="s">
        <v>187</v>
      </c>
    </row>
    <row r="10" spans="1:13" s="16" customFormat="1" ht="102" x14ac:dyDescent="0.25">
      <c r="A10" s="26" t="s">
        <v>148</v>
      </c>
      <c r="B10" s="28" t="s">
        <v>374</v>
      </c>
      <c r="C10" s="13" t="s">
        <v>170</v>
      </c>
      <c r="D10" s="15" t="s">
        <v>171</v>
      </c>
      <c r="E10" s="30">
        <f t="shared" ref="E10" si="1">LEN(D10)</f>
        <v>63</v>
      </c>
      <c r="F10" s="32" t="s">
        <v>193</v>
      </c>
      <c r="G10" s="33" t="s">
        <v>180</v>
      </c>
      <c r="H10" s="33" t="s">
        <v>179</v>
      </c>
      <c r="I10" s="34" t="s">
        <v>198</v>
      </c>
      <c r="J10" s="34" t="s">
        <v>155</v>
      </c>
      <c r="K10" s="33" t="s">
        <v>14</v>
      </c>
      <c r="L10" s="33" t="s">
        <v>14</v>
      </c>
      <c r="M10" s="15" t="s">
        <v>188</v>
      </c>
    </row>
    <row r="11" spans="1:13" s="16" customFormat="1" ht="51" x14ac:dyDescent="0.25">
      <c r="A11" s="26" t="s">
        <v>148</v>
      </c>
      <c r="B11" s="28" t="s">
        <v>375</v>
      </c>
      <c r="C11" s="13" t="s">
        <v>197</v>
      </c>
      <c r="D11" s="15" t="s">
        <v>151</v>
      </c>
      <c r="E11" s="30">
        <f t="shared" si="0"/>
        <v>25</v>
      </c>
      <c r="F11" s="32" t="s">
        <v>192</v>
      </c>
      <c r="G11" s="33" t="s">
        <v>180</v>
      </c>
      <c r="H11" s="33" t="s">
        <v>156</v>
      </c>
      <c r="I11" s="34" t="s">
        <v>198</v>
      </c>
      <c r="J11" s="34" t="s">
        <v>155</v>
      </c>
      <c r="K11" s="33" t="s">
        <v>14</v>
      </c>
      <c r="L11" s="33" t="s">
        <v>14</v>
      </c>
      <c r="M11" s="15" t="s">
        <v>184</v>
      </c>
    </row>
    <row r="12" spans="1:13" s="16" customFormat="1" ht="63.75" x14ac:dyDescent="0.25">
      <c r="A12" s="26" t="s">
        <v>148</v>
      </c>
      <c r="B12" s="28" t="s">
        <v>375</v>
      </c>
      <c r="C12" s="13" t="s">
        <v>144</v>
      </c>
      <c r="D12" s="15" t="s">
        <v>152</v>
      </c>
      <c r="E12" s="30">
        <f t="shared" si="0"/>
        <v>26</v>
      </c>
      <c r="F12" s="32" t="s">
        <v>192</v>
      </c>
      <c r="G12" s="33" t="s">
        <v>180</v>
      </c>
      <c r="H12" s="33" t="s">
        <v>179</v>
      </c>
      <c r="I12" s="34" t="s">
        <v>198</v>
      </c>
      <c r="J12" s="34" t="s">
        <v>178</v>
      </c>
      <c r="K12" s="33" t="s">
        <v>14</v>
      </c>
      <c r="L12" s="33" t="s">
        <v>14</v>
      </c>
      <c r="M12" s="15" t="s">
        <v>185</v>
      </c>
    </row>
    <row r="13" spans="1:13" s="16" customFormat="1" ht="63.75" x14ac:dyDescent="0.25">
      <c r="A13" s="26" t="s">
        <v>148</v>
      </c>
      <c r="B13" s="28" t="s">
        <v>375</v>
      </c>
      <c r="C13" s="13" t="s">
        <v>147</v>
      </c>
      <c r="D13" s="15" t="s">
        <v>154</v>
      </c>
      <c r="E13" s="30">
        <f t="shared" si="0"/>
        <v>55</v>
      </c>
      <c r="F13" s="32" t="s">
        <v>192</v>
      </c>
      <c r="G13" s="33" t="s">
        <v>180</v>
      </c>
      <c r="H13" s="33" t="s">
        <v>179</v>
      </c>
      <c r="I13" s="34" t="s">
        <v>198</v>
      </c>
      <c r="J13" s="34" t="s">
        <v>155</v>
      </c>
      <c r="K13" s="33" t="s">
        <v>14</v>
      </c>
      <c r="L13" s="33" t="s">
        <v>14</v>
      </c>
      <c r="M13" s="15" t="s">
        <v>189</v>
      </c>
    </row>
    <row r="14" spans="1:13" s="16" customFormat="1" ht="102" x14ac:dyDescent="0.25">
      <c r="A14" s="26" t="s">
        <v>148</v>
      </c>
      <c r="B14" s="28" t="s">
        <v>376</v>
      </c>
      <c r="C14" s="15" t="s">
        <v>181</v>
      </c>
      <c r="D14" s="15" t="s">
        <v>182</v>
      </c>
      <c r="E14" s="30">
        <f t="shared" si="0"/>
        <v>62</v>
      </c>
      <c r="F14" s="32" t="s">
        <v>193</v>
      </c>
      <c r="G14" s="33" t="s">
        <v>180</v>
      </c>
      <c r="H14" s="33" t="s">
        <v>179</v>
      </c>
      <c r="I14" s="34" t="s">
        <v>198</v>
      </c>
      <c r="J14" s="34" t="s">
        <v>155</v>
      </c>
      <c r="K14" s="33" t="s">
        <v>14</v>
      </c>
      <c r="L14" s="33" t="s">
        <v>14</v>
      </c>
      <c r="M14" s="15" t="s">
        <v>190</v>
      </c>
    </row>
    <row r="15" spans="1:13" s="16" customFormat="1" ht="102" x14ac:dyDescent="0.25">
      <c r="A15" s="26" t="s">
        <v>148</v>
      </c>
      <c r="B15" s="28" t="s">
        <v>376</v>
      </c>
      <c r="C15" s="13" t="s">
        <v>378</v>
      </c>
      <c r="D15" s="15" t="s">
        <v>377</v>
      </c>
      <c r="E15" s="30">
        <f t="shared" si="0"/>
        <v>79</v>
      </c>
      <c r="F15" s="32" t="s">
        <v>193</v>
      </c>
      <c r="G15" s="33" t="s">
        <v>180</v>
      </c>
      <c r="H15" s="33" t="s">
        <v>179</v>
      </c>
      <c r="I15" s="34" t="s">
        <v>198</v>
      </c>
      <c r="J15" s="34" t="s">
        <v>155</v>
      </c>
      <c r="K15" s="33" t="s">
        <v>14</v>
      </c>
      <c r="L15" s="33" t="s">
        <v>14</v>
      </c>
      <c r="M15" s="15" t="s">
        <v>191</v>
      </c>
    </row>
  </sheetData>
  <mergeCells count="2">
    <mergeCell ref="C2:J2"/>
    <mergeCell ref="C3:J4"/>
  </mergeCells>
  <conditionalFormatting sqref="E7">
    <cfRule type="cellIs" dxfId="2" priority="6" operator="greaterThan">
      <formula>104</formula>
    </cfRule>
  </conditionalFormatting>
  <conditionalFormatting sqref="E8:E9 E11:E15">
    <cfRule type="cellIs" dxfId="1" priority="4" operator="greaterThan">
      <formula>104</formula>
    </cfRule>
  </conditionalFormatting>
  <conditionalFormatting sqref="E10">
    <cfRule type="cellIs" dxfId="0" priority="3" operator="greaterThan">
      <formula>104</formula>
    </cfRule>
  </conditionalFormatting>
  <dataValidations count="1">
    <dataValidation type="list" allowBlank="1" showInputMessage="1" showErrorMessage="1" sqref="K7:L1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9"/>
  <sheetViews>
    <sheetView showGridLines="0" zoomScaleNormal="100" workbookViewId="0">
      <selection activeCell="G1" sqref="G1"/>
    </sheetView>
  </sheetViews>
  <sheetFormatPr defaultRowHeight="15" x14ac:dyDescent="0.25"/>
  <cols>
    <col min="1" max="1" width="26.85546875" customWidth="1"/>
    <col min="2" max="2" width="17.42578125" customWidth="1"/>
    <col min="3" max="3" width="26" customWidth="1"/>
    <col min="4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49" t="s">
        <v>1</v>
      </c>
      <c r="C2" s="49"/>
      <c r="D2" s="49"/>
      <c r="E2" s="49"/>
      <c r="F2" s="49"/>
      <c r="G2" s="1"/>
    </row>
    <row r="3" spans="1:7" ht="15" customHeight="1" x14ac:dyDescent="0.25">
      <c r="A3" s="1"/>
      <c r="B3" s="48" t="s">
        <v>21</v>
      </c>
      <c r="C3" s="48"/>
      <c r="D3" s="48"/>
      <c r="E3" s="48"/>
      <c r="F3" s="22"/>
      <c r="G3" s="1"/>
    </row>
    <row r="4" spans="1:7" ht="15" customHeight="1" x14ac:dyDescent="0.25">
      <c r="A4" s="1"/>
      <c r="B4" s="48"/>
      <c r="C4" s="48"/>
      <c r="D4" s="48"/>
      <c r="E4" s="48"/>
      <c r="F4" s="22"/>
      <c r="G4" s="3" t="s">
        <v>2</v>
      </c>
    </row>
    <row r="5" spans="1:7" x14ac:dyDescent="0.25">
      <c r="A5" s="1"/>
      <c r="B5" s="1"/>
      <c r="C5" s="1"/>
      <c r="D5" s="1"/>
      <c r="E5" s="1"/>
      <c r="F5" s="1"/>
      <c r="G5" s="4">
        <f>'CAT Negócio'!M5</f>
        <v>42347</v>
      </c>
    </row>
    <row r="7" spans="1:7" x14ac:dyDescent="0.25">
      <c r="A7" s="8" t="s">
        <v>67</v>
      </c>
      <c r="C7" s="35" t="s">
        <v>268</v>
      </c>
    </row>
    <row r="8" spans="1:7" x14ac:dyDescent="0.25">
      <c r="A8" s="23" t="s">
        <v>7</v>
      </c>
      <c r="C8" s="8" t="s">
        <v>124</v>
      </c>
    </row>
    <row r="9" spans="1:7" x14ac:dyDescent="0.25">
      <c r="A9" s="23" t="s">
        <v>19</v>
      </c>
      <c r="C9" s="23" t="s">
        <v>126</v>
      </c>
    </row>
    <row r="10" spans="1:7" x14ac:dyDescent="0.25">
      <c r="A10" s="23" t="s">
        <v>22</v>
      </c>
      <c r="C10" s="23" t="s">
        <v>270</v>
      </c>
    </row>
    <row r="11" spans="1:7" x14ac:dyDescent="0.25">
      <c r="A11" s="23" t="s">
        <v>43</v>
      </c>
      <c r="C11" s="23" t="s">
        <v>271</v>
      </c>
    </row>
    <row r="12" spans="1:7" x14ac:dyDescent="0.25">
      <c r="A12" s="23" t="s">
        <v>44</v>
      </c>
      <c r="C12" s="23" t="s">
        <v>269</v>
      </c>
    </row>
    <row r="13" spans="1:7" x14ac:dyDescent="0.25">
      <c r="A13" s="23" t="s">
        <v>46</v>
      </c>
      <c r="C13" s="8" t="s">
        <v>16</v>
      </c>
    </row>
    <row r="14" spans="1:7" x14ac:dyDescent="0.25">
      <c r="A14" s="23" t="s">
        <v>30</v>
      </c>
    </row>
    <row r="15" spans="1:7" x14ac:dyDescent="0.25">
      <c r="A15" s="23" t="s">
        <v>32</v>
      </c>
    </row>
    <row r="16" spans="1:7" x14ac:dyDescent="0.25">
      <c r="A16" s="23" t="s">
        <v>25</v>
      </c>
      <c r="C16" s="35" t="s">
        <v>268</v>
      </c>
    </row>
    <row r="17" spans="1:3" x14ac:dyDescent="0.25">
      <c r="A17" s="23" t="s">
        <v>33</v>
      </c>
      <c r="C17" s="8" t="s">
        <v>123</v>
      </c>
    </row>
    <row r="18" spans="1:3" x14ac:dyDescent="0.25">
      <c r="A18" s="23" t="s">
        <v>27</v>
      </c>
      <c r="C18" s="23" t="s">
        <v>200</v>
      </c>
    </row>
    <row r="19" spans="1:3" x14ac:dyDescent="0.25">
      <c r="A19" s="23" t="s">
        <v>23</v>
      </c>
      <c r="C19" s="23" t="s">
        <v>211</v>
      </c>
    </row>
    <row r="20" spans="1:3" x14ac:dyDescent="0.25">
      <c r="A20" s="23" t="s">
        <v>24</v>
      </c>
      <c r="C20" s="23" t="s">
        <v>215</v>
      </c>
    </row>
    <row r="21" spans="1:3" x14ac:dyDescent="0.25">
      <c r="A21" s="23" t="s">
        <v>31</v>
      </c>
      <c r="C21" s="23" t="s">
        <v>213</v>
      </c>
    </row>
    <row r="22" spans="1:3" x14ac:dyDescent="0.25">
      <c r="A22" s="23" t="s">
        <v>26</v>
      </c>
      <c r="C22" s="23" t="s">
        <v>210</v>
      </c>
    </row>
    <row r="23" spans="1:3" x14ac:dyDescent="0.25">
      <c r="A23" s="23" t="s">
        <v>28</v>
      </c>
      <c r="C23" s="23" t="s">
        <v>212</v>
      </c>
    </row>
    <row r="24" spans="1:3" x14ac:dyDescent="0.25">
      <c r="A24" s="8" t="s">
        <v>16</v>
      </c>
      <c r="C24" s="23" t="s">
        <v>272</v>
      </c>
    </row>
    <row r="25" spans="1:3" x14ac:dyDescent="0.25">
      <c r="C25" s="23" t="s">
        <v>214</v>
      </c>
    </row>
    <row r="26" spans="1:3" x14ac:dyDescent="0.25">
      <c r="C26" s="23" t="s">
        <v>274</v>
      </c>
    </row>
    <row r="27" spans="1:3" x14ac:dyDescent="0.25">
      <c r="C27" s="23" t="s">
        <v>209</v>
      </c>
    </row>
    <row r="28" spans="1:3" x14ac:dyDescent="0.25">
      <c r="C28" s="8" t="s">
        <v>275</v>
      </c>
    </row>
    <row r="29" spans="1:3" x14ac:dyDescent="0.25">
      <c r="C29" s="8" t="s">
        <v>16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4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B19"/>
  <sheetViews>
    <sheetView showGridLines="0" zoomScaleNormal="100" workbookViewId="0">
      <selection activeCell="B6" sqref="B6"/>
    </sheetView>
  </sheetViews>
  <sheetFormatPr defaultRowHeight="15" x14ac:dyDescent="0.25"/>
  <cols>
    <col min="1" max="1" width="28" customWidth="1"/>
    <col min="2" max="2" width="31.28515625" bestFit="1" customWidth="1"/>
    <col min="3" max="3" width="19.42578125" bestFit="1" customWidth="1"/>
  </cols>
  <sheetData>
    <row r="1" spans="1:2" x14ac:dyDescent="0.25">
      <c r="A1" s="38" t="s">
        <v>372</v>
      </c>
      <c r="B1" s="38" t="s">
        <v>373</v>
      </c>
    </row>
    <row r="2" spans="1:2" x14ac:dyDescent="0.25">
      <c r="A2" s="26" t="s">
        <v>93</v>
      </c>
      <c r="B2" s="26" t="s">
        <v>89</v>
      </c>
    </row>
    <row r="3" spans="1:2" x14ac:dyDescent="0.25">
      <c r="A3" s="26" t="s">
        <v>28</v>
      </c>
      <c r="B3" s="26" t="s">
        <v>399</v>
      </c>
    </row>
    <row r="4" spans="1:2" x14ac:dyDescent="0.25">
      <c r="A4" s="26" t="s">
        <v>7</v>
      </c>
      <c r="B4" s="26" t="s">
        <v>399</v>
      </c>
    </row>
    <row r="5" spans="1:2" x14ac:dyDescent="0.25">
      <c r="A5" s="26" t="s">
        <v>30</v>
      </c>
      <c r="B5" s="26" t="s">
        <v>399</v>
      </c>
    </row>
    <row r="6" spans="1:2" x14ac:dyDescent="0.25">
      <c r="A6" s="26" t="s">
        <v>43</v>
      </c>
      <c r="B6" s="26" t="s">
        <v>89</v>
      </c>
    </row>
    <row r="7" spans="1:2" x14ac:dyDescent="0.25">
      <c r="A7" s="26" t="s">
        <v>32</v>
      </c>
      <c r="B7" s="26" t="s">
        <v>399</v>
      </c>
    </row>
    <row r="8" spans="1:2" x14ac:dyDescent="0.25">
      <c r="A8" s="26" t="s">
        <v>25</v>
      </c>
      <c r="B8" s="26" t="s">
        <v>89</v>
      </c>
    </row>
    <row r="9" spans="1:2" x14ac:dyDescent="0.25">
      <c r="A9" s="26" t="s">
        <v>90</v>
      </c>
      <c r="B9" s="26" t="s">
        <v>399</v>
      </c>
    </row>
    <row r="10" spans="1:2" x14ac:dyDescent="0.25">
      <c r="A10" s="26" t="s">
        <v>33</v>
      </c>
      <c r="B10" s="26" t="s">
        <v>89</v>
      </c>
    </row>
    <row r="11" spans="1:2" x14ac:dyDescent="0.25">
      <c r="A11" s="26" t="s">
        <v>19</v>
      </c>
      <c r="B11" s="26" t="s">
        <v>89</v>
      </c>
    </row>
    <row r="12" spans="1:2" x14ac:dyDescent="0.25">
      <c r="A12" s="26" t="s">
        <v>27</v>
      </c>
      <c r="B12" s="26" t="s">
        <v>399</v>
      </c>
    </row>
    <row r="13" spans="1:2" x14ac:dyDescent="0.25">
      <c r="A13" s="26" t="s">
        <v>44</v>
      </c>
      <c r="B13" s="26" t="s">
        <v>89</v>
      </c>
    </row>
    <row r="14" spans="1:2" x14ac:dyDescent="0.25">
      <c r="A14" s="26" t="s">
        <v>23</v>
      </c>
      <c r="B14" s="26" t="s">
        <v>89</v>
      </c>
    </row>
    <row r="15" spans="1:2" x14ac:dyDescent="0.25">
      <c r="A15" s="26" t="s">
        <v>24</v>
      </c>
      <c r="B15" s="26" t="s">
        <v>399</v>
      </c>
    </row>
    <row r="16" spans="1:2" x14ac:dyDescent="0.25">
      <c r="A16" s="26" t="s">
        <v>31</v>
      </c>
      <c r="B16" s="26" t="s">
        <v>399</v>
      </c>
    </row>
    <row r="17" spans="1:2" x14ac:dyDescent="0.25">
      <c r="A17" s="26" t="s">
        <v>29</v>
      </c>
      <c r="B17" s="26" t="s">
        <v>89</v>
      </c>
    </row>
    <row r="18" spans="1:2" x14ac:dyDescent="0.25">
      <c r="A18" s="26" t="s">
        <v>22</v>
      </c>
      <c r="B18" s="26" t="s">
        <v>399</v>
      </c>
    </row>
    <row r="19" spans="1:2" x14ac:dyDescent="0.25">
      <c r="A19" s="26" t="s">
        <v>26</v>
      </c>
      <c r="B19" s="26" t="s">
        <v>399</v>
      </c>
    </row>
  </sheetData>
  <autoFilter ref="A1:C19">
    <sortState ref="A7:C12">
      <sortCondition sortBy="cellColor" ref="A1:A19" dxfId="28"/>
    </sortState>
  </autoFilter>
  <sortState ref="A2:B20">
    <sortCondition ref="A2:A20"/>
    <sortCondition ref="B2:B2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8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17" sqref="C17"/>
    </sheetView>
  </sheetViews>
  <sheetFormatPr defaultRowHeight="15" x14ac:dyDescent="0.25"/>
  <cols>
    <col min="1" max="1" width="27.85546875" style="27" customWidth="1"/>
    <col min="2" max="2" width="31.28515625" style="27" customWidth="1"/>
    <col min="3" max="3" width="58.5703125" style="11" customWidth="1"/>
    <col min="4" max="4" width="55.140625" style="21" customWidth="1"/>
    <col min="5" max="5" width="16.42578125" style="11" bestFit="1" customWidth="1"/>
    <col min="6" max="6" width="18.42578125" style="11" customWidth="1"/>
    <col min="7" max="7" width="13.7109375" style="11" customWidth="1"/>
    <col min="8" max="8" width="13.85546875" style="11" bestFit="1" customWidth="1"/>
    <col min="9" max="9" width="14.5703125" style="11" bestFit="1" customWidth="1"/>
    <col min="10" max="11" width="13.7109375" style="17" customWidth="1"/>
    <col min="12" max="12" width="60.7109375" style="21" customWidth="1"/>
    <col min="13" max="16384" width="9.140625" style="11"/>
  </cols>
  <sheetData>
    <row r="1" spans="1:12" x14ac:dyDescent="0.25">
      <c r="A1" s="25"/>
      <c r="B1" s="25"/>
      <c r="C1" s="9"/>
      <c r="D1" s="18"/>
      <c r="E1" s="9"/>
      <c r="F1" s="9"/>
      <c r="G1" s="9"/>
      <c r="H1" s="9"/>
      <c r="I1" s="9"/>
      <c r="J1" s="10"/>
      <c r="K1" s="10"/>
      <c r="L1" s="18"/>
    </row>
    <row r="2" spans="1:12" ht="15.75" x14ac:dyDescent="0.25">
      <c r="A2" s="25"/>
      <c r="B2" s="25"/>
      <c r="C2" s="47" t="s">
        <v>1</v>
      </c>
      <c r="D2" s="47"/>
      <c r="E2" s="47"/>
      <c r="F2" s="47"/>
      <c r="G2" s="47"/>
      <c r="H2" s="47"/>
      <c r="I2" s="47"/>
      <c r="J2" s="12"/>
      <c r="K2" s="12"/>
      <c r="L2" s="18"/>
    </row>
    <row r="3" spans="1:12" ht="15" customHeight="1" x14ac:dyDescent="0.25">
      <c r="A3" s="25"/>
      <c r="B3" s="25"/>
      <c r="C3" s="48" t="s">
        <v>0</v>
      </c>
      <c r="D3" s="48"/>
      <c r="E3" s="48"/>
      <c r="F3" s="48"/>
      <c r="G3" s="48"/>
      <c r="H3" s="48"/>
      <c r="I3" s="48"/>
      <c r="J3" s="2"/>
      <c r="K3" s="2"/>
      <c r="L3" s="18"/>
    </row>
    <row r="4" spans="1:12" ht="15" customHeight="1" x14ac:dyDescent="0.25">
      <c r="A4" s="25"/>
      <c r="B4" s="25"/>
      <c r="C4" s="48"/>
      <c r="D4" s="48"/>
      <c r="E4" s="48"/>
      <c r="F4" s="48"/>
      <c r="G4" s="48"/>
      <c r="H4" s="48"/>
      <c r="I4" s="48"/>
      <c r="J4" s="2"/>
      <c r="K4" s="2"/>
      <c r="L4" s="19" t="s">
        <v>2</v>
      </c>
    </row>
    <row r="5" spans="1:12" x14ac:dyDescent="0.25">
      <c r="A5" s="25"/>
      <c r="B5" s="25"/>
      <c r="C5" s="9"/>
      <c r="D5" s="18"/>
      <c r="E5" s="9"/>
      <c r="F5" s="9"/>
      <c r="G5" s="9"/>
      <c r="H5" s="9"/>
      <c r="I5" s="9"/>
      <c r="J5" s="10"/>
      <c r="K5" s="10"/>
      <c r="L5" s="20">
        <f>'CAT Negócio'!M5</f>
        <v>42347</v>
      </c>
    </row>
    <row r="6" spans="1:12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5" t="s">
        <v>6</v>
      </c>
      <c r="F6" s="5" t="s">
        <v>11</v>
      </c>
      <c r="G6" s="5" t="s">
        <v>8</v>
      </c>
      <c r="H6" s="5" t="s">
        <v>9</v>
      </c>
      <c r="I6" s="5" t="s">
        <v>10</v>
      </c>
      <c r="J6" s="7" t="s">
        <v>12</v>
      </c>
      <c r="K6" s="7" t="s">
        <v>15</v>
      </c>
      <c r="L6" s="7" t="s">
        <v>13</v>
      </c>
    </row>
    <row r="7" spans="1:12" s="16" customFormat="1" ht="51" customHeight="1" x14ac:dyDescent="0.25">
      <c r="A7" s="44"/>
      <c r="B7" s="28" t="s">
        <v>481</v>
      </c>
      <c r="C7" s="13" t="s">
        <v>478</v>
      </c>
      <c r="D7" s="15" t="s">
        <v>479</v>
      </c>
      <c r="E7" s="24" t="s">
        <v>47</v>
      </c>
      <c r="F7" s="13" t="s">
        <v>397</v>
      </c>
      <c r="G7" s="40" t="s">
        <v>401</v>
      </c>
      <c r="H7" s="37">
        <v>0.33333333333333331</v>
      </c>
      <c r="I7" s="37">
        <v>1</v>
      </c>
      <c r="J7" s="14" t="s">
        <v>18</v>
      </c>
      <c r="K7" s="14" t="s">
        <v>18</v>
      </c>
      <c r="L7" s="15" t="s">
        <v>480</v>
      </c>
    </row>
    <row r="8" spans="1:12" s="16" customFormat="1" ht="51" customHeight="1" x14ac:dyDescent="0.25">
      <c r="A8" s="44"/>
      <c r="B8" s="28" t="s">
        <v>482</v>
      </c>
      <c r="C8" s="13"/>
      <c r="D8" s="15"/>
      <c r="E8" s="24" t="s">
        <v>47</v>
      </c>
      <c r="F8" s="13" t="s">
        <v>397</v>
      </c>
      <c r="G8" s="40" t="s">
        <v>401</v>
      </c>
      <c r="H8" s="37">
        <v>0.33333333333333331</v>
      </c>
      <c r="I8" s="37">
        <v>1</v>
      </c>
      <c r="J8" s="14" t="s">
        <v>18</v>
      </c>
      <c r="K8" s="14" t="s">
        <v>18</v>
      </c>
      <c r="L8" s="15" t="s">
        <v>480</v>
      </c>
    </row>
  </sheetData>
  <mergeCells count="2">
    <mergeCell ref="C2:I2"/>
    <mergeCell ref="C3:I4"/>
  </mergeCells>
  <dataValidations count="1">
    <dataValidation type="list" allowBlank="1" showInputMessage="1" showErrorMessage="1" sqref="J7:K8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CAT Cluster</vt:lpstr>
      <vt:lpstr>CAT Cliente Smiles</vt:lpstr>
      <vt:lpstr>CAT Negócio</vt:lpstr>
      <vt:lpstr>CAT Escritório</vt:lpstr>
      <vt:lpstr>CAT TIpTI</vt:lpstr>
      <vt:lpstr>CAT GA</vt:lpstr>
      <vt:lpstr>Protótipo de Navegação</vt:lpstr>
      <vt:lpstr>Escopo</vt:lpstr>
      <vt:lpstr>CAT Monitoração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lilly costa</cp:lastModifiedBy>
  <cp:lastPrinted>2015-12-01T15:28:32Z</cp:lastPrinted>
  <dcterms:created xsi:type="dcterms:W3CDTF">2015-12-01T15:08:57Z</dcterms:created>
  <dcterms:modified xsi:type="dcterms:W3CDTF">2017-04-12T23:40:05Z</dcterms:modified>
</cp:coreProperties>
</file>