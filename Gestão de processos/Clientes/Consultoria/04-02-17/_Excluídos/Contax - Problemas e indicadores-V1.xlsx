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7380" activeTab="2"/>
  </bookViews>
  <sheets>
    <sheet name="Indicadores" sheetId="23" r:id="rId1"/>
    <sheet name="Problemas" sheetId="24" r:id="rId2"/>
    <sheet name="201509281 " sheetId="30" r:id="rId3"/>
    <sheet name="201509282" sheetId="31" r:id="rId4"/>
    <sheet name="2015092803" sheetId="32" r:id="rId5"/>
    <sheet name="2015093001" sheetId="33" r:id="rId6"/>
  </sheets>
  <calcPr calcId="152511" concurrentCalc="0"/>
  <pivotCaches>
    <pivotCache cacheId="0" r:id="rId7"/>
  </pivotCaches>
</workbook>
</file>

<file path=xl/calcChain.xml><?xml version="1.0" encoding="utf-8"?>
<calcChain xmlns="http://schemas.openxmlformats.org/spreadsheetml/2006/main">
  <c r="I9" i="33" l="1"/>
  <c r="G3" i="24"/>
  <c r="G6" i="24"/>
</calcChain>
</file>

<file path=xl/sharedStrings.xml><?xml version="1.0" encoding="utf-8"?>
<sst xmlns="http://schemas.openxmlformats.org/spreadsheetml/2006/main" count="159" uniqueCount="87">
  <si>
    <t xml:space="preserve"> </t>
  </si>
  <si>
    <t>Status</t>
  </si>
  <si>
    <t>#</t>
  </si>
  <si>
    <t>Julio Silva</t>
  </si>
  <si>
    <t>TMEF (Tempo Médio Entre Falhas)</t>
  </si>
  <si>
    <t>TMDR (Tempo Médio de Reparo)</t>
  </si>
  <si>
    <t>Julho</t>
  </si>
  <si>
    <t>Agosto</t>
  </si>
  <si>
    <t>Setembro</t>
  </si>
  <si>
    <t># Incidentes alto Impacto</t>
  </si>
  <si>
    <t>Sintoma</t>
  </si>
  <si>
    <t>Plataforma</t>
  </si>
  <si>
    <t>Cliente / Operação</t>
  </si>
  <si>
    <t>ID</t>
  </si>
  <si>
    <t>Responsável (Ger. Prb)</t>
  </si>
  <si>
    <t>ASPECT</t>
  </si>
  <si>
    <t>Incidentes associados (mês)</t>
  </si>
  <si>
    <t>Em andamento</t>
  </si>
  <si>
    <t>Concluído</t>
  </si>
  <si>
    <t>Stand by</t>
  </si>
  <si>
    <t>Total Geral</t>
  </si>
  <si>
    <t>%</t>
  </si>
  <si>
    <t>Sintoma:</t>
  </si>
  <si>
    <t>Plataforma:</t>
  </si>
  <si>
    <t>STATUS:</t>
  </si>
  <si>
    <t>Responsável:</t>
  </si>
  <si>
    <t>G.U.T.</t>
  </si>
  <si>
    <t>G.U.T</t>
  </si>
  <si>
    <t>Sky, Nextel, Cielo, Cred system</t>
  </si>
  <si>
    <t>ND</t>
  </si>
  <si>
    <t>60% a 70%</t>
  </si>
  <si>
    <t xml:space="preserve">Discador &gt; ligação muda / caixa postal / número inexistente / queda </t>
  </si>
  <si>
    <t>Nextel (P.A. 150) / CredSystem (P.A. 30) /Cielo (P.A. 80) /Sky (P.A. 5)</t>
  </si>
  <si>
    <t xml:space="preserve">Discador &gt; Não disca </t>
  </si>
  <si>
    <t>NICE</t>
  </si>
  <si>
    <t>Thiago Augusto</t>
  </si>
  <si>
    <t>Volumetria:</t>
  </si>
  <si>
    <t>Incidentes:</t>
  </si>
  <si>
    <t>3 meses</t>
  </si>
  <si>
    <t>IMPACTO</t>
  </si>
  <si>
    <t>Alegria e Antártica</t>
  </si>
  <si>
    <t>Causas:</t>
  </si>
  <si>
    <t>Solução</t>
  </si>
  <si>
    <t xml:space="preserve"> - Cliente :</t>
  </si>
  <si>
    <t xml:space="preserve">  - Sites:</t>
  </si>
  <si>
    <t xml:space="preserve">  - Improdutividade:</t>
  </si>
  <si>
    <t>Data:</t>
  </si>
  <si>
    <t>1° Causa:</t>
  </si>
  <si>
    <t>2° Causa:</t>
  </si>
  <si>
    <t>Data: 29/09/2015</t>
  </si>
  <si>
    <t>Monitorização</t>
  </si>
  <si>
    <t xml:space="preserve">Front End &gt; Falha no Pop-Up </t>
  </si>
  <si>
    <t xml:space="preserve">Discador &gt; ligação muda &gt; caixa postal &gt; número inexistente &gt; queda </t>
  </si>
  <si>
    <t>Lazaro</t>
  </si>
  <si>
    <t xml:space="preserve">Front End &gt; Falha no Pop-Up/Explore </t>
  </si>
  <si>
    <t>Alegria</t>
  </si>
  <si>
    <t>: Nextel (PA. 150)/Cielo (P.A. 80).</t>
  </si>
  <si>
    <t>Em monitorização</t>
  </si>
  <si>
    <t>Qt</t>
  </si>
  <si>
    <t>Gravações &gt;  Não grava &gt; Perca de Gravação</t>
  </si>
  <si>
    <t>OI; Santander; ITAU; Bradesco</t>
  </si>
  <si>
    <t>Gravações &gt; Não grava e Perca de Gravação</t>
  </si>
  <si>
    <r>
      <rPr>
        <b/>
        <sz val="11"/>
        <color theme="1"/>
        <rFont val="Calibri"/>
        <family val="2"/>
        <scheme val="minor"/>
      </rPr>
      <t>Perca de Gravação</t>
    </r>
    <r>
      <rPr>
        <sz val="11"/>
        <color theme="1"/>
        <rFont val="Calibri"/>
        <family val="2"/>
        <scheme val="minor"/>
      </rPr>
      <t>: OI; Santander; ITAU; Bradesco</t>
    </r>
  </si>
  <si>
    <r>
      <rPr>
        <b/>
        <sz val="11"/>
        <color theme="1"/>
        <rFont val="Calibri"/>
        <family val="2"/>
        <scheme val="minor"/>
      </rPr>
      <t>Não grava:</t>
    </r>
    <r>
      <rPr>
        <sz val="11"/>
        <color theme="1"/>
        <rFont val="Calibri"/>
        <family val="2"/>
        <scheme val="minor"/>
      </rPr>
      <t xml:space="preserve"> Todos os clientes</t>
    </r>
  </si>
  <si>
    <t>Solução  
1° causa (Perca de gravação)</t>
  </si>
  <si>
    <r>
      <rPr>
        <b/>
        <sz val="11"/>
        <color theme="1"/>
        <rFont val="Calibri"/>
        <family val="2"/>
        <scheme val="minor"/>
      </rPr>
      <t>Perca de gravação (Legado DEDIC e Aspect)</t>
    </r>
    <r>
      <rPr>
        <sz val="11"/>
        <color theme="1"/>
        <rFont val="Calibri"/>
        <family val="2"/>
        <scheme val="minor"/>
      </rPr>
      <t xml:space="preserve">
1 - Modulo de armazenamento obsoleto.
2 - Falta de monitorização na plataforma
      - Servidor;  Aplicação; Storage; Fitas
3 - Falta de testes no restore
4 - Falta do processamento de gerenciamento de ativos de TI
5 - Troca individual de hardphone</t>
    </r>
  </si>
  <si>
    <r>
      <rPr>
        <b/>
        <sz val="11"/>
        <color theme="1"/>
        <rFont val="Calibri"/>
        <family val="2"/>
        <scheme val="minor"/>
      </rPr>
      <t>NGR</t>
    </r>
    <r>
      <rPr>
        <sz val="11"/>
        <color theme="1"/>
        <rFont val="Calibri"/>
        <family val="2"/>
        <scheme val="minor"/>
      </rPr>
      <t xml:space="preserve">
1 - Falta de configuração da redundancia
2 - Interchange SBC (controladores de board entre dois servidores)</t>
    </r>
  </si>
  <si>
    <t>Solução  
2° causa NGR</t>
  </si>
  <si>
    <t>$ Multa</t>
  </si>
  <si>
    <t>Discador &gt; Não disca (baixa qualidade da voz - picotamento do operador para o cliente)</t>
  </si>
  <si>
    <t>?</t>
  </si>
  <si>
    <t xml:space="preserve"> 1- Configuração do QOS nas redes. (Julio validar até 5 Out) 
2 - Configuração do QOS nas estações de trabalho. (Julio validar até 5 Out)
3 - No Link, assimetria de comunicação entre Alegria e Alphavile
4 - Processamento local
5 - Falha na operadora publica de telefonia (IDT / OI)</t>
  </si>
  <si>
    <t xml:space="preserve">Em elaboração </t>
  </si>
  <si>
    <t>Nextel (PA. 150); Cielo (P.A. 80).</t>
  </si>
  <si>
    <t>Data: 30/09/2015</t>
  </si>
  <si>
    <t>$</t>
  </si>
  <si>
    <t>Nextel (PA. 150)/Cielo (P.A. 80).</t>
  </si>
  <si>
    <t>1 - Perca de pacote (falha de Link) - Colisão de carro no poste com rompimento de fibra
2 -  Alto processamento de Base de Dados
3 -  Alto Consumo de memória 
4 -  Falha de integração no CTI
5 -  Elevado I/O de disco
6 - ASPECT versaõ 7.1</t>
  </si>
  <si>
    <t>1 -  14/09 - Alteração de parâmetros sem execução de GMUD atingindo o cliente Cielo solicitada por José Maria (planejamento) em conjunto com a equipe Aspect contando com a presença do sr. Alexandre Yukio Okuno (Leleco).</t>
  </si>
  <si>
    <t>Solução da 1° Causa</t>
  </si>
  <si>
    <t>Solução da 2° Causa</t>
  </si>
  <si>
    <t xml:space="preserve">
2  - Definiu-se como responsabilidade do time de gestão de telecomunicações a entrega dos links com adequada configuração de classificação.
Ações:
  - Plano de teste na classificação de chamado em cada E1.  (Rogério Santos até 6 Out).
  - Plano de transição + GMUD (José Maria/Livia) - (Donaire e Leonardo até 13 Out).</t>
  </si>
  <si>
    <t>2-  25/09 - Falha de comunicação da operadora Oi
 - A causa ainda não foi detectada.
 - Os pacotes que são enviados de Oi para Oi têm 100% de resolução.
 - Os dados quando enviados entre Oi e Embratel apresentam resolução em andamento e como responsável pelo processo foi definido o gestor Daniel Donaire.</t>
  </si>
  <si>
    <r>
      <rPr>
        <b/>
        <sz val="11"/>
        <color theme="1"/>
        <rFont val="Calibri"/>
        <family val="2"/>
        <scheme val="minor"/>
      </rPr>
      <t>• Solução de contorno:</t>
    </r>
    <r>
      <rPr>
        <sz val="11"/>
        <color theme="1"/>
        <rFont val="Calibri"/>
        <family val="2"/>
        <scheme val="minor"/>
      </rPr>
      <t xml:space="preserve">
  1a- Correção de dois parâmetros.
  1b - Um ajuste em andamento. A GMUD de número 18185 a ser realizada em 30/09 foi executada no andamento da reunião e      entrou em monitoração.
 Ações:  
   - Alinhamento com a necessidade de negócio - Donaire e Leonardo até 13 Out.
   - Estabelecer controle (GMUD/ACESSOS) -  A definir</t>
    </r>
  </si>
  <si>
    <r>
      <rPr>
        <b/>
        <sz val="11"/>
        <color theme="1"/>
        <rFont val="Calibri"/>
        <family val="2"/>
        <scheme val="minor"/>
      </rPr>
      <t>•  Solução definitiva:</t>
    </r>
    <r>
      <rPr>
        <sz val="11"/>
        <color theme="1"/>
        <rFont val="Calibri"/>
        <family val="2"/>
        <scheme val="minor"/>
      </rPr>
      <t xml:space="preserve">
1a - </t>
    </r>
    <r>
      <rPr>
        <i/>
        <sz val="11"/>
        <color theme="1"/>
        <rFont val="Calibri"/>
        <family val="2"/>
        <scheme val="minor"/>
      </rPr>
      <t>Estudo de possibilidade de upgrade pas plataformas de armazenamento</t>
    </r>
    <r>
      <rPr>
        <sz val="11"/>
        <color theme="1"/>
        <rFont val="Calibri"/>
        <family val="2"/>
        <scheme val="minor"/>
      </rPr>
      <t xml:space="preserve">. (Thiago até 13 Out)
1b - </t>
    </r>
    <r>
      <rPr>
        <i/>
        <sz val="11"/>
        <color theme="1"/>
        <rFont val="Calibri"/>
        <family val="2"/>
        <scheme val="minor"/>
      </rPr>
      <t>Substituir o armazenamento de fita por Storage.</t>
    </r>
    <r>
      <rPr>
        <sz val="11"/>
        <color theme="1"/>
        <rFont val="Calibri"/>
        <family val="2"/>
        <scheme val="minor"/>
      </rPr>
      <t xml:space="preserve"> (Thiago até 5 Out) 
2a - Adequação do processo de eventos. (Chacon)
2b - Inclusão da monitorização dos ativod no legado. (Donaire)
3a - Melhoria no processo de GMUD, com evidencias de testes de redundância. (Mari)
3b - Plano de recuperação de desastre (janela periodica de testes). (Fabrine)
4- Adequação no processo de gerenciamento de ativos de TI. (Donaire)
5 - No hardphone, garantir que é aplicada a politica de uso (campanha de consciencialização- Planejamento). (Thiago até 2 Out)</t>
    </r>
  </si>
  <si>
    <r>
      <rPr>
        <b/>
        <sz val="11"/>
        <color theme="1"/>
        <rFont val="Calibri"/>
        <family val="2"/>
        <scheme val="minor"/>
      </rPr>
      <t>•  Solução de contorno:</t>
    </r>
    <r>
      <rPr>
        <sz val="11"/>
        <color theme="1"/>
        <rFont val="Calibri"/>
        <family val="2"/>
        <scheme val="minor"/>
      </rPr>
      <t xml:space="preserve"> Restart do serviço VRSP (Interchange SBC)
•  </t>
    </r>
    <r>
      <rPr>
        <b/>
        <sz val="11"/>
        <color theme="1"/>
        <rFont val="Calibri"/>
        <family val="2"/>
        <scheme val="minor"/>
      </rPr>
      <t>Solução definitiva:</t>
    </r>
    <r>
      <rPr>
        <sz val="11"/>
        <color theme="1"/>
        <rFont val="Calibri"/>
        <family val="2"/>
        <scheme val="minor"/>
      </rPr>
      <t xml:space="preserve">
1a - Melhoria no processo de GMUD, com evidencias de testes de redundância. (Mari)
1b - Plano de recuperação de desastre (janela periodica de testes). (Fabrine)
2 - Rendiemencionamento do SBC.
      Acionar fabricante para correção do switch. (Thiago até 2 Out).</t>
    </r>
  </si>
  <si>
    <r>
      <t xml:space="preserve">•  </t>
    </r>
    <r>
      <rPr>
        <b/>
        <sz val="11"/>
        <color theme="1"/>
        <rFont val="Calibri"/>
        <family val="2"/>
        <scheme val="minor"/>
      </rPr>
      <t>Solução de contorno:</t>
    </r>
    <r>
      <rPr>
        <sz val="11"/>
        <color theme="1"/>
        <rFont val="Calibri"/>
        <family val="2"/>
        <scheme val="minor"/>
      </rPr>
      <t xml:space="preserve">
  - (OK) Alterar roteamento para a nuvem (MPLS). Link de contigencia - Fabrine
• </t>
    </r>
    <r>
      <rPr>
        <b/>
        <sz val="11"/>
        <color theme="1"/>
        <rFont val="Calibri"/>
        <family val="2"/>
        <scheme val="minor"/>
      </rPr>
      <t>Solução definitiva</t>
    </r>
    <r>
      <rPr>
        <sz val="11"/>
        <color theme="1"/>
        <rFont val="Calibri"/>
        <family val="2"/>
        <scheme val="minor"/>
      </rPr>
      <t xml:space="preserve">
1a  - Estabelecer um plano de recuperação de desastre pata os ativos de comunicação (Link).  (Planejar testes de contigência) - Fabrine
1b - Procedimento de controle que evidencie a implementação de contigência. (GMUD) - Marilice
1c - Revisão dos procedimentos de monitorização (Gerenciamento de eventos) - Dennys até 6 Out.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</si>
</sst>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]:mm;@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Helv"/>
      <charset val="204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5" fillId="0" borderId="0"/>
  </cellStyleXfs>
  <cellXfs count="50">
    <xf numFmtId="0" fontId="0" fillId="0" borderId="0" xfId="0"/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6" xfId="0" applyBorder="1"/>
    <xf numFmtId="0" fontId="3" fillId="0" borderId="7" xfId="0" applyFont="1" applyBorder="1"/>
    <xf numFmtId="164" fontId="0" fillId="0" borderId="6" xfId="0" applyNumberFormat="1" applyBorder="1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" fillId="0" borderId="8" xfId="0" applyFont="1" applyBorder="1"/>
    <xf numFmtId="0" fontId="0" fillId="0" borderId="0" xfId="0" applyBorder="1"/>
    <xf numFmtId="0" fontId="1" fillId="0" borderId="0" xfId="0" applyFont="1" applyBorder="1"/>
    <xf numFmtId="0" fontId="0" fillId="0" borderId="9" xfId="0" applyBorder="1"/>
    <xf numFmtId="0" fontId="0" fillId="0" borderId="0" xfId="0" applyBorder="1" applyAlignment="1">
      <alignment horizontal="left"/>
    </xf>
    <xf numFmtId="0" fontId="1" fillId="0" borderId="8" xfId="0" applyFont="1" applyFill="1" applyBorder="1"/>
    <xf numFmtId="0" fontId="1" fillId="0" borderId="1" xfId="0" applyFont="1" applyFill="1" applyBorder="1" applyAlignment="1">
      <alignment vertical="center"/>
    </xf>
    <xf numFmtId="0" fontId="1" fillId="0" borderId="10" xfId="0" applyFont="1" applyBorder="1"/>
    <xf numFmtId="16" fontId="0" fillId="0" borderId="12" xfId="0" applyNumberFormat="1" applyBorder="1" applyAlignment="1"/>
    <xf numFmtId="0" fontId="1" fillId="0" borderId="0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3" xfId="0" applyBorder="1"/>
    <xf numFmtId="0" fontId="0" fillId="0" borderId="14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1" xfId="0" applyFont="1" applyFill="1" applyBorder="1" applyAlignment="1">
      <alignment vertical="center" wrapText="1"/>
    </xf>
  </cellXfs>
  <cellStyles count="4">
    <cellStyle name="%" xfId="2"/>
    <cellStyle name="Estilo 1" xfId="3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Indicadores!$C$5</c:f>
              <c:strCache>
                <c:ptCount val="1"/>
                <c:pt idx="0">
                  <c:v># Incidentes alto Impacto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Indicadores!$D$4:$F$4</c:f>
              <c:strCache>
                <c:ptCount val="3"/>
                <c:pt idx="0">
                  <c:v>Julho</c:v>
                </c:pt>
                <c:pt idx="1">
                  <c:v>Agosto</c:v>
                </c:pt>
                <c:pt idx="2">
                  <c:v>Setembro</c:v>
                </c:pt>
              </c:strCache>
            </c:strRef>
          </c:cat>
          <c:val>
            <c:numRef>
              <c:f>Indicadores!$D$5:$F$5</c:f>
              <c:numCache>
                <c:formatCode>General</c:formatCode>
                <c:ptCount val="3"/>
                <c:pt idx="0">
                  <c:v>1519</c:v>
                </c:pt>
                <c:pt idx="1">
                  <c:v>3830</c:v>
                </c:pt>
                <c:pt idx="2">
                  <c:v>3065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097936"/>
        <c:axId val="189685384"/>
      </c:barChart>
      <c:catAx>
        <c:axId val="24909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85384"/>
        <c:crosses val="autoZero"/>
        <c:auto val="1"/>
        <c:lblAlgn val="ctr"/>
        <c:lblOffset val="100"/>
        <c:noMultiLvlLbl val="0"/>
      </c:catAx>
      <c:valAx>
        <c:axId val="18968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909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Indicadores!$C$6</c:f>
              <c:strCache>
                <c:ptCount val="1"/>
                <c:pt idx="0">
                  <c:v>TMEF (Tempo Médio Entre Falhas)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Indicadores!$D$4:$F$4</c:f>
              <c:strCache>
                <c:ptCount val="3"/>
                <c:pt idx="0">
                  <c:v>Julho</c:v>
                </c:pt>
                <c:pt idx="1">
                  <c:v>Agosto</c:v>
                </c:pt>
                <c:pt idx="2">
                  <c:v>Setembro</c:v>
                </c:pt>
              </c:strCache>
            </c:strRef>
          </c:cat>
          <c:val>
            <c:numRef>
              <c:f>Indicadores!$D$6:$F$6</c:f>
              <c:numCache>
                <c:formatCode>[h]:mm;@</c:formatCode>
                <c:ptCount val="3"/>
                <c:pt idx="0">
                  <c:v>1.9444444444444445E-2</c:v>
                </c:pt>
                <c:pt idx="1">
                  <c:v>7.6388888888888886E-3</c:v>
                </c:pt>
                <c:pt idx="2">
                  <c:v>9.0277777777777787E-3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3032"/>
        <c:axId val="189683816"/>
      </c:barChart>
      <c:catAx>
        <c:axId val="189683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83816"/>
        <c:crosses val="autoZero"/>
        <c:auto val="1"/>
        <c:lblAlgn val="ctr"/>
        <c:lblOffset val="100"/>
        <c:noMultiLvlLbl val="0"/>
      </c:catAx>
      <c:valAx>
        <c:axId val="18968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83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Indicadores!$C$7</c:f>
              <c:strCache>
                <c:ptCount val="1"/>
                <c:pt idx="0">
                  <c:v>TMDR (Tempo Médio de Reparo)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Indicadores!$D$4:$F$4</c:f>
              <c:strCache>
                <c:ptCount val="3"/>
                <c:pt idx="0">
                  <c:v>Julho</c:v>
                </c:pt>
                <c:pt idx="1">
                  <c:v>Agosto</c:v>
                </c:pt>
                <c:pt idx="2">
                  <c:v>Setembro</c:v>
                </c:pt>
              </c:strCache>
            </c:strRef>
          </c:cat>
          <c:val>
            <c:numRef>
              <c:f>Indicadores!$D$7:$F$7</c:f>
              <c:numCache>
                <c:formatCode>[h]:mm;@</c:formatCode>
                <c:ptCount val="3"/>
                <c:pt idx="0">
                  <c:v>2.0923611111111113</c:v>
                </c:pt>
                <c:pt idx="1">
                  <c:v>1.175</c:v>
                </c:pt>
                <c:pt idx="2">
                  <c:v>1.1208333333333333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4208"/>
        <c:axId val="189684600"/>
      </c:barChart>
      <c:catAx>
        <c:axId val="18968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84600"/>
        <c:crosses val="autoZero"/>
        <c:auto val="1"/>
        <c:lblAlgn val="ctr"/>
        <c:lblOffset val="100"/>
        <c:noMultiLvlLbl val="0"/>
      </c:catAx>
      <c:valAx>
        <c:axId val="18968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8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12</xdr:row>
      <xdr:rowOff>80962</xdr:rowOff>
    </xdr:from>
    <xdr:to>
      <xdr:col>4</xdr:col>
      <xdr:colOff>257175</xdr:colOff>
      <xdr:row>26</xdr:row>
      <xdr:rowOff>157162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12</xdr:row>
      <xdr:rowOff>119062</xdr:rowOff>
    </xdr:from>
    <xdr:to>
      <xdr:col>12</xdr:col>
      <xdr:colOff>133350</xdr:colOff>
      <xdr:row>27</xdr:row>
      <xdr:rowOff>4762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1400175</xdr:colOff>
      <xdr:row>29</xdr:row>
      <xdr:rowOff>28575</xdr:rowOff>
    </xdr:from>
    <xdr:to>
      <xdr:col>8</xdr:col>
      <xdr:colOff>485775</xdr:colOff>
      <xdr:row>43</xdr:row>
      <xdr:rowOff>104775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M\Projetos%20TODO\Contax%20-%20Opera&#231;&#227;o\Contax%20-%20Plano%20de%20com,%20risco,%20proj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2276.693840509259" createdVersion="5" refreshedVersion="5" minRefreshableVersion="3" recordCount="4">
  <cacheSource type="worksheet">
    <worksheetSource ref="B2:J6" sheet="Problemas" r:id="rId2"/>
  </cacheSource>
  <cacheFields count="9">
    <cacheField name="ID" numFmtId="0">
      <sharedItems containsBlank="1"/>
    </cacheField>
    <cacheField name="Sintoma" numFmtId="0">
      <sharedItems containsBlank="1"/>
    </cacheField>
    <cacheField name="Plataforma" numFmtId="0">
      <sharedItems containsBlank="1"/>
    </cacheField>
    <cacheField name="Impacto (Pas)" numFmtId="0">
      <sharedItems containsBlank="1" containsMixedTypes="1" containsNumber="1" containsInteger="1" minValue="1400" maxValue="1400"/>
    </cacheField>
    <cacheField name="Incidentes associados (mês)" numFmtId="0">
      <sharedItems containsBlank="1" containsMixedTypes="1" containsNumber="1" containsInteger="1" minValue="150" maxValue="200"/>
    </cacheField>
    <cacheField name="Cliente / Operação" numFmtId="0">
      <sharedItems containsBlank="1"/>
    </cacheField>
    <cacheField name="GUT" numFmtId="0">
      <sharedItems containsBlank="1" containsMixedTypes="1" containsNumber="1" containsInteger="1" minValue="145" maxValue="150"/>
    </cacheField>
    <cacheField name="Status" numFmtId="0">
      <sharedItems count="3">
        <s v="Em andamento"/>
        <s v="Concluído"/>
        <s v="Stand by"/>
      </sharedItems>
    </cacheField>
    <cacheField name="Responsável (Ger. Prb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s v="2222-1"/>
    <s v="Ligações Mudas / Caixa Postal"/>
    <s v="ASPECT"/>
    <n v="1400"/>
    <n v="200"/>
    <s v="Cielo, Nextel e Santander"/>
    <n v="150"/>
    <x v="0"/>
    <s v="Julio Silva"/>
  </r>
  <r>
    <s v="3333-1"/>
    <s v="Não efetua discagem"/>
    <s v="ASPECT"/>
    <n v="1400"/>
    <n v="150"/>
    <s v="Cielo, Nextel e Santander"/>
    <n v="145"/>
    <x v="0"/>
    <s v="Rogerio Santos"/>
  </r>
  <r>
    <s v="xxxx-x"/>
    <s v="xxxxxxx"/>
    <s v="xxxx"/>
    <s v="xx"/>
    <s v="xx"/>
    <s v="xxxxx"/>
    <s v="xx"/>
    <x v="1"/>
    <s v="xxx"/>
  </r>
  <r>
    <m/>
    <m/>
    <m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Status">
  <location ref="C19:E23" firstHeaderRow="0" firstDataRow="1" firstDataCol="1"/>
  <pivotFields count="9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#" fld="1" subtotal="count" baseField="0" baseItem="0"/>
    <dataField name="%" fld="1" subtotal="count" showDataAs="percentOfTotal" baseField="7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7"/>
  <sheetViews>
    <sheetView workbookViewId="0">
      <selection activeCell="C9" sqref="C9"/>
    </sheetView>
  </sheetViews>
  <sheetFormatPr defaultRowHeight="15"/>
  <cols>
    <col min="2" max="2" width="21.140625" bestFit="1" customWidth="1"/>
    <col min="3" max="3" width="35.140625" bestFit="1" customWidth="1"/>
    <col min="6" max="6" width="10.5703125" bestFit="1" customWidth="1"/>
  </cols>
  <sheetData>
    <row r="3" spans="3:6" ht="15.75" thickBot="1"/>
    <row r="4" spans="3:6" ht="15.75">
      <c r="C4" s="3"/>
      <c r="D4" s="4" t="s">
        <v>6</v>
      </c>
      <c r="E4" s="4" t="s">
        <v>7</v>
      </c>
      <c r="F4" s="5" t="s">
        <v>8</v>
      </c>
    </row>
    <row r="5" spans="3:6" ht="15.75">
      <c r="C5" s="6" t="s">
        <v>9</v>
      </c>
      <c r="D5" s="2">
        <v>1519</v>
      </c>
      <c r="E5" s="2">
        <v>3830</v>
      </c>
      <c r="F5" s="7">
        <v>3065</v>
      </c>
    </row>
    <row r="6" spans="3:6" ht="15.75">
      <c r="C6" s="6" t="s">
        <v>4</v>
      </c>
      <c r="D6" s="9">
        <v>1.9444444444444445E-2</v>
      </c>
      <c r="E6" s="9">
        <v>7.6388888888888886E-3</v>
      </c>
      <c r="F6" s="9">
        <v>9.0277777777777787E-3</v>
      </c>
    </row>
    <row r="7" spans="3:6" ht="16.5" thickBot="1">
      <c r="C7" s="8" t="s">
        <v>5</v>
      </c>
      <c r="D7" s="9">
        <v>2.0923611111111113</v>
      </c>
      <c r="E7" s="9">
        <v>1.175</v>
      </c>
      <c r="F7" s="9">
        <v>1.1208333333333333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2"/>
  <sheetViews>
    <sheetView workbookViewId="0">
      <selection activeCell="B2" sqref="B2:I6"/>
    </sheetView>
  </sheetViews>
  <sheetFormatPr defaultRowHeight="15"/>
  <cols>
    <col min="1" max="1" width="9.140625" style="10"/>
    <col min="2" max="2" width="11" style="10" bestFit="1" customWidth="1"/>
    <col min="3" max="3" width="28.5703125" style="10" customWidth="1"/>
    <col min="4" max="4" width="10.7109375" style="10" bestFit="1" customWidth="1"/>
    <col min="5" max="5" width="13.85546875" style="10" customWidth="1"/>
    <col min="6" max="6" width="38.5703125" style="10" customWidth="1"/>
    <col min="7" max="7" width="6" style="10" bestFit="1" customWidth="1"/>
    <col min="8" max="8" width="16.7109375" style="10" customWidth="1"/>
    <col min="9" max="9" width="14.42578125" style="10" bestFit="1" customWidth="1"/>
    <col min="10" max="10" width="21.5703125" style="10" bestFit="1" customWidth="1"/>
    <col min="11" max="16384" width="9.140625" style="10"/>
  </cols>
  <sheetData>
    <row r="1" spans="2:9" ht="15.75" thickBot="1"/>
    <row r="2" spans="2:9" ht="45">
      <c r="B2" s="41" t="s">
        <v>13</v>
      </c>
      <c r="C2" s="42" t="s">
        <v>10</v>
      </c>
      <c r="D2" s="42" t="s">
        <v>11</v>
      </c>
      <c r="E2" s="42" t="s">
        <v>16</v>
      </c>
      <c r="F2" s="42" t="s">
        <v>12</v>
      </c>
      <c r="G2" s="42" t="s">
        <v>27</v>
      </c>
      <c r="H2" s="42" t="s">
        <v>1</v>
      </c>
      <c r="I2" s="43" t="s">
        <v>14</v>
      </c>
    </row>
    <row r="3" spans="2:9" ht="45.75" thickBot="1">
      <c r="B3" s="36">
        <v>2015092901</v>
      </c>
      <c r="C3" s="30" t="s">
        <v>52</v>
      </c>
      <c r="D3" s="30" t="s">
        <v>15</v>
      </c>
      <c r="E3" s="40">
        <v>5</v>
      </c>
      <c r="F3" s="30" t="s">
        <v>32</v>
      </c>
      <c r="G3" s="45">
        <f>5*5*5</f>
        <v>125</v>
      </c>
      <c r="H3" s="40" t="s">
        <v>50</v>
      </c>
      <c r="I3" s="35" t="s">
        <v>3</v>
      </c>
    </row>
    <row r="4" spans="2:9">
      <c r="B4" s="36">
        <v>2015092902</v>
      </c>
      <c r="C4" s="30" t="s">
        <v>33</v>
      </c>
      <c r="D4" s="30" t="s">
        <v>15</v>
      </c>
      <c r="E4" s="40" t="s">
        <v>29</v>
      </c>
      <c r="F4" s="30" t="s">
        <v>73</v>
      </c>
      <c r="G4" s="40" t="s">
        <v>29</v>
      </c>
      <c r="H4" s="40" t="s">
        <v>17</v>
      </c>
      <c r="I4" s="35" t="s">
        <v>3</v>
      </c>
    </row>
    <row r="5" spans="2:9">
      <c r="B5" s="36">
        <v>2015092903</v>
      </c>
      <c r="C5" s="30" t="s">
        <v>51</v>
      </c>
      <c r="D5" s="30" t="s">
        <v>15</v>
      </c>
      <c r="E5" s="40">
        <v>15</v>
      </c>
      <c r="F5" s="30" t="s">
        <v>76</v>
      </c>
      <c r="G5" s="40">
        <v>27</v>
      </c>
      <c r="H5" s="40" t="s">
        <v>50</v>
      </c>
      <c r="I5" s="35" t="s">
        <v>53</v>
      </c>
    </row>
    <row r="6" spans="2:9" ht="30.75" thickBot="1">
      <c r="B6" s="37">
        <v>2015093001</v>
      </c>
      <c r="C6" s="44" t="s">
        <v>59</v>
      </c>
      <c r="D6" s="44" t="s">
        <v>34</v>
      </c>
      <c r="E6" s="45" t="s">
        <v>75</v>
      </c>
      <c r="F6" s="44" t="s">
        <v>60</v>
      </c>
      <c r="G6" s="45">
        <f>5*5*5</f>
        <v>125</v>
      </c>
      <c r="H6" s="45" t="s">
        <v>17</v>
      </c>
      <c r="I6" s="39" t="s">
        <v>35</v>
      </c>
    </row>
    <row r="7" spans="2:9">
      <c r="H7" s="10" t="s">
        <v>19</v>
      </c>
    </row>
    <row r="8" spans="2:9">
      <c r="H8" s="10" t="s">
        <v>18</v>
      </c>
      <c r="I8" s="10" t="s">
        <v>0</v>
      </c>
    </row>
    <row r="10" spans="2:9" ht="15.75" thickBot="1"/>
    <row r="11" spans="2:9">
      <c r="C11" s="31" t="s">
        <v>1</v>
      </c>
      <c r="D11" s="32" t="s">
        <v>58</v>
      </c>
      <c r="E11" s="33" t="s">
        <v>21</v>
      </c>
    </row>
    <row r="12" spans="2:9">
      <c r="C12" s="34" t="s">
        <v>18</v>
      </c>
      <c r="D12" s="2">
        <v>0</v>
      </c>
      <c r="E12" s="35"/>
    </row>
    <row r="13" spans="2:9">
      <c r="C13" s="34" t="s">
        <v>57</v>
      </c>
      <c r="D13" s="2">
        <v>2</v>
      </c>
      <c r="E13" s="35"/>
    </row>
    <row r="14" spans="2:9">
      <c r="C14" s="36" t="s">
        <v>17</v>
      </c>
      <c r="D14" s="2">
        <v>2</v>
      </c>
      <c r="E14" s="35"/>
    </row>
    <row r="15" spans="2:9" ht="15.75" thickBot="1">
      <c r="C15" s="37" t="s">
        <v>19</v>
      </c>
      <c r="D15" s="38">
        <v>0</v>
      </c>
      <c r="E15" s="39"/>
    </row>
    <row r="16" spans="2:9">
      <c r="C16" s="1"/>
      <c r="D16" s="1"/>
    </row>
    <row r="17" spans="2:5">
      <c r="C17" s="1"/>
      <c r="D17" s="1"/>
    </row>
    <row r="18" spans="2:5">
      <c r="C18"/>
      <c r="D18"/>
    </row>
    <row r="19" spans="2:5">
      <c r="C19" s="11" t="s">
        <v>1</v>
      </c>
      <c r="D19" s="11" t="s">
        <v>2</v>
      </c>
      <c r="E19" s="1" t="s">
        <v>21</v>
      </c>
    </row>
    <row r="20" spans="2:5">
      <c r="B20"/>
      <c r="C20" s="12" t="s">
        <v>18</v>
      </c>
      <c r="D20" s="13">
        <v>1</v>
      </c>
      <c r="E20" s="14">
        <v>0.33333333333333331</v>
      </c>
    </row>
    <row r="21" spans="2:5">
      <c r="B21"/>
      <c r="C21" s="12" t="s">
        <v>17</v>
      </c>
      <c r="D21" s="13">
        <v>2</v>
      </c>
      <c r="E21" s="14">
        <v>0.66666666666666663</v>
      </c>
    </row>
    <row r="22" spans="2:5">
      <c r="B22"/>
      <c r="C22" s="12" t="s">
        <v>19</v>
      </c>
      <c r="D22" s="13"/>
      <c r="E22" s="14">
        <v>0</v>
      </c>
    </row>
    <row r="23" spans="2:5">
      <c r="B23"/>
      <c r="C23" s="12" t="s">
        <v>20</v>
      </c>
      <c r="D23" s="13">
        <v>3</v>
      </c>
      <c r="E23" s="14">
        <v>1</v>
      </c>
    </row>
    <row r="24" spans="2:5">
      <c r="B24"/>
      <c r="C24"/>
      <c r="D24"/>
    </row>
    <row r="25" spans="2:5">
      <c r="B25"/>
      <c r="C25"/>
      <c r="D25"/>
    </row>
    <row r="26" spans="2:5">
      <c r="B26"/>
      <c r="C26"/>
      <c r="D26"/>
    </row>
    <row r="27" spans="2:5">
      <c r="B27"/>
    </row>
    <row r="28" spans="2:5">
      <c r="B28"/>
    </row>
    <row r="29" spans="2:5">
      <c r="B29"/>
    </row>
    <row r="30" spans="2:5">
      <c r="B30"/>
    </row>
    <row r="31" spans="2:5">
      <c r="B31"/>
    </row>
    <row r="32" spans="2:5">
      <c r="B32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"/>
  <sheetViews>
    <sheetView showGridLines="0" tabSelected="1" workbookViewId="0">
      <selection activeCell="C13" sqref="C13:N13"/>
    </sheetView>
  </sheetViews>
  <sheetFormatPr defaultRowHeight="15"/>
  <cols>
    <col min="2" max="2" width="13.140625" customWidth="1"/>
    <col min="14" max="14" width="24.85546875" customWidth="1"/>
  </cols>
  <sheetData>
    <row r="2" spans="2:14" ht="15.75" thickBot="1"/>
    <row r="3" spans="2:14" ht="15.75" thickBot="1">
      <c r="B3" s="22" t="s">
        <v>22</v>
      </c>
      <c r="C3" s="27" t="s">
        <v>31</v>
      </c>
      <c r="D3" s="28"/>
      <c r="E3" s="28"/>
      <c r="F3" s="28"/>
      <c r="G3" s="28"/>
      <c r="H3" s="28"/>
      <c r="I3" s="28"/>
      <c r="J3" s="28"/>
      <c r="K3" s="28"/>
      <c r="L3" s="28"/>
      <c r="M3" s="29"/>
      <c r="N3" s="23" t="s">
        <v>49</v>
      </c>
    </row>
    <row r="4" spans="2:14">
      <c r="B4" s="15" t="s">
        <v>23</v>
      </c>
      <c r="C4" s="16" t="s">
        <v>15</v>
      </c>
      <c r="D4" s="16"/>
      <c r="E4" s="16"/>
      <c r="G4" s="16"/>
      <c r="H4" s="17" t="s">
        <v>39</v>
      </c>
      <c r="I4" s="16"/>
      <c r="J4" s="16"/>
      <c r="K4" s="16"/>
      <c r="L4" s="16"/>
      <c r="M4" s="16"/>
      <c r="N4" s="18"/>
    </row>
    <row r="5" spans="2:14">
      <c r="B5" s="15" t="s">
        <v>24</v>
      </c>
      <c r="C5" s="16" t="s">
        <v>50</v>
      </c>
      <c r="D5" s="16"/>
      <c r="E5" s="16"/>
      <c r="H5" s="17" t="s">
        <v>43</v>
      </c>
      <c r="I5" s="16" t="s">
        <v>28</v>
      </c>
      <c r="J5" s="16"/>
      <c r="K5" s="16"/>
      <c r="L5" s="16"/>
      <c r="M5" s="16"/>
      <c r="N5" s="18"/>
    </row>
    <row r="6" spans="2:14">
      <c r="B6" s="15" t="s">
        <v>25</v>
      </c>
      <c r="C6" s="16" t="s">
        <v>3</v>
      </c>
      <c r="D6" s="16"/>
      <c r="E6" s="16"/>
      <c r="H6" s="17" t="s">
        <v>44</v>
      </c>
      <c r="I6" s="16" t="s">
        <v>40</v>
      </c>
      <c r="J6" s="16"/>
      <c r="K6" s="16"/>
      <c r="L6" s="16"/>
      <c r="M6" s="16"/>
      <c r="N6" s="18"/>
    </row>
    <row r="7" spans="2:14">
      <c r="B7" s="15" t="s">
        <v>36</v>
      </c>
      <c r="C7" s="16" t="s">
        <v>38</v>
      </c>
      <c r="D7" s="16"/>
      <c r="E7" s="16"/>
      <c r="G7" s="16"/>
      <c r="H7" s="17" t="s">
        <v>45</v>
      </c>
      <c r="I7" s="16"/>
      <c r="J7" s="16" t="s">
        <v>30</v>
      </c>
      <c r="K7" s="16"/>
      <c r="L7" s="16"/>
      <c r="M7" s="16"/>
      <c r="N7" s="18"/>
    </row>
    <row r="8" spans="2:14" ht="15.75" thickBot="1">
      <c r="B8" s="20" t="s">
        <v>37</v>
      </c>
      <c r="C8" s="19">
        <v>5</v>
      </c>
      <c r="D8" s="16"/>
      <c r="E8" s="16"/>
      <c r="G8" s="16"/>
      <c r="H8" s="17" t="s">
        <v>26</v>
      </c>
      <c r="I8" s="19">
        <v>15</v>
      </c>
      <c r="J8" s="16"/>
      <c r="K8" s="16"/>
      <c r="L8" s="16"/>
      <c r="M8" s="16"/>
      <c r="N8" s="18"/>
    </row>
    <row r="9" spans="2:14" s="1" customFormat="1" ht="6.75" customHeight="1" thickBot="1"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</row>
    <row r="10" spans="2:14" ht="7.5" customHeight="1"/>
    <row r="11" spans="2:14" ht="33.75" customHeight="1">
      <c r="B11" s="21" t="s">
        <v>47</v>
      </c>
      <c r="C11" s="25" t="s">
        <v>78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2:14" ht="105.75" customHeight="1">
      <c r="B12" s="49" t="s">
        <v>79</v>
      </c>
      <c r="C12" s="25" t="s">
        <v>83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2:14" s="1" customFormat="1" ht="79.5" customHeight="1">
      <c r="B13" s="21" t="s">
        <v>48</v>
      </c>
      <c r="C13" s="25" t="s">
        <v>82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2:14" s="1" customFormat="1" ht="79.5" customHeight="1">
      <c r="B14" s="49" t="s">
        <v>80</v>
      </c>
      <c r="C14" s="25" t="s">
        <v>81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</sheetData>
  <mergeCells count="6">
    <mergeCell ref="C14:N14"/>
    <mergeCell ref="C13:N13"/>
    <mergeCell ref="C11:N11"/>
    <mergeCell ref="C12:N12"/>
    <mergeCell ref="B9:N9"/>
    <mergeCell ref="C3:M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2"/>
  <sheetViews>
    <sheetView workbookViewId="0">
      <selection activeCell="C5" sqref="C5"/>
    </sheetView>
  </sheetViews>
  <sheetFormatPr defaultRowHeight="15"/>
  <cols>
    <col min="1" max="1" width="9.140625" style="1"/>
    <col min="2" max="2" width="13.140625" style="1" customWidth="1"/>
    <col min="3" max="13" width="9.140625" style="1"/>
    <col min="14" max="14" width="15.7109375" style="1" customWidth="1"/>
    <col min="15" max="16384" width="9.140625" style="1"/>
  </cols>
  <sheetData>
    <row r="2" spans="2:14" ht="15.75" thickBot="1"/>
    <row r="3" spans="2:14" ht="15.75" thickBot="1">
      <c r="B3" s="22" t="s">
        <v>22</v>
      </c>
      <c r="C3" s="27" t="s">
        <v>69</v>
      </c>
      <c r="D3" s="28"/>
      <c r="E3" s="28"/>
      <c r="F3" s="28"/>
      <c r="G3" s="28"/>
      <c r="H3" s="28"/>
      <c r="I3" s="28"/>
      <c r="J3" s="28"/>
      <c r="K3" s="28"/>
      <c r="L3" s="29"/>
      <c r="M3" s="22" t="s">
        <v>46</v>
      </c>
      <c r="N3" s="23">
        <v>42276</v>
      </c>
    </row>
    <row r="4" spans="2:14">
      <c r="B4" s="15" t="s">
        <v>23</v>
      </c>
      <c r="C4" s="16" t="s">
        <v>15</v>
      </c>
      <c r="D4" s="16"/>
      <c r="E4" s="16"/>
      <c r="G4" s="16"/>
      <c r="H4" s="17" t="s">
        <v>39</v>
      </c>
      <c r="I4" s="16"/>
      <c r="J4" s="16"/>
      <c r="K4" s="16"/>
      <c r="L4" s="16"/>
      <c r="M4" s="16"/>
      <c r="N4" s="18"/>
    </row>
    <row r="5" spans="2:14">
      <c r="B5" s="15" t="s">
        <v>24</v>
      </c>
      <c r="C5" s="16" t="s">
        <v>17</v>
      </c>
      <c r="D5" s="16"/>
      <c r="E5" s="16"/>
      <c r="H5" s="17" t="s">
        <v>43</v>
      </c>
      <c r="I5" t="s">
        <v>73</v>
      </c>
      <c r="J5" s="16"/>
      <c r="K5" s="16"/>
      <c r="L5" s="16"/>
      <c r="M5" s="16"/>
      <c r="N5" s="18"/>
    </row>
    <row r="6" spans="2:14">
      <c r="B6" s="15" t="s">
        <v>25</v>
      </c>
      <c r="C6" s="16" t="s">
        <v>3</v>
      </c>
      <c r="D6" s="16"/>
      <c r="E6" s="16"/>
      <c r="H6" s="17" t="s">
        <v>44</v>
      </c>
      <c r="I6" s="16" t="s">
        <v>55</v>
      </c>
      <c r="J6" s="16"/>
      <c r="K6" s="16"/>
      <c r="L6" s="16"/>
      <c r="M6" s="16"/>
      <c r="N6" s="18"/>
    </row>
    <row r="7" spans="2:14">
      <c r="B7" s="15" t="s">
        <v>36</v>
      </c>
      <c r="C7" s="16" t="s">
        <v>38</v>
      </c>
      <c r="D7" s="16"/>
      <c r="E7" s="16"/>
      <c r="G7" s="16"/>
      <c r="H7" s="17" t="s">
        <v>45</v>
      </c>
      <c r="I7" s="16"/>
      <c r="J7" s="16" t="s">
        <v>70</v>
      </c>
      <c r="K7" s="16"/>
      <c r="L7" s="16"/>
      <c r="M7" s="16"/>
      <c r="N7" s="18"/>
    </row>
    <row r="8" spans="2:14" ht="15.75" thickBot="1">
      <c r="B8" s="20" t="s">
        <v>37</v>
      </c>
      <c r="C8" s="19">
        <v>15</v>
      </c>
      <c r="D8" s="16"/>
      <c r="E8" s="16"/>
      <c r="G8" s="16"/>
      <c r="H8" s="17" t="s">
        <v>26</v>
      </c>
      <c r="I8" s="16">
        <v>6</v>
      </c>
      <c r="J8" s="16"/>
      <c r="K8" s="16"/>
      <c r="L8" s="16"/>
      <c r="M8" s="16"/>
      <c r="N8" s="18"/>
    </row>
    <row r="9" spans="2:14" ht="9" customHeight="1" thickBot="1"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</row>
    <row r="10" spans="2:14" ht="7.5" customHeight="1"/>
    <row r="11" spans="2:14" ht="78.75" customHeight="1">
      <c r="B11" s="21" t="s">
        <v>47</v>
      </c>
      <c r="C11" s="25" t="s">
        <v>71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2:14" ht="87.75" customHeight="1">
      <c r="B12" s="49" t="s">
        <v>79</v>
      </c>
      <c r="C12" s="25" t="s">
        <v>72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</sheetData>
  <mergeCells count="4">
    <mergeCell ref="C3:L3"/>
    <mergeCell ref="B9:N9"/>
    <mergeCell ref="C11:N11"/>
    <mergeCell ref="C12:N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2"/>
  <sheetViews>
    <sheetView workbookViewId="0">
      <selection activeCell="C12" sqref="C12:N12"/>
    </sheetView>
  </sheetViews>
  <sheetFormatPr defaultRowHeight="15"/>
  <cols>
    <col min="1" max="1" width="9.140625" style="1"/>
    <col min="2" max="2" width="13.140625" style="1" customWidth="1"/>
    <col min="3" max="13" width="9.140625" style="1"/>
    <col min="14" max="14" width="15.7109375" style="1" customWidth="1"/>
    <col min="15" max="16384" width="9.140625" style="1"/>
  </cols>
  <sheetData>
    <row r="2" spans="2:14" ht="15.75" thickBot="1"/>
    <row r="3" spans="2:14" ht="15.75" thickBot="1">
      <c r="B3" s="22" t="s">
        <v>22</v>
      </c>
      <c r="C3" s="27" t="s">
        <v>54</v>
      </c>
      <c r="D3" s="28"/>
      <c r="E3" s="28"/>
      <c r="F3" s="28"/>
      <c r="G3" s="28"/>
      <c r="H3" s="28"/>
      <c r="I3" s="28"/>
      <c r="J3" s="28"/>
      <c r="K3" s="28"/>
      <c r="L3" s="29"/>
      <c r="M3" s="22" t="s">
        <v>46</v>
      </c>
      <c r="N3" s="23">
        <v>42276</v>
      </c>
    </row>
    <row r="4" spans="2:14">
      <c r="B4" s="15" t="s">
        <v>23</v>
      </c>
      <c r="C4" s="16" t="s">
        <v>15</v>
      </c>
      <c r="D4" s="16"/>
      <c r="E4" s="16"/>
      <c r="G4" s="16"/>
      <c r="H4" s="17" t="s">
        <v>39</v>
      </c>
      <c r="I4" s="16"/>
      <c r="J4" s="16"/>
      <c r="K4" s="16"/>
      <c r="L4" s="16"/>
      <c r="M4" s="16"/>
      <c r="N4" s="18"/>
    </row>
    <row r="5" spans="2:14">
      <c r="B5" s="15" t="s">
        <v>24</v>
      </c>
      <c r="C5" s="16" t="s">
        <v>50</v>
      </c>
      <c r="D5" s="16"/>
      <c r="E5" s="16"/>
      <c r="H5" s="17" t="s">
        <v>43</v>
      </c>
      <c r="I5" s="1" t="s">
        <v>56</v>
      </c>
      <c r="J5" s="16"/>
      <c r="K5" s="16"/>
      <c r="L5" s="16"/>
      <c r="M5" s="16"/>
      <c r="N5" s="18"/>
    </row>
    <row r="6" spans="2:14">
      <c r="B6" s="15" t="s">
        <v>25</v>
      </c>
      <c r="C6" s="16" t="s">
        <v>53</v>
      </c>
      <c r="D6" s="16"/>
      <c r="E6" s="16"/>
      <c r="H6" s="17" t="s">
        <v>44</v>
      </c>
      <c r="I6" s="16" t="s">
        <v>55</v>
      </c>
      <c r="J6" s="16"/>
      <c r="K6" s="16"/>
      <c r="L6" s="16"/>
      <c r="M6" s="16"/>
      <c r="N6" s="18"/>
    </row>
    <row r="7" spans="2:14">
      <c r="B7" s="15" t="s">
        <v>36</v>
      </c>
      <c r="C7" s="16" t="s">
        <v>38</v>
      </c>
      <c r="D7" s="16"/>
      <c r="E7" s="16"/>
      <c r="G7" s="16"/>
      <c r="H7" s="17" t="s">
        <v>45</v>
      </c>
      <c r="I7" s="16"/>
      <c r="J7" s="16" t="s">
        <v>0</v>
      </c>
      <c r="K7" s="16"/>
      <c r="L7" s="16"/>
      <c r="M7" s="16"/>
      <c r="N7" s="18"/>
    </row>
    <row r="8" spans="2:14" ht="15.75" thickBot="1">
      <c r="B8" s="20" t="s">
        <v>37</v>
      </c>
      <c r="C8" s="19">
        <v>5</v>
      </c>
      <c r="D8" s="16"/>
      <c r="E8" s="16"/>
      <c r="G8" s="16"/>
      <c r="H8" s="17" t="s">
        <v>26</v>
      </c>
      <c r="I8" s="24">
        <v>27</v>
      </c>
      <c r="J8" s="16"/>
      <c r="K8" s="16"/>
      <c r="L8" s="16"/>
      <c r="M8" s="16"/>
      <c r="N8" s="18"/>
    </row>
    <row r="9" spans="2:14" ht="6.75" customHeight="1" thickBot="1"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</row>
    <row r="10" spans="2:14" ht="7.5" customHeight="1"/>
    <row r="11" spans="2:14" ht="91.5" customHeight="1">
      <c r="B11" s="21" t="s">
        <v>41</v>
      </c>
      <c r="C11" s="25" t="s">
        <v>77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2:14" ht="105" customHeight="1">
      <c r="B12" s="21" t="s">
        <v>42</v>
      </c>
      <c r="C12" s="25" t="s">
        <v>86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</sheetData>
  <mergeCells count="4">
    <mergeCell ref="C3:L3"/>
    <mergeCell ref="B9:N9"/>
    <mergeCell ref="C11:N11"/>
    <mergeCell ref="C12:N1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"/>
  <sheetViews>
    <sheetView zoomScale="87" zoomScaleNormal="87" workbookViewId="0">
      <selection activeCell="C14" sqref="C14:N14"/>
    </sheetView>
  </sheetViews>
  <sheetFormatPr defaultRowHeight="15"/>
  <cols>
    <col min="1" max="1" width="9.140625" style="1"/>
    <col min="2" max="2" width="13.140625" style="1" customWidth="1"/>
    <col min="3" max="13" width="9.140625" style="1"/>
    <col min="14" max="14" width="24.85546875" style="1" customWidth="1"/>
    <col min="15" max="16384" width="9.140625" style="1"/>
  </cols>
  <sheetData>
    <row r="2" spans="2:14" ht="15.75" thickBot="1"/>
    <row r="3" spans="2:14" ht="15.75" thickBot="1">
      <c r="B3" s="22" t="s">
        <v>22</v>
      </c>
      <c r="C3" s="27" t="s">
        <v>61</v>
      </c>
      <c r="D3" s="28"/>
      <c r="E3" s="28"/>
      <c r="F3" s="28"/>
      <c r="G3" s="28"/>
      <c r="H3" s="28"/>
      <c r="I3" s="28"/>
      <c r="J3" s="28"/>
      <c r="K3" s="28"/>
      <c r="L3" s="28"/>
      <c r="M3" s="29"/>
      <c r="N3" s="23" t="s">
        <v>74</v>
      </c>
    </row>
    <row r="4" spans="2:14">
      <c r="B4" s="15" t="s">
        <v>23</v>
      </c>
      <c r="C4" s="16" t="s">
        <v>34</v>
      </c>
      <c r="D4" s="16"/>
      <c r="E4" s="16"/>
      <c r="G4" s="16"/>
      <c r="H4" s="17" t="s">
        <v>39</v>
      </c>
      <c r="I4" s="16"/>
      <c r="J4" s="16"/>
      <c r="K4" s="16"/>
      <c r="L4" s="16"/>
      <c r="M4" s="16"/>
      <c r="N4" s="18"/>
    </row>
    <row r="5" spans="2:14">
      <c r="B5" s="15" t="s">
        <v>24</v>
      </c>
      <c r="C5" s="16" t="s">
        <v>17</v>
      </c>
      <c r="D5" s="16"/>
      <c r="E5" s="16"/>
      <c r="H5" s="17" t="s">
        <v>43</v>
      </c>
      <c r="I5" s="16" t="s">
        <v>62</v>
      </c>
      <c r="J5" s="16"/>
      <c r="K5" s="16"/>
      <c r="L5" s="16"/>
      <c r="M5" s="16"/>
      <c r="N5" s="18"/>
    </row>
    <row r="6" spans="2:14">
      <c r="B6" s="15" t="s">
        <v>25</v>
      </c>
      <c r="C6" s="16" t="s">
        <v>35</v>
      </c>
      <c r="D6" s="16"/>
      <c r="E6" s="16"/>
      <c r="H6" s="17" t="s">
        <v>43</v>
      </c>
      <c r="I6" s="1" t="s">
        <v>63</v>
      </c>
      <c r="J6" s="16"/>
      <c r="K6" s="16"/>
      <c r="L6" s="16"/>
      <c r="M6" s="16"/>
      <c r="N6" s="18"/>
    </row>
    <row r="7" spans="2:14">
      <c r="B7" s="15" t="s">
        <v>36</v>
      </c>
      <c r="C7" s="16" t="s">
        <v>68</v>
      </c>
      <c r="D7" s="16"/>
      <c r="E7" s="16"/>
      <c r="G7" s="16"/>
      <c r="H7" s="17" t="s">
        <v>44</v>
      </c>
      <c r="I7" s="16"/>
      <c r="J7" s="16" t="s">
        <v>0</v>
      </c>
      <c r="K7" s="16"/>
      <c r="L7" s="16"/>
      <c r="M7" s="16"/>
      <c r="N7" s="18"/>
    </row>
    <row r="8" spans="2:14">
      <c r="B8" s="20" t="s">
        <v>37</v>
      </c>
      <c r="C8" s="19">
        <v>5</v>
      </c>
      <c r="D8" s="16"/>
      <c r="E8" s="16"/>
      <c r="G8" s="16"/>
      <c r="H8" s="17" t="s">
        <v>45</v>
      </c>
      <c r="I8" s="16"/>
      <c r="J8" s="16"/>
      <c r="K8" s="16"/>
      <c r="L8" s="16"/>
      <c r="M8" s="16"/>
      <c r="N8" s="18"/>
    </row>
    <row r="9" spans="2:14" ht="15.75" thickBot="1">
      <c r="B9" s="20"/>
      <c r="C9" s="19"/>
      <c r="D9" s="16"/>
      <c r="E9" s="16"/>
      <c r="G9" s="16"/>
      <c r="H9" s="17" t="s">
        <v>26</v>
      </c>
      <c r="I9" s="19">
        <f>5*5*5</f>
        <v>125</v>
      </c>
      <c r="J9" s="16"/>
      <c r="K9" s="16"/>
      <c r="L9" s="16"/>
      <c r="M9" s="16"/>
      <c r="N9" s="18"/>
    </row>
    <row r="10" spans="2:14" ht="6.75" customHeight="1" thickBot="1"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8"/>
    </row>
    <row r="11" spans="2:14" ht="105" customHeight="1">
      <c r="B11" s="21" t="s">
        <v>47</v>
      </c>
      <c r="C11" s="25" t="s">
        <v>65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2:14" ht="133.5" customHeight="1">
      <c r="B12" s="49" t="s">
        <v>64</v>
      </c>
      <c r="C12" s="25" t="s">
        <v>84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2:14" ht="47.25" customHeight="1">
      <c r="B13" s="21" t="s">
        <v>48</v>
      </c>
      <c r="C13" s="25" t="s">
        <v>66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2:14" ht="106.5" customHeight="1">
      <c r="B14" s="49" t="s">
        <v>67</v>
      </c>
      <c r="C14" s="25" t="s">
        <v>85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</sheetData>
  <mergeCells count="6">
    <mergeCell ref="C12:N12"/>
    <mergeCell ref="C14:N14"/>
    <mergeCell ref="C3:M3"/>
    <mergeCell ref="B10:N10"/>
    <mergeCell ref="C11:N11"/>
    <mergeCell ref="C13:N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Indicadores</vt:lpstr>
      <vt:lpstr>Problemas</vt:lpstr>
      <vt:lpstr>201509281 </vt:lpstr>
      <vt:lpstr>201509282</vt:lpstr>
      <vt:lpstr>2015092803</vt:lpstr>
      <vt:lpstr>2015093001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2015-10-01T20:16:45Z</dcterms:modified>
</cp:coreProperties>
</file>