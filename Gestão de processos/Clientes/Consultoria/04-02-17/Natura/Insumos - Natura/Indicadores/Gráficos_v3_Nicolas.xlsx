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4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80" windowWidth="21480" windowHeight="9720" activeTab="6"/>
  </bookViews>
  <sheets>
    <sheet name="Plan1" sheetId="1" r:id="rId1"/>
    <sheet name="Plan2" sheetId="2" r:id="rId2"/>
    <sheet name="Plan3" sheetId="3" r:id="rId3"/>
    <sheet name="Gráficos V2" sheetId="4" r:id="rId4"/>
    <sheet name="Gráficos V3" sheetId="5" r:id="rId5"/>
    <sheet name="% SLA e AGING" sheetId="8" r:id="rId6"/>
    <sheet name="PRIORIDADE VS AGING" sheetId="9" r:id="rId7"/>
  </sheets>
  <definedNames>
    <definedName name="_xlnm._FilterDatabase" localSheetId="5" hidden="1">'% SLA e AGING'!$B$3:$AF$24</definedName>
    <definedName name="_xlnm._FilterDatabase" localSheetId="6" hidden="1">'PRIORIDADE VS AGING'!$B$4:$Q$25</definedName>
  </definedNames>
  <calcPr calcId="145621"/>
</workbook>
</file>

<file path=xl/calcChain.xml><?xml version="1.0" encoding="utf-8"?>
<calcChain xmlns="http://schemas.openxmlformats.org/spreadsheetml/2006/main">
  <c r="F294" i="5" l="1"/>
  <c r="I284" i="5"/>
  <c r="G284" i="5"/>
  <c r="I283" i="5"/>
  <c r="G283" i="5"/>
  <c r="I282" i="5"/>
  <c r="G282" i="5"/>
  <c r="J249" i="5"/>
  <c r="I248" i="5"/>
  <c r="H248" i="5"/>
  <c r="G248" i="5"/>
  <c r="F248" i="5"/>
  <c r="F222" i="5"/>
  <c r="G222" i="5" s="1"/>
  <c r="H222" i="5" s="1"/>
  <c r="I222" i="5" s="1"/>
  <c r="I221" i="5"/>
  <c r="H221" i="5"/>
  <c r="G221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F101" i="4"/>
  <c r="I91" i="4"/>
  <c r="G91" i="4"/>
  <c r="I90" i="4"/>
  <c r="G90" i="4"/>
  <c r="I89" i="4"/>
  <c r="G89" i="4"/>
  <c r="J55" i="4"/>
  <c r="I55" i="4"/>
  <c r="H55" i="4"/>
  <c r="G55" i="4"/>
  <c r="F55" i="4"/>
  <c r="I29" i="4"/>
  <c r="H29" i="4"/>
  <c r="G29" i="4"/>
  <c r="F29" i="4"/>
  <c r="I28" i="4"/>
  <c r="H28" i="4"/>
  <c r="G28" i="4"/>
  <c r="J6" i="4"/>
  <c r="I6" i="4"/>
  <c r="H6" i="4"/>
  <c r="G6" i="4"/>
  <c r="F6" i="4"/>
  <c r="J5" i="4"/>
  <c r="I5" i="4"/>
  <c r="H5" i="4"/>
  <c r="G5" i="4"/>
  <c r="F5" i="4"/>
  <c r="I27" i="3"/>
  <c r="I26" i="3"/>
  <c r="I25" i="3"/>
  <c r="I24" i="3"/>
  <c r="I23" i="3"/>
  <c r="J20" i="3"/>
  <c r="J19" i="3"/>
  <c r="J18" i="3"/>
  <c r="J17" i="3"/>
  <c r="C17" i="3"/>
  <c r="J16" i="3"/>
  <c r="D16" i="3"/>
  <c r="D15" i="3"/>
  <c r="C14" i="3"/>
  <c r="J13" i="3"/>
  <c r="D13" i="3"/>
  <c r="J12" i="3"/>
  <c r="D12" i="3"/>
  <c r="J11" i="3"/>
  <c r="C11" i="3"/>
  <c r="J10" i="3"/>
  <c r="D10" i="3"/>
  <c r="J9" i="3"/>
  <c r="D9" i="3"/>
  <c r="C8" i="3"/>
  <c r="R7" i="3"/>
  <c r="D7" i="3"/>
  <c r="R6" i="3"/>
  <c r="J6" i="3"/>
  <c r="D6" i="3"/>
  <c r="R5" i="3"/>
  <c r="J5" i="3"/>
  <c r="C5" i="3"/>
  <c r="R4" i="3"/>
  <c r="J4" i="3"/>
  <c r="D4" i="3"/>
  <c r="R3" i="3"/>
  <c r="J3" i="3"/>
  <c r="D3" i="3"/>
  <c r="J2" i="3"/>
  <c r="D45" i="1"/>
  <c r="D44" i="1"/>
</calcChain>
</file>

<file path=xl/comments1.xml><?xml version="1.0" encoding="utf-8"?>
<comments xmlns="http://schemas.openxmlformats.org/spreadsheetml/2006/main">
  <authors>
    <author>Nicolás Torre</author>
    <author>br93826</author>
  </authors>
  <commentList>
    <comment ref="D3" authorId="0">
      <text>
        <r>
          <rPr>
            <b/>
            <sz val="9"/>
            <color indexed="81"/>
            <rFont val="Tahoma"/>
            <family val="2"/>
          </rPr>
          <t>abertura e resolução no mês</t>
        </r>
      </text>
    </comment>
    <comment ref="G3" authorId="0">
      <text>
        <r>
          <rPr>
            <b/>
            <sz val="9"/>
            <color indexed="81"/>
            <rFont val="Tahoma"/>
            <family val="2"/>
          </rPr>
          <t>abertura em qualquer mês e resolução mês corrente.</t>
        </r>
      </text>
    </comment>
    <comment ref="J3" authorId="0">
      <text>
        <r>
          <rPr>
            <b/>
            <sz val="9"/>
            <color indexed="81"/>
            <rFont val="Tahoma"/>
            <family val="2"/>
          </rPr>
          <t>Abertos no mês e # de resolução total. A diferença com a "abertura mês", é o backlog.</t>
        </r>
      </text>
    </comment>
    <comment ref="N3" authorId="0">
      <text>
        <r>
          <rPr>
            <b/>
            <sz val="9"/>
            <color indexed="81"/>
            <rFont val="Tahoma"/>
            <family val="2"/>
          </rPr>
          <t>abertura e resolução no mês</t>
        </r>
      </text>
    </comment>
    <comment ref="Q3" authorId="0">
      <text>
        <r>
          <rPr>
            <b/>
            <sz val="9"/>
            <color indexed="81"/>
            <rFont val="Tahoma"/>
            <family val="2"/>
          </rPr>
          <t>abertura em qualquer mês e resolução mês corrente.</t>
        </r>
      </text>
    </comment>
    <comment ref="T3" authorId="0">
      <text>
        <r>
          <rPr>
            <b/>
            <sz val="9"/>
            <color indexed="81"/>
            <rFont val="Tahoma"/>
            <family val="2"/>
          </rPr>
          <t>Abertos no mês e # de resolução total. A diferença com a "abertura mês", é o backlog.</t>
        </r>
      </text>
    </comment>
    <comment ref="X3" authorId="0">
      <text>
        <r>
          <rPr>
            <b/>
            <sz val="9"/>
            <color indexed="81"/>
            <rFont val="Tahoma"/>
            <family val="2"/>
          </rPr>
          <t>abertura e resolução no mês</t>
        </r>
      </text>
    </comment>
    <comment ref="AA3" authorId="0">
      <text>
        <r>
          <rPr>
            <b/>
            <sz val="9"/>
            <color indexed="81"/>
            <rFont val="Tahoma"/>
            <family val="2"/>
          </rPr>
          <t>abertura em qualquer mês e resolução mês corrente.</t>
        </r>
      </text>
    </comment>
    <comment ref="AD3" authorId="0">
      <text>
        <r>
          <rPr>
            <b/>
            <sz val="9"/>
            <color indexed="81"/>
            <rFont val="Tahoma"/>
            <family val="2"/>
          </rPr>
          <t>Abertos no mês e # de resolução total. A diferença com a "abertura mês", é o backlog.</t>
        </r>
      </text>
    </comment>
    <comment ref="D28" authorId="0">
      <text>
        <r>
          <rPr>
            <b/>
            <sz val="9"/>
            <color indexed="81"/>
            <rFont val="Tahoma"/>
            <family val="2"/>
          </rPr>
          <t>abertura e resolução no mês</t>
        </r>
      </text>
    </comment>
    <comment ref="F28" authorId="1">
      <text>
        <r>
          <rPr>
            <b/>
            <sz val="9"/>
            <color indexed="81"/>
            <rFont val="Tahoma"/>
            <family val="2"/>
          </rPr>
          <t>abertura em qualquer mês e resolução mês corrente.</t>
        </r>
      </text>
    </comment>
    <comment ref="H28" authorId="1">
      <text>
        <r>
          <rPr>
            <b/>
            <sz val="9"/>
            <color indexed="81"/>
            <rFont val="Tahoma"/>
            <family val="2"/>
          </rPr>
          <t>Abertos no mês e # de resolução total. A diferença com a "abertura mês", é o backlog.</t>
        </r>
      </text>
    </comment>
    <comment ref="M28" authorId="1">
      <text>
        <r>
          <rPr>
            <b/>
            <sz val="9"/>
            <color indexed="81"/>
            <rFont val="Tahoma"/>
            <family val="2"/>
          </rPr>
          <t>abertura em qualquer mês e resolução mês corrente.</t>
        </r>
      </text>
    </comment>
    <comment ref="O28" authorId="1">
      <text>
        <r>
          <rPr>
            <b/>
            <sz val="9"/>
            <color indexed="81"/>
            <rFont val="Tahoma"/>
            <family val="2"/>
          </rPr>
          <t>Abertos no mês e # de resolução total. A diferença com a "abertura mês", é o backlog.</t>
        </r>
      </text>
    </comment>
    <comment ref="T28" authorId="1">
      <text>
        <r>
          <rPr>
            <b/>
            <sz val="9"/>
            <color indexed="81"/>
            <rFont val="Tahoma"/>
            <family val="2"/>
          </rPr>
          <t>abertura em qualquer mês e resolução mês corrente.</t>
        </r>
      </text>
    </comment>
    <comment ref="V28" authorId="1">
      <text>
        <r>
          <rPr>
            <b/>
            <sz val="9"/>
            <color indexed="81"/>
            <rFont val="Tahoma"/>
            <family val="2"/>
          </rPr>
          <t>Abertos no mês e # de resolução total. A diferença com a "abertura mês", é o backlog.</t>
        </r>
      </text>
    </comment>
  </commentList>
</comments>
</file>

<file path=xl/comments2.xml><?xml version="1.0" encoding="utf-8"?>
<comments xmlns="http://schemas.openxmlformats.org/spreadsheetml/2006/main">
  <authors>
    <author>Nicolás Torre</author>
    <author>br93826</author>
  </authors>
  <commentList>
    <comment ref="B4" authorId="0">
      <text>
        <r>
          <rPr>
            <b/>
            <sz val="9"/>
            <color indexed="81"/>
            <rFont val="Tahoma"/>
            <family val="2"/>
          </rPr>
          <t>abertura e resolução no mês</t>
        </r>
      </text>
    </comment>
    <comment ref="F4" authorId="0">
      <text>
        <r>
          <rPr>
            <b/>
            <sz val="9"/>
            <color indexed="81"/>
            <rFont val="Tahoma"/>
            <family val="2"/>
          </rPr>
          <t>abertura e resolução no mês</t>
        </r>
      </text>
    </comment>
    <comment ref="H4" authorId="1">
      <text>
        <r>
          <rPr>
            <b/>
            <sz val="9"/>
            <color indexed="81"/>
            <rFont val="Tahoma"/>
            <family val="2"/>
          </rPr>
          <t>Abertos no mês e # de resolução total. A diferença com a "abertura mês", é o backlog.</t>
        </r>
      </text>
    </comment>
    <comment ref="J4" authorId="0">
      <text>
        <r>
          <rPr>
            <b/>
            <sz val="9"/>
            <color indexed="81"/>
            <rFont val="Tahoma"/>
            <family val="2"/>
          </rPr>
          <t>abertura e resolução no mês</t>
        </r>
      </text>
    </comment>
    <comment ref="L4" authorId="1">
      <text>
        <r>
          <rPr>
            <b/>
            <sz val="9"/>
            <color indexed="81"/>
            <rFont val="Tahoma"/>
            <family val="2"/>
          </rPr>
          <t>Abertos no mês e # de resolução total. A diferença com a "abertura mês", é o backlog.</t>
        </r>
      </text>
    </comment>
    <comment ref="N4" authorId="0">
      <text>
        <r>
          <rPr>
            <b/>
            <sz val="9"/>
            <color indexed="81"/>
            <rFont val="Tahoma"/>
            <family val="2"/>
          </rPr>
          <t>abertura e resolução no mês</t>
        </r>
      </text>
    </comment>
    <comment ref="P4" authorId="1">
      <text>
        <r>
          <rPr>
            <b/>
            <sz val="9"/>
            <color indexed="81"/>
            <rFont val="Tahoma"/>
            <family val="2"/>
          </rPr>
          <t>Abertos no mês e # de resolução total. A diferença com a "abertura mês", é o backlog.</t>
        </r>
      </text>
    </comment>
    <comment ref="B29" authorId="0">
      <text>
        <r>
          <rPr>
            <b/>
            <sz val="9"/>
            <color indexed="81"/>
            <rFont val="Tahoma"/>
            <family val="2"/>
          </rPr>
          <t>abertura e resolução no mês</t>
        </r>
      </text>
    </comment>
    <comment ref="F29" authorId="0">
      <text>
        <r>
          <rPr>
            <b/>
            <sz val="9"/>
            <color indexed="81"/>
            <rFont val="Tahoma"/>
            <family val="2"/>
          </rPr>
          <t>abertura e resolução no mês</t>
        </r>
      </text>
    </comment>
    <comment ref="H29" authorId="1">
      <text>
        <r>
          <rPr>
            <b/>
            <sz val="9"/>
            <color indexed="81"/>
            <rFont val="Tahoma"/>
            <family val="2"/>
          </rPr>
          <t>Abertos no mês e # de resolução total. A diferença com a "abertura mês", é o backlog.</t>
        </r>
      </text>
    </comment>
    <comment ref="J29" authorId="0">
      <text>
        <r>
          <rPr>
            <b/>
            <sz val="9"/>
            <color indexed="81"/>
            <rFont val="Tahoma"/>
            <family val="2"/>
          </rPr>
          <t>abertura e resolução no mês</t>
        </r>
      </text>
    </comment>
    <comment ref="L29" authorId="1">
      <text>
        <r>
          <rPr>
            <b/>
            <sz val="9"/>
            <color indexed="81"/>
            <rFont val="Tahoma"/>
            <family val="2"/>
          </rPr>
          <t>Abertos no mês e # de resolução total. A diferença com a "abertura mês", é o backlog.</t>
        </r>
      </text>
    </comment>
    <comment ref="N29" authorId="0">
      <text>
        <r>
          <rPr>
            <b/>
            <sz val="9"/>
            <color indexed="81"/>
            <rFont val="Tahoma"/>
            <family val="2"/>
          </rPr>
          <t>abertura e resolução no mês</t>
        </r>
      </text>
    </comment>
    <comment ref="P29" authorId="1">
      <text>
        <r>
          <rPr>
            <b/>
            <sz val="9"/>
            <color indexed="81"/>
            <rFont val="Tahoma"/>
            <family val="2"/>
          </rPr>
          <t>Abertos no mês e # de resolução total. A diferença com a "abertura mês", é o backlog.</t>
        </r>
      </text>
    </comment>
    <comment ref="B54" authorId="0">
      <text>
        <r>
          <rPr>
            <b/>
            <sz val="9"/>
            <color indexed="81"/>
            <rFont val="Tahoma"/>
            <family val="2"/>
          </rPr>
          <t>abertura e resolução no mês</t>
        </r>
      </text>
    </comment>
    <comment ref="F54" authorId="0">
      <text>
        <r>
          <rPr>
            <b/>
            <sz val="9"/>
            <color indexed="81"/>
            <rFont val="Tahoma"/>
            <family val="2"/>
          </rPr>
          <t>abertura e resolução no mês</t>
        </r>
      </text>
    </comment>
    <comment ref="H54" authorId="1">
      <text>
        <r>
          <rPr>
            <b/>
            <sz val="9"/>
            <color indexed="81"/>
            <rFont val="Tahoma"/>
            <family val="2"/>
          </rPr>
          <t>Abertos no mês e # de resolução total. A diferença com a "abertura mês", é o backlog.</t>
        </r>
      </text>
    </comment>
    <comment ref="J54" authorId="0">
      <text>
        <r>
          <rPr>
            <b/>
            <sz val="9"/>
            <color indexed="81"/>
            <rFont val="Tahoma"/>
            <family val="2"/>
          </rPr>
          <t>abertura e resolução no mês</t>
        </r>
      </text>
    </comment>
    <comment ref="L54" authorId="1">
      <text>
        <r>
          <rPr>
            <b/>
            <sz val="9"/>
            <color indexed="81"/>
            <rFont val="Tahoma"/>
            <family val="2"/>
          </rPr>
          <t>Abertos no mês e # de resolução total. A diferença com a "abertura mês", é o backlog.</t>
        </r>
      </text>
    </comment>
    <comment ref="N54" authorId="0">
      <text>
        <r>
          <rPr>
            <b/>
            <sz val="9"/>
            <color indexed="81"/>
            <rFont val="Tahoma"/>
            <family val="2"/>
          </rPr>
          <t>abertura e resolução no mês</t>
        </r>
      </text>
    </comment>
    <comment ref="P54" authorId="1">
      <text>
        <r>
          <rPr>
            <b/>
            <sz val="9"/>
            <color indexed="81"/>
            <rFont val="Tahoma"/>
            <family val="2"/>
          </rPr>
          <t>Abertos no mês e # de resolução total. A diferença com a "abertura mês", é o backlog.</t>
        </r>
      </text>
    </comment>
  </commentList>
</comments>
</file>

<file path=xl/sharedStrings.xml><?xml version="1.0" encoding="utf-8"?>
<sst xmlns="http://schemas.openxmlformats.org/spreadsheetml/2006/main" count="1241" uniqueCount="355">
  <si>
    <t>Por mês; Aberto x resolvido x backlog</t>
  </si>
  <si>
    <t>Janeiro</t>
  </si>
  <si>
    <t>Aberto</t>
  </si>
  <si>
    <t>Resolvido total</t>
  </si>
  <si>
    <t>Backlog</t>
  </si>
  <si>
    <t>Fevereiro</t>
  </si>
  <si>
    <t>Março</t>
  </si>
  <si>
    <t>Abril</t>
  </si>
  <si>
    <t>Maio</t>
  </si>
  <si>
    <t>Por mês de resolução; SLA e Aging</t>
  </si>
  <si>
    <t>#</t>
  </si>
  <si>
    <t>%</t>
  </si>
  <si>
    <t>Não Violado</t>
  </si>
  <si>
    <t>Violado</t>
  </si>
  <si>
    <t>Total</t>
  </si>
  <si>
    <t>SLA</t>
  </si>
  <si>
    <t>Marco</t>
  </si>
  <si>
    <t>Aging</t>
  </si>
  <si>
    <t>TD-ACCT-SS-DSC</t>
  </si>
  <si>
    <t>TD-ACCT-SS-FINANC</t>
  </si>
  <si>
    <t>TD-ACCT-SS-O_L</t>
  </si>
  <si>
    <t>TD-ACCT-SS-MKT</t>
  </si>
  <si>
    <t>TD-SD - FOLLOW UP PENDENTE</t>
  </si>
  <si>
    <t>TD-DELOITTE-SAP-HUBSP</t>
  </si>
  <si>
    <t>TD-SUPORTE SAP - NIVEL 2</t>
  </si>
  <si>
    <t>L-CUSTINCSSP-NATU-NTIB-NB-DEPTFISCAL</t>
  </si>
  <si>
    <t>TD-DELOITTE-PS-CDSP</t>
  </si>
  <si>
    <t>TD-SSI (SCHAEFER)</t>
  </si>
  <si>
    <t>TD-SIEMENS-EVOLUTIO</t>
  </si>
  <si>
    <t>TD-SISTEMA OPERACIONAL WINTEL - NIVEL 2</t>
  </si>
  <si>
    <t>TD-ACCT-PS-FINANC</t>
  </si>
  <si>
    <t>Volume</t>
  </si>
  <si>
    <t>Top 10 Grupos (vol Incidentes Prioridade 1)</t>
  </si>
  <si>
    <t>1 a 9</t>
  </si>
  <si>
    <t>10 a 16</t>
  </si>
  <si>
    <t>17 a 23</t>
  </si>
  <si>
    <t>24 a 31</t>
  </si>
  <si>
    <t>(vazio)</t>
  </si>
  <si>
    <t>Total Geral</t>
  </si>
  <si>
    <t>Resolvido na semana</t>
  </si>
  <si>
    <t>Maio de 1 a 9</t>
  </si>
  <si>
    <t>Maio de 10 a 16</t>
  </si>
  <si>
    <t>Maio de 17 a 23</t>
  </si>
  <si>
    <t>Maio de 24 a 31</t>
  </si>
  <si>
    <t>SLA Violado</t>
  </si>
  <si>
    <t>SISTEMAS.SAP.SAP-SD SEPARAÇÃO.CRIAÇÃO DE REMESSAS.Prioridade 1</t>
  </si>
  <si>
    <t>SISTEMAS.SAP.SAP-SD SEPARAÇÃO.SIMULAÇÃO DE PEDIDOS.Prioridade 1</t>
  </si>
  <si>
    <t>SISTEMAS.SAP.SAP-SD SEPARAÇÃO.PALETIZAÇÃO.Prioridade 1</t>
  </si>
  <si>
    <t>SISTEMAS.SISTEMAS COMERCIAIS.CADASTRO DE CN.DIVERGÊNCIA CADASTRAL.Prioridade 1</t>
  </si>
  <si>
    <t>SISTEMAS.CAPTAÇÃO.CAPTAÇÃO DE PEDIDOS.FINALIZAÇÃO DO PEDIDO.Prioridade 1</t>
  </si>
  <si>
    <t>SISTEMAS.SAP.SAP-SD SEPARAÇÃO.CADASTRO NA LINHA.Prioridade 1</t>
  </si>
  <si>
    <t>SISTEMAS.PLUSOFT.SCOL.Prioridade 1</t>
  </si>
  <si>
    <t>SISTEMAS.SISTEMAS COMERCIAIS.CADASTRO DE CN.ALTERAÇÃO CADASTRAL.Prioridade 1</t>
  </si>
  <si>
    <t>SISTEMAS.SAP.SAP-SD SEPARAÇÃO.CANCELAMENTO DE PEDIDOS.Prioridade 1</t>
  </si>
  <si>
    <t>SISTEMAS.SISTEMAS COMERCIAIS.CADASTRO DE CN.DIVERGÊNCIA CADASTRAL.Prioridade 3</t>
  </si>
  <si>
    <t>SISTEMAS.SAP.SAP-SD TRANSPORTES.CTRC.Prioridade 1</t>
  </si>
  <si>
    <t>SISTEMAS.PLUSOFT.SNAC.JOBS.Prioridade 1</t>
  </si>
  <si>
    <t>SISTEMAS.SISTEMAS COMERCIAIS.CADASTRO DE CN.ALTERAÇÃO CADASTRAL.Prioridade 3</t>
  </si>
  <si>
    <t>SISTEMAS.SAP.SAP-SD FATURAMENTO SNAC.JOBS.Prioridade 1</t>
  </si>
  <si>
    <t>SISTEMAS.SAP.SAP-SD SEPARAÇÃO.TRANSFERENCIA DE ESTOQUE.Prioridade 1</t>
  </si>
  <si>
    <t>SISTEMAS.CAPTAÇÃO.CAPTAÇÃO DE PEDIDOS.LOGIN</t>
  </si>
  <si>
    <t>SISTEMAS.SAP.SAP-SD TRANSPORTES.REFATURAMENTO.Prioridade 2</t>
  </si>
  <si>
    <t>SISTEMAS.GKO.FATURAS.EXPORTAÇÃO.Prioridade 1</t>
  </si>
  <si>
    <t>SISTEMAS.SAP.SAP-SD SEPARAÇÃO.SIMULAÇÃO DE PEDIDOS</t>
  </si>
  <si>
    <t>SISTEMAS.SAP.SAP-SD SEPARAÇÃO.CARTONIZAÇÃO</t>
  </si>
  <si>
    <t>SISTEMAS.SAP.SAP-SD SEPARAÇÃO.TARJA VERMELHA.Prioridade 1</t>
  </si>
  <si>
    <t>SISTEMAS.PLUSOFT.PLUSOFT.OTROS.DUDA.PRIORIDAD 3</t>
  </si>
  <si>
    <t>SISTEMAS.SAP.SAP-SD TRANSPORTES.BOT BOV.Prioridade 1</t>
  </si>
  <si>
    <t>SISTEMAS.PLUSOFT.SCOL</t>
  </si>
  <si>
    <t>SISTEMAS.SAP.SAP-SD TRANSPORTES.REFATURAMENTO.Prioridade 1</t>
  </si>
  <si>
    <t>SISTEMAS.SAP.SAP-SD SEPARAÇÃO.ESTRUTURA COMERCIAL.Prioridade 1</t>
  </si>
  <si>
    <t>SISTEMAS.SAP.SAP-SD FATURAMENTO CN.NOTA FISCAL.ERRO.Prioridade 1</t>
  </si>
  <si>
    <t>SISTEMAS.CAPTAÇÃO.CAPTAÇÃO DE PEDIDOS.INFORMAÇÕES DE PEDIDOS.Prioridade 1</t>
  </si>
  <si>
    <t>SISTEMAS.SAP.SAP-SD FATURAMENTO CN.NOTFIS.Prioridade 1</t>
  </si>
  <si>
    <t>SISTEMAS.SAP.SAP-SD SEPARAÇÃO.RETORNO DA LINHA.Prioridade 1</t>
  </si>
  <si>
    <t>SISTEMAS.SISTEMAS COMERCIAIS.ESTATISTICA DO CANAL.JOBS.Prioridade 1</t>
  </si>
  <si>
    <t>SISTEMAS.CAPTAÇÃO.CAPTAÇÃO DE PEDIDOS.APLICAÇÃO DE PROMOÇÕES.Prioridade 1</t>
  </si>
  <si>
    <t>SISTEMAS.SAP.SAP-SD SEPARAÇÃO.DATA PLANO.Prioridade 1</t>
  </si>
  <si>
    <t>SISTEMAS.SAP.SAP-SD FATURAMENTO CN.CRIAÇÃO DE DTS.Prioridade 1</t>
  </si>
  <si>
    <t>SISTEMAS.SAP.SAP FI CRÉDITO E COBRANÇA.ACORDO DE TÍTULO.Prioridade 1</t>
  </si>
  <si>
    <t>SISTEMAS.SAP.SAP-SD FATURAMENTO CN.NUMERAÇÃO DE NOTA FISCAL.Prioridade 1</t>
  </si>
  <si>
    <t>SISTEMAS.SAP.SAP-SD FATURAMENTO CN.NUMERAÇÃO DE NOTA FISCAL</t>
  </si>
  <si>
    <t>SISTEMAS.SAP.SAP CO.CARGA DE FATURAMENTO CO PA.Prioridade 1</t>
  </si>
  <si>
    <t>SISTEMAS.SAP.SAP FI.FLUXO DE CAIXA.Prioridade 1</t>
  </si>
  <si>
    <t>SISTEMAS.SAP.SAP-SD FATURAMENTO CN.NOTA FISCAL.ERRO</t>
  </si>
  <si>
    <t>SISTEMAS.SAP.SAP CO.CICLO DE RATEIO.Prioridade 1</t>
  </si>
  <si>
    <t>SISTEMAS.SAP.SAP-SD FATURAMENTO CN.CRIAÇÃO DE DTS.Prioridade 2</t>
  </si>
  <si>
    <t>SISTEMAS.SAP.SAP-SD FATURAMENTO CN.CRIAÇÃO DE DTS.Prioridade 3</t>
  </si>
  <si>
    <t>SISTEMAS.SISTEMAS COMERCIAIS.MOVIMENTAÇÃO DE CNS.CANCELAMENTO DE MOVIMENTAÇÕES.Prioridade 1</t>
  </si>
  <si>
    <t>SISTEMAS.SISTEMAS COMERCIAIS.SITE CN.DIVERGÊNCIA DE INFORMAÇÕES.Prioridade 1</t>
  </si>
  <si>
    <t>SISTEMAS.SISTEMAS COMERCIAIS.SITE FV.PROBLEMAS DE PÁGINAS QUE APRESENTAM FALHAS.Prioridade 1</t>
  </si>
  <si>
    <t>SISTEMAS.SISTEMAS COMERCIAIS.SITE DO GV.INDISPONIBILIDADE.Prioridade 1</t>
  </si>
  <si>
    <t>SISTEMAS.SISTEMAS COMERCIAIS.MOVIMENTAÇÃO DE CNS.INATIVAÇÃO DE ESTRUTURA.Prioridade 1</t>
  </si>
  <si>
    <t>SISTEMAS.SISTEMAS COMERCIAIS.MOVIMENTAÇÃO DE CNS.PROBLEMA PARA CADASTRO DE MOVIMENTAÇÃO.Prioridade 1</t>
  </si>
  <si>
    <t>SISTEMAS.SISTEMAS COMERCIAIS.SITE FV.CADASTRO ONLINE.Prioridade 1</t>
  </si>
  <si>
    <t>SISTEMAS.SISTEMAS COMERCIAIS.SITE CNO.ELEGIBILIDADE.Prioridade 1</t>
  </si>
  <si>
    <t>SISTEMAS.SISTEMAS COMERCIAIS.SITE FV.IMPRESSÃO DE ETIQUETA.Prioridade 1</t>
  </si>
  <si>
    <t>SISTEMAS.SISTEMAS COMERCIAIS.ESTATÍSTICA DO CANAL.DIVERGÊNCIA ENTRE ENTRUTURA COMERCIAL.Prioridade 1</t>
  </si>
  <si>
    <t>SISTEMAS.SISTEMAS COMERCIAIS.ESTATÍSTICA DO CANAL.CONTABILIZAÇÃO DE INDICADORES POR CONSULTORA.Prioridade 1</t>
  </si>
  <si>
    <t>SISTEMAS.SISTEMAS COMERCIAIS.TCN TREINAMENTO DE CONSULTORA.DESBLOQUEAR CNS.Prioridade 1</t>
  </si>
  <si>
    <t>SISTEMAS.SISTEMAS COMERCIAIS.SITE FV.CARTA CONVITE - ARQUIVO PARA IMPRESSÃO.Prioridade 1</t>
  </si>
  <si>
    <t>SISTEMAS.SISTEMAS COMERCIAIS.ECC - ESTRUTURA DE CICLOS COMERCIAIS.ESTRUTURAS COMERCIAIS.Prioridade 1</t>
  </si>
  <si>
    <t>SISTEMAS.SISTEMAS COMERCIAIS.ESTATÍSTICA DO CANAL.CONTABILIZAÇÃO DE INDICADORES POR CONSULTORA.Prioridade 2</t>
  </si>
  <si>
    <t>SISTEMAS.SISTEMAS COMERCIAIS.ESTATÍSTICA DO CANAL.EXECUÇÃO DE JOBS.Prioridade 1</t>
  </si>
  <si>
    <t>SISTEMAS.SITES.SITE DO COLABORADOR.CONTEÚDOS VIGNETTE E ARQUIVOS ESTÁTICOS.Prioridade 1</t>
  </si>
  <si>
    <t>SISTEMAS.SISTEMAS COMERCIAIS.RPE REQUISIÇÃO DE PRODUTOS EM ESTOQUE.ALTERAR ENDEREÇO.Prioridade 1</t>
  </si>
  <si>
    <t>SISTEMAS.SISTEMAS COMERCIAIS.SITE CN.DIFICULDADES DE LOGIN.Prioridade 1</t>
  </si>
  <si>
    <t>SISTEMAS.PORTAL SAP.PORTAL DE COMPRAS.CRIAÇÃO DE SLC.Prioridade 1</t>
  </si>
  <si>
    <t>SISTEMAS.SAP.SAP MM ABASTECIMENTO.CAJAMAR.Prioridade 1</t>
  </si>
  <si>
    <t>SISTEMAS.SAP.SAP MM RECEBIMENTO.CD SÃO PAULO.Prioridade 1</t>
  </si>
  <si>
    <t>SISTEMAS.SAP.SAP MM ABASTECIMENTO.CAJAMAR</t>
  </si>
  <si>
    <t>SISTEMAS.SAP.SAP MM RECEBIMENTO.CDS.Prioridade 1</t>
  </si>
  <si>
    <t>SISTEMAS.SAP.SAP MM.DEVOLUÇÃO DTPA</t>
  </si>
  <si>
    <t>SISTEMAS.PORTAL SAP.PORTAL DE COMPRAS.CONTRATAÇÃO SIMPLES.Prioridade 1</t>
  </si>
  <si>
    <t>SISTEMAS.SAP.SAP MM ABASTECIMENTO.DE CDS</t>
  </si>
  <si>
    <t>SISTEMAS.SAP.SAP MM ABASTECIMENTO.DE CDS.Prioridade 2</t>
  </si>
  <si>
    <t>SISTEMAS.SAP.SAP WM.ABASTECIMENTO CAJAMAR.Prioridade 1</t>
  </si>
  <si>
    <t>SISTEMAS.SAP.SAP MM.MOVIMENTAÇÃO DE ESTOQUE.Prioridade 1</t>
  </si>
  <si>
    <t>SISTEMAS.PORTAL SAP.PORTAL DE COMPRAS.PROCESSO DE CONTRATAÇÃO.Prioridade 1</t>
  </si>
  <si>
    <t>SISTEMAS.SAP.SAP MM ABASTECIMENTO.CD SÃO PAULO.Prioridade 1</t>
  </si>
  <si>
    <t>SISTEMAS.SAP.SAP MM RECEBIMENTO.CDS.Prioridade 2</t>
  </si>
  <si>
    <t>SISTEMAS.SAP.SAP MM HUB.RECEBIMENTO</t>
  </si>
  <si>
    <t>SISTEMAS.SAP.SAP-SD CROSS COMPANY.FAT.CDS</t>
  </si>
  <si>
    <t>SISTEMAS.SAP.SAP MM HUB.RECEBIMENTO UNIFICADO.Prioridade 1</t>
  </si>
  <si>
    <t>SISTEMAS.SAP.SAP MM ABASTECIMENTO.DE CDS.Prioridade 1</t>
  </si>
  <si>
    <t>SISTEMAS.SAP.SAP MM HUB.DEVOLUÇÃO</t>
  </si>
  <si>
    <t>SISTEMAS.SAP.SAP MM.DEVOLUÇÃO DTPA.Prioridade 1</t>
  </si>
  <si>
    <t>SISTEMAS.SAP.SAP-SD EXPORTAÇÃO.Prioridade 1</t>
  </si>
  <si>
    <t>INFRAESTRUTURA.SERVIDORES WINDOWS.DHCP.ERRO</t>
  </si>
  <si>
    <t>SISTEMAS.SAP.SAP-SD SEPARAÇÃO.PALETIZAÇÃO.Prioridade 3</t>
  </si>
  <si>
    <t>SISTEMAS.SISTEMAS COMERCIAIS.SITE DO COLABORADOR.INDISPONIVEL.Prioridade 1</t>
  </si>
  <si>
    <t>INFRAESTRUTURA.SERVIDORES WINDOWS.DHCP.LENTIDÃO</t>
  </si>
  <si>
    <t>SISTEMAS.SAP.SAP QM.CONTROLE DE DU</t>
  </si>
  <si>
    <t>SISTEMAS.CADASTROS.FICHA ELETRONICA - BPM.GRUPO NÃO ATRIBUÍDO.Prioridade 1</t>
  </si>
  <si>
    <t>SISTEMAS.SISTEMAS COMERCIAIS.PRESTAÇÃO DE CONTAS (NOVO).TELA DE RELATÓRIOS.Prioridade 1</t>
  </si>
  <si>
    <t>SISTEMAS.ETL.JOBS.Prioridade 1</t>
  </si>
  <si>
    <t>SISTEMAS.WAMAS.INDISPONIBILIDADE</t>
  </si>
  <si>
    <t>SISTEMAS.PORTAL SAP.PORTAL SAP RH.DEMONSTRATIVOS DE PAGAMENTOS.Prioridade 1</t>
  </si>
  <si>
    <t>SISTEMAS.SAP.SAP MM ABASTECIMENTO.ECOPARQUE.Prioridade 1</t>
  </si>
  <si>
    <t>SISTEMAS.SAP.SAP-SD FATURAMENTO CN.SEFAZ.Prioridade 1</t>
  </si>
  <si>
    <t>SISTEMAS.CASERVICEDESK.CATEGORIA.ERRO</t>
  </si>
  <si>
    <t>INFRAESTRUTURA.SERVIDORES DE MENSAGENS.EXCHANGE.INDISPONIBILIDADE DE SERVIÇO</t>
  </si>
  <si>
    <t>INFRAESTRUTURA.SERVIDORES WINDOWS.SISTEMA OPERACIONAL.INDISPONIBILIDADE DE SERVIÇO</t>
  </si>
  <si>
    <t>INFRAESTRUTURA.SERVIDORES DE MENSAGENS.EXCHANGE.ERRO DE ACESSO</t>
  </si>
  <si>
    <t>TD-SUPORTE MIDDLEWARE – NIVEL 2</t>
  </si>
  <si>
    <t>INFRAESTRUTURA.MIDDLEWARE.OSB.INDISPONIBILIDADE</t>
  </si>
  <si>
    <t>INFRAESTRUTURA.MIDDLEWARE.OAM.INDISPONIBILIDADE</t>
  </si>
  <si>
    <t>INFRAESTRUTURA.MIDDLEWARE.BPM.LENTIDÃO</t>
  </si>
  <si>
    <t>INFRAESTRUTURA.MIDDLEWARE.OSB.LENTIDÃO</t>
  </si>
  <si>
    <t>SISTEMAS.SAP.SAP FI CRÉDITO E COBRANÇA.COCKPIT DE ATENDIMENTO</t>
  </si>
  <si>
    <t>TOP 6 SLA Violado por Categoria (recorrentes)</t>
  </si>
  <si>
    <t># chamados</t>
  </si>
  <si>
    <t>Jan</t>
  </si>
  <si>
    <t>Fev</t>
  </si>
  <si>
    <t>Mar</t>
  </si>
  <si>
    <t>Abr</t>
  </si>
  <si>
    <t>Mai</t>
  </si>
  <si>
    <t>Aberto no mês e resolvido em N mês</t>
  </si>
  <si>
    <t>Aberto em Maio e resolvidos até 08 de Junho</t>
  </si>
  <si>
    <t>Resolução por Semana</t>
  </si>
  <si>
    <t>Jun 1 a 8</t>
  </si>
  <si>
    <t>Aging resolução</t>
  </si>
  <si>
    <t>SLA resolução (# SLA dentro / # resolvidos na semana)</t>
  </si>
  <si>
    <t>Aberto em N mês e resolvido por semana</t>
  </si>
  <si>
    <t>Backlog mês corrente</t>
  </si>
  <si>
    <t>Backlog acumulado</t>
  </si>
  <si>
    <t>Chamados abertos</t>
  </si>
  <si>
    <t>Chamados resolvidos - total</t>
  </si>
  <si>
    <t>Chamados resolvidos até 8 Jun</t>
  </si>
  <si>
    <t>Backlog sem. Corrente</t>
  </si>
  <si>
    <t>Maio de 01 a 09</t>
  </si>
  <si>
    <t>#abertura mês</t>
  </si>
  <si>
    <t>Chamados resolvidos geral DI</t>
  </si>
  <si>
    <t>Chamados resolvidos geral DA</t>
  </si>
  <si>
    <t>SLA resolução DA</t>
  </si>
  <si>
    <t>Aging resolução DA</t>
  </si>
  <si>
    <t>Aging resolução DI</t>
  </si>
  <si>
    <t>SLA resolução DI</t>
  </si>
  <si>
    <t>Resolvido no SLA DI</t>
  </si>
  <si>
    <t>Resolvido no SLA DA</t>
  </si>
  <si>
    <t>Incidentes P1 que impactaram Disp e Perf</t>
  </si>
  <si>
    <t>Chamados resolvidos geral (N mês resolução)</t>
  </si>
  <si>
    <t>Resolvido no SLA (N mês de resolução)</t>
  </si>
  <si>
    <t>Abertos</t>
  </si>
  <si>
    <t>Transbordo</t>
  </si>
  <si>
    <t>Aberto em</t>
  </si>
  <si>
    <t>Ações</t>
  </si>
  <si>
    <t>Concluído</t>
  </si>
  <si>
    <t>Pendente</t>
  </si>
  <si>
    <t>Concluído %</t>
  </si>
  <si>
    <t>Pendente %</t>
  </si>
  <si>
    <t>DA</t>
  </si>
  <si>
    <t>DI</t>
  </si>
  <si>
    <t>SEV 0 abertos</t>
  </si>
  <si>
    <t>SEV 1 abertos</t>
  </si>
  <si>
    <t>Média</t>
  </si>
  <si>
    <t>Volumetria por VP</t>
  </si>
  <si>
    <t>Volumetria de chamados geral por VP</t>
  </si>
  <si>
    <t>VP Tecnologia Digital</t>
  </si>
  <si>
    <t>VP O&amp;L</t>
  </si>
  <si>
    <t>VP Negócios Brasil</t>
  </si>
  <si>
    <t>OIS</t>
  </si>
  <si>
    <t>VP Finanças e Relações com Investidores</t>
  </si>
  <si>
    <t>VP Negócios</t>
  </si>
  <si>
    <t>VP Pessoas e Cultura</t>
  </si>
  <si>
    <t>VP Inovação</t>
  </si>
  <si>
    <t>Presidência</t>
  </si>
  <si>
    <t>VP Marcas e Negócios</t>
  </si>
  <si>
    <t>VP Redes</t>
  </si>
  <si>
    <t>VP Inovação de Produtos</t>
  </si>
  <si>
    <t>Administração Instituto Natura</t>
  </si>
  <si>
    <t>Governança Corporativa</t>
  </si>
  <si>
    <t>VP Finanças, Jurídico e TI</t>
  </si>
  <si>
    <t>VP Finanças, Jurídico e RI</t>
  </si>
  <si>
    <t>VP Internacional</t>
  </si>
  <si>
    <t>VP DS</t>
  </si>
  <si>
    <t>Expatriados</t>
  </si>
  <si>
    <t>VP Negócios Internacionais</t>
  </si>
  <si>
    <t>Contagem de Número de chamado</t>
  </si>
  <si>
    <t>Abertura</t>
  </si>
  <si>
    <t>OIs</t>
  </si>
  <si>
    <t>Resolução</t>
  </si>
  <si>
    <t>Junho</t>
  </si>
  <si>
    <t>Dir Infraestrutura</t>
  </si>
  <si>
    <t>Dir Aplicações e Arquitetura</t>
  </si>
  <si>
    <t>Dir de Business Intel. e Customer Exp.</t>
  </si>
  <si>
    <t>Projeto SAP Global</t>
  </si>
  <si>
    <t>Gcia Governança Tecnológica</t>
  </si>
  <si>
    <t>GRP - VP Rede</t>
  </si>
  <si>
    <t>Dir Aplicações</t>
  </si>
  <si>
    <t>Gcia GRP O&amp;L</t>
  </si>
  <si>
    <t>Gcia Grp Corporativo - Marcas &amp; Negócios</t>
  </si>
  <si>
    <t>Gcia Inovação e LAB</t>
  </si>
  <si>
    <t>Dir Meios Digitais</t>
  </si>
  <si>
    <t>Dir Industrial</t>
  </si>
  <si>
    <t>Dir Disponibilização de Produtos</t>
  </si>
  <si>
    <t>Gcia Qualidade</t>
  </si>
  <si>
    <t>Dir Suprimentos</t>
  </si>
  <si>
    <t>Dir Serviços aos Clientes</t>
  </si>
  <si>
    <t>Dir Inovação e Logística</t>
  </si>
  <si>
    <t>Dir Disp de Produtos</t>
  </si>
  <si>
    <t>VP Operações &amp; Logística</t>
  </si>
  <si>
    <t>Dir Inovação Logística</t>
  </si>
  <si>
    <t>Dir Regional Sul/Sudeste</t>
  </si>
  <si>
    <t>Dir Regional CONENO</t>
  </si>
  <si>
    <t>Dir Gestão Comercial</t>
  </si>
  <si>
    <t>Dir Relacionamento</t>
  </si>
  <si>
    <t>Dir Marketing de Ativação BR</t>
  </si>
  <si>
    <t>Gcia CSC</t>
  </si>
  <si>
    <t>Dir Finanças Corporativas</t>
  </si>
  <si>
    <t>Dir Finanças Negócios</t>
  </si>
  <si>
    <t>Gcia Relações com Investidores</t>
  </si>
  <si>
    <t>Regional Central do Brasil</t>
  </si>
  <si>
    <t>Regional Norte e Nordeste</t>
  </si>
  <si>
    <t>Regional SP Capital</t>
  </si>
  <si>
    <t>Regional Sul</t>
  </si>
  <si>
    <t>Regional SP Interior</t>
  </si>
  <si>
    <t>Dir Geral de Negócios Brasil</t>
  </si>
  <si>
    <t>Novos Negócios</t>
  </si>
  <si>
    <t>Núcleo de Categoria</t>
  </si>
  <si>
    <t>Dir Comunicação e MKT</t>
  </si>
  <si>
    <t>Dir Unidade de Negócios B</t>
  </si>
  <si>
    <t>Dir Unidade de Negócios C</t>
  </si>
  <si>
    <t>Dir Unidade de Negócios A</t>
  </si>
  <si>
    <t>Projeto Essencial</t>
  </si>
  <si>
    <t>Dir Educação e Desenvolvimento</t>
  </si>
  <si>
    <t>Dir. Rh de área</t>
  </si>
  <si>
    <t>Gcia Remuneração e Benefícios</t>
  </si>
  <si>
    <t>Gcia Informação Gerenciais, Saúde e Gove</t>
  </si>
  <si>
    <t>Gcia Comunicação Interna</t>
  </si>
  <si>
    <t>Dir Gestão e Recompensas</t>
  </si>
  <si>
    <t>Gcia Ouvidoria</t>
  </si>
  <si>
    <t>Gcia Relações Sindicais e Trabalhistas</t>
  </si>
  <si>
    <t>RH de Área Redes</t>
  </si>
  <si>
    <t>Gcia Ouvidoria e Qualidade das Relações</t>
  </si>
  <si>
    <t>RH de Área Marcas e Negócios</t>
  </si>
  <si>
    <t>Diretoria da Marca</t>
  </si>
  <si>
    <t>Gcia Comunicação Corporativa</t>
  </si>
  <si>
    <t>Dir Segurança do Consumidor</t>
  </si>
  <si>
    <t>Dir Pesq Aplicada e Desenvolvimento</t>
  </si>
  <si>
    <t>Dir Pesquisa Avançada</t>
  </si>
  <si>
    <t>Gestão e Redes e Inovação</t>
  </si>
  <si>
    <t>Gcia Transf de Tecnologia e Produtividad</t>
  </si>
  <si>
    <t>Gcia Novos Negócios</t>
  </si>
  <si>
    <t>Dir. Recursos e Patrimonio</t>
  </si>
  <si>
    <t>Dir Jurídica</t>
  </si>
  <si>
    <t>Dir Assuntos Corp e Relações com Governo</t>
  </si>
  <si>
    <t>Dir Sustentabilidade</t>
  </si>
  <si>
    <t>Dir Pl Estrategico e SGN</t>
  </si>
  <si>
    <t>Dir Marca e Consumidor</t>
  </si>
  <si>
    <t>Dir. Unidade Global Cuidados Pessoais</t>
  </si>
  <si>
    <t>Unidade Global Novos Negócios</t>
  </si>
  <si>
    <t>Dir. Unidade Global Perfumaria</t>
  </si>
  <si>
    <t>Gcia gestao de portfolio - UN</t>
  </si>
  <si>
    <t>Dir. Unidade Global Cosmética</t>
  </si>
  <si>
    <t>Dir Núcleo de Inovação</t>
  </si>
  <si>
    <t>Diretoria CRM</t>
  </si>
  <si>
    <t>Dir Inovação/ Gestão do Modelo Comercial</t>
  </si>
  <si>
    <t>Dir Desenvolvimento de Produtos</t>
  </si>
  <si>
    <t>Dir Ciência e Tecnologia</t>
  </si>
  <si>
    <t>Gcia Segurança do Consumidor</t>
  </si>
  <si>
    <t>Gestão e Redes de Inovação</t>
  </si>
  <si>
    <t>GFA e Governança</t>
  </si>
  <si>
    <t>Diretoria Educação</t>
  </si>
  <si>
    <t>Núcleo  Comunicação</t>
  </si>
  <si>
    <t>Gcia Auditoria</t>
  </si>
  <si>
    <t>Parcerias e Alianças I</t>
  </si>
  <si>
    <t>Dir Gestão de Pessoas</t>
  </si>
  <si>
    <t>Ouvidoria</t>
  </si>
  <si>
    <t xml:space="preserve">Dir Sistemas de Gestão </t>
  </si>
  <si>
    <t>Dir de Unidade B&amp;C Internacional</t>
  </si>
  <si>
    <t>#N/D</t>
  </si>
  <si>
    <t>VOLUMETRIA POR VP GERAL</t>
  </si>
  <si>
    <t>Volumetria de chamados VP por Diretoria por mês de abertura e solução</t>
  </si>
  <si>
    <t>Volumetria de chamados geral por VP por mês de abertura e solução</t>
  </si>
  <si>
    <t>Backlog (em 01/07)</t>
  </si>
  <si>
    <t>SLA por VP</t>
  </si>
  <si>
    <t>ABRIL</t>
  </si>
  <si>
    <t>MAIO</t>
  </si>
  <si>
    <t>JUNHO</t>
  </si>
  <si>
    <t># abertura no mês</t>
  </si>
  <si>
    <t># resolução no mês</t>
  </si>
  <si>
    <t>SLA resolução no mês</t>
  </si>
  <si>
    <t>%SLA resolução no mês</t>
  </si>
  <si>
    <t># resolução backlog</t>
  </si>
  <si>
    <t>SLA resolução backlog</t>
  </si>
  <si>
    <t>% SLA resolução backlog</t>
  </si>
  <si>
    <t># resolução total</t>
  </si>
  <si>
    <t>SLA resolução total</t>
  </si>
  <si>
    <t>% SLA resolução total</t>
  </si>
  <si>
    <t>Aging por VP</t>
  </si>
  <si>
    <t>aging resolução no mês</t>
  </si>
  <si>
    <t>aging resolução backlog</t>
  </si>
  <si>
    <t>aging resolução total</t>
  </si>
  <si>
    <t># abertura no mês2</t>
  </si>
  <si>
    <t># resolução no mês3</t>
  </si>
  <si>
    <t>aging resolução no mês4</t>
  </si>
  <si>
    <t># resolução backlog5</t>
  </si>
  <si>
    <t>aging resolução backlog6</t>
  </si>
  <si>
    <t># resolução total7</t>
  </si>
  <si>
    <t>aging resolução total8</t>
  </si>
  <si>
    <t># abertura no mês9</t>
  </si>
  <si>
    <t># resolução no mês10</t>
  </si>
  <si>
    <t>aging resolução no mês11</t>
  </si>
  <si>
    <t># resolução backlog12</t>
  </si>
  <si>
    <t>aging resolução backlog13</t>
  </si>
  <si>
    <t># resolução total14</t>
  </si>
  <si>
    <t>aging resolução total15</t>
  </si>
  <si>
    <t># Prioridade 1</t>
  </si>
  <si>
    <t># Prioridade 2</t>
  </si>
  <si>
    <t># Prioridade 3</t>
  </si>
  <si>
    <t># Prioridade 4, 5 e Nenhum</t>
  </si>
  <si>
    <t># abertos e resolvidos no mês</t>
  </si>
  <si>
    <t># abertos no mês e resolução em qualquer mês</t>
  </si>
  <si>
    <r>
      <t xml:space="preserve">Chamados do Tipo </t>
    </r>
    <r>
      <rPr>
        <b/>
        <sz val="12"/>
        <rFont val="Arial"/>
        <family val="2"/>
      </rPr>
      <t>INCIDENTE</t>
    </r>
    <r>
      <rPr>
        <sz val="12"/>
        <rFont val="Arial"/>
        <family val="2"/>
      </rPr>
      <t xml:space="preserve">
Prioridade VS Aging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</si>
</sst>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0.0"/>
  </numFmts>
  <fonts count="42" x14ac:knownFonts="1">
    <font>
      <sz val="10"/>
      <color theme="1"/>
      <name val="Verdana"/>
      <family val="2"/>
    </font>
    <font>
      <sz val="10"/>
      <color theme="1"/>
      <name val="Verdan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Verdana"/>
      <family val="2"/>
    </font>
    <font>
      <b/>
      <sz val="13"/>
      <color theme="3"/>
      <name val="Verdana"/>
      <family val="2"/>
    </font>
    <font>
      <b/>
      <sz val="11"/>
      <color theme="3"/>
      <name val="Verdana"/>
      <family val="2"/>
    </font>
    <font>
      <sz val="10"/>
      <color rgb="FF006100"/>
      <name val="Verdana"/>
      <family val="2"/>
    </font>
    <font>
      <sz val="10"/>
      <color rgb="FF9C0006"/>
      <name val="Verdana"/>
      <family val="2"/>
    </font>
    <font>
      <sz val="10"/>
      <color rgb="FF9C6500"/>
      <name val="Verdana"/>
      <family val="2"/>
    </font>
    <font>
      <sz val="10"/>
      <color rgb="FF3F3F76"/>
      <name val="Verdana"/>
      <family val="2"/>
    </font>
    <font>
      <b/>
      <sz val="10"/>
      <color rgb="FF3F3F3F"/>
      <name val="Verdana"/>
      <family val="2"/>
    </font>
    <font>
      <b/>
      <sz val="10"/>
      <color rgb="FFFA7D00"/>
      <name val="Verdana"/>
      <family val="2"/>
    </font>
    <font>
      <sz val="10"/>
      <color rgb="FFFA7D00"/>
      <name val="Verdana"/>
      <family val="2"/>
    </font>
    <font>
      <b/>
      <sz val="10"/>
      <color theme="0"/>
      <name val="Verdana"/>
      <family val="2"/>
    </font>
    <font>
      <sz val="10"/>
      <color rgb="FFFF0000"/>
      <name val="Verdana"/>
      <family val="2"/>
    </font>
    <font>
      <i/>
      <sz val="10"/>
      <color rgb="FF7F7F7F"/>
      <name val="Verdana"/>
      <family val="2"/>
    </font>
    <font>
      <b/>
      <sz val="10"/>
      <color theme="1"/>
      <name val="Verdana"/>
      <family val="2"/>
    </font>
    <font>
      <sz val="10"/>
      <color theme="0"/>
      <name val="Verdana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color rgb="FF00B050"/>
      <name val="Verdana"/>
      <family val="2"/>
    </font>
    <font>
      <sz val="10"/>
      <color rgb="FFFF000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color rgb="FF00B050"/>
      <name val="Arial"/>
      <family val="2"/>
    </font>
    <font>
      <sz val="10"/>
      <color theme="1"/>
      <name val="Times New Roman"/>
      <family val="1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trike/>
      <sz val="10"/>
      <color theme="1"/>
      <name val="Cambria"/>
      <family val="1"/>
    </font>
    <font>
      <b/>
      <sz val="12"/>
      <color theme="1"/>
      <name val="Verdana"/>
      <family val="2"/>
    </font>
    <font>
      <b/>
      <sz val="10"/>
      <color theme="1"/>
      <name val="Arial"/>
    </font>
    <font>
      <sz val="12"/>
      <name val="Arial"/>
      <family val="2"/>
    </font>
    <font>
      <b/>
      <sz val="8"/>
      <name val="Verdana"/>
      <family val="2"/>
    </font>
    <font>
      <sz val="8"/>
      <name val="Verdana"/>
      <family val="2"/>
    </font>
    <font>
      <sz val="10"/>
      <name val="Verdana"/>
      <family val="2"/>
    </font>
    <font>
      <sz val="8"/>
      <color rgb="FFFF0000"/>
      <name val="Verdana"/>
      <family val="2"/>
    </font>
    <font>
      <sz val="8"/>
      <color rgb="FF00B050"/>
      <name val="Verdana"/>
      <family val="2"/>
    </font>
    <font>
      <b/>
      <sz val="9"/>
      <color indexed="81"/>
      <name val="Tahoma"/>
      <family val="2"/>
    </font>
    <font>
      <b/>
      <sz val="10"/>
      <name val="Verdana"/>
      <family val="2"/>
    </font>
    <font>
      <b/>
      <sz val="12"/>
      <name val="Arial"/>
      <family val="2"/>
    </font>
  </fonts>
  <fills count="5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6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9BC2E6"/>
      </bottom>
      <diagonal/>
    </border>
    <border>
      <left/>
      <right/>
      <top style="medium">
        <color rgb="FF9BC2E6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theme="4" tint="0.39997558519241921"/>
      </top>
      <bottom style="medium">
        <color indexed="64"/>
      </bottom>
      <diagonal/>
    </border>
    <border>
      <left/>
      <right/>
      <top style="thin">
        <color theme="4" tint="0.39997558519241921"/>
      </top>
      <bottom style="medium">
        <color indexed="64"/>
      </bottom>
      <diagonal/>
    </border>
    <border>
      <left/>
      <right style="medium">
        <color indexed="64"/>
      </right>
      <top style="thin">
        <color theme="4" tint="0.3999755851924192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rgb="FF9BC2E6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6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46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20" fillId="0" borderId="0"/>
  </cellStyleXfs>
  <cellXfs count="278">
    <xf numFmtId="0" fontId="0" fillId="0" borderId="0" xfId="0"/>
    <xf numFmtId="0" fontId="18" fillId="0" borderId="0" xfId="43"/>
    <xf numFmtId="0" fontId="18" fillId="0" borderId="0" xfId="43" applyFont="1"/>
    <xf numFmtId="9" fontId="18" fillId="0" borderId="0" xfId="44" applyFont="1"/>
    <xf numFmtId="0" fontId="0" fillId="0" borderId="0" xfId="0" applyAlignment="1">
      <alignment horizontal="center"/>
    </xf>
    <xf numFmtId="0" fontId="18" fillId="0" borderId="0" xfId="43"/>
    <xf numFmtId="0" fontId="18" fillId="0" borderId="0" xfId="43" applyFont="1"/>
    <xf numFmtId="0" fontId="18" fillId="0" borderId="10" xfId="43" applyFont="1" applyBorder="1"/>
    <xf numFmtId="0" fontId="18" fillId="0" borderId="10" xfId="43" applyBorder="1" applyAlignment="1">
      <alignment horizontal="center"/>
    </xf>
    <xf numFmtId="164" fontId="18" fillId="0" borderId="0" xfId="44" applyNumberFormat="1" applyFont="1" applyAlignment="1">
      <alignment horizontal="center"/>
    </xf>
    <xf numFmtId="0" fontId="18" fillId="0" borderId="11" xfId="43" applyBorder="1" applyAlignment="1">
      <alignment horizontal="center"/>
    </xf>
    <xf numFmtId="164" fontId="18" fillId="0" borderId="10" xfId="44" applyNumberFormat="1" applyFont="1" applyBorder="1" applyAlignment="1">
      <alignment horizontal="center"/>
    </xf>
    <xf numFmtId="0" fontId="18" fillId="0" borderId="12" xfId="43" applyBorder="1" applyAlignment="1">
      <alignment horizontal="center"/>
    </xf>
    <xf numFmtId="0" fontId="18" fillId="0" borderId="10" xfId="43" applyFont="1" applyBorder="1" applyAlignment="1">
      <alignment horizontal="center"/>
    </xf>
    <xf numFmtId="165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20" fillId="0" borderId="0" xfId="45" applyNumberFormat="1" applyAlignment="1">
      <alignment horizontal="center"/>
    </xf>
    <xf numFmtId="0" fontId="20" fillId="0" borderId="0" xfId="45" applyAlignment="1">
      <alignment horizontal="left" indent="1"/>
    </xf>
    <xf numFmtId="9" fontId="0" fillId="0" borderId="0" xfId="1" applyFont="1"/>
    <xf numFmtId="0" fontId="20" fillId="0" borderId="10" xfId="45" applyBorder="1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/>
    </xf>
    <xf numFmtId="0" fontId="20" fillId="0" borderId="10" xfId="45" applyBorder="1" applyAlignment="1">
      <alignment horizontal="left" indent="2"/>
    </xf>
    <xf numFmtId="0" fontId="20" fillId="0" borderId="10" xfId="45" applyNumberFormat="1" applyBorder="1" applyAlignment="1">
      <alignment horizontal="center"/>
    </xf>
    <xf numFmtId="0" fontId="18" fillId="0" borderId="10" xfId="45" applyFont="1" applyBorder="1" applyAlignment="1">
      <alignment horizontal="left" indent="2"/>
    </xf>
    <xf numFmtId="164" fontId="14" fillId="0" borderId="10" xfId="0" applyNumberFormat="1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10" xfId="0" applyFont="1" applyBorder="1"/>
    <xf numFmtId="164" fontId="21" fillId="0" borderId="10" xfId="0" applyNumberFormat="1" applyFont="1" applyBorder="1" applyAlignment="1">
      <alignment horizontal="center"/>
    </xf>
    <xf numFmtId="0" fontId="22" fillId="0" borderId="0" xfId="43" applyNumberFormat="1" applyFont="1"/>
    <xf numFmtId="0" fontId="18" fillId="0" borderId="0" xfId="43" applyAlignment="1">
      <alignment horizontal="left"/>
    </xf>
    <xf numFmtId="0" fontId="18" fillId="0" borderId="0" xfId="43" applyNumberFormat="1"/>
    <xf numFmtId="0" fontId="18" fillId="0" borderId="0" xfId="43" applyAlignment="1">
      <alignment horizontal="left" indent="1"/>
    </xf>
    <xf numFmtId="0" fontId="18" fillId="0" borderId="0" xfId="43"/>
    <xf numFmtId="0" fontId="18" fillId="0" borderId="0" xfId="43" applyAlignment="1">
      <alignment horizontal="left"/>
    </xf>
    <xf numFmtId="0" fontId="18" fillId="0" borderId="0" xfId="43" applyNumberFormat="1"/>
    <xf numFmtId="0" fontId="18" fillId="0" borderId="0" xfId="43" applyAlignment="1">
      <alignment horizontal="left" indent="1"/>
    </xf>
    <xf numFmtId="0" fontId="18" fillId="0" borderId="0" xfId="43" applyAlignment="1">
      <alignment horizontal="left" indent="2"/>
    </xf>
    <xf numFmtId="0" fontId="24" fillId="0" borderId="13" xfId="43" applyFont="1" applyBorder="1" applyAlignment="1">
      <alignment horizontal="left" indent="1"/>
    </xf>
    <xf numFmtId="0" fontId="23" fillId="0" borderId="14" xfId="43" applyFont="1" applyBorder="1" applyAlignment="1">
      <alignment horizontal="left" indent="2"/>
    </xf>
    <xf numFmtId="0" fontId="23" fillId="0" borderId="16" xfId="43" applyFont="1" applyBorder="1" applyAlignment="1">
      <alignment horizontal="left" indent="2"/>
    </xf>
    <xf numFmtId="0" fontId="22" fillId="0" borderId="17" xfId="43" applyNumberFormat="1" applyFont="1" applyBorder="1" applyAlignment="1">
      <alignment horizontal="center"/>
    </xf>
    <xf numFmtId="0" fontId="22" fillId="0" borderId="15" xfId="43" applyNumberFormat="1" applyFont="1" applyBorder="1" applyAlignment="1">
      <alignment horizontal="center"/>
    </xf>
    <xf numFmtId="0" fontId="19" fillId="0" borderId="17" xfId="43" applyNumberFormat="1" applyFont="1" applyBorder="1" applyAlignment="1">
      <alignment horizontal="center"/>
    </xf>
    <xf numFmtId="0" fontId="18" fillId="0" borderId="10" xfId="43" applyNumberFormat="1" applyBorder="1" applyAlignment="1">
      <alignment horizontal="center"/>
    </xf>
    <xf numFmtId="0" fontId="25" fillId="0" borderId="10" xfId="43" applyFont="1" applyBorder="1" applyAlignment="1">
      <alignment horizontal="center"/>
    </xf>
    <xf numFmtId="0" fontId="18" fillId="0" borderId="10" xfId="43" applyBorder="1" applyAlignment="1">
      <alignment horizontal="left"/>
    </xf>
    <xf numFmtId="0" fontId="18" fillId="0" borderId="10" xfId="43" applyNumberFormat="1" applyBorder="1" applyAlignment="1">
      <alignment horizontal="center"/>
    </xf>
    <xf numFmtId="0" fontId="18" fillId="0" borderId="0" xfId="43"/>
    <xf numFmtId="0" fontId="18" fillId="0" borderId="0" xfId="43" applyAlignment="1">
      <alignment horizontal="left"/>
    </xf>
    <xf numFmtId="0" fontId="18" fillId="0" borderId="0" xfId="43" applyNumberFormat="1"/>
    <xf numFmtId="0" fontId="18" fillId="0" borderId="0" xfId="43" applyAlignment="1">
      <alignment horizontal="left" indent="1"/>
    </xf>
    <xf numFmtId="0" fontId="18" fillId="0" borderId="10" xfId="43" applyBorder="1" applyAlignment="1">
      <alignment horizontal="center"/>
    </xf>
    <xf numFmtId="164" fontId="26" fillId="0" borderId="10" xfId="1" applyNumberFormat="1" applyFont="1" applyBorder="1" applyAlignment="1">
      <alignment horizontal="center"/>
    </xf>
    <xf numFmtId="164" fontId="22" fillId="0" borderId="10" xfId="1" applyNumberFormat="1" applyFont="1" applyBorder="1" applyAlignment="1">
      <alignment horizontal="center"/>
    </xf>
    <xf numFmtId="0" fontId="18" fillId="0" borderId="0" xfId="43" applyFont="1" applyAlignment="1">
      <alignment vertical="center"/>
    </xf>
    <xf numFmtId="164" fontId="18" fillId="0" borderId="0" xfId="1" applyNumberFormat="1" applyFont="1"/>
    <xf numFmtId="0" fontId="18" fillId="0" borderId="0" xfId="43" applyFont="1" applyFill="1" applyAlignment="1">
      <alignment vertical="center"/>
    </xf>
    <xf numFmtId="164" fontId="0" fillId="0" borderId="0" xfId="1" applyNumberFormat="1" applyFont="1" applyAlignment="1">
      <alignment horizontal="center"/>
    </xf>
    <xf numFmtId="0" fontId="0" fillId="34" borderId="10" xfId="0" applyFill="1" applyBorder="1" applyAlignment="1">
      <alignment horizontal="center"/>
    </xf>
    <xf numFmtId="164" fontId="0" fillId="0" borderId="10" xfId="1" applyNumberFormat="1" applyFont="1" applyBorder="1" applyAlignment="1">
      <alignment horizontal="center"/>
    </xf>
    <xf numFmtId="0" fontId="0" fillId="0" borderId="0" xfId="0" applyNumberFormat="1" applyAlignment="1">
      <alignment horizontal="center" vertical="center"/>
    </xf>
    <xf numFmtId="0" fontId="18" fillId="0" borderId="0" xfId="43" applyFont="1" applyFill="1"/>
    <xf numFmtId="0" fontId="18" fillId="0" borderId="0" xfId="43" applyAlignment="1">
      <alignment horizontal="center"/>
    </xf>
    <xf numFmtId="9" fontId="0" fillId="0" borderId="10" xfId="1" applyFont="1" applyBorder="1" applyAlignment="1">
      <alignment horizontal="center"/>
    </xf>
    <xf numFmtId="0" fontId="25" fillId="34" borderId="10" xfId="45" applyFont="1" applyFill="1" applyBorder="1" applyAlignment="1">
      <alignment horizontal="center"/>
    </xf>
    <xf numFmtId="0" fontId="20" fillId="0" borderId="0" xfId="45" applyAlignment="1">
      <alignment horizontal="left" indent="1"/>
    </xf>
    <xf numFmtId="0" fontId="20" fillId="0" borderId="0" xfId="45" applyNumberFormat="1"/>
    <xf numFmtId="0" fontId="20" fillId="0" borderId="0" xfId="45" applyAlignment="1">
      <alignment horizontal="left"/>
    </xf>
    <xf numFmtId="0" fontId="0" fillId="0" borderId="0" xfId="0"/>
    <xf numFmtId="0" fontId="0" fillId="0" borderId="0" xfId="0" applyAlignment="1">
      <alignment horizontal="left"/>
    </xf>
    <xf numFmtId="0" fontId="16" fillId="33" borderId="0" xfId="0" applyFont="1" applyFill="1"/>
    <xf numFmtId="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6" fillId="33" borderId="0" xfId="0" applyFont="1" applyFill="1" applyAlignment="1">
      <alignment horizontal="center"/>
    </xf>
    <xf numFmtId="0" fontId="16" fillId="34" borderId="10" xfId="0" applyFont="1" applyFill="1" applyBorder="1" applyAlignment="1">
      <alignment horizontal="center"/>
    </xf>
    <xf numFmtId="0" fontId="16" fillId="34" borderId="0" xfId="0" applyFont="1" applyFill="1" applyAlignment="1">
      <alignment horizontal="center"/>
    </xf>
    <xf numFmtId="0" fontId="28" fillId="35" borderId="20" xfId="0" applyFont="1" applyFill="1" applyBorder="1" applyAlignment="1">
      <alignment vertical="center"/>
    </xf>
    <xf numFmtId="0" fontId="27" fillId="0" borderId="0" xfId="0" applyFont="1"/>
    <xf numFmtId="0" fontId="28" fillId="35" borderId="21" xfId="0" applyFont="1" applyFill="1" applyBorder="1" applyAlignment="1">
      <alignment vertical="center"/>
    </xf>
    <xf numFmtId="0" fontId="28" fillId="35" borderId="21" xfId="0" applyFont="1" applyFill="1" applyBorder="1" applyAlignment="1">
      <alignment horizontal="right" vertical="center"/>
    </xf>
    <xf numFmtId="0" fontId="29" fillId="0" borderId="0" xfId="0" applyFont="1" applyAlignment="1">
      <alignment horizontal="center" vertical="center"/>
    </xf>
    <xf numFmtId="0" fontId="28" fillId="35" borderId="18" xfId="0" applyFont="1" applyFill="1" applyBorder="1" applyAlignment="1">
      <alignment horizontal="center" vertical="center"/>
    </xf>
    <xf numFmtId="0" fontId="28" fillId="35" borderId="19" xfId="0" applyFont="1" applyFill="1" applyBorder="1" applyAlignment="1">
      <alignment horizontal="center" vertical="center"/>
    </xf>
    <xf numFmtId="0" fontId="28" fillId="35" borderId="10" xfId="0" applyFont="1" applyFill="1" applyBorder="1" applyAlignment="1">
      <alignment horizontal="center" vertical="center"/>
    </xf>
    <xf numFmtId="0" fontId="0" fillId="0" borderId="0" xfId="0" applyNumberFormat="1"/>
    <xf numFmtId="0" fontId="30" fillId="0" borderId="0" xfId="0" applyFont="1" applyAlignment="1">
      <alignment horizontal="left" indent="1"/>
    </xf>
    <xf numFmtId="0" fontId="30" fillId="0" borderId="0" xfId="0" applyNumberFormat="1" applyFont="1" applyAlignment="1">
      <alignment horizontal="center"/>
    </xf>
    <xf numFmtId="0" fontId="28" fillId="35" borderId="23" xfId="0" applyFont="1" applyFill="1" applyBorder="1" applyAlignment="1">
      <alignment horizontal="center" vertical="center"/>
    </xf>
    <xf numFmtId="0" fontId="0" fillId="0" borderId="26" xfId="0" applyBorder="1" applyAlignment="1">
      <alignment horizontal="left" indent="1"/>
    </xf>
    <xf numFmtId="0" fontId="0" fillId="0" borderId="0" xfId="0" applyNumberFormat="1" applyBorder="1" applyAlignment="1">
      <alignment horizontal="center"/>
    </xf>
    <xf numFmtId="0" fontId="0" fillId="0" borderId="27" xfId="0" applyNumberFormat="1" applyBorder="1" applyAlignment="1">
      <alignment horizontal="center"/>
    </xf>
    <xf numFmtId="0" fontId="19" fillId="36" borderId="28" xfId="0" applyFont="1" applyFill="1" applyBorder="1" applyAlignment="1">
      <alignment horizontal="left"/>
    </xf>
    <xf numFmtId="0" fontId="19" fillId="36" borderId="29" xfId="0" applyNumberFormat="1" applyFont="1" applyFill="1" applyBorder="1" applyAlignment="1">
      <alignment horizontal="center"/>
    </xf>
    <xf numFmtId="0" fontId="19" fillId="36" borderId="30" xfId="0" applyNumberFormat="1" applyFont="1" applyFill="1" applyBorder="1" applyAlignment="1">
      <alignment horizontal="center"/>
    </xf>
    <xf numFmtId="0" fontId="28" fillId="35" borderId="31" xfId="0" applyFont="1" applyFill="1" applyBorder="1" applyAlignment="1">
      <alignment horizontal="center" vertical="center"/>
    </xf>
    <xf numFmtId="0" fontId="28" fillId="35" borderId="32" xfId="0" applyFont="1" applyFill="1" applyBorder="1" applyAlignment="1">
      <alignment horizontal="center" vertical="center"/>
    </xf>
    <xf numFmtId="0" fontId="19" fillId="37" borderId="33" xfId="0" applyFont="1" applyFill="1" applyBorder="1" applyAlignment="1">
      <alignment horizontal="center" vertical="center"/>
    </xf>
    <xf numFmtId="0" fontId="19" fillId="37" borderId="34" xfId="0" applyFont="1" applyFill="1" applyBorder="1" applyAlignment="1">
      <alignment horizontal="center" vertical="center"/>
    </xf>
    <xf numFmtId="0" fontId="28" fillId="35" borderId="24" xfId="0" applyFont="1" applyFill="1" applyBorder="1" applyAlignment="1">
      <alignment horizontal="center" vertical="center"/>
    </xf>
    <xf numFmtId="0" fontId="28" fillId="35" borderId="25" xfId="0" applyFont="1" applyFill="1" applyBorder="1" applyAlignment="1">
      <alignment horizontal="center" vertical="center"/>
    </xf>
    <xf numFmtId="0" fontId="29" fillId="0" borderId="26" xfId="0" applyFont="1" applyBorder="1" applyAlignment="1">
      <alignment horizontal="left" vertical="center"/>
    </xf>
    <xf numFmtId="0" fontId="29" fillId="0" borderId="27" xfId="0" applyFont="1" applyBorder="1" applyAlignment="1">
      <alignment horizontal="center" vertical="center"/>
    </xf>
    <xf numFmtId="0" fontId="0" fillId="0" borderId="0" xfId="0" applyBorder="1"/>
    <xf numFmtId="0" fontId="0" fillId="0" borderId="27" xfId="0" applyNumberFormat="1" applyBorder="1" applyAlignment="1">
      <alignment horizontal="center" vertical="center"/>
    </xf>
    <xf numFmtId="0" fontId="19" fillId="36" borderId="30" xfId="0" applyNumberFormat="1" applyFont="1" applyFill="1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19" fillId="36" borderId="29" xfId="0" applyNumberFormat="1" applyFont="1" applyFill="1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31" fillId="0" borderId="0" xfId="0" applyFont="1" applyFill="1" applyAlignment="1">
      <alignment horizontal="center" vertical="center"/>
    </xf>
    <xf numFmtId="0" fontId="0" fillId="0" borderId="0" xfId="0" applyFill="1"/>
    <xf numFmtId="0" fontId="0" fillId="0" borderId="0" xfId="0" applyBorder="1" applyAlignment="1">
      <alignment horizontal="left" indent="1"/>
    </xf>
    <xf numFmtId="9" fontId="0" fillId="0" borderId="0" xfId="44" applyFont="1" applyAlignment="1">
      <alignment horizontal="center"/>
    </xf>
    <xf numFmtId="0" fontId="28" fillId="35" borderId="21" xfId="0" applyFont="1" applyFill="1" applyBorder="1" applyAlignment="1">
      <alignment horizontal="center" vertical="center"/>
    </xf>
    <xf numFmtId="0" fontId="32" fillId="36" borderId="29" xfId="0" applyNumberFormat="1" applyFont="1" applyFill="1" applyBorder="1" applyAlignment="1">
      <alignment horizontal="center"/>
    </xf>
    <xf numFmtId="9" fontId="37" fillId="40" borderId="44" xfId="44" applyFont="1" applyFill="1" applyBorder="1" applyAlignment="1">
      <alignment horizontal="center" vertical="center"/>
    </xf>
    <xf numFmtId="9" fontId="37" fillId="41" borderId="44" xfId="44" applyFont="1" applyFill="1" applyBorder="1" applyAlignment="1">
      <alignment horizontal="center"/>
    </xf>
    <xf numFmtId="9" fontId="37" fillId="40" borderId="44" xfId="44" applyFont="1" applyFill="1" applyBorder="1" applyAlignment="1">
      <alignment horizontal="center"/>
    </xf>
    <xf numFmtId="9" fontId="37" fillId="40" borderId="10" xfId="44" applyFont="1" applyFill="1" applyBorder="1" applyAlignment="1">
      <alignment horizontal="center" vertical="center"/>
    </xf>
    <xf numFmtId="9" fontId="37" fillId="41" borderId="10" xfId="44" applyFont="1" applyFill="1" applyBorder="1" applyAlignment="1">
      <alignment horizontal="center"/>
    </xf>
    <xf numFmtId="9" fontId="38" fillId="40" borderId="10" xfId="44" applyFont="1" applyFill="1" applyBorder="1" applyAlignment="1">
      <alignment horizontal="center"/>
    </xf>
    <xf numFmtId="9" fontId="38" fillId="41" borderId="10" xfId="44" applyFont="1" applyFill="1" applyBorder="1" applyAlignment="1">
      <alignment horizontal="center"/>
    </xf>
    <xf numFmtId="9" fontId="38" fillId="40" borderId="10" xfId="44" applyFont="1" applyFill="1" applyBorder="1" applyAlignment="1">
      <alignment horizontal="center" vertical="center"/>
    </xf>
    <xf numFmtId="9" fontId="37" fillId="40" borderId="10" xfId="44" applyFont="1" applyFill="1" applyBorder="1" applyAlignment="1">
      <alignment horizontal="center"/>
    </xf>
    <xf numFmtId="9" fontId="37" fillId="40" borderId="37" xfId="44" applyFont="1" applyFill="1" applyBorder="1" applyAlignment="1">
      <alignment horizontal="center" vertical="center"/>
    </xf>
    <xf numFmtId="9" fontId="37" fillId="41" borderId="37" xfId="44" applyFont="1" applyFill="1" applyBorder="1" applyAlignment="1">
      <alignment horizontal="center"/>
    </xf>
    <xf numFmtId="9" fontId="38" fillId="40" borderId="37" xfId="44" applyFont="1" applyFill="1" applyBorder="1" applyAlignment="1">
      <alignment horizontal="center"/>
    </xf>
    <xf numFmtId="9" fontId="38" fillId="41" borderId="37" xfId="44" applyFont="1" applyFill="1" applyBorder="1" applyAlignment="1">
      <alignment horizontal="center"/>
    </xf>
    <xf numFmtId="9" fontId="38" fillId="40" borderId="37" xfId="44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36" fillId="40" borderId="43" xfId="0" applyFont="1" applyFill="1" applyBorder="1"/>
    <xf numFmtId="0" fontId="35" fillId="40" borderId="44" xfId="0" applyFont="1" applyFill="1" applyBorder="1" applyAlignment="1">
      <alignment horizontal="center" vertical="center"/>
    </xf>
    <xf numFmtId="0" fontId="35" fillId="41" borderId="44" xfId="0" applyFont="1" applyFill="1" applyBorder="1" applyAlignment="1">
      <alignment horizontal="center" vertical="center"/>
    </xf>
    <xf numFmtId="0" fontId="35" fillId="41" borderId="44" xfId="0" applyFont="1" applyFill="1" applyBorder="1" applyAlignment="1">
      <alignment horizontal="center"/>
    </xf>
    <xf numFmtId="0" fontId="35" fillId="40" borderId="44" xfId="0" applyFont="1" applyFill="1" applyBorder="1" applyAlignment="1">
      <alignment horizontal="center"/>
    </xf>
    <xf numFmtId="0" fontId="36" fillId="0" borderId="45" xfId="0" applyFont="1" applyBorder="1"/>
    <xf numFmtId="0" fontId="36" fillId="40" borderId="45" xfId="0" applyFont="1" applyFill="1" applyBorder="1"/>
    <xf numFmtId="0" fontId="35" fillId="40" borderId="10" xfId="0" applyFont="1" applyFill="1" applyBorder="1" applyAlignment="1">
      <alignment horizontal="center" vertical="center"/>
    </xf>
    <xf numFmtId="0" fontId="35" fillId="41" borderId="10" xfId="0" applyFont="1" applyFill="1" applyBorder="1" applyAlignment="1">
      <alignment horizontal="center" vertical="center"/>
    </xf>
    <xf numFmtId="0" fontId="35" fillId="41" borderId="10" xfId="0" applyFont="1" applyFill="1" applyBorder="1" applyAlignment="1">
      <alignment horizontal="center"/>
    </xf>
    <xf numFmtId="0" fontId="35" fillId="40" borderId="10" xfId="0" applyFont="1" applyFill="1" applyBorder="1" applyAlignment="1">
      <alignment horizontal="center"/>
    </xf>
    <xf numFmtId="0" fontId="36" fillId="0" borderId="45" xfId="0" applyFont="1" applyBorder="1" applyAlignment="1">
      <alignment horizontal="left"/>
    </xf>
    <xf numFmtId="0" fontId="36" fillId="40" borderId="47" xfId="0" applyFont="1" applyFill="1" applyBorder="1"/>
    <xf numFmtId="0" fontId="35" fillId="40" borderId="37" xfId="0" applyFont="1" applyFill="1" applyBorder="1" applyAlignment="1">
      <alignment horizontal="center" vertical="center"/>
    </xf>
    <xf numFmtId="0" fontId="35" fillId="41" borderId="37" xfId="0" applyFont="1" applyFill="1" applyBorder="1" applyAlignment="1">
      <alignment horizontal="center" vertical="center"/>
    </xf>
    <xf numFmtId="0" fontId="35" fillId="41" borderId="37" xfId="0" applyFont="1" applyFill="1" applyBorder="1" applyAlignment="1">
      <alignment horizontal="center"/>
    </xf>
    <xf numFmtId="0" fontId="35" fillId="40" borderId="37" xfId="0" applyFont="1" applyFill="1" applyBorder="1" applyAlignment="1">
      <alignment horizontal="center"/>
    </xf>
    <xf numFmtId="0" fontId="35" fillId="0" borderId="0" xfId="0" applyFont="1"/>
    <xf numFmtId="0" fontId="34" fillId="0" borderId="17" xfId="0" applyFont="1" applyBorder="1" applyAlignment="1">
      <alignment horizontal="center" vertical="center" wrapText="1"/>
    </xf>
    <xf numFmtId="0" fontId="34" fillId="0" borderId="37" xfId="0" applyFont="1" applyBorder="1" applyAlignment="1">
      <alignment horizontal="center" vertical="center" wrapText="1"/>
    </xf>
    <xf numFmtId="0" fontId="34" fillId="0" borderId="12" xfId="0" applyFont="1" applyBorder="1" applyAlignment="1">
      <alignment horizontal="center" vertical="center" wrapText="1"/>
    </xf>
    <xf numFmtId="0" fontId="34" fillId="38" borderId="12" xfId="0" applyFont="1" applyFill="1" applyBorder="1" applyAlignment="1">
      <alignment horizontal="center" vertical="center" wrapText="1"/>
    </xf>
    <xf numFmtId="0" fontId="34" fillId="39" borderId="12" xfId="0" applyFont="1" applyFill="1" applyBorder="1" applyAlignment="1">
      <alignment horizontal="center" vertical="center" wrapText="1"/>
    </xf>
    <xf numFmtId="0" fontId="34" fillId="39" borderId="42" xfId="0" applyFont="1" applyFill="1" applyBorder="1" applyAlignment="1">
      <alignment horizontal="center" vertical="center" wrapText="1"/>
    </xf>
    <xf numFmtId="0" fontId="35" fillId="0" borderId="36" xfId="0" applyFont="1" applyBorder="1" applyAlignment="1">
      <alignment horizontal="center" vertical="center" wrapText="1"/>
    </xf>
    <xf numFmtId="0" fontId="35" fillId="0" borderId="49" xfId="0" applyFont="1" applyBorder="1" applyAlignment="1">
      <alignment horizontal="center" vertical="center" wrapText="1"/>
    </xf>
    <xf numFmtId="0" fontId="35" fillId="41" borderId="49" xfId="0" applyFont="1" applyFill="1" applyBorder="1" applyAlignment="1">
      <alignment horizontal="center" vertical="center" wrapText="1"/>
    </xf>
    <xf numFmtId="0" fontId="35" fillId="0" borderId="49" xfId="0" applyFont="1" applyBorder="1" applyAlignment="1">
      <alignment vertical="center" wrapText="1"/>
    </xf>
    <xf numFmtId="0" fontId="35" fillId="0" borderId="11" xfId="0" applyFont="1" applyBorder="1" applyAlignment="1">
      <alignment horizontal="center"/>
    </xf>
    <xf numFmtId="1" fontId="35" fillId="0" borderId="11" xfId="0" applyNumberFormat="1" applyFont="1" applyBorder="1" applyAlignment="1">
      <alignment horizontal="center"/>
    </xf>
    <xf numFmtId="165" fontId="35" fillId="0" borderId="11" xfId="0" applyNumberFormat="1" applyFont="1" applyBorder="1" applyAlignment="1">
      <alignment horizontal="center"/>
    </xf>
    <xf numFmtId="1" fontId="35" fillId="0" borderId="10" xfId="0" applyNumberFormat="1" applyFont="1" applyBorder="1" applyAlignment="1">
      <alignment horizontal="center"/>
    </xf>
    <xf numFmtId="165" fontId="35" fillId="0" borderId="10" xfId="0" applyNumberFormat="1" applyFont="1" applyBorder="1" applyAlignment="1">
      <alignment horizontal="center"/>
    </xf>
    <xf numFmtId="0" fontId="35" fillId="0" borderId="10" xfId="0" applyFont="1" applyBorder="1" applyAlignment="1">
      <alignment horizontal="center"/>
    </xf>
    <xf numFmtId="0" fontId="35" fillId="44" borderId="44" xfId="0" applyFont="1" applyFill="1" applyBorder="1" applyAlignment="1">
      <alignment horizontal="center" vertical="center"/>
    </xf>
    <xf numFmtId="0" fontId="35" fillId="44" borderId="44" xfId="0" applyFont="1" applyFill="1" applyBorder="1" applyAlignment="1">
      <alignment horizontal="center"/>
    </xf>
    <xf numFmtId="9" fontId="37" fillId="44" borderId="44" xfId="44" applyFont="1" applyFill="1" applyBorder="1" applyAlignment="1">
      <alignment horizontal="center"/>
    </xf>
    <xf numFmtId="0" fontId="35" fillId="45" borderId="10" xfId="0" applyFont="1" applyFill="1" applyBorder="1" applyAlignment="1">
      <alignment horizontal="center" vertical="center"/>
    </xf>
    <xf numFmtId="0" fontId="35" fillId="45" borderId="10" xfId="0" applyFont="1" applyFill="1" applyBorder="1" applyAlignment="1">
      <alignment horizontal="center"/>
    </xf>
    <xf numFmtId="9" fontId="37" fillId="45" borderId="10" xfId="44" applyFont="1" applyFill="1" applyBorder="1" applyAlignment="1">
      <alignment horizontal="center"/>
    </xf>
    <xf numFmtId="0" fontId="35" fillId="44" borderId="10" xfId="0" applyFont="1" applyFill="1" applyBorder="1" applyAlignment="1">
      <alignment horizontal="center" vertical="center"/>
    </xf>
    <xf numFmtId="0" fontId="35" fillId="44" borderId="10" xfId="0" applyFont="1" applyFill="1" applyBorder="1" applyAlignment="1">
      <alignment horizontal="center"/>
    </xf>
    <xf numFmtId="9" fontId="37" fillId="44" borderId="10" xfId="44" applyFont="1" applyFill="1" applyBorder="1" applyAlignment="1">
      <alignment horizontal="center"/>
    </xf>
    <xf numFmtId="9" fontId="38" fillId="44" borderId="10" xfId="44" applyFont="1" applyFill="1" applyBorder="1" applyAlignment="1">
      <alignment horizontal="center"/>
    </xf>
    <xf numFmtId="0" fontId="35" fillId="44" borderId="37" xfId="0" applyFont="1" applyFill="1" applyBorder="1" applyAlignment="1">
      <alignment horizontal="center" vertical="center"/>
    </xf>
    <xf numFmtId="0" fontId="35" fillId="44" borderId="37" xfId="0" applyFont="1" applyFill="1" applyBorder="1" applyAlignment="1">
      <alignment horizontal="center"/>
    </xf>
    <xf numFmtId="9" fontId="37" fillId="44" borderId="37" xfId="44" applyFont="1" applyFill="1" applyBorder="1" applyAlignment="1">
      <alignment horizontal="center"/>
    </xf>
    <xf numFmtId="9" fontId="38" fillId="44" borderId="37" xfId="44" applyFont="1" applyFill="1" applyBorder="1" applyAlignment="1">
      <alignment horizontal="center"/>
    </xf>
    <xf numFmtId="1" fontId="35" fillId="46" borderId="10" xfId="0" applyNumberFormat="1" applyFont="1" applyFill="1" applyBorder="1" applyAlignment="1">
      <alignment horizontal="center"/>
    </xf>
    <xf numFmtId="165" fontId="35" fillId="46" borderId="10" xfId="0" applyNumberFormat="1" applyFont="1" applyFill="1" applyBorder="1" applyAlignment="1">
      <alignment horizontal="center"/>
    </xf>
    <xf numFmtId="1" fontId="35" fillId="46" borderId="11" xfId="0" applyNumberFormat="1" applyFont="1" applyFill="1" applyBorder="1" applyAlignment="1">
      <alignment horizontal="center"/>
    </xf>
    <xf numFmtId="165" fontId="35" fillId="46" borderId="11" xfId="0" applyNumberFormat="1" applyFont="1" applyFill="1" applyBorder="1" applyAlignment="1">
      <alignment horizontal="center"/>
    </xf>
    <xf numFmtId="0" fontId="35" fillId="43" borderId="11" xfId="0" applyFont="1" applyFill="1" applyBorder="1" applyAlignment="1">
      <alignment horizontal="center"/>
    </xf>
    <xf numFmtId="1" fontId="35" fillId="43" borderId="10" xfId="0" applyNumberFormat="1" applyFont="1" applyFill="1" applyBorder="1" applyAlignment="1">
      <alignment horizontal="center"/>
    </xf>
    <xf numFmtId="165" fontId="35" fillId="43" borderId="10" xfId="0" applyNumberFormat="1" applyFont="1" applyFill="1" applyBorder="1" applyAlignment="1">
      <alignment horizontal="center"/>
    </xf>
    <xf numFmtId="165" fontId="35" fillId="43" borderId="11" xfId="0" applyNumberFormat="1" applyFont="1" applyFill="1" applyBorder="1" applyAlignment="1">
      <alignment horizontal="center"/>
    </xf>
    <xf numFmtId="0" fontId="35" fillId="43" borderId="49" xfId="0" applyFont="1" applyFill="1" applyBorder="1" applyAlignment="1">
      <alignment horizontal="center" vertical="center" wrapText="1"/>
    </xf>
    <xf numFmtId="0" fontId="35" fillId="43" borderId="51" xfId="0" applyFont="1" applyFill="1" applyBorder="1" applyAlignment="1">
      <alignment horizontal="center" vertical="center" wrapText="1"/>
    </xf>
    <xf numFmtId="0" fontId="35" fillId="43" borderId="12" xfId="0" applyFont="1" applyFill="1" applyBorder="1" applyAlignment="1">
      <alignment horizontal="center" vertical="center" wrapText="1"/>
    </xf>
    <xf numFmtId="0" fontId="35" fillId="43" borderId="42" xfId="0" applyFont="1" applyFill="1" applyBorder="1" applyAlignment="1">
      <alignment horizontal="center" vertical="center" wrapText="1"/>
    </xf>
    <xf numFmtId="0" fontId="35" fillId="43" borderId="50" xfId="0" applyFont="1" applyFill="1" applyBorder="1" applyAlignment="1">
      <alignment horizontal="center" vertical="center" wrapText="1"/>
    </xf>
    <xf numFmtId="0" fontId="36" fillId="40" borderId="52" xfId="0" applyFont="1" applyFill="1" applyBorder="1"/>
    <xf numFmtId="165" fontId="35" fillId="43" borderId="25" xfId="0" applyNumberFormat="1" applyFont="1" applyFill="1" applyBorder="1" applyAlignment="1">
      <alignment horizontal="center"/>
    </xf>
    <xf numFmtId="165" fontId="35" fillId="0" borderId="46" xfId="0" applyNumberFormat="1" applyFont="1" applyBorder="1" applyAlignment="1">
      <alignment horizontal="center"/>
    </xf>
    <xf numFmtId="165" fontId="35" fillId="43" borderId="46" xfId="0" applyNumberFormat="1" applyFont="1" applyFill="1" applyBorder="1" applyAlignment="1">
      <alignment horizontal="center"/>
    </xf>
    <xf numFmtId="0" fontId="35" fillId="0" borderId="37" xfId="0" applyFont="1" applyBorder="1" applyAlignment="1">
      <alignment horizontal="center"/>
    </xf>
    <xf numFmtId="1" fontId="35" fillId="0" borderId="37" xfId="0" applyNumberFormat="1" applyFont="1" applyBorder="1" applyAlignment="1">
      <alignment horizontal="center"/>
    </xf>
    <xf numFmtId="165" fontId="35" fillId="0" borderId="37" xfId="0" applyNumberFormat="1" applyFont="1" applyBorder="1" applyAlignment="1">
      <alignment horizontal="center"/>
    </xf>
    <xf numFmtId="1" fontId="35" fillId="46" borderId="37" xfId="0" applyNumberFormat="1" applyFont="1" applyFill="1" applyBorder="1" applyAlignment="1">
      <alignment horizontal="center"/>
    </xf>
    <xf numFmtId="165" fontId="35" fillId="46" borderId="37" xfId="0" applyNumberFormat="1" applyFont="1" applyFill="1" applyBorder="1" applyAlignment="1">
      <alignment horizontal="center"/>
    </xf>
    <xf numFmtId="1" fontId="35" fillId="43" borderId="37" xfId="0" applyNumberFormat="1" applyFont="1" applyFill="1" applyBorder="1" applyAlignment="1">
      <alignment horizontal="center"/>
    </xf>
    <xf numFmtId="165" fontId="35" fillId="43" borderId="37" xfId="0" applyNumberFormat="1" applyFont="1" applyFill="1" applyBorder="1" applyAlignment="1">
      <alignment horizontal="center"/>
    </xf>
    <xf numFmtId="165" fontId="35" fillId="43" borderId="48" xfId="0" applyNumberFormat="1" applyFont="1" applyFill="1" applyBorder="1" applyAlignment="1">
      <alignment horizontal="center"/>
    </xf>
    <xf numFmtId="9" fontId="37" fillId="45" borderId="10" xfId="44" applyFont="1" applyFill="1" applyBorder="1" applyAlignment="1">
      <alignment horizontal="center" vertical="center"/>
    </xf>
    <xf numFmtId="9" fontId="38" fillId="45" borderId="10" xfId="44" applyFont="1" applyFill="1" applyBorder="1" applyAlignment="1">
      <alignment horizontal="center"/>
    </xf>
    <xf numFmtId="9" fontId="38" fillId="45" borderId="10" xfId="44" applyFont="1" applyFill="1" applyBorder="1" applyAlignment="1">
      <alignment horizontal="center" vertical="center"/>
    </xf>
    <xf numFmtId="0" fontId="34" fillId="0" borderId="49" xfId="0" applyFont="1" applyBorder="1" applyAlignment="1">
      <alignment horizontal="center" vertical="center" wrapText="1"/>
    </xf>
    <xf numFmtId="0" fontId="18" fillId="0" borderId="0" xfId="43" applyFont="1" applyAlignment="1">
      <alignment horizontal="center" vertical="center"/>
    </xf>
    <xf numFmtId="0" fontId="16" fillId="0" borderId="10" xfId="0" applyFont="1" applyBorder="1" applyAlignment="1">
      <alignment horizontal="center"/>
    </xf>
    <xf numFmtId="0" fontId="18" fillId="0" borderId="10" xfId="43" applyFont="1" applyBorder="1" applyAlignment="1">
      <alignment horizontal="center" vertical="center"/>
    </xf>
    <xf numFmtId="0" fontId="25" fillId="34" borderId="18" xfId="43" applyFont="1" applyFill="1" applyBorder="1" applyAlignment="1">
      <alignment horizontal="center"/>
    </xf>
    <xf numFmtId="0" fontId="25" fillId="34" borderId="19" xfId="43" applyFont="1" applyFill="1" applyBorder="1" applyAlignment="1">
      <alignment horizontal="center"/>
    </xf>
    <xf numFmtId="0" fontId="16" fillId="34" borderId="0" xfId="0" applyFont="1" applyFill="1" applyAlignment="1">
      <alignment horizontal="center"/>
    </xf>
    <xf numFmtId="0" fontId="31" fillId="34" borderId="0" xfId="0" applyFont="1" applyFill="1" applyAlignment="1">
      <alignment horizontal="center" vertical="center"/>
    </xf>
    <xf numFmtId="0" fontId="19" fillId="37" borderId="33" xfId="0" applyFont="1" applyFill="1" applyBorder="1" applyAlignment="1">
      <alignment horizontal="center" vertical="center"/>
    </xf>
    <xf numFmtId="0" fontId="19" fillId="37" borderId="34" xfId="0" applyFont="1" applyFill="1" applyBorder="1" applyAlignment="1">
      <alignment horizontal="center" vertical="center"/>
    </xf>
    <xf numFmtId="0" fontId="28" fillId="35" borderId="24" xfId="0" applyFont="1" applyFill="1" applyBorder="1" applyAlignment="1">
      <alignment horizontal="center" vertical="center"/>
    </xf>
    <xf numFmtId="0" fontId="28" fillId="35" borderId="25" xfId="0" applyFont="1" applyFill="1" applyBorder="1" applyAlignment="1">
      <alignment horizontal="center" vertical="center"/>
    </xf>
    <xf numFmtId="0" fontId="28" fillId="37" borderId="22" xfId="0" applyFont="1" applyFill="1" applyBorder="1" applyAlignment="1">
      <alignment horizontal="center" vertical="center"/>
    </xf>
    <xf numFmtId="0" fontId="28" fillId="37" borderId="35" xfId="0" applyFont="1" applyFill="1" applyBorder="1" applyAlignment="1">
      <alignment horizontal="center" vertical="center"/>
    </xf>
    <xf numFmtId="0" fontId="33" fillId="42" borderId="33" xfId="0" applyFont="1" applyFill="1" applyBorder="1" applyAlignment="1">
      <alignment horizontal="center" vertical="center" wrapText="1"/>
    </xf>
    <xf numFmtId="0" fontId="33" fillId="42" borderId="41" xfId="0" applyFont="1" applyFill="1" applyBorder="1" applyAlignment="1">
      <alignment horizontal="center" vertical="center" wrapText="1"/>
    </xf>
    <xf numFmtId="0" fontId="34" fillId="42" borderId="38" xfId="0" applyFont="1" applyFill="1" applyBorder="1" applyAlignment="1">
      <alignment horizontal="center" wrapText="1"/>
    </xf>
    <xf numFmtId="0" fontId="34" fillId="42" borderId="39" xfId="0" applyFont="1" applyFill="1" applyBorder="1" applyAlignment="1">
      <alignment horizontal="center" wrapText="1"/>
    </xf>
    <xf numFmtId="0" fontId="34" fillId="42" borderId="40" xfId="0" applyFont="1" applyFill="1" applyBorder="1" applyAlignment="1">
      <alignment horizontal="center" wrapText="1"/>
    </xf>
    <xf numFmtId="0" fontId="33" fillId="42" borderId="34" xfId="0" applyFont="1" applyFill="1" applyBorder="1" applyAlignment="1">
      <alignment horizontal="center" vertical="center" wrapText="1"/>
    </xf>
    <xf numFmtId="0" fontId="40" fillId="42" borderId="40" xfId="0" applyFont="1" applyFill="1" applyBorder="1" applyAlignment="1">
      <alignment horizontal="center"/>
    </xf>
    <xf numFmtId="0" fontId="40" fillId="42" borderId="38" xfId="0" applyFont="1" applyFill="1" applyBorder="1" applyAlignment="1">
      <alignment horizontal="center"/>
    </xf>
    <xf numFmtId="0" fontId="40" fillId="42" borderId="39" xfId="0" applyFont="1" applyFill="1" applyBorder="1" applyAlignment="1">
      <alignment horizontal="center"/>
    </xf>
    <xf numFmtId="0" fontId="40" fillId="42" borderId="53" xfId="0" applyFont="1" applyFill="1" applyBorder="1" applyAlignment="1">
      <alignment horizontal="center"/>
    </xf>
    <xf numFmtId="0" fontId="40" fillId="42" borderId="54" xfId="0" applyFont="1" applyFill="1" applyBorder="1" applyAlignment="1">
      <alignment horizontal="center"/>
    </xf>
    <xf numFmtId="0" fontId="40" fillId="42" borderId="55" xfId="0" applyFont="1" applyFill="1" applyBorder="1" applyAlignment="1">
      <alignment horizontal="center"/>
    </xf>
    <xf numFmtId="1" fontId="35" fillId="47" borderId="56" xfId="0" applyNumberFormat="1" applyFont="1" applyFill="1" applyBorder="1" applyAlignment="1">
      <alignment horizontal="center"/>
    </xf>
    <xf numFmtId="165" fontId="35" fillId="47" borderId="56" xfId="0" applyNumberFormat="1" applyFont="1" applyFill="1" applyBorder="1" applyAlignment="1">
      <alignment horizontal="center"/>
    </xf>
    <xf numFmtId="1" fontId="35" fillId="46" borderId="56" xfId="0" applyNumberFormat="1" applyFont="1" applyFill="1" applyBorder="1" applyAlignment="1">
      <alignment horizontal="center"/>
    </xf>
    <xf numFmtId="165" fontId="35" fillId="46" borderId="56" xfId="0" applyNumberFormat="1" applyFont="1" applyFill="1" applyBorder="1" applyAlignment="1">
      <alignment horizontal="center"/>
    </xf>
    <xf numFmtId="0" fontId="35" fillId="43" borderId="56" xfId="0" applyFont="1" applyFill="1" applyBorder="1" applyAlignment="1">
      <alignment horizontal="center"/>
    </xf>
    <xf numFmtId="165" fontId="35" fillId="43" borderId="56" xfId="0" applyNumberFormat="1" applyFont="1" applyFill="1" applyBorder="1" applyAlignment="1">
      <alignment horizontal="center"/>
    </xf>
    <xf numFmtId="1" fontId="35" fillId="47" borderId="10" xfId="0" applyNumberFormat="1" applyFont="1" applyFill="1" applyBorder="1" applyAlignment="1">
      <alignment horizontal="center"/>
    </xf>
    <xf numFmtId="165" fontId="35" fillId="47" borderId="10" xfId="0" applyNumberFormat="1" applyFont="1" applyFill="1" applyBorder="1" applyAlignment="1">
      <alignment horizontal="center"/>
    </xf>
    <xf numFmtId="1" fontId="35" fillId="47" borderId="37" xfId="0" applyNumberFormat="1" applyFont="1" applyFill="1" applyBorder="1" applyAlignment="1">
      <alignment horizontal="center"/>
    </xf>
    <xf numFmtId="165" fontId="35" fillId="47" borderId="37" xfId="0" applyNumberFormat="1" applyFont="1" applyFill="1" applyBorder="1" applyAlignment="1">
      <alignment horizontal="center"/>
    </xf>
    <xf numFmtId="0" fontId="34" fillId="43" borderId="57" xfId="0" applyFont="1" applyFill="1" applyBorder="1" applyAlignment="1">
      <alignment horizontal="center" vertical="center" wrapText="1"/>
    </xf>
    <xf numFmtId="0" fontId="34" fillId="43" borderId="59" xfId="0" applyFont="1" applyFill="1" applyBorder="1" applyAlignment="1">
      <alignment horizontal="center" vertical="center" wrapText="1"/>
    </xf>
    <xf numFmtId="0" fontId="34" fillId="46" borderId="40" xfId="0" applyFont="1" applyFill="1" applyBorder="1" applyAlignment="1">
      <alignment horizontal="center" vertical="center" wrapText="1"/>
    </xf>
    <xf numFmtId="0" fontId="34" fillId="46" borderId="38" xfId="0" applyFont="1" applyFill="1" applyBorder="1" applyAlignment="1">
      <alignment horizontal="center" vertical="center" wrapText="1"/>
    </xf>
    <xf numFmtId="0" fontId="34" fillId="46" borderId="39" xfId="0" applyFont="1" applyFill="1" applyBorder="1" applyAlignment="1">
      <alignment horizontal="center" vertical="center" wrapText="1"/>
    </xf>
    <xf numFmtId="0" fontId="35" fillId="46" borderId="56" xfId="0" applyFont="1" applyFill="1" applyBorder="1" applyAlignment="1">
      <alignment horizontal="center"/>
    </xf>
    <xf numFmtId="0" fontId="34" fillId="48" borderId="58" xfId="0" applyFont="1" applyFill="1" applyBorder="1" applyAlignment="1">
      <alignment horizontal="center" vertical="center" wrapText="1"/>
    </xf>
    <xf numFmtId="0" fontId="34" fillId="48" borderId="57" xfId="0" applyFont="1" applyFill="1" applyBorder="1" applyAlignment="1">
      <alignment horizontal="center" vertical="center" wrapText="1"/>
    </xf>
    <xf numFmtId="0" fontId="34" fillId="48" borderId="59" xfId="0" applyFont="1" applyFill="1" applyBorder="1" applyAlignment="1">
      <alignment horizontal="center" vertical="center" wrapText="1"/>
    </xf>
    <xf numFmtId="0" fontId="35" fillId="48" borderId="56" xfId="0" applyFont="1" applyFill="1" applyBorder="1" applyAlignment="1">
      <alignment horizontal="center"/>
    </xf>
    <xf numFmtId="1" fontId="35" fillId="48" borderId="10" xfId="0" applyNumberFormat="1" applyFont="1" applyFill="1" applyBorder="1" applyAlignment="1">
      <alignment horizontal="center"/>
    </xf>
    <xf numFmtId="165" fontId="35" fillId="48" borderId="10" xfId="0" applyNumberFormat="1" applyFont="1" applyFill="1" applyBorder="1" applyAlignment="1">
      <alignment horizontal="center"/>
    </xf>
    <xf numFmtId="1" fontId="35" fillId="48" borderId="37" xfId="0" applyNumberFormat="1" applyFont="1" applyFill="1" applyBorder="1" applyAlignment="1">
      <alignment horizontal="center"/>
    </xf>
    <xf numFmtId="165" fontId="35" fillId="48" borderId="37" xfId="0" applyNumberFormat="1" applyFont="1" applyFill="1" applyBorder="1" applyAlignment="1">
      <alignment horizontal="center"/>
    </xf>
    <xf numFmtId="0" fontId="34" fillId="49" borderId="58" xfId="0" applyFont="1" applyFill="1" applyBorder="1" applyAlignment="1">
      <alignment horizontal="center" vertical="center" wrapText="1"/>
    </xf>
    <xf numFmtId="0" fontId="34" fillId="49" borderId="57" xfId="0" applyFont="1" applyFill="1" applyBorder="1" applyAlignment="1">
      <alignment horizontal="center" vertical="center" wrapText="1"/>
    </xf>
    <xf numFmtId="0" fontId="34" fillId="49" borderId="59" xfId="0" applyFont="1" applyFill="1" applyBorder="1" applyAlignment="1">
      <alignment horizontal="center" vertical="center" wrapText="1"/>
    </xf>
    <xf numFmtId="0" fontId="35" fillId="49" borderId="56" xfId="0" applyFont="1" applyFill="1" applyBorder="1" applyAlignment="1">
      <alignment horizontal="center"/>
    </xf>
    <xf numFmtId="1" fontId="35" fillId="49" borderId="10" xfId="0" applyNumberFormat="1" applyFont="1" applyFill="1" applyBorder="1" applyAlignment="1">
      <alignment horizontal="center"/>
    </xf>
    <xf numFmtId="165" fontId="35" fillId="49" borderId="10" xfId="0" applyNumberFormat="1" applyFont="1" applyFill="1" applyBorder="1" applyAlignment="1">
      <alignment horizontal="center"/>
    </xf>
    <xf numFmtId="1" fontId="35" fillId="49" borderId="37" xfId="0" applyNumberFormat="1" applyFont="1" applyFill="1" applyBorder="1" applyAlignment="1">
      <alignment horizontal="center"/>
    </xf>
    <xf numFmtId="165" fontId="35" fillId="49" borderId="37" xfId="0" applyNumberFormat="1" applyFont="1" applyFill="1" applyBorder="1" applyAlignment="1">
      <alignment horizontal="center"/>
    </xf>
    <xf numFmtId="0" fontId="34" fillId="0" borderId="53" xfId="0" applyFont="1" applyBorder="1" applyAlignment="1">
      <alignment horizontal="center" vertical="center" wrapText="1"/>
    </xf>
    <xf numFmtId="0" fontId="34" fillId="0" borderId="54" xfId="0" applyFont="1" applyBorder="1" applyAlignment="1">
      <alignment horizontal="center" vertical="center" wrapText="1"/>
    </xf>
    <xf numFmtId="0" fontId="34" fillId="43" borderId="54" xfId="0" applyFont="1" applyFill="1" applyBorder="1" applyAlignment="1">
      <alignment horizontal="center" vertical="center" wrapText="1"/>
    </xf>
    <xf numFmtId="0" fontId="34" fillId="43" borderId="55" xfId="0" applyFont="1" applyFill="1" applyBorder="1" applyAlignment="1">
      <alignment horizontal="center" vertical="center" wrapText="1"/>
    </xf>
    <xf numFmtId="0" fontId="34" fillId="46" borderId="54" xfId="0" applyFont="1" applyFill="1" applyBorder="1" applyAlignment="1">
      <alignment horizontal="center" vertical="center" wrapText="1"/>
    </xf>
    <xf numFmtId="0" fontId="34" fillId="46" borderId="55" xfId="0" applyFont="1" applyFill="1" applyBorder="1" applyAlignment="1">
      <alignment horizontal="center" vertical="center" wrapText="1"/>
    </xf>
    <xf numFmtId="0" fontId="34" fillId="48" borderId="54" xfId="0" applyFont="1" applyFill="1" applyBorder="1" applyAlignment="1">
      <alignment horizontal="center" vertical="center" wrapText="1"/>
    </xf>
    <xf numFmtId="0" fontId="34" fillId="48" borderId="55" xfId="0" applyFont="1" applyFill="1" applyBorder="1" applyAlignment="1">
      <alignment horizontal="center" vertical="center" wrapText="1"/>
    </xf>
    <xf numFmtId="0" fontId="34" fillId="49" borderId="54" xfId="0" applyFont="1" applyFill="1" applyBorder="1" applyAlignment="1">
      <alignment horizontal="center" vertical="center" wrapText="1"/>
    </xf>
    <xf numFmtId="0" fontId="34" fillId="49" borderId="55" xfId="0" applyFont="1" applyFill="1" applyBorder="1" applyAlignment="1">
      <alignment horizontal="center" vertical="center" wrapText="1"/>
    </xf>
    <xf numFmtId="165" fontId="35" fillId="48" borderId="56" xfId="0" applyNumberFormat="1" applyFont="1" applyFill="1" applyBorder="1" applyAlignment="1">
      <alignment horizontal="center"/>
    </xf>
    <xf numFmtId="1" fontId="35" fillId="48" borderId="56" xfId="0" applyNumberFormat="1" applyFont="1" applyFill="1" applyBorder="1" applyAlignment="1">
      <alignment horizontal="center"/>
    </xf>
    <xf numFmtId="165" fontId="35" fillId="49" borderId="56" xfId="0" applyNumberFormat="1" applyFont="1" applyFill="1" applyBorder="1" applyAlignment="1">
      <alignment horizontal="center"/>
    </xf>
  </cellXfs>
  <cellStyles count="46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Incorreto" xfId="8" builtinId="27" customBuiltin="1"/>
    <cellStyle name="Neutra" xfId="9" builtinId="28" customBuiltin="1"/>
    <cellStyle name="Normal" xfId="0" builtinId="0"/>
    <cellStyle name="Normal 2" xfId="43"/>
    <cellStyle name="Normal 3" xfId="45"/>
    <cellStyle name="Nota" xfId="16" builtinId="10" customBuiltin="1"/>
    <cellStyle name="Porcentagem" xfId="1" builtinId="5"/>
    <cellStyle name="Porcentagem 2" xfId="44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scheme val="none"/>
      </font>
      <numFmt numFmtId="165" formatCode="0.0"/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auto="1"/>
        </left>
        <right/>
        <top/>
        <bottom/>
        <vertical style="medium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scheme val="none"/>
      </font>
      <numFmt numFmtId="1" formatCode="0"/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/>
        <bottom/>
        <vertical style="medium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scheme val="none"/>
      </font>
      <numFmt numFmtId="165" formatCode="0.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/>
        <bottom/>
        <vertical style="medium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scheme val="none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/>
        <bottom/>
        <vertical style="medium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scheme val="none"/>
      </font>
      <numFmt numFmtId="165" formatCode="0.0"/>
      <alignment horizontal="center" vertical="bottom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/>
        <bottom/>
        <vertical style="medium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/>
        <bottom/>
        <vertical style="medium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scheme val="none"/>
      </font>
      <alignment horizontal="center" vertical="bottom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/>
        <bottom/>
        <vertical style="medium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scheme val="none"/>
      </font>
      <numFmt numFmtId="165" formatCode="0.0"/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/>
        <bottom/>
        <vertical style="medium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scheme val="none"/>
      </font>
      <numFmt numFmtId="1" formatCode="0"/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/>
        <bottom/>
        <vertical style="medium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scheme val="none"/>
      </font>
      <numFmt numFmtId="165" formatCode="0.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/>
        <bottom/>
        <vertical style="medium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scheme val="none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/>
        <bottom/>
        <vertical style="medium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scheme val="none"/>
      </font>
      <numFmt numFmtId="165" formatCode="0.0"/>
      <alignment horizontal="center" vertical="bottom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/>
        <bottom/>
        <vertical style="medium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/>
        <bottom/>
        <vertical style="medium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scheme val="none"/>
      </font>
      <alignment horizontal="center" vertical="bottom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/>
        <bottom/>
        <vertical style="medium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scheme val="none"/>
      </font>
      <numFmt numFmtId="165" formatCode="0.0"/>
      <alignment horizontal="center" vertical="bottom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/>
        <bottom/>
        <vertical style="medium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/>
        <bottom/>
        <vertical style="medium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scheme val="none"/>
      </font>
      <numFmt numFmtId="165" formatCode="0.0"/>
      <alignment horizontal="center" vertical="bottom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/>
        <bottom/>
        <vertical style="medium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/>
        <bottom/>
        <vertical style="medium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scheme val="none"/>
      </font>
      <numFmt numFmtId="165" formatCode="0.0"/>
      <alignment horizontal="center" vertical="bottom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/>
        <bottom/>
        <vertical style="medium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/>
        <bottom/>
        <vertical style="medium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medium">
          <color auto="1"/>
        </right>
        <top/>
        <bottom/>
        <vertical style="medium">
          <color auto="1"/>
        </vertical>
        <horizontal/>
      </border>
    </dxf>
    <dxf>
      <border outline="0"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scheme val="none"/>
      </font>
      <alignment horizontal="center" vertical="bottom" textRotation="0" wrapText="0" indent="0" justifyLastLine="0" shrinkToFit="0" readingOrder="0"/>
    </dxf>
    <dxf>
      <border diagonalUp="0" diagonalDown="0">
        <left style="medium">
          <color auto="1"/>
        </left>
        <right style="medium">
          <color auto="1"/>
        </right>
        <top/>
        <bottom/>
        <vertical style="medium">
          <color auto="1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Plan1!$G$31</c:f>
              <c:strCache>
                <c:ptCount val="1"/>
                <c:pt idx="0">
                  <c:v>SLA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Plan1!$F$32:$F$36</c:f>
              <c:strCache>
                <c:ptCount val="5"/>
                <c:pt idx="0">
                  <c:v>Janeiro</c:v>
                </c:pt>
                <c:pt idx="1">
                  <c:v>Fevereiro</c:v>
                </c:pt>
                <c:pt idx="2">
                  <c:v>Marco</c:v>
                </c:pt>
                <c:pt idx="3">
                  <c:v>Abril</c:v>
                </c:pt>
                <c:pt idx="4">
                  <c:v>Maio</c:v>
                </c:pt>
              </c:strCache>
            </c:strRef>
          </c:cat>
          <c:val>
            <c:numRef>
              <c:f>Plan1!$G$32:$G$36</c:f>
              <c:numCache>
                <c:formatCode>0%</c:formatCode>
                <c:ptCount val="5"/>
                <c:pt idx="0">
                  <c:v>0.87</c:v>
                </c:pt>
                <c:pt idx="1">
                  <c:v>0.62</c:v>
                </c:pt>
                <c:pt idx="2" formatCode="0.0%">
                  <c:v>0.312</c:v>
                </c:pt>
                <c:pt idx="3" formatCode="0.0%">
                  <c:v>0.318</c:v>
                </c:pt>
                <c:pt idx="4" formatCode="0.0%">
                  <c:v>0.43099999999999999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9855232"/>
        <c:axId val="149873408"/>
      </c:barChart>
      <c:lineChart>
        <c:grouping val="standard"/>
        <c:varyColors val="0"/>
        <c:ser>
          <c:idx val="1"/>
          <c:order val="1"/>
          <c:tx>
            <c:strRef>
              <c:f>Plan1!$H$31</c:f>
              <c:strCache>
                <c:ptCount val="1"/>
                <c:pt idx="0">
                  <c:v>Aging</c:v>
                </c:pt>
              </c:strCache>
            </c:strRef>
          </c:tx>
          <c:spPr>
            <a:ln>
              <a:solidFill>
                <a:schemeClr val="bg2">
                  <a:lumMod val="25000"/>
                </a:schemeClr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2.2222222222222223E-2"/>
                  <c:y val="2.31477836103820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>
                <c:manualLayout>
                  <c:x val="-1.3888888888888888E-2"/>
                  <c:y val="5.5555555555555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layout>
                <c:manualLayout>
                  <c:x val="5.5555555555555558E-3"/>
                  <c:y val="-2.77777777777777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Plan1!$F$32:$F$36</c:f>
              <c:strCache>
                <c:ptCount val="5"/>
                <c:pt idx="0">
                  <c:v>Janeiro</c:v>
                </c:pt>
                <c:pt idx="1">
                  <c:v>Fevereiro</c:v>
                </c:pt>
                <c:pt idx="2">
                  <c:v>Marco</c:v>
                </c:pt>
                <c:pt idx="3">
                  <c:v>Abril</c:v>
                </c:pt>
                <c:pt idx="4">
                  <c:v>Maio</c:v>
                </c:pt>
              </c:strCache>
            </c:strRef>
          </c:cat>
          <c:val>
            <c:numRef>
              <c:f>Plan1!$H$32:$H$36</c:f>
              <c:numCache>
                <c:formatCode>0.0</c:formatCode>
                <c:ptCount val="5"/>
                <c:pt idx="0">
                  <c:v>3.98</c:v>
                </c:pt>
                <c:pt idx="1">
                  <c:v>2.69</c:v>
                </c:pt>
                <c:pt idx="2">
                  <c:v>2.75</c:v>
                </c:pt>
                <c:pt idx="3">
                  <c:v>1.93</c:v>
                </c:pt>
                <c:pt idx="4">
                  <c:v>1.38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855232"/>
        <c:axId val="149873408"/>
      </c:lineChart>
      <c:catAx>
        <c:axId val="149855232"/>
        <c:scaling>
          <c:orientation val="minMax"/>
        </c:scaling>
        <c:delete val="0"/>
        <c:axPos val="b"/>
        <c:majorTickMark val="out"/>
        <c:minorTickMark val="none"/>
        <c:tickLblPos val="nextTo"/>
        <c:crossAx val="149873408"/>
        <c:crosses val="autoZero"/>
        <c:auto val="1"/>
        <c:lblAlgn val="ctr"/>
        <c:lblOffset val="100"/>
        <c:noMultiLvlLbl val="0"/>
      </c:catAx>
      <c:valAx>
        <c:axId val="149873408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98552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tx1">
                  <a:lumMod val="65000"/>
                  <a:lumOff val="35000"/>
                  <a:alpha val="75000"/>
                </a:schemeClr>
              </a:solidFill>
            </c:spPr>
          </c:dPt>
          <c:dPt>
            <c:idx val="1"/>
            <c:invertIfNegative val="0"/>
            <c:bubble3D val="0"/>
            <c:spPr>
              <a:solidFill>
                <a:schemeClr val="accent3">
                  <a:lumMod val="50000"/>
                  <a:alpha val="75000"/>
                </a:schemeClr>
              </a:solidFill>
            </c:spPr>
          </c:dPt>
          <c:dPt>
            <c:idx val="3"/>
            <c:invertIfNegative val="0"/>
            <c:bubble3D val="0"/>
            <c:spPr>
              <a:solidFill>
                <a:srgbClr val="FF0000"/>
              </a:solidFill>
            </c:spPr>
          </c:dPt>
          <c:dPt>
            <c:idx val="4"/>
            <c:invertIfNegative val="0"/>
            <c:bubble3D val="0"/>
            <c:spPr>
              <a:solidFill>
                <a:schemeClr val="tx1">
                  <a:lumMod val="65000"/>
                  <a:lumOff val="35000"/>
                  <a:alpha val="75000"/>
                </a:schemeClr>
              </a:solidFill>
            </c:spPr>
          </c:dPt>
          <c:dPt>
            <c:idx val="5"/>
            <c:invertIfNegative val="0"/>
            <c:bubble3D val="0"/>
            <c:spPr>
              <a:solidFill>
                <a:schemeClr val="accent3">
                  <a:lumMod val="50000"/>
                  <a:alpha val="75000"/>
                </a:schemeClr>
              </a:solidFill>
            </c:spPr>
          </c:dPt>
          <c:dPt>
            <c:idx val="7"/>
            <c:invertIfNegative val="0"/>
            <c:bubble3D val="0"/>
            <c:spPr>
              <a:solidFill>
                <a:srgbClr val="FF0000"/>
              </a:solidFill>
            </c:spPr>
          </c:dPt>
          <c:dPt>
            <c:idx val="8"/>
            <c:invertIfNegative val="0"/>
            <c:bubble3D val="0"/>
            <c:spPr>
              <a:solidFill>
                <a:schemeClr val="tx1">
                  <a:lumMod val="65000"/>
                  <a:lumOff val="35000"/>
                  <a:alpha val="75000"/>
                </a:schemeClr>
              </a:solidFill>
            </c:spPr>
          </c:dPt>
          <c:dPt>
            <c:idx val="9"/>
            <c:invertIfNegative val="0"/>
            <c:bubble3D val="0"/>
            <c:spPr>
              <a:solidFill>
                <a:schemeClr val="accent3">
                  <a:lumMod val="50000"/>
                  <a:alpha val="75000"/>
                </a:schemeClr>
              </a:solidFill>
            </c:spPr>
          </c:dPt>
          <c:dPt>
            <c:idx val="11"/>
            <c:invertIfNegative val="0"/>
            <c:bubble3D val="0"/>
            <c:spPr>
              <a:solidFill>
                <a:srgbClr val="FF0000"/>
              </a:solidFill>
            </c:spPr>
          </c:dPt>
          <c:dPt>
            <c:idx val="12"/>
            <c:invertIfNegative val="0"/>
            <c:bubble3D val="0"/>
            <c:spPr>
              <a:solidFill>
                <a:schemeClr val="tx1">
                  <a:lumMod val="65000"/>
                  <a:lumOff val="35000"/>
                  <a:alpha val="75000"/>
                </a:schemeClr>
              </a:solidFill>
            </c:spPr>
          </c:dPt>
          <c:dPt>
            <c:idx val="13"/>
            <c:invertIfNegative val="0"/>
            <c:bubble3D val="0"/>
            <c:spPr>
              <a:solidFill>
                <a:schemeClr val="accent3">
                  <a:lumMod val="50000"/>
                  <a:alpha val="75000"/>
                </a:schemeClr>
              </a:solidFill>
            </c:spPr>
          </c:dPt>
          <c:dPt>
            <c:idx val="15"/>
            <c:invertIfNegative val="0"/>
            <c:bubble3D val="0"/>
            <c:spPr>
              <a:solidFill>
                <a:srgbClr val="FF0000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multiLvlStrRef>
              <c:f>Plan1!$L$4:$M$19</c:f>
              <c:multiLvlStrCache>
                <c:ptCount val="16"/>
                <c:lvl>
                  <c:pt idx="0">
                    <c:v>Aberto</c:v>
                  </c:pt>
                  <c:pt idx="1">
                    <c:v>Resolvido na semana</c:v>
                  </c:pt>
                  <c:pt idx="2">
                    <c:v>Resolvido total</c:v>
                  </c:pt>
                  <c:pt idx="3">
                    <c:v>Backlog</c:v>
                  </c:pt>
                  <c:pt idx="4">
                    <c:v>Aberto</c:v>
                  </c:pt>
                  <c:pt idx="5">
                    <c:v>Resolvido na semana</c:v>
                  </c:pt>
                  <c:pt idx="6">
                    <c:v>Resolvido total</c:v>
                  </c:pt>
                  <c:pt idx="7">
                    <c:v>Backlog</c:v>
                  </c:pt>
                  <c:pt idx="8">
                    <c:v>Aberto</c:v>
                  </c:pt>
                  <c:pt idx="9">
                    <c:v>Resolvido na semana</c:v>
                  </c:pt>
                  <c:pt idx="10">
                    <c:v>Resolvido total</c:v>
                  </c:pt>
                  <c:pt idx="11">
                    <c:v>Backlog</c:v>
                  </c:pt>
                  <c:pt idx="12">
                    <c:v>Aberto</c:v>
                  </c:pt>
                  <c:pt idx="13">
                    <c:v>Resolvido na semana</c:v>
                  </c:pt>
                  <c:pt idx="14">
                    <c:v>Resolvido total</c:v>
                  </c:pt>
                  <c:pt idx="15">
                    <c:v>Backlog</c:v>
                  </c:pt>
                </c:lvl>
                <c:lvl>
                  <c:pt idx="0">
                    <c:v>Maio de 1 a 9</c:v>
                  </c:pt>
                  <c:pt idx="4">
                    <c:v>Maio de 10 a 16</c:v>
                  </c:pt>
                  <c:pt idx="8">
                    <c:v>Maio de 17 a 23</c:v>
                  </c:pt>
                  <c:pt idx="12">
                    <c:v>Maio de 24 a 31</c:v>
                  </c:pt>
                </c:lvl>
              </c:multiLvlStrCache>
            </c:multiLvlStrRef>
          </c:cat>
          <c:val>
            <c:numRef>
              <c:f>Plan1!$N$4:$N$19</c:f>
              <c:numCache>
                <c:formatCode>General</c:formatCode>
                <c:ptCount val="16"/>
                <c:pt idx="0">
                  <c:v>146</c:v>
                </c:pt>
                <c:pt idx="1">
                  <c:v>87</c:v>
                </c:pt>
                <c:pt idx="2">
                  <c:v>139</c:v>
                </c:pt>
                <c:pt idx="3">
                  <c:v>7</c:v>
                </c:pt>
                <c:pt idx="4">
                  <c:v>140</c:v>
                </c:pt>
                <c:pt idx="5">
                  <c:v>84</c:v>
                </c:pt>
                <c:pt idx="6">
                  <c:v>130</c:v>
                </c:pt>
                <c:pt idx="7">
                  <c:v>10</c:v>
                </c:pt>
                <c:pt idx="8">
                  <c:v>109</c:v>
                </c:pt>
                <c:pt idx="9">
                  <c:v>65</c:v>
                </c:pt>
                <c:pt idx="10">
                  <c:v>102</c:v>
                </c:pt>
                <c:pt idx="11">
                  <c:v>7</c:v>
                </c:pt>
                <c:pt idx="12">
                  <c:v>104</c:v>
                </c:pt>
                <c:pt idx="13">
                  <c:v>79</c:v>
                </c:pt>
                <c:pt idx="14">
                  <c:v>92</c:v>
                </c:pt>
                <c:pt idx="15">
                  <c:v>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"/>
        <c:axId val="215062400"/>
        <c:axId val="215063936"/>
      </c:barChart>
      <c:catAx>
        <c:axId val="215062400"/>
        <c:scaling>
          <c:orientation val="minMax"/>
        </c:scaling>
        <c:delete val="0"/>
        <c:axPos val="b"/>
        <c:majorTickMark val="out"/>
        <c:minorTickMark val="none"/>
        <c:tickLblPos val="nextTo"/>
        <c:crossAx val="215063936"/>
        <c:crosses val="autoZero"/>
        <c:auto val="1"/>
        <c:lblAlgn val="ctr"/>
        <c:lblOffset val="100"/>
        <c:noMultiLvlLbl val="0"/>
      </c:catAx>
      <c:valAx>
        <c:axId val="21506393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150624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</c:spPr>
          </c:dPt>
          <c:dPt>
            <c:idx val="1"/>
            <c:invertIfNegative val="0"/>
            <c:bubble3D val="0"/>
            <c:spPr>
              <a:solidFill>
                <a:schemeClr val="accent3">
                  <a:lumMod val="50000"/>
                  <a:alpha val="75000"/>
                </a:schemeClr>
              </a:solidFill>
            </c:spPr>
          </c:dPt>
          <c:dPt>
            <c:idx val="2"/>
            <c:invertIfNegative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</c:spPr>
          </c:dPt>
          <c:dPt>
            <c:idx val="3"/>
            <c:invertIfNegative val="0"/>
            <c:bubble3D val="0"/>
            <c:spPr>
              <a:solidFill>
                <a:schemeClr val="accent3">
                  <a:lumMod val="50000"/>
                  <a:alpha val="75000"/>
                </a:schemeClr>
              </a:solidFill>
            </c:spPr>
          </c:dPt>
          <c:dPt>
            <c:idx val="4"/>
            <c:invertIfNegative val="0"/>
            <c:bubble3D val="0"/>
            <c:spPr>
              <a:solidFill>
                <a:schemeClr val="tx1">
                  <a:lumMod val="85000"/>
                  <a:lumOff val="15000"/>
                  <a:alpha val="75000"/>
                </a:schemeClr>
              </a:solidFill>
            </c:spPr>
          </c:dPt>
          <c:dPt>
            <c:idx val="5"/>
            <c:invertIfNegative val="0"/>
            <c:bubble3D val="0"/>
            <c:spPr>
              <a:solidFill>
                <a:schemeClr val="accent3">
                  <a:lumMod val="50000"/>
                  <a:alpha val="75000"/>
                </a:schemeClr>
              </a:solidFill>
            </c:spPr>
          </c:dPt>
          <c:dPt>
            <c:idx val="6"/>
            <c:invertIfNegative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</c:spPr>
          </c:dPt>
          <c:dPt>
            <c:idx val="7"/>
            <c:invertIfNegative val="0"/>
            <c:bubble3D val="0"/>
            <c:spPr>
              <a:solidFill>
                <a:schemeClr val="accent3">
                  <a:lumMod val="50000"/>
                  <a:alpha val="75000"/>
                </a:schemeClr>
              </a:solidFill>
            </c:spPr>
          </c:dPt>
          <c:dPt>
            <c:idx val="8"/>
            <c:invertIfNegative val="0"/>
            <c:bubble3D val="0"/>
            <c:spPr>
              <a:solidFill>
                <a:schemeClr val="tx1">
                  <a:lumMod val="75000"/>
                  <a:lumOff val="25000"/>
                </a:schemeClr>
              </a:solidFill>
            </c:spPr>
          </c:dPt>
          <c:dPt>
            <c:idx val="9"/>
            <c:invertIfNegative val="0"/>
            <c:bubble3D val="0"/>
            <c:spPr>
              <a:solidFill>
                <a:schemeClr val="accent3">
                  <a:lumMod val="50000"/>
                  <a:alpha val="75000"/>
                </a:schemeClr>
              </a:solidFill>
            </c:spPr>
          </c:dPt>
          <c:dPt>
            <c:idx val="10"/>
            <c:invertIfNegative val="0"/>
            <c:bubble3D val="0"/>
            <c:spPr>
              <a:solidFill>
                <a:schemeClr val="accent3">
                  <a:lumMod val="50000"/>
                  <a:alpha val="75000"/>
                </a:schemeClr>
              </a:solidFill>
            </c:spPr>
          </c:dPt>
          <c:dPt>
            <c:idx val="11"/>
            <c:invertIfNegative val="0"/>
            <c:bubble3D val="0"/>
            <c:spPr>
              <a:solidFill>
                <a:srgbClr val="0070C0"/>
              </a:solidFill>
            </c:spPr>
          </c:dPt>
          <c:dPt>
            <c:idx val="12"/>
            <c:invertIfNegative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</c:spPr>
          </c:dPt>
          <c:dPt>
            <c:idx val="13"/>
            <c:invertIfNegative val="0"/>
            <c:bubble3D val="0"/>
            <c:spPr>
              <a:solidFill>
                <a:schemeClr val="accent3">
                  <a:lumMod val="50000"/>
                  <a:alpha val="75000"/>
                </a:schemeClr>
              </a:solidFill>
            </c:spPr>
          </c:dPt>
          <c:dPt>
            <c:idx val="14"/>
            <c:invertIfNegative val="0"/>
            <c:bubble3D val="0"/>
            <c:spPr>
              <a:solidFill>
                <a:srgbClr val="0070C0"/>
              </a:solidFill>
            </c:spPr>
          </c:dPt>
          <c:dPt>
            <c:idx val="15"/>
            <c:invertIfNegative val="0"/>
            <c:bubble3D val="0"/>
            <c:spPr>
              <a:solidFill>
                <a:srgbClr val="FF0000"/>
              </a:solidFill>
            </c:spPr>
          </c:dPt>
          <c:dPt>
            <c:idx val="16"/>
            <c:invertIfNegative val="0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</c:spPr>
          </c:dPt>
          <c:dPt>
            <c:idx val="17"/>
            <c:invertIfNegative val="0"/>
            <c:bubble3D val="0"/>
            <c:spPr>
              <a:solidFill>
                <a:schemeClr val="accent3">
                  <a:lumMod val="50000"/>
                  <a:alpha val="75000"/>
                </a:schemeClr>
              </a:solidFill>
            </c:spPr>
          </c:dPt>
          <c:dPt>
            <c:idx val="18"/>
            <c:invertIfNegative val="0"/>
            <c:bubble3D val="0"/>
            <c:spPr>
              <a:solidFill>
                <a:srgbClr val="0070C0"/>
              </a:solidFill>
            </c:spPr>
          </c:dPt>
          <c:dPt>
            <c:idx val="19"/>
            <c:invertIfNegative val="0"/>
            <c:bubble3D val="0"/>
            <c:spPr>
              <a:solidFill>
                <a:srgbClr val="FF0000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multiLvlStrRef>
              <c:f>Plan1!$A$5:$B$14</c:f>
              <c:multiLvlStrCache>
                <c:ptCount val="10"/>
                <c:lvl>
                  <c:pt idx="0">
                    <c:v>Aberto</c:v>
                  </c:pt>
                  <c:pt idx="1">
                    <c:v>Resolvido total</c:v>
                  </c:pt>
                  <c:pt idx="2">
                    <c:v>Aberto</c:v>
                  </c:pt>
                  <c:pt idx="3">
                    <c:v>Resolvido total</c:v>
                  </c:pt>
                  <c:pt idx="4">
                    <c:v>Aberto</c:v>
                  </c:pt>
                  <c:pt idx="5">
                    <c:v>Resolvido total</c:v>
                  </c:pt>
                  <c:pt idx="6">
                    <c:v>Aberto</c:v>
                  </c:pt>
                  <c:pt idx="7">
                    <c:v>Resolvido total</c:v>
                  </c:pt>
                  <c:pt idx="8">
                    <c:v>Aberto</c:v>
                  </c:pt>
                  <c:pt idx="9">
                    <c:v>Resolvido total</c:v>
                  </c:pt>
                </c:lvl>
                <c:lvl>
                  <c:pt idx="0">
                    <c:v>Janeiro</c:v>
                  </c:pt>
                  <c:pt idx="2">
                    <c:v>Fevereiro</c:v>
                  </c:pt>
                  <c:pt idx="4">
                    <c:v>Março</c:v>
                  </c:pt>
                  <c:pt idx="6">
                    <c:v>Abril</c:v>
                  </c:pt>
                  <c:pt idx="8">
                    <c:v>Maio</c:v>
                  </c:pt>
                </c:lvl>
              </c:multiLvlStrCache>
            </c:multiLvlStrRef>
          </c:cat>
          <c:val>
            <c:numRef>
              <c:f>Plan1!$C$5:$C$14</c:f>
              <c:numCache>
                <c:formatCode>General</c:formatCode>
                <c:ptCount val="10"/>
                <c:pt idx="0">
                  <c:v>212</c:v>
                </c:pt>
                <c:pt idx="1">
                  <c:v>210</c:v>
                </c:pt>
                <c:pt idx="2">
                  <c:v>373</c:v>
                </c:pt>
                <c:pt idx="3">
                  <c:v>339</c:v>
                </c:pt>
                <c:pt idx="4">
                  <c:v>568</c:v>
                </c:pt>
                <c:pt idx="5">
                  <c:v>540</c:v>
                </c:pt>
                <c:pt idx="6">
                  <c:v>522</c:v>
                </c:pt>
                <c:pt idx="7">
                  <c:v>496</c:v>
                </c:pt>
                <c:pt idx="8">
                  <c:v>499</c:v>
                </c:pt>
                <c:pt idx="9">
                  <c:v>446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"/>
        <c:axId val="217528960"/>
        <c:axId val="217534848"/>
      </c:barChart>
      <c:catAx>
        <c:axId val="217528960"/>
        <c:scaling>
          <c:orientation val="minMax"/>
        </c:scaling>
        <c:delete val="0"/>
        <c:axPos val="b"/>
        <c:majorTickMark val="out"/>
        <c:minorTickMark val="none"/>
        <c:tickLblPos val="nextTo"/>
        <c:crossAx val="217534848"/>
        <c:crosses val="autoZero"/>
        <c:auto val="1"/>
        <c:lblAlgn val="ctr"/>
        <c:lblOffset val="100"/>
        <c:noMultiLvlLbl val="0"/>
      </c:catAx>
      <c:valAx>
        <c:axId val="217534848"/>
        <c:scaling>
          <c:orientation val="minMax"/>
          <c:max val="580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crossAx val="217528960"/>
        <c:crosses val="autoZero"/>
        <c:crossBetween val="between"/>
        <c:majorUnit val="50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Plan3!$R$2</c:f>
              <c:strCache>
                <c:ptCount val="1"/>
                <c:pt idx="0">
                  <c:v>SLA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Plan3!$Q$3:$Q$7</c:f>
              <c:strCache>
                <c:ptCount val="5"/>
                <c:pt idx="0">
                  <c:v>Janeiro</c:v>
                </c:pt>
                <c:pt idx="1">
                  <c:v>Fevereiro</c:v>
                </c:pt>
                <c:pt idx="2">
                  <c:v>Marco</c:v>
                </c:pt>
                <c:pt idx="3">
                  <c:v>Abril</c:v>
                </c:pt>
                <c:pt idx="4">
                  <c:v>Maio</c:v>
                </c:pt>
              </c:strCache>
            </c:strRef>
          </c:cat>
          <c:val>
            <c:numRef>
              <c:f>Plan3!$R$3:$R$7</c:f>
              <c:numCache>
                <c:formatCode>0.0%</c:formatCode>
                <c:ptCount val="5"/>
                <c:pt idx="0">
                  <c:v>0.87037037037037035</c:v>
                </c:pt>
                <c:pt idx="1">
                  <c:v>0.62037037037037035</c:v>
                </c:pt>
                <c:pt idx="2">
                  <c:v>0.45268542199488493</c:v>
                </c:pt>
                <c:pt idx="3">
                  <c:v>0.31845841784989859</c:v>
                </c:pt>
                <c:pt idx="4">
                  <c:v>0.3996282527881041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7656704"/>
        <c:axId val="217687168"/>
      </c:barChart>
      <c:lineChart>
        <c:grouping val="standard"/>
        <c:varyColors val="0"/>
        <c:ser>
          <c:idx val="1"/>
          <c:order val="1"/>
          <c:tx>
            <c:strRef>
              <c:f>Plan3!$S$2</c:f>
              <c:strCache>
                <c:ptCount val="1"/>
                <c:pt idx="0">
                  <c:v>Aging</c:v>
                </c:pt>
              </c:strCache>
            </c:strRef>
          </c:tx>
          <c:spPr>
            <a:ln>
              <a:solidFill>
                <a:schemeClr val="bg2">
                  <a:lumMod val="25000"/>
                </a:schemeClr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2.2222222222222223E-2"/>
                  <c:y val="2.31477836103820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>
                <c:manualLayout>
                  <c:x val="-1.3888888888888888E-2"/>
                  <c:y val="5.5555555555555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layout>
                <c:manualLayout>
                  <c:x val="5.5555555555555558E-3"/>
                  <c:y val="-2.77777777777777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Plan3!$Q$3:$Q$7</c:f>
              <c:strCache>
                <c:ptCount val="5"/>
                <c:pt idx="0">
                  <c:v>Janeiro</c:v>
                </c:pt>
                <c:pt idx="1">
                  <c:v>Fevereiro</c:v>
                </c:pt>
                <c:pt idx="2">
                  <c:v>Marco</c:v>
                </c:pt>
                <c:pt idx="3">
                  <c:v>Abril</c:v>
                </c:pt>
                <c:pt idx="4">
                  <c:v>Maio</c:v>
                </c:pt>
              </c:strCache>
            </c:strRef>
          </c:cat>
          <c:val>
            <c:numRef>
              <c:f>Plan3!$S$3:$S$7</c:f>
              <c:numCache>
                <c:formatCode>0.0</c:formatCode>
                <c:ptCount val="5"/>
                <c:pt idx="0">
                  <c:v>4</c:v>
                </c:pt>
                <c:pt idx="1">
                  <c:v>6</c:v>
                </c:pt>
                <c:pt idx="2">
                  <c:v>6</c:v>
                </c:pt>
                <c:pt idx="3">
                  <c:v>4</c:v>
                </c:pt>
                <c:pt idx="4">
                  <c:v>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7656704"/>
        <c:axId val="217687168"/>
      </c:lineChart>
      <c:catAx>
        <c:axId val="2176567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7687168"/>
        <c:crosses val="autoZero"/>
        <c:auto val="1"/>
        <c:lblAlgn val="ctr"/>
        <c:lblOffset val="100"/>
        <c:noMultiLvlLbl val="0"/>
      </c:catAx>
      <c:valAx>
        <c:axId val="217687168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2176567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Plan3!$J$1</c:f>
              <c:strCache>
                <c:ptCount val="1"/>
                <c:pt idx="0">
                  <c:v>SLA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Plan3!$F$2:$F$6</c:f>
              <c:strCache>
                <c:ptCount val="5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</c:strCache>
            </c:strRef>
          </c:cat>
          <c:val>
            <c:numRef>
              <c:f>Plan3!$J$2:$J$6</c:f>
              <c:numCache>
                <c:formatCode>0.0%</c:formatCode>
                <c:ptCount val="5"/>
                <c:pt idx="0">
                  <c:v>0.84285714285714286</c:v>
                </c:pt>
                <c:pt idx="1">
                  <c:v>0.46607669616519176</c:v>
                </c:pt>
                <c:pt idx="2">
                  <c:v>0.29704797047970477</c:v>
                </c:pt>
                <c:pt idx="3">
                  <c:v>0.32669322709163345</c:v>
                </c:pt>
                <c:pt idx="4">
                  <c:v>0.56991525423728817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7848832"/>
        <c:axId val="217862912"/>
      </c:barChart>
      <c:lineChart>
        <c:grouping val="standard"/>
        <c:varyColors val="0"/>
        <c:ser>
          <c:idx val="1"/>
          <c:order val="1"/>
          <c:tx>
            <c:strRef>
              <c:f>Plan3!$K$1</c:f>
              <c:strCache>
                <c:ptCount val="1"/>
                <c:pt idx="0">
                  <c:v>Aging</c:v>
                </c:pt>
              </c:strCache>
            </c:strRef>
          </c:tx>
          <c:spPr>
            <a:ln>
              <a:solidFill>
                <a:schemeClr val="bg2">
                  <a:lumMod val="25000"/>
                </a:schemeClr>
              </a:solidFill>
            </a:ln>
          </c:spPr>
          <c:marker>
            <c:symbol val="none"/>
          </c:marker>
          <c:dLbls>
            <c:dLbl>
              <c:idx val="2"/>
              <c:layout>
                <c:manualLayout>
                  <c:x val="5.0925337632079971E-17"/>
                  <c:y val="-2.31481481481482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layout>
                <c:manualLayout>
                  <c:x val="0"/>
                  <c:y val="-3.70370370370370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layout>
                <c:manualLayout>
                  <c:x val="-1.6666666666666666E-2"/>
                  <c:y val="-6.94444444444445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Plan3!$F$2:$F$6</c:f>
              <c:strCache>
                <c:ptCount val="5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</c:strCache>
            </c:strRef>
          </c:cat>
          <c:val>
            <c:numRef>
              <c:f>Plan3!$K$2:$K$6</c:f>
              <c:numCache>
                <c:formatCode>General</c:formatCode>
                <c:ptCount val="5"/>
                <c:pt idx="0">
                  <c:v>17.309999999999999</c:v>
                </c:pt>
                <c:pt idx="1">
                  <c:v>9.43</c:v>
                </c:pt>
                <c:pt idx="2">
                  <c:v>5.53</c:v>
                </c:pt>
                <c:pt idx="3">
                  <c:v>4.45</c:v>
                </c:pt>
                <c:pt idx="4">
                  <c:v>3.09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7848832"/>
        <c:axId val="217862912"/>
      </c:lineChart>
      <c:catAx>
        <c:axId val="217848832"/>
        <c:scaling>
          <c:orientation val="minMax"/>
        </c:scaling>
        <c:delete val="0"/>
        <c:axPos val="b"/>
        <c:majorTickMark val="out"/>
        <c:minorTickMark val="none"/>
        <c:tickLblPos val="nextTo"/>
        <c:crossAx val="217862912"/>
        <c:crosses val="autoZero"/>
        <c:auto val="1"/>
        <c:lblAlgn val="ctr"/>
        <c:lblOffset val="100"/>
        <c:noMultiLvlLbl val="0"/>
      </c:catAx>
      <c:valAx>
        <c:axId val="217862912"/>
        <c:scaling>
          <c:orientation val="minMax"/>
        </c:scaling>
        <c:delete val="1"/>
        <c:axPos val="l"/>
        <c:numFmt formatCode="0.0%" sourceLinked="1"/>
        <c:majorTickMark val="out"/>
        <c:minorTickMark val="none"/>
        <c:tickLblPos val="nextTo"/>
        <c:crossAx val="2178488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Plan3!$J$8</c:f>
              <c:strCache>
                <c:ptCount val="1"/>
                <c:pt idx="0">
                  <c:v>SLA resolução DA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Plan3!$F$9:$F$13</c:f>
              <c:strCache>
                <c:ptCount val="5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</c:strCache>
            </c:strRef>
          </c:cat>
          <c:val>
            <c:numRef>
              <c:f>Plan3!$J$9:$J$13</c:f>
              <c:numCache>
                <c:formatCode>0.0%</c:formatCode>
                <c:ptCount val="5"/>
                <c:pt idx="0">
                  <c:v>0.91338582677165359</c:v>
                </c:pt>
                <c:pt idx="1">
                  <c:v>0.47111111111111109</c:v>
                </c:pt>
                <c:pt idx="2">
                  <c:v>0.27713625866050806</c:v>
                </c:pt>
                <c:pt idx="3">
                  <c:v>0.28672985781990523</c:v>
                </c:pt>
                <c:pt idx="4">
                  <c:v>0.39466666666666667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7901312"/>
        <c:axId val="219676672"/>
      </c:barChart>
      <c:lineChart>
        <c:grouping val="standard"/>
        <c:varyColors val="0"/>
        <c:ser>
          <c:idx val="1"/>
          <c:order val="1"/>
          <c:tx>
            <c:strRef>
              <c:f>Plan3!$K$8</c:f>
              <c:strCache>
                <c:ptCount val="1"/>
                <c:pt idx="0">
                  <c:v>Aging resolução DA</c:v>
                </c:pt>
              </c:strCache>
            </c:strRef>
          </c:tx>
          <c:dLbls>
            <c:dLbl>
              <c:idx val="2"/>
              <c:layout>
                <c:manualLayout>
                  <c:x val="5.0925337632079971E-17"/>
                  <c:y val="-2.31481481481482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layout>
                <c:manualLayout>
                  <c:x val="0"/>
                  <c:y val="-3.70370370370370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layout>
                <c:manualLayout>
                  <c:x val="-1.6666666666666666E-2"/>
                  <c:y val="-6.94444444444445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Plan3!$F$9:$F$13</c:f>
              <c:strCache>
                <c:ptCount val="5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</c:strCache>
            </c:strRef>
          </c:cat>
          <c:val>
            <c:numRef>
              <c:f>Plan3!$K$9:$K$13</c:f>
              <c:numCache>
                <c:formatCode>General</c:formatCode>
                <c:ptCount val="5"/>
                <c:pt idx="0">
                  <c:v>18.989999999999998</c:v>
                </c:pt>
                <c:pt idx="1">
                  <c:v>10.73</c:v>
                </c:pt>
                <c:pt idx="2">
                  <c:v>5.35</c:v>
                </c:pt>
                <c:pt idx="3">
                  <c:v>4.4000000000000004</c:v>
                </c:pt>
                <c:pt idx="4">
                  <c:v>3.2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7901312"/>
        <c:axId val="219676672"/>
      </c:lineChart>
      <c:catAx>
        <c:axId val="217901312"/>
        <c:scaling>
          <c:orientation val="minMax"/>
        </c:scaling>
        <c:delete val="0"/>
        <c:axPos val="b"/>
        <c:majorTickMark val="out"/>
        <c:minorTickMark val="none"/>
        <c:tickLblPos val="nextTo"/>
        <c:crossAx val="219676672"/>
        <c:crosses val="autoZero"/>
        <c:auto val="1"/>
        <c:lblAlgn val="ctr"/>
        <c:lblOffset val="100"/>
        <c:noMultiLvlLbl val="0"/>
      </c:catAx>
      <c:valAx>
        <c:axId val="219676672"/>
        <c:scaling>
          <c:orientation val="minMax"/>
        </c:scaling>
        <c:delete val="1"/>
        <c:axPos val="l"/>
        <c:numFmt formatCode="0.0%" sourceLinked="1"/>
        <c:majorTickMark val="out"/>
        <c:minorTickMark val="none"/>
        <c:tickLblPos val="nextTo"/>
        <c:crossAx val="2179013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Plan3!$J$15</c:f>
              <c:strCache>
                <c:ptCount val="1"/>
                <c:pt idx="0">
                  <c:v>SLA resolução DI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Plan3!$F$16:$F$20</c:f>
              <c:strCache>
                <c:ptCount val="5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</c:strCache>
            </c:strRef>
          </c:cat>
          <c:val>
            <c:numRef>
              <c:f>Plan3!$J$16:$J$20</c:f>
              <c:numCache>
                <c:formatCode>0.0%</c:formatCode>
                <c:ptCount val="5"/>
                <c:pt idx="0">
                  <c:v>0.73493975903614461</c:v>
                </c:pt>
                <c:pt idx="1">
                  <c:v>0.45132743362831856</c:v>
                </c:pt>
                <c:pt idx="2">
                  <c:v>0.37614678899082571</c:v>
                </c:pt>
                <c:pt idx="3">
                  <c:v>0.53749999999999998</c:v>
                </c:pt>
                <c:pt idx="4">
                  <c:v>0.5670103092783505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9688320"/>
        <c:axId val="219735168"/>
      </c:barChart>
      <c:lineChart>
        <c:grouping val="standard"/>
        <c:varyColors val="0"/>
        <c:ser>
          <c:idx val="1"/>
          <c:order val="1"/>
          <c:tx>
            <c:strRef>
              <c:f>Plan3!$K$15</c:f>
              <c:strCache>
                <c:ptCount val="1"/>
                <c:pt idx="0">
                  <c:v>Aging resolução DI</c:v>
                </c:pt>
              </c:strCache>
            </c:strRef>
          </c:tx>
          <c:dLbls>
            <c:dLbl>
              <c:idx val="2"/>
              <c:layout>
                <c:manualLayout>
                  <c:x val="5.0925337632079971E-17"/>
                  <c:y val="-2.31481481481482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layout>
                <c:manualLayout>
                  <c:x val="0"/>
                  <c:y val="-3.70370370370370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layout>
                <c:manualLayout>
                  <c:x val="-1.6666666666666666E-2"/>
                  <c:y val="-6.94444444444445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Plan3!$F$16:$F$20</c:f>
              <c:strCache>
                <c:ptCount val="5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</c:strCache>
            </c:strRef>
          </c:cat>
          <c:val>
            <c:numRef>
              <c:f>Plan3!$K$16:$K$20</c:f>
              <c:numCache>
                <c:formatCode>General</c:formatCode>
                <c:ptCount val="5"/>
                <c:pt idx="0">
                  <c:v>14.53</c:v>
                </c:pt>
                <c:pt idx="1">
                  <c:v>6.91</c:v>
                </c:pt>
                <c:pt idx="2">
                  <c:v>6.28</c:v>
                </c:pt>
                <c:pt idx="3">
                  <c:v>4.72</c:v>
                </c:pt>
                <c:pt idx="4">
                  <c:v>2.67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9688320"/>
        <c:axId val="219735168"/>
      </c:lineChart>
      <c:catAx>
        <c:axId val="219688320"/>
        <c:scaling>
          <c:orientation val="minMax"/>
        </c:scaling>
        <c:delete val="0"/>
        <c:axPos val="b"/>
        <c:majorTickMark val="out"/>
        <c:minorTickMark val="none"/>
        <c:tickLblPos val="nextTo"/>
        <c:crossAx val="219735168"/>
        <c:crosses val="autoZero"/>
        <c:auto val="1"/>
        <c:lblAlgn val="ctr"/>
        <c:lblOffset val="100"/>
        <c:noMultiLvlLbl val="0"/>
      </c:catAx>
      <c:valAx>
        <c:axId val="219735168"/>
        <c:scaling>
          <c:orientation val="minMax"/>
        </c:scaling>
        <c:delete val="1"/>
        <c:axPos val="l"/>
        <c:numFmt formatCode="0.0%" sourceLinked="1"/>
        <c:majorTickMark val="out"/>
        <c:minorTickMark val="none"/>
        <c:tickLblPos val="nextTo"/>
        <c:crossAx val="2196883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% transbordo de chamado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Plan3!$I$22</c:f>
              <c:strCache>
                <c:ptCount val="1"/>
                <c:pt idx="0">
                  <c:v>%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</c:spPr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Plan3!$F$23:$F$27</c:f>
              <c:strCache>
                <c:ptCount val="5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</c:strCache>
            </c:strRef>
          </c:cat>
          <c:val>
            <c:numRef>
              <c:f>Plan3!$I$23:$I$27</c:f>
              <c:numCache>
                <c:formatCode>0.0%</c:formatCode>
                <c:ptCount val="5"/>
                <c:pt idx="0">
                  <c:v>0.49056603773584906</c:v>
                </c:pt>
                <c:pt idx="1">
                  <c:v>0.32707774798927614</c:v>
                </c:pt>
                <c:pt idx="2">
                  <c:v>0.1619718309859155</c:v>
                </c:pt>
                <c:pt idx="3">
                  <c:v>0.16283524904214558</c:v>
                </c:pt>
                <c:pt idx="4">
                  <c:v>9.8196392785571143E-2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9759360"/>
        <c:axId val="219760896"/>
      </c:barChart>
      <c:catAx>
        <c:axId val="219759360"/>
        <c:scaling>
          <c:orientation val="minMax"/>
        </c:scaling>
        <c:delete val="0"/>
        <c:axPos val="b"/>
        <c:majorTickMark val="out"/>
        <c:minorTickMark val="none"/>
        <c:tickLblPos val="nextTo"/>
        <c:crossAx val="219760896"/>
        <c:crosses val="autoZero"/>
        <c:auto val="1"/>
        <c:lblAlgn val="ctr"/>
        <c:lblOffset val="100"/>
        <c:noMultiLvlLbl val="0"/>
      </c:catAx>
      <c:valAx>
        <c:axId val="219760896"/>
        <c:scaling>
          <c:orientation val="minMax"/>
        </c:scaling>
        <c:delete val="1"/>
        <c:axPos val="l"/>
        <c:numFmt formatCode="0.0%" sourceLinked="1"/>
        <c:majorTickMark val="out"/>
        <c:minorTickMark val="none"/>
        <c:tickLblPos val="nextTo"/>
        <c:crossAx val="21975936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Vol. 2015</a:t>
            </a:r>
          </a:p>
        </c:rich>
      </c:tx>
      <c:layout>
        <c:manualLayout>
          <c:xMode val="edge"/>
          <c:yMode val="edge"/>
          <c:x val="0.72806326583478742"/>
          <c:y val="2.6981455029846023E-2"/>
        </c:manualLayout>
      </c:layout>
      <c:overlay val="1"/>
    </c:title>
    <c:autoTitleDeleted val="0"/>
    <c:plotArea>
      <c:layout/>
      <c:areaChart>
        <c:grouping val="standard"/>
        <c:varyColors val="0"/>
        <c:ser>
          <c:idx val="3"/>
          <c:order val="3"/>
          <c:tx>
            <c:strRef>
              <c:f>'Gráficos V2'!$E$6</c:f>
              <c:strCache>
                <c:ptCount val="1"/>
                <c:pt idx="0">
                  <c:v>Backlog acumulado</c:v>
                </c:pt>
              </c:strCache>
            </c:strRef>
          </c:tx>
          <c:spPr>
            <a:solidFill>
              <a:srgbClr val="FF0000">
                <a:alpha val="50000"/>
              </a:srgbClr>
            </a:solidFill>
          </c:spPr>
          <c:dLbls>
            <c:dLbl>
              <c:idx val="0"/>
              <c:layout>
                <c:manualLayout>
                  <c:x val="0"/>
                  <c:y val="-6.74536375746150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>
                <c:manualLayout>
                  <c:x val="0"/>
                  <c:y val="-8.094436508953806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>
                <c:manualLayout>
                  <c:x val="-4.551985486666366E-17"/>
                  <c:y val="-8.544127426117906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layout>
                <c:manualLayout>
                  <c:x val="0"/>
                  <c:y val="-0.1349072751492301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layout>
                <c:manualLayout>
                  <c:x val="-7.4487895716945996E-3"/>
                  <c:y val="-0.1349072751492301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 anchor="t" anchorCtr="0"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'Gráficos V2'!$F$1:$J$2</c:f>
              <c:strCache>
                <c:ptCount val="5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</c:strCache>
            </c:strRef>
          </c:cat>
          <c:val>
            <c:numRef>
              <c:f>'Gráficos V2'!$F$6:$J$6</c:f>
              <c:numCache>
                <c:formatCode>General</c:formatCode>
                <c:ptCount val="5"/>
                <c:pt idx="0">
                  <c:v>2</c:v>
                </c:pt>
                <c:pt idx="1">
                  <c:v>36</c:v>
                </c:pt>
                <c:pt idx="2">
                  <c:v>64</c:v>
                </c:pt>
                <c:pt idx="3">
                  <c:v>90</c:v>
                </c:pt>
                <c:pt idx="4">
                  <c:v>117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9906048"/>
        <c:axId val="219907584"/>
      </c:areaChart>
      <c:barChart>
        <c:barDir val="col"/>
        <c:grouping val="clustered"/>
        <c:varyColors val="0"/>
        <c:ser>
          <c:idx val="0"/>
          <c:order val="0"/>
          <c:tx>
            <c:strRef>
              <c:f>'Gráficos V2'!$E$3</c:f>
              <c:strCache>
                <c:ptCount val="1"/>
                <c:pt idx="0">
                  <c:v>Chamados abertos</c:v>
                </c:pt>
              </c:strCache>
            </c:strRef>
          </c:tx>
          <c:spPr>
            <a:solidFill>
              <a:schemeClr val="tx2">
                <a:lumMod val="50000"/>
                <a:alpha val="75000"/>
              </a:schemeClr>
            </a:solidFill>
          </c:spPr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'Gráficos V2'!$F$1:$J$2</c:f>
              <c:strCache>
                <c:ptCount val="5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</c:strCache>
            </c:strRef>
          </c:cat>
          <c:val>
            <c:numRef>
              <c:f>'Gráficos V2'!$F$3:$J$3</c:f>
              <c:numCache>
                <c:formatCode>General</c:formatCode>
                <c:ptCount val="5"/>
                <c:pt idx="0">
                  <c:v>212</c:v>
                </c:pt>
                <c:pt idx="1">
                  <c:v>373</c:v>
                </c:pt>
                <c:pt idx="2">
                  <c:v>568</c:v>
                </c:pt>
                <c:pt idx="3">
                  <c:v>522</c:v>
                </c:pt>
                <c:pt idx="4">
                  <c:v>499</c:v>
                </c:pt>
              </c:numCache>
            </c:numRef>
          </c:val>
        </c:ser>
        <c:ser>
          <c:idx val="1"/>
          <c:order val="1"/>
          <c:tx>
            <c:strRef>
              <c:f>'Gráficos V2'!$E$4</c:f>
              <c:strCache>
                <c:ptCount val="1"/>
                <c:pt idx="0">
                  <c:v>Chamados resolvidos - total</c:v>
                </c:pt>
              </c:strCache>
            </c:strRef>
          </c:tx>
          <c:spPr>
            <a:solidFill>
              <a:schemeClr val="accent5">
                <a:lumMod val="50000"/>
                <a:alpha val="60000"/>
              </a:schemeClr>
            </a:solidFill>
          </c:spPr>
          <c:invertIfNegative val="0"/>
          <c:dLbls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'Gráficos V2'!$F$1:$J$2</c:f>
              <c:strCache>
                <c:ptCount val="5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</c:strCache>
            </c:strRef>
          </c:cat>
          <c:val>
            <c:numRef>
              <c:f>'Gráficos V2'!$F$4:$J$4</c:f>
              <c:numCache>
                <c:formatCode>General</c:formatCode>
                <c:ptCount val="5"/>
                <c:pt idx="0">
                  <c:v>210</c:v>
                </c:pt>
                <c:pt idx="1">
                  <c:v>339</c:v>
                </c:pt>
                <c:pt idx="2">
                  <c:v>540</c:v>
                </c:pt>
                <c:pt idx="3">
                  <c:v>496</c:v>
                </c:pt>
                <c:pt idx="4">
                  <c:v>472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9906048"/>
        <c:axId val="219907584"/>
      </c:barChart>
      <c:lineChart>
        <c:grouping val="standard"/>
        <c:varyColors val="0"/>
        <c:ser>
          <c:idx val="2"/>
          <c:order val="2"/>
          <c:tx>
            <c:strRef>
              <c:f>'Gráficos V2'!$E$5</c:f>
              <c:strCache>
                <c:ptCount val="1"/>
                <c:pt idx="0">
                  <c:v>Backlog mês corrente</c:v>
                </c:pt>
              </c:strCache>
            </c:strRef>
          </c:tx>
          <c:spPr>
            <a:ln>
              <a:solidFill>
                <a:schemeClr val="accent3">
                  <a:lumMod val="75000"/>
                </a:schemeClr>
              </a:solidFill>
            </a:ln>
          </c:spPr>
          <c:marker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</c:spPr>
          </c:marker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'Gráficos V2'!$F$1:$J$2</c:f>
              <c:strCache>
                <c:ptCount val="5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</c:strCache>
            </c:strRef>
          </c:cat>
          <c:val>
            <c:numRef>
              <c:f>'Gráficos V2'!$F$5:$J$5</c:f>
              <c:numCache>
                <c:formatCode>General</c:formatCode>
                <c:ptCount val="5"/>
                <c:pt idx="0">
                  <c:v>2</c:v>
                </c:pt>
                <c:pt idx="1">
                  <c:v>34</c:v>
                </c:pt>
                <c:pt idx="2">
                  <c:v>28</c:v>
                </c:pt>
                <c:pt idx="3">
                  <c:v>26</c:v>
                </c:pt>
                <c:pt idx="4">
                  <c:v>27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9910912"/>
        <c:axId val="219909120"/>
      </c:lineChart>
      <c:catAx>
        <c:axId val="219906048"/>
        <c:scaling>
          <c:orientation val="minMax"/>
        </c:scaling>
        <c:delete val="0"/>
        <c:axPos val="b"/>
        <c:majorTickMark val="out"/>
        <c:minorTickMark val="none"/>
        <c:tickLblPos val="nextTo"/>
        <c:crossAx val="219907584"/>
        <c:crosses val="autoZero"/>
        <c:auto val="1"/>
        <c:lblAlgn val="ctr"/>
        <c:lblOffset val="100"/>
        <c:noMultiLvlLbl val="0"/>
      </c:catAx>
      <c:valAx>
        <c:axId val="2199075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19906048"/>
        <c:crosses val="autoZero"/>
        <c:crossBetween val="between"/>
      </c:valAx>
      <c:valAx>
        <c:axId val="219909120"/>
        <c:scaling>
          <c:orientation val="minMax"/>
          <c:max val="600"/>
        </c:scaling>
        <c:delete val="1"/>
        <c:axPos val="r"/>
        <c:numFmt formatCode="General" sourceLinked="1"/>
        <c:majorTickMark val="out"/>
        <c:minorTickMark val="none"/>
        <c:tickLblPos val="nextTo"/>
        <c:crossAx val="219910912"/>
        <c:crosses val="max"/>
        <c:crossBetween val="between"/>
        <c:majorUnit val="100"/>
      </c:valAx>
      <c:catAx>
        <c:axId val="219910912"/>
        <c:scaling>
          <c:orientation val="minMax"/>
        </c:scaling>
        <c:delete val="1"/>
        <c:axPos val="b"/>
        <c:majorTickMark val="out"/>
        <c:minorTickMark val="none"/>
        <c:tickLblPos val="nextTo"/>
        <c:crossAx val="219909120"/>
        <c:crosses val="autoZero"/>
        <c:auto val="1"/>
        <c:lblAlgn val="ctr"/>
        <c:lblOffset val="100"/>
        <c:noMultiLvlLbl val="0"/>
      </c:catAx>
    </c:plotArea>
    <c:legend>
      <c:legendPos val="r"/>
      <c:layout>
        <c:manualLayout>
          <c:xMode val="edge"/>
          <c:yMode val="edge"/>
          <c:x val="0.66143648245086673"/>
          <c:y val="0.19495942513212769"/>
          <c:w val="0.32617115597980423"/>
          <c:h val="0.54261193231833016"/>
        </c:manualLayout>
      </c:layout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Vol. Maio</a:t>
            </a:r>
          </a:p>
        </c:rich>
      </c:tx>
      <c:layout/>
      <c:overlay val="1"/>
    </c:title>
    <c:autoTitleDeleted val="0"/>
    <c:plotArea>
      <c:layout/>
      <c:areaChart>
        <c:grouping val="standard"/>
        <c:varyColors val="0"/>
        <c:ser>
          <c:idx val="3"/>
          <c:order val="3"/>
          <c:tx>
            <c:strRef>
              <c:f>'Gráficos V2'!$E$29</c:f>
              <c:strCache>
                <c:ptCount val="1"/>
                <c:pt idx="0">
                  <c:v>Backlog acumulado</c:v>
                </c:pt>
              </c:strCache>
            </c:strRef>
          </c:tx>
          <c:spPr>
            <a:solidFill>
              <a:srgbClr val="FF0000">
                <a:alpha val="50000"/>
              </a:srgbClr>
            </a:solidFill>
          </c:spPr>
          <c:dLbls>
            <c:dLbl>
              <c:idx val="0"/>
              <c:layout>
                <c:manualLayout>
                  <c:x val="0"/>
                  <c:y val="-7.19505467462559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>
                <c:manualLayout>
                  <c:x val="-4.9042152695638608E-3"/>
                  <c:y val="-7.64474559178970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>
                <c:manualLayout>
                  <c:x val="-4.4954787316129505E-17"/>
                  <c:y val="-8.544127426117899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layout>
                <c:manualLayout>
                  <c:x val="-2.4521076347819304E-3"/>
                  <c:y val="-0.1169196384626660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'Gráficos V2'!$F$25:$I$25</c:f>
              <c:strCache>
                <c:ptCount val="4"/>
                <c:pt idx="0">
                  <c:v>Maio de 01 a 09</c:v>
                </c:pt>
                <c:pt idx="1">
                  <c:v>Maio de 10 a 16</c:v>
                </c:pt>
                <c:pt idx="2">
                  <c:v>Maio de 17 a 23</c:v>
                </c:pt>
                <c:pt idx="3">
                  <c:v>Maio de 24 a 31</c:v>
                </c:pt>
              </c:strCache>
            </c:strRef>
          </c:cat>
          <c:val>
            <c:numRef>
              <c:f>'Gráficos V2'!$F$29:$I$29</c:f>
              <c:numCache>
                <c:formatCode>General</c:formatCode>
                <c:ptCount val="4"/>
                <c:pt idx="0">
                  <c:v>5</c:v>
                </c:pt>
                <c:pt idx="1">
                  <c:v>12</c:v>
                </c:pt>
                <c:pt idx="2">
                  <c:v>16</c:v>
                </c:pt>
                <c:pt idx="3">
                  <c:v>27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9974272"/>
        <c:axId val="219972736"/>
      </c:areaChart>
      <c:barChart>
        <c:barDir val="col"/>
        <c:grouping val="clustered"/>
        <c:varyColors val="0"/>
        <c:ser>
          <c:idx val="0"/>
          <c:order val="0"/>
          <c:tx>
            <c:strRef>
              <c:f>'Gráficos V2'!$E$26</c:f>
              <c:strCache>
                <c:ptCount val="1"/>
                <c:pt idx="0">
                  <c:v>Chamados abertos</c:v>
                </c:pt>
              </c:strCache>
            </c:strRef>
          </c:tx>
          <c:spPr>
            <a:solidFill>
              <a:schemeClr val="tx2">
                <a:lumMod val="50000"/>
                <a:alpha val="75000"/>
              </a:schemeClr>
            </a:solidFill>
          </c:spPr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'Gráficos V2'!$F$25:$I$25</c:f>
              <c:strCache>
                <c:ptCount val="4"/>
                <c:pt idx="0">
                  <c:v>Maio de 01 a 09</c:v>
                </c:pt>
                <c:pt idx="1">
                  <c:v>Maio de 10 a 16</c:v>
                </c:pt>
                <c:pt idx="2">
                  <c:v>Maio de 17 a 23</c:v>
                </c:pt>
                <c:pt idx="3">
                  <c:v>Maio de 24 a 31</c:v>
                </c:pt>
              </c:strCache>
            </c:strRef>
          </c:cat>
          <c:val>
            <c:numRef>
              <c:f>'Gráficos V2'!$F$26:$I$26</c:f>
              <c:numCache>
                <c:formatCode>General</c:formatCode>
                <c:ptCount val="4"/>
                <c:pt idx="0">
                  <c:v>146</c:v>
                </c:pt>
                <c:pt idx="1">
                  <c:v>140</c:v>
                </c:pt>
                <c:pt idx="2">
                  <c:v>109</c:v>
                </c:pt>
                <c:pt idx="3">
                  <c:v>104</c:v>
                </c:pt>
              </c:numCache>
            </c:numRef>
          </c:val>
        </c:ser>
        <c:ser>
          <c:idx val="1"/>
          <c:order val="1"/>
          <c:tx>
            <c:strRef>
              <c:f>'Gráficos V2'!$E$27</c:f>
              <c:strCache>
                <c:ptCount val="1"/>
                <c:pt idx="0">
                  <c:v>Chamados resolvidos até 8 Jun</c:v>
                </c:pt>
              </c:strCache>
            </c:strRef>
          </c:tx>
          <c:spPr>
            <a:solidFill>
              <a:schemeClr val="accent5">
                <a:lumMod val="50000"/>
                <a:alpha val="60000"/>
              </a:schemeClr>
            </a:solidFill>
          </c:spPr>
          <c:invertIfNegative val="0"/>
          <c:dLbls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'Gráficos V2'!$F$25:$I$25</c:f>
              <c:strCache>
                <c:ptCount val="4"/>
                <c:pt idx="0">
                  <c:v>Maio de 01 a 09</c:v>
                </c:pt>
                <c:pt idx="1">
                  <c:v>Maio de 10 a 16</c:v>
                </c:pt>
                <c:pt idx="2">
                  <c:v>Maio de 17 a 23</c:v>
                </c:pt>
                <c:pt idx="3">
                  <c:v>Maio de 24 a 31</c:v>
                </c:pt>
              </c:strCache>
            </c:strRef>
          </c:cat>
          <c:val>
            <c:numRef>
              <c:f>'Gráficos V2'!$F$27:$I$27</c:f>
              <c:numCache>
                <c:formatCode>General</c:formatCode>
                <c:ptCount val="4"/>
                <c:pt idx="0">
                  <c:v>141</c:v>
                </c:pt>
                <c:pt idx="1">
                  <c:v>133</c:v>
                </c:pt>
                <c:pt idx="2">
                  <c:v>105</c:v>
                </c:pt>
                <c:pt idx="3">
                  <c:v>93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9960832"/>
        <c:axId val="219962752"/>
      </c:barChart>
      <c:lineChart>
        <c:grouping val="standard"/>
        <c:varyColors val="0"/>
        <c:ser>
          <c:idx val="2"/>
          <c:order val="2"/>
          <c:tx>
            <c:strRef>
              <c:f>'Gráficos V2'!$E$28</c:f>
              <c:strCache>
                <c:ptCount val="1"/>
                <c:pt idx="0">
                  <c:v>Backlog sem. Corrente</c:v>
                </c:pt>
              </c:strCache>
            </c:strRef>
          </c:tx>
          <c:spPr>
            <a:ln>
              <a:solidFill>
                <a:schemeClr val="accent3">
                  <a:lumMod val="75000"/>
                </a:schemeClr>
              </a:solidFill>
            </a:ln>
          </c:spPr>
          <c:marker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</c:spPr>
          </c:marker>
          <c:cat>
            <c:strRef>
              <c:f>'Gráficos V2'!$F$25:$I$25</c:f>
              <c:strCache>
                <c:ptCount val="4"/>
                <c:pt idx="0">
                  <c:v>Maio de 01 a 09</c:v>
                </c:pt>
                <c:pt idx="1">
                  <c:v>Maio de 10 a 16</c:v>
                </c:pt>
                <c:pt idx="2">
                  <c:v>Maio de 17 a 23</c:v>
                </c:pt>
                <c:pt idx="3">
                  <c:v>Maio de 24 a 31</c:v>
                </c:pt>
              </c:strCache>
            </c:strRef>
          </c:cat>
          <c:val>
            <c:numRef>
              <c:f>'Gráficos V2'!$F$28:$I$28</c:f>
              <c:numCache>
                <c:formatCode>General</c:formatCode>
                <c:ptCount val="4"/>
                <c:pt idx="0">
                  <c:v>5</c:v>
                </c:pt>
                <c:pt idx="1">
                  <c:v>7</c:v>
                </c:pt>
                <c:pt idx="2">
                  <c:v>4</c:v>
                </c:pt>
                <c:pt idx="3">
                  <c:v>11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9974272"/>
        <c:axId val="219972736"/>
      </c:lineChart>
      <c:catAx>
        <c:axId val="219960832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spc="150" baseline="0"/>
            </a:pPr>
            <a:endParaRPr lang="pt-BR"/>
          </a:p>
        </c:txPr>
        <c:crossAx val="219962752"/>
        <c:crosses val="autoZero"/>
        <c:auto val="1"/>
        <c:lblAlgn val="ctr"/>
        <c:lblOffset val="100"/>
        <c:noMultiLvlLbl val="0"/>
      </c:catAx>
      <c:valAx>
        <c:axId val="21996275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19960832"/>
        <c:crosses val="autoZero"/>
        <c:crossBetween val="between"/>
      </c:valAx>
      <c:valAx>
        <c:axId val="219972736"/>
        <c:scaling>
          <c:orientation val="minMax"/>
          <c:max val="160"/>
        </c:scaling>
        <c:delete val="1"/>
        <c:axPos val="r"/>
        <c:numFmt formatCode="General" sourceLinked="1"/>
        <c:majorTickMark val="out"/>
        <c:minorTickMark val="none"/>
        <c:tickLblPos val="nextTo"/>
        <c:crossAx val="219974272"/>
        <c:crosses val="max"/>
        <c:crossBetween val="between"/>
        <c:majorUnit val="20"/>
      </c:valAx>
      <c:catAx>
        <c:axId val="219974272"/>
        <c:scaling>
          <c:orientation val="minMax"/>
        </c:scaling>
        <c:delete val="1"/>
        <c:axPos val="b"/>
        <c:majorTickMark val="out"/>
        <c:minorTickMark val="none"/>
        <c:tickLblPos val="nextTo"/>
        <c:crossAx val="219972736"/>
        <c:crosses val="autoZero"/>
        <c:auto val="1"/>
        <c:lblAlgn val="ctr"/>
        <c:lblOffset val="100"/>
        <c:noMultiLvlLbl val="0"/>
      </c:catAx>
    </c:plotArea>
    <c:legend>
      <c:legendPos val="r"/>
      <c:layout>
        <c:manualLayout>
          <c:xMode val="edge"/>
          <c:yMode val="edge"/>
          <c:x val="0.67467515611899953"/>
          <c:y val="0.36434701692041743"/>
          <c:w val="0.32532498149334516"/>
          <c:h val="0.54261193231833016"/>
        </c:manualLayout>
      </c:layout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'Gráficos V2'!$E$48</c:f>
              <c:strCache>
                <c:ptCount val="1"/>
                <c:pt idx="0">
                  <c:v>Resolução por Semana</c:v>
                </c:pt>
              </c:strCache>
            </c:strRef>
          </c:tx>
          <c:dLbls>
            <c:dLbl>
              <c:idx val="2"/>
              <c:layout>
                <c:manualLayout>
                  <c:x val="-1.8946118432633869E-3"/>
                  <c:y val="-4.94660008880510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'Gráficos V2'!$F$47:$J$47</c:f>
              <c:strCache>
                <c:ptCount val="5"/>
                <c:pt idx="0">
                  <c:v>Maio de 1 a 9</c:v>
                </c:pt>
                <c:pt idx="1">
                  <c:v>Maio de 10 a 16</c:v>
                </c:pt>
                <c:pt idx="2">
                  <c:v>Maio de 17 a 23</c:v>
                </c:pt>
                <c:pt idx="3">
                  <c:v>Maio de 24 a 31</c:v>
                </c:pt>
                <c:pt idx="4">
                  <c:v>Jun 1 a 8</c:v>
                </c:pt>
              </c:strCache>
            </c:strRef>
          </c:cat>
          <c:val>
            <c:numRef>
              <c:f>'Gráficos V2'!$F$48:$J$48</c:f>
              <c:numCache>
                <c:formatCode>General</c:formatCode>
                <c:ptCount val="5"/>
                <c:pt idx="0">
                  <c:v>130</c:v>
                </c:pt>
                <c:pt idx="1">
                  <c:v>161</c:v>
                </c:pt>
                <c:pt idx="2">
                  <c:v>122</c:v>
                </c:pt>
                <c:pt idx="3">
                  <c:v>129</c:v>
                </c:pt>
                <c:pt idx="4">
                  <c:v>78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0077056"/>
        <c:axId val="220082944"/>
      </c:lineChart>
      <c:catAx>
        <c:axId val="220077056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cap="none" spc="0" baseline="0"/>
            </a:pPr>
            <a:endParaRPr lang="pt-BR"/>
          </a:p>
        </c:txPr>
        <c:crossAx val="220082944"/>
        <c:crosses val="autoZero"/>
        <c:auto val="1"/>
        <c:lblAlgn val="ctr"/>
        <c:lblOffset val="100"/>
        <c:noMultiLvlLbl val="0"/>
      </c:catAx>
      <c:valAx>
        <c:axId val="220082944"/>
        <c:scaling>
          <c:orientation val="minMax"/>
          <c:max val="170"/>
        </c:scaling>
        <c:delete val="0"/>
        <c:axPos val="l"/>
        <c:numFmt formatCode="General" sourceLinked="1"/>
        <c:majorTickMark val="out"/>
        <c:minorTickMark val="none"/>
        <c:tickLblPos val="nextTo"/>
        <c:crossAx val="220077056"/>
        <c:crosses val="autoZero"/>
        <c:crossBetween val="between"/>
        <c:majorUnit val="10"/>
        <c:minorUnit val="4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'Gráficos V2'!$E$55</c:f>
              <c:strCache>
                <c:ptCount val="1"/>
                <c:pt idx="0">
                  <c:v>SLA resolução (# SLA dentro / # resolvidos na semana)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'Gráficos V2'!$F$53:$J$53</c:f>
              <c:strCache>
                <c:ptCount val="5"/>
                <c:pt idx="0">
                  <c:v>Maio de 1 a 9</c:v>
                </c:pt>
                <c:pt idx="1">
                  <c:v>Maio de 10 a 16</c:v>
                </c:pt>
                <c:pt idx="2">
                  <c:v>Maio de 17 a 23</c:v>
                </c:pt>
                <c:pt idx="3">
                  <c:v>Maio de 24 a 31</c:v>
                </c:pt>
                <c:pt idx="4">
                  <c:v>Jun 1 a 8</c:v>
                </c:pt>
              </c:strCache>
            </c:strRef>
          </c:cat>
          <c:val>
            <c:numRef>
              <c:f>'Gráficos V2'!$F$55:$J$55</c:f>
              <c:numCache>
                <c:formatCode>0.0%</c:formatCode>
                <c:ptCount val="5"/>
                <c:pt idx="0">
                  <c:v>0.36923076923076925</c:v>
                </c:pt>
                <c:pt idx="1">
                  <c:v>0.40372670807453415</c:v>
                </c:pt>
                <c:pt idx="2">
                  <c:v>0.39344262295081966</c:v>
                </c:pt>
                <c:pt idx="3">
                  <c:v>0.4263565891472868</c:v>
                </c:pt>
                <c:pt idx="4">
                  <c:v>0.64102564102564108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0109440"/>
        <c:axId val="220123520"/>
      </c:barChart>
      <c:lineChart>
        <c:grouping val="standard"/>
        <c:varyColors val="0"/>
        <c:ser>
          <c:idx val="0"/>
          <c:order val="0"/>
          <c:tx>
            <c:strRef>
              <c:f>'Gráficos V2'!$E$54</c:f>
              <c:strCache>
                <c:ptCount val="1"/>
                <c:pt idx="0">
                  <c:v>Aging resolução</c:v>
                </c:pt>
              </c:strCache>
            </c:strRef>
          </c:tx>
          <c:dLbls>
            <c:dLbl>
              <c:idx val="2"/>
              <c:layout>
                <c:manualLayout>
                  <c:x val="-5.7041000352426544E-3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'Gráficos V2'!$F$53:$J$53</c:f>
              <c:strCache>
                <c:ptCount val="5"/>
                <c:pt idx="0">
                  <c:v>Maio de 1 a 9</c:v>
                </c:pt>
                <c:pt idx="1">
                  <c:v>Maio de 10 a 16</c:v>
                </c:pt>
                <c:pt idx="2">
                  <c:v>Maio de 17 a 23</c:v>
                </c:pt>
                <c:pt idx="3">
                  <c:v>Maio de 24 a 31</c:v>
                </c:pt>
                <c:pt idx="4">
                  <c:v>Jun 1 a 8</c:v>
                </c:pt>
              </c:strCache>
            </c:strRef>
          </c:cat>
          <c:val>
            <c:numRef>
              <c:f>'Gráficos V2'!$F$54:$J$54</c:f>
              <c:numCache>
                <c:formatCode>General</c:formatCode>
                <c:ptCount val="5"/>
                <c:pt idx="0">
                  <c:v>6.96</c:v>
                </c:pt>
                <c:pt idx="1">
                  <c:v>14.45</c:v>
                </c:pt>
                <c:pt idx="2">
                  <c:v>5.4</c:v>
                </c:pt>
                <c:pt idx="3">
                  <c:v>5.24</c:v>
                </c:pt>
                <c:pt idx="4">
                  <c:v>14.97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0109440"/>
        <c:axId val="220123520"/>
      </c:lineChart>
      <c:catAx>
        <c:axId val="220109440"/>
        <c:scaling>
          <c:orientation val="minMax"/>
        </c:scaling>
        <c:delete val="0"/>
        <c:axPos val="b"/>
        <c:majorTickMark val="out"/>
        <c:minorTickMark val="none"/>
        <c:tickLblPos val="nextTo"/>
        <c:crossAx val="220123520"/>
        <c:crosses val="autoZero"/>
        <c:auto val="1"/>
        <c:lblAlgn val="ctr"/>
        <c:lblOffset val="100"/>
        <c:noMultiLvlLbl val="0"/>
      </c:catAx>
      <c:valAx>
        <c:axId val="220123520"/>
        <c:scaling>
          <c:orientation val="minMax"/>
        </c:scaling>
        <c:delete val="1"/>
        <c:axPos val="l"/>
        <c:numFmt formatCode="0.0%" sourceLinked="1"/>
        <c:majorTickMark val="out"/>
        <c:minorTickMark val="none"/>
        <c:tickLblPos val="nextTo"/>
        <c:crossAx val="2201094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Tempo médio resolução Incidente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'Gráficos V2'!$E$100</c:f>
              <c:strCache>
                <c:ptCount val="1"/>
                <c:pt idx="0">
                  <c:v>Aging</c:v>
                </c:pt>
              </c:strCache>
            </c:strRef>
          </c:tx>
          <c:spPr>
            <a:solidFill>
              <a:schemeClr val="tx2">
                <a:lumMod val="50000"/>
                <a:alpha val="75000"/>
              </a:schemeClr>
            </a:solidFill>
          </c:spPr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'Gráficos V2'!$F$99:$J$99</c:f>
              <c:strCache>
                <c:ptCount val="5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</c:strCache>
            </c:strRef>
          </c:cat>
          <c:val>
            <c:numRef>
              <c:f>'Gráficos V2'!$F$100:$J$100</c:f>
              <c:numCache>
                <c:formatCode>General</c:formatCode>
                <c:ptCount val="5"/>
                <c:pt idx="0">
                  <c:v>690.26</c:v>
                </c:pt>
                <c:pt idx="1">
                  <c:v>1291.31</c:v>
                </c:pt>
                <c:pt idx="2">
                  <c:v>548.70000000000005</c:v>
                </c:pt>
                <c:pt idx="3">
                  <c:v>575.14</c:v>
                </c:pt>
                <c:pt idx="4">
                  <c:v>878.23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0161536"/>
        <c:axId val="220163072"/>
      </c:barChart>
      <c:lineChart>
        <c:grouping val="standard"/>
        <c:varyColors val="0"/>
        <c:ser>
          <c:idx val="1"/>
          <c:order val="1"/>
          <c:tx>
            <c:strRef>
              <c:f>'Gráficos V2'!$E$101</c:f>
              <c:strCache>
                <c:ptCount val="1"/>
                <c:pt idx="0">
                  <c:v>Média</c:v>
                </c:pt>
              </c:strCache>
            </c:strRef>
          </c:tx>
          <c:marker>
            <c:symbol val="none"/>
          </c:marker>
          <c:cat>
            <c:strRef>
              <c:f>'Gráficos V2'!$F$99:$J$99</c:f>
              <c:strCache>
                <c:ptCount val="5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</c:strCache>
            </c:strRef>
          </c:cat>
          <c:val>
            <c:numRef>
              <c:f>'Gráficos V2'!$F$101:$J$101</c:f>
              <c:numCache>
                <c:formatCode>General</c:formatCode>
                <c:ptCount val="5"/>
                <c:pt idx="0">
                  <c:v>796.72799999999995</c:v>
                </c:pt>
                <c:pt idx="1">
                  <c:v>796.72799999999995</c:v>
                </c:pt>
                <c:pt idx="2">
                  <c:v>796.72799999999995</c:v>
                </c:pt>
                <c:pt idx="3">
                  <c:v>796.72799999999995</c:v>
                </c:pt>
                <c:pt idx="4">
                  <c:v>796.72799999999995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0161536"/>
        <c:axId val="220163072"/>
      </c:lineChart>
      <c:catAx>
        <c:axId val="220161536"/>
        <c:scaling>
          <c:orientation val="minMax"/>
        </c:scaling>
        <c:delete val="0"/>
        <c:axPos val="b"/>
        <c:majorTickMark val="out"/>
        <c:minorTickMark val="none"/>
        <c:tickLblPos val="nextTo"/>
        <c:crossAx val="220163072"/>
        <c:crosses val="autoZero"/>
        <c:auto val="1"/>
        <c:lblAlgn val="ctr"/>
        <c:lblOffset val="100"/>
        <c:noMultiLvlLbl val="0"/>
      </c:catAx>
      <c:valAx>
        <c:axId val="22016307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2016153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Vol. 2015</a:t>
            </a:r>
          </a:p>
        </c:rich>
      </c:tx>
      <c:layout>
        <c:manualLayout>
          <c:xMode val="edge"/>
          <c:yMode val="edge"/>
          <c:x val="0.72806326583478742"/>
          <c:y val="2.6981455029846023E-2"/>
        </c:manualLayout>
      </c:layout>
      <c:overlay val="1"/>
    </c:title>
    <c:autoTitleDeleted val="0"/>
    <c:plotArea>
      <c:layout/>
      <c:areaChart>
        <c:grouping val="standard"/>
        <c:varyColors val="0"/>
        <c:ser>
          <c:idx val="3"/>
          <c:order val="3"/>
          <c:tx>
            <c:strRef>
              <c:f>'Gráficos V3'!#REF!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FF0000">
                <a:alpha val="50000"/>
              </a:srgbClr>
            </a:solidFill>
          </c:spPr>
          <c:dLbls>
            <c:dLbl>
              <c:idx val="0"/>
              <c:layout>
                <c:manualLayout>
                  <c:x val="0"/>
                  <c:y val="-6.74536375746150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>
                <c:manualLayout>
                  <c:x val="0"/>
                  <c:y val="-8.094436508953806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>
                <c:manualLayout>
                  <c:x val="-4.551985486666366E-17"/>
                  <c:y val="-8.544127426117906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layout>
                <c:manualLayout>
                  <c:x val="0"/>
                  <c:y val="-0.1349072751492301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layout>
                <c:manualLayout>
                  <c:x val="-7.4487895716945996E-3"/>
                  <c:y val="-0.1349072751492301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 anchor="t" anchorCtr="0"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multiLvlStrRef>
              <c:f>'Gráficos V3'!$G$180:$J$181</c:f>
            </c:multiLvlStrRef>
          </c:cat>
          <c:val>
            <c:numRef>
              <c:f>'Gráficos V3'!$G$185:$J$185</c:f>
              <c:numCache>
                <c:formatCode>General</c:formatCode>
                <c:ptCount val="4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0263168"/>
        <c:axId val="220264704"/>
      </c:areaChart>
      <c:barChart>
        <c:barDir val="col"/>
        <c:grouping val="clustered"/>
        <c:varyColors val="0"/>
        <c:ser>
          <c:idx val="0"/>
          <c:order val="0"/>
          <c:tx>
            <c:strRef>
              <c:f>'Gráficos V3'!#REF!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tx2">
                <a:lumMod val="50000"/>
                <a:alpha val="75000"/>
              </a:schemeClr>
            </a:solidFill>
          </c:spPr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multiLvlStrRef>
              <c:f>'Gráficos V3'!$G$180:$J$181</c:f>
            </c:multiLvlStrRef>
          </c:cat>
          <c:val>
            <c:numRef>
              <c:f>'Gráficos V3'!$G$182:$J$182</c:f>
              <c:numCache>
                <c:formatCode>General</c:formatCode>
                <c:ptCount val="4"/>
              </c:numCache>
            </c:numRef>
          </c:val>
        </c:ser>
        <c:ser>
          <c:idx val="1"/>
          <c:order val="1"/>
          <c:tx>
            <c:strRef>
              <c:f>'Gráficos V3'!#REF!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5">
                <a:lumMod val="50000"/>
                <a:alpha val="60000"/>
              </a:schemeClr>
            </a:solidFill>
          </c:spPr>
          <c:invertIfNegative val="0"/>
          <c:dLbls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multiLvlStrRef>
              <c:f>'Gráficos V3'!$G$180:$J$181</c:f>
            </c:multiLvlStrRef>
          </c:cat>
          <c:val>
            <c:numRef>
              <c:f>'Gráficos V3'!$G$183:$J$183</c:f>
              <c:numCache>
                <c:formatCode>General</c:formatCode>
                <c:ptCount val="4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0263168"/>
        <c:axId val="220264704"/>
      </c:barChart>
      <c:lineChart>
        <c:grouping val="standard"/>
        <c:varyColors val="0"/>
        <c:ser>
          <c:idx val="2"/>
          <c:order val="2"/>
          <c:tx>
            <c:strRef>
              <c:f>'Gráficos V3'!#REF!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chemeClr val="accent3">
                  <a:lumMod val="75000"/>
                </a:schemeClr>
              </a:solidFill>
            </a:ln>
          </c:spPr>
          <c:marker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</c:spPr>
          </c:marker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multiLvlStrRef>
              <c:f>'Gráficos V3'!$G$180:$J$181</c:f>
            </c:multiLvlStrRef>
          </c:cat>
          <c:val>
            <c:numRef>
              <c:f>'Gráficos V3'!$G$184:$J$184</c:f>
              <c:numCache>
                <c:formatCode>General</c:formatCode>
                <c:ptCount val="4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0288512"/>
        <c:axId val="220286976"/>
      </c:lineChart>
      <c:catAx>
        <c:axId val="220263168"/>
        <c:scaling>
          <c:orientation val="minMax"/>
        </c:scaling>
        <c:delete val="0"/>
        <c:axPos val="b"/>
        <c:majorTickMark val="out"/>
        <c:minorTickMark val="none"/>
        <c:tickLblPos val="nextTo"/>
        <c:crossAx val="220264704"/>
        <c:crosses val="autoZero"/>
        <c:auto val="1"/>
        <c:lblAlgn val="ctr"/>
        <c:lblOffset val="100"/>
        <c:noMultiLvlLbl val="0"/>
      </c:catAx>
      <c:valAx>
        <c:axId val="22026470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20263168"/>
        <c:crosses val="autoZero"/>
        <c:crossBetween val="between"/>
      </c:valAx>
      <c:valAx>
        <c:axId val="220286976"/>
        <c:scaling>
          <c:orientation val="minMax"/>
          <c:max val="600"/>
        </c:scaling>
        <c:delete val="1"/>
        <c:axPos val="r"/>
        <c:numFmt formatCode="General" sourceLinked="1"/>
        <c:majorTickMark val="out"/>
        <c:minorTickMark val="none"/>
        <c:tickLblPos val="nextTo"/>
        <c:crossAx val="220288512"/>
        <c:crosses val="max"/>
        <c:crossBetween val="between"/>
        <c:majorUnit val="100"/>
      </c:valAx>
      <c:catAx>
        <c:axId val="220288512"/>
        <c:scaling>
          <c:orientation val="minMax"/>
        </c:scaling>
        <c:delete val="1"/>
        <c:axPos val="b"/>
        <c:majorTickMark val="out"/>
        <c:minorTickMark val="none"/>
        <c:tickLblPos val="nextTo"/>
        <c:crossAx val="220286976"/>
        <c:crosses val="autoZero"/>
        <c:auto val="1"/>
        <c:lblAlgn val="ctr"/>
        <c:lblOffset val="100"/>
        <c:noMultiLvlLbl val="0"/>
      </c:catAx>
    </c:plotArea>
    <c:legend>
      <c:legendPos val="r"/>
      <c:layout>
        <c:manualLayout>
          <c:xMode val="edge"/>
          <c:yMode val="edge"/>
          <c:x val="0.66143648245086673"/>
          <c:y val="0.19495942513212769"/>
          <c:w val="0.32617115597980423"/>
          <c:h val="0.54261193231833016"/>
        </c:manualLayout>
      </c:layout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Vol. Maio</a:t>
            </a:r>
          </a:p>
        </c:rich>
      </c:tx>
      <c:overlay val="1"/>
    </c:title>
    <c:autoTitleDeleted val="0"/>
    <c:plotArea>
      <c:layout/>
      <c:areaChart>
        <c:grouping val="standard"/>
        <c:varyColors val="0"/>
        <c:ser>
          <c:idx val="3"/>
          <c:order val="3"/>
          <c:tx>
            <c:strRef>
              <c:f>'Gráficos V3'!$E$222</c:f>
              <c:strCache>
                <c:ptCount val="1"/>
                <c:pt idx="0">
                  <c:v>Backlog acumulado</c:v>
                </c:pt>
              </c:strCache>
            </c:strRef>
          </c:tx>
          <c:spPr>
            <a:solidFill>
              <a:srgbClr val="FF0000">
                <a:alpha val="50000"/>
              </a:srgbClr>
            </a:solidFill>
          </c:spPr>
          <c:dLbls>
            <c:dLbl>
              <c:idx val="0"/>
              <c:layout>
                <c:manualLayout>
                  <c:x val="0"/>
                  <c:y val="-7.19505467462559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>
                <c:manualLayout>
                  <c:x val="-4.9042152695638608E-3"/>
                  <c:y val="-7.64474559178970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>
                <c:manualLayout>
                  <c:x val="-4.4954787316129505E-17"/>
                  <c:y val="-8.544127426117899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layout>
                <c:manualLayout>
                  <c:x val="-2.4521076347819304E-3"/>
                  <c:y val="-0.1169196384626660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'Gráficos V3'!$F$218:$I$218</c:f>
              <c:strCache>
                <c:ptCount val="4"/>
                <c:pt idx="0">
                  <c:v>Maio de 01 a 09</c:v>
                </c:pt>
                <c:pt idx="1">
                  <c:v>Maio de 10 a 16</c:v>
                </c:pt>
                <c:pt idx="2">
                  <c:v>Maio de 17 a 23</c:v>
                </c:pt>
                <c:pt idx="3">
                  <c:v>Maio de 24 a 31</c:v>
                </c:pt>
              </c:strCache>
            </c:strRef>
          </c:cat>
          <c:val>
            <c:numRef>
              <c:f>'Gráficos V3'!$F$222:$I$222</c:f>
              <c:numCache>
                <c:formatCode>General</c:formatCode>
                <c:ptCount val="4"/>
                <c:pt idx="0">
                  <c:v>5</c:v>
                </c:pt>
                <c:pt idx="1">
                  <c:v>12</c:v>
                </c:pt>
                <c:pt idx="2">
                  <c:v>16</c:v>
                </c:pt>
                <c:pt idx="3">
                  <c:v>27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0413312"/>
        <c:axId val="220411776"/>
      </c:areaChart>
      <c:barChart>
        <c:barDir val="col"/>
        <c:grouping val="clustered"/>
        <c:varyColors val="0"/>
        <c:ser>
          <c:idx val="0"/>
          <c:order val="0"/>
          <c:tx>
            <c:strRef>
              <c:f>'Gráficos V3'!$E$219</c:f>
              <c:strCache>
                <c:ptCount val="1"/>
                <c:pt idx="0">
                  <c:v>Chamados abertos</c:v>
                </c:pt>
              </c:strCache>
            </c:strRef>
          </c:tx>
          <c:spPr>
            <a:solidFill>
              <a:schemeClr val="tx2">
                <a:lumMod val="50000"/>
                <a:alpha val="75000"/>
              </a:schemeClr>
            </a:solidFill>
          </c:spPr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'Gráficos V3'!$F$218:$I$218</c:f>
              <c:strCache>
                <c:ptCount val="4"/>
                <c:pt idx="0">
                  <c:v>Maio de 01 a 09</c:v>
                </c:pt>
                <c:pt idx="1">
                  <c:v>Maio de 10 a 16</c:v>
                </c:pt>
                <c:pt idx="2">
                  <c:v>Maio de 17 a 23</c:v>
                </c:pt>
                <c:pt idx="3">
                  <c:v>Maio de 24 a 31</c:v>
                </c:pt>
              </c:strCache>
            </c:strRef>
          </c:cat>
          <c:val>
            <c:numRef>
              <c:f>'Gráficos V3'!$F$219:$I$219</c:f>
              <c:numCache>
                <c:formatCode>General</c:formatCode>
                <c:ptCount val="4"/>
                <c:pt idx="0">
                  <c:v>146</c:v>
                </c:pt>
                <c:pt idx="1">
                  <c:v>140</c:v>
                </c:pt>
                <c:pt idx="2">
                  <c:v>109</c:v>
                </c:pt>
                <c:pt idx="3">
                  <c:v>104</c:v>
                </c:pt>
              </c:numCache>
            </c:numRef>
          </c:val>
        </c:ser>
        <c:ser>
          <c:idx val="1"/>
          <c:order val="1"/>
          <c:tx>
            <c:strRef>
              <c:f>'Gráficos V3'!$E$220</c:f>
              <c:strCache>
                <c:ptCount val="1"/>
                <c:pt idx="0">
                  <c:v>Chamados resolvidos até 8 Jun</c:v>
                </c:pt>
              </c:strCache>
            </c:strRef>
          </c:tx>
          <c:spPr>
            <a:solidFill>
              <a:schemeClr val="accent5">
                <a:lumMod val="50000"/>
                <a:alpha val="60000"/>
              </a:schemeClr>
            </a:solidFill>
          </c:spPr>
          <c:invertIfNegative val="0"/>
          <c:dLbls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'Gráficos V3'!$F$218:$I$218</c:f>
              <c:strCache>
                <c:ptCount val="4"/>
                <c:pt idx="0">
                  <c:v>Maio de 01 a 09</c:v>
                </c:pt>
                <c:pt idx="1">
                  <c:v>Maio de 10 a 16</c:v>
                </c:pt>
                <c:pt idx="2">
                  <c:v>Maio de 17 a 23</c:v>
                </c:pt>
                <c:pt idx="3">
                  <c:v>Maio de 24 a 31</c:v>
                </c:pt>
              </c:strCache>
            </c:strRef>
          </c:cat>
          <c:val>
            <c:numRef>
              <c:f>'Gráficos V3'!$F$220:$I$220</c:f>
              <c:numCache>
                <c:formatCode>General</c:formatCode>
                <c:ptCount val="4"/>
                <c:pt idx="0">
                  <c:v>141</c:v>
                </c:pt>
                <c:pt idx="1">
                  <c:v>133</c:v>
                </c:pt>
                <c:pt idx="2">
                  <c:v>105</c:v>
                </c:pt>
                <c:pt idx="3">
                  <c:v>93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0330240"/>
        <c:axId val="220410240"/>
      </c:barChart>
      <c:lineChart>
        <c:grouping val="standard"/>
        <c:varyColors val="0"/>
        <c:ser>
          <c:idx val="2"/>
          <c:order val="2"/>
          <c:tx>
            <c:strRef>
              <c:f>'Gráficos V3'!$E$221</c:f>
              <c:strCache>
                <c:ptCount val="1"/>
                <c:pt idx="0">
                  <c:v>Backlog sem. Corrente</c:v>
                </c:pt>
              </c:strCache>
            </c:strRef>
          </c:tx>
          <c:spPr>
            <a:ln>
              <a:solidFill>
                <a:schemeClr val="accent3">
                  <a:lumMod val="75000"/>
                </a:schemeClr>
              </a:solidFill>
            </a:ln>
          </c:spPr>
          <c:marker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</c:spPr>
          </c:marker>
          <c:cat>
            <c:strRef>
              <c:f>'Gráficos V3'!$F$218:$I$218</c:f>
              <c:strCache>
                <c:ptCount val="4"/>
                <c:pt idx="0">
                  <c:v>Maio de 01 a 09</c:v>
                </c:pt>
                <c:pt idx="1">
                  <c:v>Maio de 10 a 16</c:v>
                </c:pt>
                <c:pt idx="2">
                  <c:v>Maio de 17 a 23</c:v>
                </c:pt>
                <c:pt idx="3">
                  <c:v>Maio de 24 a 31</c:v>
                </c:pt>
              </c:strCache>
            </c:strRef>
          </c:cat>
          <c:val>
            <c:numRef>
              <c:f>'Gráficos V3'!$F$221:$I$221</c:f>
              <c:numCache>
                <c:formatCode>General</c:formatCode>
                <c:ptCount val="4"/>
                <c:pt idx="0">
                  <c:v>5</c:v>
                </c:pt>
                <c:pt idx="1">
                  <c:v>7</c:v>
                </c:pt>
                <c:pt idx="2">
                  <c:v>4</c:v>
                </c:pt>
                <c:pt idx="3">
                  <c:v>11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0413312"/>
        <c:axId val="220411776"/>
      </c:lineChart>
      <c:catAx>
        <c:axId val="220330240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spc="150" baseline="0"/>
            </a:pPr>
            <a:endParaRPr lang="pt-BR"/>
          </a:p>
        </c:txPr>
        <c:crossAx val="220410240"/>
        <c:crosses val="autoZero"/>
        <c:auto val="1"/>
        <c:lblAlgn val="ctr"/>
        <c:lblOffset val="100"/>
        <c:noMultiLvlLbl val="0"/>
      </c:catAx>
      <c:valAx>
        <c:axId val="22041024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20330240"/>
        <c:crosses val="autoZero"/>
        <c:crossBetween val="between"/>
      </c:valAx>
      <c:valAx>
        <c:axId val="220411776"/>
        <c:scaling>
          <c:orientation val="minMax"/>
          <c:max val="160"/>
        </c:scaling>
        <c:delete val="1"/>
        <c:axPos val="r"/>
        <c:numFmt formatCode="General" sourceLinked="1"/>
        <c:majorTickMark val="out"/>
        <c:minorTickMark val="none"/>
        <c:tickLblPos val="nextTo"/>
        <c:crossAx val="220413312"/>
        <c:crosses val="max"/>
        <c:crossBetween val="between"/>
        <c:majorUnit val="20"/>
      </c:valAx>
      <c:catAx>
        <c:axId val="220413312"/>
        <c:scaling>
          <c:orientation val="minMax"/>
        </c:scaling>
        <c:delete val="1"/>
        <c:axPos val="b"/>
        <c:majorTickMark val="out"/>
        <c:minorTickMark val="none"/>
        <c:tickLblPos val="nextTo"/>
        <c:crossAx val="220411776"/>
        <c:crosses val="autoZero"/>
        <c:auto val="1"/>
        <c:lblAlgn val="ctr"/>
        <c:lblOffset val="100"/>
        <c:noMultiLvlLbl val="0"/>
      </c:catAx>
    </c:plotArea>
    <c:legend>
      <c:legendPos val="r"/>
      <c:layout>
        <c:manualLayout>
          <c:xMode val="edge"/>
          <c:yMode val="edge"/>
          <c:x val="0.67467515611899953"/>
          <c:y val="0.36434701692041743"/>
          <c:w val="0.32532498149334516"/>
          <c:h val="0.54261193231833016"/>
        </c:manualLayout>
      </c:layout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'Gráficos V3'!$E$241</c:f>
              <c:strCache>
                <c:ptCount val="1"/>
                <c:pt idx="0">
                  <c:v>Resolução por Semana</c:v>
                </c:pt>
              </c:strCache>
            </c:strRef>
          </c:tx>
          <c:dLbls>
            <c:dLbl>
              <c:idx val="2"/>
              <c:layout>
                <c:manualLayout>
                  <c:x val="-1.8946118432633869E-3"/>
                  <c:y val="-4.94660008880510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'Gráficos V3'!$F$240:$J$240</c:f>
              <c:strCache>
                <c:ptCount val="4"/>
                <c:pt idx="0">
                  <c:v>Maio de 1 a 9</c:v>
                </c:pt>
                <c:pt idx="1">
                  <c:v>Maio de 10 a 16</c:v>
                </c:pt>
                <c:pt idx="2">
                  <c:v>Maio de 17 a 23</c:v>
                </c:pt>
                <c:pt idx="3">
                  <c:v>Maio de 24 a 31</c:v>
                </c:pt>
              </c:strCache>
            </c:strRef>
          </c:cat>
          <c:val>
            <c:numRef>
              <c:f>'Gráficos V3'!$F$241:$J$241</c:f>
              <c:numCache>
                <c:formatCode>General</c:formatCode>
                <c:ptCount val="5"/>
                <c:pt idx="0">
                  <c:v>130</c:v>
                </c:pt>
                <c:pt idx="1">
                  <c:v>161</c:v>
                </c:pt>
                <c:pt idx="2">
                  <c:v>122</c:v>
                </c:pt>
                <c:pt idx="3">
                  <c:v>129</c:v>
                </c:pt>
                <c:pt idx="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0442624"/>
        <c:axId val="220444160"/>
      </c:lineChart>
      <c:catAx>
        <c:axId val="22044262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cap="none" spc="0" baseline="0"/>
            </a:pPr>
            <a:endParaRPr lang="pt-BR"/>
          </a:p>
        </c:txPr>
        <c:crossAx val="220444160"/>
        <c:crosses val="autoZero"/>
        <c:auto val="1"/>
        <c:lblAlgn val="ctr"/>
        <c:lblOffset val="100"/>
        <c:noMultiLvlLbl val="0"/>
      </c:catAx>
      <c:valAx>
        <c:axId val="220444160"/>
        <c:scaling>
          <c:orientation val="minMax"/>
          <c:max val="170"/>
        </c:scaling>
        <c:delete val="0"/>
        <c:axPos val="l"/>
        <c:numFmt formatCode="General" sourceLinked="1"/>
        <c:majorTickMark val="out"/>
        <c:minorTickMark val="none"/>
        <c:tickLblPos val="nextTo"/>
        <c:crossAx val="220442624"/>
        <c:crosses val="autoZero"/>
        <c:crossBetween val="between"/>
        <c:majorUnit val="10"/>
        <c:minorUnit val="4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'Gráficos V3'!$E$248</c:f>
              <c:strCache>
                <c:ptCount val="1"/>
                <c:pt idx="0">
                  <c:v>SLA resolução (# SLA dentro / # resolvidos na semana)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'Gráficos V3'!$F$246:$J$246</c:f>
              <c:strCache>
                <c:ptCount val="4"/>
                <c:pt idx="0">
                  <c:v>Maio de 1 a 9</c:v>
                </c:pt>
                <c:pt idx="1">
                  <c:v>Maio de 10 a 16</c:v>
                </c:pt>
                <c:pt idx="2">
                  <c:v>Maio de 17 a 23</c:v>
                </c:pt>
                <c:pt idx="3">
                  <c:v>Maio de 24 a 31</c:v>
                </c:pt>
              </c:strCache>
            </c:strRef>
          </c:cat>
          <c:val>
            <c:numRef>
              <c:f>'Gráficos V3'!$F$248:$J$248</c:f>
              <c:numCache>
                <c:formatCode>0.0%</c:formatCode>
                <c:ptCount val="5"/>
                <c:pt idx="0">
                  <c:v>0.36923076923076925</c:v>
                </c:pt>
                <c:pt idx="1">
                  <c:v>0.40372670807453415</c:v>
                </c:pt>
                <c:pt idx="2">
                  <c:v>0.39344262295081966</c:v>
                </c:pt>
                <c:pt idx="3">
                  <c:v>0.4263565891472868</c:v>
                </c:pt>
                <c:pt idx="4" formatCode="General">
                  <c:v>14.97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0552576"/>
        <c:axId val="220558464"/>
      </c:barChart>
      <c:lineChart>
        <c:grouping val="standard"/>
        <c:varyColors val="0"/>
        <c:ser>
          <c:idx val="0"/>
          <c:order val="0"/>
          <c:tx>
            <c:strRef>
              <c:f>'Gráficos V3'!$E$247</c:f>
              <c:strCache>
                <c:ptCount val="1"/>
                <c:pt idx="0">
                  <c:v>Aging resolução</c:v>
                </c:pt>
              </c:strCache>
            </c:strRef>
          </c:tx>
          <c:dLbls>
            <c:dLbl>
              <c:idx val="2"/>
              <c:layout>
                <c:manualLayout>
                  <c:x val="-5.7041000352426544E-3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'Gráficos V3'!$F$246:$J$246</c:f>
              <c:strCache>
                <c:ptCount val="4"/>
                <c:pt idx="0">
                  <c:v>Maio de 1 a 9</c:v>
                </c:pt>
                <c:pt idx="1">
                  <c:v>Maio de 10 a 16</c:v>
                </c:pt>
                <c:pt idx="2">
                  <c:v>Maio de 17 a 23</c:v>
                </c:pt>
                <c:pt idx="3">
                  <c:v>Maio de 24 a 31</c:v>
                </c:pt>
              </c:strCache>
            </c:strRef>
          </c:cat>
          <c:val>
            <c:numRef>
              <c:f>'Gráficos V3'!$F$247:$J$247</c:f>
              <c:numCache>
                <c:formatCode>General</c:formatCode>
                <c:ptCount val="5"/>
                <c:pt idx="0">
                  <c:v>6.96</c:v>
                </c:pt>
                <c:pt idx="1">
                  <c:v>14.45</c:v>
                </c:pt>
                <c:pt idx="2">
                  <c:v>5.4</c:v>
                </c:pt>
                <c:pt idx="3">
                  <c:v>5.24</c:v>
                </c:pt>
                <c:pt idx="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0552576"/>
        <c:axId val="220558464"/>
      </c:lineChart>
      <c:catAx>
        <c:axId val="220552576"/>
        <c:scaling>
          <c:orientation val="minMax"/>
        </c:scaling>
        <c:delete val="0"/>
        <c:axPos val="b"/>
        <c:majorTickMark val="out"/>
        <c:minorTickMark val="none"/>
        <c:tickLblPos val="nextTo"/>
        <c:crossAx val="220558464"/>
        <c:crosses val="autoZero"/>
        <c:auto val="1"/>
        <c:lblAlgn val="ctr"/>
        <c:lblOffset val="100"/>
        <c:noMultiLvlLbl val="0"/>
      </c:catAx>
      <c:valAx>
        <c:axId val="220558464"/>
        <c:scaling>
          <c:orientation val="minMax"/>
        </c:scaling>
        <c:delete val="1"/>
        <c:axPos val="l"/>
        <c:numFmt formatCode="0.0%" sourceLinked="1"/>
        <c:majorTickMark val="out"/>
        <c:minorTickMark val="none"/>
        <c:tickLblPos val="nextTo"/>
        <c:crossAx val="2205525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Tempo médio resolução Incidente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'Gráficos V3'!$E$293</c:f>
              <c:strCache>
                <c:ptCount val="1"/>
                <c:pt idx="0">
                  <c:v>Aging</c:v>
                </c:pt>
              </c:strCache>
            </c:strRef>
          </c:tx>
          <c:spPr>
            <a:solidFill>
              <a:schemeClr val="tx2">
                <a:lumMod val="50000"/>
                <a:alpha val="75000"/>
              </a:schemeClr>
            </a:solidFill>
          </c:spPr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'Gráficos V3'!$F$292:$J$292</c:f>
              <c:strCache>
                <c:ptCount val="4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</c:strCache>
            </c:strRef>
          </c:cat>
          <c:val>
            <c:numRef>
              <c:f>'Gráficos V3'!$F$293:$J$293</c:f>
              <c:numCache>
                <c:formatCode>General</c:formatCode>
                <c:ptCount val="5"/>
                <c:pt idx="0">
                  <c:v>690.26</c:v>
                </c:pt>
                <c:pt idx="1">
                  <c:v>1291.31</c:v>
                </c:pt>
                <c:pt idx="2">
                  <c:v>548.70000000000005</c:v>
                </c:pt>
                <c:pt idx="3">
                  <c:v>575.14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0584192"/>
        <c:axId val="220606464"/>
      </c:barChart>
      <c:lineChart>
        <c:grouping val="standard"/>
        <c:varyColors val="0"/>
        <c:ser>
          <c:idx val="1"/>
          <c:order val="1"/>
          <c:tx>
            <c:strRef>
              <c:f>'Gráficos V3'!$E$294</c:f>
              <c:strCache>
                <c:ptCount val="1"/>
                <c:pt idx="0">
                  <c:v>Média</c:v>
                </c:pt>
              </c:strCache>
            </c:strRef>
          </c:tx>
          <c:marker>
            <c:symbol val="none"/>
          </c:marker>
          <c:cat>
            <c:strRef>
              <c:f>'Gráficos V3'!$F$292:$J$292</c:f>
              <c:strCache>
                <c:ptCount val="4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</c:strCache>
            </c:strRef>
          </c:cat>
          <c:val>
            <c:numRef>
              <c:f>'Gráficos V3'!$F$294:$J$294</c:f>
              <c:numCache>
                <c:formatCode>General</c:formatCode>
                <c:ptCount val="5"/>
                <c:pt idx="0">
                  <c:v>776.35249999999996</c:v>
                </c:pt>
                <c:pt idx="1">
                  <c:v>796.72799999999995</c:v>
                </c:pt>
                <c:pt idx="2">
                  <c:v>796.72799999999995</c:v>
                </c:pt>
                <c:pt idx="3">
                  <c:v>796.72799999999995</c:v>
                </c:pt>
                <c:pt idx="4">
                  <c:v>878.23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0584192"/>
        <c:axId val="220606464"/>
      </c:lineChart>
      <c:catAx>
        <c:axId val="220584192"/>
        <c:scaling>
          <c:orientation val="minMax"/>
        </c:scaling>
        <c:delete val="0"/>
        <c:axPos val="b"/>
        <c:majorTickMark val="out"/>
        <c:minorTickMark val="none"/>
        <c:tickLblPos val="nextTo"/>
        <c:crossAx val="220606464"/>
        <c:crosses val="autoZero"/>
        <c:auto val="1"/>
        <c:lblAlgn val="ctr"/>
        <c:lblOffset val="100"/>
        <c:noMultiLvlLbl val="0"/>
      </c:catAx>
      <c:valAx>
        <c:axId val="22060646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2058419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Vol. por VP</a:t>
            </a:r>
          </a:p>
        </c:rich>
      </c:tx>
      <c:layout>
        <c:manualLayout>
          <c:xMode val="edge"/>
          <c:yMode val="edge"/>
          <c:x val="0.72806326583478742"/>
          <c:y val="2.6981455029846023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5.6714241955759206E-2"/>
          <c:y val="3.4426426033431247E-2"/>
          <c:w val="0.93581909200469571"/>
          <c:h val="0.5364776991949458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tx2">
                <a:lumMod val="50000"/>
                <a:alpha val="75000"/>
              </a:schemeClr>
            </a:solidFill>
          </c:spPr>
          <c:invertIfNegative val="0"/>
          <c:dLbls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'Gráficos V3'!$A$4:$A$24</c:f>
              <c:strCache>
                <c:ptCount val="21"/>
                <c:pt idx="0">
                  <c:v>VP Tecnologia Digital</c:v>
                </c:pt>
                <c:pt idx="1">
                  <c:v>VP O&amp;L</c:v>
                </c:pt>
                <c:pt idx="2">
                  <c:v>VP Negócios Brasil</c:v>
                </c:pt>
                <c:pt idx="3">
                  <c:v>#N/D</c:v>
                </c:pt>
                <c:pt idx="4">
                  <c:v>OIS</c:v>
                </c:pt>
                <c:pt idx="5">
                  <c:v>VP Finanças e Relações com Investidores</c:v>
                </c:pt>
                <c:pt idx="6">
                  <c:v>VP Negócios</c:v>
                </c:pt>
                <c:pt idx="7">
                  <c:v>VP Pessoas e Cultura</c:v>
                </c:pt>
                <c:pt idx="8">
                  <c:v>VP Inovação</c:v>
                </c:pt>
                <c:pt idx="9">
                  <c:v>Presidência</c:v>
                </c:pt>
                <c:pt idx="10">
                  <c:v>VP Marcas e Negócios</c:v>
                </c:pt>
                <c:pt idx="11">
                  <c:v>VP Redes</c:v>
                </c:pt>
                <c:pt idx="12">
                  <c:v>VP Inovação de Produtos</c:v>
                </c:pt>
                <c:pt idx="13">
                  <c:v>Administração Instituto Natura</c:v>
                </c:pt>
                <c:pt idx="14">
                  <c:v>Governança Corporativa</c:v>
                </c:pt>
                <c:pt idx="15">
                  <c:v>VP Finanças, Jurídico e TI</c:v>
                </c:pt>
                <c:pt idx="16">
                  <c:v>VP Finanças, Jurídico e RI</c:v>
                </c:pt>
                <c:pt idx="17">
                  <c:v>VP Internacional</c:v>
                </c:pt>
                <c:pt idx="18">
                  <c:v>VP DS</c:v>
                </c:pt>
                <c:pt idx="19">
                  <c:v>Expatriados</c:v>
                </c:pt>
                <c:pt idx="20">
                  <c:v>VP Negócios Internacionais</c:v>
                </c:pt>
              </c:strCache>
            </c:strRef>
          </c:cat>
          <c:val>
            <c:numRef>
              <c:f>'Gráficos V3'!$C$4:$C$24</c:f>
              <c:numCache>
                <c:formatCode>General</c:formatCode>
                <c:ptCount val="21"/>
                <c:pt idx="0">
                  <c:v>33193</c:v>
                </c:pt>
                <c:pt idx="1">
                  <c:v>15119</c:v>
                </c:pt>
                <c:pt idx="2">
                  <c:v>8739</c:v>
                </c:pt>
                <c:pt idx="3">
                  <c:v>4809</c:v>
                </c:pt>
                <c:pt idx="4">
                  <c:v>3943</c:v>
                </c:pt>
                <c:pt idx="5">
                  <c:v>3720</c:v>
                </c:pt>
                <c:pt idx="6">
                  <c:v>2368</c:v>
                </c:pt>
                <c:pt idx="7">
                  <c:v>1296</c:v>
                </c:pt>
                <c:pt idx="8">
                  <c:v>1265</c:v>
                </c:pt>
                <c:pt idx="9">
                  <c:v>1196</c:v>
                </c:pt>
                <c:pt idx="10">
                  <c:v>577</c:v>
                </c:pt>
                <c:pt idx="11">
                  <c:v>527</c:v>
                </c:pt>
                <c:pt idx="12">
                  <c:v>183</c:v>
                </c:pt>
                <c:pt idx="13">
                  <c:v>127</c:v>
                </c:pt>
                <c:pt idx="14">
                  <c:v>90</c:v>
                </c:pt>
                <c:pt idx="15">
                  <c:v>74</c:v>
                </c:pt>
                <c:pt idx="16">
                  <c:v>56</c:v>
                </c:pt>
                <c:pt idx="17">
                  <c:v>44</c:v>
                </c:pt>
                <c:pt idx="18">
                  <c:v>39</c:v>
                </c:pt>
                <c:pt idx="19">
                  <c:v>23</c:v>
                </c:pt>
                <c:pt idx="20">
                  <c:v>11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0623232"/>
        <c:axId val="220624768"/>
      </c:barChart>
      <c:catAx>
        <c:axId val="220623232"/>
        <c:scaling>
          <c:orientation val="minMax"/>
        </c:scaling>
        <c:delete val="0"/>
        <c:axPos val="b"/>
        <c:majorTickMark val="out"/>
        <c:minorTickMark val="none"/>
        <c:tickLblPos val="nextTo"/>
        <c:crossAx val="220624768"/>
        <c:crosses val="autoZero"/>
        <c:auto val="1"/>
        <c:lblAlgn val="ctr"/>
        <c:lblOffset val="100"/>
        <c:noMultiLvlLbl val="0"/>
      </c:catAx>
      <c:valAx>
        <c:axId val="22062476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2062323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6" Type="http://schemas.openxmlformats.org/officeDocument/2006/relationships/chart" Target="../charts/chart19.xml"/><Relationship Id="rId5" Type="http://schemas.openxmlformats.org/officeDocument/2006/relationships/chart" Target="../charts/chart18.xml"/><Relationship Id="rId4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149678</xdr:colOff>
      <xdr:row>28</xdr:row>
      <xdr:rowOff>44904</xdr:rowOff>
    </xdr:from>
    <xdr:to>
      <xdr:col>14</xdr:col>
      <xdr:colOff>601435</xdr:colOff>
      <xdr:row>45</xdr:row>
      <xdr:rowOff>35379</xdr:rowOff>
    </xdr:to>
    <xdr:graphicFrame macro="">
      <xdr:nvGraphicFramePr>
        <xdr:cNvPr id="8" name="Gráfico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297996</xdr:colOff>
      <xdr:row>2</xdr:row>
      <xdr:rowOff>61233</xdr:rowOff>
    </xdr:from>
    <xdr:to>
      <xdr:col>17</xdr:col>
      <xdr:colOff>2812596</xdr:colOff>
      <xdr:row>19</xdr:row>
      <xdr:rowOff>51708</xdr:rowOff>
    </xdr:to>
    <xdr:graphicFrame macro="">
      <xdr:nvGraphicFramePr>
        <xdr:cNvPr id="9" name="Gráfico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2818002</xdr:colOff>
      <xdr:row>2</xdr:row>
      <xdr:rowOff>59530</xdr:rowOff>
    </xdr:from>
    <xdr:to>
      <xdr:col>23</xdr:col>
      <xdr:colOff>514503</xdr:colOff>
      <xdr:row>24</xdr:row>
      <xdr:rowOff>109046</xdr:rowOff>
    </xdr:to>
    <xdr:graphicFrame macro="">
      <xdr:nvGraphicFramePr>
        <xdr:cNvPr id="10" name="Gráfico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105307</xdr:colOff>
      <xdr:row>1</xdr:row>
      <xdr:rowOff>25665</xdr:rowOff>
    </xdr:from>
    <xdr:to>
      <xdr:col>27</xdr:col>
      <xdr:colOff>316974</xdr:colOff>
      <xdr:row>17</xdr:row>
      <xdr:rowOff>120915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369094</xdr:colOff>
      <xdr:row>0</xdr:row>
      <xdr:rowOff>75010</xdr:rowOff>
    </xdr:from>
    <xdr:to>
      <xdr:col>18</xdr:col>
      <xdr:colOff>107157</xdr:colOff>
      <xdr:row>16</xdr:row>
      <xdr:rowOff>151210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369094</xdr:colOff>
      <xdr:row>17</xdr:row>
      <xdr:rowOff>119062</xdr:rowOff>
    </xdr:from>
    <xdr:to>
      <xdr:col>18</xdr:col>
      <xdr:colOff>107157</xdr:colOff>
      <xdr:row>34</xdr:row>
      <xdr:rowOff>28575</xdr:rowOff>
    </xdr:to>
    <xdr:graphicFrame macro="">
      <xdr:nvGraphicFramePr>
        <xdr:cNvPr id="4" name="Grá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357188</xdr:colOff>
      <xdr:row>35</xdr:row>
      <xdr:rowOff>23813</xdr:rowOff>
    </xdr:from>
    <xdr:to>
      <xdr:col>18</xdr:col>
      <xdr:colOff>95251</xdr:colOff>
      <xdr:row>51</xdr:row>
      <xdr:rowOff>100013</xdr:rowOff>
    </xdr:to>
    <xdr:graphicFrame macro="">
      <xdr:nvGraphicFramePr>
        <xdr:cNvPr id="5" name="Grá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47626</xdr:colOff>
      <xdr:row>28</xdr:row>
      <xdr:rowOff>59532</xdr:rowOff>
    </xdr:from>
    <xdr:to>
      <xdr:col>8</xdr:col>
      <xdr:colOff>1297783</xdr:colOff>
      <xdr:row>44</xdr:row>
      <xdr:rowOff>135732</xdr:rowOff>
    </xdr:to>
    <xdr:graphicFrame macro="">
      <xdr:nvGraphicFramePr>
        <xdr:cNvPr id="6" name="Gráfico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528637</xdr:colOff>
      <xdr:row>2</xdr:row>
      <xdr:rowOff>4763</xdr:rowOff>
    </xdr:from>
    <xdr:to>
      <xdr:col>20</xdr:col>
      <xdr:colOff>595313</xdr:colOff>
      <xdr:row>25</xdr:row>
      <xdr:rowOff>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381002</xdr:colOff>
      <xdr:row>28</xdr:row>
      <xdr:rowOff>35719</xdr:rowOff>
    </xdr:from>
    <xdr:to>
      <xdr:col>18</xdr:col>
      <xdr:colOff>35720</xdr:colOff>
      <xdr:row>45</xdr:row>
      <xdr:rowOff>26193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47625</xdr:colOff>
      <xdr:row>45</xdr:row>
      <xdr:rowOff>119063</xdr:rowOff>
    </xdr:from>
    <xdr:to>
      <xdr:col>19</xdr:col>
      <xdr:colOff>535782</xdr:colOff>
      <xdr:row>62</xdr:row>
      <xdr:rowOff>109538</xdr:rowOff>
    </xdr:to>
    <xdr:graphicFrame macro="">
      <xdr:nvGraphicFramePr>
        <xdr:cNvPr id="4" name="Grá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59532</xdr:colOff>
      <xdr:row>63</xdr:row>
      <xdr:rowOff>86914</xdr:rowOff>
    </xdr:from>
    <xdr:to>
      <xdr:col>19</xdr:col>
      <xdr:colOff>523875</xdr:colOff>
      <xdr:row>79</xdr:row>
      <xdr:rowOff>163114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35718</xdr:colOff>
      <xdr:row>84</xdr:row>
      <xdr:rowOff>130968</xdr:rowOff>
    </xdr:from>
    <xdr:to>
      <xdr:col>21</xdr:col>
      <xdr:colOff>102394</xdr:colOff>
      <xdr:row>107</xdr:row>
      <xdr:rowOff>126205</xdr:rowOff>
    </xdr:to>
    <xdr:graphicFrame macro="">
      <xdr:nvGraphicFramePr>
        <xdr:cNvPr id="9" name="Gráfico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588168</xdr:colOff>
      <xdr:row>214</xdr:row>
      <xdr:rowOff>16668</xdr:rowOff>
    </xdr:from>
    <xdr:to>
      <xdr:col>20</xdr:col>
      <xdr:colOff>654844</xdr:colOff>
      <xdr:row>237</xdr:row>
      <xdr:rowOff>11906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154784</xdr:colOff>
      <xdr:row>233</xdr:row>
      <xdr:rowOff>35719</xdr:rowOff>
    </xdr:from>
    <xdr:to>
      <xdr:col>18</xdr:col>
      <xdr:colOff>500064</xdr:colOff>
      <xdr:row>250</xdr:row>
      <xdr:rowOff>26193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119062</xdr:colOff>
      <xdr:row>250</xdr:row>
      <xdr:rowOff>107157</xdr:rowOff>
    </xdr:from>
    <xdr:to>
      <xdr:col>20</xdr:col>
      <xdr:colOff>607218</xdr:colOff>
      <xdr:row>267</xdr:row>
      <xdr:rowOff>97632</xdr:rowOff>
    </xdr:to>
    <xdr:graphicFrame macro="">
      <xdr:nvGraphicFramePr>
        <xdr:cNvPr id="4" name="Grá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321471</xdr:colOff>
      <xdr:row>268</xdr:row>
      <xdr:rowOff>110727</xdr:rowOff>
    </xdr:from>
    <xdr:to>
      <xdr:col>21</xdr:col>
      <xdr:colOff>95251</xdr:colOff>
      <xdr:row>285</xdr:row>
      <xdr:rowOff>20240</xdr:rowOff>
    </xdr:to>
    <xdr:graphicFrame macro="">
      <xdr:nvGraphicFramePr>
        <xdr:cNvPr id="5" name="Grá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190499</xdr:colOff>
      <xdr:row>288</xdr:row>
      <xdr:rowOff>35717</xdr:rowOff>
    </xdr:from>
    <xdr:to>
      <xdr:col>21</xdr:col>
      <xdr:colOff>257175</xdr:colOff>
      <xdr:row>311</xdr:row>
      <xdr:rowOff>30955</xdr:rowOff>
    </xdr:to>
    <xdr:graphicFrame macro="">
      <xdr:nvGraphicFramePr>
        <xdr:cNvPr id="6" name="Gráfico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357188</xdr:colOff>
      <xdr:row>1</xdr:row>
      <xdr:rowOff>95248</xdr:rowOff>
    </xdr:from>
    <xdr:to>
      <xdr:col>16</xdr:col>
      <xdr:colOff>690563</xdr:colOff>
      <xdr:row>26</xdr:row>
      <xdr:rowOff>23810</xdr:rowOff>
    </xdr:to>
    <xdr:graphicFrame macro="">
      <xdr:nvGraphicFramePr>
        <xdr:cNvPr id="7" name="Gráfico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ela4" displayName="Tabela4" ref="C28:W49" totalsRowShown="0" headerRowDxfId="23" dataDxfId="22" tableBorderDxfId="21">
  <tableColumns count="21">
    <tableColumn id="1" name="# abertura no mês" dataDxfId="20"/>
    <tableColumn id="2" name="# resolução no mês" dataDxfId="19"/>
    <tableColumn id="3" name="aging resolução no mês" dataDxfId="18"/>
    <tableColumn id="4" name="# resolução backlog" dataDxfId="17"/>
    <tableColumn id="5" name="aging resolução backlog" dataDxfId="16"/>
    <tableColumn id="6" name="# resolução total" dataDxfId="15"/>
    <tableColumn id="7" name="aging resolução total" dataDxfId="14"/>
    <tableColumn id="8" name="# abertura no mês2" dataDxfId="13"/>
    <tableColumn id="9" name="# resolução no mês3" dataDxfId="12"/>
    <tableColumn id="10" name="aging resolução no mês4" dataDxfId="11"/>
    <tableColumn id="11" name="# resolução backlog5" dataDxfId="10"/>
    <tableColumn id="12" name="aging resolução backlog6" dataDxfId="9"/>
    <tableColumn id="13" name="# resolução total7" dataDxfId="8"/>
    <tableColumn id="14" name="aging resolução total8" dataDxfId="7"/>
    <tableColumn id="15" name="# abertura no mês9" dataDxfId="6"/>
    <tableColumn id="16" name="# resolução no mês10" dataDxfId="5"/>
    <tableColumn id="17" name="aging resolução no mês11" dataDxfId="4"/>
    <tableColumn id="18" name="# resolução backlog12" dataDxfId="3"/>
    <tableColumn id="19" name="aging resolução backlog13" dataDxfId="2"/>
    <tableColumn id="20" name="# resolução total14" dataDxfId="1"/>
    <tableColumn id="21" name="aging resolução total15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176"/>
  <sheetViews>
    <sheetView zoomScale="70" zoomScaleNormal="70" workbookViewId="0">
      <selection activeCell="N7" activeCellId="3" sqref="A2:U176"/>
    </sheetView>
  </sheetViews>
  <sheetFormatPr defaultRowHeight="12.75" x14ac:dyDescent="0.2"/>
  <cols>
    <col min="2" max="2" width="18.875" bestFit="1" customWidth="1"/>
    <col min="12" max="12" width="14.375" bestFit="1" customWidth="1"/>
    <col min="13" max="13" width="18.25" bestFit="1" customWidth="1"/>
    <col min="18" max="18" width="41.375" bestFit="1" customWidth="1"/>
    <col min="22" max="22" width="38.25" bestFit="1" customWidth="1"/>
  </cols>
  <sheetData>
    <row r="2" spans="1:14" x14ac:dyDescent="0.2">
      <c r="A2" s="2" t="s">
        <v>0</v>
      </c>
      <c r="B2" s="1"/>
      <c r="C2" s="1"/>
      <c r="D2" s="1"/>
      <c r="E2" s="1"/>
      <c r="I2" t="s">
        <v>8</v>
      </c>
    </row>
    <row r="4" spans="1:14" x14ac:dyDescent="0.2">
      <c r="A4" s="2"/>
      <c r="D4" s="1"/>
      <c r="E4" s="1"/>
      <c r="I4" s="31" t="s">
        <v>33</v>
      </c>
      <c r="J4" s="32">
        <v>146</v>
      </c>
      <c r="L4" s="208" t="s">
        <v>40</v>
      </c>
      <c r="M4" t="s">
        <v>2</v>
      </c>
      <c r="N4">
        <v>146</v>
      </c>
    </row>
    <row r="5" spans="1:14" x14ac:dyDescent="0.2">
      <c r="A5" s="208" t="s">
        <v>1</v>
      </c>
      <c r="B5" s="2" t="s">
        <v>2</v>
      </c>
      <c r="C5" s="1">
        <v>212</v>
      </c>
      <c r="D5" s="1"/>
      <c r="E5" s="1"/>
      <c r="I5" s="33" t="s">
        <v>33</v>
      </c>
      <c r="J5" s="32">
        <v>87</v>
      </c>
      <c r="L5" s="208"/>
      <c r="M5" t="s">
        <v>39</v>
      </c>
      <c r="N5">
        <v>87</v>
      </c>
    </row>
    <row r="6" spans="1:14" x14ac:dyDescent="0.2">
      <c r="A6" s="208"/>
      <c r="B6" s="2" t="s">
        <v>3</v>
      </c>
      <c r="C6" s="1">
        <v>210</v>
      </c>
      <c r="D6" s="1"/>
      <c r="E6" s="1"/>
      <c r="I6" s="33" t="s">
        <v>34</v>
      </c>
      <c r="J6" s="32">
        <v>42</v>
      </c>
      <c r="L6" s="208"/>
      <c r="M6" t="s">
        <v>3</v>
      </c>
      <c r="N6">
        <v>139</v>
      </c>
    </row>
    <row r="7" spans="1:14" x14ac:dyDescent="0.2">
      <c r="A7" s="208" t="s">
        <v>5</v>
      </c>
      <c r="B7" s="2" t="s">
        <v>2</v>
      </c>
      <c r="C7" s="1">
        <v>373</v>
      </c>
      <c r="D7" s="3">
        <v>0.99056603773584906</v>
      </c>
      <c r="E7" s="1">
        <v>210</v>
      </c>
      <c r="I7" s="33" t="s">
        <v>35</v>
      </c>
      <c r="J7" s="32">
        <v>7</v>
      </c>
      <c r="L7" s="208"/>
      <c r="M7" t="s">
        <v>4</v>
      </c>
      <c r="N7">
        <v>7</v>
      </c>
    </row>
    <row r="8" spans="1:14" x14ac:dyDescent="0.2">
      <c r="A8" s="208"/>
      <c r="B8" s="2" t="s">
        <v>3</v>
      </c>
      <c r="C8" s="1">
        <v>339</v>
      </c>
      <c r="D8" s="1"/>
      <c r="E8" s="1"/>
      <c r="I8" s="33" t="s">
        <v>36</v>
      </c>
      <c r="J8" s="32">
        <v>3</v>
      </c>
      <c r="L8" s="208" t="s">
        <v>41</v>
      </c>
      <c r="M8" t="s">
        <v>2</v>
      </c>
      <c r="N8">
        <v>140</v>
      </c>
    </row>
    <row r="9" spans="1:14" x14ac:dyDescent="0.2">
      <c r="A9" s="208" t="s">
        <v>6</v>
      </c>
      <c r="B9" s="2" t="s">
        <v>2</v>
      </c>
      <c r="C9" s="1">
        <v>568</v>
      </c>
      <c r="D9" s="1"/>
      <c r="E9" s="1"/>
      <c r="I9" s="33" t="s">
        <v>37</v>
      </c>
      <c r="J9" s="32">
        <v>7</v>
      </c>
      <c r="L9" s="208"/>
      <c r="M9" t="s">
        <v>39</v>
      </c>
      <c r="N9">
        <v>84</v>
      </c>
    </row>
    <row r="10" spans="1:14" x14ac:dyDescent="0.2">
      <c r="A10" s="208"/>
      <c r="B10" s="2" t="s">
        <v>3</v>
      </c>
      <c r="C10" s="1">
        <v>540</v>
      </c>
      <c r="D10" s="3">
        <v>0.90884718498659522</v>
      </c>
      <c r="E10" s="1">
        <v>339</v>
      </c>
      <c r="I10" s="31" t="s">
        <v>34</v>
      </c>
      <c r="J10" s="32">
        <v>140</v>
      </c>
      <c r="L10" s="208"/>
      <c r="M10" t="s">
        <v>3</v>
      </c>
      <c r="N10">
        <v>130</v>
      </c>
    </row>
    <row r="11" spans="1:14" x14ac:dyDescent="0.2">
      <c r="A11" s="208" t="s">
        <v>7</v>
      </c>
      <c r="B11" s="2" t="s">
        <v>2</v>
      </c>
      <c r="C11" s="1">
        <v>522</v>
      </c>
      <c r="D11" s="1"/>
      <c r="E11" s="1"/>
      <c r="I11" s="33" t="s">
        <v>34</v>
      </c>
      <c r="J11" s="32">
        <v>84</v>
      </c>
      <c r="L11" s="208"/>
      <c r="M11" t="s">
        <v>4</v>
      </c>
      <c r="N11">
        <v>10</v>
      </c>
    </row>
    <row r="12" spans="1:14" x14ac:dyDescent="0.2">
      <c r="A12" s="208"/>
      <c r="B12" s="2" t="s">
        <v>3</v>
      </c>
      <c r="C12" s="1">
        <v>496</v>
      </c>
      <c r="D12" s="1"/>
      <c r="E12" s="1"/>
      <c r="I12" s="33" t="s">
        <v>35</v>
      </c>
      <c r="J12" s="32">
        <v>41</v>
      </c>
      <c r="L12" s="208" t="s">
        <v>42</v>
      </c>
      <c r="M12" t="s">
        <v>2</v>
      </c>
      <c r="N12">
        <v>109</v>
      </c>
    </row>
    <row r="13" spans="1:14" x14ac:dyDescent="0.2">
      <c r="A13" s="208" t="s">
        <v>8</v>
      </c>
      <c r="B13" s="2" t="s">
        <v>2</v>
      </c>
      <c r="C13" s="1">
        <v>499</v>
      </c>
      <c r="D13" s="3">
        <v>0.95070422535211263</v>
      </c>
      <c r="E13" s="1">
        <v>540</v>
      </c>
      <c r="I13" s="33" t="s">
        <v>36</v>
      </c>
      <c r="J13" s="32">
        <v>5</v>
      </c>
      <c r="L13" s="208"/>
      <c r="M13" t="s">
        <v>39</v>
      </c>
      <c r="N13">
        <v>65</v>
      </c>
    </row>
    <row r="14" spans="1:14" x14ac:dyDescent="0.2">
      <c r="A14" s="208"/>
      <c r="B14" s="2" t="s">
        <v>3</v>
      </c>
      <c r="C14" s="1">
        <v>446</v>
      </c>
      <c r="D14" s="1"/>
      <c r="E14" s="1"/>
      <c r="I14" s="33" t="s">
        <v>37</v>
      </c>
      <c r="J14" s="32">
        <v>10</v>
      </c>
      <c r="L14" s="208"/>
      <c r="M14" t="s">
        <v>3</v>
      </c>
      <c r="N14">
        <v>102</v>
      </c>
    </row>
    <row r="15" spans="1:14" x14ac:dyDescent="0.2">
      <c r="D15" s="1"/>
      <c r="E15" s="1"/>
      <c r="I15" s="31" t="s">
        <v>35</v>
      </c>
      <c r="J15" s="32">
        <v>109</v>
      </c>
      <c r="L15" s="208"/>
      <c r="M15" t="s">
        <v>4</v>
      </c>
      <c r="N15">
        <v>7</v>
      </c>
    </row>
    <row r="16" spans="1:14" x14ac:dyDescent="0.2">
      <c r="A16" s="56"/>
      <c r="B16" s="2"/>
      <c r="C16" s="57"/>
      <c r="D16" s="3">
        <v>0.95019157088122608</v>
      </c>
      <c r="E16" s="1">
        <v>496</v>
      </c>
      <c r="I16" s="33" t="s">
        <v>35</v>
      </c>
      <c r="J16" s="32">
        <v>65</v>
      </c>
      <c r="L16" s="208" t="s">
        <v>43</v>
      </c>
      <c r="M16" t="s">
        <v>2</v>
      </c>
      <c r="N16">
        <v>104</v>
      </c>
    </row>
    <row r="17" spans="1:21" x14ac:dyDescent="0.2">
      <c r="D17" s="1"/>
      <c r="E17" s="1"/>
      <c r="I17" s="33" t="s">
        <v>36</v>
      </c>
      <c r="J17" s="32">
        <v>37</v>
      </c>
      <c r="L17" s="208"/>
      <c r="M17" t="s">
        <v>39</v>
      </c>
      <c r="N17">
        <v>79</v>
      </c>
    </row>
    <row r="18" spans="1:21" x14ac:dyDescent="0.2">
      <c r="D18" s="1"/>
      <c r="E18" s="1"/>
      <c r="I18" s="33" t="s">
        <v>37</v>
      </c>
      <c r="J18" s="32">
        <v>7</v>
      </c>
      <c r="L18" s="208"/>
      <c r="M18" t="s">
        <v>3</v>
      </c>
      <c r="N18">
        <v>92</v>
      </c>
    </row>
    <row r="19" spans="1:21" x14ac:dyDescent="0.2">
      <c r="A19" s="56"/>
      <c r="B19" s="2"/>
      <c r="C19" s="57"/>
      <c r="D19" s="3">
        <v>0.89378757515030061</v>
      </c>
      <c r="E19" s="1">
        <v>446</v>
      </c>
      <c r="I19" s="31" t="s">
        <v>36</v>
      </c>
      <c r="J19" s="32">
        <v>104</v>
      </c>
      <c r="L19" s="208"/>
      <c r="M19" t="s">
        <v>4</v>
      </c>
      <c r="N19">
        <v>12</v>
      </c>
    </row>
    <row r="20" spans="1:21" x14ac:dyDescent="0.2">
      <c r="I20" s="33" t="s">
        <v>36</v>
      </c>
      <c r="J20" s="32">
        <v>79</v>
      </c>
    </row>
    <row r="21" spans="1:21" x14ac:dyDescent="0.2">
      <c r="I21" s="33" t="s">
        <v>37</v>
      </c>
      <c r="J21" s="32">
        <v>25</v>
      </c>
    </row>
    <row r="22" spans="1:21" x14ac:dyDescent="0.2">
      <c r="I22" s="31" t="s">
        <v>38</v>
      </c>
      <c r="J22" s="32">
        <v>499</v>
      </c>
    </row>
    <row r="24" spans="1:21" x14ac:dyDescent="0.2">
      <c r="A24" s="56"/>
      <c r="B24" s="2"/>
      <c r="C24" s="1"/>
      <c r="D24" s="1"/>
      <c r="E24" s="1"/>
    </row>
    <row r="25" spans="1:21" x14ac:dyDescent="0.2">
      <c r="R25" s="209" t="s">
        <v>8</v>
      </c>
      <c r="S25" s="209"/>
      <c r="T25" s="209"/>
      <c r="U25" s="209"/>
    </row>
    <row r="26" spans="1:21" x14ac:dyDescent="0.2">
      <c r="R26" s="28" t="s">
        <v>32</v>
      </c>
      <c r="S26" s="27" t="s">
        <v>31</v>
      </c>
      <c r="T26" s="27" t="s">
        <v>15</v>
      </c>
      <c r="U26" s="27" t="s">
        <v>17</v>
      </c>
    </row>
    <row r="27" spans="1:21" x14ac:dyDescent="0.2">
      <c r="R27" s="23" t="s">
        <v>18</v>
      </c>
      <c r="S27" s="24">
        <v>109</v>
      </c>
      <c r="T27" s="26">
        <v>0.36799999999999999</v>
      </c>
      <c r="U27" s="22">
        <v>2.09</v>
      </c>
    </row>
    <row r="28" spans="1:21" x14ac:dyDescent="0.2">
      <c r="R28" s="23" t="s">
        <v>19</v>
      </c>
      <c r="S28" s="24">
        <v>75</v>
      </c>
      <c r="T28" s="26">
        <v>0.33700000000000002</v>
      </c>
      <c r="U28" s="22">
        <v>1.75</v>
      </c>
    </row>
    <row r="29" spans="1:21" x14ac:dyDescent="0.2">
      <c r="R29" s="23" t="s">
        <v>20</v>
      </c>
      <c r="S29" s="24">
        <v>53</v>
      </c>
      <c r="T29" s="26">
        <v>0.41</v>
      </c>
      <c r="U29" s="22">
        <v>1.72</v>
      </c>
    </row>
    <row r="30" spans="1:21" x14ac:dyDescent="0.2">
      <c r="A30" s="6" t="s">
        <v>9</v>
      </c>
      <c r="B30" s="5"/>
      <c r="C30" s="5"/>
      <c r="D30" s="5"/>
      <c r="R30" s="23" t="s">
        <v>21</v>
      </c>
      <c r="S30" s="24">
        <v>34</v>
      </c>
      <c r="T30" s="26">
        <v>0.184</v>
      </c>
      <c r="U30" s="22">
        <v>3</v>
      </c>
    </row>
    <row r="31" spans="1:21" x14ac:dyDescent="0.2">
      <c r="A31" s="5"/>
      <c r="B31" s="5"/>
      <c r="C31" s="13" t="s">
        <v>10</v>
      </c>
      <c r="D31" s="13" t="s">
        <v>11</v>
      </c>
      <c r="G31" s="4" t="s">
        <v>15</v>
      </c>
      <c r="H31" s="4" t="s">
        <v>17</v>
      </c>
      <c r="R31" s="23" t="s">
        <v>28</v>
      </c>
      <c r="S31" s="24">
        <v>24</v>
      </c>
      <c r="T31" s="26">
        <v>0.64300000000000002</v>
      </c>
      <c r="U31" s="22">
        <v>3.24</v>
      </c>
    </row>
    <row r="32" spans="1:21" x14ac:dyDescent="0.2">
      <c r="A32" s="210" t="s">
        <v>1</v>
      </c>
      <c r="B32" s="7" t="s">
        <v>12</v>
      </c>
      <c r="C32" s="8">
        <v>94</v>
      </c>
      <c r="D32" s="11">
        <v>0.87037037037037035</v>
      </c>
      <c r="F32" t="s">
        <v>1</v>
      </c>
      <c r="G32" s="15">
        <v>0.87</v>
      </c>
      <c r="H32" s="14">
        <v>3.98</v>
      </c>
      <c r="R32" s="23" t="s">
        <v>23</v>
      </c>
      <c r="S32" s="24">
        <v>19</v>
      </c>
      <c r="T32" s="26">
        <v>0.19</v>
      </c>
      <c r="U32" s="22">
        <v>0.89</v>
      </c>
    </row>
    <row r="33" spans="1:21" x14ac:dyDescent="0.2">
      <c r="A33" s="210"/>
      <c r="B33" s="7" t="s">
        <v>13</v>
      </c>
      <c r="C33" s="8">
        <v>14</v>
      </c>
      <c r="D33" s="11">
        <v>0.12962962962962962</v>
      </c>
      <c r="F33" t="s">
        <v>5</v>
      </c>
      <c r="G33" s="15">
        <v>0.62</v>
      </c>
      <c r="H33" s="14">
        <v>2.69</v>
      </c>
      <c r="R33" s="23" t="s">
        <v>22</v>
      </c>
      <c r="S33" s="24">
        <v>16</v>
      </c>
      <c r="T33" s="26">
        <v>0.27300000000000002</v>
      </c>
      <c r="U33" s="22">
        <v>4.01</v>
      </c>
    </row>
    <row r="34" spans="1:21" x14ac:dyDescent="0.2">
      <c r="A34" s="210"/>
      <c r="B34" s="7" t="s">
        <v>14</v>
      </c>
      <c r="C34" s="12">
        <v>108</v>
      </c>
      <c r="D34" s="9"/>
      <c r="F34" t="s">
        <v>16</v>
      </c>
      <c r="G34" s="16">
        <v>0.312</v>
      </c>
      <c r="H34" s="14">
        <v>2.75</v>
      </c>
      <c r="R34" s="25" t="s">
        <v>24</v>
      </c>
      <c r="S34" s="24">
        <v>15</v>
      </c>
      <c r="T34" s="29">
        <v>0.93799999999999994</v>
      </c>
      <c r="U34" s="22">
        <v>0.76</v>
      </c>
    </row>
    <row r="35" spans="1:21" x14ac:dyDescent="0.2">
      <c r="A35" s="210" t="s">
        <v>5</v>
      </c>
      <c r="B35" s="7" t="s">
        <v>12</v>
      </c>
      <c r="C35" s="8">
        <v>201</v>
      </c>
      <c r="D35" s="11">
        <v>0.62037037037037035</v>
      </c>
      <c r="F35" t="s">
        <v>7</v>
      </c>
      <c r="G35" s="16">
        <v>0.318</v>
      </c>
      <c r="H35" s="14">
        <v>1.93</v>
      </c>
      <c r="R35" s="23" t="s">
        <v>26</v>
      </c>
      <c r="S35" s="24">
        <v>14</v>
      </c>
      <c r="T35" s="26">
        <v>0.68799999999999994</v>
      </c>
      <c r="U35" s="22">
        <v>1.43</v>
      </c>
    </row>
    <row r="36" spans="1:21" x14ac:dyDescent="0.2">
      <c r="A36" s="210"/>
      <c r="B36" s="7" t="s">
        <v>13</v>
      </c>
      <c r="C36" s="8">
        <v>123</v>
      </c>
      <c r="D36" s="11">
        <v>0.37962962962962965</v>
      </c>
      <c r="F36" t="s">
        <v>8</v>
      </c>
      <c r="G36" s="16">
        <v>0.43099999999999999</v>
      </c>
      <c r="H36" s="14">
        <v>1.38</v>
      </c>
      <c r="R36" s="23" t="s">
        <v>25</v>
      </c>
      <c r="S36" s="24">
        <v>13</v>
      </c>
      <c r="T36" s="26">
        <v>0.26700000000000002</v>
      </c>
      <c r="U36" s="22">
        <v>1.84</v>
      </c>
    </row>
    <row r="37" spans="1:21" x14ac:dyDescent="0.2">
      <c r="A37" s="210"/>
      <c r="B37" s="7" t="s">
        <v>14</v>
      </c>
      <c r="C37" s="12">
        <v>324</v>
      </c>
      <c r="D37" s="9"/>
      <c r="R37" s="18"/>
      <c r="S37" s="17"/>
      <c r="T37" s="4"/>
      <c r="U37" s="4"/>
    </row>
    <row r="38" spans="1:21" x14ac:dyDescent="0.2">
      <c r="A38" s="210" t="s">
        <v>6</v>
      </c>
      <c r="B38" s="7" t="s">
        <v>12</v>
      </c>
      <c r="C38" s="8">
        <v>177</v>
      </c>
      <c r="D38" s="11">
        <v>0.31161971830985913</v>
      </c>
      <c r="R38" s="18"/>
      <c r="S38" s="17"/>
      <c r="T38" s="4"/>
      <c r="U38" s="4"/>
    </row>
    <row r="39" spans="1:21" x14ac:dyDescent="0.2">
      <c r="A39" s="210"/>
      <c r="B39" s="7" t="s">
        <v>13</v>
      </c>
      <c r="C39" s="8">
        <v>391</v>
      </c>
      <c r="D39" s="11">
        <v>0.68838028169014087</v>
      </c>
    </row>
    <row r="40" spans="1:21" x14ac:dyDescent="0.2">
      <c r="A40" s="210"/>
      <c r="B40" s="7" t="s">
        <v>14</v>
      </c>
      <c r="C40" s="10">
        <v>568</v>
      </c>
      <c r="D40" s="9"/>
    </row>
    <row r="41" spans="1:21" x14ac:dyDescent="0.2">
      <c r="A41" s="210" t="s">
        <v>7</v>
      </c>
      <c r="B41" s="7" t="s">
        <v>12</v>
      </c>
      <c r="C41" s="8">
        <v>157</v>
      </c>
      <c r="D41" s="11">
        <v>0.31845841784989859</v>
      </c>
    </row>
    <row r="42" spans="1:21" x14ac:dyDescent="0.2">
      <c r="A42" s="210"/>
      <c r="B42" s="7" t="s">
        <v>13</v>
      </c>
      <c r="C42" s="8">
        <v>336</v>
      </c>
      <c r="D42" s="11">
        <v>0.68154158215010141</v>
      </c>
    </row>
    <row r="43" spans="1:21" x14ac:dyDescent="0.2">
      <c r="A43" s="210"/>
      <c r="B43" s="7" t="s">
        <v>14</v>
      </c>
      <c r="C43" s="8">
        <v>493</v>
      </c>
      <c r="D43" s="9"/>
    </row>
    <row r="44" spans="1:21" x14ac:dyDescent="0.2">
      <c r="A44" s="210" t="s">
        <v>8</v>
      </c>
      <c r="B44" s="7" t="s">
        <v>12</v>
      </c>
      <c r="C44" s="8">
        <v>215</v>
      </c>
      <c r="D44" s="11">
        <f>C44/C46</f>
        <v>0.43086172344689377</v>
      </c>
    </row>
    <row r="45" spans="1:21" x14ac:dyDescent="0.2">
      <c r="A45" s="210"/>
      <c r="B45" s="7" t="s">
        <v>13</v>
      </c>
      <c r="C45" s="8">
        <v>284</v>
      </c>
      <c r="D45" s="11">
        <f>C45/C46</f>
        <v>0.56913827655310623</v>
      </c>
      <c r="I45" s="19"/>
    </row>
    <row r="46" spans="1:21" x14ac:dyDescent="0.2">
      <c r="A46" s="210"/>
      <c r="B46" s="7" t="s">
        <v>14</v>
      </c>
      <c r="C46" s="8">
        <v>499</v>
      </c>
      <c r="D46" s="5"/>
    </row>
    <row r="47" spans="1:21" x14ac:dyDescent="0.2">
      <c r="I47" s="35" t="s">
        <v>44</v>
      </c>
      <c r="S47" s="36">
        <v>232</v>
      </c>
    </row>
    <row r="48" spans="1:21" x14ac:dyDescent="0.2">
      <c r="I48" s="37" t="s">
        <v>18</v>
      </c>
      <c r="K48" s="30">
        <v>69</v>
      </c>
    </row>
    <row r="49" spans="9:19" x14ac:dyDescent="0.2">
      <c r="I49" s="38" t="s">
        <v>45</v>
      </c>
      <c r="K49" s="30">
        <v>10</v>
      </c>
    </row>
    <row r="50" spans="9:19" x14ac:dyDescent="0.2">
      <c r="I50" s="38" t="s">
        <v>46</v>
      </c>
      <c r="K50" s="30">
        <v>9</v>
      </c>
    </row>
    <row r="51" spans="9:19" x14ac:dyDescent="0.2">
      <c r="I51" s="38" t="s">
        <v>47</v>
      </c>
      <c r="K51" s="30">
        <v>9</v>
      </c>
    </row>
    <row r="52" spans="9:19" x14ac:dyDescent="0.2">
      <c r="I52" s="38" t="s">
        <v>48</v>
      </c>
      <c r="S52" s="36">
        <v>4</v>
      </c>
    </row>
    <row r="53" spans="9:19" x14ac:dyDescent="0.2">
      <c r="I53" s="38" t="s">
        <v>49</v>
      </c>
      <c r="S53" s="36">
        <v>3</v>
      </c>
    </row>
    <row r="54" spans="9:19" x14ac:dyDescent="0.2">
      <c r="I54" s="38" t="s">
        <v>50</v>
      </c>
      <c r="S54" s="36">
        <v>3</v>
      </c>
    </row>
    <row r="55" spans="9:19" x14ac:dyDescent="0.2">
      <c r="I55" s="38" t="s">
        <v>51</v>
      </c>
      <c r="S55" s="36">
        <v>2</v>
      </c>
    </row>
    <row r="56" spans="9:19" x14ac:dyDescent="0.2">
      <c r="I56" s="38" t="s">
        <v>52</v>
      </c>
      <c r="S56" s="36">
        <v>2</v>
      </c>
    </row>
    <row r="57" spans="9:19" x14ac:dyDescent="0.2">
      <c r="I57" s="38" t="s">
        <v>53</v>
      </c>
      <c r="S57" s="36">
        <v>2</v>
      </c>
    </row>
    <row r="58" spans="9:19" x14ac:dyDescent="0.2">
      <c r="I58" s="38" t="s">
        <v>54</v>
      </c>
      <c r="S58" s="36">
        <v>2</v>
      </c>
    </row>
    <row r="59" spans="9:19" x14ac:dyDescent="0.2">
      <c r="I59" s="38" t="s">
        <v>55</v>
      </c>
      <c r="S59" s="36">
        <v>1</v>
      </c>
    </row>
    <row r="60" spans="9:19" x14ac:dyDescent="0.2">
      <c r="I60" s="38" t="s">
        <v>56</v>
      </c>
      <c r="S60" s="36">
        <v>1</v>
      </c>
    </row>
    <row r="61" spans="9:19" x14ac:dyDescent="0.2">
      <c r="I61" s="38" t="s">
        <v>57</v>
      </c>
      <c r="S61" s="36">
        <v>1</v>
      </c>
    </row>
    <row r="62" spans="9:19" x14ac:dyDescent="0.2">
      <c r="I62" s="38" t="s">
        <v>58</v>
      </c>
      <c r="S62" s="36">
        <v>1</v>
      </c>
    </row>
    <row r="63" spans="9:19" x14ac:dyDescent="0.2">
      <c r="I63" s="38" t="s">
        <v>59</v>
      </c>
      <c r="S63" s="36">
        <v>1</v>
      </c>
    </row>
    <row r="64" spans="9:19" x14ac:dyDescent="0.2">
      <c r="I64" s="38" t="s">
        <v>60</v>
      </c>
      <c r="S64" s="36">
        <v>1</v>
      </c>
    </row>
    <row r="65" spans="9:19" x14ac:dyDescent="0.2">
      <c r="I65" s="38" t="s">
        <v>61</v>
      </c>
      <c r="S65" s="36">
        <v>1</v>
      </c>
    </row>
    <row r="66" spans="9:19" x14ac:dyDescent="0.2">
      <c r="I66" s="38" t="s">
        <v>62</v>
      </c>
      <c r="S66" s="36">
        <v>1</v>
      </c>
    </row>
    <row r="67" spans="9:19" x14ac:dyDescent="0.2">
      <c r="I67" s="38" t="s">
        <v>63</v>
      </c>
      <c r="S67" s="36">
        <v>1</v>
      </c>
    </row>
    <row r="68" spans="9:19" x14ac:dyDescent="0.2">
      <c r="I68" s="38" t="s">
        <v>64</v>
      </c>
      <c r="S68" s="36">
        <v>1</v>
      </c>
    </row>
    <row r="69" spans="9:19" x14ac:dyDescent="0.2">
      <c r="I69" s="38" t="s">
        <v>65</v>
      </c>
      <c r="S69" s="36">
        <v>1</v>
      </c>
    </row>
    <row r="70" spans="9:19" x14ac:dyDescent="0.2">
      <c r="I70" s="38" t="s">
        <v>66</v>
      </c>
      <c r="S70" s="36">
        <v>1</v>
      </c>
    </row>
    <row r="71" spans="9:19" x14ac:dyDescent="0.2">
      <c r="I71" s="38" t="s">
        <v>67</v>
      </c>
      <c r="S71" s="36">
        <v>1</v>
      </c>
    </row>
    <row r="72" spans="9:19" x14ac:dyDescent="0.2">
      <c r="I72" s="38" t="s">
        <v>68</v>
      </c>
      <c r="S72" s="36">
        <v>1</v>
      </c>
    </row>
    <row r="73" spans="9:19" x14ac:dyDescent="0.2">
      <c r="I73" s="38" t="s">
        <v>69</v>
      </c>
      <c r="S73" s="36">
        <v>1</v>
      </c>
    </row>
    <row r="74" spans="9:19" x14ac:dyDescent="0.2">
      <c r="I74" s="38" t="s">
        <v>70</v>
      </c>
      <c r="S74" s="36">
        <v>1</v>
      </c>
    </row>
    <row r="75" spans="9:19" x14ac:dyDescent="0.2">
      <c r="I75" s="38" t="s">
        <v>71</v>
      </c>
      <c r="S75" s="36">
        <v>1</v>
      </c>
    </row>
    <row r="76" spans="9:19" x14ac:dyDescent="0.2">
      <c r="I76" s="38" t="s">
        <v>72</v>
      </c>
      <c r="S76" s="36">
        <v>1</v>
      </c>
    </row>
    <row r="77" spans="9:19" x14ac:dyDescent="0.2">
      <c r="I77" s="38" t="s">
        <v>73</v>
      </c>
      <c r="S77" s="36">
        <v>1</v>
      </c>
    </row>
    <row r="78" spans="9:19" x14ac:dyDescent="0.2">
      <c r="I78" s="38" t="s">
        <v>74</v>
      </c>
      <c r="S78" s="36">
        <v>1</v>
      </c>
    </row>
    <row r="79" spans="9:19" x14ac:dyDescent="0.2">
      <c r="I79" s="38" t="s">
        <v>75</v>
      </c>
      <c r="S79" s="36">
        <v>1</v>
      </c>
    </row>
    <row r="80" spans="9:19" x14ac:dyDescent="0.2">
      <c r="I80" s="38" t="s">
        <v>76</v>
      </c>
      <c r="S80" s="36">
        <v>1</v>
      </c>
    </row>
    <row r="81" spans="9:19" x14ac:dyDescent="0.2">
      <c r="I81" s="38" t="s">
        <v>77</v>
      </c>
      <c r="S81" s="36">
        <v>1</v>
      </c>
    </row>
    <row r="82" spans="9:19" x14ac:dyDescent="0.2">
      <c r="I82" s="37" t="s">
        <v>19</v>
      </c>
      <c r="S82" s="36">
        <v>47</v>
      </c>
    </row>
    <row r="83" spans="9:19" x14ac:dyDescent="0.2">
      <c r="I83" s="38" t="s">
        <v>78</v>
      </c>
      <c r="J83" s="30">
        <v>18</v>
      </c>
    </row>
    <row r="84" spans="9:19" x14ac:dyDescent="0.2">
      <c r="I84" s="38" t="s">
        <v>71</v>
      </c>
      <c r="J84" s="30">
        <v>13</v>
      </c>
    </row>
    <row r="85" spans="9:19" x14ac:dyDescent="0.2">
      <c r="I85" s="38" t="s">
        <v>79</v>
      </c>
      <c r="S85" s="36">
        <v>3</v>
      </c>
    </row>
    <row r="86" spans="9:19" x14ac:dyDescent="0.2">
      <c r="I86" s="38" t="s">
        <v>80</v>
      </c>
      <c r="S86" s="36">
        <v>2</v>
      </c>
    </row>
    <row r="87" spans="9:19" x14ac:dyDescent="0.2">
      <c r="I87" s="38" t="s">
        <v>81</v>
      </c>
      <c r="S87" s="36">
        <v>2</v>
      </c>
    </row>
    <row r="88" spans="9:19" x14ac:dyDescent="0.2">
      <c r="I88" s="38" t="s">
        <v>47</v>
      </c>
      <c r="S88" s="36">
        <v>2</v>
      </c>
    </row>
    <row r="89" spans="9:19" x14ac:dyDescent="0.2">
      <c r="I89" s="38" t="s">
        <v>73</v>
      </c>
      <c r="S89" s="36">
        <v>1</v>
      </c>
    </row>
    <row r="90" spans="9:19" x14ac:dyDescent="0.2">
      <c r="I90" s="38" t="s">
        <v>82</v>
      </c>
      <c r="S90" s="36">
        <v>1</v>
      </c>
    </row>
    <row r="91" spans="9:19" x14ac:dyDescent="0.2">
      <c r="I91" s="38" t="s">
        <v>83</v>
      </c>
      <c r="S91" s="36">
        <v>1</v>
      </c>
    </row>
    <row r="92" spans="9:19" x14ac:dyDescent="0.2">
      <c r="I92" s="38" t="s">
        <v>84</v>
      </c>
      <c r="S92" s="36">
        <v>1</v>
      </c>
    </row>
    <row r="93" spans="9:19" x14ac:dyDescent="0.2">
      <c r="I93" s="38" t="s">
        <v>85</v>
      </c>
      <c r="S93" s="36">
        <v>1</v>
      </c>
    </row>
    <row r="94" spans="9:19" x14ac:dyDescent="0.2">
      <c r="I94" s="38" t="s">
        <v>86</v>
      </c>
      <c r="S94" s="36">
        <v>1</v>
      </c>
    </row>
    <row r="95" spans="9:19" x14ac:dyDescent="0.2">
      <c r="I95" s="38" t="s">
        <v>87</v>
      </c>
      <c r="S95" s="36">
        <v>1</v>
      </c>
    </row>
    <row r="96" spans="9:19" x14ac:dyDescent="0.2">
      <c r="I96" s="37" t="s">
        <v>21</v>
      </c>
      <c r="S96" s="36">
        <v>29</v>
      </c>
    </row>
    <row r="97" spans="9:19" x14ac:dyDescent="0.2">
      <c r="I97" s="38" t="s">
        <v>88</v>
      </c>
      <c r="J97" s="30">
        <v>6</v>
      </c>
    </row>
    <row r="98" spans="9:19" x14ac:dyDescent="0.2">
      <c r="I98" s="38" t="s">
        <v>89</v>
      </c>
      <c r="S98" s="36">
        <v>2</v>
      </c>
    </row>
    <row r="99" spans="9:19" x14ac:dyDescent="0.2">
      <c r="I99" s="38" t="s">
        <v>90</v>
      </c>
      <c r="S99" s="36">
        <v>2</v>
      </c>
    </row>
    <row r="100" spans="9:19" x14ac:dyDescent="0.2">
      <c r="I100" s="38" t="s">
        <v>91</v>
      </c>
      <c r="S100" s="36">
        <v>2</v>
      </c>
    </row>
    <row r="101" spans="9:19" x14ac:dyDescent="0.2">
      <c r="I101" s="38" t="s">
        <v>92</v>
      </c>
      <c r="S101" s="36">
        <v>2</v>
      </c>
    </row>
    <row r="102" spans="9:19" x14ac:dyDescent="0.2">
      <c r="I102" s="38" t="s">
        <v>93</v>
      </c>
      <c r="S102" s="36">
        <v>2</v>
      </c>
    </row>
    <row r="103" spans="9:19" x14ac:dyDescent="0.2">
      <c r="I103" s="38" t="s">
        <v>94</v>
      </c>
      <c r="S103" s="36">
        <v>1</v>
      </c>
    </row>
    <row r="104" spans="9:19" x14ac:dyDescent="0.2">
      <c r="I104" s="38" t="s">
        <v>95</v>
      </c>
      <c r="S104" s="36">
        <v>1</v>
      </c>
    </row>
    <row r="105" spans="9:19" x14ac:dyDescent="0.2">
      <c r="I105" s="38" t="s">
        <v>96</v>
      </c>
      <c r="S105" s="36">
        <v>1</v>
      </c>
    </row>
    <row r="106" spans="9:19" x14ac:dyDescent="0.2">
      <c r="I106" s="38" t="s">
        <v>97</v>
      </c>
      <c r="S106" s="36">
        <v>1</v>
      </c>
    </row>
    <row r="107" spans="9:19" x14ac:dyDescent="0.2">
      <c r="I107" s="38" t="s">
        <v>98</v>
      </c>
      <c r="S107" s="36">
        <v>1</v>
      </c>
    </row>
    <row r="108" spans="9:19" x14ac:dyDescent="0.2">
      <c r="I108" s="38" t="s">
        <v>99</v>
      </c>
      <c r="S108" s="36">
        <v>1</v>
      </c>
    </row>
    <row r="109" spans="9:19" x14ac:dyDescent="0.2">
      <c r="I109" s="38" t="s">
        <v>100</v>
      </c>
      <c r="S109" s="36">
        <v>1</v>
      </c>
    </row>
    <row r="110" spans="9:19" x14ac:dyDescent="0.2">
      <c r="I110" s="38" t="s">
        <v>101</v>
      </c>
      <c r="S110" s="36">
        <v>1</v>
      </c>
    </row>
    <row r="111" spans="9:19" x14ac:dyDescent="0.2">
      <c r="I111" s="38" t="s">
        <v>102</v>
      </c>
      <c r="S111" s="36">
        <v>1</v>
      </c>
    </row>
    <row r="112" spans="9:19" x14ac:dyDescent="0.2">
      <c r="I112" s="38" t="s">
        <v>103</v>
      </c>
      <c r="S112" s="36">
        <v>1</v>
      </c>
    </row>
    <row r="113" spans="9:19" x14ac:dyDescent="0.2">
      <c r="I113" s="38" t="s">
        <v>104</v>
      </c>
      <c r="S113" s="36">
        <v>1</v>
      </c>
    </row>
    <row r="114" spans="9:19" x14ac:dyDescent="0.2">
      <c r="I114" s="38" t="s">
        <v>105</v>
      </c>
      <c r="S114" s="36">
        <v>1</v>
      </c>
    </row>
    <row r="115" spans="9:19" x14ac:dyDescent="0.2">
      <c r="I115" s="38" t="s">
        <v>106</v>
      </c>
      <c r="S115" s="36">
        <v>1</v>
      </c>
    </row>
    <row r="116" spans="9:19" x14ac:dyDescent="0.2">
      <c r="I116" s="37" t="s">
        <v>20</v>
      </c>
      <c r="S116" s="36">
        <v>28</v>
      </c>
    </row>
    <row r="117" spans="9:19" x14ac:dyDescent="0.2">
      <c r="I117" s="38" t="s">
        <v>107</v>
      </c>
      <c r="S117" s="36">
        <v>4</v>
      </c>
    </row>
    <row r="118" spans="9:19" x14ac:dyDescent="0.2">
      <c r="I118" s="38" t="s">
        <v>108</v>
      </c>
      <c r="S118" s="36">
        <v>4</v>
      </c>
    </row>
    <row r="119" spans="9:19" x14ac:dyDescent="0.2">
      <c r="I119" s="38" t="s">
        <v>109</v>
      </c>
      <c r="S119" s="36">
        <v>3</v>
      </c>
    </row>
    <row r="120" spans="9:19" x14ac:dyDescent="0.2">
      <c r="I120" s="38" t="s">
        <v>110</v>
      </c>
      <c r="S120" s="36">
        <v>3</v>
      </c>
    </row>
    <row r="121" spans="9:19" x14ac:dyDescent="0.2">
      <c r="I121" s="38" t="s">
        <v>111</v>
      </c>
      <c r="S121" s="36">
        <v>2</v>
      </c>
    </row>
    <row r="122" spans="9:19" x14ac:dyDescent="0.2">
      <c r="I122" s="38" t="s">
        <v>112</v>
      </c>
      <c r="S122" s="36">
        <v>2</v>
      </c>
    </row>
    <row r="123" spans="9:19" x14ac:dyDescent="0.2">
      <c r="I123" s="38" t="s">
        <v>113</v>
      </c>
      <c r="S123" s="36">
        <v>2</v>
      </c>
    </row>
    <row r="124" spans="9:19" x14ac:dyDescent="0.2">
      <c r="I124" s="38" t="s">
        <v>114</v>
      </c>
      <c r="S124" s="36">
        <v>2</v>
      </c>
    </row>
    <row r="125" spans="9:19" x14ac:dyDescent="0.2">
      <c r="I125" s="38" t="s">
        <v>115</v>
      </c>
      <c r="S125" s="36">
        <v>1</v>
      </c>
    </row>
    <row r="126" spans="9:19" x14ac:dyDescent="0.2">
      <c r="I126" s="38" t="s">
        <v>116</v>
      </c>
      <c r="S126" s="36">
        <v>1</v>
      </c>
    </row>
    <row r="127" spans="9:19" x14ac:dyDescent="0.2">
      <c r="I127" s="38" t="s">
        <v>117</v>
      </c>
      <c r="S127" s="36">
        <v>1</v>
      </c>
    </row>
    <row r="128" spans="9:19" x14ac:dyDescent="0.2">
      <c r="I128" s="38" t="s">
        <v>118</v>
      </c>
      <c r="S128" s="36">
        <v>1</v>
      </c>
    </row>
    <row r="129" spans="9:19" x14ac:dyDescent="0.2">
      <c r="I129" s="38" t="s">
        <v>119</v>
      </c>
      <c r="S129" s="36">
        <v>1</v>
      </c>
    </row>
    <row r="130" spans="9:19" x14ac:dyDescent="0.2">
      <c r="I130" s="38" t="s">
        <v>120</v>
      </c>
      <c r="S130" s="36">
        <v>1</v>
      </c>
    </row>
    <row r="131" spans="9:19" x14ac:dyDescent="0.2">
      <c r="I131" s="37" t="s">
        <v>23</v>
      </c>
      <c r="S131" s="36">
        <v>15</v>
      </c>
    </row>
    <row r="132" spans="9:19" x14ac:dyDescent="0.2">
      <c r="I132" s="38" t="s">
        <v>121</v>
      </c>
      <c r="S132" s="36">
        <v>3</v>
      </c>
    </row>
    <row r="133" spans="9:19" x14ac:dyDescent="0.2">
      <c r="I133" s="38" t="s">
        <v>122</v>
      </c>
      <c r="S133" s="36">
        <v>3</v>
      </c>
    </row>
    <row r="134" spans="9:19" x14ac:dyDescent="0.2">
      <c r="I134" s="38" t="s">
        <v>123</v>
      </c>
      <c r="S134" s="36">
        <v>2</v>
      </c>
    </row>
    <row r="135" spans="9:19" x14ac:dyDescent="0.2">
      <c r="I135" s="38" t="s">
        <v>124</v>
      </c>
      <c r="S135" s="36">
        <v>1</v>
      </c>
    </row>
    <row r="136" spans="9:19" x14ac:dyDescent="0.2">
      <c r="I136" s="38" t="s">
        <v>125</v>
      </c>
      <c r="S136" s="36">
        <v>1</v>
      </c>
    </row>
    <row r="137" spans="9:19" x14ac:dyDescent="0.2">
      <c r="I137" s="38" t="s">
        <v>126</v>
      </c>
      <c r="S137" s="36">
        <v>1</v>
      </c>
    </row>
    <row r="138" spans="9:19" x14ac:dyDescent="0.2">
      <c r="I138" s="38" t="s">
        <v>110</v>
      </c>
      <c r="S138" s="36">
        <v>1</v>
      </c>
    </row>
    <row r="139" spans="9:19" x14ac:dyDescent="0.2">
      <c r="I139" s="38" t="s">
        <v>127</v>
      </c>
      <c r="S139" s="36">
        <v>1</v>
      </c>
    </row>
    <row r="140" spans="9:19" x14ac:dyDescent="0.2">
      <c r="I140" s="38" t="s">
        <v>109</v>
      </c>
      <c r="S140" s="36">
        <v>1</v>
      </c>
    </row>
    <row r="141" spans="9:19" x14ac:dyDescent="0.2">
      <c r="I141" s="38" t="s">
        <v>111</v>
      </c>
      <c r="S141" s="36">
        <v>1</v>
      </c>
    </row>
    <row r="142" spans="9:19" x14ac:dyDescent="0.2">
      <c r="I142" s="37" t="s">
        <v>22</v>
      </c>
      <c r="S142" s="36">
        <v>12</v>
      </c>
    </row>
    <row r="143" spans="9:19" x14ac:dyDescent="0.2">
      <c r="I143" s="38" t="s">
        <v>128</v>
      </c>
      <c r="S143" s="36">
        <v>2</v>
      </c>
    </row>
    <row r="144" spans="9:19" x14ac:dyDescent="0.2">
      <c r="I144" s="38" t="s">
        <v>129</v>
      </c>
      <c r="S144" s="36">
        <v>1</v>
      </c>
    </row>
    <row r="145" spans="9:19" x14ac:dyDescent="0.2">
      <c r="I145" s="38" t="s">
        <v>130</v>
      </c>
      <c r="S145" s="36">
        <v>1</v>
      </c>
    </row>
    <row r="146" spans="9:19" x14ac:dyDescent="0.2">
      <c r="I146" s="38" t="s">
        <v>131</v>
      </c>
      <c r="S146" s="36">
        <v>1</v>
      </c>
    </row>
    <row r="147" spans="9:19" x14ac:dyDescent="0.2">
      <c r="I147" s="38" t="s">
        <v>132</v>
      </c>
      <c r="S147" s="36">
        <v>1</v>
      </c>
    </row>
    <row r="148" spans="9:19" x14ac:dyDescent="0.2">
      <c r="I148" s="38" t="s">
        <v>133</v>
      </c>
      <c r="S148" s="36">
        <v>1</v>
      </c>
    </row>
    <row r="149" spans="9:19" x14ac:dyDescent="0.2">
      <c r="I149" s="38" t="s">
        <v>134</v>
      </c>
      <c r="S149" s="36">
        <v>1</v>
      </c>
    </row>
    <row r="150" spans="9:19" x14ac:dyDescent="0.2">
      <c r="I150" s="38" t="s">
        <v>135</v>
      </c>
      <c r="S150" s="36">
        <v>1</v>
      </c>
    </row>
    <row r="151" spans="9:19" x14ac:dyDescent="0.2">
      <c r="I151" s="38" t="s">
        <v>136</v>
      </c>
      <c r="S151" s="36">
        <v>1</v>
      </c>
    </row>
    <row r="152" spans="9:19" x14ac:dyDescent="0.2">
      <c r="I152" s="38" t="s">
        <v>137</v>
      </c>
      <c r="S152" s="36">
        <v>1</v>
      </c>
    </row>
    <row r="153" spans="9:19" x14ac:dyDescent="0.2">
      <c r="I153" s="38" t="s">
        <v>138</v>
      </c>
      <c r="S153" s="36">
        <v>1</v>
      </c>
    </row>
    <row r="154" spans="9:19" x14ac:dyDescent="0.2">
      <c r="I154" s="37" t="s">
        <v>25</v>
      </c>
      <c r="S154" s="36">
        <v>10</v>
      </c>
    </row>
    <row r="155" spans="9:19" x14ac:dyDescent="0.2">
      <c r="I155" s="38" t="s">
        <v>71</v>
      </c>
      <c r="S155" s="36">
        <v>7</v>
      </c>
    </row>
    <row r="156" spans="9:19" x14ac:dyDescent="0.2">
      <c r="I156" s="38" t="s">
        <v>139</v>
      </c>
      <c r="S156" s="36">
        <v>1</v>
      </c>
    </row>
    <row r="157" spans="9:19" x14ac:dyDescent="0.2">
      <c r="I157" s="38" t="s">
        <v>140</v>
      </c>
      <c r="S157" s="36">
        <v>1</v>
      </c>
    </row>
    <row r="158" spans="9:19" x14ac:dyDescent="0.2">
      <c r="I158" s="38" t="s">
        <v>78</v>
      </c>
      <c r="S158" s="36">
        <v>1</v>
      </c>
    </row>
    <row r="159" spans="9:19" x14ac:dyDescent="0.2">
      <c r="I159" s="37" t="s">
        <v>29</v>
      </c>
      <c r="S159" s="36">
        <v>8</v>
      </c>
    </row>
    <row r="160" spans="9:19" x14ac:dyDescent="0.2">
      <c r="I160" s="38" t="s">
        <v>141</v>
      </c>
      <c r="S160" s="36">
        <v>4</v>
      </c>
    </row>
    <row r="161" spans="9:19" x14ac:dyDescent="0.2">
      <c r="I161" s="38" t="s">
        <v>128</v>
      </c>
      <c r="S161" s="36">
        <v>2</v>
      </c>
    </row>
    <row r="162" spans="9:19" x14ac:dyDescent="0.2">
      <c r="I162" s="38" t="s">
        <v>142</v>
      </c>
      <c r="S162" s="36">
        <v>1</v>
      </c>
    </row>
    <row r="163" spans="9:19" x14ac:dyDescent="0.2">
      <c r="I163" s="38" t="s">
        <v>143</v>
      </c>
      <c r="S163" s="36">
        <v>1</v>
      </c>
    </row>
    <row r="164" spans="9:19" x14ac:dyDescent="0.2">
      <c r="I164" s="37" t="s">
        <v>144</v>
      </c>
      <c r="S164" s="36">
        <v>7</v>
      </c>
    </row>
    <row r="165" spans="9:19" x14ac:dyDescent="0.2">
      <c r="I165" s="38" t="s">
        <v>145</v>
      </c>
      <c r="S165" s="36">
        <v>2</v>
      </c>
    </row>
    <row r="166" spans="9:19" x14ac:dyDescent="0.2">
      <c r="I166" s="38" t="s">
        <v>51</v>
      </c>
      <c r="S166" s="36">
        <v>1</v>
      </c>
    </row>
    <row r="167" spans="9:19" x14ac:dyDescent="0.2">
      <c r="I167" s="38" t="s">
        <v>146</v>
      </c>
      <c r="S167" s="36">
        <v>1</v>
      </c>
    </row>
    <row r="168" spans="9:19" x14ac:dyDescent="0.2">
      <c r="I168" s="38" t="s">
        <v>56</v>
      </c>
      <c r="S168" s="36">
        <v>1</v>
      </c>
    </row>
    <row r="169" spans="9:19" x14ac:dyDescent="0.2">
      <c r="I169" s="38" t="s">
        <v>147</v>
      </c>
      <c r="S169" s="36">
        <v>1</v>
      </c>
    </row>
    <row r="170" spans="9:19" x14ac:dyDescent="0.2">
      <c r="I170" s="38" t="s">
        <v>148</v>
      </c>
      <c r="S170" s="36">
        <v>1</v>
      </c>
    </row>
    <row r="171" spans="9:19" x14ac:dyDescent="0.2">
      <c r="I171" s="37" t="s">
        <v>30</v>
      </c>
      <c r="S171" s="36">
        <v>7</v>
      </c>
    </row>
    <row r="172" spans="9:19" x14ac:dyDescent="0.2">
      <c r="I172" s="38" t="s">
        <v>47</v>
      </c>
      <c r="S172" s="36">
        <v>3</v>
      </c>
    </row>
    <row r="173" spans="9:19" x14ac:dyDescent="0.2">
      <c r="I173" s="38" t="s">
        <v>79</v>
      </c>
      <c r="S173" s="36">
        <v>1</v>
      </c>
    </row>
    <row r="174" spans="9:19" x14ac:dyDescent="0.2">
      <c r="I174" s="38" t="s">
        <v>45</v>
      </c>
      <c r="S174" s="36">
        <v>1</v>
      </c>
    </row>
    <row r="175" spans="9:19" x14ac:dyDescent="0.2">
      <c r="I175" s="38" t="s">
        <v>149</v>
      </c>
      <c r="S175" s="36">
        <v>1</v>
      </c>
    </row>
    <row r="176" spans="9:19" x14ac:dyDescent="0.2">
      <c r="I176" s="38" t="s">
        <v>71</v>
      </c>
      <c r="S176" s="36">
        <v>1</v>
      </c>
    </row>
  </sheetData>
  <sortState ref="R27:U36">
    <sortCondition descending="1" ref="S27"/>
  </sortState>
  <mergeCells count="15">
    <mergeCell ref="A35:A37"/>
    <mergeCell ref="A38:A40"/>
    <mergeCell ref="A41:A43"/>
    <mergeCell ref="A44:A46"/>
    <mergeCell ref="A32:A34"/>
    <mergeCell ref="A9:A10"/>
    <mergeCell ref="A13:A14"/>
    <mergeCell ref="R25:U25"/>
    <mergeCell ref="L4:L7"/>
    <mergeCell ref="L8:L11"/>
    <mergeCell ref="L12:L15"/>
    <mergeCell ref="L16:L19"/>
    <mergeCell ref="A5:A6"/>
    <mergeCell ref="A11:A12"/>
    <mergeCell ref="A7:A8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1"/>
  <sheetViews>
    <sheetView workbookViewId="0">
      <selection activeCell="B2" sqref="B2:C11"/>
    </sheetView>
  </sheetViews>
  <sheetFormatPr defaultRowHeight="12.75" x14ac:dyDescent="0.2"/>
  <cols>
    <col min="2" max="2" width="84.5" customWidth="1"/>
    <col min="3" max="3" width="11.125" bestFit="1" customWidth="1"/>
  </cols>
  <sheetData>
    <row r="2" spans="2:3" x14ac:dyDescent="0.2">
      <c r="B2" s="211" t="s">
        <v>150</v>
      </c>
      <c r="C2" s="212"/>
    </row>
    <row r="3" spans="2:3" x14ac:dyDescent="0.2">
      <c r="B3" s="39" t="s">
        <v>18</v>
      </c>
      <c r="C3" s="44" t="s">
        <v>151</v>
      </c>
    </row>
    <row r="4" spans="2:3" x14ac:dyDescent="0.2">
      <c r="B4" s="41" t="s">
        <v>45</v>
      </c>
      <c r="C4" s="42">
        <v>10</v>
      </c>
    </row>
    <row r="5" spans="2:3" x14ac:dyDescent="0.2">
      <c r="B5" s="41" t="s">
        <v>46</v>
      </c>
      <c r="C5" s="42">
        <v>9</v>
      </c>
    </row>
    <row r="6" spans="2:3" x14ac:dyDescent="0.2">
      <c r="B6" s="40" t="s">
        <v>47</v>
      </c>
      <c r="C6" s="43">
        <v>9</v>
      </c>
    </row>
    <row r="7" spans="2:3" x14ac:dyDescent="0.2">
      <c r="B7" s="39" t="s">
        <v>19</v>
      </c>
      <c r="C7" s="44" t="s">
        <v>151</v>
      </c>
    </row>
    <row r="8" spans="2:3" x14ac:dyDescent="0.2">
      <c r="B8" s="41" t="s">
        <v>78</v>
      </c>
      <c r="C8" s="42">
        <v>18</v>
      </c>
    </row>
    <row r="9" spans="2:3" x14ac:dyDescent="0.2">
      <c r="B9" s="40" t="s">
        <v>71</v>
      </c>
      <c r="C9" s="43">
        <v>13</v>
      </c>
    </row>
    <row r="10" spans="2:3" x14ac:dyDescent="0.2">
      <c r="B10" s="39" t="s">
        <v>21</v>
      </c>
      <c r="C10" s="44" t="s">
        <v>151</v>
      </c>
    </row>
    <row r="11" spans="2:3" x14ac:dyDescent="0.2">
      <c r="B11" s="40" t="s">
        <v>88</v>
      </c>
      <c r="C11" s="43">
        <v>6</v>
      </c>
    </row>
  </sheetData>
  <mergeCells count="1">
    <mergeCell ref="B2:C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Views>
    <sheetView zoomScale="80" zoomScaleNormal="80" workbookViewId="0">
      <selection activeCell="I19" sqref="I19"/>
    </sheetView>
  </sheetViews>
  <sheetFormatPr defaultRowHeight="12.75" x14ac:dyDescent="0.2"/>
  <cols>
    <col min="2" max="2" width="26.375" customWidth="1"/>
    <col min="6" max="6" width="10.75" customWidth="1"/>
    <col min="7" max="7" width="14.625" bestFit="1" customWidth="1"/>
    <col min="8" max="8" width="43.625" bestFit="1" customWidth="1"/>
    <col min="9" max="9" width="37.375" bestFit="1" customWidth="1"/>
    <col min="10" max="10" width="17.125" bestFit="1" customWidth="1"/>
    <col min="11" max="11" width="18.875" bestFit="1" customWidth="1"/>
  </cols>
  <sheetData>
    <row r="1" spans="1:19" x14ac:dyDescent="0.2">
      <c r="A1" s="6" t="s">
        <v>9</v>
      </c>
      <c r="B1" s="34"/>
      <c r="C1" s="34"/>
      <c r="D1" s="34"/>
      <c r="F1" s="21"/>
      <c r="G1" s="60" t="s">
        <v>171</v>
      </c>
      <c r="H1" s="60" t="s">
        <v>181</v>
      </c>
      <c r="I1" s="60" t="s">
        <v>182</v>
      </c>
      <c r="J1" s="60" t="s">
        <v>15</v>
      </c>
      <c r="K1" s="60" t="s">
        <v>17</v>
      </c>
    </row>
    <row r="2" spans="1:19" x14ac:dyDescent="0.2">
      <c r="A2" s="34"/>
      <c r="B2" s="34"/>
      <c r="C2" s="46" t="s">
        <v>10</v>
      </c>
      <c r="D2" s="46" t="s">
        <v>11</v>
      </c>
      <c r="F2" s="21" t="s">
        <v>1</v>
      </c>
      <c r="G2" s="22">
        <v>212</v>
      </c>
      <c r="H2" s="22">
        <v>210</v>
      </c>
      <c r="I2" s="22">
        <v>177</v>
      </c>
      <c r="J2" s="61">
        <f>I2/H2</f>
        <v>0.84285714285714286</v>
      </c>
      <c r="K2" s="22">
        <v>17.309999999999999</v>
      </c>
      <c r="R2" s="4" t="s">
        <v>15</v>
      </c>
      <c r="S2" s="4" t="s">
        <v>17</v>
      </c>
    </row>
    <row r="3" spans="1:19" x14ac:dyDescent="0.2">
      <c r="A3" s="210" t="s">
        <v>1</v>
      </c>
      <c r="B3" s="7" t="s">
        <v>12</v>
      </c>
      <c r="C3" s="45">
        <v>94</v>
      </c>
      <c r="D3" s="11">
        <f>C3/C5</f>
        <v>0.87037037037037035</v>
      </c>
      <c r="F3" s="21" t="s">
        <v>5</v>
      </c>
      <c r="G3" s="22">
        <v>373</v>
      </c>
      <c r="H3" s="22">
        <v>339</v>
      </c>
      <c r="I3" s="22">
        <v>158</v>
      </c>
      <c r="J3" s="61">
        <f>I3/H3</f>
        <v>0.46607669616519176</v>
      </c>
      <c r="K3" s="22">
        <v>9.43</v>
      </c>
      <c r="Q3" t="s">
        <v>1</v>
      </c>
      <c r="R3" s="16">
        <f>D3</f>
        <v>0.87037037037037035</v>
      </c>
      <c r="S3" s="14">
        <v>4</v>
      </c>
    </row>
    <row r="4" spans="1:19" x14ac:dyDescent="0.2">
      <c r="A4" s="210"/>
      <c r="B4" s="7" t="s">
        <v>13</v>
      </c>
      <c r="C4" s="45">
        <v>14</v>
      </c>
      <c r="D4" s="11">
        <f>C4/C5</f>
        <v>0.12962962962962962</v>
      </c>
      <c r="F4" s="21" t="s">
        <v>6</v>
      </c>
      <c r="G4" s="22">
        <v>568</v>
      </c>
      <c r="H4" s="22">
        <v>542</v>
      </c>
      <c r="I4" s="22">
        <v>161</v>
      </c>
      <c r="J4" s="61">
        <f>I4/H4</f>
        <v>0.29704797047970477</v>
      </c>
      <c r="K4" s="22">
        <v>5.53</v>
      </c>
      <c r="Q4" t="s">
        <v>5</v>
      </c>
      <c r="R4" s="16">
        <f>D6</f>
        <v>0.62037037037037035</v>
      </c>
      <c r="S4" s="14">
        <v>6</v>
      </c>
    </row>
    <row r="5" spans="1:19" x14ac:dyDescent="0.2">
      <c r="A5" s="210"/>
      <c r="B5" s="7" t="s">
        <v>14</v>
      </c>
      <c r="C5" s="8">
        <f>SUM(C3:C4)</f>
        <v>108</v>
      </c>
      <c r="D5" s="9"/>
      <c r="F5" s="21" t="s">
        <v>7</v>
      </c>
      <c r="G5" s="22">
        <v>522</v>
      </c>
      <c r="H5" s="22">
        <v>502</v>
      </c>
      <c r="I5" s="22">
        <v>164</v>
      </c>
      <c r="J5" s="61">
        <f>I5/H5</f>
        <v>0.32669322709163345</v>
      </c>
      <c r="K5" s="22">
        <v>4.45</v>
      </c>
      <c r="Q5" t="s">
        <v>16</v>
      </c>
      <c r="R5" s="16">
        <f>D9</f>
        <v>0.45268542199488493</v>
      </c>
      <c r="S5" s="14">
        <v>6</v>
      </c>
    </row>
    <row r="6" spans="1:19" x14ac:dyDescent="0.2">
      <c r="A6" s="210" t="s">
        <v>5</v>
      </c>
      <c r="B6" s="7" t="s">
        <v>12</v>
      </c>
      <c r="C6" s="45">
        <v>201</v>
      </c>
      <c r="D6" s="11">
        <f>C6/C8</f>
        <v>0.62037037037037035</v>
      </c>
      <c r="F6" s="21" t="s">
        <v>8</v>
      </c>
      <c r="G6" s="22">
        <v>499</v>
      </c>
      <c r="H6" s="22">
        <v>472</v>
      </c>
      <c r="I6" s="22">
        <v>269</v>
      </c>
      <c r="J6" s="61">
        <f>I6/H6</f>
        <v>0.56991525423728817</v>
      </c>
      <c r="K6" s="22">
        <v>3.09</v>
      </c>
      <c r="Q6" t="s">
        <v>7</v>
      </c>
      <c r="R6" s="16">
        <f>D12</f>
        <v>0.31845841784989859</v>
      </c>
      <c r="S6" s="14">
        <v>4</v>
      </c>
    </row>
    <row r="7" spans="1:19" x14ac:dyDescent="0.2">
      <c r="A7" s="210"/>
      <c r="B7" s="7" t="s">
        <v>13</v>
      </c>
      <c r="C7" s="45">
        <v>123</v>
      </c>
      <c r="D7" s="11">
        <f>C7/C8</f>
        <v>0.37962962962962965</v>
      </c>
      <c r="Q7" t="s">
        <v>8</v>
      </c>
      <c r="R7" s="16">
        <f>D15</f>
        <v>0.3996282527881041</v>
      </c>
      <c r="S7" s="14">
        <v>8</v>
      </c>
    </row>
    <row r="8" spans="1:19" x14ac:dyDescent="0.2">
      <c r="A8" s="210"/>
      <c r="B8" s="7" t="s">
        <v>14</v>
      </c>
      <c r="C8" s="8">
        <f>SUM(C6:C7)</f>
        <v>324</v>
      </c>
      <c r="D8" s="9"/>
      <c r="F8" s="21"/>
      <c r="G8" s="60" t="s">
        <v>171</v>
      </c>
      <c r="H8" s="60" t="s">
        <v>173</v>
      </c>
      <c r="I8" s="60" t="s">
        <v>179</v>
      </c>
      <c r="J8" s="60" t="s">
        <v>174</v>
      </c>
      <c r="K8" s="60" t="s">
        <v>175</v>
      </c>
    </row>
    <row r="9" spans="1:19" x14ac:dyDescent="0.2">
      <c r="A9" s="210" t="s">
        <v>6</v>
      </c>
      <c r="B9" s="7" t="s">
        <v>12</v>
      </c>
      <c r="C9" s="45">
        <v>177</v>
      </c>
      <c r="D9" s="11">
        <f>C9/C10</f>
        <v>0.45268542199488493</v>
      </c>
      <c r="F9" s="21" t="s">
        <v>1</v>
      </c>
      <c r="G9" s="22">
        <v>212</v>
      </c>
      <c r="H9" s="22">
        <v>127</v>
      </c>
      <c r="I9" s="22">
        <v>116</v>
      </c>
      <c r="J9" s="61">
        <f>I9/H9</f>
        <v>0.91338582677165359</v>
      </c>
      <c r="K9" s="22">
        <v>18.989999999999998</v>
      </c>
    </row>
    <row r="10" spans="1:19" x14ac:dyDescent="0.2">
      <c r="A10" s="210"/>
      <c r="B10" s="7" t="s">
        <v>13</v>
      </c>
      <c r="C10" s="45">
        <v>391</v>
      </c>
      <c r="D10" s="11">
        <f>C10/C11</f>
        <v>0.68838028169014087</v>
      </c>
      <c r="F10" s="21" t="s">
        <v>5</v>
      </c>
      <c r="G10" s="22">
        <v>373</v>
      </c>
      <c r="H10" s="22">
        <v>225</v>
      </c>
      <c r="I10" s="22">
        <v>106</v>
      </c>
      <c r="J10" s="61">
        <f>I10/H10</f>
        <v>0.47111111111111109</v>
      </c>
      <c r="K10" s="22">
        <v>10.73</v>
      </c>
    </row>
    <row r="11" spans="1:19" x14ac:dyDescent="0.2">
      <c r="A11" s="210"/>
      <c r="B11" s="7" t="s">
        <v>14</v>
      </c>
      <c r="C11" s="8">
        <f>SUM(C9:C10)</f>
        <v>568</v>
      </c>
      <c r="D11" s="9"/>
      <c r="F11" s="21" t="s">
        <v>6</v>
      </c>
      <c r="G11" s="22">
        <v>568</v>
      </c>
      <c r="H11" s="22">
        <v>433</v>
      </c>
      <c r="I11" s="22">
        <v>120</v>
      </c>
      <c r="J11" s="61">
        <f>I11/H11</f>
        <v>0.27713625866050806</v>
      </c>
      <c r="K11" s="22">
        <v>5.35</v>
      </c>
    </row>
    <row r="12" spans="1:19" x14ac:dyDescent="0.2">
      <c r="A12" s="210" t="s">
        <v>7</v>
      </c>
      <c r="B12" s="7" t="s">
        <v>12</v>
      </c>
      <c r="C12" s="45">
        <v>157</v>
      </c>
      <c r="D12" s="11">
        <f>C12/C14</f>
        <v>0.31845841784989859</v>
      </c>
      <c r="F12" s="21" t="s">
        <v>7</v>
      </c>
      <c r="G12" s="22">
        <v>522</v>
      </c>
      <c r="H12" s="22">
        <v>422</v>
      </c>
      <c r="I12" s="22">
        <v>121</v>
      </c>
      <c r="J12" s="61">
        <f>I12/H12</f>
        <v>0.28672985781990523</v>
      </c>
      <c r="K12" s="22">
        <v>4.4000000000000004</v>
      </c>
    </row>
    <row r="13" spans="1:19" x14ac:dyDescent="0.2">
      <c r="A13" s="210"/>
      <c r="B13" s="7" t="s">
        <v>13</v>
      </c>
      <c r="C13" s="45">
        <v>336</v>
      </c>
      <c r="D13" s="11">
        <f>C13/C14</f>
        <v>0.68154158215010141</v>
      </c>
      <c r="F13" s="21" t="s">
        <v>8</v>
      </c>
      <c r="G13" s="22">
        <v>499</v>
      </c>
      <c r="H13" s="22">
        <v>375</v>
      </c>
      <c r="I13" s="22">
        <v>148</v>
      </c>
      <c r="J13" s="61">
        <f>I13/H13</f>
        <v>0.39466666666666667</v>
      </c>
      <c r="K13" s="22">
        <v>3.2</v>
      </c>
    </row>
    <row r="14" spans="1:19" x14ac:dyDescent="0.2">
      <c r="A14" s="210"/>
      <c r="B14" s="7" t="s">
        <v>14</v>
      </c>
      <c r="C14" s="8">
        <f>SUM(C12:C13)</f>
        <v>493</v>
      </c>
      <c r="D14" s="9"/>
      <c r="G14" s="16"/>
      <c r="H14" s="14"/>
    </row>
    <row r="15" spans="1:19" x14ac:dyDescent="0.2">
      <c r="A15" s="210" t="s">
        <v>8</v>
      </c>
      <c r="B15" s="7" t="s">
        <v>12</v>
      </c>
      <c r="C15" s="45">
        <v>215</v>
      </c>
      <c r="D15" s="11">
        <f>C15/C17</f>
        <v>0.3996282527881041</v>
      </c>
      <c r="F15" s="21"/>
      <c r="G15" s="60" t="s">
        <v>171</v>
      </c>
      <c r="H15" s="60" t="s">
        <v>172</v>
      </c>
      <c r="I15" s="60" t="s">
        <v>178</v>
      </c>
      <c r="J15" s="60" t="s">
        <v>177</v>
      </c>
      <c r="K15" s="60" t="s">
        <v>176</v>
      </c>
    </row>
    <row r="16" spans="1:19" x14ac:dyDescent="0.2">
      <c r="A16" s="210"/>
      <c r="B16" s="7" t="s">
        <v>13</v>
      </c>
      <c r="C16" s="45">
        <v>323</v>
      </c>
      <c r="D16" s="11">
        <f>C16/C17</f>
        <v>0.6003717472118959</v>
      </c>
      <c r="F16" s="21" t="s">
        <v>1</v>
      </c>
      <c r="G16" s="22">
        <v>212</v>
      </c>
      <c r="H16" s="22">
        <v>83</v>
      </c>
      <c r="I16" s="22">
        <v>61</v>
      </c>
      <c r="J16" s="61">
        <f>I16/H16</f>
        <v>0.73493975903614461</v>
      </c>
      <c r="K16" s="22">
        <v>14.53</v>
      </c>
    </row>
    <row r="17" spans="1:11" x14ac:dyDescent="0.2">
      <c r="A17" s="210"/>
      <c r="B17" s="7" t="s">
        <v>14</v>
      </c>
      <c r="C17" s="8">
        <f>SUM(C15:C16)</f>
        <v>538</v>
      </c>
      <c r="D17" s="34"/>
      <c r="F17" s="21" t="s">
        <v>5</v>
      </c>
      <c r="G17" s="22">
        <v>373</v>
      </c>
      <c r="H17" s="22">
        <v>113</v>
      </c>
      <c r="I17" s="22">
        <v>51</v>
      </c>
      <c r="J17" s="61">
        <f>I17/H17</f>
        <v>0.45132743362831856</v>
      </c>
      <c r="K17" s="22">
        <v>6.91</v>
      </c>
    </row>
    <row r="18" spans="1:11" x14ac:dyDescent="0.2">
      <c r="F18" s="21" t="s">
        <v>6</v>
      </c>
      <c r="G18" s="22">
        <v>568</v>
      </c>
      <c r="H18" s="22">
        <v>109</v>
      </c>
      <c r="I18" s="22">
        <v>41</v>
      </c>
      <c r="J18" s="61">
        <f>I18/H18</f>
        <v>0.37614678899082571</v>
      </c>
      <c r="K18" s="22">
        <v>6.28</v>
      </c>
    </row>
    <row r="19" spans="1:11" x14ac:dyDescent="0.2">
      <c r="F19" s="21" t="s">
        <v>7</v>
      </c>
      <c r="G19" s="22">
        <v>522</v>
      </c>
      <c r="H19" s="22">
        <v>80</v>
      </c>
      <c r="I19" s="22">
        <v>43</v>
      </c>
      <c r="J19" s="61">
        <f>I19/H19</f>
        <v>0.53749999999999998</v>
      </c>
      <c r="K19" s="22">
        <v>4.72</v>
      </c>
    </row>
    <row r="20" spans="1:11" x14ac:dyDescent="0.2">
      <c r="F20" s="21" t="s">
        <v>8</v>
      </c>
      <c r="G20" s="22">
        <v>499</v>
      </c>
      <c r="H20" s="22">
        <v>97</v>
      </c>
      <c r="I20" s="22">
        <v>55</v>
      </c>
      <c r="J20" s="61">
        <f>I20/H20</f>
        <v>0.5670103092783505</v>
      </c>
      <c r="K20" s="22">
        <v>2.67</v>
      </c>
    </row>
    <row r="22" spans="1:11" x14ac:dyDescent="0.2">
      <c r="B22" s="209" t="s">
        <v>8</v>
      </c>
      <c r="C22" s="209"/>
      <c r="D22" s="209"/>
      <c r="E22" s="209"/>
      <c r="F22" s="66" t="s">
        <v>185</v>
      </c>
      <c r="G22" s="66" t="s">
        <v>184</v>
      </c>
      <c r="H22" s="22" t="s">
        <v>183</v>
      </c>
      <c r="I22" s="22" t="s">
        <v>11</v>
      </c>
    </row>
    <row r="23" spans="1:11" x14ac:dyDescent="0.2">
      <c r="B23" s="28" t="s">
        <v>32</v>
      </c>
      <c r="C23" s="27" t="s">
        <v>31</v>
      </c>
      <c r="D23" s="27" t="s">
        <v>15</v>
      </c>
      <c r="E23" s="27" t="s">
        <v>17</v>
      </c>
      <c r="F23" s="20" t="s">
        <v>1</v>
      </c>
      <c r="G23" s="20">
        <v>104</v>
      </c>
      <c r="H23" s="53">
        <v>212</v>
      </c>
      <c r="I23" s="61">
        <f>G23/H23</f>
        <v>0.49056603773584906</v>
      </c>
    </row>
    <row r="24" spans="1:11" x14ac:dyDescent="0.2">
      <c r="B24" s="47" t="s">
        <v>18</v>
      </c>
      <c r="C24" s="48">
        <v>117</v>
      </c>
      <c r="D24" s="55">
        <v>0.36752136752136755</v>
      </c>
      <c r="E24" s="22">
        <v>6</v>
      </c>
      <c r="F24" s="20" t="s">
        <v>5</v>
      </c>
      <c r="G24" s="20">
        <v>122</v>
      </c>
      <c r="H24" s="53">
        <v>373</v>
      </c>
      <c r="I24" s="61">
        <f>G24/H24</f>
        <v>0.32707774798927614</v>
      </c>
    </row>
    <row r="25" spans="1:11" x14ac:dyDescent="0.2">
      <c r="B25" s="47" t="s">
        <v>19</v>
      </c>
      <c r="C25" s="48">
        <v>91</v>
      </c>
      <c r="D25" s="55">
        <v>0.34065934065934067</v>
      </c>
      <c r="E25" s="22">
        <v>8.9700000000000006</v>
      </c>
      <c r="F25" s="20" t="s">
        <v>6</v>
      </c>
      <c r="G25" s="20">
        <v>92</v>
      </c>
      <c r="H25" s="53">
        <v>568</v>
      </c>
      <c r="I25" s="61">
        <f>G25/H25</f>
        <v>0.1619718309859155</v>
      </c>
    </row>
    <row r="26" spans="1:11" x14ac:dyDescent="0.2">
      <c r="B26" s="47" t="s">
        <v>20</v>
      </c>
      <c r="C26" s="48">
        <v>61</v>
      </c>
      <c r="D26" s="55">
        <v>0.4098360655737705</v>
      </c>
      <c r="E26" s="22">
        <v>5.99</v>
      </c>
      <c r="F26" s="20" t="s">
        <v>7</v>
      </c>
      <c r="G26" s="20">
        <v>85</v>
      </c>
      <c r="H26" s="53">
        <v>522</v>
      </c>
      <c r="I26" s="61">
        <f>G26/H26</f>
        <v>0.16283524904214558</v>
      </c>
    </row>
    <row r="27" spans="1:11" x14ac:dyDescent="0.2">
      <c r="B27" s="47" t="s">
        <v>21</v>
      </c>
      <c r="C27" s="48">
        <v>38</v>
      </c>
      <c r="D27" s="55">
        <v>0.18421052631578946</v>
      </c>
      <c r="E27" s="22">
        <v>10.65</v>
      </c>
      <c r="F27" s="20" t="s">
        <v>8</v>
      </c>
      <c r="G27" s="20">
        <v>49</v>
      </c>
      <c r="H27" s="53">
        <v>499</v>
      </c>
      <c r="I27" s="61">
        <f>G27/H27</f>
        <v>9.8196392785571143E-2</v>
      </c>
    </row>
    <row r="28" spans="1:11" x14ac:dyDescent="0.2">
      <c r="B28" s="47" t="s">
        <v>22</v>
      </c>
      <c r="C28" s="48">
        <v>22</v>
      </c>
      <c r="D28" s="55">
        <v>0.27272727272727271</v>
      </c>
      <c r="E28" s="22">
        <v>15.79</v>
      </c>
      <c r="F28" s="67"/>
      <c r="H28" s="68"/>
    </row>
    <row r="29" spans="1:11" x14ac:dyDescent="0.2">
      <c r="B29" s="47" t="s">
        <v>23</v>
      </c>
      <c r="C29" s="48">
        <v>21</v>
      </c>
      <c r="D29" s="55">
        <v>0.19047619047619047</v>
      </c>
      <c r="E29" s="22">
        <v>1.07</v>
      </c>
      <c r="F29" s="69"/>
      <c r="H29" s="68"/>
    </row>
    <row r="30" spans="1:11" x14ac:dyDescent="0.2">
      <c r="B30" s="47" t="s">
        <v>24</v>
      </c>
      <c r="C30" s="48">
        <v>16</v>
      </c>
      <c r="D30" s="54">
        <v>0.9375</v>
      </c>
      <c r="E30" s="22">
        <v>0.77</v>
      </c>
      <c r="F30" s="67"/>
      <c r="H30" s="68"/>
    </row>
    <row r="31" spans="1:11" x14ac:dyDescent="0.2">
      <c r="B31" s="47" t="s">
        <v>25</v>
      </c>
      <c r="C31" s="48">
        <v>15</v>
      </c>
      <c r="D31" s="55">
        <v>0.26666666666666666</v>
      </c>
      <c r="E31" s="22">
        <v>2.27</v>
      </c>
      <c r="F31" s="67"/>
      <c r="H31" s="68"/>
    </row>
    <row r="32" spans="1:11" x14ac:dyDescent="0.2">
      <c r="B32" s="47" t="s">
        <v>26</v>
      </c>
      <c r="C32" s="48">
        <v>15</v>
      </c>
      <c r="D32" s="55">
        <v>0.73333333333333328</v>
      </c>
      <c r="E32" s="22">
        <v>19.3</v>
      </c>
      <c r="F32" s="69"/>
      <c r="H32" s="68"/>
    </row>
    <row r="33" spans="2:8" x14ac:dyDescent="0.2">
      <c r="B33" s="47" t="s">
        <v>27</v>
      </c>
      <c r="C33" s="48">
        <v>14</v>
      </c>
      <c r="D33" s="55">
        <v>0.21428571428571427</v>
      </c>
      <c r="E33" s="22">
        <v>32.31</v>
      </c>
      <c r="F33" s="67"/>
      <c r="H33" s="68"/>
    </row>
    <row r="34" spans="2:8" x14ac:dyDescent="0.2">
      <c r="F34" s="67"/>
      <c r="H34" s="68"/>
    </row>
    <row r="35" spans="2:8" x14ac:dyDescent="0.2">
      <c r="F35" s="67"/>
      <c r="H35" s="68"/>
    </row>
    <row r="36" spans="2:8" x14ac:dyDescent="0.2">
      <c r="F36" s="67"/>
      <c r="H36" s="68"/>
    </row>
    <row r="37" spans="2:8" x14ac:dyDescent="0.2">
      <c r="F37" s="69"/>
      <c r="H37" s="68"/>
    </row>
    <row r="38" spans="2:8" x14ac:dyDescent="0.2">
      <c r="F38" s="67"/>
      <c r="H38" s="68"/>
    </row>
    <row r="39" spans="2:8" x14ac:dyDescent="0.2">
      <c r="F39" s="67"/>
      <c r="H39" s="68"/>
    </row>
    <row r="40" spans="2:8" x14ac:dyDescent="0.2">
      <c r="F40" s="67"/>
      <c r="H40" s="68"/>
    </row>
    <row r="41" spans="2:8" x14ac:dyDescent="0.2">
      <c r="F41" s="67"/>
      <c r="H41" s="68"/>
    </row>
    <row r="42" spans="2:8" x14ac:dyDescent="0.2">
      <c r="F42" s="67"/>
      <c r="H42" s="68"/>
    </row>
    <row r="43" spans="2:8" x14ac:dyDescent="0.2">
      <c r="F43" s="67"/>
      <c r="H43" s="68"/>
    </row>
    <row r="44" spans="2:8" x14ac:dyDescent="0.2">
      <c r="F44" s="69"/>
      <c r="H44" s="68"/>
    </row>
  </sheetData>
  <mergeCells count="6">
    <mergeCell ref="B22:E22"/>
    <mergeCell ref="A3:A5"/>
    <mergeCell ref="A6:A8"/>
    <mergeCell ref="A9:A11"/>
    <mergeCell ref="A12:A14"/>
    <mergeCell ref="A15:A17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9"/>
  <sheetViews>
    <sheetView zoomScale="80" zoomScaleNormal="80" workbookViewId="0">
      <selection sqref="A1:J1"/>
    </sheetView>
  </sheetViews>
  <sheetFormatPr defaultRowHeight="12.75" x14ac:dyDescent="0.2"/>
  <cols>
    <col min="2" max="2" width="11.375" bestFit="1" customWidth="1"/>
    <col min="4" max="4" width="12.5" bestFit="1" customWidth="1"/>
    <col min="5" max="5" width="52.75" bestFit="1" customWidth="1"/>
    <col min="6" max="6" width="11.125" bestFit="1" customWidth="1"/>
    <col min="7" max="9" width="13" bestFit="1" customWidth="1"/>
  </cols>
  <sheetData>
    <row r="1" spans="1:10" x14ac:dyDescent="0.2">
      <c r="A1" s="213" t="s">
        <v>157</v>
      </c>
      <c r="B1" s="213"/>
      <c r="C1" s="213"/>
      <c r="D1" s="213"/>
      <c r="E1" s="213"/>
      <c r="F1" s="213"/>
      <c r="G1" s="213"/>
      <c r="H1" s="213"/>
      <c r="I1" s="213"/>
      <c r="J1" s="213"/>
    </row>
    <row r="2" spans="1:10" x14ac:dyDescent="0.2">
      <c r="A2" s="208" t="s">
        <v>1</v>
      </c>
      <c r="B2" s="6" t="s">
        <v>2</v>
      </c>
      <c r="C2" s="49">
        <v>212</v>
      </c>
      <c r="F2" t="s">
        <v>152</v>
      </c>
      <c r="G2" t="s">
        <v>153</v>
      </c>
      <c r="H2" t="s">
        <v>154</v>
      </c>
      <c r="I2" t="s">
        <v>155</v>
      </c>
      <c r="J2" t="s">
        <v>156</v>
      </c>
    </row>
    <row r="3" spans="1:10" x14ac:dyDescent="0.2">
      <c r="A3" s="208"/>
      <c r="B3" s="6" t="s">
        <v>3</v>
      </c>
      <c r="C3" s="49">
        <v>210</v>
      </c>
      <c r="E3" s="6" t="s">
        <v>166</v>
      </c>
      <c r="F3" s="64">
        <v>212</v>
      </c>
      <c r="G3" s="64">
        <v>373</v>
      </c>
      <c r="H3" s="64">
        <v>568</v>
      </c>
      <c r="I3" s="64">
        <v>522</v>
      </c>
      <c r="J3" s="64">
        <v>499</v>
      </c>
    </row>
    <row r="4" spans="1:10" x14ac:dyDescent="0.2">
      <c r="A4" s="208" t="s">
        <v>5</v>
      </c>
      <c r="B4" s="6" t="s">
        <v>2</v>
      </c>
      <c r="C4" s="49">
        <v>373</v>
      </c>
      <c r="E4" s="6" t="s">
        <v>167</v>
      </c>
      <c r="F4" s="64">
        <v>210</v>
      </c>
      <c r="G4" s="64">
        <v>339</v>
      </c>
      <c r="H4" s="64">
        <v>540</v>
      </c>
      <c r="I4" s="64">
        <v>496</v>
      </c>
      <c r="J4" s="64">
        <v>472</v>
      </c>
    </row>
    <row r="5" spans="1:10" x14ac:dyDescent="0.2">
      <c r="A5" s="208"/>
      <c r="B5" s="6" t="s">
        <v>3</v>
      </c>
      <c r="C5" s="49">
        <v>339</v>
      </c>
      <c r="E5" s="6" t="s">
        <v>164</v>
      </c>
      <c r="F5" s="74">
        <f>F3-F4</f>
        <v>2</v>
      </c>
      <c r="G5" s="74">
        <f>G3-G4</f>
        <v>34</v>
      </c>
      <c r="H5" s="74">
        <f>H3-H4</f>
        <v>28</v>
      </c>
      <c r="I5" s="74">
        <f>I3-I4</f>
        <v>26</v>
      </c>
      <c r="J5" s="74">
        <f>J3-J4</f>
        <v>27</v>
      </c>
    </row>
    <row r="6" spans="1:10" x14ac:dyDescent="0.2">
      <c r="A6" s="208" t="s">
        <v>6</v>
      </c>
      <c r="B6" s="6" t="s">
        <v>2</v>
      </c>
      <c r="C6" s="49">
        <v>568</v>
      </c>
      <c r="E6" s="6" t="s">
        <v>165</v>
      </c>
      <c r="F6" s="74">
        <f>F5</f>
        <v>2</v>
      </c>
      <c r="G6" s="74">
        <f>F5+G5</f>
        <v>36</v>
      </c>
      <c r="H6" s="74">
        <f>F5+G5+H5</f>
        <v>64</v>
      </c>
      <c r="I6" s="74">
        <f>H6+I5</f>
        <v>90</v>
      </c>
      <c r="J6" s="74">
        <f>I6+J5</f>
        <v>117</v>
      </c>
    </row>
    <row r="7" spans="1:10" x14ac:dyDescent="0.2">
      <c r="A7" s="208"/>
      <c r="B7" s="6" t="s">
        <v>3</v>
      </c>
      <c r="C7" s="49">
        <v>540</v>
      </c>
      <c r="E7" s="63" t="s">
        <v>180</v>
      </c>
      <c r="F7" s="62">
        <v>56</v>
      </c>
      <c r="G7" s="62">
        <v>61</v>
      </c>
      <c r="H7" s="62">
        <v>54</v>
      </c>
      <c r="I7" s="62">
        <v>67</v>
      </c>
      <c r="J7" s="62">
        <v>87</v>
      </c>
    </row>
    <row r="8" spans="1:10" x14ac:dyDescent="0.2">
      <c r="A8" s="208" t="s">
        <v>7</v>
      </c>
      <c r="B8" s="6" t="s">
        <v>2</v>
      </c>
      <c r="C8" s="49">
        <v>522</v>
      </c>
    </row>
    <row r="9" spans="1:10" x14ac:dyDescent="0.2">
      <c r="A9" s="208"/>
      <c r="B9" s="6" t="s">
        <v>3</v>
      </c>
      <c r="C9" s="49">
        <v>496</v>
      </c>
      <c r="E9" s="72"/>
      <c r="F9" s="75"/>
    </row>
    <row r="10" spans="1:10" x14ac:dyDescent="0.2">
      <c r="A10" s="208" t="s">
        <v>8</v>
      </c>
      <c r="B10" s="6" t="s">
        <v>2</v>
      </c>
      <c r="C10" s="49">
        <v>499</v>
      </c>
      <c r="E10" s="71"/>
      <c r="F10" s="73"/>
    </row>
    <row r="11" spans="1:10" x14ac:dyDescent="0.2">
      <c r="A11" s="208"/>
      <c r="B11" s="6" t="s">
        <v>3</v>
      </c>
      <c r="C11" s="49">
        <v>446</v>
      </c>
      <c r="E11" s="71"/>
      <c r="F11" s="73"/>
    </row>
    <row r="12" spans="1:10" x14ac:dyDescent="0.2">
      <c r="E12" s="71"/>
      <c r="F12" s="73"/>
    </row>
    <row r="13" spans="1:10" x14ac:dyDescent="0.2">
      <c r="E13" s="71"/>
      <c r="F13" s="73"/>
    </row>
    <row r="14" spans="1:10" x14ac:dyDescent="0.2">
      <c r="E14" s="71"/>
      <c r="F14" s="73"/>
    </row>
    <row r="24" spans="1:10" x14ac:dyDescent="0.2">
      <c r="A24" s="213" t="s">
        <v>158</v>
      </c>
      <c r="B24" s="213"/>
      <c r="C24" s="213"/>
      <c r="D24" s="213"/>
      <c r="E24" s="213"/>
      <c r="F24" s="213"/>
      <c r="G24" s="213"/>
      <c r="H24" s="213"/>
      <c r="I24" s="213"/>
      <c r="J24" s="213"/>
    </row>
    <row r="25" spans="1:10" x14ac:dyDescent="0.2">
      <c r="A25" s="50" t="s">
        <v>33</v>
      </c>
      <c r="B25" s="51">
        <v>146</v>
      </c>
      <c r="F25" s="56" t="s">
        <v>170</v>
      </c>
      <c r="G25" s="56" t="s">
        <v>41</v>
      </c>
      <c r="H25" s="56" t="s">
        <v>42</v>
      </c>
      <c r="I25" s="56" t="s">
        <v>43</v>
      </c>
    </row>
    <row r="26" spans="1:10" x14ac:dyDescent="0.2">
      <c r="A26" s="52" t="s">
        <v>33</v>
      </c>
      <c r="B26" s="51">
        <v>87</v>
      </c>
      <c r="D26" s="56"/>
      <c r="E26" s="6" t="s">
        <v>166</v>
      </c>
      <c r="F26" s="4">
        <v>146</v>
      </c>
      <c r="G26" s="4">
        <v>140</v>
      </c>
      <c r="H26" s="4">
        <v>109</v>
      </c>
      <c r="I26" s="4">
        <v>104</v>
      </c>
    </row>
    <row r="27" spans="1:10" x14ac:dyDescent="0.2">
      <c r="A27" s="52" t="s">
        <v>34</v>
      </c>
      <c r="B27" s="51">
        <v>42</v>
      </c>
      <c r="D27" s="56"/>
      <c r="E27" s="6" t="s">
        <v>168</v>
      </c>
      <c r="F27" s="4">
        <v>141</v>
      </c>
      <c r="G27" s="4">
        <v>133</v>
      </c>
      <c r="H27" s="4">
        <v>105</v>
      </c>
      <c r="I27" s="4">
        <v>93</v>
      </c>
    </row>
    <row r="28" spans="1:10" x14ac:dyDescent="0.2">
      <c r="A28" s="52" t="s">
        <v>35</v>
      </c>
      <c r="B28" s="51">
        <v>7</v>
      </c>
      <c r="E28" s="6" t="s">
        <v>169</v>
      </c>
      <c r="F28" s="4">
        <v>5</v>
      </c>
      <c r="G28" s="4">
        <f>G26-G27</f>
        <v>7</v>
      </c>
      <c r="H28" s="4">
        <f>H26-H27</f>
        <v>4</v>
      </c>
      <c r="I28" s="4">
        <f>I26-I27</f>
        <v>11</v>
      </c>
    </row>
    <row r="29" spans="1:10" x14ac:dyDescent="0.2">
      <c r="A29" s="52" t="s">
        <v>36</v>
      </c>
      <c r="B29" s="51">
        <v>3</v>
      </c>
      <c r="E29" s="6" t="s">
        <v>165</v>
      </c>
      <c r="F29" s="4">
        <f>F28</f>
        <v>5</v>
      </c>
      <c r="G29" s="4">
        <f>F29+G28</f>
        <v>12</v>
      </c>
      <c r="H29" s="4">
        <f>G29+H28</f>
        <v>16</v>
      </c>
      <c r="I29" s="4">
        <f>H29+I28</f>
        <v>27</v>
      </c>
    </row>
    <row r="30" spans="1:10" x14ac:dyDescent="0.2">
      <c r="A30" s="52" t="s">
        <v>37</v>
      </c>
      <c r="B30" s="51">
        <v>7</v>
      </c>
      <c r="D30" s="56"/>
    </row>
    <row r="31" spans="1:10" x14ac:dyDescent="0.2">
      <c r="A31" s="50" t="s">
        <v>34</v>
      </c>
      <c r="B31" s="51">
        <v>140</v>
      </c>
    </row>
    <row r="32" spans="1:10" x14ac:dyDescent="0.2">
      <c r="A32" s="52" t="s">
        <v>34</v>
      </c>
      <c r="B32" s="51">
        <v>84</v>
      </c>
      <c r="D32" s="56"/>
    </row>
    <row r="33" spans="1:10" x14ac:dyDescent="0.2">
      <c r="A33" s="52" t="s">
        <v>35</v>
      </c>
      <c r="B33" s="51">
        <v>41</v>
      </c>
    </row>
    <row r="34" spans="1:10" x14ac:dyDescent="0.2">
      <c r="A34" s="52" t="s">
        <v>36</v>
      </c>
      <c r="B34" s="51">
        <v>5</v>
      </c>
    </row>
    <row r="35" spans="1:10" x14ac:dyDescent="0.2">
      <c r="A35" s="52" t="s">
        <v>37</v>
      </c>
      <c r="B35" s="51">
        <v>10</v>
      </c>
      <c r="D35" s="56"/>
    </row>
    <row r="36" spans="1:10" x14ac:dyDescent="0.2">
      <c r="A36" s="50" t="s">
        <v>35</v>
      </c>
      <c r="B36" s="51">
        <v>109</v>
      </c>
      <c r="D36" s="56"/>
    </row>
    <row r="37" spans="1:10" x14ac:dyDescent="0.2">
      <c r="A37" s="52" t="s">
        <v>35</v>
      </c>
      <c r="B37" s="51">
        <v>65</v>
      </c>
    </row>
    <row r="38" spans="1:10" x14ac:dyDescent="0.2">
      <c r="A38" s="52" t="s">
        <v>36</v>
      </c>
      <c r="B38" s="51">
        <v>37</v>
      </c>
      <c r="D38" s="56"/>
    </row>
    <row r="39" spans="1:10" x14ac:dyDescent="0.2">
      <c r="A39" s="52" t="s">
        <v>37</v>
      </c>
      <c r="B39" s="51">
        <v>7</v>
      </c>
      <c r="D39" s="56"/>
    </row>
    <row r="40" spans="1:10" x14ac:dyDescent="0.2">
      <c r="A40" s="50" t="s">
        <v>36</v>
      </c>
      <c r="B40" s="51">
        <v>104</v>
      </c>
      <c r="D40" s="56"/>
    </row>
    <row r="41" spans="1:10" x14ac:dyDescent="0.2">
      <c r="A41" s="52" t="s">
        <v>36</v>
      </c>
      <c r="B41" s="51">
        <v>79</v>
      </c>
    </row>
    <row r="42" spans="1:10" x14ac:dyDescent="0.2">
      <c r="A42" s="52" t="s">
        <v>37</v>
      </c>
      <c r="B42" s="51">
        <v>25</v>
      </c>
    </row>
    <row r="43" spans="1:10" x14ac:dyDescent="0.2">
      <c r="A43" s="50" t="s">
        <v>38</v>
      </c>
      <c r="B43" s="51">
        <v>499</v>
      </c>
    </row>
    <row r="46" spans="1:10" x14ac:dyDescent="0.2">
      <c r="A46" s="213" t="s">
        <v>163</v>
      </c>
      <c r="B46" s="213"/>
      <c r="C46" s="213"/>
      <c r="D46" s="213"/>
      <c r="E46" s="213"/>
      <c r="F46" s="213"/>
      <c r="G46" s="213"/>
      <c r="H46" s="213"/>
      <c r="I46" s="213"/>
      <c r="J46" s="213"/>
    </row>
    <row r="47" spans="1:10" x14ac:dyDescent="0.2">
      <c r="A47" s="50" t="s">
        <v>33</v>
      </c>
      <c r="B47" s="51"/>
      <c r="F47" s="56" t="s">
        <v>40</v>
      </c>
      <c r="G47" s="56" t="s">
        <v>41</v>
      </c>
      <c r="H47" s="56" t="s">
        <v>42</v>
      </c>
      <c r="I47" s="56" t="s">
        <v>43</v>
      </c>
      <c r="J47" s="58" t="s">
        <v>160</v>
      </c>
    </row>
    <row r="48" spans="1:10" x14ac:dyDescent="0.2">
      <c r="A48" s="52" t="s">
        <v>33</v>
      </c>
      <c r="B48" s="51"/>
      <c r="E48" t="s">
        <v>159</v>
      </c>
      <c r="F48" s="4">
        <v>130</v>
      </c>
      <c r="G48" s="4">
        <v>161</v>
      </c>
      <c r="H48" s="4">
        <v>122</v>
      </c>
      <c r="I48" s="4">
        <v>129</v>
      </c>
      <c r="J48" s="4">
        <v>78</v>
      </c>
    </row>
    <row r="49" spans="1:10" x14ac:dyDescent="0.2">
      <c r="A49" s="52" t="s">
        <v>34</v>
      </c>
      <c r="B49" s="51"/>
    </row>
    <row r="50" spans="1:10" x14ac:dyDescent="0.2">
      <c r="A50" s="52" t="s">
        <v>35</v>
      </c>
      <c r="B50" s="51"/>
    </row>
    <row r="51" spans="1:10" x14ac:dyDescent="0.2">
      <c r="A51" s="52" t="s">
        <v>36</v>
      </c>
      <c r="B51" s="51"/>
    </row>
    <row r="52" spans="1:10" x14ac:dyDescent="0.2">
      <c r="A52" s="52" t="s">
        <v>37</v>
      </c>
      <c r="B52" s="51"/>
    </row>
    <row r="53" spans="1:10" x14ac:dyDescent="0.2">
      <c r="A53" s="50" t="s">
        <v>34</v>
      </c>
      <c r="B53" s="51"/>
      <c r="F53" s="56" t="s">
        <v>40</v>
      </c>
      <c r="G53" s="56" t="s">
        <v>41</v>
      </c>
      <c r="H53" s="56" t="s">
        <v>42</v>
      </c>
      <c r="I53" s="56" t="s">
        <v>43</v>
      </c>
      <c r="J53" s="58" t="s">
        <v>160</v>
      </c>
    </row>
    <row r="54" spans="1:10" x14ac:dyDescent="0.2">
      <c r="A54" s="52" t="s">
        <v>34</v>
      </c>
      <c r="B54" s="51"/>
      <c r="E54" t="s">
        <v>161</v>
      </c>
      <c r="F54" s="4">
        <v>6.96</v>
      </c>
      <c r="G54" s="4">
        <v>14.45</v>
      </c>
      <c r="H54" s="4">
        <v>5.4</v>
      </c>
      <c r="I54" s="4">
        <v>5.24</v>
      </c>
      <c r="J54" s="4">
        <v>14.97</v>
      </c>
    </row>
    <row r="55" spans="1:10" x14ac:dyDescent="0.2">
      <c r="A55" s="52" t="s">
        <v>35</v>
      </c>
      <c r="B55" s="51"/>
      <c r="E55" t="s">
        <v>162</v>
      </c>
      <c r="F55" s="59">
        <f>48/130</f>
        <v>0.36923076923076925</v>
      </c>
      <c r="G55" s="59">
        <f>G56/G48</f>
        <v>0.40372670807453415</v>
      </c>
      <c r="H55" s="59">
        <f>H56/H48</f>
        <v>0.39344262295081966</v>
      </c>
      <c r="I55" s="59">
        <f>I56/I48</f>
        <v>0.4263565891472868</v>
      </c>
      <c r="J55" s="59">
        <f>J56/J48</f>
        <v>0.64102564102564108</v>
      </c>
    </row>
    <row r="56" spans="1:10" x14ac:dyDescent="0.2">
      <c r="A56" s="52" t="s">
        <v>36</v>
      </c>
      <c r="B56" s="51"/>
      <c r="F56" s="4">
        <v>48</v>
      </c>
      <c r="G56" s="4">
        <v>65</v>
      </c>
      <c r="H56" s="4">
        <v>48</v>
      </c>
      <c r="I56" s="4">
        <v>55</v>
      </c>
      <c r="J56" s="4">
        <v>50</v>
      </c>
    </row>
    <row r="57" spans="1:10" x14ac:dyDescent="0.2">
      <c r="A57" s="52" t="s">
        <v>37</v>
      </c>
      <c r="B57" s="51"/>
    </row>
    <row r="58" spans="1:10" x14ac:dyDescent="0.2">
      <c r="A58" s="50" t="s">
        <v>35</v>
      </c>
      <c r="B58" s="51"/>
    </row>
    <row r="59" spans="1:10" x14ac:dyDescent="0.2">
      <c r="A59" s="52" t="s">
        <v>35</v>
      </c>
      <c r="B59" s="51"/>
    </row>
    <row r="60" spans="1:10" x14ac:dyDescent="0.2">
      <c r="A60" s="52" t="s">
        <v>36</v>
      </c>
      <c r="B60" s="51"/>
    </row>
    <row r="61" spans="1:10" x14ac:dyDescent="0.2">
      <c r="A61" s="52" t="s">
        <v>37</v>
      </c>
      <c r="B61" s="51"/>
    </row>
    <row r="62" spans="1:10" x14ac:dyDescent="0.2">
      <c r="A62" s="50" t="s">
        <v>36</v>
      </c>
      <c r="B62" s="51"/>
    </row>
    <row r="63" spans="1:10" x14ac:dyDescent="0.2">
      <c r="A63" s="52" t="s">
        <v>36</v>
      </c>
      <c r="B63" s="51"/>
    </row>
    <row r="64" spans="1:10" x14ac:dyDescent="0.2">
      <c r="A64" s="52" t="s">
        <v>37</v>
      </c>
      <c r="B64" s="51"/>
    </row>
    <row r="65" spans="1:2" x14ac:dyDescent="0.2">
      <c r="A65" s="50" t="s">
        <v>38</v>
      </c>
      <c r="B65" s="51"/>
    </row>
    <row r="88" spans="5:10" x14ac:dyDescent="0.2">
      <c r="E88" s="21"/>
      <c r="F88" s="76" t="s">
        <v>188</v>
      </c>
      <c r="G88" s="76" t="s">
        <v>190</v>
      </c>
      <c r="H88" s="76" t="s">
        <v>187</v>
      </c>
      <c r="I88" s="76" t="s">
        <v>189</v>
      </c>
      <c r="J88" s="76" t="s">
        <v>14</v>
      </c>
    </row>
    <row r="89" spans="5:10" x14ac:dyDescent="0.2">
      <c r="E89" s="21" t="s">
        <v>186</v>
      </c>
      <c r="F89" s="22">
        <v>15</v>
      </c>
      <c r="G89" s="65">
        <f>F89/J89</f>
        <v>0.6</v>
      </c>
      <c r="H89" s="22">
        <v>10</v>
      </c>
      <c r="I89" s="65">
        <f>H89/J89</f>
        <v>0.4</v>
      </c>
      <c r="J89" s="22">
        <v>25</v>
      </c>
    </row>
    <row r="90" spans="5:10" x14ac:dyDescent="0.2">
      <c r="E90" s="21" t="s">
        <v>191</v>
      </c>
      <c r="F90" s="22">
        <v>8</v>
      </c>
      <c r="G90" s="65">
        <f>F90/J90</f>
        <v>0.66666666666666663</v>
      </c>
      <c r="H90" s="22">
        <v>4</v>
      </c>
      <c r="I90" s="65">
        <f>H90/J90</f>
        <v>0.33333333333333331</v>
      </c>
      <c r="J90" s="22">
        <v>12</v>
      </c>
    </row>
    <row r="91" spans="5:10" x14ac:dyDescent="0.2">
      <c r="E91" s="21" t="s">
        <v>192</v>
      </c>
      <c r="F91" s="22">
        <v>7</v>
      </c>
      <c r="G91" s="65">
        <f>F91/J91</f>
        <v>0.46666666666666667</v>
      </c>
      <c r="H91" s="22">
        <v>6</v>
      </c>
      <c r="I91" s="65">
        <f>H91/J91</f>
        <v>0.4</v>
      </c>
      <c r="J91" s="22">
        <v>15</v>
      </c>
    </row>
    <row r="95" spans="5:10" x14ac:dyDescent="0.2">
      <c r="E95" s="21" t="s">
        <v>186</v>
      </c>
      <c r="F95" s="76" t="s">
        <v>190</v>
      </c>
      <c r="G95" t="s">
        <v>189</v>
      </c>
    </row>
    <row r="96" spans="5:10" x14ac:dyDescent="0.2">
      <c r="F96" s="65">
        <v>0.6</v>
      </c>
      <c r="G96">
        <v>40</v>
      </c>
    </row>
    <row r="99" spans="5:10" x14ac:dyDescent="0.2">
      <c r="E99" s="70"/>
      <c r="F99" s="74" t="s">
        <v>152</v>
      </c>
      <c r="G99" s="74" t="s">
        <v>153</v>
      </c>
      <c r="H99" s="74" t="s">
        <v>154</v>
      </c>
      <c r="I99" s="74" t="s">
        <v>155</v>
      </c>
      <c r="J99" s="74" t="s">
        <v>156</v>
      </c>
    </row>
    <row r="100" spans="5:10" x14ac:dyDescent="0.2">
      <c r="E100" s="6" t="s">
        <v>17</v>
      </c>
      <c r="F100" s="64">
        <v>690.26</v>
      </c>
      <c r="G100" s="64">
        <v>1291.31</v>
      </c>
      <c r="H100" s="64">
        <v>548.70000000000005</v>
      </c>
      <c r="I100" s="64">
        <v>575.14</v>
      </c>
      <c r="J100" s="64">
        <v>878.23</v>
      </c>
    </row>
    <row r="101" spans="5:10" x14ac:dyDescent="0.2">
      <c r="E101" s="6" t="s">
        <v>195</v>
      </c>
      <c r="F101">
        <f>AVERAGE(F100:J100)</f>
        <v>796.72799999999995</v>
      </c>
      <c r="G101" s="70">
        <v>796.72799999999995</v>
      </c>
      <c r="H101" s="70">
        <v>796.72799999999995</v>
      </c>
      <c r="I101" s="70">
        <v>796.72799999999995</v>
      </c>
      <c r="J101" s="70">
        <v>796.72799999999995</v>
      </c>
    </row>
    <row r="102" spans="5:10" x14ac:dyDescent="0.2">
      <c r="E102" s="6"/>
      <c r="F102" s="74"/>
      <c r="G102" s="74"/>
      <c r="H102" s="74"/>
      <c r="I102" s="74"/>
      <c r="J102" s="74"/>
    </row>
    <row r="103" spans="5:10" x14ac:dyDescent="0.2">
      <c r="E103" s="70"/>
      <c r="F103" s="70" t="s">
        <v>152</v>
      </c>
      <c r="G103" s="70" t="s">
        <v>153</v>
      </c>
      <c r="H103" s="70" t="s">
        <v>154</v>
      </c>
      <c r="I103" s="70" t="s">
        <v>155</v>
      </c>
      <c r="J103" s="70" t="s">
        <v>156</v>
      </c>
    </row>
    <row r="104" spans="5:10" x14ac:dyDescent="0.2">
      <c r="E104" s="6" t="s">
        <v>193</v>
      </c>
      <c r="F104" s="64"/>
      <c r="G104" s="64"/>
      <c r="H104" s="64"/>
      <c r="I104" s="64"/>
      <c r="J104" s="64"/>
    </row>
    <row r="105" spans="5:10" x14ac:dyDescent="0.2">
      <c r="E105" s="6" t="s">
        <v>17</v>
      </c>
    </row>
    <row r="107" spans="5:10" x14ac:dyDescent="0.2">
      <c r="E107" s="70"/>
      <c r="F107" s="70" t="s">
        <v>152</v>
      </c>
      <c r="G107" s="70" t="s">
        <v>153</v>
      </c>
      <c r="H107" s="70" t="s">
        <v>154</v>
      </c>
      <c r="I107" s="70" t="s">
        <v>155</v>
      </c>
      <c r="J107" s="70" t="s">
        <v>156</v>
      </c>
    </row>
    <row r="108" spans="5:10" x14ac:dyDescent="0.2">
      <c r="E108" s="6" t="s">
        <v>194</v>
      </c>
      <c r="F108" s="64"/>
      <c r="G108" s="64"/>
      <c r="H108" s="64"/>
      <c r="I108" s="64"/>
      <c r="J108" s="64"/>
    </row>
    <row r="109" spans="5:10" x14ac:dyDescent="0.2">
      <c r="E109" s="6" t="s">
        <v>17</v>
      </c>
      <c r="F109" s="70"/>
      <c r="G109" s="70"/>
      <c r="H109" s="70"/>
      <c r="I109" s="70"/>
      <c r="J109" s="70"/>
    </row>
  </sheetData>
  <mergeCells count="8">
    <mergeCell ref="A1:J1"/>
    <mergeCell ref="A24:J24"/>
    <mergeCell ref="A46:J46"/>
    <mergeCell ref="A2:A3"/>
    <mergeCell ref="A4:A5"/>
    <mergeCell ref="A6:A7"/>
    <mergeCell ref="A8:A9"/>
    <mergeCell ref="A10:A11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02"/>
  <sheetViews>
    <sheetView showGridLines="0" zoomScale="85" zoomScaleNormal="85" workbookViewId="0">
      <selection activeCell="C4" sqref="C4"/>
    </sheetView>
  </sheetViews>
  <sheetFormatPr defaultRowHeight="12.75" x14ac:dyDescent="0.2"/>
  <cols>
    <col min="1" max="1" width="43.125" style="70" customWidth="1"/>
    <col min="2" max="7" width="12.5" style="70" customWidth="1"/>
    <col min="8" max="8" width="17.125" style="70" bestFit="1" customWidth="1"/>
    <col min="9" max="9" width="4.875" style="70" customWidth="1"/>
    <col min="10" max="10" width="43" style="70" bestFit="1" customWidth="1"/>
    <col min="11" max="11" width="8.75" style="70" bestFit="1" customWidth="1"/>
    <col min="12" max="16" width="9.125" style="70" customWidth="1"/>
    <col min="17" max="17" width="17.125" style="70" bestFit="1" customWidth="1"/>
    <col min="18" max="21" width="9.125" style="70" customWidth="1"/>
    <col min="22" max="16384" width="9" style="70"/>
  </cols>
  <sheetData>
    <row r="1" spans="1:18" x14ac:dyDescent="0.2">
      <c r="A1" s="213" t="s">
        <v>197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</row>
    <row r="3" spans="1:18" ht="13.5" thickBot="1" x14ac:dyDescent="0.25">
      <c r="A3" s="78" t="s">
        <v>196</v>
      </c>
      <c r="B3" s="78" t="s">
        <v>218</v>
      </c>
      <c r="C3" s="78"/>
      <c r="D3" s="78"/>
    </row>
    <row r="4" spans="1:18" x14ac:dyDescent="0.2">
      <c r="A4" s="71" t="s">
        <v>198</v>
      </c>
      <c r="B4" s="86"/>
      <c r="C4" s="73">
        <v>33193</v>
      </c>
      <c r="D4" s="113">
        <f>C4/$C$25</f>
        <v>0.42885566996989627</v>
      </c>
    </row>
    <row r="5" spans="1:18" x14ac:dyDescent="0.2">
      <c r="A5" s="71" t="s">
        <v>199</v>
      </c>
      <c r="B5" s="86"/>
      <c r="C5" s="73">
        <v>15119</v>
      </c>
      <c r="D5" s="113">
        <f t="shared" ref="D5:D24" si="0">C5/$C$25</f>
        <v>0.19533844106513004</v>
      </c>
    </row>
    <row r="6" spans="1:18" x14ac:dyDescent="0.2">
      <c r="A6" s="71" t="s">
        <v>200</v>
      </c>
      <c r="B6" s="86"/>
      <c r="C6" s="73">
        <v>8739</v>
      </c>
      <c r="D6" s="113">
        <f t="shared" si="0"/>
        <v>0.11290843550950271</v>
      </c>
    </row>
    <row r="7" spans="1:18" x14ac:dyDescent="0.2">
      <c r="A7" s="71" t="s">
        <v>311</v>
      </c>
      <c r="B7" s="86"/>
      <c r="C7" s="73">
        <v>4809</v>
      </c>
      <c r="D7" s="113">
        <f t="shared" si="0"/>
        <v>6.2132585692321607E-2</v>
      </c>
    </row>
    <row r="8" spans="1:18" x14ac:dyDescent="0.2">
      <c r="A8" s="71" t="s">
        <v>201</v>
      </c>
      <c r="B8" s="86"/>
      <c r="C8" s="73">
        <v>3943</v>
      </c>
      <c r="D8" s="113">
        <f t="shared" si="0"/>
        <v>5.0943810643548366E-2</v>
      </c>
    </row>
    <row r="9" spans="1:18" x14ac:dyDescent="0.2">
      <c r="A9" s="71" t="s">
        <v>202</v>
      </c>
      <c r="B9" s="86"/>
      <c r="C9" s="73">
        <v>3720</v>
      </c>
      <c r="D9" s="113">
        <f t="shared" si="0"/>
        <v>4.8062636468171424E-2</v>
      </c>
    </row>
    <row r="10" spans="1:18" x14ac:dyDescent="0.2">
      <c r="A10" s="71" t="s">
        <v>203</v>
      </c>
      <c r="B10" s="86"/>
      <c r="C10" s="73">
        <v>2368</v>
      </c>
      <c r="D10" s="113">
        <f t="shared" si="0"/>
        <v>3.0594710525975788E-2</v>
      </c>
    </row>
    <row r="11" spans="1:18" x14ac:dyDescent="0.2">
      <c r="A11" s="71" t="s">
        <v>204</v>
      </c>
      <c r="B11" s="86"/>
      <c r="C11" s="73">
        <v>1296</v>
      </c>
      <c r="D11" s="113">
        <f t="shared" si="0"/>
        <v>1.6744402382459722E-2</v>
      </c>
    </row>
    <row r="12" spans="1:18" x14ac:dyDescent="0.2">
      <c r="A12" s="71" t="s">
        <v>205</v>
      </c>
      <c r="B12" s="86"/>
      <c r="C12" s="73">
        <v>1265</v>
      </c>
      <c r="D12" s="113">
        <f t="shared" si="0"/>
        <v>1.6343880411891627E-2</v>
      </c>
    </row>
    <row r="13" spans="1:18" x14ac:dyDescent="0.2">
      <c r="A13" s="71" t="s">
        <v>206</v>
      </c>
      <c r="B13" s="86"/>
      <c r="C13" s="73">
        <v>1196</v>
      </c>
      <c r="D13" s="113">
        <f t="shared" si="0"/>
        <v>1.5452396025788446E-2</v>
      </c>
    </row>
    <row r="14" spans="1:18" x14ac:dyDescent="0.2">
      <c r="A14" s="71" t="s">
        <v>207</v>
      </c>
      <c r="B14" s="86"/>
      <c r="C14" s="73">
        <v>577</v>
      </c>
      <c r="D14" s="113">
        <f t="shared" si="0"/>
        <v>7.4548766779932553E-3</v>
      </c>
    </row>
    <row r="15" spans="1:18" x14ac:dyDescent="0.2">
      <c r="A15" s="71" t="s">
        <v>208</v>
      </c>
      <c r="B15" s="86"/>
      <c r="C15" s="73">
        <v>527</v>
      </c>
      <c r="D15" s="113">
        <f t="shared" si="0"/>
        <v>6.8088734996576182E-3</v>
      </c>
    </row>
    <row r="16" spans="1:18" x14ac:dyDescent="0.2">
      <c r="A16" s="71" t="s">
        <v>209</v>
      </c>
      <c r="B16" s="86"/>
      <c r="C16" s="73">
        <v>183</v>
      </c>
      <c r="D16" s="113">
        <f t="shared" si="0"/>
        <v>2.364371632708433E-3</v>
      </c>
    </row>
    <row r="17" spans="1:18" x14ac:dyDescent="0.2">
      <c r="A17" s="71" t="s">
        <v>210</v>
      </c>
      <c r="B17" s="86"/>
      <c r="C17" s="73">
        <v>127</v>
      </c>
      <c r="D17" s="113">
        <f t="shared" si="0"/>
        <v>1.640848072972519E-3</v>
      </c>
    </row>
    <row r="18" spans="1:18" x14ac:dyDescent="0.2">
      <c r="A18" s="71" t="s">
        <v>211</v>
      </c>
      <c r="B18" s="86"/>
      <c r="C18" s="73">
        <v>90</v>
      </c>
      <c r="D18" s="113">
        <f t="shared" si="0"/>
        <v>1.1628057210041473E-3</v>
      </c>
    </row>
    <row r="19" spans="1:18" x14ac:dyDescent="0.2">
      <c r="A19" s="71" t="s">
        <v>212</v>
      </c>
      <c r="B19" s="86"/>
      <c r="C19" s="73">
        <v>74</v>
      </c>
      <c r="D19" s="113">
        <f t="shared" si="0"/>
        <v>9.5608470393674337E-4</v>
      </c>
    </row>
    <row r="20" spans="1:18" x14ac:dyDescent="0.2">
      <c r="A20" s="71" t="s">
        <v>213</v>
      </c>
      <c r="B20" s="86"/>
      <c r="C20" s="73">
        <v>56</v>
      </c>
      <c r="D20" s="113">
        <f t="shared" si="0"/>
        <v>7.2352355973591387E-4</v>
      </c>
    </row>
    <row r="21" spans="1:18" x14ac:dyDescent="0.2">
      <c r="A21" s="71" t="s">
        <v>214</v>
      </c>
      <c r="B21" s="86"/>
      <c r="C21" s="73">
        <v>44</v>
      </c>
      <c r="D21" s="113">
        <f t="shared" si="0"/>
        <v>5.6848279693536095E-4</v>
      </c>
    </row>
    <row r="22" spans="1:18" x14ac:dyDescent="0.2">
      <c r="A22" s="71" t="s">
        <v>215</v>
      </c>
      <c r="B22" s="86"/>
      <c r="C22" s="73">
        <v>39</v>
      </c>
      <c r="D22" s="113">
        <f t="shared" si="0"/>
        <v>5.0388247910179717E-4</v>
      </c>
    </row>
    <row r="23" spans="1:18" x14ac:dyDescent="0.2">
      <c r="A23" s="71" t="s">
        <v>216</v>
      </c>
      <c r="B23" s="86"/>
      <c r="C23" s="73">
        <v>23</v>
      </c>
      <c r="D23" s="113">
        <f t="shared" si="0"/>
        <v>2.9716146203439322E-4</v>
      </c>
    </row>
    <row r="24" spans="1:18" ht="13.5" thickBot="1" x14ac:dyDescent="0.25">
      <c r="A24" s="71" t="s">
        <v>217</v>
      </c>
      <c r="B24" s="86"/>
      <c r="C24" s="73">
        <v>11</v>
      </c>
      <c r="D24" s="113">
        <f t="shared" si="0"/>
        <v>1.4212069923384024E-4</v>
      </c>
    </row>
    <row r="25" spans="1:18" x14ac:dyDescent="0.2">
      <c r="A25" s="80" t="s">
        <v>38</v>
      </c>
      <c r="B25" s="81"/>
      <c r="C25" s="114">
        <v>77399</v>
      </c>
      <c r="D25" s="114">
        <v>77399</v>
      </c>
    </row>
    <row r="26" spans="1:18" x14ac:dyDescent="0.2">
      <c r="C26" s="79"/>
      <c r="D26" s="79"/>
    </row>
    <row r="30" spans="1:18" ht="27.75" customHeight="1" x14ac:dyDescent="0.2">
      <c r="A30" s="214" t="s">
        <v>314</v>
      </c>
      <c r="B30" s="214"/>
      <c r="C30" s="214"/>
      <c r="D30" s="214"/>
      <c r="E30" s="214"/>
      <c r="F30" s="214"/>
      <c r="G30" s="214"/>
      <c r="H30" s="214"/>
      <c r="I30" s="214"/>
      <c r="J30" s="214"/>
      <c r="K30" s="214"/>
      <c r="L30" s="214"/>
      <c r="M30" s="214"/>
      <c r="N30" s="214"/>
      <c r="O30" s="214"/>
      <c r="P30" s="214"/>
      <c r="Q30" s="214"/>
      <c r="R30" s="214"/>
    </row>
    <row r="31" spans="1:18" s="111" customFormat="1" ht="15.75" customHeight="1" thickBot="1" x14ac:dyDescent="0.25">
      <c r="A31" s="110"/>
      <c r="B31" s="110"/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</row>
    <row r="32" spans="1:18" x14ac:dyDescent="0.2">
      <c r="A32" s="219" t="s">
        <v>312</v>
      </c>
      <c r="B32" s="89" t="s">
        <v>7</v>
      </c>
      <c r="C32" s="89" t="s">
        <v>7</v>
      </c>
      <c r="D32" s="89" t="s">
        <v>8</v>
      </c>
      <c r="E32" s="89" t="s">
        <v>8</v>
      </c>
      <c r="F32" s="89" t="s">
        <v>222</v>
      </c>
      <c r="G32" s="89" t="s">
        <v>222</v>
      </c>
      <c r="H32" s="217" t="s">
        <v>315</v>
      </c>
    </row>
    <row r="33" spans="1:9" ht="13.5" thickBot="1" x14ac:dyDescent="0.25">
      <c r="A33" s="220"/>
      <c r="B33" s="83" t="s">
        <v>219</v>
      </c>
      <c r="C33" s="85" t="s">
        <v>221</v>
      </c>
      <c r="D33" s="85" t="s">
        <v>219</v>
      </c>
      <c r="E33" s="85" t="s">
        <v>221</v>
      </c>
      <c r="F33" s="85" t="s">
        <v>219</v>
      </c>
      <c r="G33" s="84" t="s">
        <v>221</v>
      </c>
      <c r="H33" s="218"/>
    </row>
    <row r="34" spans="1:9" x14ac:dyDescent="0.2">
      <c r="A34" s="102" t="s">
        <v>198</v>
      </c>
      <c r="B34" s="73">
        <v>9733</v>
      </c>
      <c r="C34" s="91">
        <v>6591</v>
      </c>
      <c r="D34" s="73">
        <v>11665</v>
      </c>
      <c r="E34" s="91">
        <v>8239</v>
      </c>
      <c r="F34" s="73">
        <v>11795</v>
      </c>
      <c r="G34" s="91">
        <v>15986</v>
      </c>
      <c r="H34" s="103">
        <v>2377</v>
      </c>
      <c r="I34" s="82"/>
    </row>
    <row r="35" spans="1:9" x14ac:dyDescent="0.2">
      <c r="A35" s="102" t="s">
        <v>199</v>
      </c>
      <c r="B35" s="73">
        <v>5001</v>
      </c>
      <c r="C35" s="91">
        <v>4230</v>
      </c>
      <c r="D35" s="73">
        <v>5145</v>
      </c>
      <c r="E35" s="91">
        <v>5187</v>
      </c>
      <c r="F35" s="73">
        <v>4973</v>
      </c>
      <c r="G35" s="91">
        <v>5202</v>
      </c>
      <c r="H35" s="103">
        <v>500</v>
      </c>
      <c r="I35" s="82"/>
    </row>
    <row r="36" spans="1:9" x14ac:dyDescent="0.2">
      <c r="A36" s="102" t="s">
        <v>200</v>
      </c>
      <c r="B36" s="73">
        <v>2001</v>
      </c>
      <c r="C36" s="91">
        <v>1725</v>
      </c>
      <c r="D36" s="73">
        <v>3551</v>
      </c>
      <c r="E36" s="91">
        <v>3602</v>
      </c>
      <c r="F36" s="73">
        <v>3187</v>
      </c>
      <c r="G36" s="91">
        <v>3168</v>
      </c>
      <c r="H36" s="103">
        <v>244</v>
      </c>
      <c r="I36" s="82"/>
    </row>
    <row r="37" spans="1:9" x14ac:dyDescent="0.2">
      <c r="A37" s="102" t="s">
        <v>311</v>
      </c>
      <c r="B37" s="73">
        <v>1363</v>
      </c>
      <c r="C37" s="91">
        <v>1219</v>
      </c>
      <c r="D37" s="73">
        <v>1354</v>
      </c>
      <c r="E37" s="91">
        <v>1349</v>
      </c>
      <c r="F37" s="73">
        <v>2092</v>
      </c>
      <c r="G37" s="91">
        <v>2083</v>
      </c>
      <c r="H37" s="103">
        <v>158</v>
      </c>
      <c r="I37" s="82"/>
    </row>
    <row r="38" spans="1:9" x14ac:dyDescent="0.2">
      <c r="A38" s="102" t="s">
        <v>201</v>
      </c>
      <c r="B38" s="73">
        <v>1188</v>
      </c>
      <c r="C38" s="91">
        <v>1013</v>
      </c>
      <c r="D38" s="73">
        <v>1277</v>
      </c>
      <c r="E38" s="91">
        <v>1248</v>
      </c>
      <c r="F38" s="73">
        <v>1478</v>
      </c>
      <c r="G38" s="91">
        <v>1470</v>
      </c>
      <c r="H38" s="103">
        <v>212</v>
      </c>
      <c r="I38" s="82"/>
    </row>
    <row r="39" spans="1:9" x14ac:dyDescent="0.2">
      <c r="A39" s="102" t="s">
        <v>202</v>
      </c>
      <c r="B39" s="73">
        <v>1211</v>
      </c>
      <c r="C39" s="91">
        <v>986</v>
      </c>
      <c r="D39" s="73">
        <v>1291</v>
      </c>
      <c r="E39" s="91">
        <v>1243</v>
      </c>
      <c r="F39" s="73">
        <v>1218</v>
      </c>
      <c r="G39" s="91">
        <v>1247</v>
      </c>
      <c r="H39" s="103">
        <v>244</v>
      </c>
      <c r="I39" s="82"/>
    </row>
    <row r="40" spans="1:9" x14ac:dyDescent="0.2">
      <c r="A40" s="102" t="s">
        <v>203</v>
      </c>
      <c r="B40" s="73">
        <v>681</v>
      </c>
      <c r="C40" s="91">
        <v>636</v>
      </c>
      <c r="D40" s="73">
        <v>912</v>
      </c>
      <c r="E40" s="91">
        <v>922</v>
      </c>
      <c r="F40" s="73">
        <v>775</v>
      </c>
      <c r="G40" s="91">
        <v>780</v>
      </c>
      <c r="H40" s="103">
        <v>30</v>
      </c>
      <c r="I40" s="82"/>
    </row>
    <row r="41" spans="1:9" x14ac:dyDescent="0.2">
      <c r="A41" s="102" t="s">
        <v>204</v>
      </c>
      <c r="B41" s="73">
        <v>412</v>
      </c>
      <c r="C41" s="91">
        <v>352</v>
      </c>
      <c r="D41" s="73">
        <v>443</v>
      </c>
      <c r="E41" s="91">
        <v>459</v>
      </c>
      <c r="F41" s="73">
        <v>441</v>
      </c>
      <c r="G41" s="91">
        <v>435</v>
      </c>
      <c r="H41" s="103">
        <v>50</v>
      </c>
      <c r="I41" s="82"/>
    </row>
    <row r="42" spans="1:9" x14ac:dyDescent="0.2">
      <c r="A42" s="102" t="s">
        <v>205</v>
      </c>
      <c r="B42" s="73">
        <v>515</v>
      </c>
      <c r="C42" s="91">
        <v>454</v>
      </c>
      <c r="D42" s="73">
        <v>436</v>
      </c>
      <c r="E42" s="91">
        <v>430</v>
      </c>
      <c r="F42" s="73">
        <v>314</v>
      </c>
      <c r="G42" s="91">
        <v>342</v>
      </c>
      <c r="H42" s="103">
        <v>39</v>
      </c>
      <c r="I42" s="82"/>
    </row>
    <row r="43" spans="1:9" x14ac:dyDescent="0.2">
      <c r="A43" s="102" t="s">
        <v>206</v>
      </c>
      <c r="B43" s="73">
        <v>373</v>
      </c>
      <c r="C43" s="91">
        <v>340</v>
      </c>
      <c r="D43" s="73">
        <v>481</v>
      </c>
      <c r="E43" s="91">
        <v>476</v>
      </c>
      <c r="F43" s="73">
        <v>342</v>
      </c>
      <c r="G43" s="91">
        <v>357</v>
      </c>
      <c r="H43" s="103">
        <v>23</v>
      </c>
      <c r="I43" s="82"/>
    </row>
    <row r="44" spans="1:9" x14ac:dyDescent="0.2">
      <c r="A44" s="102" t="s">
        <v>207</v>
      </c>
      <c r="B44" s="73">
        <v>222</v>
      </c>
      <c r="C44" s="91">
        <v>196</v>
      </c>
      <c r="D44" s="73">
        <v>199</v>
      </c>
      <c r="E44" s="91">
        <v>198</v>
      </c>
      <c r="F44" s="73">
        <v>156</v>
      </c>
      <c r="G44" s="91">
        <v>173</v>
      </c>
      <c r="H44" s="103">
        <v>10</v>
      </c>
      <c r="I44" s="82"/>
    </row>
    <row r="45" spans="1:9" x14ac:dyDescent="0.2">
      <c r="A45" s="102" t="s">
        <v>208</v>
      </c>
      <c r="B45" s="73">
        <v>192</v>
      </c>
      <c r="C45" s="91">
        <v>160</v>
      </c>
      <c r="D45" s="73">
        <v>185</v>
      </c>
      <c r="E45" s="91">
        <v>181</v>
      </c>
      <c r="F45" s="73">
        <v>150</v>
      </c>
      <c r="G45" s="91">
        <v>157</v>
      </c>
      <c r="H45" s="103">
        <v>29</v>
      </c>
      <c r="I45" s="82"/>
    </row>
    <row r="46" spans="1:9" x14ac:dyDescent="0.2">
      <c r="A46" s="102" t="s">
        <v>209</v>
      </c>
      <c r="B46" s="73">
        <v>70</v>
      </c>
      <c r="C46" s="91">
        <v>69</v>
      </c>
      <c r="D46" s="73">
        <v>63</v>
      </c>
      <c r="E46" s="91">
        <v>58</v>
      </c>
      <c r="F46" s="73">
        <v>50</v>
      </c>
      <c r="G46" s="91">
        <v>54</v>
      </c>
      <c r="H46" s="103">
        <v>2</v>
      </c>
      <c r="I46" s="79"/>
    </row>
    <row r="47" spans="1:9" x14ac:dyDescent="0.2">
      <c r="A47" s="102" t="s">
        <v>210</v>
      </c>
      <c r="B47" s="73">
        <v>44</v>
      </c>
      <c r="C47" s="91">
        <v>37</v>
      </c>
      <c r="D47" s="73">
        <v>41</v>
      </c>
      <c r="E47" s="91">
        <v>46</v>
      </c>
      <c r="F47" s="73">
        <v>42</v>
      </c>
      <c r="G47" s="91">
        <v>42</v>
      </c>
      <c r="H47" s="103">
        <v>2</v>
      </c>
      <c r="I47" s="79"/>
    </row>
    <row r="48" spans="1:9" x14ac:dyDescent="0.2">
      <c r="A48" s="102" t="s">
        <v>211</v>
      </c>
      <c r="B48" s="73">
        <v>29</v>
      </c>
      <c r="C48" s="91">
        <v>28</v>
      </c>
      <c r="D48" s="73">
        <v>38</v>
      </c>
      <c r="E48" s="91">
        <v>36</v>
      </c>
      <c r="F48" s="73">
        <v>23</v>
      </c>
      <c r="G48" s="91">
        <v>20</v>
      </c>
      <c r="H48" s="103">
        <v>6</v>
      </c>
      <c r="I48" s="79"/>
    </row>
    <row r="49" spans="1:18" x14ac:dyDescent="0.2">
      <c r="A49" s="102" t="s">
        <v>212</v>
      </c>
      <c r="B49" s="73">
        <v>26</v>
      </c>
      <c r="C49" s="91">
        <v>26</v>
      </c>
      <c r="D49" s="73">
        <v>6</v>
      </c>
      <c r="E49" s="91">
        <v>6</v>
      </c>
      <c r="F49" s="73">
        <v>42</v>
      </c>
      <c r="G49" s="91">
        <v>38</v>
      </c>
      <c r="H49" s="103">
        <v>4</v>
      </c>
      <c r="I49" s="79"/>
    </row>
    <row r="50" spans="1:18" x14ac:dyDescent="0.2">
      <c r="A50" s="102" t="s">
        <v>213</v>
      </c>
      <c r="B50" s="73">
        <v>14</v>
      </c>
      <c r="C50" s="91">
        <v>10</v>
      </c>
      <c r="D50" s="73">
        <v>23</v>
      </c>
      <c r="E50" s="91">
        <v>24</v>
      </c>
      <c r="F50" s="73">
        <v>19</v>
      </c>
      <c r="G50" s="91">
        <v>22</v>
      </c>
      <c r="H50" s="103">
        <v>0</v>
      </c>
      <c r="I50" s="79"/>
    </row>
    <row r="51" spans="1:18" x14ac:dyDescent="0.2">
      <c r="A51" s="102" t="s">
        <v>214</v>
      </c>
      <c r="B51" s="73">
        <v>18</v>
      </c>
      <c r="C51" s="91">
        <v>17</v>
      </c>
      <c r="D51" s="73">
        <v>8</v>
      </c>
      <c r="E51" s="91">
        <v>9</v>
      </c>
      <c r="F51" s="73">
        <v>18</v>
      </c>
      <c r="G51" s="91">
        <v>17</v>
      </c>
      <c r="H51" s="103">
        <v>1</v>
      </c>
      <c r="I51" s="79"/>
    </row>
    <row r="52" spans="1:18" x14ac:dyDescent="0.2">
      <c r="A52" s="102" t="s">
        <v>215</v>
      </c>
      <c r="B52" s="73">
        <v>23</v>
      </c>
      <c r="C52" s="91">
        <v>22</v>
      </c>
      <c r="D52" s="73">
        <v>12</v>
      </c>
      <c r="E52" s="91">
        <v>13</v>
      </c>
      <c r="F52" s="73">
        <v>4</v>
      </c>
      <c r="G52" s="91">
        <v>4</v>
      </c>
      <c r="H52" s="103">
        <v>0</v>
      </c>
      <c r="I52" s="79"/>
    </row>
    <row r="53" spans="1:18" x14ac:dyDescent="0.2">
      <c r="A53" s="102" t="s">
        <v>216</v>
      </c>
      <c r="B53" s="73">
        <v>7</v>
      </c>
      <c r="C53" s="91">
        <v>7</v>
      </c>
      <c r="D53" s="73">
        <v>10</v>
      </c>
      <c r="E53" s="91">
        <v>9</v>
      </c>
      <c r="F53" s="73">
        <v>6</v>
      </c>
      <c r="G53" s="91">
        <v>6</v>
      </c>
      <c r="H53" s="103">
        <v>1</v>
      </c>
      <c r="I53" s="79"/>
    </row>
    <row r="54" spans="1:18" x14ac:dyDescent="0.2">
      <c r="A54" s="102" t="s">
        <v>217</v>
      </c>
      <c r="B54" s="73">
        <v>3</v>
      </c>
      <c r="C54" s="91">
        <v>3</v>
      </c>
      <c r="D54" s="73">
        <v>4</v>
      </c>
      <c r="E54" s="91">
        <v>4</v>
      </c>
      <c r="F54" s="73">
        <v>4</v>
      </c>
      <c r="G54" s="91">
        <v>4</v>
      </c>
      <c r="H54" s="103">
        <v>0</v>
      </c>
      <c r="I54" s="79"/>
    </row>
    <row r="55" spans="1:18" ht="13.5" thickBot="1" x14ac:dyDescent="0.25">
      <c r="A55" s="93" t="s">
        <v>38</v>
      </c>
      <c r="B55" s="94">
        <v>23126</v>
      </c>
      <c r="C55" s="94">
        <v>18121</v>
      </c>
      <c r="D55" s="94">
        <v>27144</v>
      </c>
      <c r="E55" s="94">
        <v>23739</v>
      </c>
      <c r="F55" s="94">
        <v>27129</v>
      </c>
      <c r="G55" s="94">
        <v>31607</v>
      </c>
      <c r="H55" s="95">
        <v>3932</v>
      </c>
    </row>
    <row r="56" spans="1:18" x14ac:dyDescent="0.2">
      <c r="G56" s="79"/>
      <c r="H56" s="79"/>
    </row>
    <row r="57" spans="1:18" ht="27" customHeight="1" x14ac:dyDescent="0.2">
      <c r="A57" s="214" t="s">
        <v>313</v>
      </c>
      <c r="B57" s="214"/>
      <c r="C57" s="214"/>
      <c r="D57" s="214"/>
      <c r="E57" s="214"/>
      <c r="F57" s="214"/>
      <c r="G57" s="214"/>
      <c r="H57" s="214"/>
      <c r="I57" s="214"/>
      <c r="J57" s="214"/>
      <c r="K57" s="214"/>
      <c r="L57" s="214"/>
      <c r="M57" s="214"/>
      <c r="N57" s="214"/>
      <c r="O57" s="214"/>
      <c r="P57" s="214"/>
      <c r="Q57" s="214"/>
      <c r="R57" s="214"/>
    </row>
    <row r="58" spans="1:18" ht="13.5" thickBot="1" x14ac:dyDescent="0.25"/>
    <row r="59" spans="1:18" x14ac:dyDescent="0.2">
      <c r="A59" s="215" t="s">
        <v>198</v>
      </c>
      <c r="B59" s="96" t="s">
        <v>7</v>
      </c>
      <c r="C59" s="89" t="s">
        <v>7</v>
      </c>
      <c r="D59" s="89" t="s">
        <v>8</v>
      </c>
      <c r="E59" s="89" t="s">
        <v>8</v>
      </c>
      <c r="F59" s="89" t="s">
        <v>222</v>
      </c>
      <c r="G59" s="89" t="s">
        <v>222</v>
      </c>
      <c r="H59" s="217" t="s">
        <v>315</v>
      </c>
      <c r="J59" s="98" t="s">
        <v>199</v>
      </c>
      <c r="K59" s="96" t="s">
        <v>7</v>
      </c>
      <c r="L59" s="89" t="s">
        <v>7</v>
      </c>
      <c r="M59" s="89" t="s">
        <v>8</v>
      </c>
      <c r="N59" s="89" t="s">
        <v>8</v>
      </c>
      <c r="O59" s="89" t="s">
        <v>222</v>
      </c>
      <c r="P59" s="89" t="s">
        <v>222</v>
      </c>
      <c r="Q59" s="217" t="s">
        <v>315</v>
      </c>
    </row>
    <row r="60" spans="1:18" ht="13.5" thickBot="1" x14ac:dyDescent="0.25">
      <c r="A60" s="216"/>
      <c r="B60" s="97" t="s">
        <v>219</v>
      </c>
      <c r="C60" s="85" t="s">
        <v>221</v>
      </c>
      <c r="D60" s="85" t="s">
        <v>219</v>
      </c>
      <c r="E60" s="85" t="s">
        <v>221</v>
      </c>
      <c r="F60" s="85" t="s">
        <v>219</v>
      </c>
      <c r="G60" s="84" t="s">
        <v>221</v>
      </c>
      <c r="H60" s="218"/>
      <c r="J60" s="99"/>
      <c r="K60" s="97" t="s">
        <v>219</v>
      </c>
      <c r="L60" s="85" t="s">
        <v>221</v>
      </c>
      <c r="M60" s="85" t="s">
        <v>219</v>
      </c>
      <c r="N60" s="85" t="s">
        <v>221</v>
      </c>
      <c r="O60" s="85" t="s">
        <v>219</v>
      </c>
      <c r="P60" s="84" t="s">
        <v>221</v>
      </c>
      <c r="Q60" s="218"/>
    </row>
    <row r="61" spans="1:18" x14ac:dyDescent="0.2">
      <c r="A61" s="90" t="s">
        <v>223</v>
      </c>
      <c r="B61" s="91">
        <v>8506</v>
      </c>
      <c r="C61" s="91">
        <v>5530</v>
      </c>
      <c r="D61" s="91">
        <v>10222</v>
      </c>
      <c r="E61" s="91">
        <v>6831</v>
      </c>
      <c r="F61" s="91">
        <v>10061</v>
      </c>
      <c r="G61" s="91">
        <v>14250</v>
      </c>
      <c r="H61" s="92">
        <v>2178</v>
      </c>
      <c r="J61" s="90" t="s">
        <v>238</v>
      </c>
      <c r="K61" s="107">
        <v>3072</v>
      </c>
      <c r="L61" s="107">
        <v>2558</v>
      </c>
      <c r="M61" s="107">
        <v>2969</v>
      </c>
      <c r="N61" s="107">
        <v>3046</v>
      </c>
      <c r="O61" s="107">
        <v>3039</v>
      </c>
      <c r="P61" s="107">
        <v>3178</v>
      </c>
      <c r="Q61" s="105">
        <v>298</v>
      </c>
    </row>
    <row r="62" spans="1:18" x14ac:dyDescent="0.2">
      <c r="A62" s="90" t="s">
        <v>224</v>
      </c>
      <c r="B62" s="91">
        <v>707</v>
      </c>
      <c r="C62" s="91">
        <v>600</v>
      </c>
      <c r="D62" s="91">
        <v>898</v>
      </c>
      <c r="E62" s="91">
        <v>897</v>
      </c>
      <c r="F62" s="91">
        <v>1082</v>
      </c>
      <c r="G62" s="91">
        <v>1086</v>
      </c>
      <c r="H62" s="92">
        <v>104</v>
      </c>
      <c r="J62" s="90" t="s">
        <v>234</v>
      </c>
      <c r="K62" s="107">
        <v>1207</v>
      </c>
      <c r="L62" s="107">
        <v>1065</v>
      </c>
      <c r="M62" s="107">
        <v>1411</v>
      </c>
      <c r="N62" s="107">
        <v>1383</v>
      </c>
      <c r="O62" s="107">
        <v>1307</v>
      </c>
      <c r="P62" s="107">
        <v>1357</v>
      </c>
      <c r="Q62" s="105">
        <v>120</v>
      </c>
    </row>
    <row r="63" spans="1:18" x14ac:dyDescent="0.2">
      <c r="A63" s="90" t="s">
        <v>225</v>
      </c>
      <c r="B63" s="91">
        <v>116</v>
      </c>
      <c r="C63" s="91">
        <v>98</v>
      </c>
      <c r="D63" s="91">
        <v>163</v>
      </c>
      <c r="E63" s="91">
        <v>153</v>
      </c>
      <c r="F63" s="91">
        <v>155</v>
      </c>
      <c r="G63" s="91">
        <v>157</v>
      </c>
      <c r="H63" s="92">
        <v>26</v>
      </c>
      <c r="J63" s="90" t="s">
        <v>235</v>
      </c>
      <c r="K63" s="107">
        <v>327</v>
      </c>
      <c r="L63" s="107">
        <v>269</v>
      </c>
      <c r="M63" s="107">
        <v>321</v>
      </c>
      <c r="N63" s="107">
        <v>322</v>
      </c>
      <c r="O63" s="107">
        <v>235</v>
      </c>
      <c r="P63" s="107">
        <v>248</v>
      </c>
      <c r="Q63" s="105">
        <v>44</v>
      </c>
    </row>
    <row r="64" spans="1:18" x14ac:dyDescent="0.2">
      <c r="A64" s="90" t="s">
        <v>226</v>
      </c>
      <c r="B64" s="91">
        <v>131</v>
      </c>
      <c r="C64" s="91">
        <v>119</v>
      </c>
      <c r="D64" s="91">
        <v>115</v>
      </c>
      <c r="E64" s="91">
        <v>98</v>
      </c>
      <c r="F64" s="91">
        <v>166</v>
      </c>
      <c r="G64" s="91">
        <v>175</v>
      </c>
      <c r="H64" s="92">
        <v>20</v>
      </c>
      <c r="J64" s="90" t="s">
        <v>236</v>
      </c>
      <c r="K64" s="107">
        <v>254</v>
      </c>
      <c r="L64" s="107">
        <v>210</v>
      </c>
      <c r="M64" s="107">
        <v>279</v>
      </c>
      <c r="N64" s="107">
        <v>284</v>
      </c>
      <c r="O64" s="107">
        <v>245</v>
      </c>
      <c r="P64" s="107">
        <v>261</v>
      </c>
      <c r="Q64" s="105">
        <v>23</v>
      </c>
    </row>
    <row r="65" spans="1:17" x14ac:dyDescent="0.2">
      <c r="A65" s="90" t="s">
        <v>227</v>
      </c>
      <c r="B65" s="91">
        <v>80</v>
      </c>
      <c r="C65" s="91">
        <v>76</v>
      </c>
      <c r="D65" s="91">
        <v>90</v>
      </c>
      <c r="E65" s="91">
        <v>88</v>
      </c>
      <c r="F65" s="91">
        <v>122</v>
      </c>
      <c r="G65" s="91">
        <v>124</v>
      </c>
      <c r="H65" s="92">
        <v>4</v>
      </c>
      <c r="J65" s="90" t="s">
        <v>237</v>
      </c>
      <c r="K65" s="107">
        <v>105</v>
      </c>
      <c r="L65" s="107">
        <v>98</v>
      </c>
      <c r="M65" s="107">
        <v>115</v>
      </c>
      <c r="N65" s="107">
        <v>106</v>
      </c>
      <c r="O65" s="107">
        <v>98</v>
      </c>
      <c r="P65" s="107">
        <v>104</v>
      </c>
      <c r="Q65" s="105">
        <v>10</v>
      </c>
    </row>
    <row r="66" spans="1:17" x14ac:dyDescent="0.2">
      <c r="A66" s="90" t="s">
        <v>228</v>
      </c>
      <c r="B66" s="91">
        <v>79</v>
      </c>
      <c r="C66" s="91">
        <v>64</v>
      </c>
      <c r="D66" s="91">
        <v>24</v>
      </c>
      <c r="E66" s="91">
        <v>28</v>
      </c>
      <c r="F66" s="91">
        <v>58</v>
      </c>
      <c r="G66" s="91">
        <v>45</v>
      </c>
      <c r="H66" s="92">
        <v>24</v>
      </c>
      <c r="J66" s="90" t="s">
        <v>239</v>
      </c>
      <c r="K66" s="107">
        <v>29</v>
      </c>
      <c r="L66" s="107">
        <v>23</v>
      </c>
      <c r="M66" s="107">
        <v>35</v>
      </c>
      <c r="N66" s="107">
        <v>34</v>
      </c>
      <c r="O66" s="107">
        <v>31</v>
      </c>
      <c r="P66" s="107">
        <v>34</v>
      </c>
      <c r="Q66" s="105">
        <v>4</v>
      </c>
    </row>
    <row r="67" spans="1:17" x14ac:dyDescent="0.2">
      <c r="A67" s="90" t="s">
        <v>229</v>
      </c>
      <c r="B67" s="91">
        <v>51</v>
      </c>
      <c r="C67" s="91">
        <v>47</v>
      </c>
      <c r="D67" s="91">
        <v>44</v>
      </c>
      <c r="E67" s="91">
        <v>45</v>
      </c>
      <c r="F67" s="91">
        <v>58</v>
      </c>
      <c r="G67" s="91">
        <v>57</v>
      </c>
      <c r="H67" s="92">
        <v>4</v>
      </c>
      <c r="J67" s="90" t="s">
        <v>240</v>
      </c>
      <c r="K67" s="107">
        <v>4</v>
      </c>
      <c r="L67" s="107">
        <v>4</v>
      </c>
      <c r="M67" s="107">
        <v>12</v>
      </c>
      <c r="N67" s="107">
        <v>10</v>
      </c>
      <c r="O67" s="107">
        <v>7</v>
      </c>
      <c r="P67" s="107">
        <v>9</v>
      </c>
      <c r="Q67" s="105">
        <v>0</v>
      </c>
    </row>
    <row r="68" spans="1:17" x14ac:dyDescent="0.2">
      <c r="A68" s="90" t="s">
        <v>230</v>
      </c>
      <c r="B68" s="91">
        <v>16</v>
      </c>
      <c r="C68" s="91">
        <v>14</v>
      </c>
      <c r="D68" s="91">
        <v>64</v>
      </c>
      <c r="E68" s="91">
        <v>59</v>
      </c>
      <c r="F68" s="91">
        <v>42</v>
      </c>
      <c r="G68" s="91">
        <v>43</v>
      </c>
      <c r="H68" s="92">
        <v>6</v>
      </c>
      <c r="J68" s="90" t="s">
        <v>241</v>
      </c>
      <c r="K68" s="107">
        <v>3</v>
      </c>
      <c r="L68" s="107">
        <v>3</v>
      </c>
      <c r="M68" s="107">
        <v>1</v>
      </c>
      <c r="N68" s="107">
        <v>1</v>
      </c>
      <c r="O68" s="107">
        <v>11</v>
      </c>
      <c r="P68" s="107">
        <v>11</v>
      </c>
      <c r="Q68" s="105">
        <v>0</v>
      </c>
    </row>
    <row r="69" spans="1:17" x14ac:dyDescent="0.2">
      <c r="A69" s="90" t="s">
        <v>231</v>
      </c>
      <c r="B69" s="91">
        <v>36</v>
      </c>
      <c r="C69" s="91">
        <v>33</v>
      </c>
      <c r="D69" s="91">
        <v>36</v>
      </c>
      <c r="E69" s="91">
        <v>33</v>
      </c>
      <c r="F69" s="91">
        <v>26</v>
      </c>
      <c r="G69" s="91">
        <v>21</v>
      </c>
      <c r="H69" s="92">
        <v>11</v>
      </c>
      <c r="J69" s="90" t="s">
        <v>242</v>
      </c>
      <c r="K69" s="107"/>
      <c r="L69" s="107"/>
      <c r="M69" s="107">
        <v>2</v>
      </c>
      <c r="N69" s="107">
        <v>1</v>
      </c>
      <c r="O69" s="107"/>
      <c r="P69" s="107"/>
      <c r="Q69" s="105">
        <v>1</v>
      </c>
    </row>
    <row r="70" spans="1:17" ht="13.5" thickBot="1" x14ac:dyDescent="0.25">
      <c r="A70" s="90" t="s">
        <v>232</v>
      </c>
      <c r="B70" s="91">
        <v>9</v>
      </c>
      <c r="C70" s="91">
        <v>8</v>
      </c>
      <c r="D70" s="91">
        <v>5</v>
      </c>
      <c r="E70" s="91">
        <v>5</v>
      </c>
      <c r="F70" s="91">
        <v>20</v>
      </c>
      <c r="G70" s="91">
        <v>21</v>
      </c>
      <c r="H70" s="92"/>
      <c r="J70" s="93" t="s">
        <v>38</v>
      </c>
      <c r="K70" s="94">
        <v>5001</v>
      </c>
      <c r="L70" s="94">
        <v>4230</v>
      </c>
      <c r="M70" s="94">
        <v>5145</v>
      </c>
      <c r="N70" s="94">
        <v>5187</v>
      </c>
      <c r="O70" s="94">
        <v>4973</v>
      </c>
      <c r="P70" s="94">
        <v>5202</v>
      </c>
      <c r="Q70" s="95">
        <v>500</v>
      </c>
    </row>
    <row r="71" spans="1:17" ht="13.5" thickBot="1" x14ac:dyDescent="0.25">
      <c r="A71" s="90" t="s">
        <v>198</v>
      </c>
      <c r="B71" s="91">
        <v>2</v>
      </c>
      <c r="C71" s="91">
        <v>2</v>
      </c>
      <c r="D71" s="91">
        <v>3</v>
      </c>
      <c r="E71" s="91">
        <v>1</v>
      </c>
      <c r="F71" s="91">
        <v>3</v>
      </c>
      <c r="G71" s="91">
        <v>5</v>
      </c>
      <c r="H71" s="92"/>
      <c r="J71" s="112"/>
      <c r="K71" s="104"/>
      <c r="L71" s="104"/>
      <c r="M71" s="104"/>
      <c r="N71" s="104"/>
      <c r="O71" s="104"/>
      <c r="P71" s="104"/>
      <c r="Q71" s="104"/>
    </row>
    <row r="72" spans="1:17" x14ac:dyDescent="0.2">
      <c r="A72" s="90" t="s">
        <v>233</v>
      </c>
      <c r="B72" s="91"/>
      <c r="C72" s="91"/>
      <c r="D72" s="91">
        <v>1</v>
      </c>
      <c r="E72" s="91">
        <v>1</v>
      </c>
      <c r="F72" s="91">
        <v>2</v>
      </c>
      <c r="G72" s="91">
        <v>2</v>
      </c>
      <c r="H72" s="92"/>
      <c r="J72" s="98" t="s">
        <v>201</v>
      </c>
      <c r="K72" s="96" t="s">
        <v>7</v>
      </c>
      <c r="L72" s="89" t="s">
        <v>7</v>
      </c>
      <c r="M72" s="89" t="s">
        <v>8</v>
      </c>
      <c r="N72" s="89" t="s">
        <v>8</v>
      </c>
      <c r="O72" s="89" t="s">
        <v>222</v>
      </c>
      <c r="P72" s="89" t="s">
        <v>222</v>
      </c>
      <c r="Q72" s="100" t="s">
        <v>315</v>
      </c>
    </row>
    <row r="73" spans="1:17" ht="13.5" thickBot="1" x14ac:dyDescent="0.25">
      <c r="A73" s="93" t="s">
        <v>38</v>
      </c>
      <c r="B73" s="94">
        <v>9733</v>
      </c>
      <c r="C73" s="115">
        <v>6591</v>
      </c>
      <c r="D73" s="94">
        <v>11665</v>
      </c>
      <c r="E73" s="94">
        <v>8239</v>
      </c>
      <c r="F73" s="94">
        <v>11795</v>
      </c>
      <c r="G73" s="94">
        <v>15986</v>
      </c>
      <c r="H73" s="95">
        <v>2377</v>
      </c>
      <c r="J73" s="99"/>
      <c r="K73" s="97" t="s">
        <v>219</v>
      </c>
      <c r="L73" s="85" t="s">
        <v>221</v>
      </c>
      <c r="M73" s="85" t="s">
        <v>219</v>
      </c>
      <c r="N73" s="85" t="s">
        <v>221</v>
      </c>
      <c r="O73" s="85" t="s">
        <v>219</v>
      </c>
      <c r="P73" s="84" t="s">
        <v>221</v>
      </c>
      <c r="Q73" s="101"/>
    </row>
    <row r="74" spans="1:17" ht="15" customHeight="1" thickBot="1" x14ac:dyDescent="0.25">
      <c r="J74" s="90" t="s">
        <v>220</v>
      </c>
      <c r="K74" s="73">
        <v>1188</v>
      </c>
      <c r="L74" s="73">
        <v>1013</v>
      </c>
      <c r="M74" s="73">
        <v>1277</v>
      </c>
      <c r="N74" s="73">
        <v>1248</v>
      </c>
      <c r="O74" s="73">
        <v>1478</v>
      </c>
      <c r="P74" s="73">
        <v>1470</v>
      </c>
      <c r="Q74" s="92">
        <v>212</v>
      </c>
    </row>
    <row r="75" spans="1:17" ht="13.5" thickBot="1" x14ac:dyDescent="0.25">
      <c r="A75" s="215" t="s">
        <v>200</v>
      </c>
      <c r="B75" s="96" t="s">
        <v>7</v>
      </c>
      <c r="C75" s="89" t="s">
        <v>7</v>
      </c>
      <c r="D75" s="89" t="s">
        <v>8</v>
      </c>
      <c r="E75" s="89" t="s">
        <v>8</v>
      </c>
      <c r="F75" s="89" t="s">
        <v>222</v>
      </c>
      <c r="G75" s="89" t="s">
        <v>222</v>
      </c>
      <c r="H75" s="217" t="s">
        <v>315</v>
      </c>
      <c r="J75" s="93" t="s">
        <v>38</v>
      </c>
      <c r="K75" s="94">
        <v>1188</v>
      </c>
      <c r="L75" s="94">
        <v>1013</v>
      </c>
      <c r="M75" s="94">
        <v>1277</v>
      </c>
      <c r="N75" s="94">
        <v>1248</v>
      </c>
      <c r="O75" s="94">
        <v>1478</v>
      </c>
      <c r="P75" s="94">
        <v>1470</v>
      </c>
      <c r="Q75" s="95">
        <v>212</v>
      </c>
    </row>
    <row r="76" spans="1:17" ht="13.5" thickBot="1" x14ac:dyDescent="0.25">
      <c r="A76" s="216"/>
      <c r="B76" s="97" t="s">
        <v>219</v>
      </c>
      <c r="C76" s="85" t="s">
        <v>221</v>
      </c>
      <c r="D76" s="85" t="s">
        <v>219</v>
      </c>
      <c r="E76" s="85" t="s">
        <v>221</v>
      </c>
      <c r="F76" s="85" t="s">
        <v>219</v>
      </c>
      <c r="G76" s="84" t="s">
        <v>221</v>
      </c>
      <c r="H76" s="218"/>
    </row>
    <row r="77" spans="1:17" x14ac:dyDescent="0.2">
      <c r="A77" s="90" t="s">
        <v>243</v>
      </c>
      <c r="B77" s="91">
        <v>726</v>
      </c>
      <c r="C77" s="91">
        <v>661</v>
      </c>
      <c r="D77" s="91">
        <v>1496</v>
      </c>
      <c r="E77" s="91">
        <v>1511</v>
      </c>
      <c r="F77" s="91">
        <v>1406</v>
      </c>
      <c r="G77" s="91">
        <v>1415</v>
      </c>
      <c r="H77" s="92">
        <v>41</v>
      </c>
      <c r="J77" s="98" t="s">
        <v>203</v>
      </c>
      <c r="K77" s="96" t="s">
        <v>7</v>
      </c>
      <c r="L77" s="89" t="s">
        <v>7</v>
      </c>
      <c r="M77" s="89" t="s">
        <v>8</v>
      </c>
      <c r="N77" s="89" t="s">
        <v>8</v>
      </c>
      <c r="O77" s="89" t="s">
        <v>222</v>
      </c>
      <c r="P77" s="89" t="s">
        <v>222</v>
      </c>
      <c r="Q77" s="100" t="s">
        <v>315</v>
      </c>
    </row>
    <row r="78" spans="1:17" ht="13.5" thickBot="1" x14ac:dyDescent="0.25">
      <c r="A78" s="90" t="s">
        <v>244</v>
      </c>
      <c r="B78" s="91">
        <v>629</v>
      </c>
      <c r="C78" s="91">
        <v>569</v>
      </c>
      <c r="D78" s="91">
        <v>1346</v>
      </c>
      <c r="E78" s="91">
        <v>1375</v>
      </c>
      <c r="F78" s="91">
        <v>1135</v>
      </c>
      <c r="G78" s="91">
        <v>1129</v>
      </c>
      <c r="H78" s="92">
        <v>37</v>
      </c>
      <c r="J78" s="99"/>
      <c r="K78" s="97" t="s">
        <v>219</v>
      </c>
      <c r="L78" s="85" t="s">
        <v>221</v>
      </c>
      <c r="M78" s="85" t="s">
        <v>219</v>
      </c>
      <c r="N78" s="85" t="s">
        <v>221</v>
      </c>
      <c r="O78" s="85" t="s">
        <v>219</v>
      </c>
      <c r="P78" s="84" t="s">
        <v>221</v>
      </c>
      <c r="Q78" s="101"/>
    </row>
    <row r="79" spans="1:17" x14ac:dyDescent="0.2">
      <c r="A79" s="90" t="s">
        <v>245</v>
      </c>
      <c r="B79" s="91">
        <v>231</v>
      </c>
      <c r="C79" s="91">
        <v>176</v>
      </c>
      <c r="D79" s="91">
        <v>280</v>
      </c>
      <c r="E79" s="91">
        <v>281</v>
      </c>
      <c r="F79" s="91">
        <v>285</v>
      </c>
      <c r="G79" s="91">
        <v>251</v>
      </c>
      <c r="H79" s="92">
        <v>88</v>
      </c>
      <c r="J79" s="90" t="s">
        <v>252</v>
      </c>
      <c r="K79" s="91">
        <v>242</v>
      </c>
      <c r="L79" s="91">
        <v>229</v>
      </c>
      <c r="M79" s="91">
        <v>301</v>
      </c>
      <c r="N79" s="91">
        <v>305</v>
      </c>
      <c r="O79" s="91">
        <v>259</v>
      </c>
      <c r="P79" s="91">
        <v>253</v>
      </c>
      <c r="Q79" s="92">
        <v>15</v>
      </c>
    </row>
    <row r="80" spans="1:17" x14ac:dyDescent="0.2">
      <c r="A80" s="90" t="s">
        <v>246</v>
      </c>
      <c r="B80" s="91">
        <v>229</v>
      </c>
      <c r="C80" s="91">
        <v>157</v>
      </c>
      <c r="D80" s="91">
        <v>220</v>
      </c>
      <c r="E80" s="91">
        <v>222</v>
      </c>
      <c r="F80" s="91">
        <v>221</v>
      </c>
      <c r="G80" s="91">
        <v>226</v>
      </c>
      <c r="H80" s="92">
        <v>65</v>
      </c>
      <c r="J80" s="90" t="s">
        <v>253</v>
      </c>
      <c r="K80" s="91">
        <v>167</v>
      </c>
      <c r="L80" s="91">
        <v>155</v>
      </c>
      <c r="M80" s="91">
        <v>282</v>
      </c>
      <c r="N80" s="91">
        <v>282</v>
      </c>
      <c r="O80" s="91">
        <v>229</v>
      </c>
      <c r="P80" s="91">
        <v>236</v>
      </c>
      <c r="Q80" s="92">
        <v>5</v>
      </c>
    </row>
    <row r="81" spans="1:17" x14ac:dyDescent="0.2">
      <c r="A81" s="90" t="s">
        <v>247</v>
      </c>
      <c r="B81" s="91">
        <v>186</v>
      </c>
      <c r="C81" s="91">
        <v>162</v>
      </c>
      <c r="D81" s="91">
        <v>209</v>
      </c>
      <c r="E81" s="91">
        <v>213</v>
      </c>
      <c r="F81" s="91">
        <v>140</v>
      </c>
      <c r="G81" s="91">
        <v>147</v>
      </c>
      <c r="H81" s="92">
        <v>13</v>
      </c>
      <c r="J81" s="90" t="s">
        <v>254</v>
      </c>
      <c r="K81" s="91">
        <v>120</v>
      </c>
      <c r="L81" s="91">
        <v>109</v>
      </c>
      <c r="M81" s="91">
        <v>128</v>
      </c>
      <c r="N81" s="91">
        <v>135</v>
      </c>
      <c r="O81" s="91">
        <v>117</v>
      </c>
      <c r="P81" s="91">
        <v>115</v>
      </c>
      <c r="Q81" s="92">
        <v>6</v>
      </c>
    </row>
    <row r="82" spans="1:17" ht="13.5" thickBot="1" x14ac:dyDescent="0.25">
      <c r="A82" s="93" t="s">
        <v>38</v>
      </c>
      <c r="B82" s="94">
        <v>2001</v>
      </c>
      <c r="C82" s="94">
        <v>1725</v>
      </c>
      <c r="D82" s="94">
        <v>3551</v>
      </c>
      <c r="E82" s="94">
        <v>3602</v>
      </c>
      <c r="F82" s="94">
        <v>3187</v>
      </c>
      <c r="G82" s="94">
        <v>3168</v>
      </c>
      <c r="H82" s="95">
        <v>244</v>
      </c>
      <c r="J82" s="90" t="s">
        <v>255</v>
      </c>
      <c r="K82" s="91">
        <v>68</v>
      </c>
      <c r="L82" s="91">
        <v>67</v>
      </c>
      <c r="M82" s="91">
        <v>123</v>
      </c>
      <c r="N82" s="91">
        <v>122</v>
      </c>
      <c r="O82" s="91">
        <v>78</v>
      </c>
      <c r="P82" s="91">
        <v>80</v>
      </c>
      <c r="Q82" s="92">
        <v>0</v>
      </c>
    </row>
    <row r="83" spans="1:17" ht="13.5" thickBot="1" x14ac:dyDescent="0.25">
      <c r="J83" s="90" t="s">
        <v>256</v>
      </c>
      <c r="K83" s="91">
        <v>38</v>
      </c>
      <c r="L83" s="91">
        <v>35</v>
      </c>
      <c r="M83" s="91">
        <v>19</v>
      </c>
      <c r="N83" s="91">
        <v>20</v>
      </c>
      <c r="O83" s="91">
        <v>45</v>
      </c>
      <c r="P83" s="91">
        <v>46</v>
      </c>
      <c r="Q83" s="92">
        <v>1</v>
      </c>
    </row>
    <row r="84" spans="1:17" x14ac:dyDescent="0.2">
      <c r="A84" s="215" t="s">
        <v>202</v>
      </c>
      <c r="B84" s="96" t="s">
        <v>7</v>
      </c>
      <c r="C84" s="89" t="s">
        <v>7</v>
      </c>
      <c r="D84" s="89" t="s">
        <v>8</v>
      </c>
      <c r="E84" s="89" t="s">
        <v>8</v>
      </c>
      <c r="F84" s="89" t="s">
        <v>222</v>
      </c>
      <c r="G84" s="89" t="s">
        <v>222</v>
      </c>
      <c r="H84" s="217" t="s">
        <v>315</v>
      </c>
      <c r="J84" s="90" t="s">
        <v>257</v>
      </c>
      <c r="K84" s="91">
        <v>21</v>
      </c>
      <c r="L84" s="91">
        <v>19</v>
      </c>
      <c r="M84" s="91">
        <v>24</v>
      </c>
      <c r="N84" s="91">
        <v>25</v>
      </c>
      <c r="O84" s="91">
        <v>32</v>
      </c>
      <c r="P84" s="91">
        <v>32</v>
      </c>
      <c r="Q84" s="92">
        <v>1</v>
      </c>
    </row>
    <row r="85" spans="1:17" ht="13.5" thickBot="1" x14ac:dyDescent="0.25">
      <c r="A85" s="216"/>
      <c r="B85" s="97" t="s">
        <v>219</v>
      </c>
      <c r="C85" s="85" t="s">
        <v>221</v>
      </c>
      <c r="D85" s="85" t="s">
        <v>219</v>
      </c>
      <c r="E85" s="85" t="s">
        <v>221</v>
      </c>
      <c r="F85" s="85" t="s">
        <v>219</v>
      </c>
      <c r="G85" s="84" t="s">
        <v>221</v>
      </c>
      <c r="H85" s="218"/>
      <c r="J85" s="90" t="s">
        <v>245</v>
      </c>
      <c r="K85" s="91">
        <v>13</v>
      </c>
      <c r="L85" s="91">
        <v>10</v>
      </c>
      <c r="M85" s="91">
        <v>15</v>
      </c>
      <c r="N85" s="91">
        <v>13</v>
      </c>
      <c r="O85" s="91">
        <v>9</v>
      </c>
      <c r="P85" s="91">
        <v>12</v>
      </c>
      <c r="Q85" s="92">
        <v>2</v>
      </c>
    </row>
    <row r="86" spans="1:17" x14ac:dyDescent="0.2">
      <c r="A86" s="90" t="s">
        <v>248</v>
      </c>
      <c r="B86" s="91">
        <v>954</v>
      </c>
      <c r="C86" s="91">
        <v>766</v>
      </c>
      <c r="D86" s="91">
        <v>1048</v>
      </c>
      <c r="E86" s="91">
        <v>999</v>
      </c>
      <c r="F86" s="91">
        <v>980</v>
      </c>
      <c r="G86" s="91">
        <v>1007</v>
      </c>
      <c r="H86" s="92">
        <v>210</v>
      </c>
      <c r="J86" s="90" t="s">
        <v>258</v>
      </c>
      <c r="K86" s="91">
        <v>5</v>
      </c>
      <c r="L86" s="91">
        <v>5</v>
      </c>
      <c r="M86" s="91">
        <v>6</v>
      </c>
      <c r="N86" s="91">
        <v>6</v>
      </c>
      <c r="O86" s="91">
        <v>2</v>
      </c>
      <c r="P86" s="91">
        <v>2</v>
      </c>
      <c r="Q86" s="92">
        <v>0</v>
      </c>
    </row>
    <row r="87" spans="1:17" x14ac:dyDescent="0.2">
      <c r="A87" s="90" t="s">
        <v>249</v>
      </c>
      <c r="B87" s="91">
        <v>123</v>
      </c>
      <c r="C87" s="91">
        <v>109</v>
      </c>
      <c r="D87" s="91">
        <v>139</v>
      </c>
      <c r="E87" s="91">
        <v>130</v>
      </c>
      <c r="F87" s="91">
        <v>131</v>
      </c>
      <c r="G87" s="91">
        <v>139</v>
      </c>
      <c r="H87" s="92">
        <v>15</v>
      </c>
      <c r="J87" s="90" t="s">
        <v>259</v>
      </c>
      <c r="K87" s="91">
        <v>5</v>
      </c>
      <c r="L87" s="91">
        <v>5</v>
      </c>
      <c r="M87" s="91">
        <v>2</v>
      </c>
      <c r="N87" s="91">
        <v>2</v>
      </c>
      <c r="O87" s="91">
        <v>1</v>
      </c>
      <c r="P87" s="91">
        <v>1</v>
      </c>
      <c r="Q87" s="92">
        <v>0</v>
      </c>
    </row>
    <row r="88" spans="1:17" x14ac:dyDescent="0.2">
      <c r="A88" s="90" t="s">
        <v>250</v>
      </c>
      <c r="B88" s="91">
        <v>128</v>
      </c>
      <c r="C88" s="91">
        <v>105</v>
      </c>
      <c r="D88" s="91">
        <v>103</v>
      </c>
      <c r="E88" s="91">
        <v>113</v>
      </c>
      <c r="F88" s="91">
        <v>95</v>
      </c>
      <c r="G88" s="91">
        <v>89</v>
      </c>
      <c r="H88" s="92">
        <v>19</v>
      </c>
      <c r="J88" s="90" t="s">
        <v>260</v>
      </c>
      <c r="K88" s="91"/>
      <c r="L88" s="91"/>
      <c r="M88" s="91">
        <v>4</v>
      </c>
      <c r="N88" s="91">
        <v>4</v>
      </c>
      <c r="O88" s="91">
        <v>1</v>
      </c>
      <c r="P88" s="91">
        <v>1</v>
      </c>
      <c r="Q88" s="92">
        <v>0</v>
      </c>
    </row>
    <row r="89" spans="1:17" x14ac:dyDescent="0.2">
      <c r="A89" s="90" t="s">
        <v>202</v>
      </c>
      <c r="B89" s="91">
        <v>2</v>
      </c>
      <c r="C89" s="91">
        <v>2</v>
      </c>
      <c r="D89" s="91"/>
      <c r="E89" s="91"/>
      <c r="F89" s="91">
        <v>10</v>
      </c>
      <c r="G89" s="91">
        <v>10</v>
      </c>
      <c r="H89" s="92">
        <v>0</v>
      </c>
      <c r="J89" s="90" t="s">
        <v>261</v>
      </c>
      <c r="K89" s="91"/>
      <c r="L89" s="91"/>
      <c r="M89" s="91">
        <v>4</v>
      </c>
      <c r="N89" s="91">
        <v>4</v>
      </c>
      <c r="O89" s="91">
        <v>1</v>
      </c>
      <c r="P89" s="91">
        <v>1</v>
      </c>
      <c r="Q89" s="92">
        <v>0</v>
      </c>
    </row>
    <row r="90" spans="1:17" x14ac:dyDescent="0.2">
      <c r="A90" s="90" t="s">
        <v>251</v>
      </c>
      <c r="B90" s="91">
        <v>4</v>
      </c>
      <c r="C90" s="91">
        <v>4</v>
      </c>
      <c r="D90" s="91">
        <v>1</v>
      </c>
      <c r="E90" s="91">
        <v>1</v>
      </c>
      <c r="F90" s="91">
        <v>2</v>
      </c>
      <c r="G90" s="91">
        <v>2</v>
      </c>
      <c r="H90" s="92">
        <v>0</v>
      </c>
      <c r="J90" s="90" t="s">
        <v>262</v>
      </c>
      <c r="K90" s="91">
        <v>1</v>
      </c>
      <c r="L90" s="91">
        <v>1</v>
      </c>
      <c r="M90" s="91">
        <v>2</v>
      </c>
      <c r="N90" s="91">
        <v>2</v>
      </c>
      <c r="O90" s="91">
        <v>1</v>
      </c>
      <c r="P90" s="91">
        <v>1</v>
      </c>
      <c r="Q90" s="92">
        <v>0</v>
      </c>
    </row>
    <row r="91" spans="1:17" ht="13.5" thickBot="1" x14ac:dyDescent="0.25">
      <c r="A91" s="93" t="s">
        <v>38</v>
      </c>
      <c r="B91" s="94">
        <v>1211</v>
      </c>
      <c r="C91" s="94">
        <v>986</v>
      </c>
      <c r="D91" s="94">
        <v>1291</v>
      </c>
      <c r="E91" s="94">
        <v>1243</v>
      </c>
      <c r="F91" s="94">
        <v>1218</v>
      </c>
      <c r="G91" s="94">
        <v>1247</v>
      </c>
      <c r="H91" s="95">
        <v>244</v>
      </c>
      <c r="J91" s="90" t="s">
        <v>263</v>
      </c>
      <c r="K91" s="91"/>
      <c r="L91" s="91"/>
      <c r="M91" s="91">
        <v>2</v>
      </c>
      <c r="N91" s="91">
        <v>2</v>
      </c>
      <c r="O91" s="91"/>
      <c r="P91" s="91"/>
      <c r="Q91" s="92">
        <v>0</v>
      </c>
    </row>
    <row r="92" spans="1:17" ht="13.5" thickBot="1" x14ac:dyDescent="0.25">
      <c r="J92" s="90" t="s">
        <v>264</v>
      </c>
      <c r="K92" s="91">
        <v>1</v>
      </c>
      <c r="L92" s="91">
        <v>1</v>
      </c>
      <c r="M92" s="91"/>
      <c r="N92" s="91"/>
      <c r="O92" s="91"/>
      <c r="P92" s="91"/>
      <c r="Q92" s="92">
        <v>0</v>
      </c>
    </row>
    <row r="93" spans="1:17" ht="13.5" thickBot="1" x14ac:dyDescent="0.25">
      <c r="A93" s="215" t="s">
        <v>204</v>
      </c>
      <c r="B93" s="96" t="s">
        <v>7</v>
      </c>
      <c r="C93" s="89" t="s">
        <v>7</v>
      </c>
      <c r="D93" s="89" t="s">
        <v>8</v>
      </c>
      <c r="E93" s="89" t="s">
        <v>8</v>
      </c>
      <c r="F93" s="89" t="s">
        <v>222</v>
      </c>
      <c r="G93" s="89" t="s">
        <v>222</v>
      </c>
      <c r="H93" s="217" t="s">
        <v>315</v>
      </c>
      <c r="J93" s="93" t="s">
        <v>38</v>
      </c>
      <c r="K93" s="94">
        <v>681</v>
      </c>
      <c r="L93" s="94">
        <v>636</v>
      </c>
      <c r="M93" s="94">
        <v>912</v>
      </c>
      <c r="N93" s="94">
        <v>922</v>
      </c>
      <c r="O93" s="94">
        <v>775</v>
      </c>
      <c r="P93" s="94">
        <v>780</v>
      </c>
      <c r="Q93" s="95">
        <v>30</v>
      </c>
    </row>
    <row r="94" spans="1:17" ht="13.5" thickBot="1" x14ac:dyDescent="0.25">
      <c r="A94" s="216"/>
      <c r="B94" s="97" t="s">
        <v>219</v>
      </c>
      <c r="C94" s="85" t="s">
        <v>221</v>
      </c>
      <c r="D94" s="85" t="s">
        <v>219</v>
      </c>
      <c r="E94" s="85" t="s">
        <v>221</v>
      </c>
      <c r="F94" s="85" t="s">
        <v>219</v>
      </c>
      <c r="G94" s="84" t="s">
        <v>221</v>
      </c>
      <c r="H94" s="218"/>
    </row>
    <row r="95" spans="1:17" x14ac:dyDescent="0.2">
      <c r="A95" s="90" t="s">
        <v>265</v>
      </c>
      <c r="B95" s="91">
        <v>128</v>
      </c>
      <c r="C95" s="91">
        <v>104</v>
      </c>
      <c r="D95" s="91">
        <v>202</v>
      </c>
      <c r="E95" s="91">
        <v>204</v>
      </c>
      <c r="F95" s="91">
        <v>229</v>
      </c>
      <c r="G95" s="91">
        <v>223</v>
      </c>
      <c r="H95" s="92">
        <v>28</v>
      </c>
      <c r="J95" s="98" t="s">
        <v>206</v>
      </c>
      <c r="K95" s="96" t="s">
        <v>7</v>
      </c>
      <c r="L95" s="89" t="s">
        <v>7</v>
      </c>
      <c r="M95" s="89" t="s">
        <v>8</v>
      </c>
      <c r="N95" s="89" t="s">
        <v>8</v>
      </c>
      <c r="O95" s="89" t="s">
        <v>222</v>
      </c>
      <c r="P95" s="89" t="s">
        <v>222</v>
      </c>
      <c r="Q95" s="100" t="s">
        <v>315</v>
      </c>
    </row>
    <row r="96" spans="1:17" ht="13.5" thickBot="1" x14ac:dyDescent="0.25">
      <c r="A96" s="90" t="s">
        <v>266</v>
      </c>
      <c r="B96" s="91">
        <v>102</v>
      </c>
      <c r="C96" s="91">
        <v>91</v>
      </c>
      <c r="D96" s="91">
        <v>84</v>
      </c>
      <c r="E96" s="91">
        <v>87</v>
      </c>
      <c r="F96" s="91">
        <v>89</v>
      </c>
      <c r="G96" s="91">
        <v>89</v>
      </c>
      <c r="H96" s="92">
        <v>8</v>
      </c>
      <c r="J96" s="99"/>
      <c r="K96" s="97" t="s">
        <v>219</v>
      </c>
      <c r="L96" s="85" t="s">
        <v>221</v>
      </c>
      <c r="M96" s="85" t="s">
        <v>219</v>
      </c>
      <c r="N96" s="85" t="s">
        <v>221</v>
      </c>
      <c r="O96" s="85" t="s">
        <v>219</v>
      </c>
      <c r="P96" s="84" t="s">
        <v>221</v>
      </c>
      <c r="Q96" s="101"/>
    </row>
    <row r="97" spans="1:17" x14ac:dyDescent="0.2">
      <c r="A97" s="90" t="s">
        <v>267</v>
      </c>
      <c r="B97" s="91">
        <v>71</v>
      </c>
      <c r="C97" s="91">
        <v>60</v>
      </c>
      <c r="D97" s="91">
        <v>61</v>
      </c>
      <c r="E97" s="91">
        <v>69</v>
      </c>
      <c r="F97" s="91">
        <v>36</v>
      </c>
      <c r="G97" s="91">
        <v>30</v>
      </c>
      <c r="H97" s="92">
        <v>9</v>
      </c>
      <c r="J97" s="90" t="s">
        <v>284</v>
      </c>
      <c r="K97" s="91">
        <v>134</v>
      </c>
      <c r="L97" s="91">
        <v>118</v>
      </c>
      <c r="M97" s="91">
        <v>240</v>
      </c>
      <c r="N97" s="91">
        <v>239</v>
      </c>
      <c r="O97" s="91">
        <v>125</v>
      </c>
      <c r="P97" s="91">
        <v>134</v>
      </c>
      <c r="Q97" s="92">
        <v>8</v>
      </c>
    </row>
    <row r="98" spans="1:17" x14ac:dyDescent="0.2">
      <c r="A98" s="90" t="s">
        <v>268</v>
      </c>
      <c r="B98" s="91">
        <v>48</v>
      </c>
      <c r="C98" s="91">
        <v>40</v>
      </c>
      <c r="D98" s="91">
        <v>57</v>
      </c>
      <c r="E98" s="91">
        <v>61</v>
      </c>
      <c r="F98" s="91">
        <v>34</v>
      </c>
      <c r="G98" s="91">
        <v>36</v>
      </c>
      <c r="H98" s="92">
        <v>2</v>
      </c>
      <c r="J98" s="90" t="s">
        <v>285</v>
      </c>
      <c r="K98" s="91">
        <v>107</v>
      </c>
      <c r="L98" s="91">
        <v>101</v>
      </c>
      <c r="M98" s="91">
        <v>149</v>
      </c>
      <c r="N98" s="91">
        <v>146</v>
      </c>
      <c r="O98" s="91">
        <v>100</v>
      </c>
      <c r="P98" s="91">
        <v>100</v>
      </c>
      <c r="Q98" s="92">
        <v>9</v>
      </c>
    </row>
    <row r="99" spans="1:17" x14ac:dyDescent="0.2">
      <c r="A99" s="90" t="s">
        <v>269</v>
      </c>
      <c r="B99" s="91">
        <v>22</v>
      </c>
      <c r="C99" s="91">
        <v>19</v>
      </c>
      <c r="D99" s="91">
        <v>19</v>
      </c>
      <c r="E99" s="91">
        <v>16</v>
      </c>
      <c r="F99" s="91">
        <v>20</v>
      </c>
      <c r="G99" s="91">
        <v>23</v>
      </c>
      <c r="H99" s="92">
        <v>3</v>
      </c>
      <c r="J99" s="90" t="s">
        <v>286</v>
      </c>
      <c r="K99" s="91">
        <v>68</v>
      </c>
      <c r="L99" s="91">
        <v>62</v>
      </c>
      <c r="M99" s="91">
        <v>43</v>
      </c>
      <c r="N99" s="91">
        <v>44</v>
      </c>
      <c r="O99" s="91">
        <v>50</v>
      </c>
      <c r="P99" s="91">
        <v>50</v>
      </c>
      <c r="Q99" s="92">
        <v>5</v>
      </c>
    </row>
    <row r="100" spans="1:17" x14ac:dyDescent="0.2">
      <c r="A100" s="90" t="s">
        <v>270</v>
      </c>
      <c r="B100" s="91">
        <v>12</v>
      </c>
      <c r="C100" s="91">
        <v>12</v>
      </c>
      <c r="D100" s="91">
        <v>12</v>
      </c>
      <c r="E100" s="91">
        <v>12</v>
      </c>
      <c r="F100" s="91">
        <v>7</v>
      </c>
      <c r="G100" s="91">
        <v>7</v>
      </c>
      <c r="H100" s="92">
        <v>0</v>
      </c>
      <c r="J100" s="90" t="s">
        <v>287</v>
      </c>
      <c r="K100" s="91">
        <v>18</v>
      </c>
      <c r="L100" s="91">
        <v>16</v>
      </c>
      <c r="M100" s="91">
        <v>29</v>
      </c>
      <c r="N100" s="91">
        <v>27</v>
      </c>
      <c r="O100" s="91">
        <v>33</v>
      </c>
      <c r="P100" s="91">
        <v>36</v>
      </c>
      <c r="Q100" s="92">
        <v>1</v>
      </c>
    </row>
    <row r="101" spans="1:17" x14ac:dyDescent="0.2">
      <c r="A101" s="90" t="s">
        <v>204</v>
      </c>
      <c r="B101" s="91">
        <v>10</v>
      </c>
      <c r="C101" s="91">
        <v>10</v>
      </c>
      <c r="D101" s="91">
        <v>1</v>
      </c>
      <c r="E101" s="91"/>
      <c r="F101" s="91">
        <v>13</v>
      </c>
      <c r="G101" s="91">
        <v>14</v>
      </c>
      <c r="H101" s="92"/>
      <c r="J101" s="90" t="s">
        <v>288</v>
      </c>
      <c r="K101" s="91">
        <v>22</v>
      </c>
      <c r="L101" s="91">
        <v>18</v>
      </c>
      <c r="M101" s="91">
        <v>18</v>
      </c>
      <c r="N101" s="91">
        <v>19</v>
      </c>
      <c r="O101" s="91">
        <v>23</v>
      </c>
      <c r="P101" s="91">
        <v>26</v>
      </c>
      <c r="Q101" s="92">
        <v>0</v>
      </c>
    </row>
    <row r="102" spans="1:17" x14ac:dyDescent="0.2">
      <c r="A102" s="90" t="s">
        <v>271</v>
      </c>
      <c r="B102" s="91">
        <v>10</v>
      </c>
      <c r="C102" s="91">
        <v>7</v>
      </c>
      <c r="D102" s="91">
        <v>5</v>
      </c>
      <c r="E102" s="91">
        <v>8</v>
      </c>
      <c r="F102" s="91">
        <v>8</v>
      </c>
      <c r="G102" s="91">
        <v>8</v>
      </c>
      <c r="H102" s="92"/>
      <c r="J102" s="90" t="s">
        <v>206</v>
      </c>
      <c r="K102" s="91">
        <v>25</v>
      </c>
      <c r="L102" s="91">
        <v>25</v>
      </c>
      <c r="M102" s="91">
        <v>2</v>
      </c>
      <c r="N102" s="91">
        <v>2</v>
      </c>
      <c r="O102" s="91">
        <v>11</v>
      </c>
      <c r="P102" s="91">
        <v>11</v>
      </c>
      <c r="Q102" s="92">
        <v>0</v>
      </c>
    </row>
    <row r="103" spans="1:17" ht="13.5" thickBot="1" x14ac:dyDescent="0.25">
      <c r="A103" s="90" t="s">
        <v>272</v>
      </c>
      <c r="B103" s="91">
        <v>4</v>
      </c>
      <c r="C103" s="91">
        <v>4</v>
      </c>
      <c r="D103" s="91"/>
      <c r="E103" s="91"/>
      <c r="F103" s="91">
        <v>4</v>
      </c>
      <c r="G103" s="91">
        <v>4</v>
      </c>
      <c r="H103" s="92"/>
      <c r="J103" s="93" t="s">
        <v>38</v>
      </c>
      <c r="K103" s="94">
        <v>374</v>
      </c>
      <c r="L103" s="94">
        <v>340</v>
      </c>
      <c r="M103" s="94">
        <v>481</v>
      </c>
      <c r="N103" s="94">
        <v>477</v>
      </c>
      <c r="O103" s="94">
        <v>342</v>
      </c>
      <c r="P103" s="94">
        <v>357</v>
      </c>
      <c r="Q103" s="95">
        <v>23</v>
      </c>
    </row>
    <row r="104" spans="1:17" ht="13.5" thickBot="1" x14ac:dyDescent="0.25">
      <c r="A104" s="90" t="s">
        <v>273</v>
      </c>
      <c r="B104" s="91">
        <v>2</v>
      </c>
      <c r="C104" s="91">
        <v>2</v>
      </c>
      <c r="D104" s="91"/>
      <c r="E104" s="91"/>
      <c r="F104" s="91">
        <v>1</v>
      </c>
      <c r="G104" s="91">
        <v>1</v>
      </c>
      <c r="H104" s="92"/>
    </row>
    <row r="105" spans="1:17" x14ac:dyDescent="0.2">
      <c r="A105" s="90" t="s">
        <v>274</v>
      </c>
      <c r="B105" s="91">
        <v>2</v>
      </c>
      <c r="C105" s="91">
        <v>2</v>
      </c>
      <c r="D105" s="91"/>
      <c r="E105" s="91"/>
      <c r="F105" s="91"/>
      <c r="G105" s="91"/>
      <c r="H105" s="92"/>
      <c r="J105" s="98" t="s">
        <v>207</v>
      </c>
      <c r="K105" s="96" t="s">
        <v>7</v>
      </c>
      <c r="L105" s="89" t="s">
        <v>7</v>
      </c>
      <c r="M105" s="89" t="s">
        <v>8</v>
      </c>
      <c r="N105" s="89" t="s">
        <v>8</v>
      </c>
      <c r="O105" s="89" t="s">
        <v>222</v>
      </c>
      <c r="P105" s="89" t="s">
        <v>222</v>
      </c>
      <c r="Q105" s="100" t="s">
        <v>315</v>
      </c>
    </row>
    <row r="106" spans="1:17" ht="13.5" thickBot="1" x14ac:dyDescent="0.25">
      <c r="A106" s="90" t="s">
        <v>275</v>
      </c>
      <c r="B106" s="91"/>
      <c r="C106" s="91"/>
      <c r="D106" s="91">
        <v>1</v>
      </c>
      <c r="E106" s="91">
        <v>1</v>
      </c>
      <c r="F106" s="91"/>
      <c r="G106" s="91"/>
      <c r="H106" s="92"/>
      <c r="J106" s="99"/>
      <c r="K106" s="97" t="s">
        <v>219</v>
      </c>
      <c r="L106" s="85" t="s">
        <v>221</v>
      </c>
      <c r="M106" s="85" t="s">
        <v>219</v>
      </c>
      <c r="N106" s="85" t="s">
        <v>221</v>
      </c>
      <c r="O106" s="85" t="s">
        <v>219</v>
      </c>
      <c r="P106" s="84" t="s">
        <v>221</v>
      </c>
      <c r="Q106" s="101"/>
    </row>
    <row r="107" spans="1:17" x14ac:dyDescent="0.2">
      <c r="A107" s="90" t="s">
        <v>276</v>
      </c>
      <c r="B107" s="91"/>
      <c r="C107" s="91"/>
      <c r="D107" s="91">
        <v>1</v>
      </c>
      <c r="E107" s="91">
        <v>1</v>
      </c>
      <c r="F107" s="91"/>
      <c r="G107" s="91"/>
      <c r="H107" s="92"/>
      <c r="J107" s="90" t="s">
        <v>289</v>
      </c>
      <c r="K107" s="91">
        <v>73</v>
      </c>
      <c r="L107" s="91">
        <v>62</v>
      </c>
      <c r="M107" s="91">
        <v>64</v>
      </c>
      <c r="N107" s="91">
        <v>70</v>
      </c>
      <c r="O107" s="91">
        <v>52</v>
      </c>
      <c r="P107" s="91">
        <v>53</v>
      </c>
      <c r="Q107" s="92">
        <v>4</v>
      </c>
    </row>
    <row r="108" spans="1:17" x14ac:dyDescent="0.2">
      <c r="A108" s="90" t="s">
        <v>277</v>
      </c>
      <c r="B108" s="91">
        <v>1</v>
      </c>
      <c r="C108" s="91">
        <v>1</v>
      </c>
      <c r="D108" s="91"/>
      <c r="E108" s="91"/>
      <c r="F108" s="91"/>
      <c r="G108" s="91"/>
      <c r="H108" s="92"/>
      <c r="J108" s="90" t="s">
        <v>290</v>
      </c>
      <c r="K108" s="91">
        <v>39</v>
      </c>
      <c r="L108" s="91">
        <v>34</v>
      </c>
      <c r="M108" s="91">
        <v>33</v>
      </c>
      <c r="N108" s="91">
        <v>34</v>
      </c>
      <c r="O108" s="91">
        <v>32</v>
      </c>
      <c r="P108" s="91">
        <v>36</v>
      </c>
      <c r="Q108" s="92"/>
    </row>
    <row r="109" spans="1:17" ht="13.5" thickBot="1" x14ac:dyDescent="0.25">
      <c r="A109" s="93" t="s">
        <v>38</v>
      </c>
      <c r="B109" s="94">
        <v>412</v>
      </c>
      <c r="C109" s="94">
        <v>352</v>
      </c>
      <c r="D109" s="94">
        <v>443</v>
      </c>
      <c r="E109" s="94">
        <v>459</v>
      </c>
      <c r="F109" s="94">
        <v>441</v>
      </c>
      <c r="G109" s="94">
        <v>435</v>
      </c>
      <c r="H109" s="95">
        <v>50</v>
      </c>
      <c r="J109" s="90" t="s">
        <v>291</v>
      </c>
      <c r="K109" s="91">
        <v>36</v>
      </c>
      <c r="L109" s="91">
        <v>33</v>
      </c>
      <c r="M109" s="91">
        <v>27</v>
      </c>
      <c r="N109" s="91">
        <v>24</v>
      </c>
      <c r="O109" s="91">
        <v>24</v>
      </c>
      <c r="P109" s="91">
        <v>28</v>
      </c>
      <c r="Q109" s="92">
        <v>2</v>
      </c>
    </row>
    <row r="110" spans="1:17" ht="13.5" thickBot="1" x14ac:dyDescent="0.25">
      <c r="J110" s="90" t="s">
        <v>292</v>
      </c>
      <c r="K110" s="91">
        <v>28</v>
      </c>
      <c r="L110" s="91">
        <v>24</v>
      </c>
      <c r="M110" s="91">
        <v>27</v>
      </c>
      <c r="N110" s="91">
        <v>24</v>
      </c>
      <c r="O110" s="91">
        <v>16</v>
      </c>
      <c r="P110" s="91">
        <v>20</v>
      </c>
      <c r="Q110" s="92">
        <v>3</v>
      </c>
    </row>
    <row r="111" spans="1:17" x14ac:dyDescent="0.2">
      <c r="A111" s="215" t="s">
        <v>205</v>
      </c>
      <c r="B111" s="96" t="s">
        <v>7</v>
      </c>
      <c r="C111" s="89" t="s">
        <v>7</v>
      </c>
      <c r="D111" s="89" t="s">
        <v>8</v>
      </c>
      <c r="E111" s="89" t="s">
        <v>8</v>
      </c>
      <c r="F111" s="89" t="s">
        <v>222</v>
      </c>
      <c r="G111" s="89" t="s">
        <v>222</v>
      </c>
      <c r="H111" s="217" t="s">
        <v>315</v>
      </c>
      <c r="J111" s="90" t="s">
        <v>293</v>
      </c>
      <c r="K111" s="91">
        <v>24</v>
      </c>
      <c r="L111" s="91">
        <v>22</v>
      </c>
      <c r="M111" s="91">
        <v>29</v>
      </c>
      <c r="N111" s="91">
        <v>27</v>
      </c>
      <c r="O111" s="91">
        <v>10</v>
      </c>
      <c r="P111" s="91">
        <v>14</v>
      </c>
      <c r="Q111" s="92"/>
    </row>
    <row r="112" spans="1:17" ht="13.5" thickBot="1" x14ac:dyDescent="0.25">
      <c r="A112" s="216"/>
      <c r="B112" s="97" t="s">
        <v>219</v>
      </c>
      <c r="C112" s="85" t="s">
        <v>221</v>
      </c>
      <c r="D112" s="85" t="s">
        <v>219</v>
      </c>
      <c r="E112" s="85" t="s">
        <v>221</v>
      </c>
      <c r="F112" s="85" t="s">
        <v>219</v>
      </c>
      <c r="G112" s="84" t="s">
        <v>221</v>
      </c>
      <c r="H112" s="218"/>
      <c r="J112" s="90" t="s">
        <v>294</v>
      </c>
      <c r="K112" s="91">
        <v>16</v>
      </c>
      <c r="L112" s="91">
        <v>16</v>
      </c>
      <c r="M112" s="91">
        <v>17</v>
      </c>
      <c r="N112" s="91">
        <v>16</v>
      </c>
      <c r="O112" s="91">
        <v>15</v>
      </c>
      <c r="P112" s="91">
        <v>15</v>
      </c>
      <c r="Q112" s="92">
        <v>1</v>
      </c>
    </row>
    <row r="113" spans="1:17" x14ac:dyDescent="0.2">
      <c r="A113" s="90" t="s">
        <v>278</v>
      </c>
      <c r="B113" s="91">
        <v>257</v>
      </c>
      <c r="C113" s="91">
        <v>241</v>
      </c>
      <c r="D113" s="91">
        <v>151</v>
      </c>
      <c r="E113" s="91">
        <v>157</v>
      </c>
      <c r="F113" s="91">
        <v>105</v>
      </c>
      <c r="G113" s="91">
        <v>106</v>
      </c>
      <c r="H113" s="92">
        <v>9</v>
      </c>
      <c r="J113" s="90" t="s">
        <v>207</v>
      </c>
      <c r="K113" s="91">
        <v>6</v>
      </c>
      <c r="L113" s="91">
        <v>5</v>
      </c>
      <c r="M113" s="91"/>
      <c r="N113" s="91">
        <v>1</v>
      </c>
      <c r="O113" s="91">
        <v>4</v>
      </c>
      <c r="P113" s="91">
        <v>4</v>
      </c>
      <c r="Q113" s="92"/>
    </row>
    <row r="114" spans="1:17" x14ac:dyDescent="0.2">
      <c r="A114" s="90" t="s">
        <v>279</v>
      </c>
      <c r="B114" s="91">
        <v>122</v>
      </c>
      <c r="C114" s="91">
        <v>106</v>
      </c>
      <c r="D114" s="91">
        <v>154</v>
      </c>
      <c r="E114" s="91">
        <v>146</v>
      </c>
      <c r="F114" s="91">
        <v>93</v>
      </c>
      <c r="G114" s="91">
        <v>109</v>
      </c>
      <c r="H114" s="92">
        <v>8</v>
      </c>
      <c r="J114" s="90" t="s">
        <v>295</v>
      </c>
      <c r="K114" s="91"/>
      <c r="L114" s="91"/>
      <c r="M114" s="91">
        <v>2</v>
      </c>
      <c r="N114" s="91">
        <v>2</v>
      </c>
      <c r="O114" s="91">
        <v>3</v>
      </c>
      <c r="P114" s="91">
        <v>3</v>
      </c>
      <c r="Q114" s="92"/>
    </row>
    <row r="115" spans="1:17" ht="13.5" thickBot="1" x14ac:dyDescent="0.25">
      <c r="A115" s="90" t="s">
        <v>280</v>
      </c>
      <c r="B115" s="91">
        <v>56</v>
      </c>
      <c r="C115" s="91">
        <v>47</v>
      </c>
      <c r="D115" s="91">
        <v>44</v>
      </c>
      <c r="E115" s="91">
        <v>51</v>
      </c>
      <c r="F115" s="91">
        <v>67</v>
      </c>
      <c r="G115" s="91">
        <v>63</v>
      </c>
      <c r="H115" s="92">
        <v>6</v>
      </c>
      <c r="J115" s="93" t="s">
        <v>38</v>
      </c>
      <c r="K115" s="94">
        <v>222</v>
      </c>
      <c r="L115" s="94">
        <v>196</v>
      </c>
      <c r="M115" s="94">
        <v>199</v>
      </c>
      <c r="N115" s="94">
        <v>198</v>
      </c>
      <c r="O115" s="94">
        <v>156</v>
      </c>
      <c r="P115" s="94">
        <v>173</v>
      </c>
      <c r="Q115" s="95">
        <v>10</v>
      </c>
    </row>
    <row r="116" spans="1:17" ht="13.5" thickBot="1" x14ac:dyDescent="0.25">
      <c r="A116" s="90" t="s">
        <v>281</v>
      </c>
      <c r="B116" s="91">
        <v>48</v>
      </c>
      <c r="C116" s="91">
        <v>29</v>
      </c>
      <c r="D116" s="91">
        <v>56</v>
      </c>
      <c r="E116" s="91">
        <v>57</v>
      </c>
      <c r="F116" s="91">
        <v>37</v>
      </c>
      <c r="G116" s="91">
        <v>40</v>
      </c>
      <c r="H116" s="92">
        <v>15</v>
      </c>
    </row>
    <row r="117" spans="1:17" x14ac:dyDescent="0.2">
      <c r="A117" s="90" t="s">
        <v>282</v>
      </c>
      <c r="B117" s="91">
        <v>26</v>
      </c>
      <c r="C117" s="91">
        <v>25</v>
      </c>
      <c r="D117" s="91">
        <v>24</v>
      </c>
      <c r="E117" s="91">
        <v>12</v>
      </c>
      <c r="F117" s="91">
        <v>11</v>
      </c>
      <c r="G117" s="91">
        <v>23</v>
      </c>
      <c r="H117" s="92">
        <v>1</v>
      </c>
      <c r="J117" s="98" t="s">
        <v>209</v>
      </c>
      <c r="K117" s="96" t="s">
        <v>7</v>
      </c>
      <c r="L117" s="89" t="s">
        <v>7</v>
      </c>
      <c r="M117" s="89" t="s">
        <v>8</v>
      </c>
      <c r="N117" s="89" t="s">
        <v>8</v>
      </c>
      <c r="O117" s="89" t="s">
        <v>222</v>
      </c>
      <c r="P117" s="89" t="s">
        <v>222</v>
      </c>
      <c r="Q117" s="100" t="s">
        <v>315</v>
      </c>
    </row>
    <row r="118" spans="1:17" ht="13.5" thickBot="1" x14ac:dyDescent="0.25">
      <c r="A118" s="90" t="s">
        <v>283</v>
      </c>
      <c r="B118" s="91">
        <v>3</v>
      </c>
      <c r="C118" s="91">
        <v>3</v>
      </c>
      <c r="D118" s="91">
        <v>6</v>
      </c>
      <c r="E118" s="91">
        <v>6</v>
      </c>
      <c r="F118" s="91">
        <v>1</v>
      </c>
      <c r="G118" s="91">
        <v>1</v>
      </c>
      <c r="H118" s="92">
        <v>0</v>
      </c>
      <c r="J118" s="99"/>
      <c r="K118" s="97" t="s">
        <v>219</v>
      </c>
      <c r="L118" s="85" t="s">
        <v>221</v>
      </c>
      <c r="M118" s="85" t="s">
        <v>219</v>
      </c>
      <c r="N118" s="85" t="s">
        <v>221</v>
      </c>
      <c r="O118" s="85" t="s">
        <v>219</v>
      </c>
      <c r="P118" s="84" t="s">
        <v>221</v>
      </c>
      <c r="Q118" s="101"/>
    </row>
    <row r="119" spans="1:17" x14ac:dyDescent="0.2">
      <c r="A119" s="90" t="s">
        <v>205</v>
      </c>
      <c r="B119" s="91">
        <v>3</v>
      </c>
      <c r="C119" s="91">
        <v>3</v>
      </c>
      <c r="D119" s="91">
        <v>1</v>
      </c>
      <c r="E119" s="91">
        <v>1</v>
      </c>
      <c r="F119" s="91"/>
      <c r="G119" s="91"/>
      <c r="H119" s="92">
        <v>0</v>
      </c>
      <c r="J119" s="90" t="s">
        <v>298</v>
      </c>
      <c r="K119" s="91">
        <v>37</v>
      </c>
      <c r="L119" s="91">
        <v>37</v>
      </c>
      <c r="M119" s="91">
        <v>32</v>
      </c>
      <c r="N119" s="91">
        <v>28</v>
      </c>
      <c r="O119" s="91">
        <v>20</v>
      </c>
      <c r="P119" s="91">
        <v>23</v>
      </c>
      <c r="Q119" s="92">
        <v>1</v>
      </c>
    </row>
    <row r="120" spans="1:17" ht="13.5" thickBot="1" x14ac:dyDescent="0.25">
      <c r="A120" s="93" t="s">
        <v>38</v>
      </c>
      <c r="B120" s="94">
        <v>515</v>
      </c>
      <c r="C120" s="94">
        <v>454</v>
      </c>
      <c r="D120" s="94">
        <v>436</v>
      </c>
      <c r="E120" s="94">
        <v>430</v>
      </c>
      <c r="F120" s="94">
        <v>314</v>
      </c>
      <c r="G120" s="94">
        <v>342</v>
      </c>
      <c r="H120" s="95">
        <v>39</v>
      </c>
      <c r="J120" s="90" t="s">
        <v>299</v>
      </c>
      <c r="K120" s="91">
        <v>18</v>
      </c>
      <c r="L120" s="91">
        <v>18</v>
      </c>
      <c r="M120" s="91">
        <v>18</v>
      </c>
      <c r="N120" s="91">
        <v>16</v>
      </c>
      <c r="O120" s="91">
        <v>20</v>
      </c>
      <c r="P120" s="91">
        <v>22</v>
      </c>
      <c r="Q120" s="92"/>
    </row>
    <row r="121" spans="1:17" ht="13.5" thickBot="1" x14ac:dyDescent="0.25">
      <c r="J121" s="90" t="s">
        <v>300</v>
      </c>
      <c r="K121" s="91">
        <v>7</v>
      </c>
      <c r="L121" s="91">
        <v>7</v>
      </c>
      <c r="M121" s="91">
        <v>10</v>
      </c>
      <c r="N121" s="91">
        <v>10</v>
      </c>
      <c r="O121" s="91">
        <v>6</v>
      </c>
      <c r="P121" s="91">
        <v>5</v>
      </c>
      <c r="Q121" s="92">
        <v>1</v>
      </c>
    </row>
    <row r="122" spans="1:17" x14ac:dyDescent="0.2">
      <c r="A122" s="215" t="s">
        <v>208</v>
      </c>
      <c r="B122" s="96" t="s">
        <v>7</v>
      </c>
      <c r="C122" s="89" t="s">
        <v>7</v>
      </c>
      <c r="D122" s="89" t="s">
        <v>8</v>
      </c>
      <c r="E122" s="89" t="s">
        <v>8</v>
      </c>
      <c r="F122" s="89" t="s">
        <v>222</v>
      </c>
      <c r="G122" s="89" t="s">
        <v>222</v>
      </c>
      <c r="H122" s="217" t="s">
        <v>315</v>
      </c>
      <c r="J122" s="90" t="s">
        <v>301</v>
      </c>
      <c r="K122" s="91">
        <v>8</v>
      </c>
      <c r="L122" s="91">
        <v>7</v>
      </c>
      <c r="M122" s="91">
        <v>3</v>
      </c>
      <c r="N122" s="91">
        <v>4</v>
      </c>
      <c r="O122" s="91">
        <v>4</v>
      </c>
      <c r="P122" s="91">
        <v>4</v>
      </c>
      <c r="Q122" s="92"/>
    </row>
    <row r="123" spans="1:17" ht="13.5" thickBot="1" x14ac:dyDescent="0.25">
      <c r="A123" s="216"/>
      <c r="B123" s="97" t="s">
        <v>219</v>
      </c>
      <c r="C123" s="85" t="s">
        <v>221</v>
      </c>
      <c r="D123" s="85" t="s">
        <v>219</v>
      </c>
      <c r="E123" s="85" t="s">
        <v>221</v>
      </c>
      <c r="F123" s="85" t="s">
        <v>219</v>
      </c>
      <c r="G123" s="84" t="s">
        <v>221</v>
      </c>
      <c r="H123" s="218"/>
      <c r="J123" s="93" t="s">
        <v>38</v>
      </c>
      <c r="K123" s="94">
        <v>70</v>
      </c>
      <c r="L123" s="94">
        <v>69</v>
      </c>
      <c r="M123" s="94">
        <v>63</v>
      </c>
      <c r="N123" s="94">
        <v>58</v>
      </c>
      <c r="O123" s="94">
        <v>50</v>
      </c>
      <c r="P123" s="94">
        <v>54</v>
      </c>
      <c r="Q123" s="95">
        <v>2</v>
      </c>
    </row>
    <row r="124" spans="1:17" ht="13.5" thickBot="1" x14ac:dyDescent="0.25">
      <c r="A124" s="90" t="s">
        <v>296</v>
      </c>
      <c r="B124" s="91">
        <v>142</v>
      </c>
      <c r="C124" s="91">
        <v>114</v>
      </c>
      <c r="D124" s="91">
        <v>147</v>
      </c>
      <c r="E124" s="91">
        <v>144</v>
      </c>
      <c r="F124" s="91">
        <v>106</v>
      </c>
      <c r="G124" s="91">
        <v>113</v>
      </c>
      <c r="H124" s="92">
        <v>24</v>
      </c>
    </row>
    <row r="125" spans="1:17" x14ac:dyDescent="0.2">
      <c r="A125" s="90" t="s">
        <v>297</v>
      </c>
      <c r="B125" s="91">
        <v>50</v>
      </c>
      <c r="C125" s="91">
        <v>46</v>
      </c>
      <c r="D125" s="91">
        <v>37</v>
      </c>
      <c r="E125" s="91">
        <v>36</v>
      </c>
      <c r="F125" s="91">
        <v>39</v>
      </c>
      <c r="G125" s="91">
        <v>39</v>
      </c>
      <c r="H125" s="92">
        <v>5</v>
      </c>
      <c r="J125" s="98" t="s">
        <v>211</v>
      </c>
      <c r="K125" s="96" t="s">
        <v>7</v>
      </c>
      <c r="L125" s="89" t="s">
        <v>7</v>
      </c>
      <c r="M125" s="89" t="s">
        <v>8</v>
      </c>
      <c r="N125" s="89" t="s">
        <v>8</v>
      </c>
      <c r="O125" s="89" t="s">
        <v>222</v>
      </c>
      <c r="P125" s="89" t="s">
        <v>222</v>
      </c>
      <c r="Q125" s="100" t="s">
        <v>315</v>
      </c>
    </row>
    <row r="126" spans="1:17" ht="13.5" thickBot="1" x14ac:dyDescent="0.25">
      <c r="A126" s="90" t="s">
        <v>208</v>
      </c>
      <c r="B126" s="91"/>
      <c r="C126" s="91"/>
      <c r="D126" s="91">
        <v>1</v>
      </c>
      <c r="E126" s="91">
        <v>1</v>
      </c>
      <c r="F126" s="91">
        <v>5</v>
      </c>
      <c r="G126" s="91">
        <v>5</v>
      </c>
      <c r="H126" s="92"/>
      <c r="J126" s="99"/>
      <c r="K126" s="97" t="s">
        <v>219</v>
      </c>
      <c r="L126" s="85" t="s">
        <v>221</v>
      </c>
      <c r="M126" s="85" t="s">
        <v>219</v>
      </c>
      <c r="N126" s="85" t="s">
        <v>221</v>
      </c>
      <c r="O126" s="85" t="s">
        <v>219</v>
      </c>
      <c r="P126" s="84" t="s">
        <v>221</v>
      </c>
      <c r="Q126" s="101"/>
    </row>
    <row r="127" spans="1:17" ht="13.5" thickBot="1" x14ac:dyDescent="0.25">
      <c r="A127" s="93" t="s">
        <v>38</v>
      </c>
      <c r="B127" s="94">
        <v>192</v>
      </c>
      <c r="C127" s="94">
        <v>160</v>
      </c>
      <c r="D127" s="94">
        <v>185</v>
      </c>
      <c r="E127" s="94">
        <v>181</v>
      </c>
      <c r="F127" s="94">
        <v>150</v>
      </c>
      <c r="G127" s="94">
        <v>157</v>
      </c>
      <c r="H127" s="95">
        <v>29</v>
      </c>
      <c r="J127" s="90" t="s">
        <v>305</v>
      </c>
      <c r="K127" s="91">
        <v>29</v>
      </c>
      <c r="L127" s="91">
        <v>28</v>
      </c>
      <c r="M127" s="91">
        <v>38</v>
      </c>
      <c r="N127" s="91">
        <v>36</v>
      </c>
      <c r="O127" s="91">
        <v>23</v>
      </c>
      <c r="P127" s="91">
        <v>20</v>
      </c>
      <c r="Q127" s="92">
        <v>6</v>
      </c>
    </row>
    <row r="128" spans="1:17" ht="13.5" thickBot="1" x14ac:dyDescent="0.25">
      <c r="J128" s="93" t="s">
        <v>38</v>
      </c>
      <c r="K128" s="94">
        <v>29</v>
      </c>
      <c r="L128" s="94">
        <v>28</v>
      </c>
      <c r="M128" s="94">
        <v>38</v>
      </c>
      <c r="N128" s="94">
        <v>36</v>
      </c>
      <c r="O128" s="94">
        <v>23</v>
      </c>
      <c r="P128" s="94">
        <v>20</v>
      </c>
      <c r="Q128" s="95">
        <v>6</v>
      </c>
    </row>
    <row r="129" spans="1:17" ht="13.5" thickBot="1" x14ac:dyDescent="0.25">
      <c r="A129" s="215" t="s">
        <v>210</v>
      </c>
      <c r="B129" s="96" t="s">
        <v>7</v>
      </c>
      <c r="C129" s="89" t="s">
        <v>7</v>
      </c>
      <c r="D129" s="89" t="s">
        <v>8</v>
      </c>
      <c r="E129" s="89" t="s">
        <v>8</v>
      </c>
      <c r="F129" s="89" t="s">
        <v>222</v>
      </c>
      <c r="G129" s="89" t="s">
        <v>222</v>
      </c>
      <c r="H129" s="217" t="s">
        <v>315</v>
      </c>
    </row>
    <row r="130" spans="1:17" ht="13.5" thickBot="1" x14ac:dyDescent="0.25">
      <c r="A130" s="216"/>
      <c r="B130" s="97" t="s">
        <v>219</v>
      </c>
      <c r="C130" s="85" t="s">
        <v>221</v>
      </c>
      <c r="D130" s="85" t="s">
        <v>219</v>
      </c>
      <c r="E130" s="85" t="s">
        <v>221</v>
      </c>
      <c r="F130" s="85" t="s">
        <v>219</v>
      </c>
      <c r="G130" s="84" t="s">
        <v>221</v>
      </c>
      <c r="H130" s="218"/>
      <c r="J130" s="98" t="s">
        <v>213</v>
      </c>
      <c r="K130" s="96" t="s">
        <v>7</v>
      </c>
      <c r="L130" s="89" t="s">
        <v>7</v>
      </c>
      <c r="M130" s="89" t="s">
        <v>8</v>
      </c>
      <c r="N130" s="89" t="s">
        <v>8</v>
      </c>
      <c r="O130" s="89" t="s">
        <v>222</v>
      </c>
      <c r="P130" s="89" t="s">
        <v>222</v>
      </c>
      <c r="Q130" s="100" t="s">
        <v>315</v>
      </c>
    </row>
    <row r="131" spans="1:17" ht="13.5" thickBot="1" x14ac:dyDescent="0.25">
      <c r="A131" s="90" t="s">
        <v>302</v>
      </c>
      <c r="B131" s="107">
        <v>29</v>
      </c>
      <c r="C131" s="107">
        <v>26</v>
      </c>
      <c r="D131" s="107">
        <v>27</v>
      </c>
      <c r="E131" s="107">
        <v>28</v>
      </c>
      <c r="F131" s="107">
        <v>34</v>
      </c>
      <c r="G131" s="107">
        <v>35</v>
      </c>
      <c r="H131" s="105">
        <v>1</v>
      </c>
      <c r="J131" s="99"/>
      <c r="K131" s="97" t="s">
        <v>219</v>
      </c>
      <c r="L131" s="85" t="s">
        <v>221</v>
      </c>
      <c r="M131" s="85" t="s">
        <v>219</v>
      </c>
      <c r="N131" s="85" t="s">
        <v>221</v>
      </c>
      <c r="O131" s="85" t="s">
        <v>219</v>
      </c>
      <c r="P131" s="84" t="s">
        <v>221</v>
      </c>
      <c r="Q131" s="101"/>
    </row>
    <row r="132" spans="1:17" x14ac:dyDescent="0.2">
      <c r="A132" s="90" t="s">
        <v>303</v>
      </c>
      <c r="B132" s="107">
        <v>12</v>
      </c>
      <c r="C132" s="107">
        <v>10</v>
      </c>
      <c r="D132" s="107">
        <v>7</v>
      </c>
      <c r="E132" s="107">
        <v>9</v>
      </c>
      <c r="F132" s="107">
        <v>4</v>
      </c>
      <c r="G132" s="107">
        <v>3</v>
      </c>
      <c r="H132" s="105">
        <v>1</v>
      </c>
      <c r="J132" s="90" t="s">
        <v>248</v>
      </c>
      <c r="K132" s="91">
        <v>10</v>
      </c>
      <c r="L132" s="91">
        <v>6</v>
      </c>
      <c r="M132" s="91">
        <v>21</v>
      </c>
      <c r="N132" s="91">
        <v>22</v>
      </c>
      <c r="O132" s="91">
        <v>19</v>
      </c>
      <c r="P132" s="91">
        <v>22</v>
      </c>
      <c r="Q132" s="92"/>
    </row>
    <row r="133" spans="1:17" x14ac:dyDescent="0.2">
      <c r="A133" s="90" t="s">
        <v>304</v>
      </c>
      <c r="B133" s="107">
        <v>3</v>
      </c>
      <c r="C133" s="107">
        <v>1</v>
      </c>
      <c r="D133" s="107">
        <v>5</v>
      </c>
      <c r="E133" s="107">
        <v>7</v>
      </c>
      <c r="F133" s="107">
        <v>3</v>
      </c>
      <c r="G133" s="107">
        <v>3</v>
      </c>
      <c r="H133" s="105"/>
      <c r="J133" s="90" t="s">
        <v>285</v>
      </c>
      <c r="K133" s="91">
        <v>4</v>
      </c>
      <c r="L133" s="91">
        <v>4</v>
      </c>
      <c r="M133" s="91">
        <v>2</v>
      </c>
      <c r="N133" s="91">
        <v>2</v>
      </c>
      <c r="O133" s="91"/>
      <c r="P133" s="91"/>
      <c r="Q133" s="92"/>
    </row>
    <row r="134" spans="1:17" ht="13.5" thickBot="1" x14ac:dyDescent="0.25">
      <c r="A134" s="90" t="s">
        <v>210</v>
      </c>
      <c r="B134" s="107"/>
      <c r="C134" s="107"/>
      <c r="D134" s="107">
        <v>2</v>
      </c>
      <c r="E134" s="107">
        <v>2</v>
      </c>
      <c r="F134" s="107">
        <v>1</v>
      </c>
      <c r="G134" s="107">
        <v>1</v>
      </c>
      <c r="H134" s="105"/>
      <c r="J134" s="93" t="s">
        <v>38</v>
      </c>
      <c r="K134" s="94">
        <v>14</v>
      </c>
      <c r="L134" s="94">
        <v>10</v>
      </c>
      <c r="M134" s="94">
        <v>23</v>
      </c>
      <c r="N134" s="94">
        <v>24</v>
      </c>
      <c r="O134" s="94">
        <v>19</v>
      </c>
      <c r="P134" s="94">
        <v>22</v>
      </c>
      <c r="Q134" s="95">
        <v>0</v>
      </c>
    </row>
    <row r="135" spans="1:17" ht="13.5" thickBot="1" x14ac:dyDescent="0.25">
      <c r="A135" s="93" t="s">
        <v>38</v>
      </c>
      <c r="B135" s="108">
        <v>44</v>
      </c>
      <c r="C135" s="108">
        <v>37</v>
      </c>
      <c r="D135" s="108">
        <v>41</v>
      </c>
      <c r="E135" s="108">
        <v>46</v>
      </c>
      <c r="F135" s="108">
        <v>42</v>
      </c>
      <c r="G135" s="108">
        <v>42</v>
      </c>
      <c r="H135" s="106">
        <v>2</v>
      </c>
    </row>
    <row r="136" spans="1:17" ht="13.5" thickBot="1" x14ac:dyDescent="0.25">
      <c r="J136" s="98" t="s">
        <v>214</v>
      </c>
      <c r="K136" s="96" t="s">
        <v>7</v>
      </c>
      <c r="L136" s="89" t="s">
        <v>7</v>
      </c>
      <c r="M136" s="89" t="s">
        <v>8</v>
      </c>
      <c r="N136" s="89" t="s">
        <v>8</v>
      </c>
      <c r="O136" s="89" t="s">
        <v>222</v>
      </c>
      <c r="P136" s="89" t="s">
        <v>222</v>
      </c>
      <c r="Q136" s="100" t="s">
        <v>315</v>
      </c>
    </row>
    <row r="137" spans="1:17" ht="13.5" thickBot="1" x14ac:dyDescent="0.25">
      <c r="A137" s="215" t="s">
        <v>212</v>
      </c>
      <c r="B137" s="96" t="s">
        <v>7</v>
      </c>
      <c r="C137" s="89" t="s">
        <v>7</v>
      </c>
      <c r="D137" s="89" t="s">
        <v>8</v>
      </c>
      <c r="E137" s="89" t="s">
        <v>8</v>
      </c>
      <c r="F137" s="89" t="s">
        <v>222</v>
      </c>
      <c r="G137" s="89" t="s">
        <v>222</v>
      </c>
      <c r="H137" s="217" t="s">
        <v>315</v>
      </c>
      <c r="J137" s="99"/>
      <c r="K137" s="97" t="s">
        <v>219</v>
      </c>
      <c r="L137" s="85" t="s">
        <v>221</v>
      </c>
      <c r="M137" s="85" t="s">
        <v>219</v>
      </c>
      <c r="N137" s="85" t="s">
        <v>221</v>
      </c>
      <c r="O137" s="85" t="s">
        <v>219</v>
      </c>
      <c r="P137" s="84" t="s">
        <v>221</v>
      </c>
      <c r="Q137" s="101"/>
    </row>
    <row r="138" spans="1:17" ht="13.5" thickBot="1" x14ac:dyDescent="0.25">
      <c r="A138" s="216"/>
      <c r="B138" s="97" t="s">
        <v>219</v>
      </c>
      <c r="C138" s="85" t="s">
        <v>221</v>
      </c>
      <c r="D138" s="85" t="s">
        <v>219</v>
      </c>
      <c r="E138" s="85" t="s">
        <v>221</v>
      </c>
      <c r="F138" s="85" t="s">
        <v>219</v>
      </c>
      <c r="G138" s="84" t="s">
        <v>221</v>
      </c>
      <c r="H138" s="218"/>
      <c r="J138" s="90" t="s">
        <v>214</v>
      </c>
      <c r="K138" s="91">
        <v>11</v>
      </c>
      <c r="L138" s="91">
        <v>11</v>
      </c>
      <c r="M138" s="91">
        <v>2</v>
      </c>
      <c r="N138" s="91">
        <v>2</v>
      </c>
      <c r="O138" s="91">
        <v>15</v>
      </c>
      <c r="P138" s="91">
        <v>14</v>
      </c>
      <c r="Q138" s="92">
        <v>1</v>
      </c>
    </row>
    <row r="139" spans="1:17" x14ac:dyDescent="0.2">
      <c r="A139" s="90" t="s">
        <v>248</v>
      </c>
      <c r="B139" s="91">
        <v>9</v>
      </c>
      <c r="C139" s="91">
        <v>9</v>
      </c>
      <c r="D139" s="91">
        <v>4</v>
      </c>
      <c r="E139" s="91">
        <v>4</v>
      </c>
      <c r="F139" s="91">
        <v>28</v>
      </c>
      <c r="G139" s="91">
        <v>24</v>
      </c>
      <c r="H139" s="92">
        <v>4</v>
      </c>
      <c r="J139" s="90" t="s">
        <v>306</v>
      </c>
      <c r="K139" s="91">
        <v>7</v>
      </c>
      <c r="L139" s="91">
        <v>6</v>
      </c>
      <c r="M139" s="91">
        <v>6</v>
      </c>
      <c r="N139" s="91">
        <v>7</v>
      </c>
      <c r="O139" s="91">
        <v>3</v>
      </c>
      <c r="P139" s="91">
        <v>3</v>
      </c>
      <c r="Q139" s="92"/>
    </row>
    <row r="140" spans="1:17" ht="13.5" thickBot="1" x14ac:dyDescent="0.25">
      <c r="A140" s="90" t="s">
        <v>212</v>
      </c>
      <c r="B140" s="91">
        <v>13</v>
      </c>
      <c r="C140" s="91">
        <v>13</v>
      </c>
      <c r="D140" s="91"/>
      <c r="E140" s="91"/>
      <c r="F140" s="91">
        <v>7</v>
      </c>
      <c r="G140" s="91">
        <v>7</v>
      </c>
      <c r="H140" s="92"/>
      <c r="J140" s="93" t="s">
        <v>38</v>
      </c>
      <c r="K140" s="94">
        <v>18</v>
      </c>
      <c r="L140" s="94">
        <v>17</v>
      </c>
      <c r="M140" s="94">
        <v>8</v>
      </c>
      <c r="N140" s="94">
        <v>9</v>
      </c>
      <c r="O140" s="94">
        <v>18</v>
      </c>
      <c r="P140" s="94">
        <v>17</v>
      </c>
      <c r="Q140" s="95">
        <v>1</v>
      </c>
    </row>
    <row r="141" spans="1:17" ht="13.5" thickBot="1" x14ac:dyDescent="0.25">
      <c r="A141" s="90" t="s">
        <v>249</v>
      </c>
      <c r="B141" s="91">
        <v>2</v>
      </c>
      <c r="C141" s="91">
        <v>2</v>
      </c>
      <c r="D141" s="91">
        <v>2</v>
      </c>
      <c r="E141" s="91">
        <v>2</v>
      </c>
      <c r="F141" s="91">
        <v>3</v>
      </c>
      <c r="G141" s="91">
        <v>3</v>
      </c>
      <c r="H141" s="92"/>
    </row>
    <row r="142" spans="1:17" x14ac:dyDescent="0.2">
      <c r="A142" s="90" t="s">
        <v>250</v>
      </c>
      <c r="B142" s="91">
        <v>1</v>
      </c>
      <c r="C142" s="91">
        <v>1</v>
      </c>
      <c r="D142" s="91"/>
      <c r="E142" s="91"/>
      <c r="F142" s="91">
        <v>4</v>
      </c>
      <c r="G142" s="91">
        <v>4</v>
      </c>
      <c r="H142" s="109"/>
      <c r="J142" s="98" t="s">
        <v>196</v>
      </c>
      <c r="K142" s="96" t="s">
        <v>7</v>
      </c>
      <c r="L142" s="89" t="s">
        <v>7</v>
      </c>
      <c r="M142" s="89" t="s">
        <v>8</v>
      </c>
      <c r="N142" s="89" t="s">
        <v>8</v>
      </c>
      <c r="O142" s="89" t="s">
        <v>222</v>
      </c>
      <c r="P142" s="89" t="s">
        <v>222</v>
      </c>
      <c r="Q142" s="100" t="s">
        <v>315</v>
      </c>
    </row>
    <row r="143" spans="1:17" ht="13.5" thickBot="1" x14ac:dyDescent="0.25">
      <c r="A143" s="90" t="s">
        <v>305</v>
      </c>
      <c r="B143" s="91">
        <v>1</v>
      </c>
      <c r="C143" s="91">
        <v>1</v>
      </c>
      <c r="D143" s="91"/>
      <c r="E143" s="91"/>
      <c r="F143" s="91"/>
      <c r="G143" s="91"/>
      <c r="H143" s="109"/>
      <c r="J143" s="99"/>
      <c r="K143" s="97" t="s">
        <v>219</v>
      </c>
      <c r="L143" s="85" t="s">
        <v>221</v>
      </c>
      <c r="M143" s="85" t="s">
        <v>219</v>
      </c>
      <c r="N143" s="85" t="s">
        <v>221</v>
      </c>
      <c r="O143" s="85" t="s">
        <v>219</v>
      </c>
      <c r="P143" s="84" t="s">
        <v>221</v>
      </c>
      <c r="Q143" s="101"/>
    </row>
    <row r="144" spans="1:17" ht="13.5" thickBot="1" x14ac:dyDescent="0.25">
      <c r="A144" s="93" t="s">
        <v>38</v>
      </c>
      <c r="B144" s="108">
        <v>26</v>
      </c>
      <c r="C144" s="108">
        <v>26</v>
      </c>
      <c r="D144" s="108">
        <v>6</v>
      </c>
      <c r="E144" s="108">
        <v>6</v>
      </c>
      <c r="F144" s="108">
        <v>42</v>
      </c>
      <c r="G144" s="108">
        <v>38</v>
      </c>
      <c r="H144" s="106">
        <v>4</v>
      </c>
      <c r="J144" s="90" t="s">
        <v>216</v>
      </c>
      <c r="K144" s="91">
        <v>7</v>
      </c>
      <c r="L144" s="91">
        <v>7</v>
      </c>
      <c r="M144" s="91">
        <v>10</v>
      </c>
      <c r="N144" s="91">
        <v>9</v>
      </c>
      <c r="O144" s="91">
        <v>6</v>
      </c>
      <c r="P144" s="91">
        <v>6</v>
      </c>
      <c r="Q144" s="92">
        <v>1</v>
      </c>
    </row>
    <row r="145" spans="1:17" ht="13.5" thickBot="1" x14ac:dyDescent="0.25">
      <c r="J145" s="93" t="s">
        <v>38</v>
      </c>
      <c r="K145" s="94">
        <v>7</v>
      </c>
      <c r="L145" s="94">
        <v>7</v>
      </c>
      <c r="M145" s="94">
        <v>10</v>
      </c>
      <c r="N145" s="94">
        <v>9</v>
      </c>
      <c r="O145" s="94">
        <v>6</v>
      </c>
      <c r="P145" s="94">
        <v>6</v>
      </c>
      <c r="Q145" s="95">
        <v>1</v>
      </c>
    </row>
    <row r="146" spans="1:17" ht="13.5" thickBot="1" x14ac:dyDescent="0.25">
      <c r="A146" s="98" t="s">
        <v>215</v>
      </c>
      <c r="B146" s="96" t="s">
        <v>7</v>
      </c>
      <c r="C146" s="89" t="s">
        <v>7</v>
      </c>
      <c r="D146" s="89" t="s">
        <v>8</v>
      </c>
      <c r="E146" s="89" t="s">
        <v>8</v>
      </c>
      <c r="F146" s="89" t="s">
        <v>222</v>
      </c>
      <c r="G146" s="89" t="s">
        <v>222</v>
      </c>
      <c r="H146" s="100" t="s">
        <v>315</v>
      </c>
    </row>
    <row r="147" spans="1:17" ht="13.5" thickBot="1" x14ac:dyDescent="0.25">
      <c r="A147" s="99"/>
      <c r="B147" s="97" t="s">
        <v>219</v>
      </c>
      <c r="C147" s="85" t="s">
        <v>221</v>
      </c>
      <c r="D147" s="85" t="s">
        <v>219</v>
      </c>
      <c r="E147" s="85" t="s">
        <v>221</v>
      </c>
      <c r="F147" s="85" t="s">
        <v>219</v>
      </c>
      <c r="G147" s="84" t="s">
        <v>221</v>
      </c>
      <c r="H147" s="101"/>
      <c r="J147" s="98" t="s">
        <v>217</v>
      </c>
      <c r="K147" s="96" t="s">
        <v>7</v>
      </c>
      <c r="L147" s="89" t="s">
        <v>7</v>
      </c>
      <c r="M147" s="89" t="s">
        <v>8</v>
      </c>
      <c r="N147" s="89" t="s">
        <v>8</v>
      </c>
      <c r="O147" s="89" t="s">
        <v>222</v>
      </c>
      <c r="P147" s="89" t="s">
        <v>222</v>
      </c>
      <c r="Q147" s="100" t="s">
        <v>315</v>
      </c>
    </row>
    <row r="148" spans="1:17" ht="13.5" thickBot="1" x14ac:dyDescent="0.25">
      <c r="A148" s="90" t="s">
        <v>287</v>
      </c>
      <c r="B148" s="91">
        <v>11</v>
      </c>
      <c r="C148" s="91">
        <v>11</v>
      </c>
      <c r="D148" s="91">
        <v>4</v>
      </c>
      <c r="E148" s="91">
        <v>4</v>
      </c>
      <c r="F148" s="91">
        <v>2</v>
      </c>
      <c r="G148" s="91">
        <v>2</v>
      </c>
      <c r="H148" s="105"/>
      <c r="J148" s="99"/>
      <c r="K148" s="97" t="s">
        <v>219</v>
      </c>
      <c r="L148" s="85" t="s">
        <v>221</v>
      </c>
      <c r="M148" s="85" t="s">
        <v>219</v>
      </c>
      <c r="N148" s="85" t="s">
        <v>221</v>
      </c>
      <c r="O148" s="85" t="s">
        <v>219</v>
      </c>
      <c r="P148" s="84" t="s">
        <v>221</v>
      </c>
      <c r="Q148" s="101"/>
    </row>
    <row r="149" spans="1:17" x14ac:dyDescent="0.2">
      <c r="A149" s="90" t="s">
        <v>307</v>
      </c>
      <c r="B149" s="91">
        <v>9</v>
      </c>
      <c r="C149" s="91">
        <v>9</v>
      </c>
      <c r="D149" s="91">
        <v>4</v>
      </c>
      <c r="E149" s="91">
        <v>4</v>
      </c>
      <c r="F149" s="91">
        <v>2</v>
      </c>
      <c r="G149" s="91">
        <v>2</v>
      </c>
      <c r="H149" s="105"/>
      <c r="J149" s="90" t="s">
        <v>217</v>
      </c>
      <c r="K149" s="91">
        <v>2</v>
      </c>
      <c r="L149" s="91">
        <v>2</v>
      </c>
      <c r="M149" s="91">
        <v>4</v>
      </c>
      <c r="N149" s="91">
        <v>4</v>
      </c>
      <c r="O149" s="91">
        <v>4</v>
      </c>
      <c r="P149" s="91">
        <v>4</v>
      </c>
      <c r="Q149" s="92"/>
    </row>
    <row r="150" spans="1:17" x14ac:dyDescent="0.2">
      <c r="A150" s="90" t="s">
        <v>308</v>
      </c>
      <c r="B150" s="91">
        <v>3</v>
      </c>
      <c r="C150" s="91">
        <v>2</v>
      </c>
      <c r="D150" s="91">
        <v>2</v>
      </c>
      <c r="E150" s="91">
        <v>3</v>
      </c>
      <c r="F150" s="91"/>
      <c r="G150" s="91"/>
      <c r="H150" s="105"/>
      <c r="J150" s="90" t="s">
        <v>310</v>
      </c>
      <c r="K150" s="91">
        <v>1</v>
      </c>
      <c r="L150" s="91">
        <v>1</v>
      </c>
      <c r="M150" s="91"/>
      <c r="N150" s="91"/>
      <c r="O150" s="91"/>
      <c r="P150" s="91"/>
      <c r="Q150" s="92"/>
    </row>
    <row r="151" spans="1:17" ht="13.5" thickBot="1" x14ac:dyDescent="0.25">
      <c r="A151" s="90" t="s">
        <v>309</v>
      </c>
      <c r="B151" s="91"/>
      <c r="C151" s="91"/>
      <c r="D151" s="91">
        <v>2</v>
      </c>
      <c r="E151" s="91">
        <v>2</v>
      </c>
      <c r="F151" s="91"/>
      <c r="G151" s="91"/>
      <c r="H151" s="105"/>
      <c r="J151" s="93" t="s">
        <v>38</v>
      </c>
      <c r="K151" s="94">
        <v>3</v>
      </c>
      <c r="L151" s="94">
        <v>3</v>
      </c>
      <c r="M151" s="94">
        <v>4</v>
      </c>
      <c r="N151" s="94">
        <v>4</v>
      </c>
      <c r="O151" s="94">
        <v>4</v>
      </c>
      <c r="P151" s="94">
        <v>4</v>
      </c>
      <c r="Q151" s="95">
        <v>0</v>
      </c>
    </row>
    <row r="152" spans="1:17" ht="13.5" thickBot="1" x14ac:dyDescent="0.25">
      <c r="A152" s="93" t="s">
        <v>38</v>
      </c>
      <c r="B152" s="94">
        <v>23</v>
      </c>
      <c r="C152" s="94">
        <v>22</v>
      </c>
      <c r="D152" s="94">
        <v>12</v>
      </c>
      <c r="E152" s="94">
        <v>13</v>
      </c>
      <c r="F152" s="94">
        <v>4</v>
      </c>
      <c r="G152" s="94">
        <v>4</v>
      </c>
      <c r="H152" s="106">
        <v>0</v>
      </c>
    </row>
    <row r="165" spans="1:8" x14ac:dyDescent="0.2">
      <c r="A165" s="87"/>
      <c r="B165" s="88"/>
      <c r="C165" s="88"/>
      <c r="D165" s="88"/>
      <c r="E165" s="88"/>
      <c r="F165" s="88"/>
      <c r="G165" s="88"/>
      <c r="H165" s="88"/>
    </row>
    <row r="176" spans="1:8" x14ac:dyDescent="0.2">
      <c r="A176" s="87"/>
      <c r="B176" s="88"/>
      <c r="C176" s="88"/>
      <c r="D176" s="88"/>
      <c r="E176" s="88"/>
      <c r="F176" s="88"/>
      <c r="G176" s="88"/>
      <c r="H176" s="88"/>
    </row>
    <row r="181" spans="1:12" x14ac:dyDescent="0.2">
      <c r="K181" s="86"/>
      <c r="L181" s="86"/>
    </row>
    <row r="182" spans="1:12" x14ac:dyDescent="0.2">
      <c r="K182" s="86"/>
      <c r="L182" s="86"/>
    </row>
    <row r="183" spans="1:12" x14ac:dyDescent="0.2">
      <c r="K183" s="86"/>
      <c r="L183" s="86"/>
    </row>
    <row r="184" spans="1:12" x14ac:dyDescent="0.2">
      <c r="K184" s="86"/>
      <c r="L184" s="86"/>
    </row>
    <row r="185" spans="1:12" x14ac:dyDescent="0.2">
      <c r="K185" s="86"/>
      <c r="L185" s="86"/>
    </row>
    <row r="186" spans="1:12" x14ac:dyDescent="0.2">
      <c r="K186" s="86"/>
      <c r="L186" s="86"/>
    </row>
    <row r="187" spans="1:12" x14ac:dyDescent="0.2">
      <c r="K187" s="86"/>
      <c r="L187" s="86"/>
    </row>
    <row r="188" spans="1:12" x14ac:dyDescent="0.2">
      <c r="K188" s="86"/>
      <c r="L188" s="86"/>
    </row>
    <row r="189" spans="1:12" x14ac:dyDescent="0.2">
      <c r="A189" s="87"/>
      <c r="B189" s="88"/>
      <c r="C189" s="88"/>
      <c r="D189" s="88"/>
      <c r="E189" s="88"/>
      <c r="F189" s="88"/>
      <c r="G189" s="88"/>
      <c r="H189" s="88"/>
      <c r="K189" s="86"/>
      <c r="L189" s="86"/>
    </row>
    <row r="190" spans="1:12" x14ac:dyDescent="0.2">
      <c r="A190" s="87"/>
      <c r="B190" s="88"/>
      <c r="C190" s="88"/>
      <c r="D190" s="88"/>
      <c r="E190" s="88"/>
      <c r="F190" s="88"/>
      <c r="G190" s="88"/>
      <c r="H190" s="88"/>
    </row>
    <row r="197" spans="1:8" x14ac:dyDescent="0.2">
      <c r="A197" s="87"/>
      <c r="B197" s="88"/>
      <c r="C197" s="88"/>
      <c r="D197" s="88"/>
      <c r="E197" s="88"/>
      <c r="F197" s="88"/>
      <c r="G197" s="88"/>
      <c r="H197" s="88"/>
    </row>
    <row r="198" spans="1:8" x14ac:dyDescent="0.2">
      <c r="A198" s="87"/>
      <c r="B198" s="88"/>
      <c r="C198" s="88"/>
      <c r="D198" s="88"/>
      <c r="E198" s="88"/>
      <c r="F198" s="88"/>
      <c r="G198" s="88"/>
      <c r="H198" s="88"/>
    </row>
    <row r="217" spans="1:10" x14ac:dyDescent="0.2">
      <c r="A217" s="77" t="s">
        <v>158</v>
      </c>
      <c r="B217" s="77"/>
      <c r="C217" s="77"/>
      <c r="D217" s="77"/>
      <c r="E217" s="77"/>
      <c r="F217" s="77"/>
      <c r="G217" s="77"/>
      <c r="H217" s="77"/>
      <c r="I217" s="77"/>
    </row>
    <row r="218" spans="1:10" x14ac:dyDescent="0.2">
      <c r="A218" s="50" t="s">
        <v>33</v>
      </c>
      <c r="B218" s="51">
        <v>146</v>
      </c>
      <c r="F218" s="56" t="s">
        <v>170</v>
      </c>
      <c r="G218" s="56" t="s">
        <v>41</v>
      </c>
      <c r="H218" s="56" t="s">
        <v>42</v>
      </c>
      <c r="I218" s="56" t="s">
        <v>43</v>
      </c>
      <c r="J218" s="77"/>
    </row>
    <row r="219" spans="1:10" x14ac:dyDescent="0.2">
      <c r="A219" s="52" t="s">
        <v>33</v>
      </c>
      <c r="B219" s="51">
        <v>87</v>
      </c>
      <c r="D219" s="56"/>
      <c r="E219" s="6" t="s">
        <v>166</v>
      </c>
      <c r="F219" s="74">
        <v>146</v>
      </c>
      <c r="G219" s="74">
        <v>140</v>
      </c>
      <c r="H219" s="74">
        <v>109</v>
      </c>
      <c r="I219" s="74">
        <v>104</v>
      </c>
    </row>
    <row r="220" spans="1:10" x14ac:dyDescent="0.2">
      <c r="A220" s="52" t="s">
        <v>34</v>
      </c>
      <c r="B220" s="51">
        <v>42</v>
      </c>
      <c r="D220" s="56"/>
      <c r="E220" s="6" t="s">
        <v>168</v>
      </c>
      <c r="F220" s="74">
        <v>141</v>
      </c>
      <c r="G220" s="74">
        <v>133</v>
      </c>
      <c r="H220" s="74">
        <v>105</v>
      </c>
      <c r="I220" s="74">
        <v>93</v>
      </c>
    </row>
    <row r="221" spans="1:10" x14ac:dyDescent="0.2">
      <c r="A221" s="52" t="s">
        <v>35</v>
      </c>
      <c r="B221" s="51">
        <v>7</v>
      </c>
      <c r="E221" s="6" t="s">
        <v>169</v>
      </c>
      <c r="F221" s="74">
        <v>5</v>
      </c>
      <c r="G221" s="74">
        <f>G219-G220</f>
        <v>7</v>
      </c>
      <c r="H221" s="74">
        <f>H219-H220</f>
        <v>4</v>
      </c>
      <c r="I221" s="74">
        <f>I219-I220</f>
        <v>11</v>
      </c>
    </row>
    <row r="222" spans="1:10" x14ac:dyDescent="0.2">
      <c r="A222" s="52" t="s">
        <v>36</v>
      </c>
      <c r="B222" s="51">
        <v>3</v>
      </c>
      <c r="E222" s="6" t="s">
        <v>165</v>
      </c>
      <c r="F222" s="74">
        <f>F221</f>
        <v>5</v>
      </c>
      <c r="G222" s="74">
        <f>F222+G221</f>
        <v>12</v>
      </c>
      <c r="H222" s="74">
        <f>G222+H221</f>
        <v>16</v>
      </c>
      <c r="I222" s="74">
        <f>H222+I221</f>
        <v>27</v>
      </c>
    </row>
    <row r="223" spans="1:10" x14ac:dyDescent="0.2">
      <c r="A223" s="52" t="s">
        <v>37</v>
      </c>
      <c r="B223" s="51">
        <v>7</v>
      </c>
      <c r="D223" s="56"/>
    </row>
    <row r="224" spans="1:10" x14ac:dyDescent="0.2">
      <c r="A224" s="50" t="s">
        <v>34</v>
      </c>
      <c r="B224" s="51">
        <v>140</v>
      </c>
    </row>
    <row r="225" spans="1:10" x14ac:dyDescent="0.2">
      <c r="A225" s="52" t="s">
        <v>34</v>
      </c>
      <c r="B225" s="51">
        <v>84</v>
      </c>
      <c r="D225" s="56"/>
    </row>
    <row r="226" spans="1:10" x14ac:dyDescent="0.2">
      <c r="A226" s="52" t="s">
        <v>35</v>
      </c>
      <c r="B226" s="51">
        <v>41</v>
      </c>
    </row>
    <row r="227" spans="1:10" x14ac:dyDescent="0.2">
      <c r="A227" s="52" t="s">
        <v>36</v>
      </c>
      <c r="B227" s="51">
        <v>5</v>
      </c>
    </row>
    <row r="228" spans="1:10" x14ac:dyDescent="0.2">
      <c r="A228" s="52" t="s">
        <v>37</v>
      </c>
      <c r="B228" s="51">
        <v>10</v>
      </c>
      <c r="D228" s="56"/>
    </row>
    <row r="229" spans="1:10" x14ac:dyDescent="0.2">
      <c r="A229" s="50" t="s">
        <v>35</v>
      </c>
      <c r="B229" s="51">
        <v>109</v>
      </c>
      <c r="D229" s="56"/>
    </row>
    <row r="230" spans="1:10" x14ac:dyDescent="0.2">
      <c r="A230" s="52" t="s">
        <v>35</v>
      </c>
      <c r="B230" s="51">
        <v>65</v>
      </c>
    </row>
    <row r="231" spans="1:10" x14ac:dyDescent="0.2">
      <c r="A231" s="52" t="s">
        <v>36</v>
      </c>
      <c r="B231" s="51">
        <v>37</v>
      </c>
      <c r="D231" s="56"/>
    </row>
    <row r="232" spans="1:10" x14ac:dyDescent="0.2">
      <c r="A232" s="52" t="s">
        <v>37</v>
      </c>
      <c r="B232" s="51">
        <v>7</v>
      </c>
      <c r="D232" s="56"/>
    </row>
    <row r="233" spans="1:10" x14ac:dyDescent="0.2">
      <c r="A233" s="50" t="s">
        <v>36</v>
      </c>
      <c r="B233" s="51">
        <v>104</v>
      </c>
      <c r="D233" s="56"/>
    </row>
    <row r="234" spans="1:10" x14ac:dyDescent="0.2">
      <c r="A234" s="52" t="s">
        <v>36</v>
      </c>
      <c r="B234" s="51">
        <v>79</v>
      </c>
    </row>
    <row r="235" spans="1:10" x14ac:dyDescent="0.2">
      <c r="A235" s="52" t="s">
        <v>37</v>
      </c>
      <c r="B235" s="51">
        <v>25</v>
      </c>
    </row>
    <row r="236" spans="1:10" x14ac:dyDescent="0.2">
      <c r="A236" s="50" t="s">
        <v>38</v>
      </c>
      <c r="B236" s="51">
        <v>499</v>
      </c>
    </row>
    <row r="239" spans="1:10" x14ac:dyDescent="0.2">
      <c r="A239" s="77" t="s">
        <v>163</v>
      </c>
      <c r="B239" s="77"/>
      <c r="C239" s="77"/>
      <c r="D239" s="77"/>
      <c r="E239" s="77"/>
      <c r="F239" s="77"/>
      <c r="G239" s="77"/>
      <c r="H239" s="77"/>
      <c r="I239" s="77"/>
    </row>
    <row r="240" spans="1:10" x14ac:dyDescent="0.2">
      <c r="A240" s="50" t="s">
        <v>33</v>
      </c>
      <c r="B240" s="51"/>
      <c r="F240" s="56" t="s">
        <v>40</v>
      </c>
      <c r="G240" s="56" t="s">
        <v>41</v>
      </c>
      <c r="H240" s="56" t="s">
        <v>42</v>
      </c>
      <c r="I240" s="56" t="s">
        <v>43</v>
      </c>
      <c r="J240" s="77"/>
    </row>
    <row r="241" spans="1:10" x14ac:dyDescent="0.2">
      <c r="A241" s="52" t="s">
        <v>33</v>
      </c>
      <c r="B241" s="51"/>
      <c r="E241" s="70" t="s">
        <v>159</v>
      </c>
      <c r="F241" s="74">
        <v>130</v>
      </c>
      <c r="G241" s="74">
        <v>161</v>
      </c>
      <c r="H241" s="74">
        <v>122</v>
      </c>
      <c r="I241" s="74">
        <v>129</v>
      </c>
      <c r="J241" s="58" t="s">
        <v>160</v>
      </c>
    </row>
    <row r="242" spans="1:10" x14ac:dyDescent="0.2">
      <c r="A242" s="52" t="s">
        <v>34</v>
      </c>
      <c r="B242" s="51"/>
      <c r="J242" s="74">
        <v>78</v>
      </c>
    </row>
    <row r="243" spans="1:10" x14ac:dyDescent="0.2">
      <c r="A243" s="52" t="s">
        <v>35</v>
      </c>
      <c r="B243" s="51"/>
    </row>
    <row r="244" spans="1:10" x14ac:dyDescent="0.2">
      <c r="A244" s="52" t="s">
        <v>36</v>
      </c>
      <c r="B244" s="51"/>
    </row>
    <row r="245" spans="1:10" x14ac:dyDescent="0.2">
      <c r="A245" s="52" t="s">
        <v>37</v>
      </c>
      <c r="B245" s="51"/>
    </row>
    <row r="246" spans="1:10" x14ac:dyDescent="0.2">
      <c r="A246" s="50" t="s">
        <v>34</v>
      </c>
      <c r="B246" s="51"/>
      <c r="F246" s="56" t="s">
        <v>40</v>
      </c>
      <c r="G246" s="56" t="s">
        <v>41</v>
      </c>
      <c r="H246" s="56" t="s">
        <v>42</v>
      </c>
      <c r="I246" s="56" t="s">
        <v>43</v>
      </c>
    </row>
    <row r="247" spans="1:10" x14ac:dyDescent="0.2">
      <c r="A247" s="52" t="s">
        <v>34</v>
      </c>
      <c r="B247" s="51"/>
      <c r="E247" s="70" t="s">
        <v>161</v>
      </c>
      <c r="F247" s="74">
        <v>6.96</v>
      </c>
      <c r="G247" s="74">
        <v>14.45</v>
      </c>
      <c r="H247" s="74">
        <v>5.4</v>
      </c>
      <c r="I247" s="74">
        <v>5.24</v>
      </c>
      <c r="J247" s="58" t="s">
        <v>160</v>
      </c>
    </row>
    <row r="248" spans="1:10" x14ac:dyDescent="0.2">
      <c r="A248" s="52" t="s">
        <v>35</v>
      </c>
      <c r="B248" s="51"/>
      <c r="E248" s="70" t="s">
        <v>162</v>
      </c>
      <c r="F248" s="59">
        <f>48/130</f>
        <v>0.36923076923076925</v>
      </c>
      <c r="G248" s="59">
        <f>G249/G241</f>
        <v>0.40372670807453415</v>
      </c>
      <c r="H248" s="59">
        <f>H249/H241</f>
        <v>0.39344262295081966</v>
      </c>
      <c r="I248" s="59">
        <f>I249/I241</f>
        <v>0.4263565891472868</v>
      </c>
      <c r="J248" s="74">
        <v>14.97</v>
      </c>
    </row>
    <row r="249" spans="1:10" x14ac:dyDescent="0.2">
      <c r="A249" s="52" t="s">
        <v>36</v>
      </c>
      <c r="B249" s="51"/>
      <c r="F249" s="74">
        <v>48</v>
      </c>
      <c r="G249" s="74">
        <v>65</v>
      </c>
      <c r="H249" s="74">
        <v>48</v>
      </c>
      <c r="I249" s="74">
        <v>55</v>
      </c>
      <c r="J249" s="59">
        <f>J250/J242</f>
        <v>0.64102564102564108</v>
      </c>
    </row>
    <row r="250" spans="1:10" x14ac:dyDescent="0.2">
      <c r="A250" s="52" t="s">
        <v>37</v>
      </c>
      <c r="B250" s="51"/>
      <c r="J250" s="74">
        <v>50</v>
      </c>
    </row>
    <row r="251" spans="1:10" x14ac:dyDescent="0.2">
      <c r="A251" s="50" t="s">
        <v>35</v>
      </c>
      <c r="B251" s="51"/>
    </row>
    <row r="252" spans="1:10" x14ac:dyDescent="0.2">
      <c r="A252" s="52" t="s">
        <v>35</v>
      </c>
      <c r="B252" s="51"/>
    </row>
    <row r="253" spans="1:10" x14ac:dyDescent="0.2">
      <c r="A253" s="52" t="s">
        <v>36</v>
      </c>
      <c r="B253" s="51"/>
    </row>
    <row r="254" spans="1:10" x14ac:dyDescent="0.2">
      <c r="A254" s="52" t="s">
        <v>37</v>
      </c>
      <c r="B254" s="51"/>
    </row>
    <row r="255" spans="1:10" x14ac:dyDescent="0.2">
      <c r="A255" s="50" t="s">
        <v>36</v>
      </c>
      <c r="B255" s="51"/>
    </row>
    <row r="256" spans="1:10" x14ac:dyDescent="0.2">
      <c r="A256" s="52" t="s">
        <v>36</v>
      </c>
      <c r="B256" s="51"/>
    </row>
    <row r="257" spans="1:2" x14ac:dyDescent="0.2">
      <c r="A257" s="52" t="s">
        <v>37</v>
      </c>
      <c r="B257" s="51"/>
    </row>
    <row r="258" spans="1:2" x14ac:dyDescent="0.2">
      <c r="A258" s="50" t="s">
        <v>38</v>
      </c>
      <c r="B258" s="51"/>
    </row>
    <row r="281" spans="5:10" x14ac:dyDescent="0.2">
      <c r="E281" s="21"/>
      <c r="F281" s="76" t="s">
        <v>188</v>
      </c>
      <c r="G281" s="76" t="s">
        <v>190</v>
      </c>
      <c r="H281" s="76" t="s">
        <v>187</v>
      </c>
      <c r="I281" s="76" t="s">
        <v>189</v>
      </c>
    </row>
    <row r="282" spans="5:10" x14ac:dyDescent="0.2">
      <c r="E282" s="21" t="s">
        <v>186</v>
      </c>
      <c r="F282" s="22">
        <v>15</v>
      </c>
      <c r="G282" s="65">
        <f>F282/J283</f>
        <v>0.6</v>
      </c>
      <c r="H282" s="22">
        <v>10</v>
      </c>
      <c r="I282" s="65">
        <f>H282/J283</f>
        <v>0.4</v>
      </c>
      <c r="J282" s="76" t="s">
        <v>14</v>
      </c>
    </row>
    <row r="283" spans="5:10" x14ac:dyDescent="0.2">
      <c r="E283" s="21" t="s">
        <v>191</v>
      </c>
      <c r="F283" s="22">
        <v>8</v>
      </c>
      <c r="G283" s="65">
        <f>F283/J284</f>
        <v>0.66666666666666663</v>
      </c>
      <c r="H283" s="22">
        <v>4</v>
      </c>
      <c r="I283" s="65">
        <f>H283/J284</f>
        <v>0.33333333333333331</v>
      </c>
      <c r="J283" s="22">
        <v>25</v>
      </c>
    </row>
    <row r="284" spans="5:10" x14ac:dyDescent="0.2">
      <c r="E284" s="21" t="s">
        <v>192</v>
      </c>
      <c r="F284" s="22">
        <v>7</v>
      </c>
      <c r="G284" s="65">
        <f>F284/J285</f>
        <v>0.46666666666666667</v>
      </c>
      <c r="H284" s="22">
        <v>6</v>
      </c>
      <c r="I284" s="65">
        <f>H284/J285</f>
        <v>0.4</v>
      </c>
      <c r="J284" s="22">
        <v>12</v>
      </c>
    </row>
    <row r="285" spans="5:10" x14ac:dyDescent="0.2">
      <c r="J285" s="22">
        <v>15</v>
      </c>
    </row>
    <row r="288" spans="5:10" x14ac:dyDescent="0.2">
      <c r="E288" s="21" t="s">
        <v>186</v>
      </c>
      <c r="F288" s="76" t="s">
        <v>190</v>
      </c>
      <c r="G288" s="70" t="s">
        <v>189</v>
      </c>
    </row>
    <row r="289" spans="5:10" x14ac:dyDescent="0.2">
      <c r="F289" s="65">
        <v>0.6</v>
      </c>
      <c r="G289" s="70">
        <v>40</v>
      </c>
    </row>
    <row r="292" spans="5:10" x14ac:dyDescent="0.2">
      <c r="F292" s="74" t="s">
        <v>152</v>
      </c>
      <c r="G292" s="74" t="s">
        <v>153</v>
      </c>
      <c r="H292" s="74" t="s">
        <v>154</v>
      </c>
      <c r="I292" s="74" t="s">
        <v>155</v>
      </c>
    </row>
    <row r="293" spans="5:10" x14ac:dyDescent="0.2">
      <c r="E293" s="6" t="s">
        <v>17</v>
      </c>
      <c r="F293" s="64">
        <v>690.26</v>
      </c>
      <c r="G293" s="64">
        <v>1291.31</v>
      </c>
      <c r="H293" s="64">
        <v>548.70000000000005</v>
      </c>
      <c r="I293" s="64">
        <v>575.14</v>
      </c>
      <c r="J293" s="74" t="s">
        <v>156</v>
      </c>
    </row>
    <row r="294" spans="5:10" x14ac:dyDescent="0.2">
      <c r="E294" s="6" t="s">
        <v>195</v>
      </c>
      <c r="F294" s="70">
        <f>AVERAGE(F293:J293)</f>
        <v>776.35249999999996</v>
      </c>
      <c r="G294" s="70">
        <v>796.72799999999995</v>
      </c>
      <c r="H294" s="70">
        <v>796.72799999999995</v>
      </c>
      <c r="I294" s="70">
        <v>796.72799999999995</v>
      </c>
      <c r="J294" s="64">
        <v>878.23</v>
      </c>
    </row>
    <row r="295" spans="5:10" x14ac:dyDescent="0.2">
      <c r="E295" s="6"/>
      <c r="F295" s="74"/>
      <c r="G295" s="74"/>
      <c r="H295" s="74"/>
      <c r="I295" s="74"/>
      <c r="J295" s="70">
        <v>796.72799999999995</v>
      </c>
    </row>
    <row r="296" spans="5:10" x14ac:dyDescent="0.2">
      <c r="F296" s="70" t="s">
        <v>152</v>
      </c>
      <c r="G296" s="70" t="s">
        <v>153</v>
      </c>
      <c r="H296" s="70" t="s">
        <v>154</v>
      </c>
      <c r="I296" s="70" t="s">
        <v>155</v>
      </c>
      <c r="J296" s="74"/>
    </row>
    <row r="297" spans="5:10" x14ac:dyDescent="0.2">
      <c r="E297" s="6" t="s">
        <v>193</v>
      </c>
      <c r="F297" s="64"/>
      <c r="G297" s="64"/>
      <c r="H297" s="64"/>
      <c r="I297" s="64"/>
      <c r="J297" s="70" t="s">
        <v>156</v>
      </c>
    </row>
    <row r="298" spans="5:10" x14ac:dyDescent="0.2">
      <c r="E298" s="6" t="s">
        <v>17</v>
      </c>
      <c r="J298" s="64"/>
    </row>
    <row r="300" spans="5:10" x14ac:dyDescent="0.2">
      <c r="F300" s="70" t="s">
        <v>152</v>
      </c>
      <c r="G300" s="70" t="s">
        <v>153</v>
      </c>
      <c r="H300" s="70" t="s">
        <v>154</v>
      </c>
      <c r="I300" s="70" t="s">
        <v>155</v>
      </c>
    </row>
    <row r="301" spans="5:10" x14ac:dyDescent="0.2">
      <c r="E301" s="6" t="s">
        <v>194</v>
      </c>
      <c r="F301" s="64"/>
      <c r="G301" s="64"/>
      <c r="H301" s="64"/>
      <c r="I301" s="64"/>
      <c r="J301" s="70" t="s">
        <v>156</v>
      </c>
    </row>
    <row r="302" spans="5:10" x14ac:dyDescent="0.2">
      <c r="E302" s="6" t="s">
        <v>17</v>
      </c>
      <c r="J302" s="64"/>
    </row>
  </sheetData>
  <mergeCells count="22">
    <mergeCell ref="A129:A130"/>
    <mergeCell ref="H129:H130"/>
    <mergeCell ref="A137:A138"/>
    <mergeCell ref="H137:H138"/>
    <mergeCell ref="H93:H94"/>
    <mergeCell ref="A111:A112"/>
    <mergeCell ref="H111:H112"/>
    <mergeCell ref="A93:A94"/>
    <mergeCell ref="A30:R30"/>
    <mergeCell ref="A57:R57"/>
    <mergeCell ref="A1:R1"/>
    <mergeCell ref="A122:A123"/>
    <mergeCell ref="H122:H123"/>
    <mergeCell ref="A32:A33"/>
    <mergeCell ref="A75:A76"/>
    <mergeCell ref="H75:H76"/>
    <mergeCell ref="A84:A85"/>
    <mergeCell ref="H84:H85"/>
    <mergeCell ref="H32:H33"/>
    <mergeCell ref="A59:A60"/>
    <mergeCell ref="H59:H60"/>
    <mergeCell ref="Q59:Q60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F49"/>
  <sheetViews>
    <sheetView showGridLines="0" workbookViewId="0"/>
  </sheetViews>
  <sheetFormatPr defaultColWidth="9.75" defaultRowHeight="12.75" x14ac:dyDescent="0.2"/>
  <cols>
    <col min="1" max="1" width="1.5" style="70" customWidth="1"/>
    <col min="2" max="2" width="36" style="70" bestFit="1" customWidth="1"/>
    <col min="3" max="32" width="12.25" style="70" customWidth="1"/>
    <col min="33" max="16384" width="9.75" style="70"/>
  </cols>
  <sheetData>
    <row r="1" spans="2:32" ht="5.25" customHeight="1" thickBot="1" x14ac:dyDescent="0.25"/>
    <row r="2" spans="2:32" ht="13.5" thickBot="1" x14ac:dyDescent="0.25">
      <c r="B2" s="221" t="s">
        <v>316</v>
      </c>
      <c r="C2" s="223" t="s">
        <v>317</v>
      </c>
      <c r="D2" s="223"/>
      <c r="E2" s="223"/>
      <c r="F2" s="223"/>
      <c r="G2" s="223"/>
      <c r="H2" s="223"/>
      <c r="I2" s="223"/>
      <c r="J2" s="223"/>
      <c r="K2" s="223"/>
      <c r="L2" s="224"/>
      <c r="M2" s="225" t="s">
        <v>318</v>
      </c>
      <c r="N2" s="223"/>
      <c r="O2" s="223"/>
      <c r="P2" s="223"/>
      <c r="Q2" s="223"/>
      <c r="R2" s="223"/>
      <c r="S2" s="223"/>
      <c r="T2" s="223"/>
      <c r="U2" s="223"/>
      <c r="V2" s="224"/>
      <c r="W2" s="225" t="s">
        <v>319</v>
      </c>
      <c r="X2" s="223"/>
      <c r="Y2" s="223"/>
      <c r="Z2" s="223"/>
      <c r="AA2" s="223"/>
      <c r="AB2" s="223"/>
      <c r="AC2" s="223"/>
      <c r="AD2" s="223"/>
      <c r="AE2" s="223"/>
      <c r="AF2" s="224"/>
    </row>
    <row r="3" spans="2:32" s="130" customFormat="1" ht="32.25" thickBot="1" x14ac:dyDescent="0.25">
      <c r="B3" s="222"/>
      <c r="C3" s="149" t="s">
        <v>320</v>
      </c>
      <c r="D3" s="150" t="s">
        <v>321</v>
      </c>
      <c r="E3" s="151" t="s">
        <v>322</v>
      </c>
      <c r="F3" s="151" t="s">
        <v>323</v>
      </c>
      <c r="G3" s="152" t="s">
        <v>324</v>
      </c>
      <c r="H3" s="152" t="s">
        <v>325</v>
      </c>
      <c r="I3" s="152" t="s">
        <v>326</v>
      </c>
      <c r="J3" s="153" t="s">
        <v>327</v>
      </c>
      <c r="K3" s="153" t="s">
        <v>328</v>
      </c>
      <c r="L3" s="154" t="s">
        <v>329</v>
      </c>
      <c r="M3" s="149" t="s">
        <v>320</v>
      </c>
      <c r="N3" s="150" t="s">
        <v>321</v>
      </c>
      <c r="O3" s="151" t="s">
        <v>322</v>
      </c>
      <c r="P3" s="151" t="s">
        <v>323</v>
      </c>
      <c r="Q3" s="152" t="s">
        <v>324</v>
      </c>
      <c r="R3" s="152" t="s">
        <v>325</v>
      </c>
      <c r="S3" s="152" t="s">
        <v>326</v>
      </c>
      <c r="T3" s="153" t="s">
        <v>327</v>
      </c>
      <c r="U3" s="153" t="s">
        <v>328</v>
      </c>
      <c r="V3" s="154" t="s">
        <v>329</v>
      </c>
      <c r="W3" s="149" t="s">
        <v>320</v>
      </c>
      <c r="X3" s="207" t="s">
        <v>321</v>
      </c>
      <c r="Y3" s="151" t="s">
        <v>322</v>
      </c>
      <c r="Z3" s="151" t="s">
        <v>323</v>
      </c>
      <c r="AA3" s="152" t="s">
        <v>324</v>
      </c>
      <c r="AB3" s="152" t="s">
        <v>325</v>
      </c>
      <c r="AC3" s="152" t="s">
        <v>326</v>
      </c>
      <c r="AD3" s="153" t="s">
        <v>327</v>
      </c>
      <c r="AE3" s="153" t="s">
        <v>328</v>
      </c>
      <c r="AF3" s="154" t="s">
        <v>329</v>
      </c>
    </row>
    <row r="4" spans="2:32" x14ac:dyDescent="0.2">
      <c r="B4" s="131" t="s">
        <v>198</v>
      </c>
      <c r="C4" s="132">
        <v>9733</v>
      </c>
      <c r="D4" s="132">
        <v>6591</v>
      </c>
      <c r="E4" s="132">
        <v>5505</v>
      </c>
      <c r="F4" s="116">
        <v>0.83522985889849799</v>
      </c>
      <c r="G4" s="133">
        <v>6591</v>
      </c>
      <c r="H4" s="134">
        <v>5505</v>
      </c>
      <c r="I4" s="117">
        <v>0.83522985889849799</v>
      </c>
      <c r="J4" s="165">
        <v>9716</v>
      </c>
      <c r="K4" s="166">
        <v>8397</v>
      </c>
      <c r="L4" s="167">
        <v>0.86424454508027992</v>
      </c>
      <c r="M4" s="132">
        <v>11665</v>
      </c>
      <c r="N4" s="132">
        <v>7493</v>
      </c>
      <c r="O4" s="135">
        <v>6333</v>
      </c>
      <c r="P4" s="118">
        <v>0.84518884292005869</v>
      </c>
      <c r="Q4" s="133">
        <v>8239</v>
      </c>
      <c r="R4" s="134">
        <v>6884</v>
      </c>
      <c r="S4" s="117">
        <v>0.83553829348221875</v>
      </c>
      <c r="T4" s="165">
        <v>11618</v>
      </c>
      <c r="U4" s="166">
        <v>10210</v>
      </c>
      <c r="V4" s="167">
        <v>0.87880874505078321</v>
      </c>
      <c r="W4" s="132">
        <v>11795</v>
      </c>
      <c r="X4" s="132">
        <v>9482</v>
      </c>
      <c r="Y4" s="135">
        <v>7499</v>
      </c>
      <c r="Z4" s="116">
        <v>0.79086690571609364</v>
      </c>
      <c r="AA4" s="133">
        <v>15986</v>
      </c>
      <c r="AB4" s="134">
        <v>13717</v>
      </c>
      <c r="AC4" s="117">
        <v>0.8580633053922182</v>
      </c>
      <c r="AD4" s="165">
        <v>9482</v>
      </c>
      <c r="AE4" s="166">
        <v>7499</v>
      </c>
      <c r="AF4" s="167">
        <v>0.79086690571609364</v>
      </c>
    </row>
    <row r="5" spans="2:32" x14ac:dyDescent="0.2">
      <c r="B5" s="136" t="s">
        <v>199</v>
      </c>
      <c r="C5" s="168">
        <v>5001</v>
      </c>
      <c r="D5" s="168">
        <v>4230</v>
      </c>
      <c r="E5" s="168">
        <v>2713</v>
      </c>
      <c r="F5" s="204">
        <v>0.64137115839243497</v>
      </c>
      <c r="G5" s="168">
        <v>4230</v>
      </c>
      <c r="H5" s="169">
        <v>2713</v>
      </c>
      <c r="I5" s="170">
        <v>0.64137115839243497</v>
      </c>
      <c r="J5" s="168">
        <v>4979</v>
      </c>
      <c r="K5" s="169">
        <v>2948</v>
      </c>
      <c r="L5" s="170">
        <v>0.59208676441052421</v>
      </c>
      <c r="M5" s="168">
        <v>5145</v>
      </c>
      <c r="N5" s="168">
        <v>4592</v>
      </c>
      <c r="O5" s="169">
        <v>3426</v>
      </c>
      <c r="P5" s="170">
        <v>0.74608013937282225</v>
      </c>
      <c r="Q5" s="168">
        <v>5187</v>
      </c>
      <c r="R5" s="169">
        <v>3616</v>
      </c>
      <c r="S5" s="170">
        <v>0.69712743396953925</v>
      </c>
      <c r="T5" s="168">
        <v>5117</v>
      </c>
      <c r="U5" s="169">
        <v>3663</v>
      </c>
      <c r="V5" s="170">
        <v>0.71584913034981434</v>
      </c>
      <c r="W5" s="168">
        <v>4973</v>
      </c>
      <c r="X5" s="168">
        <v>4523</v>
      </c>
      <c r="Y5" s="169">
        <v>3492</v>
      </c>
      <c r="Z5" s="204">
        <v>0.7720539464956887</v>
      </c>
      <c r="AA5" s="168">
        <v>5202</v>
      </c>
      <c r="AB5" s="169">
        <v>3774</v>
      </c>
      <c r="AC5" s="170">
        <v>0.72549019607843135</v>
      </c>
      <c r="AD5" s="168">
        <v>4523</v>
      </c>
      <c r="AE5" s="169">
        <v>3492</v>
      </c>
      <c r="AF5" s="170">
        <v>0.7720539464956887</v>
      </c>
    </row>
    <row r="6" spans="2:32" x14ac:dyDescent="0.2">
      <c r="B6" s="137" t="s">
        <v>200</v>
      </c>
      <c r="C6" s="138">
        <v>2001</v>
      </c>
      <c r="D6" s="138">
        <v>1725</v>
      </c>
      <c r="E6" s="138">
        <v>1526</v>
      </c>
      <c r="F6" s="119">
        <v>0.88463768115942032</v>
      </c>
      <c r="G6" s="139">
        <v>1725</v>
      </c>
      <c r="H6" s="140">
        <v>1526</v>
      </c>
      <c r="I6" s="120">
        <v>0.88463768115942032</v>
      </c>
      <c r="J6" s="171">
        <v>1983</v>
      </c>
      <c r="K6" s="172">
        <v>1675</v>
      </c>
      <c r="L6" s="173">
        <v>0.84467977811396877</v>
      </c>
      <c r="M6" s="138">
        <v>3551</v>
      </c>
      <c r="N6" s="138">
        <v>3365</v>
      </c>
      <c r="O6" s="141">
        <v>3169</v>
      </c>
      <c r="P6" s="121">
        <v>0.94175334323922733</v>
      </c>
      <c r="Q6" s="139">
        <v>3602</v>
      </c>
      <c r="R6" s="140">
        <v>3308</v>
      </c>
      <c r="S6" s="122">
        <v>0.91837867851193777</v>
      </c>
      <c r="T6" s="171">
        <v>3516</v>
      </c>
      <c r="U6" s="172">
        <v>3271</v>
      </c>
      <c r="V6" s="174">
        <v>0.93031854379977252</v>
      </c>
      <c r="W6" s="138">
        <v>3187</v>
      </c>
      <c r="X6" s="138">
        <v>2996</v>
      </c>
      <c r="Y6" s="141">
        <v>2818</v>
      </c>
      <c r="Z6" s="123">
        <v>0.94058744993324428</v>
      </c>
      <c r="AA6" s="139">
        <v>3168</v>
      </c>
      <c r="AB6" s="140">
        <v>2930</v>
      </c>
      <c r="AC6" s="122">
        <v>0.92487373737373735</v>
      </c>
      <c r="AD6" s="171">
        <v>2996</v>
      </c>
      <c r="AE6" s="172">
        <v>2818</v>
      </c>
      <c r="AF6" s="174">
        <v>0.94058744993324428</v>
      </c>
    </row>
    <row r="7" spans="2:32" x14ac:dyDescent="0.2">
      <c r="B7" s="142" t="e">
        <v>#N/A</v>
      </c>
      <c r="C7" s="168">
        <v>1363</v>
      </c>
      <c r="D7" s="168">
        <v>1219</v>
      </c>
      <c r="E7" s="168">
        <v>925</v>
      </c>
      <c r="F7" s="204">
        <v>0.75881870385561934</v>
      </c>
      <c r="G7" s="168">
        <v>1219</v>
      </c>
      <c r="H7" s="169">
        <v>925</v>
      </c>
      <c r="I7" s="170">
        <v>0.75881870385561934</v>
      </c>
      <c r="J7" s="168">
        <v>1354</v>
      </c>
      <c r="K7" s="169">
        <v>970</v>
      </c>
      <c r="L7" s="170">
        <v>0.71639586410635159</v>
      </c>
      <c r="M7" s="168">
        <v>1354</v>
      </c>
      <c r="N7" s="168">
        <v>1246</v>
      </c>
      <c r="O7" s="169">
        <v>1065</v>
      </c>
      <c r="P7" s="170">
        <v>0.8547351524879615</v>
      </c>
      <c r="Q7" s="168">
        <v>1349</v>
      </c>
      <c r="R7" s="169">
        <v>1100</v>
      </c>
      <c r="S7" s="170">
        <v>0.81541882876204597</v>
      </c>
      <c r="T7" s="168">
        <v>1342</v>
      </c>
      <c r="U7" s="169">
        <v>1119</v>
      </c>
      <c r="V7" s="170">
        <v>0.83383010432190763</v>
      </c>
      <c r="W7" s="168">
        <v>2092</v>
      </c>
      <c r="X7" s="168">
        <v>1955</v>
      </c>
      <c r="Y7" s="169">
        <v>1739</v>
      </c>
      <c r="Z7" s="204">
        <v>0.88951406649616371</v>
      </c>
      <c r="AA7" s="168">
        <v>2083</v>
      </c>
      <c r="AB7" s="169">
        <v>1803</v>
      </c>
      <c r="AC7" s="170">
        <v>0.86557849255880936</v>
      </c>
      <c r="AD7" s="168">
        <v>1955</v>
      </c>
      <c r="AE7" s="169">
        <v>1739</v>
      </c>
      <c r="AF7" s="170">
        <v>0.88951406649616371</v>
      </c>
    </row>
    <row r="8" spans="2:32" x14ac:dyDescent="0.2">
      <c r="B8" s="137" t="s">
        <v>201</v>
      </c>
      <c r="C8" s="138">
        <v>1188</v>
      </c>
      <c r="D8" s="138">
        <v>1013</v>
      </c>
      <c r="E8" s="138">
        <v>842</v>
      </c>
      <c r="F8" s="119">
        <v>0.83119447186574535</v>
      </c>
      <c r="G8" s="139">
        <v>1013</v>
      </c>
      <c r="H8" s="140">
        <v>842</v>
      </c>
      <c r="I8" s="120">
        <v>0.83119447186574535</v>
      </c>
      <c r="J8" s="171">
        <v>1195</v>
      </c>
      <c r="K8" s="172">
        <v>906</v>
      </c>
      <c r="L8" s="173">
        <v>0.75815899581589963</v>
      </c>
      <c r="M8" s="138">
        <v>1277</v>
      </c>
      <c r="N8" s="138">
        <v>1107</v>
      </c>
      <c r="O8" s="141">
        <v>1003</v>
      </c>
      <c r="P8" s="121">
        <v>0.90605239385727188</v>
      </c>
      <c r="Q8" s="139">
        <v>1248</v>
      </c>
      <c r="R8" s="140">
        <v>1058</v>
      </c>
      <c r="S8" s="120">
        <v>0.84775641025641024</v>
      </c>
      <c r="T8" s="171">
        <v>1260</v>
      </c>
      <c r="U8" s="172">
        <v>1091</v>
      </c>
      <c r="V8" s="173">
        <v>0.86587301587301591</v>
      </c>
      <c r="W8" s="138">
        <v>1478</v>
      </c>
      <c r="X8" s="138">
        <v>1293</v>
      </c>
      <c r="Y8" s="141">
        <v>1126</v>
      </c>
      <c r="Z8" s="119">
        <v>0.87084300077339516</v>
      </c>
      <c r="AA8" s="139">
        <v>1470</v>
      </c>
      <c r="AB8" s="140">
        <v>1223</v>
      </c>
      <c r="AC8" s="120">
        <v>0.83197278911564621</v>
      </c>
      <c r="AD8" s="171">
        <v>1293</v>
      </c>
      <c r="AE8" s="172">
        <v>1126</v>
      </c>
      <c r="AF8" s="173">
        <v>0.87084300077339516</v>
      </c>
    </row>
    <row r="9" spans="2:32" x14ac:dyDescent="0.2">
      <c r="B9" s="136" t="s">
        <v>202</v>
      </c>
      <c r="C9" s="168">
        <v>1211</v>
      </c>
      <c r="D9" s="168">
        <v>986</v>
      </c>
      <c r="E9" s="168">
        <v>660</v>
      </c>
      <c r="F9" s="204">
        <v>0.66937119675456391</v>
      </c>
      <c r="G9" s="168">
        <v>986</v>
      </c>
      <c r="H9" s="169">
        <v>660</v>
      </c>
      <c r="I9" s="170">
        <v>0.66937119675456391</v>
      </c>
      <c r="J9" s="168">
        <v>1178</v>
      </c>
      <c r="K9" s="169">
        <v>712</v>
      </c>
      <c r="L9" s="170">
        <v>0.60441426146010191</v>
      </c>
      <c r="M9" s="168">
        <v>1291</v>
      </c>
      <c r="N9" s="168">
        <v>1062</v>
      </c>
      <c r="O9" s="169">
        <v>767</v>
      </c>
      <c r="P9" s="170">
        <v>0.72222222222222221</v>
      </c>
      <c r="Q9" s="168">
        <v>1243</v>
      </c>
      <c r="R9" s="169">
        <v>815</v>
      </c>
      <c r="S9" s="170">
        <v>0.65567176186645215</v>
      </c>
      <c r="T9" s="168">
        <v>1247</v>
      </c>
      <c r="U9" s="169">
        <v>847</v>
      </c>
      <c r="V9" s="170">
        <v>0.67923015236567763</v>
      </c>
      <c r="W9" s="168">
        <v>1218</v>
      </c>
      <c r="X9" s="168">
        <v>1034</v>
      </c>
      <c r="Y9" s="169">
        <v>752</v>
      </c>
      <c r="Z9" s="204">
        <v>0.72727272727272729</v>
      </c>
      <c r="AA9" s="168">
        <v>1247</v>
      </c>
      <c r="AB9" s="169">
        <v>836</v>
      </c>
      <c r="AC9" s="170">
        <v>0.67040898155573381</v>
      </c>
      <c r="AD9" s="168">
        <v>1034</v>
      </c>
      <c r="AE9" s="169">
        <v>752</v>
      </c>
      <c r="AF9" s="170">
        <v>0.72727272727272729</v>
      </c>
    </row>
    <row r="10" spans="2:32" x14ac:dyDescent="0.2">
      <c r="B10" s="137" t="s">
        <v>203</v>
      </c>
      <c r="C10" s="138">
        <v>681</v>
      </c>
      <c r="D10" s="138">
        <v>636</v>
      </c>
      <c r="E10" s="138">
        <v>605</v>
      </c>
      <c r="F10" s="123">
        <v>0.95125786163522008</v>
      </c>
      <c r="G10" s="139">
        <v>636</v>
      </c>
      <c r="H10" s="140">
        <v>605</v>
      </c>
      <c r="I10" s="122">
        <v>0.95125786163522008</v>
      </c>
      <c r="J10" s="171">
        <v>680</v>
      </c>
      <c r="K10" s="172">
        <v>639</v>
      </c>
      <c r="L10" s="174">
        <v>0.93970588235294117</v>
      </c>
      <c r="M10" s="138">
        <v>912</v>
      </c>
      <c r="N10" s="138">
        <v>882</v>
      </c>
      <c r="O10" s="141">
        <v>856</v>
      </c>
      <c r="P10" s="121">
        <v>0.97052154195011342</v>
      </c>
      <c r="Q10" s="139">
        <v>922</v>
      </c>
      <c r="R10" s="140">
        <v>886</v>
      </c>
      <c r="S10" s="122">
        <v>0.9609544468546638</v>
      </c>
      <c r="T10" s="171">
        <v>906</v>
      </c>
      <c r="U10" s="172">
        <v>874</v>
      </c>
      <c r="V10" s="174">
        <v>0.96467991169977929</v>
      </c>
      <c r="W10" s="138">
        <v>775</v>
      </c>
      <c r="X10" s="138">
        <v>752</v>
      </c>
      <c r="Y10" s="141">
        <v>732</v>
      </c>
      <c r="Z10" s="123">
        <v>0.97340425531914898</v>
      </c>
      <c r="AA10" s="139">
        <v>780</v>
      </c>
      <c r="AB10" s="140">
        <v>754</v>
      </c>
      <c r="AC10" s="122">
        <v>0.96666666666666667</v>
      </c>
      <c r="AD10" s="171">
        <v>752</v>
      </c>
      <c r="AE10" s="172">
        <v>732</v>
      </c>
      <c r="AF10" s="174">
        <v>0.97340425531914898</v>
      </c>
    </row>
    <row r="11" spans="2:32" x14ac:dyDescent="0.2">
      <c r="B11" s="136" t="s">
        <v>204</v>
      </c>
      <c r="C11" s="168">
        <v>412</v>
      </c>
      <c r="D11" s="168">
        <v>352</v>
      </c>
      <c r="E11" s="168">
        <v>295</v>
      </c>
      <c r="F11" s="204">
        <v>0.83806818181818177</v>
      </c>
      <c r="G11" s="168">
        <v>352</v>
      </c>
      <c r="H11" s="169">
        <v>295</v>
      </c>
      <c r="I11" s="170">
        <v>0.83806818181818177</v>
      </c>
      <c r="J11" s="168">
        <v>504</v>
      </c>
      <c r="K11" s="169">
        <v>331</v>
      </c>
      <c r="L11" s="170">
        <v>0.65674603174603174</v>
      </c>
      <c r="M11" s="168">
        <v>443</v>
      </c>
      <c r="N11" s="168">
        <v>408</v>
      </c>
      <c r="O11" s="169">
        <v>359</v>
      </c>
      <c r="P11" s="170">
        <v>0.87990196078431371</v>
      </c>
      <c r="Q11" s="168">
        <v>459</v>
      </c>
      <c r="R11" s="169">
        <v>391</v>
      </c>
      <c r="S11" s="170">
        <v>0.85185185185185186</v>
      </c>
      <c r="T11" s="168">
        <v>440</v>
      </c>
      <c r="U11" s="169">
        <v>374</v>
      </c>
      <c r="V11" s="170">
        <v>0.85</v>
      </c>
      <c r="W11" s="168">
        <v>441</v>
      </c>
      <c r="X11" s="168">
        <v>394</v>
      </c>
      <c r="Y11" s="169">
        <v>352</v>
      </c>
      <c r="Z11" s="204">
        <v>0.89340101522842641</v>
      </c>
      <c r="AA11" s="168">
        <v>435</v>
      </c>
      <c r="AB11" s="169">
        <v>371</v>
      </c>
      <c r="AC11" s="170">
        <v>0.85287356321839081</v>
      </c>
      <c r="AD11" s="168">
        <v>394</v>
      </c>
      <c r="AE11" s="169">
        <v>352</v>
      </c>
      <c r="AF11" s="170">
        <v>0.89340101522842641</v>
      </c>
    </row>
    <row r="12" spans="2:32" x14ac:dyDescent="0.2">
      <c r="B12" s="137" t="s">
        <v>205</v>
      </c>
      <c r="C12" s="138">
        <v>515</v>
      </c>
      <c r="D12" s="138">
        <v>454</v>
      </c>
      <c r="E12" s="138">
        <v>350</v>
      </c>
      <c r="F12" s="119">
        <v>0.77092511013215859</v>
      </c>
      <c r="G12" s="139">
        <v>454</v>
      </c>
      <c r="H12" s="140">
        <v>350</v>
      </c>
      <c r="I12" s="120">
        <v>0.77092511013215859</v>
      </c>
      <c r="J12" s="171">
        <v>412</v>
      </c>
      <c r="K12" s="172">
        <v>377</v>
      </c>
      <c r="L12" s="174">
        <v>0.91504854368932043</v>
      </c>
      <c r="M12" s="138">
        <v>436</v>
      </c>
      <c r="N12" s="138">
        <v>385</v>
      </c>
      <c r="O12" s="141">
        <v>327</v>
      </c>
      <c r="P12" s="124">
        <v>0.8493506493506493</v>
      </c>
      <c r="Q12" s="139">
        <v>430</v>
      </c>
      <c r="R12" s="140">
        <v>353</v>
      </c>
      <c r="S12" s="120">
        <v>0.82093023255813957</v>
      </c>
      <c r="T12" s="171">
        <v>434</v>
      </c>
      <c r="U12" s="172">
        <v>363</v>
      </c>
      <c r="V12" s="173">
        <v>0.83640552995391704</v>
      </c>
      <c r="W12" s="138">
        <v>314</v>
      </c>
      <c r="X12" s="138">
        <v>288</v>
      </c>
      <c r="Y12" s="141">
        <v>250</v>
      </c>
      <c r="Z12" s="119">
        <v>0.86805555555555558</v>
      </c>
      <c r="AA12" s="139">
        <v>342</v>
      </c>
      <c r="AB12" s="140">
        <v>287</v>
      </c>
      <c r="AC12" s="120">
        <v>0.83918128654970758</v>
      </c>
      <c r="AD12" s="171">
        <v>288</v>
      </c>
      <c r="AE12" s="172">
        <v>250</v>
      </c>
      <c r="AF12" s="173">
        <v>0.86805555555555558</v>
      </c>
    </row>
    <row r="13" spans="2:32" x14ac:dyDescent="0.2">
      <c r="B13" s="136" t="s">
        <v>206</v>
      </c>
      <c r="C13" s="168">
        <v>373</v>
      </c>
      <c r="D13" s="168">
        <v>340</v>
      </c>
      <c r="E13" s="168">
        <v>292</v>
      </c>
      <c r="F13" s="204">
        <v>0.85882352941176465</v>
      </c>
      <c r="G13" s="168">
        <v>340</v>
      </c>
      <c r="H13" s="169">
        <v>292</v>
      </c>
      <c r="I13" s="170">
        <v>0.85882352941176465</v>
      </c>
      <c r="J13" s="168">
        <v>372</v>
      </c>
      <c r="K13" s="169">
        <v>313</v>
      </c>
      <c r="L13" s="170">
        <v>0.84139784946236562</v>
      </c>
      <c r="M13" s="168">
        <v>481</v>
      </c>
      <c r="N13" s="168">
        <v>449</v>
      </c>
      <c r="O13" s="169">
        <v>410</v>
      </c>
      <c r="P13" s="205">
        <v>0.9131403118040089</v>
      </c>
      <c r="Q13" s="168">
        <v>476</v>
      </c>
      <c r="R13" s="169">
        <v>429</v>
      </c>
      <c r="S13" s="205">
        <v>0.90126050420168069</v>
      </c>
      <c r="T13" s="168">
        <v>476</v>
      </c>
      <c r="U13" s="169">
        <v>428</v>
      </c>
      <c r="V13" s="205">
        <v>0.89915966386554624</v>
      </c>
      <c r="W13" s="168">
        <v>342</v>
      </c>
      <c r="X13" s="168">
        <v>325</v>
      </c>
      <c r="Y13" s="169">
        <v>287</v>
      </c>
      <c r="Z13" s="204">
        <v>0.88307692307692309</v>
      </c>
      <c r="AA13" s="168">
        <v>357</v>
      </c>
      <c r="AB13" s="169">
        <v>307</v>
      </c>
      <c r="AC13" s="170">
        <v>0.85994397759103647</v>
      </c>
      <c r="AD13" s="168">
        <v>325</v>
      </c>
      <c r="AE13" s="169">
        <v>287</v>
      </c>
      <c r="AF13" s="170">
        <v>0.88307692307692309</v>
      </c>
    </row>
    <row r="14" spans="2:32" x14ac:dyDescent="0.2">
      <c r="B14" s="137" t="s">
        <v>207</v>
      </c>
      <c r="C14" s="138">
        <v>222</v>
      </c>
      <c r="D14" s="138">
        <v>196</v>
      </c>
      <c r="E14" s="138">
        <v>172</v>
      </c>
      <c r="F14" s="119">
        <v>0.87755102040816324</v>
      </c>
      <c r="G14" s="139">
        <v>196</v>
      </c>
      <c r="H14" s="140">
        <v>172</v>
      </c>
      <c r="I14" s="120">
        <v>0.87755102040816324</v>
      </c>
      <c r="J14" s="171">
        <v>222</v>
      </c>
      <c r="K14" s="172">
        <v>190</v>
      </c>
      <c r="L14" s="173">
        <v>0.85585585585585588</v>
      </c>
      <c r="M14" s="138">
        <v>199</v>
      </c>
      <c r="N14" s="138">
        <v>177</v>
      </c>
      <c r="O14" s="141">
        <v>159</v>
      </c>
      <c r="P14" s="121">
        <v>0.89830508474576276</v>
      </c>
      <c r="Q14" s="139">
        <v>198</v>
      </c>
      <c r="R14" s="140">
        <v>175</v>
      </c>
      <c r="S14" s="120">
        <v>0.88383838383838387</v>
      </c>
      <c r="T14" s="171">
        <v>197</v>
      </c>
      <c r="U14" s="172">
        <v>175</v>
      </c>
      <c r="V14" s="173">
        <v>0.8883248730964467</v>
      </c>
      <c r="W14" s="138">
        <v>156</v>
      </c>
      <c r="X14" s="138">
        <v>148</v>
      </c>
      <c r="Y14" s="141">
        <v>137</v>
      </c>
      <c r="Z14" s="123">
        <v>0.92567567567567566</v>
      </c>
      <c r="AA14" s="139">
        <v>173</v>
      </c>
      <c r="AB14" s="140">
        <v>155</v>
      </c>
      <c r="AC14" s="122">
        <v>0.89595375722543358</v>
      </c>
      <c r="AD14" s="171">
        <v>148</v>
      </c>
      <c r="AE14" s="172">
        <v>137</v>
      </c>
      <c r="AF14" s="174">
        <v>0.92567567567567566</v>
      </c>
    </row>
    <row r="15" spans="2:32" x14ac:dyDescent="0.2">
      <c r="B15" s="136" t="s">
        <v>208</v>
      </c>
      <c r="C15" s="168">
        <v>192</v>
      </c>
      <c r="D15" s="168">
        <v>160</v>
      </c>
      <c r="E15" s="168">
        <v>110</v>
      </c>
      <c r="F15" s="204">
        <v>0.6875</v>
      </c>
      <c r="G15" s="168">
        <v>160</v>
      </c>
      <c r="H15" s="169">
        <v>110</v>
      </c>
      <c r="I15" s="170">
        <v>0.6875</v>
      </c>
      <c r="J15" s="168">
        <v>190</v>
      </c>
      <c r="K15" s="169">
        <v>120</v>
      </c>
      <c r="L15" s="170">
        <v>0.63157894736842102</v>
      </c>
      <c r="M15" s="168">
        <v>185</v>
      </c>
      <c r="N15" s="168">
        <v>157</v>
      </c>
      <c r="O15" s="169">
        <v>129</v>
      </c>
      <c r="P15" s="170">
        <v>0.82165605095541405</v>
      </c>
      <c r="Q15" s="168">
        <v>181</v>
      </c>
      <c r="R15" s="169">
        <v>138</v>
      </c>
      <c r="S15" s="170">
        <v>0.76243093922651939</v>
      </c>
      <c r="T15" s="168">
        <v>179</v>
      </c>
      <c r="U15" s="169">
        <v>138</v>
      </c>
      <c r="V15" s="170">
        <v>0.77094972067039103</v>
      </c>
      <c r="W15" s="168">
        <v>150</v>
      </c>
      <c r="X15" s="168">
        <v>129</v>
      </c>
      <c r="Y15" s="169">
        <v>98</v>
      </c>
      <c r="Z15" s="204">
        <v>0.75968992248062017</v>
      </c>
      <c r="AA15" s="168">
        <v>157</v>
      </c>
      <c r="AB15" s="169">
        <v>108</v>
      </c>
      <c r="AC15" s="170">
        <v>0.68789808917197448</v>
      </c>
      <c r="AD15" s="168">
        <v>129</v>
      </c>
      <c r="AE15" s="169">
        <v>98</v>
      </c>
      <c r="AF15" s="170">
        <v>0.75968992248062017</v>
      </c>
    </row>
    <row r="16" spans="2:32" x14ac:dyDescent="0.2">
      <c r="B16" s="137" t="s">
        <v>209</v>
      </c>
      <c r="C16" s="138">
        <v>70</v>
      </c>
      <c r="D16" s="138">
        <v>69</v>
      </c>
      <c r="E16" s="138">
        <v>62</v>
      </c>
      <c r="F16" s="123">
        <v>0.89855072463768115</v>
      </c>
      <c r="G16" s="139">
        <v>69</v>
      </c>
      <c r="H16" s="140">
        <v>62</v>
      </c>
      <c r="I16" s="122">
        <v>0.89855072463768115</v>
      </c>
      <c r="J16" s="171">
        <v>70</v>
      </c>
      <c r="K16" s="172">
        <v>62</v>
      </c>
      <c r="L16" s="173">
        <v>0.88571428571428568</v>
      </c>
      <c r="M16" s="138">
        <v>63</v>
      </c>
      <c r="N16" s="138">
        <v>57</v>
      </c>
      <c r="O16" s="141">
        <v>50</v>
      </c>
      <c r="P16" s="124">
        <v>0.8771929824561403</v>
      </c>
      <c r="Q16" s="139">
        <v>58</v>
      </c>
      <c r="R16" s="140">
        <v>50</v>
      </c>
      <c r="S16" s="120">
        <v>0.86206896551724133</v>
      </c>
      <c r="T16" s="171">
        <v>63</v>
      </c>
      <c r="U16" s="172">
        <v>55</v>
      </c>
      <c r="V16" s="173">
        <v>0.87301587301587302</v>
      </c>
      <c r="W16" s="138">
        <v>50</v>
      </c>
      <c r="X16" s="138">
        <v>48</v>
      </c>
      <c r="Y16" s="141">
        <v>42</v>
      </c>
      <c r="Z16" s="119">
        <v>0.875</v>
      </c>
      <c r="AA16" s="139">
        <v>54</v>
      </c>
      <c r="AB16" s="140">
        <v>47</v>
      </c>
      <c r="AC16" s="120">
        <v>0.87037037037037035</v>
      </c>
      <c r="AD16" s="171">
        <v>48</v>
      </c>
      <c r="AE16" s="172">
        <v>42</v>
      </c>
      <c r="AF16" s="173">
        <v>0.875</v>
      </c>
    </row>
    <row r="17" spans="2:32" x14ac:dyDescent="0.2">
      <c r="B17" s="136" t="s">
        <v>210</v>
      </c>
      <c r="C17" s="168">
        <v>44</v>
      </c>
      <c r="D17" s="168">
        <v>37</v>
      </c>
      <c r="E17" s="168">
        <v>27</v>
      </c>
      <c r="F17" s="204">
        <v>0.72972972972972971</v>
      </c>
      <c r="G17" s="168">
        <v>37</v>
      </c>
      <c r="H17" s="169">
        <v>27</v>
      </c>
      <c r="I17" s="170">
        <v>0.72972972972972971</v>
      </c>
      <c r="J17" s="168">
        <v>44</v>
      </c>
      <c r="K17" s="169">
        <v>30</v>
      </c>
      <c r="L17" s="170">
        <v>0.68181818181818177</v>
      </c>
      <c r="M17" s="168">
        <v>41</v>
      </c>
      <c r="N17" s="168">
        <v>39</v>
      </c>
      <c r="O17" s="169">
        <v>37</v>
      </c>
      <c r="P17" s="205">
        <v>0.94871794871794868</v>
      </c>
      <c r="Q17" s="168">
        <v>46</v>
      </c>
      <c r="R17" s="169">
        <v>40</v>
      </c>
      <c r="S17" s="170">
        <v>0.86956521739130432</v>
      </c>
      <c r="T17" s="168">
        <v>41</v>
      </c>
      <c r="U17" s="169">
        <v>39</v>
      </c>
      <c r="V17" s="205">
        <v>0.95121951219512191</v>
      </c>
      <c r="W17" s="168">
        <v>42</v>
      </c>
      <c r="X17" s="168">
        <v>40</v>
      </c>
      <c r="Y17" s="169">
        <v>37</v>
      </c>
      <c r="Z17" s="206">
        <v>0.92500000000000004</v>
      </c>
      <c r="AA17" s="168">
        <v>42</v>
      </c>
      <c r="AB17" s="169">
        <v>39</v>
      </c>
      <c r="AC17" s="205">
        <v>0.9285714285714286</v>
      </c>
      <c r="AD17" s="168">
        <v>40</v>
      </c>
      <c r="AE17" s="169">
        <v>37</v>
      </c>
      <c r="AF17" s="205">
        <v>0.92500000000000004</v>
      </c>
    </row>
    <row r="18" spans="2:32" x14ac:dyDescent="0.2">
      <c r="B18" s="137" t="s">
        <v>211</v>
      </c>
      <c r="C18" s="138">
        <v>29</v>
      </c>
      <c r="D18" s="138">
        <v>28</v>
      </c>
      <c r="E18" s="138">
        <v>19</v>
      </c>
      <c r="F18" s="119">
        <v>0.6785714285714286</v>
      </c>
      <c r="G18" s="139">
        <v>28</v>
      </c>
      <c r="H18" s="140">
        <v>19</v>
      </c>
      <c r="I18" s="120">
        <v>0.6785714285714286</v>
      </c>
      <c r="J18" s="171">
        <v>29</v>
      </c>
      <c r="K18" s="172">
        <v>20</v>
      </c>
      <c r="L18" s="173">
        <v>0.68965517241379315</v>
      </c>
      <c r="M18" s="138">
        <v>38</v>
      </c>
      <c r="N18" s="138">
        <v>35</v>
      </c>
      <c r="O18" s="141">
        <v>33</v>
      </c>
      <c r="P18" s="121">
        <v>0.94285714285714284</v>
      </c>
      <c r="Q18" s="139">
        <v>36</v>
      </c>
      <c r="R18" s="140">
        <v>34</v>
      </c>
      <c r="S18" s="122">
        <v>0.94444444444444442</v>
      </c>
      <c r="T18" s="171">
        <v>38</v>
      </c>
      <c r="U18" s="172">
        <v>34</v>
      </c>
      <c r="V18" s="173">
        <v>0.89473684210526316</v>
      </c>
      <c r="W18" s="138">
        <v>23</v>
      </c>
      <c r="X18" s="138">
        <v>17</v>
      </c>
      <c r="Y18" s="141">
        <v>14</v>
      </c>
      <c r="Z18" s="119">
        <v>0.82352941176470584</v>
      </c>
      <c r="AA18" s="139">
        <v>20</v>
      </c>
      <c r="AB18" s="140">
        <v>15</v>
      </c>
      <c r="AC18" s="120">
        <v>0.75</v>
      </c>
      <c r="AD18" s="171">
        <v>17</v>
      </c>
      <c r="AE18" s="172">
        <v>14</v>
      </c>
      <c r="AF18" s="173">
        <v>0.82352941176470584</v>
      </c>
    </row>
    <row r="19" spans="2:32" x14ac:dyDescent="0.2">
      <c r="B19" s="136" t="s">
        <v>212</v>
      </c>
      <c r="C19" s="168">
        <v>26</v>
      </c>
      <c r="D19" s="168">
        <v>26</v>
      </c>
      <c r="E19" s="168">
        <v>25</v>
      </c>
      <c r="F19" s="206">
        <v>0.96153846153846156</v>
      </c>
      <c r="G19" s="168">
        <v>26</v>
      </c>
      <c r="H19" s="169">
        <v>25</v>
      </c>
      <c r="I19" s="205">
        <v>0.96153846153846156</v>
      </c>
      <c r="J19" s="168">
        <v>26</v>
      </c>
      <c r="K19" s="169">
        <v>25</v>
      </c>
      <c r="L19" s="205">
        <v>0.96153846153846156</v>
      </c>
      <c r="M19" s="168">
        <v>6</v>
      </c>
      <c r="N19" s="168">
        <v>6</v>
      </c>
      <c r="O19" s="169">
        <v>6</v>
      </c>
      <c r="P19" s="205">
        <v>1</v>
      </c>
      <c r="Q19" s="168">
        <v>6</v>
      </c>
      <c r="R19" s="169">
        <v>6</v>
      </c>
      <c r="S19" s="205">
        <v>1</v>
      </c>
      <c r="T19" s="168">
        <v>6</v>
      </c>
      <c r="U19" s="169">
        <v>6</v>
      </c>
      <c r="V19" s="205">
        <v>1</v>
      </c>
      <c r="W19" s="168">
        <v>42</v>
      </c>
      <c r="X19" s="168">
        <v>38</v>
      </c>
      <c r="Y19" s="169">
        <v>31</v>
      </c>
      <c r="Z19" s="204">
        <v>0.81578947368421051</v>
      </c>
      <c r="AA19" s="168">
        <v>38</v>
      </c>
      <c r="AB19" s="169">
        <v>31</v>
      </c>
      <c r="AC19" s="170">
        <v>0.81578947368421051</v>
      </c>
      <c r="AD19" s="168">
        <v>38</v>
      </c>
      <c r="AE19" s="169">
        <v>31</v>
      </c>
      <c r="AF19" s="170">
        <v>0.81578947368421051</v>
      </c>
    </row>
    <row r="20" spans="2:32" x14ac:dyDescent="0.2">
      <c r="B20" s="137" t="s">
        <v>213</v>
      </c>
      <c r="C20" s="138">
        <v>14</v>
      </c>
      <c r="D20" s="138">
        <v>10</v>
      </c>
      <c r="E20" s="138">
        <v>8</v>
      </c>
      <c r="F20" s="119">
        <v>0.8</v>
      </c>
      <c r="G20" s="139">
        <v>10</v>
      </c>
      <c r="H20" s="140">
        <v>8</v>
      </c>
      <c r="I20" s="120">
        <v>0.8</v>
      </c>
      <c r="J20" s="171">
        <v>23</v>
      </c>
      <c r="K20" s="172">
        <v>9</v>
      </c>
      <c r="L20" s="173">
        <v>0.39130434782608697</v>
      </c>
      <c r="M20" s="138">
        <v>23</v>
      </c>
      <c r="N20" s="138">
        <v>21</v>
      </c>
      <c r="O20" s="141">
        <v>15</v>
      </c>
      <c r="P20" s="124">
        <v>0.7142857142857143</v>
      </c>
      <c r="Q20" s="139">
        <v>24</v>
      </c>
      <c r="R20" s="140">
        <v>15</v>
      </c>
      <c r="S20" s="120">
        <v>0.625</v>
      </c>
      <c r="T20" s="171">
        <v>23</v>
      </c>
      <c r="U20" s="172">
        <v>16</v>
      </c>
      <c r="V20" s="173">
        <v>0.69565217391304346</v>
      </c>
      <c r="W20" s="138">
        <v>19</v>
      </c>
      <c r="X20" s="138">
        <v>19</v>
      </c>
      <c r="Y20" s="141">
        <v>16</v>
      </c>
      <c r="Z20" s="119">
        <v>0.84210526315789469</v>
      </c>
      <c r="AA20" s="139">
        <v>22</v>
      </c>
      <c r="AB20" s="140">
        <v>18</v>
      </c>
      <c r="AC20" s="120">
        <v>0.81818181818181823</v>
      </c>
      <c r="AD20" s="171">
        <v>19</v>
      </c>
      <c r="AE20" s="172">
        <v>16</v>
      </c>
      <c r="AF20" s="173">
        <v>0.84210526315789469</v>
      </c>
    </row>
    <row r="21" spans="2:32" x14ac:dyDescent="0.2">
      <c r="B21" s="136" t="s">
        <v>214</v>
      </c>
      <c r="C21" s="168">
        <v>18</v>
      </c>
      <c r="D21" s="168">
        <v>17</v>
      </c>
      <c r="E21" s="168">
        <v>13</v>
      </c>
      <c r="F21" s="204">
        <v>0.76470588235294112</v>
      </c>
      <c r="G21" s="168">
        <v>17</v>
      </c>
      <c r="H21" s="169">
        <v>13</v>
      </c>
      <c r="I21" s="170">
        <v>0.76470588235294112</v>
      </c>
      <c r="J21" s="168">
        <v>18</v>
      </c>
      <c r="K21" s="169">
        <v>13</v>
      </c>
      <c r="L21" s="170">
        <v>0.72222222222222221</v>
      </c>
      <c r="M21" s="168">
        <v>8</v>
      </c>
      <c r="N21" s="168">
        <v>8</v>
      </c>
      <c r="O21" s="169">
        <v>7</v>
      </c>
      <c r="P21" s="170">
        <v>0.875</v>
      </c>
      <c r="Q21" s="168">
        <v>9</v>
      </c>
      <c r="R21" s="169">
        <v>7</v>
      </c>
      <c r="S21" s="170">
        <v>0.77777777777777779</v>
      </c>
      <c r="T21" s="168">
        <v>8</v>
      </c>
      <c r="U21" s="169">
        <v>7</v>
      </c>
      <c r="V21" s="170">
        <v>0.875</v>
      </c>
      <c r="W21" s="168">
        <v>18</v>
      </c>
      <c r="X21" s="168">
        <v>17</v>
      </c>
      <c r="Y21" s="169">
        <v>16</v>
      </c>
      <c r="Z21" s="206">
        <v>0.94117647058823528</v>
      </c>
      <c r="AA21" s="168">
        <v>17</v>
      </c>
      <c r="AB21" s="169">
        <v>16</v>
      </c>
      <c r="AC21" s="205">
        <v>0.94117647058823528</v>
      </c>
      <c r="AD21" s="168">
        <v>17</v>
      </c>
      <c r="AE21" s="169">
        <v>16</v>
      </c>
      <c r="AF21" s="205">
        <v>0.94117647058823528</v>
      </c>
    </row>
    <row r="22" spans="2:32" x14ac:dyDescent="0.2">
      <c r="B22" s="137" t="s">
        <v>215</v>
      </c>
      <c r="C22" s="138">
        <v>23</v>
      </c>
      <c r="D22" s="138">
        <v>22</v>
      </c>
      <c r="E22" s="138">
        <v>19</v>
      </c>
      <c r="F22" s="119">
        <v>0.86363636363636365</v>
      </c>
      <c r="G22" s="139">
        <v>22</v>
      </c>
      <c r="H22" s="140">
        <v>19</v>
      </c>
      <c r="I22" s="120">
        <v>0.86363636363636365</v>
      </c>
      <c r="J22" s="171">
        <v>14</v>
      </c>
      <c r="K22" s="172">
        <v>14</v>
      </c>
      <c r="L22" s="174">
        <v>1</v>
      </c>
      <c r="M22" s="138">
        <v>12</v>
      </c>
      <c r="N22" s="138">
        <v>12</v>
      </c>
      <c r="O22" s="141">
        <v>11</v>
      </c>
      <c r="P22" s="121">
        <v>0.91666666666666663</v>
      </c>
      <c r="Q22" s="139">
        <v>13</v>
      </c>
      <c r="R22" s="140">
        <v>12</v>
      </c>
      <c r="S22" s="122">
        <v>0.92307692307692313</v>
      </c>
      <c r="T22" s="171">
        <v>12</v>
      </c>
      <c r="U22" s="172">
        <v>11</v>
      </c>
      <c r="V22" s="174">
        <v>0.91666666666666663</v>
      </c>
      <c r="W22" s="138">
        <v>4</v>
      </c>
      <c r="X22" s="138">
        <v>4</v>
      </c>
      <c r="Y22" s="141">
        <v>3</v>
      </c>
      <c r="Z22" s="119">
        <v>0.75</v>
      </c>
      <c r="AA22" s="139">
        <v>4</v>
      </c>
      <c r="AB22" s="140">
        <v>3</v>
      </c>
      <c r="AC22" s="120">
        <v>0.75</v>
      </c>
      <c r="AD22" s="171">
        <v>4</v>
      </c>
      <c r="AE22" s="172">
        <v>3</v>
      </c>
      <c r="AF22" s="173">
        <v>0.75</v>
      </c>
    </row>
    <row r="23" spans="2:32" x14ac:dyDescent="0.2">
      <c r="B23" s="136" t="s">
        <v>216</v>
      </c>
      <c r="C23" s="168">
        <v>7</v>
      </c>
      <c r="D23" s="168">
        <v>7</v>
      </c>
      <c r="E23" s="168">
        <v>6</v>
      </c>
      <c r="F23" s="204">
        <v>0.8571428571428571</v>
      </c>
      <c r="G23" s="168">
        <v>7</v>
      </c>
      <c r="H23" s="169">
        <v>6</v>
      </c>
      <c r="I23" s="170">
        <v>0.8571428571428571</v>
      </c>
      <c r="J23" s="168">
        <v>7</v>
      </c>
      <c r="K23" s="169">
        <v>6</v>
      </c>
      <c r="L23" s="170">
        <v>0.8571428571428571</v>
      </c>
      <c r="M23" s="168">
        <v>10</v>
      </c>
      <c r="N23" s="168">
        <v>9</v>
      </c>
      <c r="O23" s="169">
        <v>9</v>
      </c>
      <c r="P23" s="205">
        <v>1</v>
      </c>
      <c r="Q23" s="168">
        <v>9</v>
      </c>
      <c r="R23" s="169">
        <v>9</v>
      </c>
      <c r="S23" s="205">
        <v>1</v>
      </c>
      <c r="T23" s="168">
        <v>10</v>
      </c>
      <c r="U23" s="169">
        <v>9</v>
      </c>
      <c r="V23" s="205">
        <v>0.9</v>
      </c>
      <c r="W23" s="168">
        <v>6</v>
      </c>
      <c r="X23" s="168">
        <v>5</v>
      </c>
      <c r="Y23" s="169">
        <v>4</v>
      </c>
      <c r="Z23" s="204">
        <v>0.8</v>
      </c>
      <c r="AA23" s="168">
        <v>6</v>
      </c>
      <c r="AB23" s="169">
        <v>4</v>
      </c>
      <c r="AC23" s="170">
        <v>0.66666666666666663</v>
      </c>
      <c r="AD23" s="168">
        <v>5</v>
      </c>
      <c r="AE23" s="169">
        <v>4</v>
      </c>
      <c r="AF23" s="170">
        <v>0.8</v>
      </c>
    </row>
    <row r="24" spans="2:32" ht="13.5" thickBot="1" x14ac:dyDescent="0.25">
      <c r="B24" s="143" t="s">
        <v>217</v>
      </c>
      <c r="C24" s="144">
        <v>3</v>
      </c>
      <c r="D24" s="144">
        <v>3</v>
      </c>
      <c r="E24" s="144">
        <v>2</v>
      </c>
      <c r="F24" s="125">
        <v>0.66666666666666663</v>
      </c>
      <c r="G24" s="145">
        <v>3</v>
      </c>
      <c r="H24" s="146">
        <v>2</v>
      </c>
      <c r="I24" s="126">
        <v>0.66666666666666663</v>
      </c>
      <c r="J24" s="175">
        <v>3</v>
      </c>
      <c r="K24" s="176">
        <v>2</v>
      </c>
      <c r="L24" s="177">
        <v>0.66666666666666663</v>
      </c>
      <c r="M24" s="144">
        <v>4</v>
      </c>
      <c r="N24" s="144">
        <v>4</v>
      </c>
      <c r="O24" s="147">
        <v>4</v>
      </c>
      <c r="P24" s="127">
        <v>1</v>
      </c>
      <c r="Q24" s="145">
        <v>4</v>
      </c>
      <c r="R24" s="146">
        <v>4</v>
      </c>
      <c r="S24" s="128">
        <v>1</v>
      </c>
      <c r="T24" s="175">
        <v>4</v>
      </c>
      <c r="U24" s="176">
        <v>4</v>
      </c>
      <c r="V24" s="178">
        <v>1</v>
      </c>
      <c r="W24" s="144">
        <v>4</v>
      </c>
      <c r="X24" s="144">
        <v>4</v>
      </c>
      <c r="Y24" s="147">
        <v>4</v>
      </c>
      <c r="Z24" s="129">
        <v>1</v>
      </c>
      <c r="AA24" s="145">
        <v>4</v>
      </c>
      <c r="AB24" s="146">
        <v>4</v>
      </c>
      <c r="AC24" s="128">
        <v>1</v>
      </c>
      <c r="AD24" s="175">
        <v>4</v>
      </c>
      <c r="AE24" s="176">
        <v>4</v>
      </c>
      <c r="AF24" s="178">
        <v>1</v>
      </c>
    </row>
    <row r="26" spans="2:32" ht="13.5" thickBot="1" x14ac:dyDescent="0.25"/>
    <row r="27" spans="2:32" s="148" customFormat="1" ht="12.75" customHeight="1" thickBot="1" x14ac:dyDescent="0.25">
      <c r="B27" s="221" t="s">
        <v>330</v>
      </c>
      <c r="C27" s="227" t="s">
        <v>317</v>
      </c>
      <c r="D27" s="228"/>
      <c r="E27" s="228"/>
      <c r="F27" s="228"/>
      <c r="G27" s="228"/>
      <c r="H27" s="228"/>
      <c r="I27" s="229"/>
      <c r="J27" s="230" t="s">
        <v>318</v>
      </c>
      <c r="K27" s="231"/>
      <c r="L27" s="231"/>
      <c r="M27" s="231"/>
      <c r="N27" s="231"/>
      <c r="O27" s="231"/>
      <c r="P27" s="232"/>
      <c r="Q27" s="230" t="s">
        <v>319</v>
      </c>
      <c r="R27" s="231"/>
      <c r="S27" s="231"/>
      <c r="T27" s="231"/>
      <c r="U27" s="231"/>
      <c r="V27" s="231"/>
      <c r="W27" s="232"/>
    </row>
    <row r="28" spans="2:32" s="148" customFormat="1" ht="42" customHeight="1" thickBot="1" x14ac:dyDescent="0.2">
      <c r="B28" s="226"/>
      <c r="C28" s="155" t="s">
        <v>320</v>
      </c>
      <c r="D28" s="156" t="s">
        <v>321</v>
      </c>
      <c r="E28" s="156" t="s">
        <v>331</v>
      </c>
      <c r="F28" s="157" t="s">
        <v>324</v>
      </c>
      <c r="G28" s="157" t="s">
        <v>332</v>
      </c>
      <c r="H28" s="187" t="s">
        <v>327</v>
      </c>
      <c r="I28" s="191" t="s">
        <v>333</v>
      </c>
      <c r="J28" s="155" t="s">
        <v>334</v>
      </c>
      <c r="K28" s="156" t="s">
        <v>335</v>
      </c>
      <c r="L28" s="156" t="s">
        <v>336</v>
      </c>
      <c r="M28" s="157" t="s">
        <v>337</v>
      </c>
      <c r="N28" s="157" t="s">
        <v>338</v>
      </c>
      <c r="O28" s="187" t="s">
        <v>339</v>
      </c>
      <c r="P28" s="188" t="s">
        <v>340</v>
      </c>
      <c r="Q28" s="155" t="s">
        <v>341</v>
      </c>
      <c r="R28" s="158" t="s">
        <v>342</v>
      </c>
      <c r="S28" s="156" t="s">
        <v>343</v>
      </c>
      <c r="T28" s="157" t="s">
        <v>344</v>
      </c>
      <c r="U28" s="157" t="s">
        <v>345</v>
      </c>
      <c r="V28" s="189" t="s">
        <v>346</v>
      </c>
      <c r="W28" s="190" t="s">
        <v>347</v>
      </c>
    </row>
    <row r="29" spans="2:32" s="148" customFormat="1" x14ac:dyDescent="0.2">
      <c r="B29" s="192" t="s">
        <v>198</v>
      </c>
      <c r="C29" s="159">
        <v>9733</v>
      </c>
      <c r="D29" s="160">
        <v>6591</v>
      </c>
      <c r="E29" s="161">
        <v>2.293598448290775</v>
      </c>
      <c r="F29" s="181">
        <v>6591</v>
      </c>
      <c r="G29" s="182">
        <v>2.293598448290775</v>
      </c>
      <c r="H29" s="183">
        <v>9716</v>
      </c>
      <c r="I29" s="183">
        <v>20.7</v>
      </c>
      <c r="J29" s="159">
        <v>11665</v>
      </c>
      <c r="K29" s="160">
        <v>7493</v>
      </c>
      <c r="L29" s="161">
        <v>1.1193909052769813</v>
      </c>
      <c r="M29" s="181">
        <v>8239</v>
      </c>
      <c r="N29" s="182">
        <v>3.9084248259744383</v>
      </c>
      <c r="O29" s="183">
        <v>11618</v>
      </c>
      <c r="P29" s="186">
        <v>14.847447385681832</v>
      </c>
      <c r="Q29" s="159">
        <v>11795</v>
      </c>
      <c r="R29" s="160">
        <v>9482</v>
      </c>
      <c r="S29" s="161">
        <v>1.0799359617540087</v>
      </c>
      <c r="T29" s="181">
        <v>15986</v>
      </c>
      <c r="U29" s="182">
        <v>21.066176901461258</v>
      </c>
      <c r="V29" s="183">
        <v>9482</v>
      </c>
      <c r="W29" s="193">
        <v>1.0799359617540087</v>
      </c>
    </row>
    <row r="30" spans="2:32" s="148" customFormat="1" x14ac:dyDescent="0.2">
      <c r="B30" s="136" t="s">
        <v>199</v>
      </c>
      <c r="C30" s="164">
        <v>5001</v>
      </c>
      <c r="D30" s="162">
        <v>4230</v>
      </c>
      <c r="E30" s="163">
        <v>2.66051198997474</v>
      </c>
      <c r="F30" s="162">
        <v>4230</v>
      </c>
      <c r="G30" s="163">
        <v>2.66051198997474</v>
      </c>
      <c r="H30" s="162">
        <v>4979</v>
      </c>
      <c r="I30" s="163">
        <v>5.7324959203656087</v>
      </c>
      <c r="J30" s="164">
        <v>5145</v>
      </c>
      <c r="K30" s="162">
        <v>4592</v>
      </c>
      <c r="L30" s="163">
        <v>1.8445786099416217</v>
      </c>
      <c r="M30" s="162">
        <v>5187</v>
      </c>
      <c r="N30" s="163">
        <v>3.3196809063256194</v>
      </c>
      <c r="O30" s="162">
        <v>5117</v>
      </c>
      <c r="P30" s="163">
        <v>3.0951287420653082</v>
      </c>
      <c r="Q30" s="164">
        <v>4973</v>
      </c>
      <c r="R30" s="162">
        <v>4523</v>
      </c>
      <c r="S30" s="163">
        <v>2.013137579736421</v>
      </c>
      <c r="T30" s="162">
        <v>5202</v>
      </c>
      <c r="U30" s="163">
        <v>4.8081779421553721</v>
      </c>
      <c r="V30" s="162">
        <v>4523</v>
      </c>
      <c r="W30" s="194">
        <v>2.013137579736421</v>
      </c>
    </row>
    <row r="31" spans="2:32" s="148" customFormat="1" x14ac:dyDescent="0.2">
      <c r="B31" s="137" t="s">
        <v>200</v>
      </c>
      <c r="C31" s="164">
        <v>2001</v>
      </c>
      <c r="D31" s="162">
        <v>1725</v>
      </c>
      <c r="E31" s="163">
        <v>1.609977610037431</v>
      </c>
      <c r="F31" s="179">
        <v>1725</v>
      </c>
      <c r="G31" s="180">
        <v>1.609977610037431</v>
      </c>
      <c r="H31" s="184">
        <v>1983</v>
      </c>
      <c r="I31" s="185">
        <v>4.104775942735345</v>
      </c>
      <c r="J31" s="164">
        <v>3551</v>
      </c>
      <c r="K31" s="162">
        <v>3365</v>
      </c>
      <c r="L31" s="163">
        <v>0.79246351672987514</v>
      </c>
      <c r="M31" s="179">
        <v>3602</v>
      </c>
      <c r="N31" s="180">
        <v>1.8994640708864696</v>
      </c>
      <c r="O31" s="184">
        <v>3516</v>
      </c>
      <c r="P31" s="185">
        <v>1.4511711507973595</v>
      </c>
      <c r="Q31" s="164">
        <v>3187</v>
      </c>
      <c r="R31" s="162">
        <v>2996</v>
      </c>
      <c r="S31" s="163">
        <v>0.82705917303321475</v>
      </c>
      <c r="T31" s="179">
        <v>3168</v>
      </c>
      <c r="U31" s="180">
        <v>1.9257818126286566</v>
      </c>
      <c r="V31" s="184">
        <v>2996</v>
      </c>
      <c r="W31" s="195">
        <v>0.82705917303321475</v>
      </c>
    </row>
    <row r="32" spans="2:32" s="148" customFormat="1" x14ac:dyDescent="0.2">
      <c r="B32" s="142" t="s">
        <v>311</v>
      </c>
      <c r="C32" s="164">
        <v>1363</v>
      </c>
      <c r="D32" s="162">
        <v>1219</v>
      </c>
      <c r="E32" s="163">
        <v>2.4073219073770198</v>
      </c>
      <c r="F32" s="162">
        <v>1219</v>
      </c>
      <c r="G32" s="163">
        <v>2.4073219073770198</v>
      </c>
      <c r="H32" s="162">
        <v>1354</v>
      </c>
      <c r="I32" s="163">
        <v>4.7873564353219535</v>
      </c>
      <c r="J32" s="164">
        <v>1354</v>
      </c>
      <c r="K32" s="162">
        <v>1246</v>
      </c>
      <c r="L32" s="163">
        <v>1.1424826110220883</v>
      </c>
      <c r="M32" s="162">
        <v>1349</v>
      </c>
      <c r="N32" s="163">
        <v>2.3282793152679608</v>
      </c>
      <c r="O32" s="162">
        <v>1342</v>
      </c>
      <c r="P32" s="163">
        <v>2.13615286229799</v>
      </c>
      <c r="Q32" s="164">
        <v>2092</v>
      </c>
      <c r="R32" s="162">
        <v>1955</v>
      </c>
      <c r="S32" s="163">
        <v>1.0152679501752266</v>
      </c>
      <c r="T32" s="162">
        <v>2083</v>
      </c>
      <c r="U32" s="163">
        <v>2.5243746499439892</v>
      </c>
      <c r="V32" s="162">
        <v>1955</v>
      </c>
      <c r="W32" s="194">
        <v>1.0152679501752266</v>
      </c>
    </row>
    <row r="33" spans="2:23" s="148" customFormat="1" x14ac:dyDescent="0.2">
      <c r="B33" s="137" t="s">
        <v>201</v>
      </c>
      <c r="C33" s="164">
        <v>1188</v>
      </c>
      <c r="D33" s="162">
        <v>1013</v>
      </c>
      <c r="E33" s="163">
        <v>2.1381456573798507</v>
      </c>
      <c r="F33" s="179">
        <v>1013</v>
      </c>
      <c r="G33" s="180">
        <v>2.1381456573798507</v>
      </c>
      <c r="H33" s="184">
        <v>1195</v>
      </c>
      <c r="I33" s="185">
        <v>6.4208811308693292</v>
      </c>
      <c r="J33" s="164">
        <v>1277</v>
      </c>
      <c r="K33" s="162">
        <v>1107</v>
      </c>
      <c r="L33" s="163">
        <v>1.7305592149286542</v>
      </c>
      <c r="M33" s="179">
        <v>1248</v>
      </c>
      <c r="N33" s="180">
        <v>3.7085032811758722</v>
      </c>
      <c r="O33" s="184">
        <v>1260</v>
      </c>
      <c r="P33" s="185">
        <v>4.3632074514991155</v>
      </c>
      <c r="Q33" s="164">
        <v>1478</v>
      </c>
      <c r="R33" s="162">
        <v>1293</v>
      </c>
      <c r="S33" s="163">
        <v>2.3862470818653185</v>
      </c>
      <c r="T33" s="179">
        <v>1470</v>
      </c>
      <c r="U33" s="180">
        <v>5.6012377409296272</v>
      </c>
      <c r="V33" s="184">
        <v>1293</v>
      </c>
      <c r="W33" s="195">
        <v>2.3862470818653185</v>
      </c>
    </row>
    <row r="34" spans="2:23" s="148" customFormat="1" x14ac:dyDescent="0.2">
      <c r="B34" s="136" t="s">
        <v>202</v>
      </c>
      <c r="C34" s="164">
        <v>1211</v>
      </c>
      <c r="D34" s="162">
        <v>986</v>
      </c>
      <c r="E34" s="163">
        <v>2.5423860082825924</v>
      </c>
      <c r="F34" s="162">
        <v>986</v>
      </c>
      <c r="G34" s="163">
        <v>2.5423860082825924</v>
      </c>
      <c r="H34" s="162">
        <v>1178</v>
      </c>
      <c r="I34" s="163">
        <v>5.4710647362131466</v>
      </c>
      <c r="J34" s="164">
        <v>1291</v>
      </c>
      <c r="K34" s="162">
        <v>1062</v>
      </c>
      <c r="L34" s="163">
        <v>2.1975984995114457</v>
      </c>
      <c r="M34" s="162">
        <v>1243</v>
      </c>
      <c r="N34" s="163">
        <v>4.785063960027756</v>
      </c>
      <c r="O34" s="162">
        <v>1247</v>
      </c>
      <c r="P34" s="163">
        <v>4.323756330006681</v>
      </c>
      <c r="Q34" s="164">
        <v>1218</v>
      </c>
      <c r="R34" s="162">
        <v>1034</v>
      </c>
      <c r="S34" s="163">
        <v>2.2601710925746428</v>
      </c>
      <c r="T34" s="162">
        <v>1247</v>
      </c>
      <c r="U34" s="163">
        <v>5.5710239760611255</v>
      </c>
      <c r="V34" s="162">
        <v>1034</v>
      </c>
      <c r="W34" s="194">
        <v>2.2601710925746428</v>
      </c>
    </row>
    <row r="35" spans="2:23" s="148" customFormat="1" x14ac:dyDescent="0.2">
      <c r="B35" s="137" t="s">
        <v>203</v>
      </c>
      <c r="C35" s="164">
        <v>681</v>
      </c>
      <c r="D35" s="162">
        <v>636</v>
      </c>
      <c r="E35" s="163">
        <v>1.2152953936641802</v>
      </c>
      <c r="F35" s="179">
        <v>636</v>
      </c>
      <c r="G35" s="180">
        <v>1.2152953936641802</v>
      </c>
      <c r="H35" s="184">
        <v>680</v>
      </c>
      <c r="I35" s="185">
        <v>2.5479282407407857</v>
      </c>
      <c r="J35" s="164">
        <v>912</v>
      </c>
      <c r="K35" s="162">
        <v>882</v>
      </c>
      <c r="L35" s="163">
        <v>0.47309522497271495</v>
      </c>
      <c r="M35" s="179">
        <v>922</v>
      </c>
      <c r="N35" s="180">
        <v>1.2330444333975974</v>
      </c>
      <c r="O35" s="184">
        <v>906</v>
      </c>
      <c r="P35" s="185">
        <v>0.82378122189520397</v>
      </c>
      <c r="Q35" s="164">
        <v>775</v>
      </c>
      <c r="R35" s="162">
        <v>752</v>
      </c>
      <c r="S35" s="163">
        <v>0.52525749236587638</v>
      </c>
      <c r="T35" s="179">
        <v>780</v>
      </c>
      <c r="U35" s="180">
        <v>1.2360715218422111</v>
      </c>
      <c r="V35" s="184">
        <v>752</v>
      </c>
      <c r="W35" s="195">
        <v>0.52525749236587638</v>
      </c>
    </row>
    <row r="36" spans="2:23" s="148" customFormat="1" x14ac:dyDescent="0.2">
      <c r="B36" s="136" t="s">
        <v>204</v>
      </c>
      <c r="C36" s="164">
        <v>412</v>
      </c>
      <c r="D36" s="162">
        <v>352</v>
      </c>
      <c r="E36" s="163">
        <v>2.3256838896780789</v>
      </c>
      <c r="F36" s="162">
        <v>352</v>
      </c>
      <c r="G36" s="163">
        <v>2.3256838896780789</v>
      </c>
      <c r="H36" s="162">
        <v>504</v>
      </c>
      <c r="I36" s="163">
        <v>4.7671816899987425</v>
      </c>
      <c r="J36" s="164">
        <v>443</v>
      </c>
      <c r="K36" s="162">
        <v>408</v>
      </c>
      <c r="L36" s="163">
        <v>1.7314426459240935</v>
      </c>
      <c r="M36" s="162">
        <v>459</v>
      </c>
      <c r="N36" s="163">
        <v>3.4325125322762697</v>
      </c>
      <c r="O36" s="162">
        <v>440</v>
      </c>
      <c r="P36" s="163">
        <v>2.9593309396043632</v>
      </c>
      <c r="Q36" s="164">
        <v>441</v>
      </c>
      <c r="R36" s="162">
        <v>394</v>
      </c>
      <c r="S36" s="163">
        <v>1.3051106293478831</v>
      </c>
      <c r="T36" s="162">
        <v>435</v>
      </c>
      <c r="U36" s="163">
        <v>3.6251050447001245</v>
      </c>
      <c r="V36" s="162">
        <v>394</v>
      </c>
      <c r="W36" s="194">
        <v>1.3051106293478831</v>
      </c>
    </row>
    <row r="37" spans="2:23" s="148" customFormat="1" x14ac:dyDescent="0.2">
      <c r="B37" s="137" t="s">
        <v>205</v>
      </c>
      <c r="C37" s="164">
        <v>515</v>
      </c>
      <c r="D37" s="162">
        <v>454</v>
      </c>
      <c r="E37" s="163">
        <v>2.537161292625381</v>
      </c>
      <c r="F37" s="179">
        <v>454</v>
      </c>
      <c r="G37" s="180">
        <v>2.537161292625381</v>
      </c>
      <c r="H37" s="184">
        <v>412</v>
      </c>
      <c r="I37" s="185">
        <v>5.2300132877113112</v>
      </c>
      <c r="J37" s="164">
        <v>436</v>
      </c>
      <c r="K37" s="162">
        <v>385</v>
      </c>
      <c r="L37" s="163">
        <v>1.7151045574793591</v>
      </c>
      <c r="M37" s="179">
        <v>430</v>
      </c>
      <c r="N37" s="180">
        <v>3.7786561154176481</v>
      </c>
      <c r="O37" s="184">
        <v>434</v>
      </c>
      <c r="P37" s="185">
        <v>2.821998581242398</v>
      </c>
      <c r="Q37" s="164">
        <v>314</v>
      </c>
      <c r="R37" s="162">
        <v>288</v>
      </c>
      <c r="S37" s="163">
        <v>1.6027498472865318</v>
      </c>
      <c r="T37" s="179">
        <v>342</v>
      </c>
      <c r="U37" s="180">
        <v>3.8371507472385278</v>
      </c>
      <c r="V37" s="184">
        <v>288</v>
      </c>
      <c r="W37" s="195">
        <v>1.6027498472865318</v>
      </c>
    </row>
    <row r="38" spans="2:23" s="148" customFormat="1" x14ac:dyDescent="0.2">
      <c r="B38" s="136" t="s">
        <v>206</v>
      </c>
      <c r="C38" s="164">
        <v>373</v>
      </c>
      <c r="D38" s="162">
        <v>340</v>
      </c>
      <c r="E38" s="163">
        <v>1.5986045070805095</v>
      </c>
      <c r="F38" s="162">
        <v>340</v>
      </c>
      <c r="G38" s="163">
        <v>1.5986045070805095</v>
      </c>
      <c r="H38" s="162">
        <v>372</v>
      </c>
      <c r="I38" s="163">
        <v>3.3401265992132947</v>
      </c>
      <c r="J38" s="164">
        <v>481</v>
      </c>
      <c r="K38" s="162">
        <v>449</v>
      </c>
      <c r="L38" s="163">
        <v>0.94754562608278081</v>
      </c>
      <c r="M38" s="162">
        <v>476</v>
      </c>
      <c r="N38" s="163">
        <v>1.7700548552755269</v>
      </c>
      <c r="O38" s="162">
        <v>476</v>
      </c>
      <c r="P38" s="163">
        <v>1.8202718205338591</v>
      </c>
      <c r="Q38" s="164">
        <v>342</v>
      </c>
      <c r="R38" s="162">
        <v>325</v>
      </c>
      <c r="S38" s="163">
        <v>1.2225396011395675</v>
      </c>
      <c r="T38" s="162">
        <v>357</v>
      </c>
      <c r="U38" s="163">
        <v>3.1378997432305265</v>
      </c>
      <c r="V38" s="162">
        <v>325</v>
      </c>
      <c r="W38" s="194">
        <v>1.2225396011395675</v>
      </c>
    </row>
    <row r="39" spans="2:23" s="148" customFormat="1" x14ac:dyDescent="0.2">
      <c r="B39" s="137" t="s">
        <v>207</v>
      </c>
      <c r="C39" s="164">
        <v>222</v>
      </c>
      <c r="D39" s="162">
        <v>196</v>
      </c>
      <c r="E39" s="163">
        <v>1.9024816940664282</v>
      </c>
      <c r="F39" s="179">
        <v>196</v>
      </c>
      <c r="G39" s="180">
        <v>1.9024816940664282</v>
      </c>
      <c r="H39" s="184">
        <v>222</v>
      </c>
      <c r="I39" s="185">
        <v>4.3702717300633314</v>
      </c>
      <c r="J39" s="164">
        <v>199</v>
      </c>
      <c r="K39" s="162">
        <v>177</v>
      </c>
      <c r="L39" s="163">
        <v>1.8993876203179352</v>
      </c>
      <c r="M39" s="179">
        <v>198</v>
      </c>
      <c r="N39" s="180">
        <v>3.2944562523381054</v>
      </c>
      <c r="O39" s="184">
        <v>197</v>
      </c>
      <c r="P39" s="185">
        <v>3.4686725065800559</v>
      </c>
      <c r="Q39" s="164">
        <v>156</v>
      </c>
      <c r="R39" s="162">
        <v>148</v>
      </c>
      <c r="S39" s="163">
        <v>1.1391224818573293</v>
      </c>
      <c r="T39" s="179">
        <v>173</v>
      </c>
      <c r="U39" s="180">
        <v>4.6065328623424886</v>
      </c>
      <c r="V39" s="184">
        <v>148</v>
      </c>
      <c r="W39" s="195">
        <v>1.1391224818573293</v>
      </c>
    </row>
    <row r="40" spans="2:23" s="148" customFormat="1" x14ac:dyDescent="0.2">
      <c r="B40" s="136" t="s">
        <v>208</v>
      </c>
      <c r="C40" s="164">
        <v>192</v>
      </c>
      <c r="D40" s="162">
        <v>160</v>
      </c>
      <c r="E40" s="163">
        <v>2.9673049045138669</v>
      </c>
      <c r="F40" s="162">
        <v>160</v>
      </c>
      <c r="G40" s="163">
        <v>2.9673049045138669</v>
      </c>
      <c r="H40" s="162">
        <v>190</v>
      </c>
      <c r="I40" s="163">
        <v>6.4379119152048494</v>
      </c>
      <c r="J40" s="164">
        <v>185</v>
      </c>
      <c r="K40" s="162">
        <v>157</v>
      </c>
      <c r="L40" s="163">
        <v>1.9105355036562675</v>
      </c>
      <c r="M40" s="162">
        <v>181</v>
      </c>
      <c r="N40" s="163">
        <v>4.0331762200736767</v>
      </c>
      <c r="O40" s="162">
        <v>179</v>
      </c>
      <c r="P40" s="163">
        <v>3.5406394837573418</v>
      </c>
      <c r="Q40" s="164">
        <v>150</v>
      </c>
      <c r="R40" s="162">
        <v>129</v>
      </c>
      <c r="S40" s="163">
        <v>2.6317926356585288</v>
      </c>
      <c r="T40" s="162">
        <v>157</v>
      </c>
      <c r="U40" s="163">
        <v>6.3165942734132585</v>
      </c>
      <c r="V40" s="162">
        <v>129</v>
      </c>
      <c r="W40" s="194">
        <v>2.6317926356585288</v>
      </c>
    </row>
    <row r="41" spans="2:23" s="148" customFormat="1" x14ac:dyDescent="0.2">
      <c r="B41" s="137" t="s">
        <v>209</v>
      </c>
      <c r="C41" s="164">
        <v>70</v>
      </c>
      <c r="D41" s="162">
        <v>69</v>
      </c>
      <c r="E41" s="163">
        <v>1.3220556562001298</v>
      </c>
      <c r="F41" s="179">
        <v>69</v>
      </c>
      <c r="G41" s="180">
        <v>1.3220556562001298</v>
      </c>
      <c r="H41" s="184">
        <v>70</v>
      </c>
      <c r="I41" s="185">
        <v>1.8019090608471222</v>
      </c>
      <c r="J41" s="164">
        <v>63</v>
      </c>
      <c r="K41" s="162">
        <v>57</v>
      </c>
      <c r="L41" s="163">
        <v>1.4684974009092242</v>
      </c>
      <c r="M41" s="179">
        <v>58</v>
      </c>
      <c r="N41" s="180">
        <v>2.0451059626433685</v>
      </c>
      <c r="O41" s="184">
        <v>63</v>
      </c>
      <c r="P41" s="185">
        <v>1.9351811434447419</v>
      </c>
      <c r="Q41" s="164">
        <v>50</v>
      </c>
      <c r="R41" s="162">
        <v>48</v>
      </c>
      <c r="S41" s="163">
        <v>1.3088454861106886</v>
      </c>
      <c r="T41" s="179">
        <v>54</v>
      </c>
      <c r="U41" s="180">
        <v>1.8710489540464079</v>
      </c>
      <c r="V41" s="184">
        <v>48</v>
      </c>
      <c r="W41" s="195">
        <v>1.3088454861106886</v>
      </c>
    </row>
    <row r="42" spans="2:23" s="148" customFormat="1" x14ac:dyDescent="0.2">
      <c r="B42" s="136" t="s">
        <v>210</v>
      </c>
      <c r="C42" s="164">
        <v>44</v>
      </c>
      <c r="D42" s="162">
        <v>37</v>
      </c>
      <c r="E42" s="163">
        <v>2.6766019144136384</v>
      </c>
      <c r="F42" s="162">
        <v>37</v>
      </c>
      <c r="G42" s="163">
        <v>2.6766019144136384</v>
      </c>
      <c r="H42" s="162">
        <v>44</v>
      </c>
      <c r="I42" s="163">
        <v>4.5665159406555835</v>
      </c>
      <c r="J42" s="164">
        <v>41</v>
      </c>
      <c r="K42" s="162">
        <v>39</v>
      </c>
      <c r="L42" s="163">
        <v>2.2288265669511671</v>
      </c>
      <c r="M42" s="162">
        <v>46</v>
      </c>
      <c r="N42" s="163">
        <v>4.1047101449268828</v>
      </c>
      <c r="O42" s="162">
        <v>41</v>
      </c>
      <c r="P42" s="163">
        <v>3.2409177393854449</v>
      </c>
      <c r="Q42" s="164">
        <v>42</v>
      </c>
      <c r="R42" s="162">
        <v>40</v>
      </c>
      <c r="S42" s="163">
        <v>1.6827039930554748</v>
      </c>
      <c r="T42" s="162">
        <v>42</v>
      </c>
      <c r="U42" s="163">
        <v>2.6967035934744454</v>
      </c>
      <c r="V42" s="162">
        <v>40</v>
      </c>
      <c r="W42" s="194">
        <v>1.6827039930554748</v>
      </c>
    </row>
    <row r="43" spans="2:23" s="148" customFormat="1" x14ac:dyDescent="0.2">
      <c r="B43" s="137" t="s">
        <v>211</v>
      </c>
      <c r="C43" s="164">
        <v>29</v>
      </c>
      <c r="D43" s="162">
        <v>28</v>
      </c>
      <c r="E43" s="163">
        <v>1.5131791501309115</v>
      </c>
      <c r="F43" s="179">
        <v>28</v>
      </c>
      <c r="G43" s="180">
        <v>1.5131791501309115</v>
      </c>
      <c r="H43" s="184">
        <v>29</v>
      </c>
      <c r="I43" s="185">
        <v>2.5188589559374717</v>
      </c>
      <c r="J43" s="164">
        <v>38</v>
      </c>
      <c r="K43" s="162">
        <v>35</v>
      </c>
      <c r="L43" s="163">
        <v>0.69671395502622802</v>
      </c>
      <c r="M43" s="179">
        <v>36</v>
      </c>
      <c r="N43" s="180">
        <v>1.5295244984566427</v>
      </c>
      <c r="O43" s="184">
        <v>38</v>
      </c>
      <c r="P43" s="185">
        <v>2.400743786549643</v>
      </c>
      <c r="Q43" s="164">
        <v>23</v>
      </c>
      <c r="R43" s="162">
        <v>17</v>
      </c>
      <c r="S43" s="163">
        <v>1.9607570806102184</v>
      </c>
      <c r="T43" s="179">
        <v>20</v>
      </c>
      <c r="U43" s="180">
        <v>5.0088072916671083</v>
      </c>
      <c r="V43" s="184">
        <v>17</v>
      </c>
      <c r="W43" s="195">
        <v>1.9607570806102184</v>
      </c>
    </row>
    <row r="44" spans="2:23" s="148" customFormat="1" x14ac:dyDescent="0.2">
      <c r="B44" s="136" t="s">
        <v>212</v>
      </c>
      <c r="C44" s="164">
        <v>26</v>
      </c>
      <c r="D44" s="162">
        <v>26</v>
      </c>
      <c r="E44" s="163">
        <v>0.51657585470009226</v>
      </c>
      <c r="F44" s="162">
        <v>26</v>
      </c>
      <c r="G44" s="163">
        <v>0.51657585470009226</v>
      </c>
      <c r="H44" s="162">
        <v>26</v>
      </c>
      <c r="I44" s="163">
        <v>0.51657585470009226</v>
      </c>
      <c r="J44" s="164">
        <v>6</v>
      </c>
      <c r="K44" s="162">
        <v>6</v>
      </c>
      <c r="L44" s="163">
        <v>0.42439236111385981</v>
      </c>
      <c r="M44" s="162">
        <v>6</v>
      </c>
      <c r="N44" s="163">
        <v>0.42439236111385981</v>
      </c>
      <c r="O44" s="162">
        <v>6</v>
      </c>
      <c r="P44" s="163">
        <v>0.42439236111385981</v>
      </c>
      <c r="Q44" s="164">
        <v>42</v>
      </c>
      <c r="R44" s="162">
        <v>38</v>
      </c>
      <c r="S44" s="163">
        <v>1.5266185428851091</v>
      </c>
      <c r="T44" s="162">
        <v>38</v>
      </c>
      <c r="U44" s="163">
        <v>1.5266185428851091</v>
      </c>
      <c r="V44" s="162">
        <v>38</v>
      </c>
      <c r="W44" s="194">
        <v>1.5266185428851091</v>
      </c>
    </row>
    <row r="45" spans="2:23" s="148" customFormat="1" x14ac:dyDescent="0.2">
      <c r="B45" s="137" t="s">
        <v>213</v>
      </c>
      <c r="C45" s="164">
        <v>14</v>
      </c>
      <c r="D45" s="162">
        <v>10</v>
      </c>
      <c r="E45" s="163">
        <v>2.4731817129621048</v>
      </c>
      <c r="F45" s="179">
        <v>10</v>
      </c>
      <c r="G45" s="180">
        <v>2.4731817129621048</v>
      </c>
      <c r="H45" s="184">
        <v>23</v>
      </c>
      <c r="I45" s="185">
        <v>1.8251378824469335</v>
      </c>
      <c r="J45" s="164">
        <v>23</v>
      </c>
      <c r="K45" s="162">
        <v>21</v>
      </c>
      <c r="L45" s="163">
        <v>1.6964285714303038</v>
      </c>
      <c r="M45" s="179">
        <v>24</v>
      </c>
      <c r="N45" s="180">
        <v>4.0401692708343644</v>
      </c>
      <c r="O45" s="184">
        <v>23</v>
      </c>
      <c r="P45" s="185">
        <v>3.6568599033834408</v>
      </c>
      <c r="Q45" s="164">
        <v>19</v>
      </c>
      <c r="R45" s="162">
        <v>19</v>
      </c>
      <c r="S45" s="163">
        <v>2.0555141325526884</v>
      </c>
      <c r="T45" s="179">
        <v>22</v>
      </c>
      <c r="U45" s="180">
        <v>5.7949384469691063</v>
      </c>
      <c r="V45" s="184">
        <v>19</v>
      </c>
      <c r="W45" s="195">
        <v>2.0555141325526884</v>
      </c>
    </row>
    <row r="46" spans="2:23" s="148" customFormat="1" x14ac:dyDescent="0.2">
      <c r="B46" s="136" t="s">
        <v>214</v>
      </c>
      <c r="C46" s="164">
        <v>18</v>
      </c>
      <c r="D46" s="162">
        <v>17</v>
      </c>
      <c r="E46" s="163">
        <v>2.3845574618728063</v>
      </c>
      <c r="F46" s="162">
        <v>17</v>
      </c>
      <c r="G46" s="163">
        <v>2.3845574618728063</v>
      </c>
      <c r="H46" s="162">
        <v>18</v>
      </c>
      <c r="I46" s="163">
        <v>3.3554796810696845</v>
      </c>
      <c r="J46" s="164">
        <v>8</v>
      </c>
      <c r="K46" s="162">
        <v>8</v>
      </c>
      <c r="L46" s="163">
        <v>1.1598032407400751</v>
      </c>
      <c r="M46" s="162">
        <v>9</v>
      </c>
      <c r="N46" s="163">
        <v>3.2377314814819127</v>
      </c>
      <c r="O46" s="162">
        <v>8</v>
      </c>
      <c r="P46" s="163">
        <v>1.1598032407400751</v>
      </c>
      <c r="Q46" s="164">
        <v>18</v>
      </c>
      <c r="R46" s="162">
        <v>17</v>
      </c>
      <c r="S46" s="163">
        <v>1.8495635893238667</v>
      </c>
      <c r="T46" s="162">
        <v>17</v>
      </c>
      <c r="U46" s="163">
        <v>1.8495635893238667</v>
      </c>
      <c r="V46" s="162">
        <v>17</v>
      </c>
      <c r="W46" s="194">
        <v>1.8495635893238667</v>
      </c>
    </row>
    <row r="47" spans="2:23" s="148" customFormat="1" x14ac:dyDescent="0.2">
      <c r="B47" s="137" t="s">
        <v>215</v>
      </c>
      <c r="C47" s="164">
        <v>23</v>
      </c>
      <c r="D47" s="162">
        <v>22</v>
      </c>
      <c r="E47" s="163">
        <v>1.354549663298795</v>
      </c>
      <c r="F47" s="179">
        <v>22</v>
      </c>
      <c r="G47" s="180">
        <v>1.354549663298795</v>
      </c>
      <c r="H47" s="184">
        <v>14</v>
      </c>
      <c r="I47" s="185">
        <v>9.0015699404747078</v>
      </c>
      <c r="J47" s="164">
        <v>12</v>
      </c>
      <c r="K47" s="162">
        <v>12</v>
      </c>
      <c r="L47" s="163">
        <v>1.0432658179033751</v>
      </c>
      <c r="M47" s="179">
        <v>13</v>
      </c>
      <c r="N47" s="180">
        <v>1.8997898860420368</v>
      </c>
      <c r="O47" s="184">
        <v>12</v>
      </c>
      <c r="P47" s="185">
        <v>1.0432658179033751</v>
      </c>
      <c r="Q47" s="164">
        <v>4</v>
      </c>
      <c r="R47" s="162">
        <v>4</v>
      </c>
      <c r="S47" s="163">
        <v>0.44394097221993434</v>
      </c>
      <c r="T47" s="179">
        <v>4</v>
      </c>
      <c r="U47" s="180">
        <v>0.44394097221993434</v>
      </c>
      <c r="V47" s="184">
        <v>4</v>
      </c>
      <c r="W47" s="195">
        <v>0.44394097221993434</v>
      </c>
    </row>
    <row r="48" spans="2:23" s="148" customFormat="1" x14ac:dyDescent="0.2">
      <c r="B48" s="136" t="s">
        <v>216</v>
      </c>
      <c r="C48" s="164">
        <v>7</v>
      </c>
      <c r="D48" s="162">
        <v>7</v>
      </c>
      <c r="E48" s="163">
        <v>0.43444113756621455</v>
      </c>
      <c r="F48" s="162">
        <v>7</v>
      </c>
      <c r="G48" s="163">
        <v>0.43444113756621455</v>
      </c>
      <c r="H48" s="162">
        <v>7</v>
      </c>
      <c r="I48" s="163">
        <v>0.43444113756621455</v>
      </c>
      <c r="J48" s="164">
        <v>10</v>
      </c>
      <c r="K48" s="162">
        <v>9</v>
      </c>
      <c r="L48" s="163">
        <v>0.69885159465047764</v>
      </c>
      <c r="M48" s="162">
        <v>9</v>
      </c>
      <c r="N48" s="163">
        <v>0.69885159465047764</v>
      </c>
      <c r="O48" s="162">
        <v>10</v>
      </c>
      <c r="P48" s="163">
        <v>2.4651111111110366</v>
      </c>
      <c r="Q48" s="164">
        <v>6</v>
      </c>
      <c r="R48" s="162">
        <v>5</v>
      </c>
      <c r="S48" s="163">
        <v>1.2920370370396994</v>
      </c>
      <c r="T48" s="162">
        <v>6</v>
      </c>
      <c r="U48" s="163">
        <v>4.1369386574090941</v>
      </c>
      <c r="V48" s="162">
        <v>5</v>
      </c>
      <c r="W48" s="194">
        <v>1.2920370370396994</v>
      </c>
    </row>
    <row r="49" spans="2:23" s="148" customFormat="1" ht="13.5" thickBot="1" x14ac:dyDescent="0.25">
      <c r="B49" s="143" t="s">
        <v>217</v>
      </c>
      <c r="C49" s="196">
        <v>3</v>
      </c>
      <c r="D49" s="197">
        <v>3</v>
      </c>
      <c r="E49" s="198">
        <v>8.5245254629650535</v>
      </c>
      <c r="F49" s="199">
        <v>3</v>
      </c>
      <c r="G49" s="200">
        <v>8.5245254629650535</v>
      </c>
      <c r="H49" s="201">
        <v>3</v>
      </c>
      <c r="I49" s="202">
        <v>8.5245254629650535</v>
      </c>
      <c r="J49" s="196">
        <v>4</v>
      </c>
      <c r="K49" s="197">
        <v>4</v>
      </c>
      <c r="L49" s="198">
        <v>0.47683738425803313</v>
      </c>
      <c r="M49" s="199">
        <v>4</v>
      </c>
      <c r="N49" s="200">
        <v>0.47683738425803313</v>
      </c>
      <c r="O49" s="201">
        <v>4</v>
      </c>
      <c r="P49" s="202">
        <v>0.47683738425803313</v>
      </c>
      <c r="Q49" s="196">
        <v>4</v>
      </c>
      <c r="R49" s="197">
        <v>4</v>
      </c>
      <c r="S49" s="198">
        <v>1.9718865740742331</v>
      </c>
      <c r="T49" s="199">
        <v>4</v>
      </c>
      <c r="U49" s="200">
        <v>1.9718865740742331</v>
      </c>
      <c r="V49" s="201">
        <v>4</v>
      </c>
      <c r="W49" s="203">
        <v>1.9718865740742331</v>
      </c>
    </row>
  </sheetData>
  <mergeCells count="8">
    <mergeCell ref="B2:B3"/>
    <mergeCell ref="C2:L2"/>
    <mergeCell ref="M2:V2"/>
    <mergeCell ref="W2:AF2"/>
    <mergeCell ref="B27:B28"/>
    <mergeCell ref="C27:I27"/>
    <mergeCell ref="J27:P27"/>
    <mergeCell ref="Q27:W27"/>
  </mergeCells>
  <pageMargins left="0.511811024" right="0.511811024" top="0.78740157499999996" bottom="0.78740157499999996" header="0.31496062000000002" footer="0.31496062000000002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75"/>
  <sheetViews>
    <sheetView tabSelected="1" zoomScaleNormal="100" workbookViewId="0">
      <pane xSplit="1" topLeftCell="B1" activePane="topRight" state="frozen"/>
      <selection pane="topRight" activeCell="A2" sqref="A2:A4"/>
    </sheetView>
  </sheetViews>
  <sheetFormatPr defaultRowHeight="12.75" x14ac:dyDescent="0.2"/>
  <cols>
    <col min="1" max="1" width="37.375" bestFit="1" customWidth="1"/>
    <col min="2" max="2" width="13.875" customWidth="1"/>
    <col min="3" max="3" width="11.875" customWidth="1"/>
    <col min="4" max="4" width="12" bestFit="1" customWidth="1"/>
    <col min="5" max="5" width="9.25" bestFit="1" customWidth="1"/>
    <col min="6" max="6" width="10.25" customWidth="1"/>
    <col min="7" max="7" width="9" customWidth="1"/>
    <col min="8" max="8" width="12" bestFit="1" customWidth="1"/>
    <col min="9" max="9" width="9.25" bestFit="1" customWidth="1"/>
    <col min="10" max="10" width="11" customWidth="1"/>
    <col min="12" max="12" width="11.25" customWidth="1"/>
    <col min="13" max="13" width="9.25" bestFit="1" customWidth="1"/>
    <col min="14" max="14" width="12.375" customWidth="1"/>
    <col min="17" max="17" width="12" bestFit="1" customWidth="1"/>
  </cols>
  <sheetData>
    <row r="1" spans="1:17" ht="13.5" thickBot="1" x14ac:dyDescent="0.25"/>
    <row r="2" spans="1:17" ht="13.5" customHeight="1" thickBot="1" x14ac:dyDescent="0.25">
      <c r="A2" s="221" t="s">
        <v>354</v>
      </c>
      <c r="B2" s="228" t="s">
        <v>317</v>
      </c>
      <c r="C2" s="228"/>
      <c r="D2" s="228"/>
      <c r="E2" s="228"/>
      <c r="F2" s="228"/>
      <c r="G2" s="228"/>
      <c r="H2" s="228"/>
      <c r="I2" s="228"/>
      <c r="J2" s="228"/>
      <c r="K2" s="228"/>
      <c r="L2" s="228"/>
      <c r="M2" s="228"/>
      <c r="N2" s="228"/>
      <c r="O2" s="228"/>
      <c r="P2" s="228"/>
      <c r="Q2" s="229"/>
    </row>
    <row r="3" spans="1:17" ht="16.5" customHeight="1" thickBot="1" x14ac:dyDescent="0.25">
      <c r="A3" s="222"/>
      <c r="B3" s="243" t="s">
        <v>348</v>
      </c>
      <c r="C3" s="243"/>
      <c r="D3" s="243"/>
      <c r="E3" s="244"/>
      <c r="F3" s="245" t="s">
        <v>349</v>
      </c>
      <c r="G3" s="246"/>
      <c r="H3" s="246"/>
      <c r="I3" s="247"/>
      <c r="J3" s="249" t="s">
        <v>350</v>
      </c>
      <c r="K3" s="250"/>
      <c r="L3" s="250"/>
      <c r="M3" s="251"/>
      <c r="N3" s="257" t="s">
        <v>351</v>
      </c>
      <c r="O3" s="258"/>
      <c r="P3" s="258"/>
      <c r="Q3" s="259"/>
    </row>
    <row r="4" spans="1:17" ht="63.75" thickBot="1" x14ac:dyDescent="0.25">
      <c r="A4" s="226"/>
      <c r="B4" s="265" t="s">
        <v>352</v>
      </c>
      <c r="C4" s="266" t="s">
        <v>331</v>
      </c>
      <c r="D4" s="267" t="s">
        <v>353</v>
      </c>
      <c r="E4" s="268" t="s">
        <v>333</v>
      </c>
      <c r="F4" s="265" t="s">
        <v>352</v>
      </c>
      <c r="G4" s="266" t="s">
        <v>331</v>
      </c>
      <c r="H4" s="269" t="s">
        <v>353</v>
      </c>
      <c r="I4" s="270" t="s">
        <v>333</v>
      </c>
      <c r="J4" s="265" t="s">
        <v>352</v>
      </c>
      <c r="K4" s="266" t="s">
        <v>331</v>
      </c>
      <c r="L4" s="271" t="s">
        <v>353</v>
      </c>
      <c r="M4" s="272" t="s">
        <v>333</v>
      </c>
      <c r="N4" s="265" t="s">
        <v>352</v>
      </c>
      <c r="O4" s="266" t="s">
        <v>331</v>
      </c>
      <c r="P4" s="273" t="s">
        <v>353</v>
      </c>
      <c r="Q4" s="274" t="s">
        <v>333</v>
      </c>
    </row>
    <row r="5" spans="1:17" x14ac:dyDescent="0.2">
      <c r="A5" s="192" t="s">
        <v>198</v>
      </c>
      <c r="B5" s="233">
        <v>23</v>
      </c>
      <c r="C5" s="234">
        <v>2.0129478663445259</v>
      </c>
      <c r="D5" s="237">
        <v>26</v>
      </c>
      <c r="E5" s="238">
        <v>3.3525507478628311</v>
      </c>
      <c r="F5" s="233">
        <v>2436</v>
      </c>
      <c r="G5" s="234">
        <v>3.0871968789910533</v>
      </c>
      <c r="H5" s="235">
        <v>5207</v>
      </c>
      <c r="I5" s="235">
        <v>35.844141735839884</v>
      </c>
      <c r="J5" s="233">
        <v>1779</v>
      </c>
      <c r="K5" s="234">
        <v>1.3563025810378757</v>
      </c>
      <c r="L5" s="276">
        <v>1870</v>
      </c>
      <c r="M5" s="275">
        <v>2.3119346467120878</v>
      </c>
      <c r="N5" s="233">
        <v>101</v>
      </c>
      <c r="O5" s="234">
        <v>3.270909882655225</v>
      </c>
      <c r="P5" s="260">
        <v>126</v>
      </c>
      <c r="Q5" s="277">
        <v>7.3995850786302491</v>
      </c>
    </row>
    <row r="6" spans="1:17" x14ac:dyDescent="0.2">
      <c r="A6" s="136" t="s">
        <v>199</v>
      </c>
      <c r="B6" s="162">
        <v>98</v>
      </c>
      <c r="C6" s="163">
        <v>2.5596916335972701</v>
      </c>
      <c r="D6" s="163">
        <v>127</v>
      </c>
      <c r="E6" s="163">
        <v>9.049706364828749</v>
      </c>
      <c r="F6" s="162">
        <v>127</v>
      </c>
      <c r="G6" s="163">
        <v>2.4370079651503826</v>
      </c>
      <c r="H6" s="162">
        <v>147</v>
      </c>
      <c r="I6" s="162">
        <v>6.3886211892165941</v>
      </c>
      <c r="J6" s="162">
        <v>1023</v>
      </c>
      <c r="K6" s="163">
        <v>2.5209424102132507</v>
      </c>
      <c r="L6" s="162">
        <v>1237</v>
      </c>
      <c r="M6" s="163">
        <v>6.0038459983831025</v>
      </c>
      <c r="N6" s="162">
        <v>210</v>
      </c>
      <c r="O6" s="163">
        <v>5.4917648809525765</v>
      </c>
      <c r="P6" s="162">
        <v>274</v>
      </c>
      <c r="Q6" s="163">
        <v>11.275380128075318</v>
      </c>
    </row>
    <row r="7" spans="1:17" x14ac:dyDescent="0.2">
      <c r="A7" s="137" t="s">
        <v>200</v>
      </c>
      <c r="B7" s="239">
        <v>6</v>
      </c>
      <c r="C7" s="240">
        <v>1.2343364197537692</v>
      </c>
      <c r="D7" s="185">
        <v>9</v>
      </c>
      <c r="E7" s="185">
        <v>8.2860570987662268</v>
      </c>
      <c r="F7" s="239">
        <v>9</v>
      </c>
      <c r="G7" s="240">
        <v>1.8758744855941687</v>
      </c>
      <c r="H7" s="179">
        <v>13</v>
      </c>
      <c r="I7" s="179">
        <v>10.261171652419971</v>
      </c>
      <c r="J7" s="239">
        <v>129</v>
      </c>
      <c r="K7" s="240">
        <v>1.951718256532049</v>
      </c>
      <c r="L7" s="253">
        <v>177</v>
      </c>
      <c r="M7" s="254">
        <v>7.8809803960036957</v>
      </c>
      <c r="N7" s="239">
        <v>46</v>
      </c>
      <c r="O7" s="240">
        <v>3.7133471719006712</v>
      </c>
      <c r="P7" s="261">
        <v>74</v>
      </c>
      <c r="Q7" s="262">
        <v>11.5578187562565</v>
      </c>
    </row>
    <row r="8" spans="1:17" x14ac:dyDescent="0.2">
      <c r="A8" s="142" t="s">
        <v>311</v>
      </c>
      <c r="B8" s="162">
        <v>39</v>
      </c>
      <c r="C8" s="163">
        <v>2.2466773504280493</v>
      </c>
      <c r="D8" s="163">
        <v>42</v>
      </c>
      <c r="E8" s="163">
        <v>3.5576471560852951</v>
      </c>
      <c r="F8" s="162">
        <v>27</v>
      </c>
      <c r="G8" s="163">
        <v>2.3935973936898303</v>
      </c>
      <c r="H8" s="162">
        <v>31</v>
      </c>
      <c r="I8" s="162">
        <v>6.9792166965348921</v>
      </c>
      <c r="J8" s="162">
        <v>290</v>
      </c>
      <c r="K8" s="163">
        <v>4.3633778336528408</v>
      </c>
      <c r="L8" s="162">
        <v>333</v>
      </c>
      <c r="M8" s="163">
        <v>7.7724905113449294</v>
      </c>
      <c r="N8" s="162">
        <v>25</v>
      </c>
      <c r="O8" s="163">
        <v>5.3832643518518308</v>
      </c>
      <c r="P8" s="162">
        <v>31</v>
      </c>
      <c r="Q8" s="163">
        <v>11.994125970728946</v>
      </c>
    </row>
    <row r="9" spans="1:17" x14ac:dyDescent="0.2">
      <c r="A9" s="137" t="s">
        <v>201</v>
      </c>
      <c r="B9" s="239">
        <v>6</v>
      </c>
      <c r="C9" s="240">
        <v>1.6226620370374196</v>
      </c>
      <c r="D9" s="185">
        <v>6</v>
      </c>
      <c r="E9" s="185">
        <v>1.6226620370374196</v>
      </c>
      <c r="F9" s="239">
        <v>4</v>
      </c>
      <c r="G9" s="240">
        <v>4.7725434027743177</v>
      </c>
      <c r="H9" s="179">
        <v>4</v>
      </c>
      <c r="I9" s="179">
        <v>4.7725434027743177</v>
      </c>
      <c r="J9" s="239">
        <v>88</v>
      </c>
      <c r="K9" s="240">
        <v>1.7689145359839709</v>
      </c>
      <c r="L9" s="253">
        <v>97</v>
      </c>
      <c r="M9" s="254">
        <v>4.2511665950735251</v>
      </c>
      <c r="N9" s="239">
        <v>57</v>
      </c>
      <c r="O9" s="240">
        <v>4.5644637345677967</v>
      </c>
      <c r="P9" s="261">
        <v>85</v>
      </c>
      <c r="Q9" s="262">
        <v>15.95481059368193</v>
      </c>
    </row>
    <row r="10" spans="1:17" x14ac:dyDescent="0.2">
      <c r="A10" s="136" t="s">
        <v>202</v>
      </c>
      <c r="B10" s="162">
        <v>3</v>
      </c>
      <c r="C10" s="163">
        <v>7.0137461419775109</v>
      </c>
      <c r="D10" s="163">
        <v>4</v>
      </c>
      <c r="E10" s="163">
        <v>7.0213252314824786</v>
      </c>
      <c r="F10" s="162">
        <v>2</v>
      </c>
      <c r="G10" s="163">
        <v>0.57416087963065365</v>
      </c>
      <c r="H10" s="162">
        <v>3</v>
      </c>
      <c r="I10" s="162">
        <v>2.7336535493838405</v>
      </c>
      <c r="J10" s="162">
        <v>104</v>
      </c>
      <c r="K10" s="163">
        <v>2.4459416176995057</v>
      </c>
      <c r="L10" s="162">
        <v>121</v>
      </c>
      <c r="M10" s="163">
        <v>6.1008674816347153</v>
      </c>
      <c r="N10" s="162">
        <v>98</v>
      </c>
      <c r="O10" s="163">
        <v>4.3997967450866744</v>
      </c>
      <c r="P10" s="162">
        <v>151</v>
      </c>
      <c r="Q10" s="163">
        <v>12.815388766249422</v>
      </c>
    </row>
    <row r="11" spans="1:17" x14ac:dyDescent="0.2">
      <c r="A11" s="137" t="s">
        <v>203</v>
      </c>
      <c r="B11" s="239"/>
      <c r="C11" s="240"/>
      <c r="D11" s="185"/>
      <c r="E11" s="185"/>
      <c r="F11" s="239">
        <v>4</v>
      </c>
      <c r="G11" s="240">
        <v>3.6744415509256214</v>
      </c>
      <c r="H11" s="179">
        <v>4</v>
      </c>
      <c r="I11" s="179">
        <v>3.6744415509256214</v>
      </c>
      <c r="J11" s="239">
        <v>43</v>
      </c>
      <c r="K11" s="240">
        <v>3.4754885335927992</v>
      </c>
      <c r="L11" s="253">
        <v>60</v>
      </c>
      <c r="M11" s="254">
        <v>11.519653356482014</v>
      </c>
      <c r="N11" s="239">
        <v>3</v>
      </c>
      <c r="O11" s="240">
        <v>18.654313271605741</v>
      </c>
      <c r="P11" s="261">
        <v>5</v>
      </c>
      <c r="Q11" s="262">
        <v>31.222856481482449</v>
      </c>
    </row>
    <row r="12" spans="1:17" x14ac:dyDescent="0.2">
      <c r="A12" s="136" t="s">
        <v>204</v>
      </c>
      <c r="B12" s="162"/>
      <c r="C12" s="163"/>
      <c r="D12" s="163">
        <v>1</v>
      </c>
      <c r="E12" s="163">
        <v>33.020671296297223</v>
      </c>
      <c r="F12" s="162">
        <v>2</v>
      </c>
      <c r="G12" s="163">
        <v>0.50204861111342325</v>
      </c>
      <c r="H12" s="162">
        <v>2</v>
      </c>
      <c r="I12" s="162">
        <v>0.50204861111342325</v>
      </c>
      <c r="J12" s="162">
        <v>31</v>
      </c>
      <c r="K12" s="163">
        <v>1.0042555256872983</v>
      </c>
      <c r="L12" s="162">
        <v>40</v>
      </c>
      <c r="M12" s="163">
        <v>6.6568674768523124</v>
      </c>
      <c r="N12" s="162">
        <v>2</v>
      </c>
      <c r="O12" s="163">
        <v>0.16051504629649571</v>
      </c>
      <c r="P12" s="162">
        <v>5</v>
      </c>
      <c r="Q12" s="163">
        <v>20.080025462963384</v>
      </c>
    </row>
    <row r="13" spans="1:17" x14ac:dyDescent="0.2">
      <c r="A13" s="137" t="s">
        <v>205</v>
      </c>
      <c r="B13" s="239"/>
      <c r="C13" s="240"/>
      <c r="D13" s="185">
        <v>1</v>
      </c>
      <c r="E13" s="185">
        <v>3.6879745370388264</v>
      </c>
      <c r="F13" s="239">
        <v>4</v>
      </c>
      <c r="G13" s="240">
        <v>7.5894097222208075</v>
      </c>
      <c r="H13" s="179">
        <v>4</v>
      </c>
      <c r="I13" s="179">
        <v>7.5894097222208075</v>
      </c>
      <c r="J13" s="239">
        <v>50</v>
      </c>
      <c r="K13" s="240">
        <v>3.9794993055558008</v>
      </c>
      <c r="L13" s="253">
        <v>64</v>
      </c>
      <c r="M13" s="254">
        <v>9.9892585358801398</v>
      </c>
      <c r="N13" s="239">
        <v>13</v>
      </c>
      <c r="O13" s="240">
        <v>2.3123433048436151</v>
      </c>
      <c r="P13" s="261">
        <v>15</v>
      </c>
      <c r="Q13" s="262">
        <v>8.6757962962966602</v>
      </c>
    </row>
    <row r="14" spans="1:17" x14ac:dyDescent="0.2">
      <c r="A14" s="136" t="s">
        <v>206</v>
      </c>
      <c r="B14" s="162"/>
      <c r="C14" s="163"/>
      <c r="D14" s="163"/>
      <c r="E14" s="163"/>
      <c r="F14" s="162"/>
      <c r="G14" s="163"/>
      <c r="H14" s="162">
        <v>1</v>
      </c>
      <c r="I14" s="162">
        <v>4.9917245370379533</v>
      </c>
      <c r="J14" s="162">
        <v>48</v>
      </c>
      <c r="K14" s="163">
        <v>1.891042872299143</v>
      </c>
      <c r="L14" s="162">
        <v>56</v>
      </c>
      <c r="M14" s="163">
        <v>3.8601347552908658</v>
      </c>
      <c r="N14" s="162">
        <v>7</v>
      </c>
      <c r="O14" s="163">
        <v>0.87119874338636039</v>
      </c>
      <c r="P14" s="162">
        <v>8</v>
      </c>
      <c r="Q14" s="163">
        <v>2.6409230324079545</v>
      </c>
    </row>
    <row r="15" spans="1:17" x14ac:dyDescent="0.2">
      <c r="A15" s="137" t="s">
        <v>207</v>
      </c>
      <c r="B15" s="239"/>
      <c r="C15" s="240"/>
      <c r="D15" s="185"/>
      <c r="E15" s="185"/>
      <c r="F15" s="239"/>
      <c r="G15" s="240"/>
      <c r="H15" s="179"/>
      <c r="I15" s="179"/>
      <c r="J15" s="239">
        <v>17</v>
      </c>
      <c r="K15" s="240">
        <v>2.1797474128539118</v>
      </c>
      <c r="L15" s="253">
        <v>23</v>
      </c>
      <c r="M15" s="254">
        <v>7.1527415458932291</v>
      </c>
      <c r="N15" s="239">
        <v>2</v>
      </c>
      <c r="O15" s="240">
        <v>3.9615509259274404</v>
      </c>
      <c r="P15" s="261">
        <v>3</v>
      </c>
      <c r="Q15" s="262">
        <v>4.6049807098776609</v>
      </c>
    </row>
    <row r="16" spans="1:17" x14ac:dyDescent="0.2">
      <c r="A16" s="136" t="s">
        <v>208</v>
      </c>
      <c r="B16" s="162"/>
      <c r="C16" s="163"/>
      <c r="D16" s="163"/>
      <c r="E16" s="163"/>
      <c r="F16" s="162">
        <v>2</v>
      </c>
      <c r="G16" s="163">
        <v>1.6182233796280343</v>
      </c>
      <c r="H16" s="162">
        <v>2</v>
      </c>
      <c r="I16" s="162">
        <v>1.6182233796280343</v>
      </c>
      <c r="J16" s="162">
        <v>11</v>
      </c>
      <c r="K16" s="163">
        <v>4.8348495370373712</v>
      </c>
      <c r="L16" s="162">
        <v>13</v>
      </c>
      <c r="M16" s="163">
        <v>9.3241835826215365</v>
      </c>
      <c r="N16" s="162">
        <v>13</v>
      </c>
      <c r="O16" s="163">
        <v>5.4394070512812158</v>
      </c>
      <c r="P16" s="162">
        <v>16</v>
      </c>
      <c r="Q16" s="163">
        <v>12.19865379050816</v>
      </c>
    </row>
    <row r="17" spans="1:17" x14ac:dyDescent="0.2">
      <c r="A17" s="137" t="s">
        <v>209</v>
      </c>
      <c r="B17" s="239"/>
      <c r="C17" s="240"/>
      <c r="D17" s="185"/>
      <c r="E17" s="185"/>
      <c r="F17" s="239"/>
      <c r="G17" s="240"/>
      <c r="H17" s="179"/>
      <c r="I17" s="179"/>
      <c r="J17" s="239">
        <v>9</v>
      </c>
      <c r="K17" s="240">
        <v>3.4827289094650444</v>
      </c>
      <c r="L17" s="253">
        <v>9</v>
      </c>
      <c r="M17" s="254">
        <v>3.4827289094650444</v>
      </c>
      <c r="N17" s="239">
        <v>1</v>
      </c>
      <c r="O17" s="240">
        <v>9.2506944444467081</v>
      </c>
      <c r="P17" s="261">
        <v>1</v>
      </c>
      <c r="Q17" s="262">
        <v>9.2506944444467081</v>
      </c>
    </row>
    <row r="18" spans="1:17" x14ac:dyDescent="0.2">
      <c r="A18" s="136" t="s">
        <v>210</v>
      </c>
      <c r="B18" s="162"/>
      <c r="C18" s="163"/>
      <c r="D18" s="163"/>
      <c r="E18" s="163"/>
      <c r="F18" s="162"/>
      <c r="G18" s="163"/>
      <c r="H18" s="162"/>
      <c r="I18" s="162"/>
      <c r="J18" s="162">
        <v>1</v>
      </c>
      <c r="K18" s="163">
        <v>0.84063657406659331</v>
      </c>
      <c r="L18" s="162">
        <v>1</v>
      </c>
      <c r="M18" s="163">
        <v>0.84063657406659331</v>
      </c>
      <c r="N18" s="162"/>
      <c r="O18" s="163"/>
      <c r="P18" s="162">
        <v>1</v>
      </c>
      <c r="Q18" s="163">
        <v>24.938541666662786</v>
      </c>
    </row>
    <row r="19" spans="1:17" x14ac:dyDescent="0.2">
      <c r="A19" s="137" t="s">
        <v>211</v>
      </c>
      <c r="B19" s="239"/>
      <c r="C19" s="240"/>
      <c r="D19" s="185"/>
      <c r="E19" s="185"/>
      <c r="F19" s="239"/>
      <c r="G19" s="240"/>
      <c r="H19" s="179"/>
      <c r="I19" s="179"/>
      <c r="J19" s="239">
        <v>4</v>
      </c>
      <c r="K19" s="240">
        <v>0.57750868055518367</v>
      </c>
      <c r="L19" s="253">
        <v>4</v>
      </c>
      <c r="M19" s="254">
        <v>0.57750868055518367</v>
      </c>
      <c r="N19" s="239"/>
      <c r="O19" s="240"/>
      <c r="P19" s="261"/>
      <c r="Q19" s="262"/>
    </row>
    <row r="20" spans="1:17" x14ac:dyDescent="0.2">
      <c r="A20" s="136" t="s">
        <v>212</v>
      </c>
      <c r="B20" s="162">
        <v>1</v>
      </c>
      <c r="C20" s="163">
        <v>2.0654745370411547</v>
      </c>
      <c r="D20" s="163">
        <v>1</v>
      </c>
      <c r="E20" s="163">
        <v>2.0654745370411547</v>
      </c>
      <c r="F20" s="162"/>
      <c r="G20" s="163"/>
      <c r="H20" s="162"/>
      <c r="I20" s="162"/>
      <c r="J20" s="162">
        <v>2</v>
      </c>
      <c r="K20" s="163">
        <v>5.2138715277760639</v>
      </c>
      <c r="L20" s="162">
        <v>2</v>
      </c>
      <c r="M20" s="163">
        <v>5.2138715277760639</v>
      </c>
      <c r="N20" s="162"/>
      <c r="O20" s="163"/>
      <c r="P20" s="162"/>
      <c r="Q20" s="163"/>
    </row>
    <row r="21" spans="1:17" x14ac:dyDescent="0.2">
      <c r="A21" s="137" t="s">
        <v>213</v>
      </c>
      <c r="B21" s="239"/>
      <c r="C21" s="240"/>
      <c r="D21" s="185"/>
      <c r="E21" s="185"/>
      <c r="F21" s="239"/>
      <c r="G21" s="240"/>
      <c r="H21" s="179"/>
      <c r="I21" s="179"/>
      <c r="J21" s="239">
        <v>1</v>
      </c>
      <c r="K21" s="240">
        <v>0.95399305555474712</v>
      </c>
      <c r="L21" s="253">
        <v>1</v>
      </c>
      <c r="M21" s="254">
        <v>0.95399305555474712</v>
      </c>
      <c r="N21" s="239">
        <v>1</v>
      </c>
      <c r="O21" s="240">
        <v>1.6620370370219462E-2</v>
      </c>
      <c r="P21" s="261">
        <v>2</v>
      </c>
      <c r="Q21" s="262">
        <v>15.267164351847896</v>
      </c>
    </row>
    <row r="22" spans="1:17" x14ac:dyDescent="0.2">
      <c r="A22" s="136" t="s">
        <v>214</v>
      </c>
      <c r="B22" s="162"/>
      <c r="C22" s="163"/>
      <c r="D22" s="163"/>
      <c r="E22" s="163"/>
      <c r="F22" s="162"/>
      <c r="G22" s="163"/>
      <c r="H22" s="162"/>
      <c r="I22" s="162"/>
      <c r="J22" s="162">
        <v>1</v>
      </c>
      <c r="K22" s="163">
        <v>0.20490740740933688</v>
      </c>
      <c r="L22" s="162">
        <v>1</v>
      </c>
      <c r="M22" s="163">
        <v>0.20490740740933688</v>
      </c>
      <c r="N22" s="162"/>
      <c r="O22" s="163"/>
      <c r="P22" s="162"/>
      <c r="Q22" s="163"/>
    </row>
    <row r="23" spans="1:17" x14ac:dyDescent="0.2">
      <c r="A23" s="137" t="s">
        <v>215</v>
      </c>
      <c r="B23" s="239"/>
      <c r="C23" s="240"/>
      <c r="D23" s="185"/>
      <c r="E23" s="185"/>
      <c r="F23" s="239">
        <v>1</v>
      </c>
      <c r="G23" s="240">
        <v>2.3900578703614883</v>
      </c>
      <c r="H23" s="179">
        <v>1</v>
      </c>
      <c r="I23" s="179">
        <v>2.3900578703614883</v>
      </c>
      <c r="J23" s="239">
        <v>5</v>
      </c>
      <c r="K23" s="240">
        <v>2.2855347222241109</v>
      </c>
      <c r="L23" s="253">
        <v>5</v>
      </c>
      <c r="M23" s="254">
        <v>2.2855347222241109</v>
      </c>
      <c r="N23" s="239"/>
      <c r="O23" s="240"/>
      <c r="P23" s="261"/>
      <c r="Q23" s="262"/>
    </row>
    <row r="24" spans="1:17" x14ac:dyDescent="0.2">
      <c r="A24" s="136" t="s">
        <v>216</v>
      </c>
      <c r="B24" s="162"/>
      <c r="C24" s="163"/>
      <c r="D24" s="163"/>
      <c r="E24" s="163"/>
      <c r="F24" s="162"/>
      <c r="G24" s="163"/>
      <c r="H24" s="162"/>
      <c r="I24" s="162"/>
      <c r="J24" s="162"/>
      <c r="K24" s="163"/>
      <c r="L24" s="163"/>
      <c r="M24" s="163"/>
      <c r="N24" s="162"/>
      <c r="O24" s="163"/>
      <c r="P24" s="162"/>
      <c r="Q24" s="163"/>
    </row>
    <row r="25" spans="1:17" ht="13.5" thickBot="1" x14ac:dyDescent="0.25">
      <c r="A25" s="143" t="s">
        <v>217</v>
      </c>
      <c r="B25" s="241"/>
      <c r="C25" s="242"/>
      <c r="D25" s="202"/>
      <c r="E25" s="202"/>
      <c r="F25" s="241"/>
      <c r="G25" s="242"/>
      <c r="H25" s="199"/>
      <c r="I25" s="199"/>
      <c r="J25" s="241"/>
      <c r="K25" s="242"/>
      <c r="L25" s="256"/>
      <c r="M25" s="256"/>
      <c r="N25" s="241"/>
      <c r="O25" s="242"/>
      <c r="P25" s="263"/>
      <c r="Q25" s="264"/>
    </row>
    <row r="26" spans="1:17" ht="13.5" thickBot="1" x14ac:dyDescent="0.25"/>
    <row r="27" spans="1:17" ht="13.5" customHeight="1" thickBot="1" x14ac:dyDescent="0.25">
      <c r="A27" s="221" t="s">
        <v>354</v>
      </c>
      <c r="B27" s="228" t="s">
        <v>318</v>
      </c>
      <c r="C27" s="228"/>
      <c r="D27" s="228"/>
      <c r="E27" s="228"/>
      <c r="F27" s="228"/>
      <c r="G27" s="228"/>
      <c r="H27" s="228"/>
      <c r="I27" s="228"/>
      <c r="J27" s="228"/>
      <c r="K27" s="228"/>
      <c r="L27" s="228"/>
      <c r="M27" s="228"/>
      <c r="N27" s="228"/>
      <c r="O27" s="228"/>
      <c r="P27" s="228"/>
      <c r="Q27" s="229"/>
    </row>
    <row r="28" spans="1:17" ht="13.5" customHeight="1" thickBot="1" x14ac:dyDescent="0.25">
      <c r="A28" s="222"/>
      <c r="B28" s="243" t="s">
        <v>348</v>
      </c>
      <c r="C28" s="243"/>
      <c r="D28" s="243"/>
      <c r="E28" s="244"/>
      <c r="F28" s="245" t="s">
        <v>349</v>
      </c>
      <c r="G28" s="246"/>
      <c r="H28" s="246"/>
      <c r="I28" s="247"/>
      <c r="J28" s="249" t="s">
        <v>350</v>
      </c>
      <c r="K28" s="250"/>
      <c r="L28" s="250"/>
      <c r="M28" s="251"/>
      <c r="N28" s="257" t="s">
        <v>351</v>
      </c>
      <c r="O28" s="258"/>
      <c r="P28" s="258"/>
      <c r="Q28" s="259"/>
    </row>
    <row r="29" spans="1:17" ht="63.75" thickBot="1" x14ac:dyDescent="0.25">
      <c r="A29" s="226"/>
      <c r="B29" s="265" t="s">
        <v>352</v>
      </c>
      <c r="C29" s="266" t="s">
        <v>331</v>
      </c>
      <c r="D29" s="267" t="s">
        <v>353</v>
      </c>
      <c r="E29" s="268" t="s">
        <v>333</v>
      </c>
      <c r="F29" s="265" t="s">
        <v>352</v>
      </c>
      <c r="G29" s="266" t="s">
        <v>331</v>
      </c>
      <c r="H29" s="269" t="s">
        <v>353</v>
      </c>
      <c r="I29" s="270" t="s">
        <v>333</v>
      </c>
      <c r="J29" s="265" t="s">
        <v>352</v>
      </c>
      <c r="K29" s="266" t="s">
        <v>331</v>
      </c>
      <c r="L29" s="271" t="s">
        <v>353</v>
      </c>
      <c r="M29" s="272" t="s">
        <v>333</v>
      </c>
      <c r="N29" s="265" t="s">
        <v>352</v>
      </c>
      <c r="O29" s="266" t="s">
        <v>331</v>
      </c>
      <c r="P29" s="273" t="s">
        <v>353</v>
      </c>
      <c r="Q29" s="274" t="s">
        <v>333</v>
      </c>
    </row>
    <row r="30" spans="1:17" x14ac:dyDescent="0.2">
      <c r="A30" s="192" t="s">
        <v>198</v>
      </c>
      <c r="B30" s="233">
        <v>45</v>
      </c>
      <c r="C30" s="234">
        <v>1.7036743827149621</v>
      </c>
      <c r="D30" s="237">
        <v>51</v>
      </c>
      <c r="E30" s="238">
        <v>2.3364106753800242</v>
      </c>
      <c r="F30" s="233">
        <v>2275</v>
      </c>
      <c r="G30" s="234">
        <v>1.2356889906390072</v>
      </c>
      <c r="H30" s="235">
        <v>6054</v>
      </c>
      <c r="I30" s="235">
        <v>26.763646928798192</v>
      </c>
      <c r="J30" s="233">
        <v>2458</v>
      </c>
      <c r="K30" s="234">
        <v>0.8923260027725195</v>
      </c>
      <c r="L30" s="252">
        <v>2614</v>
      </c>
      <c r="M30" s="275">
        <v>1.3278014041202741</v>
      </c>
      <c r="N30" s="233">
        <v>107</v>
      </c>
      <c r="O30" s="234">
        <v>2.1016928435442805</v>
      </c>
      <c r="P30" s="260">
        <v>118</v>
      </c>
      <c r="Q30" s="277">
        <v>3.9515400384494197</v>
      </c>
    </row>
    <row r="31" spans="1:17" x14ac:dyDescent="0.2">
      <c r="A31" s="136" t="s">
        <v>199</v>
      </c>
      <c r="B31" s="162">
        <v>114</v>
      </c>
      <c r="C31" s="163">
        <v>2.5417429134179481</v>
      </c>
      <c r="D31" s="162">
        <v>127</v>
      </c>
      <c r="E31" s="163">
        <v>4.3901310513271214</v>
      </c>
      <c r="F31" s="162">
        <v>125</v>
      </c>
      <c r="G31" s="163">
        <v>2.0928972222218873</v>
      </c>
      <c r="H31" s="162">
        <v>146</v>
      </c>
      <c r="I31" s="162">
        <v>3.7026607686450803</v>
      </c>
      <c r="J31" s="162">
        <v>1027</v>
      </c>
      <c r="K31" s="163">
        <v>2.0049426255003517</v>
      </c>
      <c r="L31" s="162">
        <v>1180</v>
      </c>
      <c r="M31" s="163">
        <v>3.451190560263619</v>
      </c>
      <c r="N31" s="162">
        <v>194</v>
      </c>
      <c r="O31" s="163">
        <v>2.8385324789996957</v>
      </c>
      <c r="P31" s="162">
        <v>246</v>
      </c>
      <c r="Q31" s="163">
        <v>5.4963225026346585</v>
      </c>
    </row>
    <row r="32" spans="1:17" x14ac:dyDescent="0.2">
      <c r="A32" s="137" t="s">
        <v>200</v>
      </c>
      <c r="B32" s="239">
        <v>6</v>
      </c>
      <c r="C32" s="240">
        <v>2.5204938271599531</v>
      </c>
      <c r="D32" s="184">
        <v>6</v>
      </c>
      <c r="E32" s="185">
        <v>2.5204938271599531</v>
      </c>
      <c r="F32" s="239">
        <v>12</v>
      </c>
      <c r="G32" s="240">
        <v>1.6553578317907522</v>
      </c>
      <c r="H32" s="179">
        <v>15</v>
      </c>
      <c r="I32" s="179">
        <v>4.3729945987666721</v>
      </c>
      <c r="J32" s="239">
        <v>211</v>
      </c>
      <c r="K32" s="240">
        <v>2.8517905805688981</v>
      </c>
      <c r="L32" s="253">
        <v>246</v>
      </c>
      <c r="M32" s="254">
        <v>5.1662874510691879</v>
      </c>
      <c r="N32" s="239">
        <v>40</v>
      </c>
      <c r="O32" s="240">
        <v>3.5228599537040282</v>
      </c>
      <c r="P32" s="261">
        <v>46</v>
      </c>
      <c r="Q32" s="262">
        <v>5.0488981984705354</v>
      </c>
    </row>
    <row r="33" spans="1:17" x14ac:dyDescent="0.2">
      <c r="A33" s="142" t="s">
        <v>311</v>
      </c>
      <c r="B33" s="162">
        <v>32</v>
      </c>
      <c r="C33" s="163">
        <v>1.5480711082184371</v>
      </c>
      <c r="D33" s="162">
        <v>34</v>
      </c>
      <c r="E33" s="163">
        <v>3.552280092593505</v>
      </c>
      <c r="F33" s="162">
        <v>40</v>
      </c>
      <c r="G33" s="163">
        <v>3.3142271412029003</v>
      </c>
      <c r="H33" s="162">
        <v>46</v>
      </c>
      <c r="I33" s="162">
        <v>6.2316482991138953</v>
      </c>
      <c r="J33" s="162">
        <v>254</v>
      </c>
      <c r="K33" s="163">
        <v>1.7030834882618049</v>
      </c>
      <c r="L33" s="162">
        <v>280</v>
      </c>
      <c r="M33" s="163">
        <v>2.8759405175262924</v>
      </c>
      <c r="N33" s="162">
        <v>6</v>
      </c>
      <c r="O33" s="163">
        <v>4.8061612654310011</v>
      </c>
      <c r="P33" s="162">
        <v>14</v>
      </c>
      <c r="Q33" s="163">
        <v>15.535950727512889</v>
      </c>
    </row>
    <row r="34" spans="1:17" x14ac:dyDescent="0.2">
      <c r="A34" s="137" t="s">
        <v>201</v>
      </c>
      <c r="B34" s="239">
        <v>6</v>
      </c>
      <c r="C34" s="240">
        <v>2.8432330246954129</v>
      </c>
      <c r="D34" s="184">
        <v>7</v>
      </c>
      <c r="E34" s="185">
        <v>2.8658829365106482</v>
      </c>
      <c r="F34" s="239">
        <v>8</v>
      </c>
      <c r="G34" s="240">
        <v>1.02861545138785</v>
      </c>
      <c r="H34" s="179">
        <v>8</v>
      </c>
      <c r="I34" s="179">
        <v>1.02861545138785</v>
      </c>
      <c r="J34" s="239">
        <v>106</v>
      </c>
      <c r="K34" s="240">
        <v>1.6504309704749107</v>
      </c>
      <c r="L34" s="253">
        <v>120</v>
      </c>
      <c r="M34" s="254">
        <v>5.1599081790120787</v>
      </c>
      <c r="N34" s="239">
        <v>72</v>
      </c>
      <c r="O34" s="240">
        <v>3.4744269225822992</v>
      </c>
      <c r="P34" s="261">
        <v>97</v>
      </c>
      <c r="Q34" s="262">
        <v>10.502435567009877</v>
      </c>
    </row>
    <row r="35" spans="1:17" x14ac:dyDescent="0.2">
      <c r="A35" s="136" t="s">
        <v>202</v>
      </c>
      <c r="B35" s="162">
        <v>14</v>
      </c>
      <c r="C35" s="163">
        <v>1.5691253306883612</v>
      </c>
      <c r="D35" s="162">
        <v>16</v>
      </c>
      <c r="E35" s="163">
        <v>1.8117288773155451</v>
      </c>
      <c r="F35" s="162">
        <v>13</v>
      </c>
      <c r="G35" s="163">
        <v>1.5539013532756003</v>
      </c>
      <c r="H35" s="162">
        <v>13</v>
      </c>
      <c r="I35" s="162">
        <v>1.5539013532756003</v>
      </c>
      <c r="J35" s="162">
        <v>111</v>
      </c>
      <c r="K35" s="163">
        <v>1.8259733692025253</v>
      </c>
      <c r="L35" s="162">
        <v>134</v>
      </c>
      <c r="M35" s="163">
        <v>4.270057870370489</v>
      </c>
      <c r="N35" s="162">
        <v>93</v>
      </c>
      <c r="O35" s="163">
        <v>3.8590174482280064</v>
      </c>
      <c r="P35" s="162">
        <v>122</v>
      </c>
      <c r="Q35" s="163">
        <v>7.1447196607469614</v>
      </c>
    </row>
    <row r="36" spans="1:17" x14ac:dyDescent="0.2">
      <c r="A36" s="137" t="s">
        <v>203</v>
      </c>
      <c r="B36" s="239"/>
      <c r="C36" s="240"/>
      <c r="D36" s="184"/>
      <c r="E36" s="185"/>
      <c r="F36" s="239">
        <v>2</v>
      </c>
      <c r="G36" s="240">
        <v>6.9846990740697947</v>
      </c>
      <c r="H36" s="179">
        <v>4</v>
      </c>
      <c r="I36" s="179">
        <v>14.203434606479277</v>
      </c>
      <c r="J36" s="239">
        <v>53</v>
      </c>
      <c r="K36" s="240">
        <v>1.6096066998605856</v>
      </c>
      <c r="L36" s="253">
        <v>61</v>
      </c>
      <c r="M36" s="254">
        <v>2.9965771098973537</v>
      </c>
      <c r="N36" s="239">
        <v>5</v>
      </c>
      <c r="O36" s="240">
        <v>0.90679398147913159</v>
      </c>
      <c r="P36" s="261">
        <v>9</v>
      </c>
      <c r="Q36" s="262">
        <v>9.1352842078170706</v>
      </c>
    </row>
    <row r="37" spans="1:17" x14ac:dyDescent="0.2">
      <c r="A37" s="136" t="s">
        <v>204</v>
      </c>
      <c r="B37" s="162"/>
      <c r="C37" s="163"/>
      <c r="D37" s="162"/>
      <c r="E37" s="163"/>
      <c r="F37" s="162">
        <v>4</v>
      </c>
      <c r="G37" s="163">
        <v>5.4431452546323271</v>
      </c>
      <c r="H37" s="162">
        <v>5</v>
      </c>
      <c r="I37" s="162">
        <v>5.9075300925949703</v>
      </c>
      <c r="J37" s="162">
        <v>49</v>
      </c>
      <c r="K37" s="163">
        <v>1.3012811791379544</v>
      </c>
      <c r="L37" s="162">
        <v>56</v>
      </c>
      <c r="M37" s="163">
        <v>2.7254315476185575</v>
      </c>
      <c r="N37" s="162">
        <v>4</v>
      </c>
      <c r="O37" s="163">
        <v>1.7936834490737965</v>
      </c>
      <c r="P37" s="162">
        <v>7</v>
      </c>
      <c r="Q37" s="163">
        <v>13.434289021163879</v>
      </c>
    </row>
    <row r="38" spans="1:17" x14ac:dyDescent="0.2">
      <c r="A38" s="137" t="s">
        <v>205</v>
      </c>
      <c r="B38" s="239"/>
      <c r="C38" s="240"/>
      <c r="D38" s="184"/>
      <c r="E38" s="185"/>
      <c r="F38" s="239">
        <v>4</v>
      </c>
      <c r="G38" s="240">
        <v>1.3650723379632836</v>
      </c>
      <c r="H38" s="179">
        <v>5</v>
      </c>
      <c r="I38" s="179">
        <v>3.8610879629632109</v>
      </c>
      <c r="J38" s="239">
        <v>47</v>
      </c>
      <c r="K38" s="240">
        <v>1.6314947793544754</v>
      </c>
      <c r="L38" s="253">
        <v>50</v>
      </c>
      <c r="M38" s="254">
        <v>2.4683819444451363</v>
      </c>
      <c r="N38" s="239">
        <v>9</v>
      </c>
      <c r="O38" s="240">
        <v>2.0501453189313503</v>
      </c>
      <c r="P38" s="261">
        <v>10</v>
      </c>
      <c r="Q38" s="262">
        <v>4.4446307870377497</v>
      </c>
    </row>
    <row r="39" spans="1:17" x14ac:dyDescent="0.2">
      <c r="A39" s="136" t="s">
        <v>206</v>
      </c>
      <c r="B39" s="162">
        <v>3</v>
      </c>
      <c r="C39" s="163">
        <v>1.8899074074070086</v>
      </c>
      <c r="D39" s="162">
        <v>3</v>
      </c>
      <c r="E39" s="163">
        <v>1.8899074074070086</v>
      </c>
      <c r="F39" s="162">
        <v>3</v>
      </c>
      <c r="G39" s="163">
        <v>0.30101080247065209</v>
      </c>
      <c r="H39" s="162">
        <v>4</v>
      </c>
      <c r="I39" s="162">
        <v>2.9642100694454712</v>
      </c>
      <c r="J39" s="162">
        <v>63</v>
      </c>
      <c r="K39" s="163">
        <v>1.1516166960605512</v>
      </c>
      <c r="L39" s="162">
        <v>66</v>
      </c>
      <c r="M39" s="163">
        <v>1.4390312850722915</v>
      </c>
      <c r="N39" s="162">
        <v>6</v>
      </c>
      <c r="O39" s="163">
        <v>4.5038213734563515</v>
      </c>
      <c r="P39" s="162">
        <v>9</v>
      </c>
      <c r="Q39" s="163">
        <v>8.3294470164603105</v>
      </c>
    </row>
    <row r="40" spans="1:17" x14ac:dyDescent="0.2">
      <c r="A40" s="137" t="s">
        <v>207</v>
      </c>
      <c r="B40" s="239"/>
      <c r="C40" s="240"/>
      <c r="D40" s="184"/>
      <c r="E40" s="185"/>
      <c r="F40" s="239">
        <v>2</v>
      </c>
      <c r="G40" s="240">
        <v>6.9967997685162118</v>
      </c>
      <c r="H40" s="179">
        <v>2</v>
      </c>
      <c r="I40" s="179">
        <v>6.9967997685162118</v>
      </c>
      <c r="J40" s="239">
        <v>31</v>
      </c>
      <c r="K40" s="240">
        <v>1.5344993279570425</v>
      </c>
      <c r="L40" s="253">
        <v>35</v>
      </c>
      <c r="M40" s="254">
        <v>3.4877873677248967</v>
      </c>
      <c r="N40" s="239">
        <v>6</v>
      </c>
      <c r="O40" s="240">
        <v>1.855596064813047</v>
      </c>
      <c r="P40" s="261">
        <v>7</v>
      </c>
      <c r="Q40" s="262">
        <v>6.4222966269829032</v>
      </c>
    </row>
    <row r="41" spans="1:17" x14ac:dyDescent="0.2">
      <c r="A41" s="136" t="s">
        <v>208</v>
      </c>
      <c r="B41" s="162">
        <v>1</v>
      </c>
      <c r="C41" s="163">
        <v>8.2627314812270924E-2</v>
      </c>
      <c r="D41" s="162">
        <v>1</v>
      </c>
      <c r="E41" s="163">
        <v>8.2627314812270924E-2</v>
      </c>
      <c r="F41" s="162">
        <v>3</v>
      </c>
      <c r="G41" s="163">
        <v>5.9147492283955216</v>
      </c>
      <c r="H41" s="162">
        <v>3</v>
      </c>
      <c r="I41" s="162">
        <v>5.9147492283955216</v>
      </c>
      <c r="J41" s="162">
        <v>15</v>
      </c>
      <c r="K41" s="163">
        <v>1.3000787037036692</v>
      </c>
      <c r="L41" s="162">
        <v>19</v>
      </c>
      <c r="M41" s="163">
        <v>2.3452174707601539</v>
      </c>
      <c r="N41" s="162"/>
      <c r="O41" s="163"/>
      <c r="P41" s="162">
        <v>3</v>
      </c>
      <c r="Q41" s="163">
        <v>20.754783950615092</v>
      </c>
    </row>
    <row r="42" spans="1:17" x14ac:dyDescent="0.2">
      <c r="A42" s="137" t="s">
        <v>209</v>
      </c>
      <c r="B42" s="239"/>
      <c r="C42" s="240"/>
      <c r="D42" s="184"/>
      <c r="E42" s="185"/>
      <c r="F42" s="239">
        <v>2</v>
      </c>
      <c r="G42" s="240">
        <v>0.62495370370379533</v>
      </c>
      <c r="H42" s="179">
        <v>2</v>
      </c>
      <c r="I42" s="179">
        <v>0.62495370370379533</v>
      </c>
      <c r="J42" s="239">
        <v>9</v>
      </c>
      <c r="K42" s="240">
        <v>3.5757857510301014</v>
      </c>
      <c r="L42" s="253">
        <v>9</v>
      </c>
      <c r="M42" s="254">
        <v>3.5757857510301014</v>
      </c>
      <c r="N42" s="239">
        <v>1</v>
      </c>
      <c r="O42" s="240">
        <v>3.5775462958554272E-2</v>
      </c>
      <c r="P42" s="261">
        <v>1</v>
      </c>
      <c r="Q42" s="262">
        <v>3.5775462958554272E-2</v>
      </c>
    </row>
    <row r="43" spans="1:17" x14ac:dyDescent="0.2">
      <c r="A43" s="136" t="s">
        <v>210</v>
      </c>
      <c r="B43" s="162"/>
      <c r="C43" s="163"/>
      <c r="D43" s="162"/>
      <c r="E43" s="163"/>
      <c r="F43" s="162"/>
      <c r="G43" s="163"/>
      <c r="H43" s="162"/>
      <c r="I43" s="162"/>
      <c r="J43" s="162">
        <v>5</v>
      </c>
      <c r="K43" s="163">
        <v>0.54739814814674903</v>
      </c>
      <c r="L43" s="162">
        <v>6</v>
      </c>
      <c r="M43" s="163">
        <v>3.5959915123445776</v>
      </c>
      <c r="N43" s="162"/>
      <c r="O43" s="163"/>
      <c r="P43" s="162"/>
      <c r="Q43" s="163"/>
    </row>
    <row r="44" spans="1:17" x14ac:dyDescent="0.2">
      <c r="A44" s="137" t="s">
        <v>211</v>
      </c>
      <c r="B44" s="239">
        <v>1</v>
      </c>
      <c r="C44" s="240">
        <v>3.8738425930205267E-2</v>
      </c>
      <c r="D44" s="184">
        <v>1</v>
      </c>
      <c r="E44" s="185">
        <v>3.8738425930205267E-2</v>
      </c>
      <c r="F44" s="239"/>
      <c r="G44" s="240"/>
      <c r="H44" s="179"/>
      <c r="I44" s="179"/>
      <c r="J44" s="239">
        <v>6</v>
      </c>
      <c r="K44" s="240">
        <v>0.40707754629571963</v>
      </c>
      <c r="L44" s="253">
        <v>7</v>
      </c>
      <c r="M44" s="254">
        <v>1.1796511243384364</v>
      </c>
      <c r="N44" s="239">
        <v>1</v>
      </c>
      <c r="O44" s="240">
        <v>0.81598379630304407</v>
      </c>
      <c r="P44" s="261">
        <v>2</v>
      </c>
      <c r="Q44" s="262">
        <v>19.903553240743349</v>
      </c>
    </row>
    <row r="45" spans="1:17" x14ac:dyDescent="0.2">
      <c r="A45" s="136" t="s">
        <v>212</v>
      </c>
      <c r="B45" s="162"/>
      <c r="C45" s="163"/>
      <c r="D45" s="162"/>
      <c r="E45" s="163"/>
      <c r="F45" s="162"/>
      <c r="G45" s="163"/>
      <c r="H45" s="162"/>
      <c r="I45" s="162"/>
      <c r="J45" s="162">
        <v>3</v>
      </c>
      <c r="K45" s="163">
        <v>9.2399691364941347E-2</v>
      </c>
      <c r="L45" s="162">
        <v>3</v>
      </c>
      <c r="M45" s="163">
        <v>9.2399691364941347E-2</v>
      </c>
      <c r="N45" s="162"/>
      <c r="O45" s="163"/>
      <c r="P45" s="162"/>
      <c r="Q45" s="163"/>
    </row>
    <row r="46" spans="1:17" x14ac:dyDescent="0.2">
      <c r="A46" s="137" t="s">
        <v>213</v>
      </c>
      <c r="B46" s="239">
        <v>1</v>
      </c>
      <c r="C46" s="240">
        <v>5.7996180555564933</v>
      </c>
      <c r="D46" s="184">
        <v>1</v>
      </c>
      <c r="E46" s="185">
        <v>5.7996180555564933</v>
      </c>
      <c r="F46" s="239"/>
      <c r="G46" s="240"/>
      <c r="H46" s="179"/>
      <c r="I46" s="179"/>
      <c r="J46" s="239">
        <v>7</v>
      </c>
      <c r="K46" s="240">
        <v>1.0294642857147014</v>
      </c>
      <c r="L46" s="253">
        <v>7</v>
      </c>
      <c r="M46" s="254">
        <v>1.0294642857147014</v>
      </c>
      <c r="N46" s="239"/>
      <c r="O46" s="240"/>
      <c r="P46" s="261"/>
      <c r="Q46" s="262"/>
    </row>
    <row r="47" spans="1:17" x14ac:dyDescent="0.2">
      <c r="A47" s="136" t="s">
        <v>214</v>
      </c>
      <c r="B47" s="162"/>
      <c r="C47" s="163"/>
      <c r="D47" s="162"/>
      <c r="E47" s="163"/>
      <c r="F47" s="162"/>
      <c r="G47" s="163"/>
      <c r="H47" s="162"/>
      <c r="I47" s="162"/>
      <c r="J47" s="162">
        <v>1</v>
      </c>
      <c r="K47" s="163">
        <v>4.1932870371965691E-2</v>
      </c>
      <c r="L47" s="162">
        <v>1</v>
      </c>
      <c r="M47" s="163">
        <v>4.1932870371965691E-2</v>
      </c>
      <c r="N47" s="162"/>
      <c r="O47" s="163"/>
      <c r="P47" s="162"/>
      <c r="Q47" s="163"/>
    </row>
    <row r="48" spans="1:17" x14ac:dyDescent="0.2">
      <c r="A48" s="137" t="s">
        <v>215</v>
      </c>
      <c r="B48" s="239"/>
      <c r="C48" s="240"/>
      <c r="D48" s="184"/>
      <c r="E48" s="185"/>
      <c r="F48" s="239"/>
      <c r="G48" s="240"/>
      <c r="H48" s="179"/>
      <c r="I48" s="179"/>
      <c r="J48" s="239">
        <v>5</v>
      </c>
      <c r="K48" s="240">
        <v>2.4423379629661213</v>
      </c>
      <c r="L48" s="253">
        <v>5</v>
      </c>
      <c r="M48" s="254">
        <v>2.4423379629661213</v>
      </c>
      <c r="N48" s="239"/>
      <c r="O48" s="240"/>
      <c r="P48" s="261"/>
      <c r="Q48" s="262"/>
    </row>
    <row r="49" spans="1:17" x14ac:dyDescent="0.2">
      <c r="A49" s="136" t="s">
        <v>216</v>
      </c>
      <c r="B49" s="162"/>
      <c r="C49" s="163"/>
      <c r="D49" s="162"/>
      <c r="E49" s="163"/>
      <c r="F49" s="162"/>
      <c r="G49" s="163"/>
      <c r="H49" s="162">
        <v>1</v>
      </c>
      <c r="I49" s="162">
        <v>18.361446759256069</v>
      </c>
      <c r="J49" s="162"/>
      <c r="K49" s="163"/>
      <c r="L49" s="162"/>
      <c r="M49" s="163"/>
      <c r="N49" s="162"/>
      <c r="O49" s="163"/>
      <c r="P49" s="162"/>
      <c r="Q49" s="163"/>
    </row>
    <row r="50" spans="1:17" ht="13.5" thickBot="1" x14ac:dyDescent="0.25">
      <c r="A50" s="143" t="s">
        <v>217</v>
      </c>
      <c r="B50" s="241"/>
      <c r="C50" s="242"/>
      <c r="D50" s="201"/>
      <c r="E50" s="202"/>
      <c r="F50" s="241"/>
      <c r="G50" s="242"/>
      <c r="H50" s="199"/>
      <c r="I50" s="199"/>
      <c r="J50" s="241"/>
      <c r="K50" s="242"/>
      <c r="L50" s="255"/>
      <c r="M50" s="256"/>
      <c r="N50" s="241">
        <v>1</v>
      </c>
      <c r="O50" s="242">
        <v>1.0533912036989932</v>
      </c>
      <c r="P50" s="263">
        <v>1</v>
      </c>
      <c r="Q50" s="264">
        <v>1.0533912036989932</v>
      </c>
    </row>
    <row r="51" spans="1:17" ht="13.5" thickBot="1" x14ac:dyDescent="0.25"/>
    <row r="52" spans="1:17" ht="13.5" thickBot="1" x14ac:dyDescent="0.25">
      <c r="A52" s="221" t="s">
        <v>354</v>
      </c>
      <c r="B52" s="228" t="s">
        <v>222</v>
      </c>
      <c r="C52" s="228"/>
      <c r="D52" s="228"/>
      <c r="E52" s="228"/>
      <c r="F52" s="228"/>
      <c r="G52" s="228"/>
      <c r="H52" s="228"/>
      <c r="I52" s="228"/>
      <c r="J52" s="228"/>
      <c r="K52" s="228"/>
      <c r="L52" s="228"/>
      <c r="M52" s="228"/>
      <c r="N52" s="228"/>
      <c r="O52" s="228"/>
      <c r="P52" s="228"/>
      <c r="Q52" s="229"/>
    </row>
    <row r="53" spans="1:17" ht="13.5" customHeight="1" thickBot="1" x14ac:dyDescent="0.25">
      <c r="A53" s="222"/>
      <c r="B53" s="243" t="s">
        <v>348</v>
      </c>
      <c r="C53" s="243"/>
      <c r="D53" s="243"/>
      <c r="E53" s="244"/>
      <c r="F53" s="245" t="s">
        <v>349</v>
      </c>
      <c r="G53" s="246"/>
      <c r="H53" s="246"/>
      <c r="I53" s="247"/>
      <c r="J53" s="249" t="s">
        <v>350</v>
      </c>
      <c r="K53" s="250"/>
      <c r="L53" s="250"/>
      <c r="M53" s="251"/>
      <c r="N53" s="257" t="s">
        <v>351</v>
      </c>
      <c r="O53" s="258"/>
      <c r="P53" s="258"/>
      <c r="Q53" s="259"/>
    </row>
    <row r="54" spans="1:17" ht="63.75" thickBot="1" x14ac:dyDescent="0.25">
      <c r="A54" s="226"/>
      <c r="B54" s="265" t="s">
        <v>352</v>
      </c>
      <c r="C54" s="266" t="s">
        <v>331</v>
      </c>
      <c r="D54" s="267" t="s">
        <v>353</v>
      </c>
      <c r="E54" s="268" t="s">
        <v>333</v>
      </c>
      <c r="F54" s="265" t="s">
        <v>352</v>
      </c>
      <c r="G54" s="266" t="s">
        <v>331</v>
      </c>
      <c r="H54" s="269" t="s">
        <v>353</v>
      </c>
      <c r="I54" s="270" t="s">
        <v>333</v>
      </c>
      <c r="J54" s="265" t="s">
        <v>352</v>
      </c>
      <c r="K54" s="266" t="s">
        <v>331</v>
      </c>
      <c r="L54" s="271" t="s">
        <v>353</v>
      </c>
      <c r="M54" s="272" t="s">
        <v>333</v>
      </c>
      <c r="N54" s="265" t="s">
        <v>352</v>
      </c>
      <c r="O54" s="266" t="s">
        <v>331</v>
      </c>
      <c r="P54" s="273" t="s">
        <v>353</v>
      </c>
      <c r="Q54" s="274" t="s">
        <v>333</v>
      </c>
    </row>
    <row r="55" spans="1:17" x14ac:dyDescent="0.2">
      <c r="A55" s="192" t="s">
        <v>198</v>
      </c>
      <c r="B55" s="233">
        <v>37</v>
      </c>
      <c r="C55" s="234">
        <v>1.5969447572566129</v>
      </c>
      <c r="D55" s="237">
        <v>37</v>
      </c>
      <c r="E55" s="238">
        <v>1.5969447572566129</v>
      </c>
      <c r="F55" s="233">
        <v>1949</v>
      </c>
      <c r="G55" s="234">
        <v>1.3122034982327149</v>
      </c>
      <c r="H55" s="248">
        <v>1949</v>
      </c>
      <c r="I55" s="236">
        <v>1.3122034982327149</v>
      </c>
      <c r="J55" s="233">
        <v>4303</v>
      </c>
      <c r="K55" s="234">
        <v>1.0015143665917638</v>
      </c>
      <c r="L55" s="252">
        <v>4303</v>
      </c>
      <c r="M55" s="275">
        <v>1.0015143665917638</v>
      </c>
      <c r="N55" s="233">
        <v>66</v>
      </c>
      <c r="O55" s="234">
        <v>2.3413347011783943</v>
      </c>
      <c r="P55" s="260">
        <v>66</v>
      </c>
      <c r="Q55" s="277">
        <v>2.3413347011783943</v>
      </c>
    </row>
    <row r="56" spans="1:17" x14ac:dyDescent="0.2">
      <c r="A56" s="136" t="s">
        <v>199</v>
      </c>
      <c r="B56" s="162">
        <v>97</v>
      </c>
      <c r="C56" s="163">
        <v>1.967581615120412</v>
      </c>
      <c r="D56" s="237">
        <v>97</v>
      </c>
      <c r="E56" s="238">
        <v>1.967581615120412</v>
      </c>
      <c r="F56" s="162">
        <v>59</v>
      </c>
      <c r="G56" s="163">
        <v>1.7923873979912752</v>
      </c>
      <c r="H56" s="248">
        <v>59</v>
      </c>
      <c r="I56" s="236">
        <v>1.7923873979912752</v>
      </c>
      <c r="J56" s="162">
        <v>856</v>
      </c>
      <c r="K56" s="163">
        <v>1.9608488555728383</v>
      </c>
      <c r="L56" s="162">
        <v>856</v>
      </c>
      <c r="M56" s="163">
        <v>1.9608488555728383</v>
      </c>
      <c r="N56" s="162">
        <v>230</v>
      </c>
      <c r="O56" s="163">
        <v>3.0885410124802348</v>
      </c>
      <c r="P56" s="162">
        <v>230</v>
      </c>
      <c r="Q56" s="163">
        <v>3.0885410124802348</v>
      </c>
    </row>
    <row r="57" spans="1:17" x14ac:dyDescent="0.2">
      <c r="A57" s="137" t="s">
        <v>200</v>
      </c>
      <c r="B57" s="239">
        <v>7</v>
      </c>
      <c r="C57" s="240">
        <v>1.1310714285729253</v>
      </c>
      <c r="D57" s="237">
        <v>7</v>
      </c>
      <c r="E57" s="238">
        <v>1.1310714285729253</v>
      </c>
      <c r="F57" s="239">
        <v>11</v>
      </c>
      <c r="G57" s="240">
        <v>3.0912615740744513</v>
      </c>
      <c r="H57" s="248">
        <v>11</v>
      </c>
      <c r="I57" s="236">
        <v>3.0912615740744513</v>
      </c>
      <c r="J57" s="239">
        <v>146</v>
      </c>
      <c r="K57" s="240">
        <v>2.0966959982241398</v>
      </c>
      <c r="L57" s="253">
        <v>146</v>
      </c>
      <c r="M57" s="254">
        <v>2.0966959982241398</v>
      </c>
      <c r="N57" s="239">
        <v>45</v>
      </c>
      <c r="O57" s="240">
        <v>2.1159133230452425</v>
      </c>
      <c r="P57" s="261">
        <v>45</v>
      </c>
      <c r="Q57" s="262">
        <v>2.1159133230452425</v>
      </c>
    </row>
    <row r="58" spans="1:17" x14ac:dyDescent="0.2">
      <c r="A58" s="142" t="s">
        <v>311</v>
      </c>
      <c r="B58" s="162">
        <v>38</v>
      </c>
      <c r="C58" s="163">
        <v>1.6133622685185018</v>
      </c>
      <c r="D58" s="237">
        <v>38</v>
      </c>
      <c r="E58" s="238">
        <v>1.6133622685185018</v>
      </c>
      <c r="F58" s="162">
        <v>26</v>
      </c>
      <c r="G58" s="163">
        <v>1.7737108262120342</v>
      </c>
      <c r="H58" s="248">
        <v>26</v>
      </c>
      <c r="I58" s="236">
        <v>1.7737108262120342</v>
      </c>
      <c r="J58" s="162">
        <v>297</v>
      </c>
      <c r="K58" s="163">
        <v>1.574810606060459</v>
      </c>
      <c r="L58" s="162">
        <v>297</v>
      </c>
      <c r="M58" s="163">
        <v>1.574810606060459</v>
      </c>
      <c r="N58" s="162">
        <v>19</v>
      </c>
      <c r="O58" s="163">
        <v>1.6153752436665327</v>
      </c>
      <c r="P58" s="162">
        <v>19</v>
      </c>
      <c r="Q58" s="163">
        <v>1.6153752436665327</v>
      </c>
    </row>
    <row r="59" spans="1:17" x14ac:dyDescent="0.2">
      <c r="A59" s="137" t="s">
        <v>201</v>
      </c>
      <c r="B59" s="239">
        <v>5</v>
      </c>
      <c r="C59" s="240">
        <v>0.38467592592787697</v>
      </c>
      <c r="D59" s="237">
        <v>5</v>
      </c>
      <c r="E59" s="238">
        <v>0.38467592592787697</v>
      </c>
      <c r="F59" s="239">
        <v>3</v>
      </c>
      <c r="G59" s="240">
        <v>0.51885030864165549</v>
      </c>
      <c r="H59" s="248">
        <v>3</v>
      </c>
      <c r="I59" s="236">
        <v>0.51885030864165549</v>
      </c>
      <c r="J59" s="239">
        <v>97</v>
      </c>
      <c r="K59" s="240">
        <v>2.1553208524243188</v>
      </c>
      <c r="L59" s="253">
        <v>97</v>
      </c>
      <c r="M59" s="254">
        <v>2.1553208524243188</v>
      </c>
      <c r="N59" s="239">
        <v>174</v>
      </c>
      <c r="O59" s="240">
        <v>2.1455286159000297</v>
      </c>
      <c r="P59" s="261">
        <v>174</v>
      </c>
      <c r="Q59" s="262">
        <v>2.1455286159000297</v>
      </c>
    </row>
    <row r="60" spans="1:17" x14ac:dyDescent="0.2">
      <c r="A60" s="136" t="s">
        <v>202</v>
      </c>
      <c r="B60" s="162">
        <v>4</v>
      </c>
      <c r="C60" s="163">
        <v>3.3340219907440769</v>
      </c>
      <c r="D60" s="237">
        <v>4</v>
      </c>
      <c r="E60" s="238">
        <v>3.3340219907440769</v>
      </c>
      <c r="F60" s="162">
        <v>6</v>
      </c>
      <c r="G60" s="163">
        <v>2.7556770833313444</v>
      </c>
      <c r="H60" s="248">
        <v>6</v>
      </c>
      <c r="I60" s="236">
        <v>2.7556770833313444</v>
      </c>
      <c r="J60" s="162">
        <v>165</v>
      </c>
      <c r="K60" s="163">
        <v>1.665249228394885</v>
      </c>
      <c r="L60" s="162">
        <v>165</v>
      </c>
      <c r="M60" s="163">
        <v>1.665249228394885</v>
      </c>
      <c r="N60" s="162">
        <v>80</v>
      </c>
      <c r="O60" s="163">
        <v>2.181192563656805</v>
      </c>
      <c r="P60" s="162">
        <v>80</v>
      </c>
      <c r="Q60" s="163">
        <v>2.181192563656805</v>
      </c>
    </row>
    <row r="61" spans="1:17" x14ac:dyDescent="0.2">
      <c r="A61" s="137" t="s">
        <v>203</v>
      </c>
      <c r="B61" s="239">
        <v>2</v>
      </c>
      <c r="C61" s="240">
        <v>0.62853587962672464</v>
      </c>
      <c r="D61" s="237">
        <v>2</v>
      </c>
      <c r="E61" s="238">
        <v>0.62853587962672464</v>
      </c>
      <c r="F61" s="239">
        <v>1</v>
      </c>
      <c r="G61" s="240">
        <v>2.9257986111042555</v>
      </c>
      <c r="H61" s="248">
        <v>1</v>
      </c>
      <c r="I61" s="236">
        <v>2.9257986111042555</v>
      </c>
      <c r="J61" s="239">
        <v>37</v>
      </c>
      <c r="K61" s="240">
        <v>1.2704776651650742</v>
      </c>
      <c r="L61" s="253">
        <v>37</v>
      </c>
      <c r="M61" s="254">
        <v>1.2704776651650742</v>
      </c>
      <c r="N61" s="239">
        <v>8</v>
      </c>
      <c r="O61" s="240">
        <v>2.7266883680540559</v>
      </c>
      <c r="P61" s="261">
        <v>8</v>
      </c>
      <c r="Q61" s="262">
        <v>2.7266883680540559</v>
      </c>
    </row>
    <row r="62" spans="1:17" x14ac:dyDescent="0.2">
      <c r="A62" s="136" t="s">
        <v>204</v>
      </c>
      <c r="B62" s="162">
        <v>1</v>
      </c>
      <c r="C62" s="163">
        <v>0.14223379629402189</v>
      </c>
      <c r="D62" s="237">
        <v>1</v>
      </c>
      <c r="E62" s="238">
        <v>0.14223379629402189</v>
      </c>
      <c r="F62" s="162">
        <v>1</v>
      </c>
      <c r="G62" s="163">
        <v>8.1790740740761976</v>
      </c>
      <c r="H62" s="248">
        <v>1</v>
      </c>
      <c r="I62" s="236">
        <v>8.1790740740761976</v>
      </c>
      <c r="J62" s="162">
        <v>46</v>
      </c>
      <c r="K62" s="163">
        <v>1.7586845813205836</v>
      </c>
      <c r="L62" s="162">
        <v>46</v>
      </c>
      <c r="M62" s="163">
        <v>1.7586845813205836</v>
      </c>
      <c r="N62" s="162">
        <v>21</v>
      </c>
      <c r="O62" s="163">
        <v>0.4348280423295191</v>
      </c>
      <c r="P62" s="162">
        <v>21</v>
      </c>
      <c r="Q62" s="163">
        <v>0.4348280423295191</v>
      </c>
    </row>
    <row r="63" spans="1:17" x14ac:dyDescent="0.2">
      <c r="A63" s="137" t="s">
        <v>205</v>
      </c>
      <c r="B63" s="239"/>
      <c r="C63" s="240"/>
      <c r="D63" s="237"/>
      <c r="E63" s="238"/>
      <c r="F63" s="239">
        <v>1</v>
      </c>
      <c r="G63" s="240">
        <v>7.9937152777711162</v>
      </c>
      <c r="H63" s="248">
        <v>1</v>
      </c>
      <c r="I63" s="236">
        <v>7.9937152777711162</v>
      </c>
      <c r="J63" s="239">
        <v>41</v>
      </c>
      <c r="K63" s="240">
        <v>1.3477693089428102</v>
      </c>
      <c r="L63" s="253">
        <v>41</v>
      </c>
      <c r="M63" s="254">
        <v>1.3477693089428102</v>
      </c>
      <c r="N63" s="239">
        <v>11</v>
      </c>
      <c r="O63" s="240">
        <v>3.0997632575765071</v>
      </c>
      <c r="P63" s="261">
        <v>11</v>
      </c>
      <c r="Q63" s="262">
        <v>3.0997632575765071</v>
      </c>
    </row>
    <row r="64" spans="1:17" x14ac:dyDescent="0.2">
      <c r="A64" s="136" t="s">
        <v>206</v>
      </c>
      <c r="B64" s="162">
        <v>1</v>
      </c>
      <c r="C64" s="163">
        <v>0.24437500000203727</v>
      </c>
      <c r="D64" s="237">
        <v>1</v>
      </c>
      <c r="E64" s="238">
        <v>0.24437500000203727</v>
      </c>
      <c r="F64" s="162">
        <v>1</v>
      </c>
      <c r="G64" s="163">
        <v>6.1226851845276542E-2</v>
      </c>
      <c r="H64" s="248">
        <v>1</v>
      </c>
      <c r="I64" s="236">
        <v>6.1226851845276542E-2</v>
      </c>
      <c r="J64" s="162">
        <v>62</v>
      </c>
      <c r="K64" s="163">
        <v>1.3795409572879678</v>
      </c>
      <c r="L64" s="162">
        <v>62</v>
      </c>
      <c r="M64" s="163">
        <v>1.3795409572879678</v>
      </c>
      <c r="N64" s="162">
        <v>2</v>
      </c>
      <c r="O64" s="163">
        <v>5.761579861111386</v>
      </c>
      <c r="P64" s="162">
        <v>2</v>
      </c>
      <c r="Q64" s="163">
        <v>5.761579861111386</v>
      </c>
    </row>
    <row r="65" spans="1:17" x14ac:dyDescent="0.2">
      <c r="A65" s="137" t="s">
        <v>207</v>
      </c>
      <c r="B65" s="239"/>
      <c r="C65" s="240"/>
      <c r="D65" s="237"/>
      <c r="E65" s="238"/>
      <c r="F65" s="239">
        <v>1</v>
      </c>
      <c r="G65" s="240">
        <v>4.6716550925921183</v>
      </c>
      <c r="H65" s="248">
        <v>1</v>
      </c>
      <c r="I65" s="236">
        <v>4.6716550925921183</v>
      </c>
      <c r="J65" s="239">
        <v>20</v>
      </c>
      <c r="K65" s="240">
        <v>1.7186174768532509</v>
      </c>
      <c r="L65" s="253">
        <v>20</v>
      </c>
      <c r="M65" s="254">
        <v>1.7186174768532509</v>
      </c>
      <c r="N65" s="239">
        <v>2</v>
      </c>
      <c r="O65" s="240">
        <v>2.0908101851891843</v>
      </c>
      <c r="P65" s="261">
        <v>2</v>
      </c>
      <c r="Q65" s="262">
        <v>2.0908101851891843</v>
      </c>
    </row>
    <row r="66" spans="1:17" x14ac:dyDescent="0.2">
      <c r="A66" s="136" t="s">
        <v>208</v>
      </c>
      <c r="B66" s="162">
        <v>4</v>
      </c>
      <c r="C66" s="163">
        <v>1.5846961805546016</v>
      </c>
      <c r="D66" s="237">
        <v>4</v>
      </c>
      <c r="E66" s="238">
        <v>1.5846961805546016</v>
      </c>
      <c r="F66" s="162"/>
      <c r="G66" s="163"/>
      <c r="H66" s="248"/>
      <c r="I66" s="236"/>
      <c r="J66" s="162">
        <v>16</v>
      </c>
      <c r="K66" s="163">
        <v>1.0032060185171758</v>
      </c>
      <c r="L66" s="162">
        <v>16</v>
      </c>
      <c r="M66" s="163">
        <v>1.0032060185171758</v>
      </c>
      <c r="N66" s="162">
        <v>2</v>
      </c>
      <c r="O66" s="163">
        <v>11.069172453699139</v>
      </c>
      <c r="P66" s="162">
        <v>2</v>
      </c>
      <c r="Q66" s="163">
        <v>11.069172453699139</v>
      </c>
    </row>
    <row r="67" spans="1:17" x14ac:dyDescent="0.2">
      <c r="A67" s="137" t="s">
        <v>209</v>
      </c>
      <c r="B67" s="239"/>
      <c r="C67" s="240"/>
      <c r="D67" s="237"/>
      <c r="E67" s="238"/>
      <c r="F67" s="239"/>
      <c r="G67" s="240"/>
      <c r="H67" s="248"/>
      <c r="I67" s="236"/>
      <c r="J67" s="239">
        <v>8</v>
      </c>
      <c r="K67" s="240">
        <v>0.58510127314912097</v>
      </c>
      <c r="L67" s="253">
        <v>8</v>
      </c>
      <c r="M67" s="254">
        <v>0.58510127314912097</v>
      </c>
      <c r="N67" s="239">
        <v>1</v>
      </c>
      <c r="O67" s="240">
        <v>2.8819444487453438E-3</v>
      </c>
      <c r="P67" s="261">
        <v>1</v>
      </c>
      <c r="Q67" s="262">
        <v>2.8819444487453438E-3</v>
      </c>
    </row>
    <row r="68" spans="1:17" x14ac:dyDescent="0.2">
      <c r="A68" s="136" t="s">
        <v>210</v>
      </c>
      <c r="B68" s="162"/>
      <c r="C68" s="163"/>
      <c r="D68" s="237"/>
      <c r="E68" s="238"/>
      <c r="F68" s="162"/>
      <c r="G68" s="163"/>
      <c r="H68" s="248"/>
      <c r="I68" s="236"/>
      <c r="J68" s="162">
        <v>3</v>
      </c>
      <c r="K68" s="163">
        <v>7.8298611112889674E-2</v>
      </c>
      <c r="L68" s="162">
        <v>3</v>
      </c>
      <c r="M68" s="163">
        <v>7.8298611112889674E-2</v>
      </c>
      <c r="N68" s="162"/>
      <c r="O68" s="163"/>
      <c r="P68" s="162"/>
      <c r="Q68" s="163"/>
    </row>
    <row r="69" spans="1:17" x14ac:dyDescent="0.2">
      <c r="A69" s="137" t="s">
        <v>211</v>
      </c>
      <c r="B69" s="239"/>
      <c r="C69" s="240"/>
      <c r="D69" s="237"/>
      <c r="E69" s="238"/>
      <c r="F69" s="239"/>
      <c r="G69" s="240"/>
      <c r="H69" s="248"/>
      <c r="I69" s="236"/>
      <c r="J69" s="239">
        <v>5</v>
      </c>
      <c r="K69" s="240">
        <v>1.0362453703724896</v>
      </c>
      <c r="L69" s="253">
        <v>5</v>
      </c>
      <c r="M69" s="254">
        <v>1.0362453703724896</v>
      </c>
      <c r="N69" s="239">
        <v>1</v>
      </c>
      <c r="O69" s="240">
        <v>4.3159722226846498E-2</v>
      </c>
      <c r="P69" s="261">
        <v>1</v>
      </c>
      <c r="Q69" s="262">
        <v>4.3159722226846498E-2</v>
      </c>
    </row>
    <row r="70" spans="1:17" x14ac:dyDescent="0.2">
      <c r="A70" s="136" t="s">
        <v>212</v>
      </c>
      <c r="B70" s="162">
        <v>1</v>
      </c>
      <c r="C70" s="163">
        <v>3.1225925925828051</v>
      </c>
      <c r="D70" s="237">
        <v>1</v>
      </c>
      <c r="E70" s="238">
        <v>3.1225925925828051</v>
      </c>
      <c r="F70" s="162"/>
      <c r="G70" s="163"/>
      <c r="H70" s="248"/>
      <c r="I70" s="236"/>
      <c r="J70" s="162">
        <v>6</v>
      </c>
      <c r="K70" s="163">
        <v>1.6040509259243361</v>
      </c>
      <c r="L70" s="162">
        <v>6</v>
      </c>
      <c r="M70" s="163">
        <v>1.6040509259243361</v>
      </c>
      <c r="N70" s="162">
        <v>2</v>
      </c>
      <c r="O70" s="163">
        <v>5.6678240740438923E-2</v>
      </c>
      <c r="P70" s="162">
        <v>2</v>
      </c>
      <c r="Q70" s="163">
        <v>5.6678240740438923E-2</v>
      </c>
    </row>
    <row r="71" spans="1:17" x14ac:dyDescent="0.2">
      <c r="A71" s="137" t="s">
        <v>213</v>
      </c>
      <c r="B71" s="239"/>
      <c r="C71" s="240"/>
      <c r="D71" s="237"/>
      <c r="E71" s="238"/>
      <c r="F71" s="239"/>
      <c r="G71" s="240"/>
      <c r="H71" s="248"/>
      <c r="I71" s="236"/>
      <c r="J71" s="239">
        <v>2</v>
      </c>
      <c r="K71" s="240">
        <v>0.1268518518518249</v>
      </c>
      <c r="L71" s="253">
        <v>2</v>
      </c>
      <c r="M71" s="254">
        <v>0.1268518518518249</v>
      </c>
      <c r="N71" s="239"/>
      <c r="O71" s="240"/>
      <c r="P71" s="261"/>
      <c r="Q71" s="262"/>
    </row>
    <row r="72" spans="1:17" x14ac:dyDescent="0.2">
      <c r="A72" s="136" t="s">
        <v>214</v>
      </c>
      <c r="B72" s="162"/>
      <c r="C72" s="163"/>
      <c r="D72" s="237"/>
      <c r="E72" s="238"/>
      <c r="F72" s="162"/>
      <c r="G72" s="163"/>
      <c r="H72" s="248"/>
      <c r="I72" s="236"/>
      <c r="J72" s="162">
        <v>4</v>
      </c>
      <c r="K72" s="163">
        <v>6.7711400462958409</v>
      </c>
      <c r="L72" s="162">
        <v>4</v>
      </c>
      <c r="M72" s="163">
        <v>6.7711400462958409</v>
      </c>
      <c r="N72" s="162"/>
      <c r="O72" s="163"/>
      <c r="P72" s="162"/>
      <c r="Q72" s="163"/>
    </row>
    <row r="73" spans="1:17" x14ac:dyDescent="0.2">
      <c r="A73" s="137" t="s">
        <v>215</v>
      </c>
      <c r="B73" s="239"/>
      <c r="C73" s="240"/>
      <c r="D73" s="237"/>
      <c r="E73" s="238"/>
      <c r="F73" s="239"/>
      <c r="G73" s="240"/>
      <c r="H73" s="248"/>
      <c r="I73" s="236"/>
      <c r="J73" s="239">
        <v>1</v>
      </c>
      <c r="K73" s="240">
        <v>7.9594907401769888E-2</v>
      </c>
      <c r="L73" s="253">
        <v>1</v>
      </c>
      <c r="M73" s="254">
        <v>7.9594907401769888E-2</v>
      </c>
      <c r="N73" s="239"/>
      <c r="O73" s="240"/>
      <c r="P73" s="261"/>
      <c r="Q73" s="262"/>
    </row>
    <row r="74" spans="1:17" x14ac:dyDescent="0.2">
      <c r="A74" s="136" t="s">
        <v>216</v>
      </c>
      <c r="B74" s="162"/>
      <c r="C74" s="163"/>
      <c r="D74" s="237"/>
      <c r="E74" s="238"/>
      <c r="F74" s="162"/>
      <c r="G74" s="163"/>
      <c r="H74" s="248"/>
      <c r="I74" s="236"/>
      <c r="J74" s="162">
        <v>2</v>
      </c>
      <c r="K74" s="163">
        <v>0.16763888888817746</v>
      </c>
      <c r="L74" s="162">
        <v>2</v>
      </c>
      <c r="M74" s="163">
        <v>0.16763888888817746</v>
      </c>
      <c r="N74" s="162"/>
      <c r="O74" s="163"/>
      <c r="P74" s="162"/>
      <c r="Q74" s="163"/>
    </row>
    <row r="75" spans="1:17" ht="13.5" thickBot="1" x14ac:dyDescent="0.25">
      <c r="A75" s="143" t="s">
        <v>217</v>
      </c>
      <c r="B75" s="241"/>
      <c r="C75" s="242"/>
      <c r="D75" s="237"/>
      <c r="E75" s="238"/>
      <c r="F75" s="241"/>
      <c r="G75" s="242"/>
      <c r="H75" s="248"/>
      <c r="I75" s="236"/>
      <c r="J75" s="241">
        <v>1</v>
      </c>
      <c r="K75" s="242">
        <v>1.0185185165028088E-3</v>
      </c>
      <c r="L75" s="255">
        <v>1</v>
      </c>
      <c r="M75" s="256">
        <v>1.0185185165028088E-3</v>
      </c>
      <c r="N75" s="241"/>
      <c r="O75" s="242"/>
      <c r="P75" s="263"/>
      <c r="Q75" s="264"/>
    </row>
  </sheetData>
  <mergeCells count="18">
    <mergeCell ref="A52:A54"/>
    <mergeCell ref="B52:Q52"/>
    <mergeCell ref="B53:E53"/>
    <mergeCell ref="F53:I53"/>
    <mergeCell ref="J53:M53"/>
    <mergeCell ref="N53:Q53"/>
    <mergeCell ref="A2:A4"/>
    <mergeCell ref="A27:A29"/>
    <mergeCell ref="B27:Q27"/>
    <mergeCell ref="B28:E28"/>
    <mergeCell ref="F28:I28"/>
    <mergeCell ref="J28:M28"/>
    <mergeCell ref="N28:Q28"/>
    <mergeCell ref="B3:E3"/>
    <mergeCell ref="F3:I3"/>
    <mergeCell ref="J3:M3"/>
    <mergeCell ref="N3:Q3"/>
    <mergeCell ref="B2:Q2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Plan1</vt:lpstr>
      <vt:lpstr>Plan2</vt:lpstr>
      <vt:lpstr>Plan3</vt:lpstr>
      <vt:lpstr>Gráficos V2</vt:lpstr>
      <vt:lpstr>Gráficos V3</vt:lpstr>
      <vt:lpstr>% SLA e AGING</vt:lpstr>
      <vt:lpstr>PRIORIDADE VS AGING</vt:lpstr>
    </vt:vector>
  </TitlesOfParts>
  <Company>Natura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br93826</dc:creator>
  <cp:lastModifiedBy>Nicolás Torre</cp:lastModifiedBy>
  <dcterms:created xsi:type="dcterms:W3CDTF">2015-06-10T18:50:39Z</dcterms:created>
  <dcterms:modified xsi:type="dcterms:W3CDTF">2015-07-10T20:32:13Z</dcterms:modified>
</cp:coreProperties>
</file>