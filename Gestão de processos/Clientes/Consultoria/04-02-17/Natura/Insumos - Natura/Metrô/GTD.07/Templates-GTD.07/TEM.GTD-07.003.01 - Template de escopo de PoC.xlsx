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bookViews>
    <workbookView xWindow="-2130" yWindow="360" windowWidth="14160" windowHeight="4740" tabRatio="641" activeTab="2"/>
  </bookViews>
  <sheets>
    <sheet name="1 - Requisitos Funcionais" sheetId="30" r:id="rId1"/>
    <sheet name="2 - Requisitos Técnicos" sheetId="37" r:id="rId2"/>
    <sheet name="3 - Metas e Resultados" sheetId="34" r:id="rId3"/>
  </sheets>
  <definedNames>
    <definedName name="_xlnm.Print_Area" localSheetId="0">'1 - Requisitos Funcionais'!$A$1:$E$55</definedName>
    <definedName name="_xlnm.Print_Area" localSheetId="1">'2 - Requisitos Técnicos'!$A$1:$E$55</definedName>
  </definedNames>
  <calcPr calcId="152510"/>
  <customWorkbookViews>
    <customWorkbookView name="Thiago Satoshi - Modo de exibição pessoal" guid="{CF94FBF2-7319-4352-8CC7-F96295D39AD8}" autoUpdate="1" mergeInterval="15" personalView="1" maximized="1" xWindow="1" yWindow="1" windowWidth="1440" windowHeight="657" activeSheetId="6"/>
    <customWorkbookView name="isaprats - Modo de exibição pessoal" guid="{D7362A70-0527-4A8A-94B5-F95321C322D7}" mergeInterval="0" personalView="1" maximized="1" xWindow="1" yWindow="1" windowWidth="1280" windowHeight="539" activeSheetId="6" showComments="commIndAndComment"/>
    <customWorkbookView name="cguinoss - Modo de exibição pessoal" guid="{B61D40EE-3D2D-4C5C-811D-0335C7895F9F}" mergeInterval="0" personalView="1" maximized="1" xWindow="1" yWindow="1" windowWidth="1680" windowHeight="829" activeSheetId="6"/>
    <customWorkbookView name="Raphael Bueno - Modo de exibição pessoal" guid="{7F31967E-AE80-47C8-97CD-CAD29EE8330F}" mergeInterval="0" personalView="1" maximized="1" xWindow="1" yWindow="1" windowWidth="1280" windowHeight="547" activeSheetId="6"/>
  </customWorkbookViews>
</workbook>
</file>

<file path=xl/calcChain.xml><?xml version="1.0" encoding="utf-8"?>
<calcChain xmlns="http://schemas.openxmlformats.org/spreadsheetml/2006/main">
  <c r="E11" i="34" l="1"/>
  <c r="E21" i="34"/>
  <c r="C21" i="34"/>
  <c r="C11" i="34"/>
  <c r="F20" i="34"/>
  <c r="F19" i="34"/>
  <c r="F18" i="34"/>
  <c r="F16" i="34"/>
  <c r="D20" i="34"/>
  <c r="D19" i="34"/>
  <c r="D18" i="34"/>
  <c r="D16" i="34"/>
  <c r="F10" i="34"/>
  <c r="F9" i="34"/>
  <c r="F8" i="34"/>
  <c r="F6" i="34"/>
  <c r="D10" i="34"/>
  <c r="D9" i="34"/>
  <c r="D8" i="34"/>
  <c r="D6" i="34"/>
  <c r="G59" i="30"/>
  <c r="G58" i="30" a="1"/>
  <c r="G58" i="30"/>
  <c r="D21" i="34"/>
  <c r="F21" i="34"/>
  <c r="F11" i="34"/>
  <c r="D11" i="34"/>
</calcChain>
</file>

<file path=xl/comments1.xml><?xml version="1.0" encoding="utf-8"?>
<comments xmlns="http://schemas.openxmlformats.org/spreadsheetml/2006/main">
  <authors>
    <author>WESLLEY PEREIRA FIGUEIREDO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[Incluir, em forma de pergunta, o conceito a ser provado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Incluir o critério de aceite para o conceito a ser provado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Espeficique qual o módulo da solução atende o requisito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Definir o Nível de obrigatoriedade do requisito. Mandatório ou Desejável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Definir o resultado da prova deste conceito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Inserir o nome do responsável pela prova deste conceito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Inserir o nome dos participantes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Incluir um comentário detalhado sobre o conceito provado, a realização da atividade, citar documentação de referência e dar um parecer final. Incluir também referências sobre as evidências desta prova</t>
        </r>
      </text>
    </comment>
  </commentList>
</comments>
</file>

<file path=xl/comments2.xml><?xml version="1.0" encoding="utf-8"?>
<comments xmlns="http://schemas.openxmlformats.org/spreadsheetml/2006/main">
  <authors>
    <author>WESLLEY PEREIRA FIGUEIREDO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[Incluir, em forma de pergunta, o conceito a ser provado</t>
        </r>
      </text>
    </comment>
    <comment ref="C5" authorId="0" shapeId="0">
      <text>
        <r>
          <rPr>
            <b/>
            <sz val="9"/>
            <color indexed="81"/>
            <rFont val="Tahoma"/>
            <family val="2"/>
          </rPr>
          <t>Incluir o critério de aceite para o conceito a ser provado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Espeficique qual o módulo da solução atende o requisito</t>
        </r>
      </text>
    </comment>
    <comment ref="E5" authorId="0" shapeId="0">
      <text>
        <r>
          <rPr>
            <b/>
            <sz val="9"/>
            <color indexed="81"/>
            <rFont val="Tahoma"/>
            <family val="2"/>
          </rPr>
          <t>Definir o Nível de obrigatoriedade do requisito. Mandatório ou Desejável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Definir o resultado da prova deste conceito</t>
        </r>
      </text>
    </comment>
    <comment ref="G5" authorId="0" shapeId="0">
      <text>
        <r>
          <rPr>
            <b/>
            <sz val="9"/>
            <color indexed="81"/>
            <rFont val="Tahoma"/>
            <family val="2"/>
          </rPr>
          <t>Inserir o nome do responsável pela prova deste conceito</t>
        </r>
      </text>
    </comment>
    <comment ref="H5" authorId="0" shapeId="0">
      <text>
        <r>
          <rPr>
            <b/>
            <sz val="9"/>
            <color indexed="81"/>
            <rFont val="Tahoma"/>
            <family val="2"/>
          </rPr>
          <t>Inserir o nome dos participantes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Incluir um comentário detalhado sobre o conceito provado, a realização da atividade, citar documentação de referência e dar um parecer final. Incluir também referências sobre as evidências desta prova</t>
        </r>
      </text>
    </comment>
  </commentList>
</comments>
</file>

<file path=xl/comments3.xml><?xml version="1.0" encoding="utf-8"?>
<comments xmlns="http://schemas.openxmlformats.org/spreadsheetml/2006/main">
  <authors>
    <author>WESLLEY PEREIRA FIGUEIREDO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Campo calculado. Resultados com "Não se Aplica" são descartados no cálculo</t>
        </r>
      </text>
    </comment>
    <comment ref="F5" authorId="0" shapeId="0">
      <text>
        <r>
          <rPr>
            <b/>
            <sz val="9"/>
            <color indexed="81"/>
            <rFont val="Tahoma"/>
            <family val="2"/>
          </rPr>
          <t>Campo calculado. Resultados com "Não se Aplica" são descartados no cálculo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Campo calculado. Resultados com "Não se Aplica" são descartados no cálculo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Campo calculado. Resultados com "Não se Aplica" são descartados no cálculo</t>
        </r>
      </text>
    </comment>
  </commentList>
</comments>
</file>

<file path=xl/sharedStrings.xml><?xml version="1.0" encoding="utf-8"?>
<sst xmlns="http://schemas.openxmlformats.org/spreadsheetml/2006/main" count="167" uniqueCount="139">
  <si>
    <t>Escopo PoC (Proof of Concept) - Projeto X</t>
  </si>
  <si>
    <t>Fornecedor: [Fornecedor]</t>
  </si>
  <si>
    <t>Data: [xx/xx/xxx]</t>
  </si>
  <si>
    <t>Requisitos Funcionais</t>
  </si>
  <si>
    <t>Conceito a ser provado</t>
  </si>
  <si>
    <t>Critério de Aceite</t>
  </si>
  <si>
    <t>Módulo que atende o requisito</t>
  </si>
  <si>
    <t>Nível de Requisito</t>
  </si>
  <si>
    <t>Resultado</t>
  </si>
  <si>
    <t>Responsável</t>
  </si>
  <si>
    <t>Participantes</t>
  </si>
  <si>
    <t>Comentário Final</t>
  </si>
  <si>
    <t>1.1</t>
  </si>
  <si>
    <t>A solução possui uma interface GUI que permita a figura do Data Steward inspecionar registros passíveis de match e manualmente decidir qual registro irá prevalecer/Merge (decisão sobre o registro mestre)?</t>
  </si>
  <si>
    <t>Demonstrar a identificação/deduplicação dos clientes que estão nas 3 tabelas de clientes selecionadas para a POC. Selecionar CNs que possuem o mesmo Endereço de Entrega, Telefone e CPF. Demonstrar o processo manual de Merge e Unmerge.</t>
  </si>
  <si>
    <t>IDD</t>
  </si>
  <si>
    <t>Mandatório</t>
  </si>
  <si>
    <t>1 - Atende de forma Nativa</t>
  </si>
  <si>
    <t>Juliana Delgado</t>
  </si>
  <si>
    <t>Priscila Ribeiro, Carlos Arouca e Rodrigo Velasco</t>
  </si>
  <si>
    <t>Foram demonstrados (vide evidências) os processos de parametrização do Match (por Endereço, Telefone e CPF), bem como o processo Automático e Manual de Merge, através da interface do Hub MDM chamada de IDD. Foi demostrado também o processo de Unmerge para desfazer a deduplicação.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</si>
  <si>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</si>
  <si>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</si>
  <si>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</si>
  <si>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</si>
  <si>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</si>
  <si>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</si>
  <si>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</si>
  <si>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</si>
  <si>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</si>
  <si>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</si>
  <si>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</si>
  <si>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</si>
  <si>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</si>
  <si>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</si>
  <si>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</si>
  <si>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</si>
  <si>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</si>
  <si>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</si>
  <si>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</si>
  <si>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</si>
  <si>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</si>
  <si>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</si>
  <si>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</si>
  <si>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</si>
  <si>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</si>
  <si>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</si>
  <si>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</si>
  <si>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</si>
  <si>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</si>
  <si>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</si>
  <si>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</si>
  <si>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</si>
  <si>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</si>
  <si>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</si>
  <si>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</si>
  <si>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</si>
  <si>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</si>
  <si>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</si>
  <si>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</si>
  <si>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</si>
  <si>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</si>
  <si>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</si>
  <si>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</si>
  <si>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</si>
  <si>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</si>
  <si>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</si>
  <si>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</si>
  <si>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</si>
  <si>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</si>
  <si>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Requisitos Técnicos</t>
  </si>
  <si>
    <t>2.1</t>
  </si>
  <si>
    <t>A solução permite a implementação dos diversos cenários de MDM ? Registry pattern, transactional/persistent hub ou Coexistent ( hybrid ) hub ?</t>
  </si>
  <si>
    <t>Demonstrar o processo de configuração e definição os modelos Federados, persistentes e hibridos. Apresentar cases e boas práticas para a definição da melhor estratégia de implantação. Simular um cenário com uma tabela Federada e outro com uma tabela Persistente.</t>
  </si>
  <si>
    <t>MDM HUB</t>
  </si>
  <si>
    <t>Weslley Figueiredo</t>
  </si>
  <si>
    <t>Carlos Arouca e Rodrigo Velasco</t>
  </si>
  <si>
    <t>Possui funcionalidade chamada Link Management onde pode ser habilitada por Tabela garantindo também um modelo híbrido. Esta opção mantém o dado mestre na aplicação de origem e garante todas as funcionalidades do MDM. Com esta opção desabilitada os dados da tabela são automaticamente persistidos no MDM HUB.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</si>
  <si>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</si>
  <si>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</si>
  <si>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</si>
  <si>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</si>
  <si>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</si>
  <si>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</si>
  <si>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</si>
  <si>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</si>
  <si>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</si>
  <si>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</si>
  <si>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</si>
  <si>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</si>
  <si>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</si>
  <si>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</si>
  <si>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</si>
  <si>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</si>
  <si>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</si>
  <si>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</si>
  <si>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</si>
  <si>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</si>
  <si>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</si>
  <si>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</si>
  <si>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</si>
  <si>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</si>
  <si>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</si>
  <si>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</si>
  <si>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</si>
  <si>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</si>
  <si>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</si>
  <si>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</si>
  <si>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</si>
  <si>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</si>
  <si>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</si>
  <si>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</si>
  <si>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</si>
  <si>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</si>
  <si>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</si>
  <si>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</si>
  <si>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</si>
  <si>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</si>
  <si>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</si>
  <si>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</si>
  <si>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</si>
  <si>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</si>
  <si>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</si>
  <si>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</si>
  <si>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</si>
  <si>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2.49</t>
  </si>
  <si>
    <t>2.50</t>
  </si>
  <si>
    <t>Metas e Resultados</t>
  </si>
  <si>
    <t>Critérios de Avaliação - Requisitos Funcionais</t>
  </si>
  <si>
    <t>Classificação</t>
  </si>
  <si>
    <t>Mandatórios</t>
  </si>
  <si>
    <t>Desejáveis</t>
  </si>
  <si>
    <t>Meta</t>
  </si>
  <si>
    <t>1 - Atende de forma nativa</t>
  </si>
  <si>
    <t>2 - Atende com customização/parametrização</t>
  </si>
  <si>
    <t>3 - Atende com codificação</t>
  </si>
  <si>
    <t>4 - Atende com aplicação terceira</t>
  </si>
  <si>
    <t>5 - Não atende</t>
  </si>
  <si>
    <t>Critérios de Avaliação - Requisitos 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</si>
</sst>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2" formatCode="_-&quot;R$&quot;\ * #,##0_-;\-&quot;R$&quot;\ * #,##0_-;_-&quot;R$&quot;\ * &quot;-&quot;_-;_-@_-"/>
    <numFmt numFmtId="164" formatCode="_(&quot;R$ &quot;* #,##0_);_(&quot;R$ &quot;* \(#,##0\);_(&quot;R$ &quot;* &quot;-&quot;_);_(@_)"/>
    <numFmt numFmtId="165" formatCode="_(&quot;R$ &quot;* #,##0.00_);_(&quot;R$ &quot;* \(#,##0.00\);_(&quot;R$ &quot;* &quot;-&quot;??_);_(@_)"/>
  </numFmts>
  <fonts count="16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2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22"/>
      <name val="Arial"/>
      <family val="2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9" fontId="9" fillId="0" borderId="0" applyFont="0" applyFill="0" applyBorder="0" applyAlignment="0" applyProtection="0"/>
  </cellStyleXfs>
  <cellXfs count="65">
    <xf numFmtId="0" fontId="0" fillId="0" borderId="0" xfId="0"/>
    <xf numFmtId="0" fontId="3" fillId="2" borderId="0" xfId="3" applyFont="1" applyFill="1" applyBorder="1" applyAlignment="1" applyProtection="1">
      <alignment vertical="center"/>
      <protection hidden="1"/>
    </xf>
    <xf numFmtId="0" fontId="3" fillId="2" borderId="0" xfId="3" applyFont="1" applyFill="1" applyBorder="1" applyAlignment="1" applyProtection="1">
      <alignment vertical="center" wrapText="1"/>
      <protection hidden="1"/>
    </xf>
    <xf numFmtId="0" fontId="2" fillId="2" borderId="0" xfId="3" applyFont="1" applyFill="1" applyBorder="1" applyAlignment="1" applyProtection="1">
      <alignment vertical="center" wrapText="1"/>
      <protection hidden="1"/>
    </xf>
    <xf numFmtId="0" fontId="3" fillId="2" borderId="0" xfId="3" applyFont="1" applyFill="1" applyBorder="1" applyAlignment="1" applyProtection="1">
      <alignment horizontal="center" vertical="center" wrapText="1"/>
      <protection hidden="1"/>
    </xf>
    <xf numFmtId="49" fontId="7" fillId="0" borderId="0" xfId="0" applyNumberFormat="1" applyFont="1"/>
    <xf numFmtId="49" fontId="2" fillId="2" borderId="0" xfId="3" applyNumberFormat="1" applyFont="1" applyFill="1" applyBorder="1" applyAlignment="1" applyProtection="1">
      <alignment vertical="center" wrapText="1"/>
      <protection hidden="1"/>
    </xf>
    <xf numFmtId="49" fontId="3" fillId="2" borderId="0" xfId="3" applyNumberFormat="1" applyFont="1" applyFill="1" applyBorder="1" applyAlignment="1" applyProtection="1">
      <alignment vertical="center"/>
      <protection hidden="1"/>
    </xf>
    <xf numFmtId="0" fontId="2" fillId="2" borderId="0" xfId="3" applyFont="1" applyFill="1" applyBorder="1" applyAlignment="1" applyProtection="1">
      <alignment horizontal="center" vertical="center" wrapText="1"/>
      <protection hidden="1"/>
    </xf>
    <xf numFmtId="0" fontId="3" fillId="3" borderId="1" xfId="3" applyFont="1" applyFill="1" applyBorder="1" applyAlignment="1" applyProtection="1">
      <alignment horizontal="center" vertical="center" wrapText="1"/>
      <protection hidden="1"/>
    </xf>
    <xf numFmtId="0" fontId="3" fillId="3" borderId="7" xfId="3" applyFont="1" applyFill="1" applyBorder="1" applyAlignment="1" applyProtection="1">
      <alignment horizontal="center" vertical="center" wrapText="1"/>
      <protection hidden="1"/>
    </xf>
    <xf numFmtId="0" fontId="3" fillId="0" borderId="1" xfId="3" applyFont="1" applyFill="1" applyBorder="1" applyAlignment="1" applyProtection="1">
      <alignment horizontal="center" vertical="center" wrapText="1"/>
      <protection hidden="1"/>
    </xf>
    <xf numFmtId="164" fontId="2" fillId="0" borderId="1" xfId="2" applyNumberFormat="1" applyFont="1" applyFill="1" applyBorder="1" applyAlignment="1" applyProtection="1">
      <alignment horizontal="left" vertical="center" wrapText="1"/>
      <protection locked="0" hidden="1"/>
    </xf>
    <xf numFmtId="164" fontId="2" fillId="0" borderId="1" xfId="2" applyNumberFormat="1" applyFont="1" applyFill="1" applyBorder="1" applyAlignment="1" applyProtection="1">
      <alignment horizontal="center" vertical="center" wrapText="1"/>
      <protection locked="0" hidden="1"/>
    </xf>
    <xf numFmtId="0" fontId="2" fillId="0" borderId="7" xfId="3" applyFont="1" applyFill="1" applyBorder="1" applyAlignment="1" applyProtection="1">
      <alignment horizontal="center" vertical="center" wrapText="1"/>
    </xf>
    <xf numFmtId="0" fontId="2" fillId="0" borderId="1" xfId="1" applyNumberFormat="1" applyFont="1" applyFill="1" applyBorder="1" applyAlignment="1" applyProtection="1">
      <alignment vertical="top" wrapText="1" shrinkToFit="1"/>
      <protection locked="0" hidden="1"/>
    </xf>
    <xf numFmtId="164" fontId="2" fillId="0" borderId="3" xfId="2" applyNumberFormat="1" applyFont="1" applyFill="1" applyBorder="1" applyAlignment="1" applyProtection="1">
      <alignment horizontal="left" vertical="center" wrapText="1"/>
      <protection locked="0" hidden="1"/>
    </xf>
    <xf numFmtId="164" fontId="2" fillId="0" borderId="3" xfId="2" applyNumberFormat="1" applyFont="1" applyFill="1" applyBorder="1" applyAlignment="1" applyProtection="1">
      <alignment horizontal="center" vertical="center" wrapText="1"/>
      <protection locked="0" hidden="1"/>
    </xf>
    <xf numFmtId="0" fontId="2" fillId="0" borderId="4" xfId="3" applyFont="1" applyFill="1" applyBorder="1" applyAlignment="1" applyProtection="1">
      <alignment horizontal="center" vertical="center" wrapText="1"/>
    </xf>
    <xf numFmtId="0" fontId="3" fillId="0" borderId="9" xfId="3" applyFont="1" applyFill="1" applyBorder="1" applyAlignment="1" applyProtection="1">
      <alignment horizontal="center" vertical="center" wrapText="1"/>
      <protection hidden="1"/>
    </xf>
    <xf numFmtId="0" fontId="3" fillId="0" borderId="10" xfId="3" applyFont="1" applyFill="1" applyBorder="1" applyAlignment="1" applyProtection="1">
      <alignment horizontal="center" vertical="center" wrapText="1"/>
      <protection hidden="1"/>
    </xf>
    <xf numFmtId="0" fontId="3" fillId="0" borderId="14" xfId="3" applyFont="1" applyFill="1" applyBorder="1" applyAlignment="1" applyProtection="1">
      <alignment horizontal="center" vertical="center" wrapText="1"/>
      <protection hidden="1"/>
    </xf>
    <xf numFmtId="0" fontId="3" fillId="0" borderId="1" xfId="3" applyFont="1" applyFill="1" applyBorder="1" applyAlignment="1" applyProtection="1">
      <alignment vertical="center" wrapText="1"/>
      <protection hidden="1"/>
    </xf>
    <xf numFmtId="49" fontId="8" fillId="0" borderId="0" xfId="0" applyNumberFormat="1" applyFont="1" applyAlignment="1"/>
    <xf numFmtId="0" fontId="3" fillId="3" borderId="13" xfId="3" applyFont="1" applyFill="1" applyBorder="1" applyAlignment="1" applyProtection="1">
      <alignment horizontal="center" vertical="center" wrapText="1"/>
      <protection hidden="1"/>
    </xf>
    <xf numFmtId="0" fontId="10" fillId="0" borderId="16" xfId="2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8" xfId="3" applyFont="1" applyFill="1" applyBorder="1" applyAlignment="1" applyProtection="1">
      <alignment horizontal="center" vertical="center" wrapText="1"/>
      <protection hidden="1"/>
    </xf>
    <xf numFmtId="0" fontId="2" fillId="0" borderId="8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49" fontId="2" fillId="0" borderId="19" xfId="3" applyNumberFormat="1" applyFont="1" applyFill="1" applyBorder="1" applyAlignment="1" applyProtection="1">
      <alignment horizontal="center" vertical="center" wrapText="1"/>
    </xf>
    <xf numFmtId="49" fontId="2" fillId="0" borderId="20" xfId="3" applyNumberFormat="1" applyFont="1" applyFill="1" applyBorder="1" applyAlignment="1" applyProtection="1">
      <alignment horizontal="center" vertical="center" wrapText="1"/>
    </xf>
    <xf numFmtId="49" fontId="2" fillId="0" borderId="1" xfId="2" applyNumberFormat="1" applyFont="1" applyFill="1" applyBorder="1" applyAlignment="1" applyProtection="1">
      <alignment horizontal="left" vertical="center"/>
      <protection locked="0" hidden="1"/>
    </xf>
    <xf numFmtId="49" fontId="3" fillId="3" borderId="1" xfId="3" applyNumberFormat="1" applyFont="1" applyFill="1" applyBorder="1" applyAlignment="1" applyProtection="1">
      <alignment horizontal="center" vertical="center" wrapText="1"/>
      <protection hidden="1"/>
    </xf>
    <xf numFmtId="49" fontId="2" fillId="0" borderId="1" xfId="1" applyNumberFormat="1" applyFont="1" applyFill="1" applyBorder="1" applyAlignment="1" applyProtection="1">
      <alignment vertical="top" wrapText="1" shrinkToFit="1"/>
      <protection locked="0" hidden="1"/>
    </xf>
    <xf numFmtId="49" fontId="2" fillId="0" borderId="1" xfId="2" applyNumberFormat="1" applyFont="1" applyFill="1" applyBorder="1" applyAlignment="1" applyProtection="1">
      <alignment horizontal="left" vertical="center" wrapText="1"/>
      <protection locked="0" hidden="1"/>
    </xf>
    <xf numFmtId="49" fontId="2" fillId="0" borderId="3" xfId="2" applyNumberFormat="1" applyFont="1" applyFill="1" applyBorder="1" applyAlignment="1" applyProtection="1">
      <alignment horizontal="left" vertical="center" wrapText="1"/>
      <protection locked="0" hidden="1"/>
    </xf>
    <xf numFmtId="0" fontId="1" fillId="0" borderId="1" xfId="0" applyFont="1" applyBorder="1" applyAlignment="1">
      <alignment vertical="center"/>
    </xf>
    <xf numFmtId="0" fontId="0" fillId="5" borderId="1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2" fillId="0" borderId="1" xfId="4" applyFont="1" applyFill="1" applyBorder="1" applyAlignment="1" applyProtection="1">
      <alignment horizontal="center" vertical="center" wrapText="1"/>
      <protection hidden="1"/>
    </xf>
    <xf numFmtId="0" fontId="2" fillId="0" borderId="12" xfId="0" applyFont="1" applyFill="1" applyBorder="1" applyAlignment="1" applyProtection="1">
      <alignment horizontal="left" vertical="center" wrapText="1"/>
    </xf>
    <xf numFmtId="49" fontId="2" fillId="0" borderId="10" xfId="2" applyNumberFormat="1" applyFont="1" applyFill="1" applyBorder="1" applyAlignment="1" applyProtection="1">
      <alignment horizontal="left" vertical="center" wrapText="1"/>
      <protection locked="0" hidden="1"/>
    </xf>
    <xf numFmtId="164" fontId="2" fillId="0" borderId="10" xfId="2" applyNumberFormat="1" applyFont="1" applyFill="1" applyBorder="1" applyAlignment="1" applyProtection="1">
      <alignment horizontal="center" vertical="center" wrapText="1"/>
      <protection locked="0" hidden="1"/>
    </xf>
    <xf numFmtId="0" fontId="2" fillId="0" borderId="11" xfId="3" applyFont="1" applyFill="1" applyBorder="1" applyAlignment="1" applyProtection="1">
      <alignment horizontal="center" vertical="center" wrapText="1"/>
    </xf>
    <xf numFmtId="164" fontId="2" fillId="0" borderId="10" xfId="2" applyNumberFormat="1" applyFont="1" applyFill="1" applyBorder="1" applyAlignment="1" applyProtection="1">
      <alignment horizontal="left" vertical="center" wrapText="1"/>
      <protection locked="0" hidden="1"/>
    </xf>
    <xf numFmtId="9" fontId="0" fillId="0" borderId="0" xfId="0" applyNumberFormat="1"/>
    <xf numFmtId="9" fontId="0" fillId="0" borderId="0" xfId="0" applyNumberFormat="1" applyAlignment="1">
      <alignment horizontal="center"/>
    </xf>
    <xf numFmtId="9" fontId="11" fillId="7" borderId="1" xfId="0" applyNumberFormat="1" applyFont="1" applyFill="1" applyBorder="1" applyAlignment="1">
      <alignment horizontal="center" vertical="center"/>
    </xf>
    <xf numFmtId="0" fontId="3" fillId="0" borderId="1" xfId="3" applyFont="1" applyFill="1" applyBorder="1" applyAlignment="1" applyProtection="1">
      <alignment horizontal="left" vertical="center" wrapText="1"/>
      <protection hidden="1"/>
    </xf>
    <xf numFmtId="0" fontId="14" fillId="2" borderId="0" xfId="3" applyFont="1" applyFill="1" applyBorder="1" applyAlignment="1" applyProtection="1">
      <alignment horizontal="center" vertical="center" wrapText="1"/>
      <protection hidden="1"/>
    </xf>
    <xf numFmtId="0" fontId="6" fillId="4" borderId="17" xfId="3" applyFont="1" applyFill="1" applyBorder="1" applyAlignment="1" applyProtection="1">
      <alignment horizontal="center" vertical="center" wrapText="1"/>
      <protection hidden="1"/>
    </xf>
    <xf numFmtId="0" fontId="6" fillId="4" borderId="5" xfId="3" applyFont="1" applyFill="1" applyBorder="1" applyAlignment="1" applyProtection="1">
      <alignment horizontal="center" vertical="center" wrapText="1"/>
      <protection hidden="1"/>
    </xf>
    <xf numFmtId="0" fontId="6" fillId="4" borderId="6" xfId="3" applyFont="1" applyFill="1" applyBorder="1" applyAlignment="1" applyProtection="1">
      <alignment horizontal="center" vertical="center" wrapText="1"/>
      <protection hidden="1"/>
    </xf>
    <xf numFmtId="49" fontId="3" fillId="4" borderId="15" xfId="3" applyNumberFormat="1" applyFont="1" applyFill="1" applyBorder="1" applyAlignment="1" applyProtection="1">
      <alignment horizontal="center" vertical="center" wrapText="1"/>
      <protection hidden="1"/>
    </xf>
    <xf numFmtId="49" fontId="3" fillId="4" borderId="18" xfId="3" applyNumberFormat="1" applyFont="1" applyFill="1" applyBorder="1" applyAlignment="1" applyProtection="1">
      <alignment horizontal="center" vertical="center" wrapText="1"/>
      <protection hidden="1"/>
    </xf>
    <xf numFmtId="9" fontId="11" fillId="7" borderId="1" xfId="0" applyNumberFormat="1" applyFont="1" applyFill="1" applyBorder="1" applyAlignment="1">
      <alignment horizontal="center" vertical="center"/>
    </xf>
    <xf numFmtId="9" fontId="2" fillId="0" borderId="1" xfId="3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Alignment="1">
      <alignment horizontal="center"/>
    </xf>
    <xf numFmtId="0" fontId="13" fillId="6" borderId="21" xfId="0" applyFont="1" applyFill="1" applyBorder="1" applyAlignment="1">
      <alignment horizontal="center"/>
    </xf>
    <xf numFmtId="0" fontId="13" fillId="6" borderId="0" xfId="0" applyFont="1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5">
    <cellStyle name="Moeda" xfId="1" builtinId="4"/>
    <cellStyle name="Moeda_RFI_Cartoes Plastico-Modelo" xfId="2"/>
    <cellStyle name="Normal" xfId="0" builtinId="0"/>
    <cellStyle name="Normal_RFI_Cartoes Plastico-Modelo" xfId="3"/>
    <cellStyle name="Porcentagem" xfId="4" builtinId="5"/>
  </cellStyles>
  <dxfs count="20"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  <dxf>
      <fill>
        <patternFill>
          <bgColor rgb="FF99FF66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I470"/>
  <sheetViews>
    <sheetView showGridLines="0" zoomScale="80" zoomScaleNormal="80" workbookViewId="0">
      <selection activeCell="I6" sqref="I6"/>
    </sheetView>
  </sheetViews>
  <sheetFormatPr defaultColWidth="10.28515625" defaultRowHeight="14.25"/>
  <cols>
    <col min="1" max="1" width="5.42578125" style="7" customWidth="1"/>
    <col min="2" max="2" width="70" style="2" customWidth="1"/>
    <col min="3" max="3" width="85.28515625" style="1" customWidth="1"/>
    <col min="4" max="4" width="17.5703125" style="4" customWidth="1"/>
    <col min="5" max="5" width="24" style="1" customWidth="1"/>
    <col min="6" max="6" width="30.42578125" style="1" customWidth="1"/>
    <col min="7" max="7" width="18.5703125" style="1" bestFit="1" customWidth="1"/>
    <col min="8" max="8" width="18.85546875" style="1" customWidth="1"/>
    <col min="9" max="9" width="74.7109375" style="1" customWidth="1"/>
    <col min="10" max="16384" width="10.28515625" style="1"/>
  </cols>
  <sheetData>
    <row r="1" spans="1:9" ht="60.75" customHeight="1">
      <c r="A1" s="5"/>
      <c r="B1" s="49" t="s">
        <v>0</v>
      </c>
      <c r="C1" s="49"/>
      <c r="D1" s="49"/>
      <c r="E1" s="49"/>
    </row>
    <row r="2" spans="1:9" ht="20.25" customHeight="1">
      <c r="A2" s="23" t="s">
        <v>1</v>
      </c>
      <c r="B2" s="23"/>
      <c r="C2" s="23" t="s">
        <v>2</v>
      </c>
      <c r="D2" s="23"/>
      <c r="E2" s="23"/>
    </row>
    <row r="3" spans="1:9" s="2" customFormat="1" ht="15" customHeight="1" thickBot="1">
      <c r="A3" s="6"/>
      <c r="B3" s="3"/>
      <c r="C3" s="3"/>
      <c r="D3" s="8"/>
      <c r="E3" s="3"/>
      <c r="F3" s="3"/>
    </row>
    <row r="4" spans="1:9" s="2" customFormat="1" ht="30" customHeight="1">
      <c r="A4" s="53"/>
      <c r="B4" s="50" t="s">
        <v>3</v>
      </c>
      <c r="C4" s="51"/>
      <c r="D4" s="51"/>
      <c r="E4" s="52"/>
    </row>
    <row r="5" spans="1:9" s="2" customFormat="1" ht="42.75">
      <c r="A5" s="54"/>
      <c r="B5" s="26" t="s">
        <v>4</v>
      </c>
      <c r="C5" s="9" t="s">
        <v>5</v>
      </c>
      <c r="D5" s="9" t="s">
        <v>6</v>
      </c>
      <c r="E5" s="10" t="s">
        <v>7</v>
      </c>
      <c r="F5" s="24" t="s">
        <v>8</v>
      </c>
      <c r="G5" s="9" t="s">
        <v>9</v>
      </c>
      <c r="H5" s="9" t="s">
        <v>10</v>
      </c>
      <c r="I5" s="9" t="s">
        <v>11</v>
      </c>
    </row>
    <row r="6" spans="1:9" s="2" customFormat="1" ht="75" customHeight="1">
      <c r="A6" s="29" t="s">
        <v>12</v>
      </c>
      <c r="B6" s="27" t="s">
        <v>13</v>
      </c>
      <c r="C6" s="12" t="s">
        <v>14</v>
      </c>
      <c r="D6" s="13" t="s">
        <v>15</v>
      </c>
      <c r="E6" s="14" t="s">
        <v>16</v>
      </c>
      <c r="F6" s="25" t="s">
        <v>17</v>
      </c>
      <c r="G6" s="11" t="s">
        <v>18</v>
      </c>
      <c r="H6" s="11" t="s">
        <v>19</v>
      </c>
      <c r="I6" s="48" t="s">
        <v>20</v>
      </c>
    </row>
    <row r="7" spans="1:9" s="2" customFormat="1">
      <c r="A7" s="29" t="s">
        <v>21</v>
      </c>
      <c r="B7" s="27"/>
      <c r="C7" s="15"/>
      <c r="D7" s="13"/>
      <c r="E7" s="14"/>
      <c r="F7" s="25"/>
      <c r="G7" s="11"/>
      <c r="H7" s="11"/>
      <c r="I7" s="20"/>
    </row>
    <row r="8" spans="1:9" s="2" customFormat="1">
      <c r="A8" s="29" t="s">
        <v>22</v>
      </c>
      <c r="B8" s="27"/>
      <c r="C8" s="15"/>
      <c r="D8" s="13"/>
      <c r="E8" s="14"/>
      <c r="F8" s="25"/>
      <c r="G8" s="11"/>
      <c r="H8" s="19"/>
      <c r="I8" s="22"/>
    </row>
    <row r="9" spans="1:9" s="2" customFormat="1">
      <c r="A9" s="29" t="s">
        <v>23</v>
      </c>
      <c r="B9" s="27"/>
      <c r="C9" s="12"/>
      <c r="D9" s="13"/>
      <c r="E9" s="14"/>
      <c r="F9" s="25"/>
      <c r="G9" s="11"/>
      <c r="H9" s="19"/>
      <c r="I9" s="22"/>
    </row>
    <row r="10" spans="1:9" s="2" customFormat="1">
      <c r="A10" s="29" t="s">
        <v>24</v>
      </c>
      <c r="B10" s="27"/>
      <c r="C10" s="12"/>
      <c r="D10" s="13"/>
      <c r="E10" s="14"/>
      <c r="F10" s="25"/>
      <c r="G10" s="11"/>
      <c r="H10" s="11"/>
      <c r="I10" s="21"/>
    </row>
    <row r="11" spans="1:9" s="2" customFormat="1">
      <c r="A11" s="29" t="s">
        <v>25</v>
      </c>
      <c r="B11" s="27"/>
      <c r="C11" s="12"/>
      <c r="D11" s="13"/>
      <c r="E11" s="14"/>
      <c r="F11" s="25"/>
      <c r="G11" s="11"/>
      <c r="H11" s="11"/>
      <c r="I11" s="11"/>
    </row>
    <row r="12" spans="1:9" s="2" customFormat="1">
      <c r="A12" s="29" t="s">
        <v>26</v>
      </c>
      <c r="B12" s="27"/>
      <c r="C12" s="12"/>
      <c r="D12" s="13"/>
      <c r="E12" s="14"/>
      <c r="F12" s="25"/>
      <c r="G12" s="11"/>
      <c r="H12" s="11"/>
      <c r="I12" s="11"/>
    </row>
    <row r="13" spans="1:9" s="2" customFormat="1">
      <c r="A13" s="29" t="s">
        <v>27</v>
      </c>
      <c r="B13" s="27"/>
      <c r="C13" s="12"/>
      <c r="D13" s="13"/>
      <c r="E13" s="14"/>
      <c r="F13" s="25"/>
      <c r="G13" s="11"/>
      <c r="H13" s="11"/>
      <c r="I13" s="11"/>
    </row>
    <row r="14" spans="1:9" s="2" customFormat="1">
      <c r="A14" s="29" t="s">
        <v>28</v>
      </c>
      <c r="B14" s="27"/>
      <c r="C14" s="12"/>
      <c r="D14" s="13"/>
      <c r="E14" s="14"/>
      <c r="F14" s="25"/>
      <c r="G14" s="11"/>
      <c r="H14" s="11"/>
      <c r="I14" s="11"/>
    </row>
    <row r="15" spans="1:9" s="2" customFormat="1">
      <c r="A15" s="29" t="s">
        <v>29</v>
      </c>
      <c r="B15" s="27"/>
      <c r="C15" s="12"/>
      <c r="D15" s="13"/>
      <c r="E15" s="14"/>
      <c r="F15" s="25"/>
      <c r="G15" s="11"/>
      <c r="H15" s="11"/>
      <c r="I15" s="11"/>
    </row>
    <row r="16" spans="1:9" s="2" customFormat="1">
      <c r="A16" s="29" t="s">
        <v>30</v>
      </c>
      <c r="B16" s="40"/>
      <c r="C16" s="44"/>
      <c r="D16" s="42"/>
      <c r="E16" s="43"/>
      <c r="F16" s="25"/>
      <c r="G16" s="11"/>
      <c r="H16" s="11"/>
      <c r="I16" s="11"/>
    </row>
    <row r="17" spans="1:9" s="2" customFormat="1">
      <c r="A17" s="29" t="s">
        <v>31</v>
      </c>
      <c r="B17" s="40"/>
      <c r="C17" s="44"/>
      <c r="D17" s="42"/>
      <c r="E17" s="43"/>
      <c r="F17" s="25"/>
      <c r="G17" s="11"/>
      <c r="H17" s="11"/>
      <c r="I17" s="11"/>
    </row>
    <row r="18" spans="1:9" s="2" customFormat="1">
      <c r="A18" s="29" t="s">
        <v>32</v>
      </c>
      <c r="B18" s="40"/>
      <c r="C18" s="44"/>
      <c r="D18" s="42"/>
      <c r="E18" s="43"/>
      <c r="F18" s="25"/>
      <c r="G18" s="11"/>
      <c r="H18" s="11"/>
      <c r="I18" s="11"/>
    </row>
    <row r="19" spans="1:9" s="2" customFormat="1">
      <c r="A19" s="29" t="s">
        <v>33</v>
      </c>
      <c r="B19" s="40"/>
      <c r="C19" s="44"/>
      <c r="D19" s="42"/>
      <c r="E19" s="43"/>
      <c r="F19" s="25"/>
      <c r="G19" s="11"/>
      <c r="H19" s="11"/>
      <c r="I19" s="11"/>
    </row>
    <row r="20" spans="1:9" s="2" customFormat="1">
      <c r="A20" s="29" t="s">
        <v>34</v>
      </c>
      <c r="B20" s="40"/>
      <c r="C20" s="44"/>
      <c r="D20" s="42"/>
      <c r="E20" s="43"/>
      <c r="F20" s="25"/>
      <c r="G20" s="11"/>
      <c r="H20" s="11"/>
      <c r="I20" s="11"/>
    </row>
    <row r="21" spans="1:9" s="2" customFormat="1">
      <c r="A21" s="29" t="s">
        <v>35</v>
      </c>
      <c r="B21" s="40"/>
      <c r="C21" s="44"/>
      <c r="D21" s="42"/>
      <c r="E21" s="43"/>
      <c r="F21" s="25"/>
      <c r="G21" s="11"/>
      <c r="H21" s="11"/>
      <c r="I21" s="11"/>
    </row>
    <row r="22" spans="1:9" s="2" customFormat="1">
      <c r="A22" s="29" t="s">
        <v>36</v>
      </c>
      <c r="B22" s="40"/>
      <c r="C22" s="44"/>
      <c r="D22" s="42"/>
      <c r="E22" s="43"/>
      <c r="F22" s="25"/>
      <c r="G22" s="11"/>
      <c r="H22" s="11"/>
      <c r="I22" s="11"/>
    </row>
    <row r="23" spans="1:9" s="2" customFormat="1">
      <c r="A23" s="29" t="s">
        <v>37</v>
      </c>
      <c r="B23" s="40"/>
      <c r="C23" s="44"/>
      <c r="D23" s="42"/>
      <c r="E23" s="43"/>
      <c r="F23" s="25"/>
      <c r="G23" s="11"/>
      <c r="H23" s="11"/>
      <c r="I23" s="11"/>
    </row>
    <row r="24" spans="1:9" s="2" customFormat="1">
      <c r="A24" s="29" t="s">
        <v>38</v>
      </c>
      <c r="B24" s="40"/>
      <c r="C24" s="44"/>
      <c r="D24" s="42"/>
      <c r="E24" s="43"/>
      <c r="F24" s="25"/>
      <c r="G24" s="11"/>
      <c r="H24" s="11"/>
      <c r="I24" s="11"/>
    </row>
    <row r="25" spans="1:9" s="2" customFormat="1">
      <c r="A25" s="29" t="s">
        <v>39</v>
      </c>
      <c r="B25" s="40"/>
      <c r="C25" s="44"/>
      <c r="D25" s="42"/>
      <c r="E25" s="43"/>
      <c r="F25" s="25"/>
      <c r="G25" s="11"/>
      <c r="H25" s="11"/>
      <c r="I25" s="11"/>
    </row>
    <row r="26" spans="1:9" s="2" customFormat="1">
      <c r="A26" s="29" t="s">
        <v>40</v>
      </c>
      <c r="B26" s="40"/>
      <c r="C26" s="44"/>
      <c r="D26" s="42"/>
      <c r="E26" s="43"/>
      <c r="F26" s="25"/>
      <c r="G26" s="11"/>
      <c r="H26" s="11"/>
      <c r="I26" s="11"/>
    </row>
    <row r="27" spans="1:9" s="2" customFormat="1">
      <c r="A27" s="29" t="s">
        <v>41</v>
      </c>
      <c r="B27" s="40"/>
      <c r="C27" s="44"/>
      <c r="D27" s="42"/>
      <c r="E27" s="43"/>
      <c r="F27" s="25"/>
      <c r="G27" s="11"/>
      <c r="H27" s="11"/>
      <c r="I27" s="11"/>
    </row>
    <row r="28" spans="1:9" s="2" customFormat="1">
      <c r="A28" s="29" t="s">
        <v>42</v>
      </c>
      <c r="B28" s="40"/>
      <c r="C28" s="44"/>
      <c r="D28" s="42"/>
      <c r="E28" s="43"/>
      <c r="F28" s="25"/>
      <c r="G28" s="11"/>
      <c r="H28" s="11"/>
      <c r="I28" s="11"/>
    </row>
    <row r="29" spans="1:9" s="2" customFormat="1">
      <c r="A29" s="29" t="s">
        <v>43</v>
      </c>
      <c r="B29" s="40"/>
      <c r="C29" s="44"/>
      <c r="D29" s="42"/>
      <c r="E29" s="43"/>
      <c r="F29" s="25"/>
      <c r="G29" s="11"/>
      <c r="H29" s="11"/>
      <c r="I29" s="11"/>
    </row>
    <row r="30" spans="1:9" s="2" customFormat="1">
      <c r="A30" s="29" t="s">
        <v>44</v>
      </c>
      <c r="B30" s="40"/>
      <c r="C30" s="44"/>
      <c r="D30" s="42"/>
      <c r="E30" s="43"/>
      <c r="F30" s="25"/>
      <c r="G30" s="11"/>
      <c r="H30" s="11"/>
      <c r="I30" s="11"/>
    </row>
    <row r="31" spans="1:9" s="2" customFormat="1">
      <c r="A31" s="29" t="s">
        <v>45</v>
      </c>
      <c r="B31" s="40"/>
      <c r="C31" s="44"/>
      <c r="D31" s="42"/>
      <c r="E31" s="43"/>
      <c r="F31" s="25"/>
      <c r="G31" s="11"/>
      <c r="H31" s="11"/>
      <c r="I31" s="11"/>
    </row>
    <row r="32" spans="1:9" s="2" customFormat="1">
      <c r="A32" s="29" t="s">
        <v>46</v>
      </c>
      <c r="B32" s="40"/>
      <c r="C32" s="44"/>
      <c r="D32" s="42"/>
      <c r="E32" s="43"/>
      <c r="F32" s="25"/>
      <c r="G32" s="11"/>
      <c r="H32" s="11"/>
      <c r="I32" s="11"/>
    </row>
    <row r="33" spans="1:9" s="2" customFormat="1">
      <c r="A33" s="29" t="s">
        <v>47</v>
      </c>
      <c r="B33" s="40"/>
      <c r="C33" s="44"/>
      <c r="D33" s="42"/>
      <c r="E33" s="43"/>
      <c r="F33" s="25"/>
      <c r="G33" s="11"/>
      <c r="H33" s="11"/>
      <c r="I33" s="11"/>
    </row>
    <row r="34" spans="1:9" s="2" customFormat="1">
      <c r="A34" s="29" t="s">
        <v>48</v>
      </c>
      <c r="B34" s="40"/>
      <c r="C34" s="44"/>
      <c r="D34" s="42"/>
      <c r="E34" s="43"/>
      <c r="F34" s="25"/>
      <c r="G34" s="11"/>
      <c r="H34" s="11"/>
      <c r="I34" s="11"/>
    </row>
    <row r="35" spans="1:9" s="2" customFormat="1">
      <c r="A35" s="29" t="s">
        <v>49</v>
      </c>
      <c r="B35" s="40"/>
      <c r="C35" s="44"/>
      <c r="D35" s="42"/>
      <c r="E35" s="43"/>
      <c r="F35" s="25"/>
      <c r="G35" s="11"/>
      <c r="H35" s="11"/>
      <c r="I35" s="11"/>
    </row>
    <row r="36" spans="1:9" s="2" customFormat="1">
      <c r="A36" s="29" t="s">
        <v>50</v>
      </c>
      <c r="B36" s="40"/>
      <c r="C36" s="44"/>
      <c r="D36" s="42"/>
      <c r="E36" s="43"/>
      <c r="F36" s="25"/>
      <c r="G36" s="11"/>
      <c r="H36" s="11"/>
      <c r="I36" s="11"/>
    </row>
    <row r="37" spans="1:9" s="2" customFormat="1">
      <c r="A37" s="29" t="s">
        <v>51</v>
      </c>
      <c r="B37" s="40"/>
      <c r="C37" s="44"/>
      <c r="D37" s="42"/>
      <c r="E37" s="43"/>
      <c r="F37" s="25"/>
      <c r="G37" s="11"/>
      <c r="H37" s="11"/>
      <c r="I37" s="11"/>
    </row>
    <row r="38" spans="1:9" s="2" customFormat="1">
      <c r="A38" s="29" t="s">
        <v>52</v>
      </c>
      <c r="B38" s="40"/>
      <c r="C38" s="44"/>
      <c r="D38" s="42"/>
      <c r="E38" s="43"/>
      <c r="F38" s="25"/>
      <c r="G38" s="11"/>
      <c r="H38" s="11"/>
      <c r="I38" s="11"/>
    </row>
    <row r="39" spans="1:9" s="2" customFormat="1">
      <c r="A39" s="29" t="s">
        <v>53</v>
      </c>
      <c r="B39" s="40"/>
      <c r="C39" s="44"/>
      <c r="D39" s="42"/>
      <c r="E39" s="43"/>
      <c r="F39" s="25"/>
      <c r="G39" s="11"/>
      <c r="H39" s="11"/>
      <c r="I39" s="11"/>
    </row>
    <row r="40" spans="1:9" s="2" customFormat="1">
      <c r="A40" s="29" t="s">
        <v>54</v>
      </c>
      <c r="B40" s="40"/>
      <c r="C40" s="44"/>
      <c r="D40" s="42"/>
      <c r="E40" s="43"/>
      <c r="F40" s="25"/>
      <c r="G40" s="11"/>
      <c r="H40" s="11"/>
      <c r="I40" s="11"/>
    </row>
    <row r="41" spans="1:9" s="2" customFormat="1">
      <c r="A41" s="29" t="s">
        <v>55</v>
      </c>
      <c r="B41" s="40"/>
      <c r="C41" s="44"/>
      <c r="D41" s="42"/>
      <c r="E41" s="43"/>
      <c r="F41" s="25"/>
      <c r="G41" s="11"/>
      <c r="H41" s="11"/>
      <c r="I41" s="11"/>
    </row>
    <row r="42" spans="1:9" s="2" customFormat="1">
      <c r="A42" s="29" t="s">
        <v>56</v>
      </c>
      <c r="B42" s="40"/>
      <c r="C42" s="44"/>
      <c r="D42" s="42"/>
      <c r="E42" s="43"/>
      <c r="F42" s="25"/>
      <c r="G42" s="11"/>
      <c r="H42" s="11"/>
      <c r="I42" s="11"/>
    </row>
    <row r="43" spans="1:9" s="2" customFormat="1">
      <c r="A43" s="29" t="s">
        <v>57</v>
      </c>
      <c r="B43" s="40"/>
      <c r="C43" s="44"/>
      <c r="D43" s="42"/>
      <c r="E43" s="43"/>
      <c r="F43" s="25"/>
      <c r="G43" s="11"/>
      <c r="H43" s="11"/>
      <c r="I43" s="11"/>
    </row>
    <row r="44" spans="1:9" s="2" customFormat="1">
      <c r="A44" s="29" t="s">
        <v>58</v>
      </c>
      <c r="B44" s="40"/>
      <c r="C44" s="44"/>
      <c r="D44" s="42"/>
      <c r="E44" s="43"/>
      <c r="F44" s="25"/>
      <c r="G44" s="11"/>
      <c r="H44" s="11"/>
      <c r="I44" s="11"/>
    </row>
    <row r="45" spans="1:9" s="2" customFormat="1">
      <c r="A45" s="29" t="s">
        <v>59</v>
      </c>
      <c r="B45" s="40"/>
      <c r="C45" s="44"/>
      <c r="D45" s="42"/>
      <c r="E45" s="43"/>
      <c r="F45" s="25"/>
      <c r="G45" s="11"/>
      <c r="H45" s="11"/>
      <c r="I45" s="11"/>
    </row>
    <row r="46" spans="1:9" s="2" customFormat="1">
      <c r="A46" s="29" t="s">
        <v>60</v>
      </c>
      <c r="B46" s="40"/>
      <c r="C46" s="44"/>
      <c r="D46" s="42"/>
      <c r="E46" s="43"/>
      <c r="F46" s="25"/>
      <c r="G46" s="11"/>
      <c r="H46" s="11"/>
      <c r="I46" s="11"/>
    </row>
    <row r="47" spans="1:9" s="2" customFormat="1">
      <c r="A47" s="29" t="s">
        <v>61</v>
      </c>
      <c r="B47" s="40"/>
      <c r="C47" s="44"/>
      <c r="D47" s="42"/>
      <c r="E47" s="43"/>
      <c r="F47" s="25"/>
      <c r="G47" s="11"/>
      <c r="H47" s="11"/>
      <c r="I47" s="11"/>
    </row>
    <row r="48" spans="1:9" s="2" customFormat="1">
      <c r="A48" s="29" t="s">
        <v>62</v>
      </c>
      <c r="B48" s="40"/>
      <c r="C48" s="44"/>
      <c r="D48" s="42"/>
      <c r="E48" s="43"/>
      <c r="F48" s="25"/>
      <c r="G48" s="11"/>
      <c r="H48" s="11"/>
      <c r="I48" s="11"/>
    </row>
    <row r="49" spans="1:9" s="2" customFormat="1">
      <c r="A49" s="29" t="s">
        <v>63</v>
      </c>
      <c r="B49" s="40"/>
      <c r="C49" s="44"/>
      <c r="D49" s="42"/>
      <c r="E49" s="43"/>
      <c r="F49" s="25"/>
      <c r="G49" s="11"/>
      <c r="H49" s="11"/>
      <c r="I49" s="11"/>
    </row>
    <row r="50" spans="1:9" s="2" customFormat="1">
      <c r="A50" s="29" t="s">
        <v>64</v>
      </c>
      <c r="B50" s="40"/>
      <c r="C50" s="44"/>
      <c r="D50" s="42"/>
      <c r="E50" s="43"/>
      <c r="F50" s="25"/>
      <c r="G50" s="11"/>
      <c r="H50" s="11"/>
      <c r="I50" s="11"/>
    </row>
    <row r="51" spans="1:9" s="2" customFormat="1">
      <c r="A51" s="29" t="s">
        <v>65</v>
      </c>
      <c r="B51" s="40"/>
      <c r="C51" s="44"/>
      <c r="D51" s="42"/>
      <c r="E51" s="43"/>
      <c r="F51" s="25"/>
      <c r="G51" s="11"/>
      <c r="H51" s="11"/>
      <c r="I51" s="11"/>
    </row>
    <row r="52" spans="1:9" s="2" customFormat="1">
      <c r="A52" s="29" t="s">
        <v>66</v>
      </c>
      <c r="B52" s="40"/>
      <c r="C52" s="44"/>
      <c r="D52" s="42"/>
      <c r="E52" s="43"/>
      <c r="F52" s="25"/>
      <c r="G52" s="11"/>
      <c r="H52" s="11"/>
      <c r="I52" s="11"/>
    </row>
    <row r="53" spans="1:9" s="2" customFormat="1">
      <c r="A53" s="29" t="s">
        <v>67</v>
      </c>
      <c r="B53" s="40"/>
      <c r="C53" s="44"/>
      <c r="D53" s="42"/>
      <c r="E53" s="43"/>
      <c r="F53" s="25"/>
      <c r="G53" s="11"/>
      <c r="H53" s="11"/>
      <c r="I53" s="11"/>
    </row>
    <row r="54" spans="1:9" s="2" customFormat="1">
      <c r="A54" s="29" t="s">
        <v>68</v>
      </c>
      <c r="B54" s="40"/>
      <c r="C54" s="44"/>
      <c r="D54" s="42"/>
      <c r="E54" s="43"/>
      <c r="F54" s="25"/>
      <c r="G54" s="11"/>
      <c r="H54" s="11"/>
      <c r="I54" s="11"/>
    </row>
    <row r="55" spans="1:9" s="2" customFormat="1" ht="15" thickBot="1">
      <c r="A55" s="30" t="s">
        <v>69</v>
      </c>
      <c r="B55" s="28"/>
      <c r="C55" s="16"/>
      <c r="D55" s="17"/>
      <c r="E55" s="18"/>
      <c r="F55" s="25"/>
      <c r="G55" s="11"/>
      <c r="H55" s="11"/>
      <c r="I55" s="11"/>
    </row>
    <row r="56" spans="1:9" s="3" customFormat="1" ht="12.75">
      <c r="A56" s="6"/>
      <c r="D56" s="8"/>
    </row>
    <row r="57" spans="1:9" s="3" customFormat="1" ht="12.75">
      <c r="A57" s="6"/>
      <c r="D57" s="8"/>
    </row>
    <row r="58" spans="1:9" s="3" customFormat="1" ht="12.75">
      <c r="A58" s="6"/>
      <c r="D58" s="8"/>
      <c r="G58" s="3">
        <f t="array" ref="G58">COUNTA(IF(AND(E6:E55="Mandatório",F6:F55="1 - Atende de forma Nativa"),F6:F55,0),0)</f>
        <v>2</v>
      </c>
    </row>
    <row r="59" spans="1:9" s="3" customFormat="1" ht="12.75">
      <c r="A59" s="6"/>
      <c r="D59" s="8"/>
      <c r="G59" s="3">
        <f>COUNTIFS(E6:E55,"Mandatório",F6:F55,"1 - Atende de forma Nativa")</f>
        <v>1</v>
      </c>
    </row>
    <row r="60" spans="1:9" s="3" customFormat="1" ht="12.75">
      <c r="A60" s="6"/>
      <c r="D60" s="8"/>
    </row>
    <row r="61" spans="1:9" s="3" customFormat="1" ht="12.75">
      <c r="A61" s="6"/>
      <c r="D61" s="8"/>
    </row>
    <row r="62" spans="1:9" s="3" customFormat="1" ht="12.75">
      <c r="A62" s="6"/>
      <c r="D62" s="8"/>
    </row>
    <row r="63" spans="1:9" s="3" customFormat="1" ht="12.75">
      <c r="A63" s="6"/>
      <c r="D63" s="8"/>
    </row>
    <row r="64" spans="1:9" s="3" customFormat="1" ht="12.75">
      <c r="A64" s="6"/>
      <c r="D64" s="8"/>
    </row>
    <row r="65" spans="1:4" s="3" customFormat="1" ht="12.75">
      <c r="A65" s="6"/>
      <c r="D65" s="8"/>
    </row>
    <row r="66" spans="1:4" s="3" customFormat="1" ht="12.75">
      <c r="A66" s="6"/>
      <c r="D66" s="8"/>
    </row>
    <row r="67" spans="1:4" s="3" customFormat="1" ht="12.75">
      <c r="A67" s="6"/>
      <c r="D67" s="8"/>
    </row>
    <row r="68" spans="1:4" s="3" customFormat="1" ht="12.75">
      <c r="A68" s="6"/>
      <c r="D68" s="8"/>
    </row>
    <row r="69" spans="1:4" s="3" customFormat="1" ht="12.75">
      <c r="A69" s="6"/>
      <c r="D69" s="8"/>
    </row>
    <row r="70" spans="1:4" s="3" customFormat="1" ht="12.75">
      <c r="A70" s="6"/>
      <c r="D70" s="8"/>
    </row>
    <row r="71" spans="1:4" s="3" customFormat="1" ht="12.75">
      <c r="A71" s="6"/>
      <c r="D71" s="8"/>
    </row>
    <row r="72" spans="1:4" s="3" customFormat="1" ht="12.75">
      <c r="A72" s="6"/>
      <c r="D72" s="8"/>
    </row>
    <row r="73" spans="1:4" s="3" customFormat="1" ht="12.75">
      <c r="A73" s="6"/>
      <c r="D73" s="8"/>
    </row>
    <row r="74" spans="1:4" s="3" customFormat="1" ht="12.75">
      <c r="A74" s="6"/>
      <c r="D74" s="8"/>
    </row>
    <row r="75" spans="1:4" s="3" customFormat="1" ht="12.75">
      <c r="A75" s="6"/>
      <c r="D75" s="8"/>
    </row>
    <row r="76" spans="1:4" s="3" customFormat="1" ht="12.75">
      <c r="A76" s="6"/>
      <c r="D76" s="8"/>
    </row>
    <row r="77" spans="1:4" s="3" customFormat="1" ht="12.75">
      <c r="A77" s="6"/>
      <c r="D77" s="8"/>
    </row>
    <row r="78" spans="1:4" s="3" customFormat="1" ht="12.75">
      <c r="A78" s="6"/>
      <c r="D78" s="8"/>
    </row>
    <row r="79" spans="1:4" s="3" customFormat="1" ht="12.75">
      <c r="A79" s="6"/>
      <c r="D79" s="8"/>
    </row>
    <row r="80" spans="1:4" s="3" customFormat="1" ht="12.75">
      <c r="A80" s="6"/>
      <c r="D80" s="8"/>
    </row>
    <row r="81" spans="1:4" s="3" customFormat="1" ht="12.75">
      <c r="A81" s="6"/>
      <c r="D81" s="8"/>
    </row>
    <row r="82" spans="1:4" s="3" customFormat="1" ht="12.75">
      <c r="A82" s="6"/>
      <c r="D82" s="8"/>
    </row>
    <row r="83" spans="1:4" s="3" customFormat="1" ht="12.75">
      <c r="A83" s="6"/>
      <c r="D83" s="8"/>
    </row>
    <row r="84" spans="1:4" s="3" customFormat="1" ht="12.75">
      <c r="A84" s="6"/>
      <c r="D84" s="8"/>
    </row>
    <row r="85" spans="1:4" s="3" customFormat="1" ht="12.75">
      <c r="A85" s="6"/>
      <c r="D85" s="8"/>
    </row>
    <row r="86" spans="1:4" s="3" customFormat="1" ht="12.75">
      <c r="A86" s="6"/>
      <c r="D86" s="8"/>
    </row>
    <row r="87" spans="1:4" s="3" customFormat="1" ht="12.75">
      <c r="A87" s="6"/>
      <c r="D87" s="8"/>
    </row>
    <row r="88" spans="1:4" s="3" customFormat="1" ht="12.75">
      <c r="A88" s="6"/>
      <c r="D88" s="8"/>
    </row>
    <row r="89" spans="1:4" s="3" customFormat="1" ht="12.75">
      <c r="A89" s="6"/>
      <c r="D89" s="8"/>
    </row>
    <row r="90" spans="1:4" s="3" customFormat="1" ht="12.75">
      <c r="A90" s="6"/>
      <c r="D90" s="8"/>
    </row>
    <row r="91" spans="1:4" s="3" customFormat="1" ht="12.75">
      <c r="A91" s="6"/>
      <c r="D91" s="8"/>
    </row>
    <row r="92" spans="1:4" s="3" customFormat="1" ht="12.75">
      <c r="A92" s="6"/>
      <c r="D92" s="8"/>
    </row>
    <row r="93" spans="1:4" s="3" customFormat="1" ht="12.75">
      <c r="A93" s="6"/>
      <c r="D93" s="8"/>
    </row>
    <row r="94" spans="1:4" s="3" customFormat="1" ht="12.75">
      <c r="A94" s="6"/>
      <c r="D94" s="8"/>
    </row>
    <row r="95" spans="1:4" s="3" customFormat="1" ht="12.75">
      <c r="A95" s="6"/>
      <c r="D95" s="8"/>
    </row>
    <row r="96" spans="1:4" s="3" customFormat="1" ht="12.75">
      <c r="A96" s="6"/>
      <c r="D96" s="8"/>
    </row>
    <row r="97" spans="1:4" s="3" customFormat="1" ht="12.75">
      <c r="A97" s="6"/>
      <c r="D97" s="8"/>
    </row>
    <row r="98" spans="1:4" s="3" customFormat="1" ht="12.75">
      <c r="A98" s="6"/>
      <c r="D98" s="8"/>
    </row>
    <row r="99" spans="1:4" s="3" customFormat="1" ht="12.75">
      <c r="A99" s="6"/>
      <c r="D99" s="8"/>
    </row>
    <row r="100" spans="1:4" s="3" customFormat="1" ht="12.75">
      <c r="A100" s="6"/>
      <c r="D100" s="8"/>
    </row>
    <row r="101" spans="1:4" s="3" customFormat="1" ht="12.75">
      <c r="A101" s="6"/>
      <c r="D101" s="8"/>
    </row>
    <row r="102" spans="1:4" s="3" customFormat="1" ht="12.75">
      <c r="A102" s="6"/>
      <c r="D102" s="8"/>
    </row>
    <row r="103" spans="1:4" s="3" customFormat="1" ht="12.75">
      <c r="A103" s="6"/>
      <c r="D103" s="8"/>
    </row>
    <row r="104" spans="1:4" s="3" customFormat="1" ht="12.75">
      <c r="A104" s="6"/>
      <c r="D104" s="8"/>
    </row>
    <row r="105" spans="1:4" s="3" customFormat="1" ht="12.75">
      <c r="A105" s="6"/>
      <c r="D105" s="8"/>
    </row>
    <row r="106" spans="1:4" s="3" customFormat="1" ht="12.75">
      <c r="A106" s="6"/>
      <c r="D106" s="8"/>
    </row>
    <row r="107" spans="1:4" s="3" customFormat="1" ht="12.75">
      <c r="A107" s="6"/>
      <c r="D107" s="8"/>
    </row>
    <row r="108" spans="1:4" s="3" customFormat="1" ht="12.75">
      <c r="A108" s="6"/>
      <c r="D108" s="8"/>
    </row>
    <row r="109" spans="1:4" s="3" customFormat="1" ht="12.75">
      <c r="A109" s="6"/>
      <c r="D109" s="8"/>
    </row>
    <row r="110" spans="1:4" s="3" customFormat="1" ht="12.75">
      <c r="A110" s="6"/>
      <c r="D110" s="8"/>
    </row>
    <row r="111" spans="1:4" s="3" customFormat="1" ht="12.75">
      <c r="A111" s="6"/>
      <c r="D111" s="8"/>
    </row>
    <row r="112" spans="1:4" s="3" customFormat="1" ht="12.75">
      <c r="A112" s="6"/>
      <c r="D112" s="8"/>
    </row>
    <row r="113" spans="1:4" s="3" customFormat="1" ht="12.75">
      <c r="A113" s="6"/>
      <c r="D113" s="8"/>
    </row>
    <row r="114" spans="1:4" s="3" customFormat="1" ht="12.75">
      <c r="A114" s="6"/>
      <c r="D114" s="8"/>
    </row>
    <row r="115" spans="1:4" s="3" customFormat="1" ht="12.75">
      <c r="A115" s="6"/>
      <c r="D115" s="8"/>
    </row>
    <row r="116" spans="1:4" s="3" customFormat="1" ht="12.75">
      <c r="A116" s="6"/>
      <c r="D116" s="8"/>
    </row>
    <row r="117" spans="1:4" s="3" customFormat="1" ht="12.75">
      <c r="A117" s="6"/>
      <c r="D117" s="8"/>
    </row>
    <row r="118" spans="1:4" s="3" customFormat="1" ht="12.75">
      <c r="A118" s="6"/>
      <c r="D118" s="8"/>
    </row>
    <row r="119" spans="1:4" s="3" customFormat="1" ht="12.75">
      <c r="A119" s="6"/>
      <c r="D119" s="8"/>
    </row>
    <row r="120" spans="1:4" s="3" customFormat="1" ht="12.75">
      <c r="A120" s="6"/>
      <c r="D120" s="8"/>
    </row>
    <row r="121" spans="1:4" s="3" customFormat="1" ht="12.75">
      <c r="A121" s="6"/>
      <c r="D121" s="8"/>
    </row>
    <row r="122" spans="1:4" s="3" customFormat="1" ht="12.75">
      <c r="A122" s="6"/>
      <c r="D122" s="8"/>
    </row>
    <row r="123" spans="1:4" s="3" customFormat="1" ht="12.75">
      <c r="A123" s="6"/>
      <c r="D123" s="8"/>
    </row>
    <row r="124" spans="1:4" s="3" customFormat="1" ht="12.75">
      <c r="A124" s="6"/>
      <c r="D124" s="8"/>
    </row>
    <row r="125" spans="1:4" s="3" customFormat="1" ht="12.75">
      <c r="A125" s="6"/>
      <c r="D125" s="8"/>
    </row>
    <row r="126" spans="1:4" s="3" customFormat="1" ht="12.75">
      <c r="A126" s="6"/>
      <c r="D126" s="8"/>
    </row>
    <row r="127" spans="1:4" s="3" customFormat="1" ht="12.75">
      <c r="A127" s="6"/>
      <c r="D127" s="8"/>
    </row>
    <row r="128" spans="1:4" s="3" customFormat="1" ht="12.75">
      <c r="A128" s="6"/>
      <c r="D128" s="8"/>
    </row>
    <row r="129" spans="1:4" s="3" customFormat="1" ht="12.75">
      <c r="A129" s="6"/>
      <c r="D129" s="8"/>
    </row>
    <row r="130" spans="1:4" s="3" customFormat="1" ht="12.75">
      <c r="A130" s="6"/>
      <c r="D130" s="8"/>
    </row>
    <row r="131" spans="1:4" s="3" customFormat="1" ht="12.75">
      <c r="A131" s="6"/>
      <c r="D131" s="8"/>
    </row>
    <row r="132" spans="1:4" s="3" customFormat="1" ht="12.75">
      <c r="A132" s="6"/>
      <c r="D132" s="8"/>
    </row>
    <row r="133" spans="1:4" s="3" customFormat="1" ht="12.75">
      <c r="A133" s="6"/>
      <c r="D133" s="8"/>
    </row>
    <row r="134" spans="1:4" s="3" customFormat="1" ht="12.75">
      <c r="A134" s="6"/>
      <c r="D134" s="8"/>
    </row>
    <row r="135" spans="1:4" s="3" customFormat="1" ht="12.75">
      <c r="A135" s="6"/>
      <c r="D135" s="8"/>
    </row>
    <row r="136" spans="1:4" s="3" customFormat="1" ht="12.75">
      <c r="A136" s="6"/>
      <c r="D136" s="8"/>
    </row>
    <row r="137" spans="1:4" s="3" customFormat="1" ht="12.75">
      <c r="A137" s="6"/>
      <c r="D137" s="8"/>
    </row>
    <row r="138" spans="1:4" s="3" customFormat="1" ht="12.75">
      <c r="A138" s="6"/>
      <c r="D138" s="8"/>
    </row>
    <row r="139" spans="1:4" s="3" customFormat="1" ht="12.75">
      <c r="A139" s="6"/>
      <c r="D139" s="8"/>
    </row>
    <row r="140" spans="1:4" s="3" customFormat="1" ht="12.75">
      <c r="A140" s="6"/>
      <c r="D140" s="8"/>
    </row>
    <row r="141" spans="1:4" s="3" customFormat="1" ht="12.75">
      <c r="A141" s="6"/>
      <c r="D141" s="8"/>
    </row>
    <row r="142" spans="1:4" s="3" customFormat="1" ht="12.75">
      <c r="A142" s="6"/>
      <c r="D142" s="8"/>
    </row>
    <row r="143" spans="1:4" s="3" customFormat="1" ht="12.75">
      <c r="A143" s="6"/>
      <c r="D143" s="8"/>
    </row>
    <row r="144" spans="1:4" s="3" customFormat="1" ht="12.75">
      <c r="A144" s="6"/>
      <c r="D144" s="8"/>
    </row>
    <row r="145" spans="1:4" s="3" customFormat="1" ht="12.75">
      <c r="A145" s="6"/>
      <c r="D145" s="8"/>
    </row>
    <row r="146" spans="1:4" s="3" customFormat="1" ht="12.75">
      <c r="A146" s="6"/>
      <c r="D146" s="8"/>
    </row>
    <row r="147" spans="1:4" s="3" customFormat="1" ht="12.75">
      <c r="A147" s="6"/>
      <c r="D147" s="8"/>
    </row>
    <row r="148" spans="1:4" s="3" customFormat="1" ht="12.75">
      <c r="A148" s="6"/>
      <c r="D148" s="8"/>
    </row>
    <row r="149" spans="1:4" s="3" customFormat="1" ht="12.75">
      <c r="A149" s="6"/>
      <c r="D149" s="8"/>
    </row>
    <row r="150" spans="1:4" s="3" customFormat="1" ht="12.75">
      <c r="A150" s="6"/>
      <c r="D150" s="8"/>
    </row>
    <row r="151" spans="1:4" s="3" customFormat="1" ht="12.75">
      <c r="A151" s="6"/>
      <c r="D151" s="8"/>
    </row>
    <row r="152" spans="1:4" s="3" customFormat="1" ht="12.75">
      <c r="A152" s="6"/>
      <c r="D152" s="8"/>
    </row>
    <row r="153" spans="1:4" s="3" customFormat="1" ht="12.75">
      <c r="A153" s="6"/>
      <c r="D153" s="8"/>
    </row>
    <row r="154" spans="1:4" s="3" customFormat="1" ht="12.75">
      <c r="A154" s="6"/>
      <c r="D154" s="8"/>
    </row>
    <row r="155" spans="1:4" s="3" customFormat="1" ht="12.75">
      <c r="A155" s="6"/>
      <c r="D155" s="8"/>
    </row>
    <row r="156" spans="1:4" s="3" customFormat="1" ht="12.75">
      <c r="A156" s="6"/>
      <c r="D156" s="8"/>
    </row>
    <row r="157" spans="1:4" s="3" customFormat="1" ht="12.75">
      <c r="A157" s="6"/>
      <c r="D157" s="8"/>
    </row>
    <row r="158" spans="1:4" s="3" customFormat="1" ht="12.75">
      <c r="A158" s="6"/>
      <c r="D158" s="8"/>
    </row>
    <row r="159" spans="1:4" s="3" customFormat="1" ht="12.75">
      <c r="A159" s="6"/>
      <c r="D159" s="8"/>
    </row>
    <row r="160" spans="1:4" s="3" customFormat="1" ht="12.75">
      <c r="A160" s="6"/>
      <c r="D160" s="8"/>
    </row>
    <row r="161" spans="1:4" s="3" customFormat="1" ht="12.75">
      <c r="A161" s="6"/>
      <c r="D161" s="8"/>
    </row>
    <row r="162" spans="1:4" s="3" customFormat="1" ht="12.75">
      <c r="A162" s="6"/>
      <c r="D162" s="8"/>
    </row>
    <row r="163" spans="1:4" s="3" customFormat="1" ht="12.75">
      <c r="A163" s="6"/>
      <c r="D163" s="8"/>
    </row>
    <row r="164" spans="1:4" s="3" customFormat="1" ht="12.75">
      <c r="A164" s="6"/>
      <c r="D164" s="8"/>
    </row>
    <row r="165" spans="1:4" s="3" customFormat="1" ht="12.75">
      <c r="A165" s="6"/>
      <c r="D165" s="8"/>
    </row>
    <row r="166" spans="1:4" s="3" customFormat="1" ht="12.75">
      <c r="A166" s="6"/>
      <c r="D166" s="8"/>
    </row>
    <row r="167" spans="1:4" s="3" customFormat="1" ht="12.75">
      <c r="A167" s="6"/>
      <c r="D167" s="8"/>
    </row>
    <row r="168" spans="1:4" s="3" customFormat="1" ht="12.75">
      <c r="A168" s="6"/>
      <c r="D168" s="8"/>
    </row>
    <row r="169" spans="1:4" s="3" customFormat="1" ht="12.75">
      <c r="A169" s="6"/>
      <c r="D169" s="8"/>
    </row>
    <row r="170" spans="1:4" s="3" customFormat="1" ht="12.75">
      <c r="A170" s="6"/>
      <c r="D170" s="8"/>
    </row>
    <row r="171" spans="1:4" s="3" customFormat="1" ht="12.75">
      <c r="A171" s="6"/>
      <c r="D171" s="8"/>
    </row>
    <row r="172" spans="1:4" s="3" customFormat="1" ht="12.75">
      <c r="A172" s="6"/>
      <c r="D172" s="8"/>
    </row>
    <row r="173" spans="1:4" s="3" customFormat="1" ht="12.75">
      <c r="A173" s="6"/>
      <c r="D173" s="8"/>
    </row>
    <row r="174" spans="1:4" s="3" customFormat="1" ht="12.75">
      <c r="A174" s="6"/>
      <c r="D174" s="8"/>
    </row>
    <row r="175" spans="1:4" s="3" customFormat="1" ht="12.75">
      <c r="A175" s="6"/>
      <c r="D175" s="8"/>
    </row>
    <row r="176" spans="1:4" s="3" customFormat="1" ht="12.75">
      <c r="A176" s="6"/>
      <c r="D176" s="8"/>
    </row>
    <row r="177" spans="1:4" s="3" customFormat="1" ht="12.75">
      <c r="A177" s="6"/>
      <c r="D177" s="8"/>
    </row>
    <row r="178" spans="1:4" s="3" customFormat="1" ht="12.75">
      <c r="A178" s="6"/>
      <c r="D178" s="8"/>
    </row>
    <row r="179" spans="1:4" s="3" customFormat="1" ht="12.75">
      <c r="A179" s="6"/>
      <c r="D179" s="8"/>
    </row>
    <row r="180" spans="1:4" s="3" customFormat="1" ht="12.75">
      <c r="A180" s="6"/>
      <c r="D180" s="8"/>
    </row>
    <row r="181" spans="1:4" s="3" customFormat="1" ht="12.75">
      <c r="A181" s="6"/>
      <c r="D181" s="8"/>
    </row>
    <row r="182" spans="1:4" s="3" customFormat="1" ht="12.75">
      <c r="A182" s="6"/>
      <c r="D182" s="8"/>
    </row>
    <row r="183" spans="1:4" s="3" customFormat="1" ht="12.75">
      <c r="A183" s="6"/>
      <c r="D183" s="8"/>
    </row>
    <row r="184" spans="1:4" s="3" customFormat="1" ht="12.75">
      <c r="A184" s="6"/>
      <c r="D184" s="8"/>
    </row>
    <row r="185" spans="1:4" s="3" customFormat="1" ht="12.75">
      <c r="A185" s="6"/>
      <c r="D185" s="8"/>
    </row>
    <row r="186" spans="1:4" s="3" customFormat="1" ht="12.75">
      <c r="A186" s="6"/>
      <c r="D186" s="8"/>
    </row>
    <row r="187" spans="1:4" s="3" customFormat="1" ht="12.75">
      <c r="A187" s="6"/>
      <c r="D187" s="8"/>
    </row>
    <row r="188" spans="1:4" s="3" customFormat="1" ht="12.75">
      <c r="A188" s="6"/>
      <c r="D188" s="8"/>
    </row>
    <row r="189" spans="1:4" s="3" customFormat="1" ht="12.75">
      <c r="A189" s="6"/>
      <c r="D189" s="8"/>
    </row>
    <row r="190" spans="1:4" s="3" customFormat="1" ht="12.75">
      <c r="A190" s="6"/>
      <c r="D190" s="8"/>
    </row>
    <row r="191" spans="1:4" s="3" customFormat="1" ht="12.75">
      <c r="A191" s="6"/>
      <c r="D191" s="8"/>
    </row>
    <row r="192" spans="1:4" s="3" customFormat="1" ht="12.75">
      <c r="A192" s="6"/>
      <c r="D192" s="8"/>
    </row>
    <row r="193" spans="1:4" s="3" customFormat="1" ht="12.75">
      <c r="A193" s="6"/>
      <c r="D193" s="8"/>
    </row>
    <row r="194" spans="1:4" s="3" customFormat="1" ht="12.75">
      <c r="A194" s="6"/>
      <c r="D194" s="8"/>
    </row>
    <row r="195" spans="1:4" s="3" customFormat="1" ht="12.75">
      <c r="A195" s="6"/>
      <c r="D195" s="8"/>
    </row>
    <row r="196" spans="1:4" s="3" customFormat="1" ht="12.75">
      <c r="A196" s="6"/>
      <c r="D196" s="8"/>
    </row>
    <row r="197" spans="1:4" s="3" customFormat="1" ht="12.75">
      <c r="A197" s="6"/>
      <c r="D197" s="8"/>
    </row>
    <row r="198" spans="1:4" s="3" customFormat="1" ht="12.75">
      <c r="A198" s="6"/>
      <c r="D198" s="8"/>
    </row>
    <row r="199" spans="1:4" s="3" customFormat="1" ht="12.75">
      <c r="A199" s="6"/>
      <c r="D199" s="8"/>
    </row>
    <row r="200" spans="1:4" s="3" customFormat="1" ht="12.75">
      <c r="A200" s="6"/>
      <c r="D200" s="8"/>
    </row>
    <row r="201" spans="1:4" s="3" customFormat="1" ht="12.75">
      <c r="A201" s="6"/>
      <c r="D201" s="8"/>
    </row>
    <row r="202" spans="1:4" s="3" customFormat="1" ht="12.75">
      <c r="A202" s="6"/>
      <c r="D202" s="8"/>
    </row>
    <row r="203" spans="1:4" s="3" customFormat="1" ht="12.75">
      <c r="A203" s="6"/>
      <c r="D203" s="8"/>
    </row>
    <row r="204" spans="1:4" s="3" customFormat="1" ht="12.75">
      <c r="A204" s="6"/>
      <c r="D204" s="8"/>
    </row>
    <row r="205" spans="1:4" s="3" customFormat="1" ht="12.75">
      <c r="A205" s="6"/>
      <c r="D205" s="8"/>
    </row>
    <row r="206" spans="1:4" s="3" customFormat="1" ht="12.75">
      <c r="A206" s="6"/>
      <c r="D206" s="8"/>
    </row>
    <row r="207" spans="1:4" s="3" customFormat="1" ht="12.75">
      <c r="A207" s="6"/>
      <c r="D207" s="8"/>
    </row>
    <row r="208" spans="1:4" s="3" customFormat="1" ht="12.75">
      <c r="A208" s="6"/>
      <c r="D208" s="8"/>
    </row>
    <row r="209" spans="1:4" s="3" customFormat="1" ht="12.75">
      <c r="A209" s="6"/>
      <c r="D209" s="8"/>
    </row>
    <row r="210" spans="1:4" s="3" customFormat="1" ht="12.75">
      <c r="A210" s="6"/>
      <c r="D210" s="8"/>
    </row>
    <row r="211" spans="1:4" s="3" customFormat="1" ht="12.75">
      <c r="A211" s="6"/>
      <c r="D211" s="8"/>
    </row>
    <row r="212" spans="1:4" s="3" customFormat="1" ht="12.75">
      <c r="A212" s="6"/>
      <c r="D212" s="8"/>
    </row>
    <row r="213" spans="1:4" s="3" customFormat="1" ht="12.75">
      <c r="A213" s="6"/>
      <c r="D213" s="8"/>
    </row>
    <row r="214" spans="1:4" s="3" customFormat="1" ht="12.75">
      <c r="A214" s="6"/>
      <c r="D214" s="8"/>
    </row>
    <row r="215" spans="1:4" s="3" customFormat="1" ht="12.75">
      <c r="A215" s="6"/>
      <c r="D215" s="8"/>
    </row>
    <row r="216" spans="1:4" s="3" customFormat="1" ht="12.75">
      <c r="A216" s="6"/>
      <c r="D216" s="8"/>
    </row>
    <row r="217" spans="1:4" s="3" customFormat="1" ht="12.75">
      <c r="A217" s="6"/>
      <c r="D217" s="8"/>
    </row>
    <row r="218" spans="1:4" s="3" customFormat="1" ht="12.75">
      <c r="A218" s="6"/>
      <c r="D218" s="8"/>
    </row>
    <row r="219" spans="1:4" s="3" customFormat="1" ht="12.75">
      <c r="A219" s="6"/>
      <c r="D219" s="8"/>
    </row>
    <row r="220" spans="1:4" s="3" customFormat="1" ht="12.75">
      <c r="A220" s="6"/>
      <c r="D220" s="8"/>
    </row>
    <row r="221" spans="1:4" s="3" customFormat="1" ht="12.75">
      <c r="A221" s="6"/>
      <c r="D221" s="8"/>
    </row>
    <row r="222" spans="1:4" s="3" customFormat="1" ht="12.75">
      <c r="A222" s="6"/>
      <c r="D222" s="8"/>
    </row>
    <row r="223" spans="1:4" s="3" customFormat="1" ht="12.75">
      <c r="A223" s="6"/>
      <c r="D223" s="8"/>
    </row>
    <row r="224" spans="1:4" s="3" customFormat="1" ht="12.75">
      <c r="A224" s="6"/>
      <c r="D224" s="8"/>
    </row>
    <row r="225" spans="1:4" s="3" customFormat="1" ht="12.75">
      <c r="A225" s="6"/>
      <c r="D225" s="8"/>
    </row>
    <row r="226" spans="1:4" s="3" customFormat="1" ht="12.75">
      <c r="A226" s="6"/>
      <c r="D226" s="8"/>
    </row>
    <row r="227" spans="1:4" s="3" customFormat="1" ht="12.75">
      <c r="A227" s="6"/>
      <c r="D227" s="8"/>
    </row>
    <row r="228" spans="1:4" s="3" customFormat="1" ht="12.75">
      <c r="A228" s="6"/>
      <c r="D228" s="8"/>
    </row>
    <row r="229" spans="1:4" s="3" customFormat="1" ht="12.75">
      <c r="A229" s="6"/>
      <c r="D229" s="8"/>
    </row>
    <row r="230" spans="1:4" s="3" customFormat="1" ht="12.75">
      <c r="A230" s="6"/>
      <c r="D230" s="8"/>
    </row>
    <row r="231" spans="1:4" s="3" customFormat="1" ht="12.75">
      <c r="A231" s="6"/>
      <c r="D231" s="8"/>
    </row>
    <row r="232" spans="1:4" s="3" customFormat="1" ht="12.75">
      <c r="A232" s="6"/>
      <c r="D232" s="8"/>
    </row>
    <row r="233" spans="1:4" s="3" customFormat="1" ht="12.75">
      <c r="A233" s="6"/>
      <c r="D233" s="8"/>
    </row>
    <row r="234" spans="1:4" s="3" customFormat="1" ht="12.75">
      <c r="A234" s="6"/>
      <c r="D234" s="8"/>
    </row>
    <row r="235" spans="1:4" s="3" customFormat="1" ht="12.75">
      <c r="A235" s="6"/>
      <c r="D235" s="8"/>
    </row>
    <row r="236" spans="1:4" s="3" customFormat="1" ht="12.75">
      <c r="A236" s="6"/>
      <c r="D236" s="8"/>
    </row>
    <row r="237" spans="1:4" s="3" customFormat="1" ht="12.75">
      <c r="A237" s="6"/>
      <c r="D237" s="8"/>
    </row>
    <row r="238" spans="1:4" s="3" customFormat="1" ht="12.75">
      <c r="A238" s="6"/>
      <c r="D238" s="8"/>
    </row>
    <row r="239" spans="1:4" s="3" customFormat="1" ht="12.75">
      <c r="A239" s="6"/>
      <c r="D239" s="8"/>
    </row>
    <row r="240" spans="1:4" s="3" customFormat="1" ht="12.75">
      <c r="A240" s="6"/>
      <c r="D240" s="8"/>
    </row>
    <row r="241" spans="1:4" s="3" customFormat="1" ht="12.75">
      <c r="A241" s="6"/>
      <c r="D241" s="8"/>
    </row>
    <row r="242" spans="1:4" s="3" customFormat="1" ht="12.75">
      <c r="A242" s="6"/>
      <c r="D242" s="8"/>
    </row>
    <row r="243" spans="1:4" s="3" customFormat="1" ht="12.75">
      <c r="A243" s="6"/>
      <c r="D243" s="8"/>
    </row>
    <row r="244" spans="1:4" s="3" customFormat="1" ht="12.75">
      <c r="A244" s="6"/>
      <c r="D244" s="8"/>
    </row>
    <row r="245" spans="1:4" s="3" customFormat="1" ht="12.75">
      <c r="A245" s="6"/>
      <c r="D245" s="8"/>
    </row>
    <row r="246" spans="1:4" s="3" customFormat="1" ht="12.75">
      <c r="A246" s="6"/>
      <c r="D246" s="8"/>
    </row>
    <row r="247" spans="1:4" s="3" customFormat="1" ht="12.75">
      <c r="A247" s="6"/>
      <c r="D247" s="8"/>
    </row>
    <row r="248" spans="1:4" s="3" customFormat="1" ht="12.75">
      <c r="A248" s="6"/>
      <c r="D248" s="8"/>
    </row>
    <row r="249" spans="1:4" s="3" customFormat="1" ht="12.75">
      <c r="A249" s="6"/>
      <c r="D249" s="8"/>
    </row>
    <row r="250" spans="1:4" s="3" customFormat="1" ht="12.75">
      <c r="A250" s="6"/>
      <c r="D250" s="8"/>
    </row>
    <row r="251" spans="1:4" s="3" customFormat="1" ht="12.75">
      <c r="A251" s="6"/>
      <c r="D251" s="8"/>
    </row>
    <row r="252" spans="1:4" s="3" customFormat="1" ht="12.75">
      <c r="A252" s="6"/>
      <c r="D252" s="8"/>
    </row>
    <row r="253" spans="1:4" s="3" customFormat="1" ht="12.75">
      <c r="A253" s="6"/>
      <c r="D253" s="8"/>
    </row>
    <row r="254" spans="1:4" s="3" customFormat="1" ht="12.75">
      <c r="A254" s="6"/>
      <c r="D254" s="8"/>
    </row>
    <row r="255" spans="1:4" s="3" customFormat="1" ht="12.75">
      <c r="A255" s="6"/>
      <c r="D255" s="8"/>
    </row>
    <row r="256" spans="1:4" s="3" customFormat="1" ht="12.75">
      <c r="A256" s="6"/>
      <c r="D256" s="8"/>
    </row>
    <row r="257" spans="1:4" s="3" customFormat="1" ht="12.75">
      <c r="A257" s="6"/>
      <c r="D257" s="8"/>
    </row>
    <row r="258" spans="1:4" s="3" customFormat="1" ht="12.75">
      <c r="A258" s="6"/>
      <c r="D258" s="8"/>
    </row>
    <row r="259" spans="1:4" s="3" customFormat="1" ht="12.75">
      <c r="A259" s="6"/>
      <c r="D259" s="8"/>
    </row>
    <row r="260" spans="1:4" s="3" customFormat="1" ht="12.75">
      <c r="A260" s="6"/>
      <c r="D260" s="8"/>
    </row>
    <row r="261" spans="1:4" s="3" customFormat="1" ht="12.75">
      <c r="A261" s="6"/>
      <c r="D261" s="8"/>
    </row>
    <row r="262" spans="1:4" s="3" customFormat="1" ht="12.75">
      <c r="A262" s="6"/>
      <c r="D262" s="8"/>
    </row>
    <row r="263" spans="1:4" s="3" customFormat="1" ht="12.75">
      <c r="A263" s="6"/>
      <c r="D263" s="8"/>
    </row>
    <row r="264" spans="1:4" s="3" customFormat="1" ht="12.75">
      <c r="A264" s="6"/>
      <c r="D264" s="8"/>
    </row>
    <row r="265" spans="1:4" s="3" customFormat="1" ht="12.75">
      <c r="A265" s="6"/>
      <c r="D265" s="8"/>
    </row>
    <row r="266" spans="1:4" s="3" customFormat="1" ht="12.75">
      <c r="A266" s="6"/>
      <c r="D266" s="8"/>
    </row>
    <row r="267" spans="1:4" s="3" customFormat="1" ht="12.75">
      <c r="A267" s="6"/>
      <c r="D267" s="8"/>
    </row>
    <row r="268" spans="1:4" s="3" customFormat="1" ht="12.75">
      <c r="A268" s="6"/>
      <c r="D268" s="8"/>
    </row>
    <row r="269" spans="1:4" s="3" customFormat="1" ht="12.75">
      <c r="A269" s="6"/>
      <c r="D269" s="8"/>
    </row>
    <row r="270" spans="1:4" s="3" customFormat="1" ht="12.75">
      <c r="A270" s="6"/>
      <c r="D270" s="8"/>
    </row>
    <row r="271" spans="1:4" s="3" customFormat="1" ht="12.75">
      <c r="A271" s="6"/>
      <c r="D271" s="8"/>
    </row>
    <row r="272" spans="1:4" s="3" customFormat="1" ht="12.75">
      <c r="A272" s="6"/>
      <c r="D272" s="8"/>
    </row>
    <row r="273" spans="1:4" s="3" customFormat="1" ht="12.75">
      <c r="A273" s="6"/>
      <c r="D273" s="8"/>
    </row>
    <row r="274" spans="1:4" s="3" customFormat="1" ht="12.75">
      <c r="A274" s="6"/>
      <c r="D274" s="8"/>
    </row>
    <row r="275" spans="1:4" s="3" customFormat="1" ht="12.75">
      <c r="A275" s="6"/>
      <c r="D275" s="8"/>
    </row>
    <row r="276" spans="1:4" s="3" customFormat="1" ht="12.75">
      <c r="A276" s="6"/>
      <c r="D276" s="8"/>
    </row>
    <row r="277" spans="1:4" s="3" customFormat="1" ht="12.75">
      <c r="A277" s="6"/>
      <c r="D277" s="8"/>
    </row>
    <row r="278" spans="1:4" s="3" customFormat="1" ht="12.75">
      <c r="A278" s="6"/>
      <c r="D278" s="8"/>
    </row>
    <row r="279" spans="1:4" s="3" customFormat="1" ht="12.75">
      <c r="A279" s="6"/>
      <c r="D279" s="8"/>
    </row>
    <row r="280" spans="1:4" s="3" customFormat="1" ht="12.75">
      <c r="A280" s="6"/>
      <c r="D280" s="8"/>
    </row>
    <row r="281" spans="1:4" s="3" customFormat="1" ht="12.75">
      <c r="A281" s="6"/>
      <c r="D281" s="8"/>
    </row>
    <row r="282" spans="1:4" s="3" customFormat="1" ht="12.75">
      <c r="A282" s="6"/>
      <c r="D282" s="8"/>
    </row>
    <row r="283" spans="1:4" s="3" customFormat="1" ht="12.75">
      <c r="A283" s="6"/>
      <c r="D283" s="8"/>
    </row>
    <row r="284" spans="1:4" s="3" customFormat="1" ht="12.75">
      <c r="A284" s="6"/>
      <c r="D284" s="8"/>
    </row>
    <row r="285" spans="1:4" s="3" customFormat="1" ht="12.75">
      <c r="A285" s="6"/>
      <c r="D285" s="8"/>
    </row>
    <row r="286" spans="1:4" s="3" customFormat="1" ht="12.75">
      <c r="A286" s="6"/>
      <c r="D286" s="8"/>
    </row>
    <row r="287" spans="1:4" s="3" customFormat="1" ht="12.75">
      <c r="A287" s="6"/>
      <c r="D287" s="8"/>
    </row>
    <row r="288" spans="1:4" s="3" customFormat="1" ht="12.75">
      <c r="A288" s="6"/>
      <c r="D288" s="8"/>
    </row>
    <row r="289" spans="1:4" s="3" customFormat="1" ht="12.75">
      <c r="A289" s="6"/>
      <c r="D289" s="8"/>
    </row>
    <row r="290" spans="1:4" s="3" customFormat="1" ht="12.75">
      <c r="A290" s="6"/>
      <c r="D290" s="8"/>
    </row>
    <row r="291" spans="1:4" s="3" customFormat="1" ht="12.75">
      <c r="A291" s="6"/>
      <c r="D291" s="8"/>
    </row>
    <row r="292" spans="1:4" s="3" customFormat="1" ht="12.75">
      <c r="A292" s="6"/>
      <c r="D292" s="8"/>
    </row>
    <row r="293" spans="1:4" s="3" customFormat="1" ht="12.75">
      <c r="A293" s="6"/>
      <c r="D293" s="8"/>
    </row>
    <row r="294" spans="1:4" s="3" customFormat="1" ht="12.75">
      <c r="A294" s="6"/>
      <c r="D294" s="8"/>
    </row>
    <row r="295" spans="1:4" s="3" customFormat="1" ht="12.75">
      <c r="A295" s="6"/>
      <c r="D295" s="8"/>
    </row>
    <row r="296" spans="1:4" s="3" customFormat="1" ht="12.75">
      <c r="A296" s="6"/>
      <c r="D296" s="8"/>
    </row>
    <row r="297" spans="1:4" s="3" customFormat="1" ht="12.75">
      <c r="A297" s="6"/>
      <c r="D297" s="8"/>
    </row>
    <row r="298" spans="1:4" s="3" customFormat="1" ht="12.75">
      <c r="A298" s="6"/>
      <c r="D298" s="8"/>
    </row>
    <row r="299" spans="1:4" s="3" customFormat="1" ht="12.75">
      <c r="A299" s="6"/>
      <c r="D299" s="8"/>
    </row>
    <row r="300" spans="1:4" s="3" customFormat="1" ht="12.75">
      <c r="A300" s="6"/>
      <c r="D300" s="8"/>
    </row>
    <row r="301" spans="1:4" s="3" customFormat="1" ht="12.75">
      <c r="A301" s="6"/>
      <c r="D301" s="8"/>
    </row>
    <row r="302" spans="1:4" s="3" customFormat="1" ht="12.75">
      <c r="A302" s="6"/>
      <c r="D302" s="8"/>
    </row>
    <row r="303" spans="1:4" s="3" customFormat="1" ht="12.75">
      <c r="A303" s="6"/>
      <c r="D303" s="8"/>
    </row>
    <row r="304" spans="1:4" s="3" customFormat="1" ht="12.75">
      <c r="A304" s="6"/>
      <c r="D304" s="8"/>
    </row>
    <row r="305" spans="1:4" s="3" customFormat="1" ht="12.75">
      <c r="A305" s="6"/>
      <c r="D305" s="8"/>
    </row>
    <row r="306" spans="1:4" s="3" customFormat="1" ht="12.75">
      <c r="A306" s="6"/>
      <c r="D306" s="8"/>
    </row>
    <row r="307" spans="1:4" s="3" customFormat="1" ht="12.75">
      <c r="A307" s="6"/>
      <c r="D307" s="8"/>
    </row>
    <row r="308" spans="1:4" s="3" customFormat="1" ht="12.75">
      <c r="A308" s="6"/>
      <c r="D308" s="8"/>
    </row>
    <row r="309" spans="1:4" s="3" customFormat="1" ht="12.75">
      <c r="A309" s="6"/>
      <c r="D309" s="8"/>
    </row>
    <row r="310" spans="1:4" s="3" customFormat="1" ht="12.75">
      <c r="A310" s="6"/>
      <c r="D310" s="8"/>
    </row>
    <row r="311" spans="1:4" s="3" customFormat="1" ht="12.75">
      <c r="A311" s="6"/>
      <c r="D311" s="8"/>
    </row>
    <row r="312" spans="1:4" s="3" customFormat="1" ht="12.75">
      <c r="A312" s="6"/>
      <c r="D312" s="8"/>
    </row>
    <row r="313" spans="1:4" s="3" customFormat="1" ht="12.75">
      <c r="A313" s="6"/>
      <c r="D313" s="8"/>
    </row>
    <row r="314" spans="1:4" s="3" customFormat="1" ht="12.75">
      <c r="A314" s="6"/>
      <c r="D314" s="8"/>
    </row>
    <row r="315" spans="1:4" s="3" customFormat="1" ht="12.75">
      <c r="A315" s="6"/>
      <c r="D315" s="8"/>
    </row>
    <row r="316" spans="1:4" s="3" customFormat="1" ht="12.75">
      <c r="A316" s="6"/>
      <c r="D316" s="8"/>
    </row>
    <row r="317" spans="1:4" s="3" customFormat="1" ht="12.75">
      <c r="A317" s="6"/>
      <c r="D317" s="8"/>
    </row>
    <row r="318" spans="1:4" s="3" customFormat="1" ht="12.75">
      <c r="A318" s="6"/>
      <c r="D318" s="8"/>
    </row>
    <row r="319" spans="1:4" s="3" customFormat="1" ht="12.75">
      <c r="A319" s="6"/>
      <c r="D319" s="8"/>
    </row>
    <row r="320" spans="1:4" s="3" customFormat="1" ht="12.75">
      <c r="A320" s="6"/>
      <c r="D320" s="8"/>
    </row>
    <row r="321" spans="1:4" s="3" customFormat="1" ht="12.75">
      <c r="A321" s="6"/>
      <c r="D321" s="8"/>
    </row>
    <row r="322" spans="1:4" s="3" customFormat="1" ht="12.75">
      <c r="A322" s="6"/>
      <c r="D322" s="8"/>
    </row>
    <row r="323" spans="1:4" s="3" customFormat="1" ht="12.75">
      <c r="A323" s="6"/>
      <c r="D323" s="8"/>
    </row>
    <row r="324" spans="1:4" s="3" customFormat="1" ht="12.75">
      <c r="A324" s="6"/>
      <c r="D324" s="8"/>
    </row>
    <row r="325" spans="1:4" s="3" customFormat="1" ht="12.75">
      <c r="A325" s="6"/>
      <c r="D325" s="8"/>
    </row>
    <row r="326" spans="1:4" s="3" customFormat="1" ht="12.75">
      <c r="A326" s="6"/>
      <c r="D326" s="8"/>
    </row>
    <row r="327" spans="1:4" s="3" customFormat="1" ht="12.75">
      <c r="A327" s="6"/>
      <c r="D327" s="8"/>
    </row>
    <row r="328" spans="1:4" s="3" customFormat="1" ht="12.75">
      <c r="A328" s="6"/>
      <c r="D328" s="8"/>
    </row>
    <row r="329" spans="1:4" s="3" customFormat="1" ht="12.75">
      <c r="A329" s="6"/>
      <c r="D329" s="8"/>
    </row>
    <row r="330" spans="1:4" s="3" customFormat="1" ht="12.75">
      <c r="A330" s="6"/>
      <c r="D330" s="8"/>
    </row>
    <row r="331" spans="1:4" s="3" customFormat="1" ht="12.75">
      <c r="A331" s="6"/>
      <c r="D331" s="8"/>
    </row>
    <row r="332" spans="1:4" s="3" customFormat="1" ht="12.75">
      <c r="A332" s="6"/>
      <c r="D332" s="8"/>
    </row>
    <row r="333" spans="1:4" s="3" customFormat="1" ht="12.75">
      <c r="A333" s="6"/>
      <c r="D333" s="8"/>
    </row>
    <row r="334" spans="1:4" s="3" customFormat="1" ht="12.75">
      <c r="A334" s="6"/>
      <c r="D334" s="8"/>
    </row>
    <row r="335" spans="1:4" s="3" customFormat="1" ht="12.75">
      <c r="A335" s="6"/>
      <c r="D335" s="8"/>
    </row>
    <row r="336" spans="1:4" s="3" customFormat="1" ht="12.75">
      <c r="A336" s="6"/>
      <c r="D336" s="8"/>
    </row>
    <row r="337" spans="1:4" s="3" customFormat="1" ht="12.75">
      <c r="A337" s="6"/>
      <c r="D337" s="8"/>
    </row>
    <row r="338" spans="1:4" s="3" customFormat="1" ht="12.75">
      <c r="A338" s="6"/>
      <c r="D338" s="8"/>
    </row>
    <row r="339" spans="1:4" s="3" customFormat="1" ht="12.75">
      <c r="A339" s="6"/>
      <c r="D339" s="8"/>
    </row>
    <row r="340" spans="1:4" s="3" customFormat="1" ht="12.75">
      <c r="A340" s="6"/>
      <c r="D340" s="8"/>
    </row>
    <row r="341" spans="1:4" s="3" customFormat="1" ht="12.75">
      <c r="A341" s="6"/>
      <c r="D341" s="8"/>
    </row>
    <row r="342" spans="1:4" s="3" customFormat="1" ht="12.75">
      <c r="A342" s="6"/>
      <c r="D342" s="8"/>
    </row>
    <row r="343" spans="1:4" s="3" customFormat="1" ht="12.75">
      <c r="A343" s="6"/>
      <c r="D343" s="8"/>
    </row>
    <row r="344" spans="1:4" s="3" customFormat="1" ht="12.75">
      <c r="A344" s="6"/>
      <c r="D344" s="8"/>
    </row>
    <row r="345" spans="1:4" s="3" customFormat="1" ht="12.75">
      <c r="A345" s="6"/>
      <c r="D345" s="8"/>
    </row>
    <row r="346" spans="1:4" s="3" customFormat="1" ht="12.75">
      <c r="A346" s="6"/>
      <c r="D346" s="8"/>
    </row>
    <row r="347" spans="1:4" s="3" customFormat="1" ht="12.75">
      <c r="A347" s="6"/>
      <c r="D347" s="8"/>
    </row>
    <row r="348" spans="1:4" s="3" customFormat="1" ht="12.75">
      <c r="A348" s="6"/>
      <c r="D348" s="8"/>
    </row>
    <row r="349" spans="1:4" s="3" customFormat="1" ht="12.75">
      <c r="A349" s="6"/>
      <c r="D349" s="8"/>
    </row>
    <row r="350" spans="1:4" s="3" customFormat="1" ht="12.75">
      <c r="A350" s="6"/>
      <c r="D350" s="8"/>
    </row>
    <row r="351" spans="1:4" s="3" customFormat="1" ht="12.75">
      <c r="A351" s="6"/>
      <c r="D351" s="8"/>
    </row>
    <row r="352" spans="1:4" s="3" customFormat="1" ht="12.75">
      <c r="A352" s="6"/>
      <c r="D352" s="8"/>
    </row>
    <row r="353" spans="1:4" s="3" customFormat="1" ht="12.75">
      <c r="A353" s="6"/>
      <c r="D353" s="8"/>
    </row>
    <row r="354" spans="1:4" s="3" customFormat="1" ht="12.75">
      <c r="A354" s="6"/>
      <c r="D354" s="8"/>
    </row>
    <row r="355" spans="1:4" s="3" customFormat="1" ht="12.75">
      <c r="A355" s="6"/>
      <c r="D355" s="8"/>
    </row>
    <row r="356" spans="1:4" s="3" customFormat="1" ht="12.75">
      <c r="A356" s="6"/>
      <c r="D356" s="8"/>
    </row>
    <row r="357" spans="1:4" s="3" customFormat="1" ht="12.75">
      <c r="A357" s="6"/>
      <c r="D357" s="8"/>
    </row>
    <row r="358" spans="1:4" s="3" customFormat="1" ht="12.75">
      <c r="A358" s="6"/>
      <c r="D358" s="8"/>
    </row>
    <row r="359" spans="1:4" s="3" customFormat="1" ht="12.75">
      <c r="A359" s="6"/>
      <c r="D359" s="8"/>
    </row>
    <row r="360" spans="1:4" s="3" customFormat="1" ht="12.75">
      <c r="A360" s="6"/>
      <c r="D360" s="8"/>
    </row>
    <row r="361" spans="1:4" s="3" customFormat="1" ht="12.75">
      <c r="A361" s="6"/>
      <c r="D361" s="8"/>
    </row>
    <row r="362" spans="1:4" s="3" customFormat="1" ht="12.75">
      <c r="A362" s="6"/>
      <c r="D362" s="8"/>
    </row>
    <row r="363" spans="1:4" s="3" customFormat="1" ht="12.75">
      <c r="A363" s="6"/>
      <c r="D363" s="8"/>
    </row>
    <row r="364" spans="1:4" s="3" customFormat="1" ht="12.75">
      <c r="A364" s="6"/>
      <c r="D364" s="8"/>
    </row>
    <row r="365" spans="1:4" s="3" customFormat="1" ht="12.75">
      <c r="A365" s="6"/>
      <c r="D365" s="8"/>
    </row>
    <row r="366" spans="1:4" s="3" customFormat="1" ht="12.75">
      <c r="A366" s="6"/>
      <c r="D366" s="8"/>
    </row>
    <row r="367" spans="1:4" s="3" customFormat="1" ht="12.75">
      <c r="A367" s="6"/>
      <c r="D367" s="8"/>
    </row>
    <row r="368" spans="1:4" s="3" customFormat="1" ht="12.75">
      <c r="A368" s="6"/>
      <c r="D368" s="8"/>
    </row>
    <row r="369" spans="1:4" s="3" customFormat="1" ht="12.75">
      <c r="A369" s="6"/>
      <c r="D369" s="8"/>
    </row>
    <row r="370" spans="1:4" s="3" customFormat="1" ht="12.75">
      <c r="A370" s="6"/>
      <c r="D370" s="8"/>
    </row>
    <row r="371" spans="1:4" s="3" customFormat="1" ht="12.75">
      <c r="A371" s="6"/>
      <c r="D371" s="8"/>
    </row>
    <row r="372" spans="1:4" s="3" customFormat="1" ht="12.75">
      <c r="A372" s="6"/>
      <c r="D372" s="8"/>
    </row>
    <row r="373" spans="1:4" s="3" customFormat="1" ht="12.75">
      <c r="A373" s="6"/>
      <c r="D373" s="8"/>
    </row>
    <row r="374" spans="1:4" s="3" customFormat="1" ht="12.75">
      <c r="A374" s="6"/>
      <c r="D374" s="8"/>
    </row>
    <row r="375" spans="1:4" s="3" customFormat="1" ht="12.75">
      <c r="A375" s="6"/>
      <c r="D375" s="8"/>
    </row>
    <row r="376" spans="1:4" s="3" customFormat="1" ht="12.75">
      <c r="A376" s="6"/>
      <c r="D376" s="8"/>
    </row>
    <row r="377" spans="1:4" s="3" customFormat="1" ht="12.75">
      <c r="A377" s="6"/>
      <c r="D377" s="8"/>
    </row>
    <row r="378" spans="1:4" s="3" customFormat="1" ht="12.75">
      <c r="A378" s="6"/>
      <c r="D378" s="8"/>
    </row>
    <row r="379" spans="1:4" s="3" customFormat="1" ht="12.75">
      <c r="A379" s="6"/>
      <c r="D379" s="8"/>
    </row>
    <row r="380" spans="1:4" s="3" customFormat="1" ht="12.75">
      <c r="A380" s="6"/>
      <c r="D380" s="8"/>
    </row>
    <row r="381" spans="1:4" s="3" customFormat="1" ht="12.75">
      <c r="A381" s="6"/>
      <c r="D381" s="8"/>
    </row>
    <row r="382" spans="1:4" s="3" customFormat="1" ht="12.75">
      <c r="A382" s="6"/>
      <c r="D382" s="8"/>
    </row>
    <row r="383" spans="1:4" s="3" customFormat="1" ht="12.75">
      <c r="A383" s="6"/>
      <c r="D383" s="8"/>
    </row>
    <row r="384" spans="1:4" s="3" customFormat="1" ht="12.75">
      <c r="A384" s="6"/>
      <c r="D384" s="8"/>
    </row>
    <row r="385" spans="1:4" s="3" customFormat="1" ht="12.75">
      <c r="A385" s="6"/>
      <c r="D385" s="8"/>
    </row>
    <row r="386" spans="1:4" s="3" customFormat="1" ht="12.75">
      <c r="A386" s="6"/>
      <c r="D386" s="8"/>
    </row>
    <row r="387" spans="1:4" s="3" customFormat="1" ht="12.75">
      <c r="A387" s="6"/>
      <c r="D387" s="8"/>
    </row>
    <row r="388" spans="1:4" s="3" customFormat="1" ht="12.75">
      <c r="A388" s="6"/>
      <c r="D388" s="8"/>
    </row>
    <row r="389" spans="1:4" s="3" customFormat="1" ht="12.75">
      <c r="A389" s="6"/>
      <c r="D389" s="8"/>
    </row>
    <row r="390" spans="1:4" s="3" customFormat="1" ht="12.75">
      <c r="A390" s="6"/>
      <c r="D390" s="8"/>
    </row>
    <row r="391" spans="1:4" s="3" customFormat="1" ht="12.75">
      <c r="A391" s="6"/>
      <c r="D391" s="8"/>
    </row>
    <row r="392" spans="1:4" s="3" customFormat="1" ht="12.75">
      <c r="A392" s="6"/>
      <c r="D392" s="8"/>
    </row>
    <row r="393" spans="1:4" s="3" customFormat="1" ht="12.75">
      <c r="A393" s="6"/>
      <c r="D393" s="8"/>
    </row>
    <row r="394" spans="1:4" s="3" customFormat="1" ht="12.75">
      <c r="A394" s="6"/>
      <c r="D394" s="8"/>
    </row>
    <row r="395" spans="1:4" s="3" customFormat="1" ht="12.75">
      <c r="A395" s="6"/>
      <c r="D395" s="8"/>
    </row>
    <row r="396" spans="1:4" s="3" customFormat="1" ht="12.75">
      <c r="A396" s="6"/>
      <c r="D396" s="8"/>
    </row>
    <row r="397" spans="1:4" s="3" customFormat="1" ht="12.75">
      <c r="A397" s="6"/>
      <c r="D397" s="8"/>
    </row>
    <row r="398" spans="1:4" s="3" customFormat="1" ht="12.75">
      <c r="A398" s="6"/>
      <c r="D398" s="8"/>
    </row>
    <row r="399" spans="1:4" s="3" customFormat="1" ht="12.75">
      <c r="A399" s="6"/>
      <c r="D399" s="8"/>
    </row>
    <row r="400" spans="1:4" s="3" customFormat="1" ht="12.75">
      <c r="A400" s="6"/>
      <c r="D400" s="8"/>
    </row>
    <row r="401" spans="1:4" s="3" customFormat="1" ht="12.75">
      <c r="A401" s="6"/>
      <c r="D401" s="8"/>
    </row>
    <row r="402" spans="1:4" s="3" customFormat="1" ht="12.75">
      <c r="A402" s="6"/>
      <c r="D402" s="8"/>
    </row>
    <row r="403" spans="1:4" s="3" customFormat="1" ht="12.75">
      <c r="A403" s="6"/>
      <c r="D403" s="8"/>
    </row>
    <row r="404" spans="1:4" s="3" customFormat="1" ht="12.75">
      <c r="A404" s="6"/>
      <c r="D404" s="8"/>
    </row>
    <row r="405" spans="1:4" s="3" customFormat="1" ht="12.75">
      <c r="A405" s="6"/>
      <c r="D405" s="8"/>
    </row>
    <row r="406" spans="1:4" s="3" customFormat="1" ht="12.75">
      <c r="A406" s="6"/>
      <c r="D406" s="8"/>
    </row>
    <row r="407" spans="1:4" s="3" customFormat="1" ht="12.75">
      <c r="A407" s="6"/>
      <c r="D407" s="8"/>
    </row>
    <row r="408" spans="1:4" s="3" customFormat="1" ht="12.75">
      <c r="A408" s="6"/>
      <c r="D408" s="8"/>
    </row>
    <row r="409" spans="1:4" s="3" customFormat="1" ht="12.75">
      <c r="A409" s="6"/>
      <c r="D409" s="8"/>
    </row>
    <row r="410" spans="1:4" s="3" customFormat="1" ht="12.75">
      <c r="A410" s="6"/>
      <c r="D410" s="8"/>
    </row>
    <row r="411" spans="1:4" s="3" customFormat="1" ht="12.75">
      <c r="A411" s="6"/>
      <c r="D411" s="8"/>
    </row>
    <row r="412" spans="1:4" s="3" customFormat="1" ht="12.75">
      <c r="A412" s="6"/>
      <c r="D412" s="8"/>
    </row>
    <row r="413" spans="1:4" s="3" customFormat="1" ht="12.75">
      <c r="A413" s="6"/>
      <c r="D413" s="8"/>
    </row>
    <row r="414" spans="1:4" s="3" customFormat="1" ht="12.75">
      <c r="A414" s="6"/>
      <c r="D414" s="8"/>
    </row>
    <row r="415" spans="1:4" s="3" customFormat="1" ht="12.75">
      <c r="A415" s="6"/>
      <c r="D415" s="8"/>
    </row>
    <row r="416" spans="1:4" s="3" customFormat="1" ht="12.75">
      <c r="A416" s="6"/>
      <c r="D416" s="8"/>
    </row>
    <row r="417" spans="1:4" s="3" customFormat="1" ht="12.75">
      <c r="A417" s="6"/>
      <c r="D417" s="8"/>
    </row>
    <row r="418" spans="1:4" s="3" customFormat="1" ht="12.75">
      <c r="A418" s="6"/>
      <c r="D418" s="8"/>
    </row>
    <row r="419" spans="1:4" s="3" customFormat="1" ht="12.75">
      <c r="A419" s="6"/>
      <c r="D419" s="8"/>
    </row>
    <row r="420" spans="1:4" s="3" customFormat="1" ht="12.75">
      <c r="A420" s="6"/>
      <c r="D420" s="8"/>
    </row>
    <row r="421" spans="1:4" s="3" customFormat="1" ht="12.75">
      <c r="A421" s="6"/>
      <c r="D421" s="8"/>
    </row>
    <row r="422" spans="1:4" s="3" customFormat="1" ht="12.75">
      <c r="A422" s="6"/>
      <c r="D422" s="8"/>
    </row>
    <row r="423" spans="1:4" s="3" customFormat="1" ht="12.75">
      <c r="A423" s="6"/>
      <c r="D423" s="8"/>
    </row>
    <row r="424" spans="1:4" s="3" customFormat="1" ht="12.75">
      <c r="A424" s="6"/>
      <c r="D424" s="8"/>
    </row>
    <row r="425" spans="1:4" s="3" customFormat="1" ht="12.75">
      <c r="A425" s="6"/>
      <c r="D425" s="8"/>
    </row>
    <row r="426" spans="1:4" s="3" customFormat="1" ht="12.75">
      <c r="A426" s="6"/>
      <c r="D426" s="8"/>
    </row>
    <row r="427" spans="1:4" s="3" customFormat="1" ht="12.75">
      <c r="A427" s="6"/>
      <c r="D427" s="8"/>
    </row>
    <row r="428" spans="1:4" s="3" customFormat="1" ht="12.75">
      <c r="A428" s="6"/>
      <c r="D428" s="8"/>
    </row>
    <row r="429" spans="1:4" s="3" customFormat="1" ht="12.75">
      <c r="A429" s="6"/>
      <c r="D429" s="8"/>
    </row>
    <row r="430" spans="1:4" s="3" customFormat="1" ht="12.75">
      <c r="A430" s="6"/>
      <c r="D430" s="8"/>
    </row>
    <row r="431" spans="1:4" s="3" customFormat="1" ht="12.75">
      <c r="A431" s="6"/>
      <c r="D431" s="8"/>
    </row>
    <row r="432" spans="1:4" s="3" customFormat="1" ht="12.75">
      <c r="A432" s="6"/>
      <c r="D432" s="8"/>
    </row>
    <row r="433" spans="1:4" s="3" customFormat="1" ht="12.75">
      <c r="A433" s="6"/>
      <c r="D433" s="8"/>
    </row>
    <row r="434" spans="1:4" s="3" customFormat="1" ht="12.75">
      <c r="A434" s="6"/>
      <c r="D434" s="8"/>
    </row>
    <row r="435" spans="1:4" s="3" customFormat="1" ht="12.75">
      <c r="A435" s="6"/>
      <c r="D435" s="8"/>
    </row>
    <row r="436" spans="1:4" s="3" customFormat="1" ht="12.75">
      <c r="A436" s="6"/>
      <c r="D436" s="8"/>
    </row>
    <row r="437" spans="1:4" s="3" customFormat="1" ht="12.75">
      <c r="A437" s="6"/>
      <c r="D437" s="8"/>
    </row>
    <row r="438" spans="1:4" s="3" customFormat="1" ht="12.75">
      <c r="A438" s="6"/>
      <c r="D438" s="8"/>
    </row>
    <row r="439" spans="1:4" s="3" customFormat="1" ht="12.75">
      <c r="A439" s="6"/>
      <c r="D439" s="8"/>
    </row>
    <row r="440" spans="1:4" s="3" customFormat="1" ht="12.75">
      <c r="A440" s="6"/>
      <c r="D440" s="8"/>
    </row>
    <row r="441" spans="1:4" s="3" customFormat="1" ht="12.75">
      <c r="A441" s="6"/>
      <c r="D441" s="8"/>
    </row>
    <row r="442" spans="1:4" s="3" customFormat="1" ht="12.75">
      <c r="A442" s="6"/>
      <c r="D442" s="8"/>
    </row>
    <row r="443" spans="1:4" s="3" customFormat="1" ht="12.75">
      <c r="A443" s="6"/>
      <c r="D443" s="8"/>
    </row>
    <row r="444" spans="1:4" s="3" customFormat="1" ht="12.75">
      <c r="A444" s="6"/>
      <c r="D444" s="8"/>
    </row>
    <row r="445" spans="1:4" s="3" customFormat="1" ht="12.75">
      <c r="A445" s="6"/>
      <c r="D445" s="8"/>
    </row>
    <row r="446" spans="1:4" s="3" customFormat="1" ht="12.75">
      <c r="A446" s="6"/>
      <c r="D446" s="8"/>
    </row>
    <row r="447" spans="1:4" s="3" customFormat="1" ht="12.75">
      <c r="A447" s="6"/>
      <c r="D447" s="8"/>
    </row>
    <row r="448" spans="1:4" s="3" customFormat="1" ht="12.75">
      <c r="A448" s="6"/>
      <c r="D448" s="8"/>
    </row>
    <row r="449" spans="1:4" s="3" customFormat="1" ht="12.75">
      <c r="A449" s="6"/>
      <c r="D449" s="8"/>
    </row>
    <row r="450" spans="1:4" s="3" customFormat="1" ht="12.75">
      <c r="A450" s="6"/>
      <c r="D450" s="8"/>
    </row>
    <row r="451" spans="1:4" s="3" customFormat="1" ht="12.75">
      <c r="A451" s="6"/>
      <c r="D451" s="8"/>
    </row>
    <row r="452" spans="1:4" s="3" customFormat="1" ht="12.75">
      <c r="A452" s="6"/>
      <c r="D452" s="8"/>
    </row>
    <row r="453" spans="1:4" s="3" customFormat="1" ht="12.75">
      <c r="A453" s="6"/>
      <c r="D453" s="8"/>
    </row>
    <row r="454" spans="1:4" s="3" customFormat="1" ht="12.75">
      <c r="A454" s="6"/>
      <c r="D454" s="8"/>
    </row>
    <row r="455" spans="1:4" s="3" customFormat="1" ht="12.75">
      <c r="A455" s="6"/>
      <c r="D455" s="8"/>
    </row>
    <row r="456" spans="1:4" s="3" customFormat="1" ht="12.75">
      <c r="A456" s="6"/>
      <c r="D456" s="8"/>
    </row>
    <row r="457" spans="1:4" s="3" customFormat="1" ht="12.75">
      <c r="A457" s="6"/>
      <c r="D457" s="8"/>
    </row>
    <row r="458" spans="1:4" s="3" customFormat="1" ht="12.75">
      <c r="A458" s="6"/>
      <c r="D458" s="8"/>
    </row>
    <row r="459" spans="1:4" s="3" customFormat="1" ht="12.75">
      <c r="A459" s="6"/>
      <c r="D459" s="8"/>
    </row>
    <row r="460" spans="1:4" s="3" customFormat="1" ht="12.75">
      <c r="A460" s="6"/>
      <c r="D460" s="8"/>
    </row>
    <row r="461" spans="1:4" s="3" customFormat="1" ht="12.75">
      <c r="A461" s="6"/>
      <c r="D461" s="8"/>
    </row>
    <row r="462" spans="1:4" s="3" customFormat="1" ht="12.75">
      <c r="A462" s="6"/>
      <c r="D462" s="8"/>
    </row>
    <row r="463" spans="1:4" s="3" customFormat="1" ht="12.75">
      <c r="A463" s="6"/>
      <c r="D463" s="8"/>
    </row>
    <row r="464" spans="1:4" s="3" customFormat="1" ht="12.75">
      <c r="A464" s="6"/>
      <c r="D464" s="8"/>
    </row>
    <row r="465" spans="1:9" s="3" customFormat="1" ht="12.75">
      <c r="A465" s="6"/>
      <c r="D465" s="8"/>
    </row>
    <row r="466" spans="1:9" s="3" customFormat="1" ht="12.75">
      <c r="A466" s="6"/>
      <c r="D466" s="8"/>
    </row>
    <row r="467" spans="1:9" s="3" customFormat="1" ht="12.75">
      <c r="A467" s="6"/>
      <c r="D467" s="8"/>
    </row>
    <row r="468" spans="1:9" s="3" customFormat="1">
      <c r="A468" s="7"/>
      <c r="B468" s="2"/>
      <c r="C468" s="1"/>
      <c r="D468" s="4"/>
      <c r="E468" s="1"/>
      <c r="F468" s="1"/>
      <c r="G468" s="1"/>
      <c r="H468" s="1"/>
      <c r="I468" s="1"/>
    </row>
    <row r="469" spans="1:9" s="3" customFormat="1">
      <c r="A469" s="7"/>
      <c r="B469" s="2"/>
      <c r="C469" s="1"/>
      <c r="D469" s="4"/>
      <c r="E469" s="1"/>
      <c r="F469" s="1"/>
      <c r="G469" s="1"/>
      <c r="H469" s="1"/>
      <c r="I469" s="1"/>
    </row>
    <row r="470" spans="1:9" s="3" customFormat="1">
      <c r="A470" s="7"/>
      <c r="B470" s="2"/>
      <c r="C470" s="1"/>
      <c r="D470" s="4"/>
      <c r="E470" s="1"/>
      <c r="F470" s="1"/>
      <c r="G470" s="1"/>
      <c r="H470" s="1"/>
      <c r="I470" s="1"/>
    </row>
  </sheetData>
  <mergeCells count="3">
    <mergeCell ref="B1:E1"/>
    <mergeCell ref="B4:E4"/>
    <mergeCell ref="A4:A5"/>
  </mergeCells>
  <printOptions horizontalCentered="1"/>
  <pageMargins left="0.24" right="0.34" top="0.51" bottom="0.51" header="0" footer="0.24"/>
  <pageSetup paperSize="9" scale="52" fitToHeight="6" orientation="portrait" r:id="rId1"/>
  <headerFooter alignWithMargins="0">
    <oddFooter>Page &amp;P of &amp;N</oddFooter>
  </headerFooter>
  <ignoredErrors>
    <ignoredError sqref="A1 A56:A65481 A3:A5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  <pageSetUpPr fitToPage="1"/>
  </sheetPr>
  <dimension ref="A1:I470"/>
  <sheetViews>
    <sheetView showGridLines="0" zoomScale="80" zoomScaleNormal="80" workbookViewId="0">
      <selection activeCell="G6" sqref="G6"/>
    </sheetView>
  </sheetViews>
  <sheetFormatPr defaultColWidth="10.28515625" defaultRowHeight="14.25"/>
  <cols>
    <col min="1" max="1" width="6.140625" style="7" customWidth="1"/>
    <col min="2" max="2" width="70" style="2" customWidth="1"/>
    <col min="3" max="3" width="49.7109375" style="7" customWidth="1"/>
    <col min="4" max="4" width="17.5703125" style="4" customWidth="1"/>
    <col min="5" max="5" width="24" style="1" customWidth="1"/>
    <col min="6" max="6" width="30.42578125" style="1" customWidth="1"/>
    <col min="7" max="7" width="18.5703125" style="1" bestFit="1" customWidth="1"/>
    <col min="8" max="8" width="18.85546875" style="1" customWidth="1"/>
    <col min="9" max="9" width="62.7109375" style="1" customWidth="1"/>
    <col min="10" max="16384" width="10.28515625" style="1"/>
  </cols>
  <sheetData>
    <row r="1" spans="1:9" ht="69.75" customHeight="1">
      <c r="A1" s="5"/>
      <c r="B1" s="49" t="s">
        <v>0</v>
      </c>
      <c r="C1" s="49"/>
      <c r="D1" s="49"/>
      <c r="E1" s="49"/>
    </row>
    <row r="2" spans="1:9" ht="20.25" customHeight="1">
      <c r="A2" s="23" t="s">
        <v>1</v>
      </c>
      <c r="B2" s="23"/>
      <c r="C2" s="23" t="s">
        <v>2</v>
      </c>
      <c r="D2" s="23"/>
      <c r="E2" s="23"/>
    </row>
    <row r="3" spans="1:9" s="2" customFormat="1" ht="15" customHeight="1" thickBot="1">
      <c r="A3" s="6"/>
      <c r="B3" s="3"/>
      <c r="C3" s="6"/>
      <c r="D3" s="8"/>
      <c r="E3" s="3"/>
      <c r="F3" s="3"/>
    </row>
    <row r="4" spans="1:9" s="2" customFormat="1" ht="30" customHeight="1">
      <c r="A4" s="53"/>
      <c r="B4" s="50" t="s">
        <v>70</v>
      </c>
      <c r="C4" s="51"/>
      <c r="D4" s="51"/>
      <c r="E4" s="52"/>
    </row>
    <row r="5" spans="1:9" s="2" customFormat="1" ht="42.75">
      <c r="A5" s="54"/>
      <c r="B5" s="26" t="s">
        <v>4</v>
      </c>
      <c r="C5" s="32" t="s">
        <v>5</v>
      </c>
      <c r="D5" s="9" t="s">
        <v>6</v>
      </c>
      <c r="E5" s="10" t="s">
        <v>7</v>
      </c>
      <c r="F5" s="24" t="s">
        <v>8</v>
      </c>
      <c r="G5" s="9" t="s">
        <v>9</v>
      </c>
      <c r="H5" s="9" t="s">
        <v>10</v>
      </c>
      <c r="I5" s="9" t="s">
        <v>11</v>
      </c>
    </row>
    <row r="6" spans="1:9" s="2" customFormat="1" ht="85.5">
      <c r="A6" s="29" t="s">
        <v>71</v>
      </c>
      <c r="B6" s="12" t="s">
        <v>72</v>
      </c>
      <c r="C6" s="34" t="s">
        <v>73</v>
      </c>
      <c r="D6" s="13" t="s">
        <v>74</v>
      </c>
      <c r="E6" s="14" t="s">
        <v>16</v>
      </c>
      <c r="F6" s="25" t="s">
        <v>17</v>
      </c>
      <c r="G6" s="11" t="s">
        <v>75</v>
      </c>
      <c r="H6" s="11" t="s">
        <v>76</v>
      </c>
      <c r="I6" s="11" t="s">
        <v>77</v>
      </c>
    </row>
    <row r="7" spans="1:9" s="2" customFormat="1">
      <c r="A7" s="29" t="s">
        <v>78</v>
      </c>
      <c r="B7" s="27"/>
      <c r="C7" s="31"/>
      <c r="D7" s="13"/>
      <c r="E7" s="14"/>
      <c r="F7" s="25"/>
      <c r="G7" s="11"/>
      <c r="H7" s="11"/>
      <c r="I7" s="20"/>
    </row>
    <row r="8" spans="1:9" s="2" customFormat="1">
      <c r="A8" s="29" t="s">
        <v>79</v>
      </c>
      <c r="B8" s="27"/>
      <c r="C8" s="33"/>
      <c r="D8" s="13"/>
      <c r="E8" s="14"/>
      <c r="F8" s="25"/>
      <c r="G8" s="11"/>
      <c r="H8" s="19"/>
      <c r="I8" s="22"/>
    </row>
    <row r="9" spans="1:9" s="2" customFormat="1">
      <c r="A9" s="29" t="s">
        <v>80</v>
      </c>
      <c r="B9" s="27"/>
      <c r="C9" s="34"/>
      <c r="D9" s="13"/>
      <c r="E9" s="14"/>
      <c r="F9" s="25"/>
      <c r="G9" s="11"/>
      <c r="H9" s="19"/>
      <c r="I9" s="22"/>
    </row>
    <row r="10" spans="1:9" s="2" customFormat="1">
      <c r="A10" s="29" t="s">
        <v>81</v>
      </c>
      <c r="B10" s="27"/>
      <c r="C10" s="34"/>
      <c r="D10" s="13"/>
      <c r="E10" s="14"/>
      <c r="F10" s="25"/>
      <c r="G10" s="11"/>
      <c r="H10" s="11"/>
      <c r="I10" s="21"/>
    </row>
    <row r="11" spans="1:9" s="2" customFormat="1">
      <c r="A11" s="29" t="s">
        <v>82</v>
      </c>
      <c r="B11" s="27"/>
      <c r="C11" s="34"/>
      <c r="D11" s="13"/>
      <c r="E11" s="14"/>
      <c r="F11" s="25"/>
      <c r="G11" s="11"/>
      <c r="H11" s="11"/>
      <c r="I11" s="11"/>
    </row>
    <row r="12" spans="1:9" s="2" customFormat="1">
      <c r="A12" s="29" t="s">
        <v>83</v>
      </c>
      <c r="B12" s="27"/>
      <c r="C12" s="34"/>
      <c r="D12" s="13"/>
      <c r="E12" s="14"/>
      <c r="F12" s="25"/>
      <c r="G12" s="11"/>
      <c r="H12" s="11"/>
      <c r="I12" s="11"/>
    </row>
    <row r="13" spans="1:9" s="2" customFormat="1">
      <c r="A13" s="29" t="s">
        <v>84</v>
      </c>
      <c r="B13" s="27"/>
      <c r="C13" s="34"/>
      <c r="D13" s="13"/>
      <c r="E13" s="14"/>
      <c r="F13" s="25"/>
      <c r="G13" s="11"/>
      <c r="H13" s="11"/>
      <c r="I13" s="11"/>
    </row>
    <row r="14" spans="1:9" s="2" customFormat="1">
      <c r="A14" s="29" t="s">
        <v>85</v>
      </c>
      <c r="B14" s="27"/>
      <c r="C14" s="34"/>
      <c r="D14" s="13"/>
      <c r="E14" s="14"/>
      <c r="F14" s="25"/>
      <c r="G14" s="11"/>
      <c r="H14" s="11"/>
      <c r="I14" s="11"/>
    </row>
    <row r="15" spans="1:9" s="2" customFormat="1">
      <c r="A15" s="29" t="s">
        <v>86</v>
      </c>
      <c r="B15" s="27"/>
      <c r="C15" s="34"/>
      <c r="D15" s="13"/>
      <c r="E15" s="14"/>
      <c r="F15" s="25"/>
      <c r="G15" s="11"/>
      <c r="H15" s="11"/>
      <c r="I15" s="11"/>
    </row>
    <row r="16" spans="1:9" s="2" customFormat="1">
      <c r="A16" s="29" t="s">
        <v>87</v>
      </c>
      <c r="B16" s="40"/>
      <c r="C16" s="41"/>
      <c r="D16" s="42"/>
      <c r="E16" s="43"/>
      <c r="F16" s="25"/>
      <c r="G16" s="11"/>
      <c r="H16" s="11"/>
      <c r="I16" s="11"/>
    </row>
    <row r="17" spans="1:9" s="2" customFormat="1">
      <c r="A17" s="29" t="s">
        <v>88</v>
      </c>
      <c r="B17" s="40"/>
      <c r="C17" s="41"/>
      <c r="D17" s="42"/>
      <c r="E17" s="43"/>
      <c r="F17" s="25"/>
      <c r="G17" s="11"/>
      <c r="H17" s="11"/>
      <c r="I17" s="11"/>
    </row>
    <row r="18" spans="1:9" s="2" customFormat="1">
      <c r="A18" s="29" t="s">
        <v>89</v>
      </c>
      <c r="B18" s="40"/>
      <c r="C18" s="41"/>
      <c r="D18" s="42"/>
      <c r="E18" s="43"/>
      <c r="F18" s="25"/>
      <c r="G18" s="11"/>
      <c r="H18" s="11"/>
      <c r="I18" s="11"/>
    </row>
    <row r="19" spans="1:9" s="2" customFormat="1">
      <c r="A19" s="29" t="s">
        <v>90</v>
      </c>
      <c r="B19" s="40"/>
      <c r="C19" s="41"/>
      <c r="D19" s="42"/>
      <c r="E19" s="43"/>
      <c r="F19" s="25"/>
      <c r="G19" s="11"/>
      <c r="H19" s="11"/>
      <c r="I19" s="11"/>
    </row>
    <row r="20" spans="1:9" s="2" customFormat="1">
      <c r="A20" s="29" t="s">
        <v>91</v>
      </c>
      <c r="B20" s="40"/>
      <c r="C20" s="41"/>
      <c r="D20" s="42"/>
      <c r="E20" s="43"/>
      <c r="F20" s="25"/>
      <c r="G20" s="11"/>
      <c r="H20" s="11"/>
      <c r="I20" s="11"/>
    </row>
    <row r="21" spans="1:9" s="2" customFormat="1">
      <c r="A21" s="29" t="s">
        <v>92</v>
      </c>
      <c r="B21" s="40"/>
      <c r="C21" s="41"/>
      <c r="D21" s="42"/>
      <c r="E21" s="43"/>
      <c r="F21" s="25"/>
      <c r="G21" s="11"/>
      <c r="H21" s="11"/>
      <c r="I21" s="11"/>
    </row>
    <row r="22" spans="1:9" s="2" customFormat="1">
      <c r="A22" s="29" t="s">
        <v>93</v>
      </c>
      <c r="B22" s="40"/>
      <c r="C22" s="41"/>
      <c r="D22" s="42"/>
      <c r="E22" s="43"/>
      <c r="F22" s="25"/>
      <c r="G22" s="11"/>
      <c r="H22" s="11"/>
      <c r="I22" s="11"/>
    </row>
    <row r="23" spans="1:9" s="2" customFormat="1">
      <c r="A23" s="29" t="s">
        <v>94</v>
      </c>
      <c r="B23" s="40"/>
      <c r="C23" s="41"/>
      <c r="D23" s="42"/>
      <c r="E23" s="43"/>
      <c r="F23" s="25"/>
      <c r="G23" s="11"/>
      <c r="H23" s="11"/>
      <c r="I23" s="11"/>
    </row>
    <row r="24" spans="1:9" s="2" customFormat="1">
      <c r="A24" s="29" t="s">
        <v>95</v>
      </c>
      <c r="B24" s="40"/>
      <c r="C24" s="41"/>
      <c r="D24" s="42"/>
      <c r="E24" s="43"/>
      <c r="F24" s="25"/>
      <c r="G24" s="11"/>
      <c r="H24" s="11"/>
      <c r="I24" s="11"/>
    </row>
    <row r="25" spans="1:9" s="2" customFormat="1">
      <c r="A25" s="29" t="s">
        <v>96</v>
      </c>
      <c r="B25" s="40"/>
      <c r="C25" s="41"/>
      <c r="D25" s="42"/>
      <c r="E25" s="43"/>
      <c r="F25" s="25"/>
      <c r="G25" s="11"/>
      <c r="H25" s="11"/>
      <c r="I25" s="11"/>
    </row>
    <row r="26" spans="1:9" s="2" customFormat="1">
      <c r="A26" s="29" t="s">
        <v>97</v>
      </c>
      <c r="B26" s="40"/>
      <c r="C26" s="41"/>
      <c r="D26" s="42"/>
      <c r="E26" s="43"/>
      <c r="F26" s="25"/>
      <c r="G26" s="11"/>
      <c r="H26" s="11"/>
      <c r="I26" s="11"/>
    </row>
    <row r="27" spans="1:9" s="2" customFormat="1">
      <c r="A27" s="29" t="s">
        <v>98</v>
      </c>
      <c r="B27" s="40"/>
      <c r="C27" s="41"/>
      <c r="D27" s="42"/>
      <c r="E27" s="43"/>
      <c r="F27" s="25"/>
      <c r="G27" s="11"/>
      <c r="H27" s="11"/>
      <c r="I27" s="11"/>
    </row>
    <row r="28" spans="1:9" s="2" customFormat="1">
      <c r="A28" s="29" t="s">
        <v>99</v>
      </c>
      <c r="B28" s="40"/>
      <c r="C28" s="41"/>
      <c r="D28" s="42"/>
      <c r="E28" s="43"/>
      <c r="F28" s="25"/>
      <c r="G28" s="11"/>
      <c r="H28" s="11"/>
      <c r="I28" s="11"/>
    </row>
    <row r="29" spans="1:9" s="2" customFormat="1">
      <c r="A29" s="29" t="s">
        <v>100</v>
      </c>
      <c r="B29" s="40"/>
      <c r="C29" s="41"/>
      <c r="D29" s="42"/>
      <c r="E29" s="43"/>
      <c r="F29" s="25"/>
      <c r="G29" s="11"/>
      <c r="H29" s="11"/>
      <c r="I29" s="11"/>
    </row>
    <row r="30" spans="1:9" s="2" customFormat="1">
      <c r="A30" s="29" t="s">
        <v>101</v>
      </c>
      <c r="B30" s="40"/>
      <c r="C30" s="41"/>
      <c r="D30" s="42"/>
      <c r="E30" s="43"/>
      <c r="F30" s="25"/>
      <c r="G30" s="11"/>
      <c r="H30" s="11"/>
      <c r="I30" s="11"/>
    </row>
    <row r="31" spans="1:9" s="2" customFormat="1">
      <c r="A31" s="29" t="s">
        <v>102</v>
      </c>
      <c r="B31" s="40"/>
      <c r="C31" s="41"/>
      <c r="D31" s="42"/>
      <c r="E31" s="43"/>
      <c r="F31" s="25"/>
      <c r="G31" s="11"/>
      <c r="H31" s="11"/>
      <c r="I31" s="11"/>
    </row>
    <row r="32" spans="1:9" s="2" customFormat="1">
      <c r="A32" s="29" t="s">
        <v>103</v>
      </c>
      <c r="B32" s="40"/>
      <c r="C32" s="41"/>
      <c r="D32" s="42"/>
      <c r="E32" s="43"/>
      <c r="F32" s="25"/>
      <c r="G32" s="11"/>
      <c r="H32" s="11"/>
      <c r="I32" s="11"/>
    </row>
    <row r="33" spans="1:9" s="2" customFormat="1">
      <c r="A33" s="29" t="s">
        <v>104</v>
      </c>
      <c r="B33" s="40"/>
      <c r="C33" s="41"/>
      <c r="D33" s="42"/>
      <c r="E33" s="43"/>
      <c r="F33" s="25"/>
      <c r="G33" s="11"/>
      <c r="H33" s="11"/>
      <c r="I33" s="11"/>
    </row>
    <row r="34" spans="1:9" s="2" customFormat="1">
      <c r="A34" s="29" t="s">
        <v>105</v>
      </c>
      <c r="B34" s="40"/>
      <c r="C34" s="41"/>
      <c r="D34" s="42"/>
      <c r="E34" s="43"/>
      <c r="F34" s="25"/>
      <c r="G34" s="11"/>
      <c r="H34" s="11"/>
      <c r="I34" s="11"/>
    </row>
    <row r="35" spans="1:9" s="2" customFormat="1">
      <c r="A35" s="29" t="s">
        <v>106</v>
      </c>
      <c r="B35" s="40"/>
      <c r="C35" s="41"/>
      <c r="D35" s="42"/>
      <c r="E35" s="43"/>
      <c r="F35" s="25"/>
      <c r="G35" s="11"/>
      <c r="H35" s="11"/>
      <c r="I35" s="11"/>
    </row>
    <row r="36" spans="1:9" s="2" customFormat="1">
      <c r="A36" s="29" t="s">
        <v>107</v>
      </c>
      <c r="B36" s="40"/>
      <c r="C36" s="41"/>
      <c r="D36" s="42"/>
      <c r="E36" s="43"/>
      <c r="F36" s="25"/>
      <c r="G36" s="11"/>
      <c r="H36" s="11"/>
      <c r="I36" s="11"/>
    </row>
    <row r="37" spans="1:9" s="2" customFormat="1">
      <c r="A37" s="29" t="s">
        <v>108</v>
      </c>
      <c r="B37" s="40"/>
      <c r="C37" s="41"/>
      <c r="D37" s="42"/>
      <c r="E37" s="43"/>
      <c r="F37" s="25"/>
      <c r="G37" s="11"/>
      <c r="H37" s="11"/>
      <c r="I37" s="11"/>
    </row>
    <row r="38" spans="1:9" s="2" customFormat="1">
      <c r="A38" s="29" t="s">
        <v>109</v>
      </c>
      <c r="B38" s="40"/>
      <c r="C38" s="41"/>
      <c r="D38" s="42"/>
      <c r="E38" s="43"/>
      <c r="F38" s="25"/>
      <c r="G38" s="11"/>
      <c r="H38" s="11"/>
      <c r="I38" s="11"/>
    </row>
    <row r="39" spans="1:9" s="2" customFormat="1">
      <c r="A39" s="29" t="s">
        <v>110</v>
      </c>
      <c r="B39" s="40"/>
      <c r="C39" s="41"/>
      <c r="D39" s="42"/>
      <c r="E39" s="43"/>
      <c r="F39" s="25"/>
      <c r="G39" s="11"/>
      <c r="H39" s="11"/>
      <c r="I39" s="11"/>
    </row>
    <row r="40" spans="1:9" s="2" customFormat="1">
      <c r="A40" s="29" t="s">
        <v>111</v>
      </c>
      <c r="B40" s="40"/>
      <c r="C40" s="41"/>
      <c r="D40" s="42"/>
      <c r="E40" s="43"/>
      <c r="F40" s="25"/>
      <c r="G40" s="11"/>
      <c r="H40" s="11"/>
      <c r="I40" s="11"/>
    </row>
    <row r="41" spans="1:9" s="2" customFormat="1">
      <c r="A41" s="29" t="s">
        <v>112</v>
      </c>
      <c r="B41" s="40"/>
      <c r="C41" s="41"/>
      <c r="D41" s="42"/>
      <c r="E41" s="43"/>
      <c r="F41" s="25"/>
      <c r="G41" s="11"/>
      <c r="H41" s="11"/>
      <c r="I41" s="11"/>
    </row>
    <row r="42" spans="1:9" s="2" customFormat="1">
      <c r="A42" s="29" t="s">
        <v>113</v>
      </c>
      <c r="B42" s="40"/>
      <c r="C42" s="41"/>
      <c r="D42" s="42"/>
      <c r="E42" s="43"/>
      <c r="F42" s="25"/>
      <c r="G42" s="11"/>
      <c r="H42" s="11"/>
      <c r="I42" s="11"/>
    </row>
    <row r="43" spans="1:9" s="2" customFormat="1">
      <c r="A43" s="29" t="s">
        <v>114</v>
      </c>
      <c r="B43" s="40"/>
      <c r="C43" s="41"/>
      <c r="D43" s="42"/>
      <c r="E43" s="43"/>
      <c r="F43" s="25"/>
      <c r="G43" s="11"/>
      <c r="H43" s="11"/>
      <c r="I43" s="11"/>
    </row>
    <row r="44" spans="1:9" s="2" customFormat="1">
      <c r="A44" s="29" t="s">
        <v>115</v>
      </c>
      <c r="B44" s="40"/>
      <c r="C44" s="41"/>
      <c r="D44" s="42"/>
      <c r="E44" s="43"/>
      <c r="F44" s="25"/>
      <c r="G44" s="11"/>
      <c r="H44" s="11"/>
      <c r="I44" s="11"/>
    </row>
    <row r="45" spans="1:9" s="2" customFormat="1">
      <c r="A45" s="29" t="s">
        <v>116</v>
      </c>
      <c r="B45" s="40"/>
      <c r="C45" s="41"/>
      <c r="D45" s="42"/>
      <c r="E45" s="43"/>
      <c r="F45" s="25"/>
      <c r="G45" s="11"/>
      <c r="H45" s="11"/>
      <c r="I45" s="11"/>
    </row>
    <row r="46" spans="1:9" s="2" customFormat="1">
      <c r="A46" s="29" t="s">
        <v>117</v>
      </c>
      <c r="B46" s="40"/>
      <c r="C46" s="41"/>
      <c r="D46" s="42"/>
      <c r="E46" s="43"/>
      <c r="F46" s="25"/>
      <c r="G46" s="11"/>
      <c r="H46" s="11"/>
      <c r="I46" s="11"/>
    </row>
    <row r="47" spans="1:9" s="2" customFormat="1">
      <c r="A47" s="29" t="s">
        <v>118</v>
      </c>
      <c r="B47" s="40"/>
      <c r="C47" s="41"/>
      <c r="D47" s="42"/>
      <c r="E47" s="43"/>
      <c r="F47" s="25"/>
      <c r="G47" s="11"/>
      <c r="H47" s="11"/>
      <c r="I47" s="11"/>
    </row>
    <row r="48" spans="1:9" s="2" customFormat="1">
      <c r="A48" s="29" t="s">
        <v>119</v>
      </c>
      <c r="B48" s="40"/>
      <c r="C48" s="41"/>
      <c r="D48" s="42"/>
      <c r="E48" s="43"/>
      <c r="F48" s="25"/>
      <c r="G48" s="11"/>
      <c r="H48" s="11"/>
      <c r="I48" s="11"/>
    </row>
    <row r="49" spans="1:9" s="2" customFormat="1">
      <c r="A49" s="29" t="s">
        <v>120</v>
      </c>
      <c r="B49" s="40"/>
      <c r="C49" s="41"/>
      <c r="D49" s="42"/>
      <c r="E49" s="43"/>
      <c r="F49" s="25"/>
      <c r="G49" s="11"/>
      <c r="H49" s="11"/>
      <c r="I49" s="11"/>
    </row>
    <row r="50" spans="1:9" s="2" customFormat="1">
      <c r="A50" s="29" t="s">
        <v>121</v>
      </c>
      <c r="B50" s="40"/>
      <c r="C50" s="41"/>
      <c r="D50" s="42"/>
      <c r="E50" s="43"/>
      <c r="F50" s="25"/>
      <c r="G50" s="11"/>
      <c r="H50" s="11"/>
      <c r="I50" s="11"/>
    </row>
    <row r="51" spans="1:9" s="2" customFormat="1">
      <c r="A51" s="29" t="s">
        <v>122</v>
      </c>
      <c r="B51" s="40"/>
      <c r="C51" s="41"/>
      <c r="D51" s="42"/>
      <c r="E51" s="43"/>
      <c r="F51" s="25"/>
      <c r="G51" s="11"/>
      <c r="H51" s="11"/>
      <c r="I51" s="11"/>
    </row>
    <row r="52" spans="1:9" s="2" customFormat="1">
      <c r="A52" s="29" t="s">
        <v>123</v>
      </c>
      <c r="B52" s="40"/>
      <c r="C52" s="41"/>
      <c r="D52" s="42"/>
      <c r="E52" s="43"/>
      <c r="F52" s="25"/>
      <c r="G52" s="11"/>
      <c r="H52" s="11"/>
      <c r="I52" s="11"/>
    </row>
    <row r="53" spans="1:9" s="2" customFormat="1">
      <c r="A53" s="29" t="s">
        <v>124</v>
      </c>
      <c r="B53" s="40"/>
      <c r="C53" s="41"/>
      <c r="D53" s="42"/>
      <c r="E53" s="43"/>
      <c r="F53" s="25"/>
      <c r="G53" s="11"/>
      <c r="H53" s="11"/>
      <c r="I53" s="11"/>
    </row>
    <row r="54" spans="1:9" s="2" customFormat="1">
      <c r="A54" s="29" t="s">
        <v>125</v>
      </c>
      <c r="B54" s="40"/>
      <c r="C54" s="41"/>
      <c r="D54" s="42"/>
      <c r="E54" s="43"/>
      <c r="F54" s="25"/>
      <c r="G54" s="11"/>
      <c r="H54" s="11"/>
      <c r="I54" s="11"/>
    </row>
    <row r="55" spans="1:9" s="2" customFormat="1" ht="15" thickBot="1">
      <c r="A55" s="30" t="s">
        <v>126</v>
      </c>
      <c r="B55" s="28"/>
      <c r="C55" s="35"/>
      <c r="D55" s="17"/>
      <c r="E55" s="18"/>
      <c r="F55" s="25"/>
      <c r="G55" s="11"/>
      <c r="H55" s="11"/>
      <c r="I55" s="11"/>
    </row>
    <row r="56" spans="1:9" s="3" customFormat="1" ht="12.75">
      <c r="A56" s="6"/>
      <c r="C56" s="6"/>
      <c r="D56" s="8"/>
    </row>
    <row r="57" spans="1:9" s="3" customFormat="1" ht="12.75">
      <c r="A57" s="6"/>
      <c r="C57" s="6"/>
      <c r="D57" s="8"/>
    </row>
    <row r="58" spans="1:9" s="3" customFormat="1" ht="12.75">
      <c r="A58" s="6"/>
      <c r="C58" s="6"/>
      <c r="D58" s="8"/>
    </row>
    <row r="59" spans="1:9" s="3" customFormat="1" ht="12.75">
      <c r="A59" s="6"/>
      <c r="C59" s="6"/>
      <c r="D59" s="8"/>
    </row>
    <row r="60" spans="1:9" s="3" customFormat="1" ht="12.75">
      <c r="A60" s="6"/>
      <c r="C60" s="6"/>
      <c r="D60" s="8"/>
    </row>
    <row r="61" spans="1:9" s="3" customFormat="1" ht="12.75">
      <c r="A61" s="6"/>
      <c r="C61" s="6"/>
      <c r="D61" s="8"/>
    </row>
    <row r="62" spans="1:9" s="3" customFormat="1" ht="12.75">
      <c r="A62" s="6"/>
      <c r="C62" s="6"/>
      <c r="D62" s="8"/>
    </row>
    <row r="63" spans="1:9" s="3" customFormat="1" ht="12.75">
      <c r="A63" s="6"/>
      <c r="C63" s="6"/>
      <c r="D63" s="8"/>
    </row>
    <row r="64" spans="1:9" s="3" customFormat="1" ht="12.75">
      <c r="A64" s="6"/>
      <c r="C64" s="6"/>
      <c r="D64" s="8"/>
    </row>
    <row r="65" spans="1:4" s="3" customFormat="1" ht="12.75">
      <c r="A65" s="6"/>
      <c r="C65" s="6"/>
      <c r="D65" s="8"/>
    </row>
    <row r="66" spans="1:4" s="3" customFormat="1" ht="12.75">
      <c r="A66" s="6"/>
      <c r="C66" s="6"/>
      <c r="D66" s="8"/>
    </row>
    <row r="67" spans="1:4" s="3" customFormat="1" ht="12.75">
      <c r="A67" s="6"/>
      <c r="C67" s="6"/>
      <c r="D67" s="8"/>
    </row>
    <row r="68" spans="1:4" s="3" customFormat="1" ht="12.75">
      <c r="A68" s="6"/>
      <c r="C68" s="6"/>
      <c r="D68" s="8"/>
    </row>
    <row r="69" spans="1:4" s="3" customFormat="1" ht="12.75">
      <c r="A69" s="6"/>
      <c r="C69" s="6"/>
      <c r="D69" s="8"/>
    </row>
    <row r="70" spans="1:4" s="3" customFormat="1" ht="12.75">
      <c r="A70" s="6"/>
      <c r="C70" s="6"/>
      <c r="D70" s="8"/>
    </row>
    <row r="71" spans="1:4" s="3" customFormat="1" ht="12.75">
      <c r="A71" s="6"/>
      <c r="C71" s="6"/>
      <c r="D71" s="8"/>
    </row>
    <row r="72" spans="1:4" s="3" customFormat="1" ht="12.75">
      <c r="A72" s="6"/>
      <c r="C72" s="6"/>
      <c r="D72" s="8"/>
    </row>
    <row r="73" spans="1:4" s="3" customFormat="1" ht="12.75">
      <c r="A73" s="6"/>
      <c r="C73" s="6"/>
      <c r="D73" s="8"/>
    </row>
    <row r="74" spans="1:4" s="3" customFormat="1" ht="12.75">
      <c r="A74" s="6"/>
      <c r="C74" s="6"/>
      <c r="D74" s="8"/>
    </row>
    <row r="75" spans="1:4" s="3" customFormat="1" ht="12.75">
      <c r="A75" s="6"/>
      <c r="C75" s="6"/>
      <c r="D75" s="8"/>
    </row>
    <row r="76" spans="1:4" s="3" customFormat="1" ht="12.75">
      <c r="A76" s="6"/>
      <c r="C76" s="6"/>
      <c r="D76" s="8"/>
    </row>
    <row r="77" spans="1:4" s="3" customFormat="1" ht="12.75">
      <c r="A77" s="6"/>
      <c r="C77" s="6"/>
      <c r="D77" s="8"/>
    </row>
    <row r="78" spans="1:4" s="3" customFormat="1" ht="12.75">
      <c r="A78" s="6"/>
      <c r="C78" s="6"/>
      <c r="D78" s="8"/>
    </row>
    <row r="79" spans="1:4" s="3" customFormat="1" ht="12.75">
      <c r="A79" s="6"/>
      <c r="C79" s="6"/>
      <c r="D79" s="8"/>
    </row>
    <row r="80" spans="1:4" s="3" customFormat="1" ht="12.75">
      <c r="A80" s="6"/>
      <c r="C80" s="6"/>
      <c r="D80" s="8"/>
    </row>
    <row r="81" spans="1:4" s="3" customFormat="1" ht="12.75">
      <c r="A81" s="6"/>
      <c r="C81" s="6"/>
      <c r="D81" s="8"/>
    </row>
    <row r="82" spans="1:4" s="3" customFormat="1" ht="12.75">
      <c r="A82" s="6"/>
      <c r="C82" s="6"/>
      <c r="D82" s="8"/>
    </row>
    <row r="83" spans="1:4" s="3" customFormat="1" ht="12.75">
      <c r="A83" s="6"/>
      <c r="C83" s="6"/>
      <c r="D83" s="8"/>
    </row>
    <row r="84" spans="1:4" s="3" customFormat="1" ht="12.75">
      <c r="A84" s="6"/>
      <c r="C84" s="6"/>
      <c r="D84" s="8"/>
    </row>
    <row r="85" spans="1:4" s="3" customFormat="1" ht="12.75">
      <c r="A85" s="6"/>
      <c r="C85" s="6"/>
      <c r="D85" s="8"/>
    </row>
    <row r="86" spans="1:4" s="3" customFormat="1" ht="12.75">
      <c r="A86" s="6"/>
      <c r="C86" s="6"/>
      <c r="D86" s="8"/>
    </row>
    <row r="87" spans="1:4" s="3" customFormat="1" ht="12.75">
      <c r="A87" s="6"/>
      <c r="C87" s="6"/>
      <c r="D87" s="8"/>
    </row>
    <row r="88" spans="1:4" s="3" customFormat="1" ht="12.75">
      <c r="A88" s="6"/>
      <c r="C88" s="6"/>
      <c r="D88" s="8"/>
    </row>
    <row r="89" spans="1:4" s="3" customFormat="1" ht="12.75">
      <c r="A89" s="6"/>
      <c r="C89" s="6"/>
      <c r="D89" s="8"/>
    </row>
    <row r="90" spans="1:4" s="3" customFormat="1" ht="12.75">
      <c r="A90" s="6"/>
      <c r="C90" s="6"/>
      <c r="D90" s="8"/>
    </row>
    <row r="91" spans="1:4" s="3" customFormat="1" ht="12.75">
      <c r="A91" s="6"/>
      <c r="C91" s="6"/>
      <c r="D91" s="8"/>
    </row>
    <row r="92" spans="1:4" s="3" customFormat="1" ht="12.75">
      <c r="A92" s="6"/>
      <c r="C92" s="6"/>
      <c r="D92" s="8"/>
    </row>
    <row r="93" spans="1:4" s="3" customFormat="1" ht="12.75">
      <c r="A93" s="6"/>
      <c r="C93" s="6"/>
      <c r="D93" s="8"/>
    </row>
    <row r="94" spans="1:4" s="3" customFormat="1" ht="12.75">
      <c r="A94" s="6"/>
      <c r="C94" s="6"/>
      <c r="D94" s="8"/>
    </row>
    <row r="95" spans="1:4" s="3" customFormat="1" ht="12.75">
      <c r="A95" s="6"/>
      <c r="C95" s="6"/>
      <c r="D95" s="8"/>
    </row>
    <row r="96" spans="1:4" s="3" customFormat="1" ht="12.75">
      <c r="A96" s="6"/>
      <c r="C96" s="6"/>
      <c r="D96" s="8"/>
    </row>
    <row r="97" spans="1:4" s="3" customFormat="1" ht="12.75">
      <c r="A97" s="6"/>
      <c r="C97" s="6"/>
      <c r="D97" s="8"/>
    </row>
    <row r="98" spans="1:4" s="3" customFormat="1" ht="12.75">
      <c r="A98" s="6"/>
      <c r="C98" s="6"/>
      <c r="D98" s="8"/>
    </row>
    <row r="99" spans="1:4" s="3" customFormat="1" ht="12.75">
      <c r="A99" s="6"/>
      <c r="C99" s="6"/>
      <c r="D99" s="8"/>
    </row>
    <row r="100" spans="1:4" s="3" customFormat="1" ht="12.75">
      <c r="A100" s="6"/>
      <c r="C100" s="6"/>
      <c r="D100" s="8"/>
    </row>
    <row r="101" spans="1:4" s="3" customFormat="1" ht="12.75">
      <c r="A101" s="6"/>
      <c r="C101" s="6"/>
      <c r="D101" s="8"/>
    </row>
    <row r="102" spans="1:4" s="3" customFormat="1" ht="12.75">
      <c r="A102" s="6"/>
      <c r="C102" s="6"/>
      <c r="D102" s="8"/>
    </row>
    <row r="103" spans="1:4" s="3" customFormat="1" ht="12.75">
      <c r="A103" s="6"/>
      <c r="C103" s="6"/>
      <c r="D103" s="8"/>
    </row>
    <row r="104" spans="1:4" s="3" customFormat="1" ht="12.75">
      <c r="A104" s="6"/>
      <c r="C104" s="6"/>
      <c r="D104" s="8"/>
    </row>
    <row r="105" spans="1:4" s="3" customFormat="1" ht="12.75">
      <c r="A105" s="6"/>
      <c r="C105" s="6"/>
      <c r="D105" s="8"/>
    </row>
    <row r="106" spans="1:4" s="3" customFormat="1" ht="12.75">
      <c r="A106" s="6"/>
      <c r="C106" s="6"/>
      <c r="D106" s="8"/>
    </row>
    <row r="107" spans="1:4" s="3" customFormat="1" ht="12.75">
      <c r="A107" s="6"/>
      <c r="C107" s="6"/>
      <c r="D107" s="8"/>
    </row>
    <row r="108" spans="1:4" s="3" customFormat="1" ht="12.75">
      <c r="A108" s="6"/>
      <c r="C108" s="6"/>
      <c r="D108" s="8"/>
    </row>
    <row r="109" spans="1:4" s="3" customFormat="1" ht="12.75">
      <c r="A109" s="6"/>
      <c r="C109" s="6"/>
      <c r="D109" s="8"/>
    </row>
    <row r="110" spans="1:4" s="3" customFormat="1" ht="12.75">
      <c r="A110" s="6"/>
      <c r="C110" s="6"/>
      <c r="D110" s="8"/>
    </row>
    <row r="111" spans="1:4" s="3" customFormat="1" ht="12.75">
      <c r="A111" s="6"/>
      <c r="C111" s="6"/>
      <c r="D111" s="8"/>
    </row>
    <row r="112" spans="1:4" s="3" customFormat="1" ht="12.75">
      <c r="A112" s="6"/>
      <c r="C112" s="6"/>
      <c r="D112" s="8"/>
    </row>
    <row r="113" spans="1:4" s="3" customFormat="1" ht="12.75">
      <c r="A113" s="6"/>
      <c r="C113" s="6"/>
      <c r="D113" s="8"/>
    </row>
    <row r="114" spans="1:4" s="3" customFormat="1" ht="12.75">
      <c r="A114" s="6"/>
      <c r="C114" s="6"/>
      <c r="D114" s="8"/>
    </row>
    <row r="115" spans="1:4" s="3" customFormat="1" ht="12.75">
      <c r="A115" s="6"/>
      <c r="C115" s="6"/>
      <c r="D115" s="8"/>
    </row>
    <row r="116" spans="1:4" s="3" customFormat="1" ht="12.75">
      <c r="A116" s="6"/>
      <c r="C116" s="6"/>
      <c r="D116" s="8"/>
    </row>
    <row r="117" spans="1:4" s="3" customFormat="1" ht="12.75">
      <c r="A117" s="6"/>
      <c r="C117" s="6"/>
      <c r="D117" s="8"/>
    </row>
    <row r="118" spans="1:4" s="3" customFormat="1" ht="12.75">
      <c r="A118" s="6"/>
      <c r="C118" s="6"/>
      <c r="D118" s="8"/>
    </row>
    <row r="119" spans="1:4" s="3" customFormat="1" ht="12.75">
      <c r="A119" s="6"/>
      <c r="C119" s="6"/>
      <c r="D119" s="8"/>
    </row>
    <row r="120" spans="1:4" s="3" customFormat="1" ht="12.75">
      <c r="A120" s="6"/>
      <c r="C120" s="6"/>
      <c r="D120" s="8"/>
    </row>
    <row r="121" spans="1:4" s="3" customFormat="1" ht="12.75">
      <c r="A121" s="6"/>
      <c r="C121" s="6"/>
      <c r="D121" s="8"/>
    </row>
    <row r="122" spans="1:4" s="3" customFormat="1" ht="12.75">
      <c r="A122" s="6"/>
      <c r="C122" s="6"/>
      <c r="D122" s="8"/>
    </row>
    <row r="123" spans="1:4" s="3" customFormat="1" ht="12.75">
      <c r="A123" s="6"/>
      <c r="C123" s="6"/>
      <c r="D123" s="8"/>
    </row>
    <row r="124" spans="1:4" s="3" customFormat="1" ht="12.75">
      <c r="A124" s="6"/>
      <c r="C124" s="6"/>
      <c r="D124" s="8"/>
    </row>
    <row r="125" spans="1:4" s="3" customFormat="1" ht="12.75">
      <c r="A125" s="6"/>
      <c r="C125" s="6"/>
      <c r="D125" s="8"/>
    </row>
    <row r="126" spans="1:4" s="3" customFormat="1" ht="12.75">
      <c r="A126" s="6"/>
      <c r="C126" s="6"/>
      <c r="D126" s="8"/>
    </row>
    <row r="127" spans="1:4" s="3" customFormat="1" ht="12.75">
      <c r="A127" s="6"/>
      <c r="C127" s="6"/>
      <c r="D127" s="8"/>
    </row>
    <row r="128" spans="1:4" s="3" customFormat="1" ht="12.75">
      <c r="A128" s="6"/>
      <c r="C128" s="6"/>
      <c r="D128" s="8"/>
    </row>
    <row r="129" spans="1:4" s="3" customFormat="1" ht="12.75">
      <c r="A129" s="6"/>
      <c r="C129" s="6"/>
      <c r="D129" s="8"/>
    </row>
    <row r="130" spans="1:4" s="3" customFormat="1" ht="12.75">
      <c r="A130" s="6"/>
      <c r="C130" s="6"/>
      <c r="D130" s="8"/>
    </row>
    <row r="131" spans="1:4" s="3" customFormat="1" ht="12.75">
      <c r="A131" s="6"/>
      <c r="C131" s="6"/>
      <c r="D131" s="8"/>
    </row>
    <row r="132" spans="1:4" s="3" customFormat="1" ht="12.75">
      <c r="A132" s="6"/>
      <c r="C132" s="6"/>
      <c r="D132" s="8"/>
    </row>
    <row r="133" spans="1:4" s="3" customFormat="1" ht="12.75">
      <c r="A133" s="6"/>
      <c r="C133" s="6"/>
      <c r="D133" s="8"/>
    </row>
    <row r="134" spans="1:4" s="3" customFormat="1" ht="12.75">
      <c r="A134" s="6"/>
      <c r="C134" s="6"/>
      <c r="D134" s="8"/>
    </row>
    <row r="135" spans="1:4" s="3" customFormat="1" ht="12.75">
      <c r="A135" s="6"/>
      <c r="C135" s="6"/>
      <c r="D135" s="8"/>
    </row>
    <row r="136" spans="1:4" s="3" customFormat="1" ht="12.75">
      <c r="A136" s="6"/>
      <c r="C136" s="6"/>
      <c r="D136" s="8"/>
    </row>
    <row r="137" spans="1:4" s="3" customFormat="1" ht="12.75">
      <c r="A137" s="6"/>
      <c r="C137" s="6"/>
      <c r="D137" s="8"/>
    </row>
    <row r="138" spans="1:4" s="3" customFormat="1" ht="12.75">
      <c r="A138" s="6"/>
      <c r="C138" s="6"/>
      <c r="D138" s="8"/>
    </row>
    <row r="139" spans="1:4" s="3" customFormat="1" ht="12.75">
      <c r="A139" s="6"/>
      <c r="C139" s="6"/>
      <c r="D139" s="8"/>
    </row>
    <row r="140" spans="1:4" s="3" customFormat="1" ht="12.75">
      <c r="A140" s="6"/>
      <c r="C140" s="6"/>
      <c r="D140" s="8"/>
    </row>
    <row r="141" spans="1:4" s="3" customFormat="1" ht="12.75">
      <c r="A141" s="6"/>
      <c r="C141" s="6"/>
      <c r="D141" s="8"/>
    </row>
    <row r="142" spans="1:4" s="3" customFormat="1" ht="12.75">
      <c r="A142" s="6"/>
      <c r="C142" s="6"/>
      <c r="D142" s="8"/>
    </row>
    <row r="143" spans="1:4" s="3" customFormat="1" ht="12.75">
      <c r="A143" s="6"/>
      <c r="C143" s="6"/>
      <c r="D143" s="8"/>
    </row>
    <row r="144" spans="1:4" s="3" customFormat="1" ht="12.75">
      <c r="A144" s="6"/>
      <c r="C144" s="6"/>
      <c r="D144" s="8"/>
    </row>
    <row r="145" spans="1:4" s="3" customFormat="1" ht="12.75">
      <c r="A145" s="6"/>
      <c r="C145" s="6"/>
      <c r="D145" s="8"/>
    </row>
    <row r="146" spans="1:4" s="3" customFormat="1" ht="12.75">
      <c r="A146" s="6"/>
      <c r="C146" s="6"/>
      <c r="D146" s="8"/>
    </row>
    <row r="147" spans="1:4" s="3" customFormat="1" ht="12.75">
      <c r="A147" s="6"/>
      <c r="C147" s="6"/>
      <c r="D147" s="8"/>
    </row>
    <row r="148" spans="1:4" s="3" customFormat="1" ht="12.75">
      <c r="A148" s="6"/>
      <c r="C148" s="6"/>
      <c r="D148" s="8"/>
    </row>
    <row r="149" spans="1:4" s="3" customFormat="1" ht="12.75">
      <c r="A149" s="6"/>
      <c r="C149" s="6"/>
      <c r="D149" s="8"/>
    </row>
    <row r="150" spans="1:4" s="3" customFormat="1" ht="12.75">
      <c r="A150" s="6"/>
      <c r="C150" s="6"/>
      <c r="D150" s="8"/>
    </row>
    <row r="151" spans="1:4" s="3" customFormat="1" ht="12.75">
      <c r="A151" s="6"/>
      <c r="C151" s="6"/>
      <c r="D151" s="8"/>
    </row>
    <row r="152" spans="1:4" s="3" customFormat="1" ht="12.75">
      <c r="A152" s="6"/>
      <c r="C152" s="6"/>
      <c r="D152" s="8"/>
    </row>
    <row r="153" spans="1:4" s="3" customFormat="1" ht="12.75">
      <c r="A153" s="6"/>
      <c r="C153" s="6"/>
      <c r="D153" s="8"/>
    </row>
    <row r="154" spans="1:4" s="3" customFormat="1" ht="12.75">
      <c r="A154" s="6"/>
      <c r="C154" s="6"/>
      <c r="D154" s="8"/>
    </row>
    <row r="155" spans="1:4" s="3" customFormat="1" ht="12.75">
      <c r="A155" s="6"/>
      <c r="C155" s="6"/>
      <c r="D155" s="8"/>
    </row>
    <row r="156" spans="1:4" s="3" customFormat="1" ht="12.75">
      <c r="A156" s="6"/>
      <c r="C156" s="6"/>
      <c r="D156" s="8"/>
    </row>
    <row r="157" spans="1:4" s="3" customFormat="1" ht="12.75">
      <c r="A157" s="6"/>
      <c r="C157" s="6"/>
      <c r="D157" s="8"/>
    </row>
    <row r="158" spans="1:4" s="3" customFormat="1" ht="12.75">
      <c r="A158" s="6"/>
      <c r="C158" s="6"/>
      <c r="D158" s="8"/>
    </row>
    <row r="159" spans="1:4" s="3" customFormat="1" ht="12.75">
      <c r="A159" s="6"/>
      <c r="C159" s="6"/>
      <c r="D159" s="8"/>
    </row>
    <row r="160" spans="1:4" s="3" customFormat="1" ht="12.75">
      <c r="A160" s="6"/>
      <c r="C160" s="6"/>
      <c r="D160" s="8"/>
    </row>
    <row r="161" spans="1:4" s="3" customFormat="1" ht="12.75">
      <c r="A161" s="6"/>
      <c r="C161" s="6"/>
      <c r="D161" s="8"/>
    </row>
    <row r="162" spans="1:4" s="3" customFormat="1" ht="12.75">
      <c r="A162" s="6"/>
      <c r="C162" s="6"/>
      <c r="D162" s="8"/>
    </row>
    <row r="163" spans="1:4" s="3" customFormat="1" ht="12.75">
      <c r="A163" s="6"/>
      <c r="C163" s="6"/>
      <c r="D163" s="8"/>
    </row>
    <row r="164" spans="1:4" s="3" customFormat="1" ht="12.75">
      <c r="A164" s="6"/>
      <c r="C164" s="6"/>
      <c r="D164" s="8"/>
    </row>
    <row r="165" spans="1:4" s="3" customFormat="1" ht="12.75">
      <c r="A165" s="6"/>
      <c r="C165" s="6"/>
      <c r="D165" s="8"/>
    </row>
    <row r="166" spans="1:4" s="3" customFormat="1" ht="12.75">
      <c r="A166" s="6"/>
      <c r="C166" s="6"/>
      <c r="D166" s="8"/>
    </row>
    <row r="167" spans="1:4" s="3" customFormat="1" ht="12.75">
      <c r="A167" s="6"/>
      <c r="C167" s="6"/>
      <c r="D167" s="8"/>
    </row>
    <row r="168" spans="1:4" s="3" customFormat="1" ht="12.75">
      <c r="A168" s="6"/>
      <c r="C168" s="6"/>
      <c r="D168" s="8"/>
    </row>
    <row r="169" spans="1:4" s="3" customFormat="1" ht="12.75">
      <c r="A169" s="6"/>
      <c r="C169" s="6"/>
      <c r="D169" s="8"/>
    </row>
    <row r="170" spans="1:4" s="3" customFormat="1" ht="12.75">
      <c r="A170" s="6"/>
      <c r="C170" s="6"/>
      <c r="D170" s="8"/>
    </row>
    <row r="171" spans="1:4" s="3" customFormat="1" ht="12.75">
      <c r="A171" s="6"/>
      <c r="C171" s="6"/>
      <c r="D171" s="8"/>
    </row>
    <row r="172" spans="1:4" s="3" customFormat="1" ht="12.75">
      <c r="A172" s="6"/>
      <c r="C172" s="6"/>
      <c r="D172" s="8"/>
    </row>
    <row r="173" spans="1:4" s="3" customFormat="1" ht="12.75">
      <c r="A173" s="6"/>
      <c r="C173" s="6"/>
      <c r="D173" s="8"/>
    </row>
    <row r="174" spans="1:4" s="3" customFormat="1" ht="12.75">
      <c r="A174" s="6"/>
      <c r="C174" s="6"/>
      <c r="D174" s="8"/>
    </row>
    <row r="175" spans="1:4" s="3" customFormat="1" ht="12.75">
      <c r="A175" s="6"/>
      <c r="C175" s="6"/>
      <c r="D175" s="8"/>
    </row>
    <row r="176" spans="1:4" s="3" customFormat="1" ht="12.75">
      <c r="A176" s="6"/>
      <c r="C176" s="6"/>
      <c r="D176" s="8"/>
    </row>
    <row r="177" spans="1:4" s="3" customFormat="1" ht="12.75">
      <c r="A177" s="6"/>
      <c r="C177" s="6"/>
      <c r="D177" s="8"/>
    </row>
    <row r="178" spans="1:4" s="3" customFormat="1" ht="12.75">
      <c r="A178" s="6"/>
      <c r="C178" s="6"/>
      <c r="D178" s="8"/>
    </row>
    <row r="179" spans="1:4" s="3" customFormat="1" ht="12.75">
      <c r="A179" s="6"/>
      <c r="C179" s="6"/>
      <c r="D179" s="8"/>
    </row>
    <row r="180" spans="1:4" s="3" customFormat="1" ht="12.75">
      <c r="A180" s="6"/>
      <c r="C180" s="6"/>
      <c r="D180" s="8"/>
    </row>
    <row r="181" spans="1:4" s="3" customFormat="1" ht="12.75">
      <c r="A181" s="6"/>
      <c r="C181" s="6"/>
      <c r="D181" s="8"/>
    </row>
    <row r="182" spans="1:4" s="3" customFormat="1" ht="12.75">
      <c r="A182" s="6"/>
      <c r="C182" s="6"/>
      <c r="D182" s="8"/>
    </row>
    <row r="183" spans="1:4" s="3" customFormat="1" ht="12.75">
      <c r="A183" s="6"/>
      <c r="C183" s="6"/>
      <c r="D183" s="8"/>
    </row>
    <row r="184" spans="1:4" s="3" customFormat="1" ht="12.75">
      <c r="A184" s="6"/>
      <c r="C184" s="6"/>
      <c r="D184" s="8"/>
    </row>
    <row r="185" spans="1:4" s="3" customFormat="1" ht="12.75">
      <c r="A185" s="6"/>
      <c r="C185" s="6"/>
      <c r="D185" s="8"/>
    </row>
    <row r="186" spans="1:4" s="3" customFormat="1" ht="12.75">
      <c r="A186" s="6"/>
      <c r="C186" s="6"/>
      <c r="D186" s="8"/>
    </row>
    <row r="187" spans="1:4" s="3" customFormat="1" ht="12.75">
      <c r="A187" s="6"/>
      <c r="C187" s="6"/>
      <c r="D187" s="8"/>
    </row>
    <row r="188" spans="1:4" s="3" customFormat="1" ht="12.75">
      <c r="A188" s="6"/>
      <c r="C188" s="6"/>
      <c r="D188" s="8"/>
    </row>
    <row r="189" spans="1:4" s="3" customFormat="1" ht="12.75">
      <c r="A189" s="6"/>
      <c r="C189" s="6"/>
      <c r="D189" s="8"/>
    </row>
    <row r="190" spans="1:4" s="3" customFormat="1" ht="12.75">
      <c r="A190" s="6"/>
      <c r="C190" s="6"/>
      <c r="D190" s="8"/>
    </row>
    <row r="191" spans="1:4" s="3" customFormat="1" ht="12.75">
      <c r="A191" s="6"/>
      <c r="C191" s="6"/>
      <c r="D191" s="8"/>
    </row>
    <row r="192" spans="1:4" s="3" customFormat="1" ht="12.75">
      <c r="A192" s="6"/>
      <c r="C192" s="6"/>
      <c r="D192" s="8"/>
    </row>
    <row r="193" spans="1:4" s="3" customFormat="1" ht="12.75">
      <c r="A193" s="6"/>
      <c r="C193" s="6"/>
      <c r="D193" s="8"/>
    </row>
    <row r="194" spans="1:4" s="3" customFormat="1" ht="12.75">
      <c r="A194" s="6"/>
      <c r="C194" s="6"/>
      <c r="D194" s="8"/>
    </row>
    <row r="195" spans="1:4" s="3" customFormat="1" ht="12.75">
      <c r="A195" s="6"/>
      <c r="C195" s="6"/>
      <c r="D195" s="8"/>
    </row>
    <row r="196" spans="1:4" s="3" customFormat="1" ht="12.75">
      <c r="A196" s="6"/>
      <c r="C196" s="6"/>
      <c r="D196" s="8"/>
    </row>
    <row r="197" spans="1:4" s="3" customFormat="1" ht="12.75">
      <c r="A197" s="6"/>
      <c r="C197" s="6"/>
      <c r="D197" s="8"/>
    </row>
    <row r="198" spans="1:4" s="3" customFormat="1" ht="12.75">
      <c r="A198" s="6"/>
      <c r="C198" s="6"/>
      <c r="D198" s="8"/>
    </row>
    <row r="199" spans="1:4" s="3" customFormat="1" ht="12.75">
      <c r="A199" s="6"/>
      <c r="C199" s="6"/>
      <c r="D199" s="8"/>
    </row>
    <row r="200" spans="1:4" s="3" customFormat="1" ht="12.75">
      <c r="A200" s="6"/>
      <c r="C200" s="6"/>
      <c r="D200" s="8"/>
    </row>
    <row r="201" spans="1:4" s="3" customFormat="1" ht="12.75">
      <c r="A201" s="6"/>
      <c r="C201" s="6"/>
      <c r="D201" s="8"/>
    </row>
    <row r="202" spans="1:4" s="3" customFormat="1" ht="12.75">
      <c r="A202" s="6"/>
      <c r="C202" s="6"/>
      <c r="D202" s="8"/>
    </row>
    <row r="203" spans="1:4" s="3" customFormat="1" ht="12.75">
      <c r="A203" s="6"/>
      <c r="C203" s="6"/>
      <c r="D203" s="8"/>
    </row>
    <row r="204" spans="1:4" s="3" customFormat="1" ht="12.75">
      <c r="A204" s="6"/>
      <c r="C204" s="6"/>
      <c r="D204" s="8"/>
    </row>
    <row r="205" spans="1:4" s="3" customFormat="1" ht="12.75">
      <c r="A205" s="6"/>
      <c r="C205" s="6"/>
      <c r="D205" s="8"/>
    </row>
    <row r="206" spans="1:4" s="3" customFormat="1" ht="12.75">
      <c r="A206" s="6"/>
      <c r="C206" s="6"/>
      <c r="D206" s="8"/>
    </row>
    <row r="207" spans="1:4" s="3" customFormat="1" ht="12.75">
      <c r="A207" s="6"/>
      <c r="C207" s="6"/>
      <c r="D207" s="8"/>
    </row>
    <row r="208" spans="1:4" s="3" customFormat="1" ht="12.75">
      <c r="A208" s="6"/>
      <c r="C208" s="6"/>
      <c r="D208" s="8"/>
    </row>
    <row r="209" spans="1:4" s="3" customFormat="1" ht="12.75">
      <c r="A209" s="6"/>
      <c r="C209" s="6"/>
      <c r="D209" s="8"/>
    </row>
    <row r="210" spans="1:4" s="3" customFormat="1" ht="12.75">
      <c r="A210" s="6"/>
      <c r="C210" s="6"/>
      <c r="D210" s="8"/>
    </row>
    <row r="211" spans="1:4" s="3" customFormat="1" ht="12.75">
      <c r="A211" s="6"/>
      <c r="C211" s="6"/>
      <c r="D211" s="8"/>
    </row>
    <row r="212" spans="1:4" s="3" customFormat="1" ht="12.75">
      <c r="A212" s="6"/>
      <c r="C212" s="6"/>
      <c r="D212" s="8"/>
    </row>
    <row r="213" spans="1:4" s="3" customFormat="1" ht="12.75">
      <c r="A213" s="6"/>
      <c r="C213" s="6"/>
      <c r="D213" s="8"/>
    </row>
    <row r="214" spans="1:4" s="3" customFormat="1" ht="12.75">
      <c r="A214" s="6"/>
      <c r="C214" s="6"/>
      <c r="D214" s="8"/>
    </row>
    <row r="215" spans="1:4" s="3" customFormat="1" ht="12.75">
      <c r="A215" s="6"/>
      <c r="C215" s="6"/>
      <c r="D215" s="8"/>
    </row>
    <row r="216" spans="1:4" s="3" customFormat="1" ht="12.75">
      <c r="A216" s="6"/>
      <c r="C216" s="6"/>
      <c r="D216" s="8"/>
    </row>
    <row r="217" spans="1:4" s="3" customFormat="1" ht="12.75">
      <c r="A217" s="6"/>
      <c r="C217" s="6"/>
      <c r="D217" s="8"/>
    </row>
    <row r="218" spans="1:4" s="3" customFormat="1" ht="12.75">
      <c r="A218" s="6"/>
      <c r="C218" s="6"/>
      <c r="D218" s="8"/>
    </row>
    <row r="219" spans="1:4" s="3" customFormat="1" ht="12.75">
      <c r="A219" s="6"/>
      <c r="C219" s="6"/>
      <c r="D219" s="8"/>
    </row>
    <row r="220" spans="1:4" s="3" customFormat="1" ht="12.75">
      <c r="A220" s="6"/>
      <c r="C220" s="6"/>
      <c r="D220" s="8"/>
    </row>
    <row r="221" spans="1:4" s="3" customFormat="1" ht="12.75">
      <c r="A221" s="6"/>
      <c r="C221" s="6"/>
      <c r="D221" s="8"/>
    </row>
    <row r="222" spans="1:4" s="3" customFormat="1" ht="12.75">
      <c r="A222" s="6"/>
      <c r="C222" s="6"/>
      <c r="D222" s="8"/>
    </row>
    <row r="223" spans="1:4" s="3" customFormat="1" ht="12.75">
      <c r="A223" s="6"/>
      <c r="C223" s="6"/>
      <c r="D223" s="8"/>
    </row>
    <row r="224" spans="1:4" s="3" customFormat="1" ht="12.75">
      <c r="A224" s="6"/>
      <c r="C224" s="6"/>
      <c r="D224" s="8"/>
    </row>
    <row r="225" spans="1:4" s="3" customFormat="1" ht="12.75">
      <c r="A225" s="6"/>
      <c r="C225" s="6"/>
      <c r="D225" s="8"/>
    </row>
    <row r="226" spans="1:4" s="3" customFormat="1" ht="12.75">
      <c r="A226" s="6"/>
      <c r="C226" s="6"/>
      <c r="D226" s="8"/>
    </row>
    <row r="227" spans="1:4" s="3" customFormat="1" ht="12.75">
      <c r="A227" s="6"/>
      <c r="C227" s="6"/>
      <c r="D227" s="8"/>
    </row>
    <row r="228" spans="1:4" s="3" customFormat="1" ht="12.75">
      <c r="A228" s="6"/>
      <c r="C228" s="6"/>
      <c r="D228" s="8"/>
    </row>
    <row r="229" spans="1:4" s="3" customFormat="1" ht="12.75">
      <c r="A229" s="6"/>
      <c r="C229" s="6"/>
      <c r="D229" s="8"/>
    </row>
    <row r="230" spans="1:4" s="3" customFormat="1" ht="12.75">
      <c r="A230" s="6"/>
      <c r="C230" s="6"/>
      <c r="D230" s="8"/>
    </row>
    <row r="231" spans="1:4" s="3" customFormat="1" ht="12.75">
      <c r="A231" s="6"/>
      <c r="C231" s="6"/>
      <c r="D231" s="8"/>
    </row>
    <row r="232" spans="1:4" s="3" customFormat="1" ht="12.75">
      <c r="A232" s="6"/>
      <c r="C232" s="6"/>
      <c r="D232" s="8"/>
    </row>
    <row r="233" spans="1:4" s="3" customFormat="1" ht="12.75">
      <c r="A233" s="6"/>
      <c r="C233" s="6"/>
      <c r="D233" s="8"/>
    </row>
    <row r="234" spans="1:4" s="3" customFormat="1" ht="12.75">
      <c r="A234" s="6"/>
      <c r="C234" s="6"/>
      <c r="D234" s="8"/>
    </row>
    <row r="235" spans="1:4" s="3" customFormat="1" ht="12.75">
      <c r="A235" s="6"/>
      <c r="C235" s="6"/>
      <c r="D235" s="8"/>
    </row>
    <row r="236" spans="1:4" s="3" customFormat="1" ht="12.75">
      <c r="A236" s="6"/>
      <c r="C236" s="6"/>
      <c r="D236" s="8"/>
    </row>
    <row r="237" spans="1:4" s="3" customFormat="1" ht="12.75">
      <c r="A237" s="6"/>
      <c r="C237" s="6"/>
      <c r="D237" s="8"/>
    </row>
    <row r="238" spans="1:4" s="3" customFormat="1" ht="12.75">
      <c r="A238" s="6"/>
      <c r="C238" s="6"/>
      <c r="D238" s="8"/>
    </row>
    <row r="239" spans="1:4" s="3" customFormat="1" ht="12.75">
      <c r="A239" s="6"/>
      <c r="C239" s="6"/>
      <c r="D239" s="8"/>
    </row>
    <row r="240" spans="1:4" s="3" customFormat="1" ht="12.75">
      <c r="A240" s="6"/>
      <c r="C240" s="6"/>
      <c r="D240" s="8"/>
    </row>
    <row r="241" spans="1:4" s="3" customFormat="1" ht="12.75">
      <c r="A241" s="6"/>
      <c r="C241" s="6"/>
      <c r="D241" s="8"/>
    </row>
    <row r="242" spans="1:4" s="3" customFormat="1" ht="12.75">
      <c r="A242" s="6"/>
      <c r="C242" s="6"/>
      <c r="D242" s="8"/>
    </row>
    <row r="243" spans="1:4" s="3" customFormat="1" ht="12.75">
      <c r="A243" s="6"/>
      <c r="C243" s="6"/>
      <c r="D243" s="8"/>
    </row>
    <row r="244" spans="1:4" s="3" customFormat="1" ht="12.75">
      <c r="A244" s="6"/>
      <c r="C244" s="6"/>
      <c r="D244" s="8"/>
    </row>
    <row r="245" spans="1:4" s="3" customFormat="1" ht="12.75">
      <c r="A245" s="6"/>
      <c r="C245" s="6"/>
      <c r="D245" s="8"/>
    </row>
    <row r="246" spans="1:4" s="3" customFormat="1" ht="12.75">
      <c r="A246" s="6"/>
      <c r="C246" s="6"/>
      <c r="D246" s="8"/>
    </row>
    <row r="247" spans="1:4" s="3" customFormat="1" ht="12.75">
      <c r="A247" s="6"/>
      <c r="C247" s="6"/>
      <c r="D247" s="8"/>
    </row>
    <row r="248" spans="1:4" s="3" customFormat="1" ht="12.75">
      <c r="A248" s="6"/>
      <c r="C248" s="6"/>
      <c r="D248" s="8"/>
    </row>
    <row r="249" spans="1:4" s="3" customFormat="1" ht="12.75">
      <c r="A249" s="6"/>
      <c r="C249" s="6"/>
      <c r="D249" s="8"/>
    </row>
    <row r="250" spans="1:4" s="3" customFormat="1" ht="12.75">
      <c r="A250" s="6"/>
      <c r="C250" s="6"/>
      <c r="D250" s="8"/>
    </row>
    <row r="251" spans="1:4" s="3" customFormat="1" ht="12.75">
      <c r="A251" s="6"/>
      <c r="C251" s="6"/>
      <c r="D251" s="8"/>
    </row>
    <row r="252" spans="1:4" s="3" customFormat="1" ht="12.75">
      <c r="A252" s="6"/>
      <c r="C252" s="6"/>
      <c r="D252" s="8"/>
    </row>
    <row r="253" spans="1:4" s="3" customFormat="1" ht="12.75">
      <c r="A253" s="6"/>
      <c r="C253" s="6"/>
      <c r="D253" s="8"/>
    </row>
    <row r="254" spans="1:4" s="3" customFormat="1" ht="12.75">
      <c r="A254" s="6"/>
      <c r="C254" s="6"/>
      <c r="D254" s="8"/>
    </row>
    <row r="255" spans="1:4" s="3" customFormat="1" ht="12.75">
      <c r="A255" s="6"/>
      <c r="C255" s="6"/>
      <c r="D255" s="8"/>
    </row>
    <row r="256" spans="1:4" s="3" customFormat="1" ht="12.75">
      <c r="A256" s="6"/>
      <c r="C256" s="6"/>
      <c r="D256" s="8"/>
    </row>
    <row r="257" spans="1:4" s="3" customFormat="1" ht="12.75">
      <c r="A257" s="6"/>
      <c r="C257" s="6"/>
      <c r="D257" s="8"/>
    </row>
    <row r="258" spans="1:4" s="3" customFormat="1" ht="12.75">
      <c r="A258" s="6"/>
      <c r="C258" s="6"/>
      <c r="D258" s="8"/>
    </row>
    <row r="259" spans="1:4" s="3" customFormat="1" ht="12.75">
      <c r="A259" s="6"/>
      <c r="C259" s="6"/>
      <c r="D259" s="8"/>
    </row>
    <row r="260" spans="1:4" s="3" customFormat="1" ht="12.75">
      <c r="A260" s="6"/>
      <c r="C260" s="6"/>
      <c r="D260" s="8"/>
    </row>
    <row r="261" spans="1:4" s="3" customFormat="1" ht="12.75">
      <c r="A261" s="6"/>
      <c r="C261" s="6"/>
      <c r="D261" s="8"/>
    </row>
    <row r="262" spans="1:4" s="3" customFormat="1" ht="12.75">
      <c r="A262" s="6"/>
      <c r="C262" s="6"/>
      <c r="D262" s="8"/>
    </row>
    <row r="263" spans="1:4" s="3" customFormat="1" ht="12.75">
      <c r="A263" s="6"/>
      <c r="C263" s="6"/>
      <c r="D263" s="8"/>
    </row>
    <row r="264" spans="1:4" s="3" customFormat="1" ht="12.75">
      <c r="A264" s="6"/>
      <c r="C264" s="6"/>
      <c r="D264" s="8"/>
    </row>
    <row r="265" spans="1:4" s="3" customFormat="1" ht="12.75">
      <c r="A265" s="6"/>
      <c r="C265" s="6"/>
      <c r="D265" s="8"/>
    </row>
    <row r="266" spans="1:4" s="3" customFormat="1" ht="12.75">
      <c r="A266" s="6"/>
      <c r="C266" s="6"/>
      <c r="D266" s="8"/>
    </row>
    <row r="267" spans="1:4" s="3" customFormat="1" ht="12.75">
      <c r="A267" s="6"/>
      <c r="C267" s="6"/>
      <c r="D267" s="8"/>
    </row>
    <row r="268" spans="1:4" s="3" customFormat="1" ht="12.75">
      <c r="A268" s="6"/>
      <c r="C268" s="6"/>
      <c r="D268" s="8"/>
    </row>
    <row r="269" spans="1:4" s="3" customFormat="1" ht="12.75">
      <c r="A269" s="6"/>
      <c r="C269" s="6"/>
      <c r="D269" s="8"/>
    </row>
    <row r="270" spans="1:4" s="3" customFormat="1" ht="12.75">
      <c r="A270" s="6"/>
      <c r="C270" s="6"/>
      <c r="D270" s="8"/>
    </row>
    <row r="271" spans="1:4" s="3" customFormat="1" ht="12.75">
      <c r="A271" s="6"/>
      <c r="C271" s="6"/>
      <c r="D271" s="8"/>
    </row>
    <row r="272" spans="1:4" s="3" customFormat="1" ht="12.75">
      <c r="A272" s="6"/>
      <c r="C272" s="6"/>
      <c r="D272" s="8"/>
    </row>
    <row r="273" spans="1:4" s="3" customFormat="1" ht="12.75">
      <c r="A273" s="6"/>
      <c r="C273" s="6"/>
      <c r="D273" s="8"/>
    </row>
    <row r="274" spans="1:4" s="3" customFormat="1" ht="12.75">
      <c r="A274" s="6"/>
      <c r="C274" s="6"/>
      <c r="D274" s="8"/>
    </row>
    <row r="275" spans="1:4" s="3" customFormat="1" ht="12.75">
      <c r="A275" s="6"/>
      <c r="C275" s="6"/>
      <c r="D275" s="8"/>
    </row>
    <row r="276" spans="1:4" s="3" customFormat="1" ht="12.75">
      <c r="A276" s="6"/>
      <c r="C276" s="6"/>
      <c r="D276" s="8"/>
    </row>
    <row r="277" spans="1:4" s="3" customFormat="1" ht="12.75">
      <c r="A277" s="6"/>
      <c r="C277" s="6"/>
      <c r="D277" s="8"/>
    </row>
    <row r="278" spans="1:4" s="3" customFormat="1" ht="12.75">
      <c r="A278" s="6"/>
      <c r="C278" s="6"/>
      <c r="D278" s="8"/>
    </row>
    <row r="279" spans="1:4" s="3" customFormat="1" ht="12.75">
      <c r="A279" s="6"/>
      <c r="C279" s="6"/>
      <c r="D279" s="8"/>
    </row>
    <row r="280" spans="1:4" s="3" customFormat="1" ht="12.75">
      <c r="A280" s="6"/>
      <c r="C280" s="6"/>
      <c r="D280" s="8"/>
    </row>
    <row r="281" spans="1:4" s="3" customFormat="1" ht="12.75">
      <c r="A281" s="6"/>
      <c r="C281" s="6"/>
      <c r="D281" s="8"/>
    </row>
    <row r="282" spans="1:4" s="3" customFormat="1" ht="12.75">
      <c r="A282" s="6"/>
      <c r="C282" s="6"/>
      <c r="D282" s="8"/>
    </row>
    <row r="283" spans="1:4" s="3" customFormat="1" ht="12.75">
      <c r="A283" s="6"/>
      <c r="C283" s="6"/>
      <c r="D283" s="8"/>
    </row>
    <row r="284" spans="1:4" s="3" customFormat="1" ht="12.75">
      <c r="A284" s="6"/>
      <c r="C284" s="6"/>
      <c r="D284" s="8"/>
    </row>
    <row r="285" spans="1:4" s="3" customFormat="1" ht="12.75">
      <c r="A285" s="6"/>
      <c r="C285" s="6"/>
      <c r="D285" s="8"/>
    </row>
    <row r="286" spans="1:4" s="3" customFormat="1" ht="12.75">
      <c r="A286" s="6"/>
      <c r="C286" s="6"/>
      <c r="D286" s="8"/>
    </row>
    <row r="287" spans="1:4" s="3" customFormat="1" ht="12.75">
      <c r="A287" s="6"/>
      <c r="C287" s="6"/>
      <c r="D287" s="8"/>
    </row>
    <row r="288" spans="1:4" s="3" customFormat="1" ht="12.75">
      <c r="A288" s="6"/>
      <c r="C288" s="6"/>
      <c r="D288" s="8"/>
    </row>
    <row r="289" spans="1:4" s="3" customFormat="1" ht="12.75">
      <c r="A289" s="6"/>
      <c r="C289" s="6"/>
      <c r="D289" s="8"/>
    </row>
    <row r="290" spans="1:4" s="3" customFormat="1" ht="12.75">
      <c r="A290" s="6"/>
      <c r="C290" s="6"/>
      <c r="D290" s="8"/>
    </row>
    <row r="291" spans="1:4" s="3" customFormat="1" ht="12.75">
      <c r="A291" s="6"/>
      <c r="C291" s="6"/>
      <c r="D291" s="8"/>
    </row>
    <row r="292" spans="1:4" s="3" customFormat="1" ht="12.75">
      <c r="A292" s="6"/>
      <c r="C292" s="6"/>
      <c r="D292" s="8"/>
    </row>
    <row r="293" spans="1:4" s="3" customFormat="1" ht="12.75">
      <c r="A293" s="6"/>
      <c r="C293" s="6"/>
      <c r="D293" s="8"/>
    </row>
    <row r="294" spans="1:4" s="3" customFormat="1" ht="12.75">
      <c r="A294" s="6"/>
      <c r="C294" s="6"/>
      <c r="D294" s="8"/>
    </row>
    <row r="295" spans="1:4" s="3" customFormat="1" ht="12.75">
      <c r="A295" s="6"/>
      <c r="C295" s="6"/>
      <c r="D295" s="8"/>
    </row>
    <row r="296" spans="1:4" s="3" customFormat="1" ht="12.75">
      <c r="A296" s="6"/>
      <c r="C296" s="6"/>
      <c r="D296" s="8"/>
    </row>
    <row r="297" spans="1:4" s="3" customFormat="1" ht="12.75">
      <c r="A297" s="6"/>
      <c r="C297" s="6"/>
      <c r="D297" s="8"/>
    </row>
    <row r="298" spans="1:4" s="3" customFormat="1" ht="12.75">
      <c r="A298" s="6"/>
      <c r="C298" s="6"/>
      <c r="D298" s="8"/>
    </row>
    <row r="299" spans="1:4" s="3" customFormat="1" ht="12.75">
      <c r="A299" s="6"/>
      <c r="C299" s="6"/>
      <c r="D299" s="8"/>
    </row>
    <row r="300" spans="1:4" s="3" customFormat="1" ht="12.75">
      <c r="A300" s="6"/>
      <c r="C300" s="6"/>
      <c r="D300" s="8"/>
    </row>
    <row r="301" spans="1:4" s="3" customFormat="1" ht="12.75">
      <c r="A301" s="6"/>
      <c r="C301" s="6"/>
      <c r="D301" s="8"/>
    </row>
    <row r="302" spans="1:4" s="3" customFormat="1" ht="12.75">
      <c r="A302" s="6"/>
      <c r="C302" s="6"/>
      <c r="D302" s="8"/>
    </row>
    <row r="303" spans="1:4" s="3" customFormat="1" ht="12.75">
      <c r="A303" s="6"/>
      <c r="C303" s="6"/>
      <c r="D303" s="8"/>
    </row>
    <row r="304" spans="1:4" s="3" customFormat="1" ht="12.75">
      <c r="A304" s="6"/>
      <c r="C304" s="6"/>
      <c r="D304" s="8"/>
    </row>
    <row r="305" spans="1:4" s="3" customFormat="1" ht="12.75">
      <c r="A305" s="6"/>
      <c r="C305" s="6"/>
      <c r="D305" s="8"/>
    </row>
    <row r="306" spans="1:4" s="3" customFormat="1" ht="12.75">
      <c r="A306" s="6"/>
      <c r="C306" s="6"/>
      <c r="D306" s="8"/>
    </row>
    <row r="307" spans="1:4" s="3" customFormat="1" ht="12.75">
      <c r="A307" s="6"/>
      <c r="C307" s="6"/>
      <c r="D307" s="8"/>
    </row>
    <row r="308" spans="1:4" s="3" customFormat="1" ht="12.75">
      <c r="A308" s="6"/>
      <c r="C308" s="6"/>
      <c r="D308" s="8"/>
    </row>
    <row r="309" spans="1:4" s="3" customFormat="1" ht="12.75">
      <c r="A309" s="6"/>
      <c r="C309" s="6"/>
      <c r="D309" s="8"/>
    </row>
    <row r="310" spans="1:4" s="3" customFormat="1" ht="12.75">
      <c r="A310" s="6"/>
      <c r="C310" s="6"/>
      <c r="D310" s="8"/>
    </row>
    <row r="311" spans="1:4" s="3" customFormat="1" ht="12.75">
      <c r="A311" s="6"/>
      <c r="C311" s="6"/>
      <c r="D311" s="8"/>
    </row>
    <row r="312" spans="1:4" s="3" customFormat="1" ht="12.75">
      <c r="A312" s="6"/>
      <c r="C312" s="6"/>
      <c r="D312" s="8"/>
    </row>
    <row r="313" spans="1:4" s="3" customFormat="1" ht="12.75">
      <c r="A313" s="6"/>
      <c r="C313" s="6"/>
      <c r="D313" s="8"/>
    </row>
    <row r="314" spans="1:4" s="3" customFormat="1" ht="12.75">
      <c r="A314" s="6"/>
      <c r="C314" s="6"/>
      <c r="D314" s="8"/>
    </row>
    <row r="315" spans="1:4" s="3" customFormat="1" ht="12.75">
      <c r="A315" s="6"/>
      <c r="C315" s="6"/>
      <c r="D315" s="8"/>
    </row>
    <row r="316" spans="1:4" s="3" customFormat="1" ht="12.75">
      <c r="A316" s="6"/>
      <c r="C316" s="6"/>
      <c r="D316" s="8"/>
    </row>
    <row r="317" spans="1:4" s="3" customFormat="1" ht="12.75">
      <c r="A317" s="6"/>
      <c r="C317" s="6"/>
      <c r="D317" s="8"/>
    </row>
    <row r="318" spans="1:4" s="3" customFormat="1" ht="12.75">
      <c r="A318" s="6"/>
      <c r="C318" s="6"/>
      <c r="D318" s="8"/>
    </row>
    <row r="319" spans="1:4" s="3" customFormat="1" ht="12.75">
      <c r="A319" s="6"/>
      <c r="C319" s="6"/>
      <c r="D319" s="8"/>
    </row>
    <row r="320" spans="1:4" s="3" customFormat="1" ht="12.75">
      <c r="A320" s="6"/>
      <c r="C320" s="6"/>
      <c r="D320" s="8"/>
    </row>
    <row r="321" spans="1:4" s="3" customFormat="1" ht="12.75">
      <c r="A321" s="6"/>
      <c r="C321" s="6"/>
      <c r="D321" s="8"/>
    </row>
    <row r="322" spans="1:4" s="3" customFormat="1" ht="12.75">
      <c r="A322" s="6"/>
      <c r="C322" s="6"/>
      <c r="D322" s="8"/>
    </row>
    <row r="323" spans="1:4" s="3" customFormat="1" ht="12.75">
      <c r="A323" s="6"/>
      <c r="C323" s="6"/>
      <c r="D323" s="8"/>
    </row>
    <row r="324" spans="1:4" s="3" customFormat="1" ht="12.75">
      <c r="A324" s="6"/>
      <c r="C324" s="6"/>
      <c r="D324" s="8"/>
    </row>
    <row r="325" spans="1:4" s="3" customFormat="1" ht="12.75">
      <c r="A325" s="6"/>
      <c r="C325" s="6"/>
      <c r="D325" s="8"/>
    </row>
    <row r="326" spans="1:4" s="3" customFormat="1" ht="12.75">
      <c r="A326" s="6"/>
      <c r="C326" s="6"/>
      <c r="D326" s="8"/>
    </row>
    <row r="327" spans="1:4" s="3" customFormat="1" ht="12.75">
      <c r="A327" s="6"/>
      <c r="C327" s="6"/>
      <c r="D327" s="8"/>
    </row>
    <row r="328" spans="1:4" s="3" customFormat="1" ht="12.75">
      <c r="A328" s="6"/>
      <c r="C328" s="6"/>
      <c r="D328" s="8"/>
    </row>
    <row r="329" spans="1:4" s="3" customFormat="1" ht="12.75">
      <c r="A329" s="6"/>
      <c r="C329" s="6"/>
      <c r="D329" s="8"/>
    </row>
    <row r="330" spans="1:4" s="3" customFormat="1" ht="12.75">
      <c r="A330" s="6"/>
      <c r="C330" s="6"/>
      <c r="D330" s="8"/>
    </row>
    <row r="331" spans="1:4" s="3" customFormat="1" ht="12.75">
      <c r="A331" s="6"/>
      <c r="C331" s="6"/>
      <c r="D331" s="8"/>
    </row>
    <row r="332" spans="1:4" s="3" customFormat="1" ht="12.75">
      <c r="A332" s="6"/>
      <c r="C332" s="6"/>
      <c r="D332" s="8"/>
    </row>
    <row r="333" spans="1:4" s="3" customFormat="1" ht="12.75">
      <c r="A333" s="6"/>
      <c r="C333" s="6"/>
      <c r="D333" s="8"/>
    </row>
    <row r="334" spans="1:4" s="3" customFormat="1" ht="12.75">
      <c r="A334" s="6"/>
      <c r="C334" s="6"/>
      <c r="D334" s="8"/>
    </row>
    <row r="335" spans="1:4" s="3" customFormat="1" ht="12.75">
      <c r="A335" s="6"/>
      <c r="C335" s="6"/>
      <c r="D335" s="8"/>
    </row>
    <row r="336" spans="1:4" s="3" customFormat="1" ht="12.75">
      <c r="A336" s="6"/>
      <c r="C336" s="6"/>
      <c r="D336" s="8"/>
    </row>
    <row r="337" spans="1:4" s="3" customFormat="1" ht="12.75">
      <c r="A337" s="6"/>
      <c r="C337" s="6"/>
      <c r="D337" s="8"/>
    </row>
    <row r="338" spans="1:4" s="3" customFormat="1" ht="12.75">
      <c r="A338" s="6"/>
      <c r="C338" s="6"/>
      <c r="D338" s="8"/>
    </row>
    <row r="339" spans="1:4" s="3" customFormat="1" ht="12.75">
      <c r="A339" s="6"/>
      <c r="C339" s="6"/>
      <c r="D339" s="8"/>
    </row>
    <row r="340" spans="1:4" s="3" customFormat="1" ht="12.75">
      <c r="A340" s="6"/>
      <c r="C340" s="6"/>
      <c r="D340" s="8"/>
    </row>
    <row r="341" spans="1:4" s="3" customFormat="1" ht="12.75">
      <c r="A341" s="6"/>
      <c r="C341" s="6"/>
      <c r="D341" s="8"/>
    </row>
    <row r="342" spans="1:4" s="3" customFormat="1" ht="12.75">
      <c r="A342" s="6"/>
      <c r="C342" s="6"/>
      <c r="D342" s="8"/>
    </row>
    <row r="343" spans="1:4" s="3" customFormat="1" ht="12.75">
      <c r="A343" s="6"/>
      <c r="C343" s="6"/>
      <c r="D343" s="8"/>
    </row>
    <row r="344" spans="1:4" s="3" customFormat="1" ht="12.75">
      <c r="A344" s="6"/>
      <c r="C344" s="6"/>
      <c r="D344" s="8"/>
    </row>
    <row r="345" spans="1:4" s="3" customFormat="1" ht="12.75">
      <c r="A345" s="6"/>
      <c r="C345" s="6"/>
      <c r="D345" s="8"/>
    </row>
    <row r="346" spans="1:4" s="3" customFormat="1" ht="12.75">
      <c r="A346" s="6"/>
      <c r="C346" s="6"/>
      <c r="D346" s="8"/>
    </row>
    <row r="347" spans="1:4" s="3" customFormat="1" ht="12.75">
      <c r="A347" s="6"/>
      <c r="C347" s="6"/>
      <c r="D347" s="8"/>
    </row>
    <row r="348" spans="1:4" s="3" customFormat="1" ht="12.75">
      <c r="A348" s="6"/>
      <c r="C348" s="6"/>
      <c r="D348" s="8"/>
    </row>
    <row r="349" spans="1:4" s="3" customFormat="1" ht="12.75">
      <c r="A349" s="6"/>
      <c r="C349" s="6"/>
      <c r="D349" s="8"/>
    </row>
    <row r="350" spans="1:4" s="3" customFormat="1" ht="12.75">
      <c r="A350" s="6"/>
      <c r="C350" s="6"/>
      <c r="D350" s="8"/>
    </row>
    <row r="351" spans="1:4" s="3" customFormat="1" ht="12.75">
      <c r="A351" s="6"/>
      <c r="C351" s="6"/>
      <c r="D351" s="8"/>
    </row>
    <row r="352" spans="1:4" s="3" customFormat="1" ht="12.75">
      <c r="A352" s="6"/>
      <c r="C352" s="6"/>
      <c r="D352" s="8"/>
    </row>
    <row r="353" spans="1:4" s="3" customFormat="1" ht="12.75">
      <c r="A353" s="6"/>
      <c r="C353" s="6"/>
      <c r="D353" s="8"/>
    </row>
    <row r="354" spans="1:4" s="3" customFormat="1" ht="12.75">
      <c r="A354" s="6"/>
      <c r="C354" s="6"/>
      <c r="D354" s="8"/>
    </row>
    <row r="355" spans="1:4" s="3" customFormat="1" ht="12.75">
      <c r="A355" s="6"/>
      <c r="C355" s="6"/>
      <c r="D355" s="8"/>
    </row>
    <row r="356" spans="1:4" s="3" customFormat="1" ht="12.75">
      <c r="A356" s="6"/>
      <c r="C356" s="6"/>
      <c r="D356" s="8"/>
    </row>
    <row r="357" spans="1:4" s="3" customFormat="1" ht="12.75">
      <c r="A357" s="6"/>
      <c r="C357" s="6"/>
      <c r="D357" s="8"/>
    </row>
    <row r="358" spans="1:4" s="3" customFormat="1" ht="12.75">
      <c r="A358" s="6"/>
      <c r="C358" s="6"/>
      <c r="D358" s="8"/>
    </row>
    <row r="359" spans="1:4" s="3" customFormat="1" ht="12.75">
      <c r="A359" s="6"/>
      <c r="C359" s="6"/>
      <c r="D359" s="8"/>
    </row>
    <row r="360" spans="1:4" s="3" customFormat="1" ht="12.75">
      <c r="A360" s="6"/>
      <c r="C360" s="6"/>
      <c r="D360" s="8"/>
    </row>
    <row r="361" spans="1:4" s="3" customFormat="1" ht="12.75">
      <c r="A361" s="6"/>
      <c r="C361" s="6"/>
      <c r="D361" s="8"/>
    </row>
    <row r="362" spans="1:4" s="3" customFormat="1" ht="12.75">
      <c r="A362" s="6"/>
      <c r="C362" s="6"/>
      <c r="D362" s="8"/>
    </row>
    <row r="363" spans="1:4" s="3" customFormat="1" ht="12.75">
      <c r="A363" s="6"/>
      <c r="C363" s="6"/>
      <c r="D363" s="8"/>
    </row>
    <row r="364" spans="1:4" s="3" customFormat="1" ht="12.75">
      <c r="A364" s="6"/>
      <c r="C364" s="6"/>
      <c r="D364" s="8"/>
    </row>
    <row r="365" spans="1:4" s="3" customFormat="1" ht="12.75">
      <c r="A365" s="6"/>
      <c r="C365" s="6"/>
      <c r="D365" s="8"/>
    </row>
    <row r="366" spans="1:4" s="3" customFormat="1" ht="12.75">
      <c r="A366" s="6"/>
      <c r="C366" s="6"/>
      <c r="D366" s="8"/>
    </row>
    <row r="367" spans="1:4" s="3" customFormat="1" ht="12.75">
      <c r="A367" s="6"/>
      <c r="C367" s="6"/>
      <c r="D367" s="8"/>
    </row>
    <row r="368" spans="1:4" s="3" customFormat="1" ht="12.75">
      <c r="A368" s="6"/>
      <c r="C368" s="6"/>
      <c r="D368" s="8"/>
    </row>
    <row r="369" spans="1:4" s="3" customFormat="1" ht="12.75">
      <c r="A369" s="6"/>
      <c r="C369" s="6"/>
      <c r="D369" s="8"/>
    </row>
    <row r="370" spans="1:4" s="3" customFormat="1" ht="12.75">
      <c r="A370" s="6"/>
      <c r="C370" s="6"/>
      <c r="D370" s="8"/>
    </row>
    <row r="371" spans="1:4" s="3" customFormat="1" ht="12.75">
      <c r="A371" s="6"/>
      <c r="C371" s="6"/>
      <c r="D371" s="8"/>
    </row>
    <row r="372" spans="1:4" s="3" customFormat="1" ht="12.75">
      <c r="A372" s="6"/>
      <c r="C372" s="6"/>
      <c r="D372" s="8"/>
    </row>
    <row r="373" spans="1:4" s="3" customFormat="1" ht="12.75">
      <c r="A373" s="6"/>
      <c r="C373" s="6"/>
      <c r="D373" s="8"/>
    </row>
    <row r="374" spans="1:4" s="3" customFormat="1" ht="12.75">
      <c r="A374" s="6"/>
      <c r="C374" s="6"/>
      <c r="D374" s="8"/>
    </row>
    <row r="375" spans="1:4" s="3" customFormat="1" ht="12.75">
      <c r="A375" s="6"/>
      <c r="C375" s="6"/>
      <c r="D375" s="8"/>
    </row>
    <row r="376" spans="1:4" s="3" customFormat="1" ht="12.75">
      <c r="A376" s="6"/>
      <c r="C376" s="6"/>
      <c r="D376" s="8"/>
    </row>
    <row r="377" spans="1:4" s="3" customFormat="1" ht="12.75">
      <c r="A377" s="6"/>
      <c r="C377" s="6"/>
      <c r="D377" s="8"/>
    </row>
    <row r="378" spans="1:4" s="3" customFormat="1" ht="12.75">
      <c r="A378" s="6"/>
      <c r="C378" s="6"/>
      <c r="D378" s="8"/>
    </row>
    <row r="379" spans="1:4" s="3" customFormat="1" ht="12.75">
      <c r="A379" s="6"/>
      <c r="C379" s="6"/>
      <c r="D379" s="8"/>
    </row>
    <row r="380" spans="1:4" s="3" customFormat="1" ht="12.75">
      <c r="A380" s="6"/>
      <c r="C380" s="6"/>
      <c r="D380" s="8"/>
    </row>
    <row r="381" spans="1:4" s="3" customFormat="1" ht="12.75">
      <c r="A381" s="6"/>
      <c r="C381" s="6"/>
      <c r="D381" s="8"/>
    </row>
    <row r="382" spans="1:4" s="3" customFormat="1" ht="12.75">
      <c r="A382" s="6"/>
      <c r="C382" s="6"/>
      <c r="D382" s="8"/>
    </row>
    <row r="383" spans="1:4" s="3" customFormat="1" ht="12.75">
      <c r="A383" s="6"/>
      <c r="C383" s="6"/>
      <c r="D383" s="8"/>
    </row>
    <row r="384" spans="1:4" s="3" customFormat="1" ht="12.75">
      <c r="A384" s="6"/>
      <c r="C384" s="6"/>
      <c r="D384" s="8"/>
    </row>
    <row r="385" spans="1:4" s="3" customFormat="1" ht="12.75">
      <c r="A385" s="6"/>
      <c r="C385" s="6"/>
      <c r="D385" s="8"/>
    </row>
    <row r="386" spans="1:4" s="3" customFormat="1" ht="12.75">
      <c r="A386" s="6"/>
      <c r="C386" s="6"/>
      <c r="D386" s="8"/>
    </row>
    <row r="387" spans="1:4" s="3" customFormat="1" ht="12.75">
      <c r="A387" s="6"/>
      <c r="C387" s="6"/>
      <c r="D387" s="8"/>
    </row>
    <row r="388" spans="1:4" s="3" customFormat="1" ht="12.75">
      <c r="A388" s="6"/>
      <c r="C388" s="6"/>
      <c r="D388" s="8"/>
    </row>
    <row r="389" spans="1:4" s="3" customFormat="1" ht="12.75">
      <c r="A389" s="6"/>
      <c r="C389" s="6"/>
      <c r="D389" s="8"/>
    </row>
    <row r="390" spans="1:4" s="3" customFormat="1" ht="12.75">
      <c r="A390" s="6"/>
      <c r="C390" s="6"/>
      <c r="D390" s="8"/>
    </row>
    <row r="391" spans="1:4" s="3" customFormat="1" ht="12.75">
      <c r="A391" s="6"/>
      <c r="C391" s="6"/>
      <c r="D391" s="8"/>
    </row>
    <row r="392" spans="1:4" s="3" customFormat="1" ht="12.75">
      <c r="A392" s="6"/>
      <c r="C392" s="6"/>
      <c r="D392" s="8"/>
    </row>
    <row r="393" spans="1:4" s="3" customFormat="1" ht="12.75">
      <c r="A393" s="6"/>
      <c r="C393" s="6"/>
      <c r="D393" s="8"/>
    </row>
    <row r="394" spans="1:4" s="3" customFormat="1" ht="12.75">
      <c r="A394" s="6"/>
      <c r="C394" s="6"/>
      <c r="D394" s="8"/>
    </row>
    <row r="395" spans="1:4" s="3" customFormat="1" ht="12.75">
      <c r="A395" s="6"/>
      <c r="C395" s="6"/>
      <c r="D395" s="8"/>
    </row>
    <row r="396" spans="1:4" s="3" customFormat="1" ht="12.75">
      <c r="A396" s="6"/>
      <c r="C396" s="6"/>
      <c r="D396" s="8"/>
    </row>
    <row r="397" spans="1:4" s="3" customFormat="1" ht="12.75">
      <c r="A397" s="6"/>
      <c r="C397" s="6"/>
      <c r="D397" s="8"/>
    </row>
    <row r="398" spans="1:4" s="3" customFormat="1" ht="12.75">
      <c r="A398" s="6"/>
      <c r="C398" s="6"/>
      <c r="D398" s="8"/>
    </row>
    <row r="399" spans="1:4" s="3" customFormat="1" ht="12.75">
      <c r="A399" s="6"/>
      <c r="C399" s="6"/>
      <c r="D399" s="8"/>
    </row>
    <row r="400" spans="1:4" s="3" customFormat="1" ht="12.75">
      <c r="A400" s="6"/>
      <c r="C400" s="6"/>
      <c r="D400" s="8"/>
    </row>
    <row r="401" spans="1:4" s="3" customFormat="1" ht="12.75">
      <c r="A401" s="6"/>
      <c r="C401" s="6"/>
      <c r="D401" s="8"/>
    </row>
    <row r="402" spans="1:4" s="3" customFormat="1" ht="12.75">
      <c r="A402" s="6"/>
      <c r="C402" s="6"/>
      <c r="D402" s="8"/>
    </row>
    <row r="403" spans="1:4" s="3" customFormat="1" ht="12.75">
      <c r="A403" s="6"/>
      <c r="C403" s="6"/>
      <c r="D403" s="8"/>
    </row>
    <row r="404" spans="1:4" s="3" customFormat="1" ht="12.75">
      <c r="A404" s="6"/>
      <c r="C404" s="6"/>
      <c r="D404" s="8"/>
    </row>
    <row r="405" spans="1:4" s="3" customFormat="1" ht="12.75">
      <c r="A405" s="6"/>
      <c r="C405" s="6"/>
      <c r="D405" s="8"/>
    </row>
    <row r="406" spans="1:4" s="3" customFormat="1" ht="12.75">
      <c r="A406" s="6"/>
      <c r="C406" s="6"/>
      <c r="D406" s="8"/>
    </row>
    <row r="407" spans="1:4" s="3" customFormat="1" ht="12.75">
      <c r="A407" s="6"/>
      <c r="C407" s="6"/>
      <c r="D407" s="8"/>
    </row>
    <row r="408" spans="1:4" s="3" customFormat="1" ht="12.75">
      <c r="A408" s="6"/>
      <c r="C408" s="6"/>
      <c r="D408" s="8"/>
    </row>
    <row r="409" spans="1:4" s="3" customFormat="1" ht="12.75">
      <c r="A409" s="6"/>
      <c r="C409" s="6"/>
      <c r="D409" s="8"/>
    </row>
    <row r="410" spans="1:4" s="3" customFormat="1" ht="12.75">
      <c r="A410" s="6"/>
      <c r="C410" s="6"/>
      <c r="D410" s="8"/>
    </row>
    <row r="411" spans="1:4" s="3" customFormat="1" ht="12.75">
      <c r="A411" s="6"/>
      <c r="C411" s="6"/>
      <c r="D411" s="8"/>
    </row>
    <row r="412" spans="1:4" s="3" customFormat="1" ht="12.75">
      <c r="A412" s="6"/>
      <c r="C412" s="6"/>
      <c r="D412" s="8"/>
    </row>
    <row r="413" spans="1:4" s="3" customFormat="1" ht="12.75">
      <c r="A413" s="6"/>
      <c r="C413" s="6"/>
      <c r="D413" s="8"/>
    </row>
    <row r="414" spans="1:4" s="3" customFormat="1" ht="12.75">
      <c r="A414" s="6"/>
      <c r="C414" s="6"/>
      <c r="D414" s="8"/>
    </row>
    <row r="415" spans="1:4" s="3" customFormat="1" ht="12.75">
      <c r="A415" s="6"/>
      <c r="C415" s="6"/>
      <c r="D415" s="8"/>
    </row>
    <row r="416" spans="1:4" s="3" customFormat="1" ht="12.75">
      <c r="A416" s="6"/>
      <c r="C416" s="6"/>
      <c r="D416" s="8"/>
    </row>
    <row r="417" spans="1:4" s="3" customFormat="1" ht="12.75">
      <c r="A417" s="6"/>
      <c r="C417" s="6"/>
      <c r="D417" s="8"/>
    </row>
    <row r="418" spans="1:4" s="3" customFormat="1" ht="12.75">
      <c r="A418" s="6"/>
      <c r="C418" s="6"/>
      <c r="D418" s="8"/>
    </row>
    <row r="419" spans="1:4" s="3" customFormat="1" ht="12.75">
      <c r="A419" s="6"/>
      <c r="C419" s="6"/>
      <c r="D419" s="8"/>
    </row>
    <row r="420" spans="1:4" s="3" customFormat="1" ht="12.75">
      <c r="A420" s="6"/>
      <c r="C420" s="6"/>
      <c r="D420" s="8"/>
    </row>
    <row r="421" spans="1:4" s="3" customFormat="1" ht="12.75">
      <c r="A421" s="6"/>
      <c r="C421" s="6"/>
      <c r="D421" s="8"/>
    </row>
    <row r="422" spans="1:4" s="3" customFormat="1" ht="12.75">
      <c r="A422" s="6"/>
      <c r="C422" s="6"/>
      <c r="D422" s="8"/>
    </row>
    <row r="423" spans="1:4" s="3" customFormat="1" ht="12.75">
      <c r="A423" s="6"/>
      <c r="C423" s="6"/>
      <c r="D423" s="8"/>
    </row>
    <row r="424" spans="1:4" s="3" customFormat="1" ht="12.75">
      <c r="A424" s="6"/>
      <c r="C424" s="6"/>
      <c r="D424" s="8"/>
    </row>
    <row r="425" spans="1:4" s="3" customFormat="1" ht="12.75">
      <c r="A425" s="6"/>
      <c r="C425" s="6"/>
      <c r="D425" s="8"/>
    </row>
    <row r="426" spans="1:4" s="3" customFormat="1" ht="12.75">
      <c r="A426" s="6"/>
      <c r="C426" s="6"/>
      <c r="D426" s="8"/>
    </row>
    <row r="427" spans="1:4" s="3" customFormat="1" ht="12.75">
      <c r="A427" s="6"/>
      <c r="C427" s="6"/>
      <c r="D427" s="8"/>
    </row>
    <row r="428" spans="1:4" s="3" customFormat="1" ht="12.75">
      <c r="A428" s="6"/>
      <c r="C428" s="6"/>
      <c r="D428" s="8"/>
    </row>
    <row r="429" spans="1:4" s="3" customFormat="1" ht="12.75">
      <c r="A429" s="6"/>
      <c r="C429" s="6"/>
      <c r="D429" s="8"/>
    </row>
    <row r="430" spans="1:4" s="3" customFormat="1" ht="12.75">
      <c r="A430" s="6"/>
      <c r="C430" s="6"/>
      <c r="D430" s="8"/>
    </row>
    <row r="431" spans="1:4" s="3" customFormat="1" ht="12.75">
      <c r="A431" s="6"/>
      <c r="C431" s="6"/>
      <c r="D431" s="8"/>
    </row>
    <row r="432" spans="1:4" s="3" customFormat="1" ht="12.75">
      <c r="A432" s="6"/>
      <c r="C432" s="6"/>
      <c r="D432" s="8"/>
    </row>
    <row r="433" spans="1:4" s="3" customFormat="1" ht="12.75">
      <c r="A433" s="6"/>
      <c r="C433" s="6"/>
      <c r="D433" s="8"/>
    </row>
    <row r="434" spans="1:4" s="3" customFormat="1" ht="12.75">
      <c r="A434" s="6"/>
      <c r="C434" s="6"/>
      <c r="D434" s="8"/>
    </row>
    <row r="435" spans="1:4" s="3" customFormat="1" ht="12.75">
      <c r="A435" s="6"/>
      <c r="C435" s="6"/>
      <c r="D435" s="8"/>
    </row>
    <row r="436" spans="1:4" s="3" customFormat="1" ht="12.75">
      <c r="A436" s="6"/>
      <c r="C436" s="6"/>
      <c r="D436" s="8"/>
    </row>
    <row r="437" spans="1:4" s="3" customFormat="1" ht="12.75">
      <c r="A437" s="6"/>
      <c r="C437" s="6"/>
      <c r="D437" s="8"/>
    </row>
    <row r="438" spans="1:4" s="3" customFormat="1" ht="12.75">
      <c r="A438" s="6"/>
      <c r="C438" s="6"/>
      <c r="D438" s="8"/>
    </row>
    <row r="439" spans="1:4" s="3" customFormat="1" ht="12.75">
      <c r="A439" s="6"/>
      <c r="C439" s="6"/>
      <c r="D439" s="8"/>
    </row>
    <row r="440" spans="1:4" s="3" customFormat="1" ht="12.75">
      <c r="A440" s="6"/>
      <c r="C440" s="6"/>
      <c r="D440" s="8"/>
    </row>
    <row r="441" spans="1:4" s="3" customFormat="1" ht="12.75">
      <c r="A441" s="6"/>
      <c r="C441" s="6"/>
      <c r="D441" s="8"/>
    </row>
    <row r="442" spans="1:4" s="3" customFormat="1" ht="12.75">
      <c r="A442" s="6"/>
      <c r="C442" s="6"/>
      <c r="D442" s="8"/>
    </row>
    <row r="443" spans="1:4" s="3" customFormat="1" ht="12.75">
      <c r="A443" s="6"/>
      <c r="C443" s="6"/>
      <c r="D443" s="8"/>
    </row>
    <row r="444" spans="1:4" s="3" customFormat="1" ht="12.75">
      <c r="A444" s="6"/>
      <c r="C444" s="6"/>
      <c r="D444" s="8"/>
    </row>
    <row r="445" spans="1:4" s="3" customFormat="1" ht="12.75">
      <c r="A445" s="6"/>
      <c r="C445" s="6"/>
      <c r="D445" s="8"/>
    </row>
    <row r="446" spans="1:4" s="3" customFormat="1" ht="12.75">
      <c r="A446" s="6"/>
      <c r="C446" s="6"/>
      <c r="D446" s="8"/>
    </row>
    <row r="447" spans="1:4" s="3" customFormat="1" ht="12.75">
      <c r="A447" s="6"/>
      <c r="C447" s="6"/>
      <c r="D447" s="8"/>
    </row>
    <row r="448" spans="1:4" s="3" customFormat="1" ht="12.75">
      <c r="A448" s="6"/>
      <c r="C448" s="6"/>
      <c r="D448" s="8"/>
    </row>
    <row r="449" spans="1:4" s="3" customFormat="1" ht="12.75">
      <c r="A449" s="6"/>
      <c r="C449" s="6"/>
      <c r="D449" s="8"/>
    </row>
    <row r="450" spans="1:4" s="3" customFormat="1" ht="12.75">
      <c r="A450" s="6"/>
      <c r="C450" s="6"/>
      <c r="D450" s="8"/>
    </row>
    <row r="451" spans="1:4" s="3" customFormat="1" ht="12.75">
      <c r="A451" s="6"/>
      <c r="C451" s="6"/>
      <c r="D451" s="8"/>
    </row>
    <row r="452" spans="1:4" s="3" customFormat="1" ht="12.75">
      <c r="A452" s="6"/>
      <c r="C452" s="6"/>
      <c r="D452" s="8"/>
    </row>
    <row r="453" spans="1:4" s="3" customFormat="1" ht="12.75">
      <c r="A453" s="6"/>
      <c r="C453" s="6"/>
      <c r="D453" s="8"/>
    </row>
    <row r="454" spans="1:4" s="3" customFormat="1" ht="12.75">
      <c r="A454" s="6"/>
      <c r="C454" s="6"/>
      <c r="D454" s="8"/>
    </row>
    <row r="455" spans="1:4" s="3" customFormat="1" ht="12.75">
      <c r="A455" s="6"/>
      <c r="C455" s="6"/>
      <c r="D455" s="8"/>
    </row>
    <row r="456" spans="1:4" s="3" customFormat="1" ht="12.75">
      <c r="A456" s="6"/>
      <c r="C456" s="6"/>
      <c r="D456" s="8"/>
    </row>
    <row r="457" spans="1:4" s="3" customFormat="1" ht="12.75">
      <c r="A457" s="6"/>
      <c r="C457" s="6"/>
      <c r="D457" s="8"/>
    </row>
    <row r="458" spans="1:4" s="3" customFormat="1" ht="12.75">
      <c r="A458" s="6"/>
      <c r="C458" s="6"/>
      <c r="D458" s="8"/>
    </row>
    <row r="459" spans="1:4" s="3" customFormat="1" ht="12.75">
      <c r="A459" s="6"/>
      <c r="C459" s="6"/>
      <c r="D459" s="8"/>
    </row>
    <row r="460" spans="1:4" s="3" customFormat="1" ht="12.75">
      <c r="A460" s="6"/>
      <c r="C460" s="6"/>
      <c r="D460" s="8"/>
    </row>
    <row r="461" spans="1:4" s="3" customFormat="1" ht="12.75">
      <c r="A461" s="6"/>
      <c r="C461" s="6"/>
      <c r="D461" s="8"/>
    </row>
    <row r="462" spans="1:4" s="3" customFormat="1" ht="12.75">
      <c r="A462" s="6"/>
      <c r="C462" s="6"/>
      <c r="D462" s="8"/>
    </row>
    <row r="463" spans="1:4" s="3" customFormat="1" ht="12.75">
      <c r="A463" s="6"/>
      <c r="C463" s="6"/>
      <c r="D463" s="8"/>
    </row>
    <row r="464" spans="1:4" s="3" customFormat="1" ht="12.75">
      <c r="A464" s="6"/>
      <c r="C464" s="6"/>
      <c r="D464" s="8"/>
    </row>
    <row r="465" spans="1:9" s="3" customFormat="1" ht="12.75">
      <c r="A465" s="6"/>
      <c r="C465" s="6"/>
      <c r="D465" s="8"/>
    </row>
    <row r="466" spans="1:9" s="3" customFormat="1" ht="12.75">
      <c r="A466" s="6"/>
      <c r="C466" s="6"/>
      <c r="D466" s="8"/>
    </row>
    <row r="467" spans="1:9" s="3" customFormat="1" ht="12.75">
      <c r="A467" s="6"/>
      <c r="C467" s="6"/>
      <c r="D467" s="8"/>
    </row>
    <row r="468" spans="1:9" s="3" customFormat="1">
      <c r="A468" s="7"/>
      <c r="B468" s="2"/>
      <c r="C468" s="7"/>
      <c r="D468" s="4"/>
      <c r="E468" s="1"/>
      <c r="F468" s="1"/>
      <c r="G468" s="1"/>
      <c r="H468" s="1"/>
      <c r="I468" s="1"/>
    </row>
    <row r="469" spans="1:9" s="3" customFormat="1">
      <c r="A469" s="7"/>
      <c r="B469" s="2"/>
      <c r="C469" s="7"/>
      <c r="D469" s="4"/>
      <c r="E469" s="1"/>
      <c r="F469" s="1"/>
      <c r="G469" s="1"/>
      <c r="H469" s="1"/>
      <c r="I469" s="1"/>
    </row>
    <row r="470" spans="1:9" s="3" customFormat="1">
      <c r="A470" s="7"/>
      <c r="B470" s="2"/>
      <c r="C470" s="7"/>
      <c r="D470" s="4"/>
      <c r="E470" s="1"/>
      <c r="F470" s="1"/>
      <c r="G470" s="1"/>
      <c r="H470" s="1"/>
      <c r="I470" s="1"/>
    </row>
  </sheetData>
  <mergeCells count="3">
    <mergeCell ref="B1:E1"/>
    <mergeCell ref="A4:A5"/>
    <mergeCell ref="B4:E4"/>
  </mergeCells>
  <printOptions horizontalCentered="1"/>
  <pageMargins left="0.24" right="0.34" top="0.51" bottom="0.51" header="0" footer="0.24"/>
  <pageSetup paperSize="9" scale="52" fitToHeight="6" orientation="portrait" r:id="rId1"/>
  <headerFooter alignWithMargins="0"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21"/>
  <sheetViews>
    <sheetView showGridLines="0" tabSelected="1" workbookViewId="0">
      <selection activeCell="J11" sqref="J11"/>
    </sheetView>
  </sheetViews>
  <sheetFormatPr defaultRowHeight="15"/>
  <cols>
    <col min="1" max="1" width="4.42578125" customWidth="1"/>
    <col min="2" max="2" width="45.85546875" bestFit="1" customWidth="1"/>
    <col min="3" max="3" width="12.28515625" customWidth="1"/>
    <col min="4" max="4" width="9.85546875" bestFit="1" customWidth="1"/>
    <col min="5" max="5" width="10.42578125" customWidth="1"/>
    <col min="6" max="6" width="9.85546875" bestFit="1" customWidth="1"/>
  </cols>
  <sheetData>
    <row r="1" spans="2:6" ht="39.75" customHeight="1">
      <c r="B1" s="57" t="s">
        <v>127</v>
      </c>
      <c r="C1" s="57"/>
      <c r="D1" s="57"/>
      <c r="E1" s="57"/>
      <c r="F1" s="57"/>
    </row>
    <row r="3" spans="2:6">
      <c r="B3" s="58" t="s">
        <v>128</v>
      </c>
      <c r="C3" s="59"/>
      <c r="D3" s="59"/>
      <c r="E3" s="59"/>
      <c r="F3" s="59"/>
    </row>
    <row r="4" spans="2:6">
      <c r="B4" s="60" t="s">
        <v>129</v>
      </c>
      <c r="C4" s="62" t="s">
        <v>130</v>
      </c>
      <c r="D4" s="63"/>
      <c r="E4" s="64" t="s">
        <v>131</v>
      </c>
      <c r="F4" s="64"/>
    </row>
    <row r="5" spans="2:6">
      <c r="B5" s="61"/>
      <c r="C5" s="38" t="s">
        <v>132</v>
      </c>
      <c r="D5" s="37" t="s">
        <v>8</v>
      </c>
      <c r="E5" s="38" t="s">
        <v>132</v>
      </c>
      <c r="F5" s="38" t="s">
        <v>8</v>
      </c>
    </row>
    <row r="6" spans="2:6">
      <c r="B6" s="36" t="s">
        <v>133</v>
      </c>
      <c r="C6" s="55">
        <v>0.85</v>
      </c>
      <c r="D6" s="56">
        <f>IF((COUNTIF('1 - Requisitos Funcionais'!$E$6:$E$1039,"Mandatório")-COUNTIFS('1 - Requisitos Funcionais'!$E:$E,"Mandatório",'1 - Requisitos Funcionais'!$F:$F,"6 - Não se aplica"))=0,0,(((COUNTIFS('1 - Requisitos Funcionais'!$E:$E,"Mandatório",'1 - Requisitos Funcionais'!$F:$F,"1 - Atende de forma nativa")+COUNTIFS('1 - Requisitos Funcionais'!$E:$E,"Mandatório",'1 - Requisitos Funcionais'!$F:$F,"2 - Atende com customização/parametrização"))/(COUNTIF('1 - Requisitos Funcionais'!$E$6:$E$1039,"Mandatório")-COUNTIFS('1 - Requisitos Funcionais'!$E:$E,"Mandatório",'1 - Requisitos Funcionais'!$F:$F,"6 - Não se aplica")))))</f>
        <v>1</v>
      </c>
      <c r="E6" s="55">
        <v>0.5</v>
      </c>
      <c r="F6" s="56">
        <f>IF((COUNTIF('1 - Requisitos Funcionais'!$E$6:$E$1039,"Desejável")-COUNTIFS('1 - Requisitos Funcionais'!$E:$E,"Desejável",'1 - Requisitos Funcionais'!$F:$F,"6 - Não se aplica"))=0,0,((COUNTIFS('1 - Requisitos Funcionais'!$E:$E,"Desejável",'1 - Requisitos Funcionais'!$F:$F,"1 - Atende de forma nativa")+COUNTIFS('1 - Requisitos Funcionais'!$E:$E,"Desejável",'1 - Requisitos Funcionais'!$F:$F,"2 - Atende com customização/parametrização"))/(COUNTIF('1 - Requisitos Funcionais'!$E$6:$E$1039,"Desejável")-COUNTIFS('1 - Requisitos Funcionais'!$E:$E,"Desejável",'1 - Requisitos Funcionais'!$F:$F,"6 - Não se aplica"))))</f>
        <v>0</v>
      </c>
    </row>
    <row r="7" spans="2:6">
      <c r="B7" s="36" t="s">
        <v>134</v>
      </c>
      <c r="C7" s="55"/>
      <c r="D7" s="56"/>
      <c r="E7" s="55"/>
      <c r="F7" s="56"/>
    </row>
    <row r="8" spans="2:6">
      <c r="B8" s="36" t="s">
        <v>135</v>
      </c>
      <c r="C8" s="47">
        <v>0.05</v>
      </c>
      <c r="D8" s="39">
        <f>IF((COUNTIF('1 - Requisitos Funcionais'!$E$6:$E$1039,"Mandatório")-COUNTIFS('1 - Requisitos Funcionais'!$E:$E,"Mandatório",'1 - Requisitos Funcionais'!$F:$F,"6 - Não se aplica"))=0,0,((COUNTIFS('1 - Requisitos Funcionais'!$E:$E,"Mandatório",'1 - Requisitos Funcionais'!$F:$F,"3 - Atende com codificação"))/(COUNTIF('1 - Requisitos Funcionais'!$E$6:$E$1039,"Mandatório")-COUNTIFS('1 - Requisitos Funcionais'!$E:$E,"Mandatório",'1 - Requisitos Funcionais'!$F:$F,"6 - Não se aplica"))))</f>
        <v>0</v>
      </c>
      <c r="E8" s="47">
        <v>0.15</v>
      </c>
      <c r="F8" s="39">
        <f>IF((COUNTIF('1 - Requisitos Funcionais'!$E$6:$E$1039,"Desejável")-COUNTIFS('1 - Requisitos Funcionais'!$E:$E,"Desejável",'1 - Requisitos Funcionais'!$F:$F,"6 - Não se aplica"))=0,0,(COUNTIFS('1 - Requisitos Funcionais'!$E:$E,"Desejável",'1 - Requisitos Funcionais'!$F:$F,"3 - Atende com codificação"))/(COUNTIF('1 - Requisitos Funcionais'!$E$6:$E$1039,"Desejável")-COUNTIFS('1 - Requisitos Funcionais'!$E:$E,"Desejável",'1 - Requisitos Funcionais'!$F:$F,"6 - Não se aplica")))</f>
        <v>0</v>
      </c>
    </row>
    <row r="9" spans="2:6">
      <c r="B9" s="36" t="s">
        <v>136</v>
      </c>
      <c r="C9" s="47">
        <v>0.1</v>
      </c>
      <c r="D9" s="39">
        <f>IF((COUNTIF('1 - Requisitos Funcionais'!$E$6:$E$1039,"Mandatório")-COUNTIFS('1 - Requisitos Funcionais'!$E:$E,"Mandatório",'1 - Requisitos Funcionais'!$F:$F,"6 - Não se aplica"))=0,0,((COUNTIFS('1 - Requisitos Funcionais'!$E:$E,"Mandatório",'1 - Requisitos Funcionais'!$F:$F,"4 - Atende com aplicação terceira"))/(COUNTIF('1 - Requisitos Funcionais'!$E$6:$E$1039,"Mandatório")-COUNTIFS('1 - Requisitos Funcionais'!$E:$E,"Mandatório",'1 - Requisitos Funcionais'!$F:$F,"6 - Não se aplica"))))</f>
        <v>0</v>
      </c>
      <c r="E9" s="47">
        <v>0.15</v>
      </c>
      <c r="F9" s="39">
        <f>IF((COUNTIF('1 - Requisitos Funcionais'!$E$6:$E$1039,"Desejável")-COUNTIFS('1 - Requisitos Funcionais'!$E:$E,"Desejável",'1 - Requisitos Funcionais'!$F:$F,"6 - Não se aplica"))=0,0,(COUNTIFS('1 - Requisitos Funcionais'!$E:$E,"Desejável",'1 - Requisitos Funcionais'!$F:$F,"4 - Atende com aplicação terceira"))/(COUNTIF('1 - Requisitos Funcionais'!$E$6:$E$1039,"Desejável")-COUNTIFS('1 - Requisitos Funcionais'!$E:$E,"Desejável",'1 - Requisitos Funcionais'!$F:$F,"6 - Não se aplica")))</f>
        <v>0</v>
      </c>
    </row>
    <row r="10" spans="2:6">
      <c r="B10" s="36" t="s">
        <v>137</v>
      </c>
      <c r="C10" s="47">
        <v>0</v>
      </c>
      <c r="D10" s="39">
        <f>IF((COUNTIF('1 - Requisitos Funcionais'!$E$6:$E$1039,"Mandatório")-COUNTIFS('1 - Requisitos Funcionais'!$E:$E,"Mandatório",'1 - Requisitos Funcionais'!$F:$F,"6 - Não se aplica"))=0,0,((COUNTIFS('1 - Requisitos Funcionais'!$E:$E,"Mandatório",'1 - Requisitos Funcionais'!$F:$F,"5 - Não atende"))/(COUNTIF('1 - Requisitos Funcionais'!$E$6:$E$1039,"Mandatório")-COUNTIFS('1 - Requisitos Funcionais'!$E:$E,"Mandatório",'1 - Requisitos Funcionais'!$F:$F,"6 - Não se aplica"))))</f>
        <v>0</v>
      </c>
      <c r="E10" s="47">
        <v>0.2</v>
      </c>
      <c r="F10" s="39">
        <f>IF((COUNTIF('1 - Requisitos Funcionais'!$E$6:$E$1039,"Desejável")-COUNTIFS('1 - Requisitos Funcionais'!$E:$E,"Desejável",'1 - Requisitos Funcionais'!$F:$F,"6 - Não se aplica"))=0,0,(COUNTIFS('1 - Requisitos Funcionais'!$E:$E,"Desejável",'1 - Requisitos Funcionais'!$F:$F,"5 - Não atende"))/(COUNTIF('1 - Requisitos Funcionais'!$E$6:$E$1039,"Desejável")-COUNTIFS('1 - Requisitos Funcionais'!$E:$E,"Desejável",'1 - Requisitos Funcionais'!$F:$F,"6 - Não se aplica")))</f>
        <v>0</v>
      </c>
    </row>
    <row r="11" spans="2:6">
      <c r="C11" s="46">
        <f>SUM(C6:C10)</f>
        <v>1</v>
      </c>
      <c r="D11" s="46">
        <f>SUM(D6:D10)</f>
        <v>1</v>
      </c>
      <c r="E11" s="46">
        <f>SUM(E6:E10)</f>
        <v>1</v>
      </c>
      <c r="F11" s="46">
        <f>SUM(F6:F10)</f>
        <v>0</v>
      </c>
    </row>
    <row r="13" spans="2:6">
      <c r="B13" s="58" t="s">
        <v>138</v>
      </c>
      <c r="C13" s="59"/>
      <c r="D13" s="59"/>
      <c r="E13" s="59"/>
      <c r="F13" s="59"/>
    </row>
    <row r="14" spans="2:6">
      <c r="B14" s="60" t="s">
        <v>129</v>
      </c>
      <c r="C14" s="62" t="s">
        <v>130</v>
      </c>
      <c r="D14" s="63"/>
      <c r="E14" s="64" t="s">
        <v>131</v>
      </c>
      <c r="F14" s="64"/>
    </row>
    <row r="15" spans="2:6">
      <c r="B15" s="61"/>
      <c r="C15" s="38" t="s">
        <v>132</v>
      </c>
      <c r="D15" s="37" t="s">
        <v>8</v>
      </c>
      <c r="E15" s="38" t="s">
        <v>132</v>
      </c>
      <c r="F15" s="38" t="s">
        <v>8</v>
      </c>
    </row>
    <row r="16" spans="2:6">
      <c r="B16" s="36" t="s">
        <v>133</v>
      </c>
      <c r="C16" s="55">
        <v>0.85</v>
      </c>
      <c r="D16" s="56">
        <f>IF((COUNTIF('2 - Requisitos Técnicos'!$E$6:$E$1039,"Mandatório")-COUNTIFS('2 - Requisitos Técnicos'!$E:$E,"Mandatório",'2 - Requisitos Técnicos'!$F:$F,"6 - Não se aplica"))=0,0,(((COUNTIFS('2 - Requisitos Técnicos'!$E:$E,"Mandatório",'2 - Requisitos Técnicos'!$F:$F,"1 - Atende de forma nativa")+COUNTIFS('2 - Requisitos Técnicos'!$E:$E,"Mandatório",'2 - Requisitos Técnicos'!$F:$F,"2 - Atende com customização/parametrização"))/(COUNTIF('2 - Requisitos Técnicos'!$E$6:$E$1039,"Mandatório")-COUNTIFS('2 - Requisitos Técnicos'!$E:$E,"Mandatório",'2 - Requisitos Técnicos'!$F:$F,"6 - Não se aplica")))))</f>
        <v>1</v>
      </c>
      <c r="E16" s="55">
        <v>0.5</v>
      </c>
      <c r="F16" s="56">
        <f>IF((COUNTIF('2 - Requisitos Técnicos'!$E$6:$E$1039,"Desejável")-COUNTIFS('2 - Requisitos Técnicos'!$E:$E,"Desejável",'2 - Requisitos Técnicos'!$F:$F,"6 - Não se aplica"))=0,0,((COUNTIFS('2 - Requisitos Técnicos'!$E:$E,"Desejável",'2 - Requisitos Técnicos'!$F:$F,"1 - Atende de forma nativa")+COUNTIFS('2 - Requisitos Técnicos'!$E:$E,"Desejável",'2 - Requisitos Técnicos'!$F:$F,"2 - Atende com customização/parametrização"))/(COUNTIF('2 - Requisitos Técnicos'!$E$6:$E$1039,"Desejável")-COUNTIFS('2 - Requisitos Técnicos'!$E:$E,"Desejável",'2 - Requisitos Técnicos'!$F:$F,"6 - Não se aplica"))))</f>
        <v>0</v>
      </c>
    </row>
    <row r="17" spans="2:6">
      <c r="B17" s="36" t="s">
        <v>134</v>
      </c>
      <c r="C17" s="55"/>
      <c r="D17" s="56"/>
      <c r="E17" s="55"/>
      <c r="F17" s="56"/>
    </row>
    <row r="18" spans="2:6">
      <c r="B18" s="36" t="s">
        <v>135</v>
      </c>
      <c r="C18" s="47">
        <v>0.05</v>
      </c>
      <c r="D18" s="39">
        <f>IF((COUNTIF('2 - Requisitos Técnicos'!$E$6:$E$1039,"Mandatório")-COUNTIFS('2 - Requisitos Técnicos'!$E:$E,"Mandatório",'2 - Requisitos Técnicos'!$F:$F,"6 - Não se aplica"))=0,0,((COUNTIFS('2 - Requisitos Técnicos'!$E:$E,"Mandatório",'2 - Requisitos Técnicos'!$F:$F,"3 - Atende com codificação"))/(COUNTIF('2 - Requisitos Técnicos'!$E$6:$E$1039,"Mandatório")-COUNTIFS('2 - Requisitos Técnicos'!$E:$E,"Mandatório",'2 - Requisitos Técnicos'!$F:$F,"6 - Não se aplica"))))</f>
        <v>0</v>
      </c>
      <c r="E18" s="47">
        <v>0.15</v>
      </c>
      <c r="F18" s="39">
        <f>IF((COUNTIF('2 - Requisitos Técnicos'!$E$6:$E$1039,"Desejável")-COUNTIFS('2 - Requisitos Técnicos'!$E:$E,"Desejável",'2 - Requisitos Técnicos'!$F:$F,"6 - Não se aplica"))=0,0,(COUNTIFS('2 - Requisitos Técnicos'!$E:$E,"Desejável",'2 - Requisitos Técnicos'!$F:$F,"3 - Atende com codificação"))/(COUNTIF('2 - Requisitos Técnicos'!$E$6:$E$1039,"Desejável")-COUNTIFS('2 - Requisitos Técnicos'!$E:$E,"Desejável",'2 - Requisitos Técnicos'!$F:$F,"6 - Não se aplica")))</f>
        <v>0</v>
      </c>
    </row>
    <row r="19" spans="2:6">
      <c r="B19" s="36" t="s">
        <v>136</v>
      </c>
      <c r="C19" s="47">
        <v>0.1</v>
      </c>
      <c r="D19" s="39">
        <f>IF((COUNTIF('2 - Requisitos Técnicos'!$E$6:$E$1039,"Mandatório")-COUNTIFS('2 - Requisitos Técnicos'!$E:$E,"Mandatório",'2 - Requisitos Técnicos'!$F:$F,"6 - Não se aplica"))=0,0,((COUNTIFS('2 - Requisitos Técnicos'!$E:$E,"Mandatório",'2 - Requisitos Técnicos'!$F:$F,"4 - Atende com aplicação terceira"))/(COUNTIF('2 - Requisitos Técnicos'!$E$6:$E$1039,"Mandatório")-COUNTIFS('2 - Requisitos Técnicos'!$E:$E,"Mandatório",'2 - Requisitos Técnicos'!$F:$F,"6 - Não se aplica"))))</f>
        <v>0</v>
      </c>
      <c r="E19" s="47">
        <v>0.15</v>
      </c>
      <c r="F19" s="39">
        <f>IF((COUNTIF('2 - Requisitos Técnicos'!$E$6:$E$1039,"Desejável")-COUNTIFS('2 - Requisitos Técnicos'!$E:$E,"Desejável",'2 - Requisitos Técnicos'!$F:$F,"6 - Não se aplica"))=0,0,(COUNTIFS('2 - Requisitos Técnicos'!$E:$E,"Desejável",'2 - Requisitos Técnicos'!$F:$F,"4 - Atende com aplicação terceira"))/(COUNTIF('2 - Requisitos Técnicos'!$E$6:$E$1039,"Desejável")-COUNTIFS('2 - Requisitos Técnicos'!$E:$E,"Desejável",'2 - Requisitos Técnicos'!$F:$F,"6 - Não se aplica")))</f>
        <v>0</v>
      </c>
    </row>
    <row r="20" spans="2:6">
      <c r="B20" s="36" t="s">
        <v>137</v>
      </c>
      <c r="C20" s="47">
        <v>0</v>
      </c>
      <c r="D20" s="39">
        <f>IF((COUNTIF('2 - Requisitos Técnicos'!$E$6:$E$1039,"Mandatório")-COUNTIFS('2 - Requisitos Técnicos'!$E:$E,"Mandatório",'2 - Requisitos Técnicos'!$F:$F,"6 - Não se aplica"))=0,0,((COUNTIFS('2 - Requisitos Técnicos'!$E:$E,"Mandatório",'2 - Requisitos Técnicos'!$F:$F,"5 - Não atende"))/(COUNTIF('2 - Requisitos Técnicos'!$E$6:$E$1039,"Mandatório")-COUNTIFS('2 - Requisitos Técnicos'!$E:$E,"Mandatório",'2 - Requisitos Técnicos'!$F:$F,"6 - Não se aplica"))))</f>
        <v>0</v>
      </c>
      <c r="E20" s="47">
        <v>0.2</v>
      </c>
      <c r="F20" s="39">
        <f>IF((COUNTIF('2 - Requisitos Técnicos'!$E$6:$E$1039,"Desejável")-COUNTIFS('2 - Requisitos Técnicos'!$E:$E,"Desejável",'2 - Requisitos Técnicos'!$F:$F,"6 - Não se aplica"))=0,0,(COUNTIFS('2 - Requisitos Técnicos'!$E:$E,"Desejável",'2 - Requisitos Técnicos'!$F:$F,"5 - Não atende"))/(COUNTIF('2 - Requisitos Técnicos'!$E$6:$E$1039,"Desejável")-COUNTIFS('2 - Requisitos Técnicos'!$E:$E,"Desejável",'2 - Requisitos Técnicos'!$F:$F,"6 - Não se aplica")))</f>
        <v>0</v>
      </c>
    </row>
    <row r="21" spans="2:6">
      <c r="C21" s="46">
        <f>SUM(C16:C20)</f>
        <v>1</v>
      </c>
      <c r="D21" s="46">
        <f>SUM(D16:D20)</f>
        <v>1</v>
      </c>
      <c r="E21" s="46">
        <f>SUM(E16:E20)</f>
        <v>1</v>
      </c>
      <c r="F21" s="45">
        <f>SUM(F16:F20)</f>
        <v>0</v>
      </c>
    </row>
  </sheetData>
  <mergeCells count="17">
    <mergeCell ref="E6:E7"/>
    <mergeCell ref="C16:C17"/>
    <mergeCell ref="D16:D17"/>
    <mergeCell ref="F16:F17"/>
    <mergeCell ref="B1:F1"/>
    <mergeCell ref="E16:E17"/>
    <mergeCell ref="B13:F13"/>
    <mergeCell ref="B14:B15"/>
    <mergeCell ref="C14:D14"/>
    <mergeCell ref="E14:F14"/>
    <mergeCell ref="F6:F7"/>
    <mergeCell ref="B3:F3"/>
    <mergeCell ref="E4:F4"/>
    <mergeCell ref="C4:D4"/>
    <mergeCell ref="B4:B5"/>
    <mergeCell ref="C6:C7"/>
    <mergeCell ref="D6:D7"/>
  </mergeCells>
  <conditionalFormatting sqref="D6:D7">
    <cfRule type="expression" dxfId="19" priority="44">
      <formula>D6&lt;C6</formula>
    </cfRule>
    <cfRule type="expression" dxfId="18" priority="45">
      <formula>D6&gt;=C6</formula>
    </cfRule>
  </conditionalFormatting>
  <conditionalFormatting sqref="D8">
    <cfRule type="expression" dxfId="17" priority="37">
      <formula>D8&lt;C8</formula>
    </cfRule>
    <cfRule type="expression" dxfId="16" priority="38">
      <formula>D8&gt;=C8</formula>
    </cfRule>
  </conditionalFormatting>
  <conditionalFormatting sqref="D9">
    <cfRule type="expression" dxfId="15" priority="15">
      <formula>D9&lt;C9</formula>
    </cfRule>
    <cfRule type="expression" dxfId="14" priority="16">
      <formula>D9&gt;=C9</formula>
    </cfRule>
  </conditionalFormatting>
  <conditionalFormatting sqref="D10">
    <cfRule type="expression" dxfId="13" priority="13">
      <formula>D10&lt;C10</formula>
    </cfRule>
    <cfRule type="expression" dxfId="12" priority="14">
      <formula>D10&gt;=C10</formula>
    </cfRule>
  </conditionalFormatting>
  <conditionalFormatting sqref="F8:F10">
    <cfRule type="expression" dxfId="11" priority="11">
      <formula>F8&lt;E8</formula>
    </cfRule>
    <cfRule type="expression" dxfId="10" priority="12">
      <formula>F8&gt;=E8</formula>
    </cfRule>
  </conditionalFormatting>
  <conditionalFormatting sqref="F18:F20">
    <cfRule type="expression" dxfId="9" priority="9">
      <formula>F18&lt;E18</formula>
    </cfRule>
    <cfRule type="expression" dxfId="8" priority="10">
      <formula>F18&gt;=E18</formula>
    </cfRule>
  </conditionalFormatting>
  <conditionalFormatting sqref="D18:D20">
    <cfRule type="expression" dxfId="7" priority="7">
      <formula>D18&lt;C18</formula>
    </cfRule>
    <cfRule type="expression" dxfId="6" priority="8">
      <formula>D18&gt;=C18</formula>
    </cfRule>
  </conditionalFormatting>
  <conditionalFormatting sqref="F6:F7">
    <cfRule type="expression" dxfId="5" priority="5">
      <formula>F6&lt;E6</formula>
    </cfRule>
    <cfRule type="expression" dxfId="4" priority="6">
      <formula>F6&gt;=E6</formula>
    </cfRule>
  </conditionalFormatting>
  <conditionalFormatting sqref="F16:F17">
    <cfRule type="expression" dxfId="3" priority="3">
      <formula>F16&lt;E16</formula>
    </cfRule>
    <cfRule type="expression" dxfId="2" priority="4">
      <formula>F16&gt;=E16</formula>
    </cfRule>
  </conditionalFormatting>
  <conditionalFormatting sqref="D16:D17">
    <cfRule type="expression" dxfId="1" priority="1">
      <formula>D16&lt;C16</formula>
    </cfRule>
    <cfRule type="expression" dxfId="0" priority="2">
      <formula>D16&gt;=C16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179F2B772F8340AA4B786AF3DAC01D" ma:contentTypeVersion="0" ma:contentTypeDescription="Crie um novo documento." ma:contentTypeScope="" ma:versionID="8445b5dd82bb02ad0238758f7b5a601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C693B4-2ED5-4345-A356-DC645EEDCDFF}"/>
</file>

<file path=customXml/itemProps2.xml><?xml version="1.0" encoding="utf-8"?>
<ds:datastoreItem xmlns:ds="http://schemas.openxmlformats.org/officeDocument/2006/customXml" ds:itemID="{5B63BD7F-A775-4518-A086-109D08B9E170}"/>
</file>

<file path=customXml/itemProps3.xml><?xml version="1.0" encoding="utf-8"?>
<ds:datastoreItem xmlns:ds="http://schemas.openxmlformats.org/officeDocument/2006/customXml" ds:itemID="{54411CC2-9FB0-468E-B3AD-7AE1DC535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Luis Armelin</dc:creator>
  <cp:lastModifiedBy>WESLLEY PEREIRA FIGUEIREDO</cp:lastModifiedBy>
  <dcterms:created xsi:type="dcterms:W3CDTF">2006-09-25T12:47:36Z</dcterms:created>
  <dcterms:modified xsi:type="dcterms:W3CDTF">2015-06-23T14:22:53Z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0x010100AA179F2B772F8340AA4B786AF3DAC01D</vt:lpwstr>
  </property>
</Properties>
</file>