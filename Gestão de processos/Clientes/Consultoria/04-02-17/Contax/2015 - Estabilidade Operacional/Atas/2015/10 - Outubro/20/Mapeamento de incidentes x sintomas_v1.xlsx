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\Desktop\"/>
    </mc:Choice>
  </mc:AlternateContent>
  <workbookProtection workbookAlgorithmName="SHA-512" workbookHashValue="DQ9Svn42x8I8fkEyztJo7pCRHdZ2Q2/oS6lB8s9eKX58NTPT8oGvJQWrLHeipsD8kfYLzBD3GFxeu4UUuVXFAA==" workbookSaltValue="ishZNfVONeQ9/wFao1M8HQ==" workbookSpinCount="100000" lockStructure="1"/>
  <bookViews>
    <workbookView xWindow="240" yWindow="30" windowWidth="15120" windowHeight="7485" tabRatio="974"/>
  </bookViews>
  <sheets>
    <sheet name="Algoritmo" sheetId="8" r:id="rId1"/>
    <sheet name="Metodologia de tratamento" sheetId="9" r:id="rId2"/>
    <sheet name="Telefonia_OK" sheetId="1" r:id="rId3"/>
    <sheet name="URA_OK" sheetId="10" r:id="rId4"/>
    <sheet name="Gravadores_OK" sheetId="13" r:id="rId5"/>
    <sheet name="Front End_aplicativos_OK" sheetId="12" r:id="rId6"/>
    <sheet name="Estação de trabalho_OK" sheetId="14" r:id="rId7"/>
    <sheet name="Gestão equipe" sheetId="15" r:id="rId8"/>
  </sheets>
  <calcPr calcId="162913"/>
</workbook>
</file>

<file path=xl/calcChain.xml><?xml version="1.0" encoding="utf-8"?>
<calcChain xmlns="http://schemas.openxmlformats.org/spreadsheetml/2006/main">
  <c r="I6" i="8" l="1"/>
  <c r="I7" i="8" l="1"/>
  <c r="I8" i="8"/>
  <c r="I9" i="8"/>
  <c r="I10" i="8"/>
  <c r="I11" i="8"/>
  <c r="I12" i="8"/>
  <c r="I13" i="8"/>
  <c r="I14" i="8"/>
</calcChain>
</file>

<file path=xl/comments1.xml><?xml version="1.0" encoding="utf-8"?>
<comments xmlns="http://schemas.openxmlformats.org/spreadsheetml/2006/main">
  <authors>
    <author>202712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</commentList>
</comments>
</file>

<file path=xl/comments2.xml><?xml version="1.0" encoding="utf-8"?>
<comments xmlns="http://schemas.openxmlformats.org/spreadsheetml/2006/main">
  <authors>
    <author>202712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  <comment ref="E16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</commentList>
</comments>
</file>

<file path=xl/comments3.xml><?xml version="1.0" encoding="utf-8"?>
<comments xmlns="http://schemas.openxmlformats.org/spreadsheetml/2006/main">
  <authors>
    <author>202712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</commentList>
</comments>
</file>

<file path=xl/comments4.xml><?xml version="1.0" encoding="utf-8"?>
<comments xmlns="http://schemas.openxmlformats.org/spreadsheetml/2006/main">
  <authors>
    <author>202712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</commentList>
</comments>
</file>

<file path=xl/comments5.xml><?xml version="1.0" encoding="utf-8"?>
<comments xmlns="http://schemas.openxmlformats.org/spreadsheetml/2006/main">
  <authors>
    <author>202712</author>
  </authors>
  <commentList>
    <comment ref="E9" authorId="0" shapeId="0">
      <text>
        <r>
          <rPr>
            <b/>
            <sz val="9"/>
            <color indexed="81"/>
            <rFont val="Tahoma"/>
            <family val="2"/>
          </rPr>
          <t>202712:</t>
        </r>
        <r>
          <rPr>
            <sz val="9"/>
            <color indexed="81"/>
            <rFont val="Tahoma"/>
            <family val="2"/>
          </rPr>
          <t xml:space="preserve">
Metodologia mais complexa e demorada na triagem</t>
        </r>
      </text>
    </comment>
  </commentList>
</comments>
</file>

<file path=xl/sharedStrings.xml><?xml version="1.0" encoding="utf-8"?>
<sst xmlns="http://schemas.openxmlformats.org/spreadsheetml/2006/main" count="610" uniqueCount="180">
  <si>
    <t>Componente</t>
  </si>
  <si>
    <t>Não efetua logon</t>
  </si>
  <si>
    <t>Não efetua ligações</t>
  </si>
  <si>
    <t>Não recebe ligações</t>
  </si>
  <si>
    <t>Ligações indevidas (bad call)</t>
  </si>
  <si>
    <t>Má qualidade do áudio</t>
  </si>
  <si>
    <t>Ramal (ais) apagado (s) - Indisponível</t>
  </si>
  <si>
    <t>Baixo volumetria de ligações recebidas</t>
  </si>
  <si>
    <t>Direciona para grupo / Skill incorreto</t>
  </si>
  <si>
    <t>Não apresenta menu de opções devidos</t>
  </si>
  <si>
    <t>Ligações mudas</t>
  </si>
  <si>
    <t>Queda da ligação durante nevegação</t>
  </si>
  <si>
    <t>Ligação ficando muda/presa durante navegação</t>
  </si>
  <si>
    <t>Queda de ligações durante atendimento / em curso</t>
  </si>
  <si>
    <t xml:space="preserve">Não efetua transferências </t>
  </si>
  <si>
    <t>Não encaminha chamada para grupo de atendimento</t>
  </si>
  <si>
    <t>Não efetua transações automatizadas (consultas de saldos, geração de protocolo, recargas,etc...)</t>
  </si>
  <si>
    <t>Discadores</t>
  </si>
  <si>
    <t>Falha no pop up de tela (sincronismo de dados e voz)</t>
  </si>
  <si>
    <t>Não permite logar no sistema</t>
  </si>
  <si>
    <t>Não é possível resgatar chamadas</t>
  </si>
  <si>
    <t>Não apresenta bilhete (dados) das chamadas</t>
  </si>
  <si>
    <t>Bilhetes sem áudio</t>
  </si>
  <si>
    <t>Não grava chamadas</t>
  </si>
  <si>
    <t>CMS</t>
  </si>
  <si>
    <t>Dados inconsistentes</t>
  </si>
  <si>
    <t>Não permite monitorar equipe/fila</t>
  </si>
  <si>
    <t>Falha em back up de dados</t>
  </si>
  <si>
    <t>Indisponível</t>
  </si>
  <si>
    <t>Total View</t>
  </si>
  <si>
    <t>Não loga</t>
  </si>
  <si>
    <t>Lentidão ao logar</t>
  </si>
  <si>
    <t>Lentidão para apresentar dados</t>
  </si>
  <si>
    <t>Não apresenta dados / informações</t>
  </si>
  <si>
    <t>Falha na transferência de chamadas</t>
  </si>
  <si>
    <t>Não permite salvar ou gravar dados</t>
  </si>
  <si>
    <t>Sintoma - Incidente</t>
  </si>
  <si>
    <t>Prioridade</t>
  </si>
  <si>
    <t>Variável Criticidade</t>
  </si>
  <si>
    <t>Variável Impacto</t>
  </si>
  <si>
    <t>Impacto no negócio</t>
  </si>
  <si>
    <t>Perda de receita, produtividade e impacto direto na imagem. Inviabiliza o negócio fim</t>
  </si>
  <si>
    <t>Perda de produtividade, impacto na imagem e possível impacto de receita</t>
  </si>
  <si>
    <t>Crítico</t>
  </si>
  <si>
    <t>Criticidade do componente</t>
  </si>
  <si>
    <t>Muito Alto</t>
  </si>
  <si>
    <t>Alto</t>
  </si>
  <si>
    <t xml:space="preserve">Médio </t>
  </si>
  <si>
    <t>Baixo</t>
  </si>
  <si>
    <t>Criticidade do sintoma</t>
  </si>
  <si>
    <t>Nível de Impacto</t>
  </si>
  <si>
    <t>Indisponibilidade total - 90 -100%</t>
  </si>
  <si>
    <t>Variável Cliente Impactado (Foco negócio)</t>
  </si>
  <si>
    <t>Cliente Alvo - Não</t>
  </si>
  <si>
    <t>Algorítmos - Variáveis e Constantes</t>
  </si>
  <si>
    <t>GUIA SIMULADOR</t>
  </si>
  <si>
    <t>C.C</t>
  </si>
  <si>
    <t>C.S</t>
  </si>
  <si>
    <t>N.I</t>
  </si>
  <si>
    <t>V.C</t>
  </si>
  <si>
    <t>Fator de Peso ( X1)</t>
  </si>
  <si>
    <t>Fator de Peso ( X 0,7)</t>
  </si>
  <si>
    <t>Fator de Peso (X 1.5)</t>
  </si>
  <si>
    <t>0.2</t>
  </si>
  <si>
    <t>Contagem absoluta operação</t>
  </si>
  <si>
    <t>Contagem proporcional Operação</t>
  </si>
  <si>
    <t>Processos baseados no ICC - Indice de Classificação dos Chamados</t>
  </si>
  <si>
    <t>Elaboração de cronologia</t>
  </si>
  <si>
    <t>Envio SMS Inicio</t>
  </si>
  <si>
    <t>Envio SMS Follow</t>
  </si>
  <si>
    <t>Envio SMS Fim</t>
  </si>
  <si>
    <t>Abertura de sala de crise</t>
  </si>
  <si>
    <t>Escalation Operacional</t>
  </si>
  <si>
    <t>Escalation Gerencial</t>
  </si>
  <si>
    <t>Escalation Diretoria</t>
  </si>
  <si>
    <t>Escalation Executivo</t>
  </si>
  <si>
    <t>Follow Up Pendência Urgente</t>
  </si>
  <si>
    <t>Envio de nota técnica</t>
  </si>
  <si>
    <t>Envio de Laudo técnico</t>
  </si>
  <si>
    <t>Elegível a problema?</t>
  </si>
  <si>
    <t>ICC</t>
  </si>
  <si>
    <t>Crítica</t>
  </si>
  <si>
    <t>15 - 19</t>
  </si>
  <si>
    <t>S</t>
  </si>
  <si>
    <t>Conferência contínua   (Ciclo de vida)</t>
  </si>
  <si>
    <t>Muito Alta</t>
  </si>
  <si>
    <t>13 - 15</t>
  </si>
  <si>
    <t>N</t>
  </si>
  <si>
    <t>11,5 - 12,5</t>
  </si>
  <si>
    <t>10-11,00</t>
  </si>
  <si>
    <t>Média</t>
  </si>
  <si>
    <t>08 - 9,5</t>
  </si>
  <si>
    <t/>
  </si>
  <si>
    <t>Delegação automática GR (Grupo resolvedor)</t>
  </si>
  <si>
    <t>Indisponibilidade parcial/pontual baixa - &lt;10%</t>
  </si>
  <si>
    <t>Indisponibilidade parcial Baixa - &gt;10% e &gt; 15%</t>
  </si>
  <si>
    <t>Indisponibilidade parcial Média - &gt; 15% e 20%</t>
  </si>
  <si>
    <t>Indisponibilidade parcial Alta  - &gt; 20% e &lt; 30%</t>
  </si>
  <si>
    <t>Indisponibilidade pacrial Alta /Alta -30% a 50%</t>
  </si>
  <si>
    <t>Indisponibilidade parcial - Muito Alta- 50% a 90%</t>
  </si>
  <si>
    <t>Fator de Peso (X1,5)</t>
  </si>
  <si>
    <t>GUT - Gravidade - Urgência e Tendência</t>
  </si>
  <si>
    <t>Alto índice de chamadas com mensagem da operadora / caixa postal</t>
  </si>
  <si>
    <t>Queda da plataforma de discagem</t>
  </si>
  <si>
    <t>Alto indice de reject (dre/dro/rangup/INDICE 4/7)</t>
  </si>
  <si>
    <t>Má qualidade do áudio (voz metalizada / ruído)</t>
  </si>
  <si>
    <t>Não realiza carregamento de mailing</t>
  </si>
  <si>
    <t>Não realiza manobra de mailing</t>
  </si>
  <si>
    <t>Discador ASPECT - APC (avaya)  - Altitude - by contax - disca fácil</t>
  </si>
  <si>
    <t>Monitoria indisponível</t>
  </si>
  <si>
    <t>Não recebe sussurro / bip</t>
  </si>
  <si>
    <t>DAC AVAYA / DAC NORTEL</t>
  </si>
  <si>
    <t>DAC</t>
  </si>
  <si>
    <t>URA OI</t>
  </si>
  <si>
    <t>Falha de prompt</t>
  </si>
  <si>
    <t>Chamadas em contingência</t>
  </si>
  <si>
    <t>Não recebe ligações (sem chamadas entrantes)</t>
  </si>
  <si>
    <t>URA SANTANDER</t>
  </si>
  <si>
    <t>Não valida CPF</t>
  </si>
  <si>
    <t>Erro</t>
  </si>
  <si>
    <t>URA TAM</t>
  </si>
  <si>
    <t>Indisponível  (Musica Talker / Ringando / Não atende)</t>
  </si>
  <si>
    <t xml:space="preserve">Contingência </t>
  </si>
  <si>
    <t>Não recebe ligações (Ringando/tom de ocupado)</t>
  </si>
  <si>
    <t>Ociosidade (não ocupa 100% da operação)</t>
  </si>
  <si>
    <t>Travamento</t>
  </si>
  <si>
    <t>Front End / Aplicativos</t>
  </si>
  <si>
    <t>Front End</t>
  </si>
  <si>
    <t>Cliente Alvo - Sim (Santander / Bradesco / Cielo / Nextel)</t>
  </si>
  <si>
    <t xml:space="preserve">Não permite salvar áudio </t>
  </si>
  <si>
    <t>GRAVADORES</t>
  </si>
  <si>
    <t>Falha de deck</t>
  </si>
  <si>
    <t>Lentidão / travamento</t>
  </si>
  <si>
    <t>Não executa audio</t>
  </si>
  <si>
    <t xml:space="preserve"> GRAVADORES</t>
  </si>
  <si>
    <t>Má qualidade de gravações (voz metralizada / grava apenas um lado)</t>
  </si>
  <si>
    <t>Baixo volume nas gravações</t>
  </si>
  <si>
    <t>Gravações incompletadas</t>
  </si>
  <si>
    <t>Gravações com audio trocado (procura um operadora x porém é localizado outrao colaborador)</t>
  </si>
  <si>
    <t>APLICATIVO POR OPERAÇÃO</t>
  </si>
  <si>
    <t>Estação de trabalho</t>
  </si>
  <si>
    <t>Headset - Defeito</t>
  </si>
  <si>
    <t>Telefone - Apagado</t>
  </si>
  <si>
    <t>Computador - Não liga</t>
  </si>
  <si>
    <t>Ramal - Ligação muda</t>
  </si>
  <si>
    <t>Ramal - Não Recebe Ligação</t>
  </si>
  <si>
    <t>Mouse - Não funciona</t>
  </si>
  <si>
    <t>Computador - Não inicia o Windows</t>
  </si>
  <si>
    <t>Teclado - Quebrado</t>
  </si>
  <si>
    <t>Monitor - Desconfigurado</t>
  </si>
  <si>
    <t>Telefone - Quebrado</t>
  </si>
  <si>
    <t>Telefone - Não efetua login</t>
  </si>
  <si>
    <t>Computador - Tela azul</t>
  </si>
  <si>
    <t>Computador - Sem domínio</t>
  </si>
  <si>
    <t>Monitor - Não liga</t>
  </si>
  <si>
    <t>Computador - Reinciando</t>
  </si>
  <si>
    <t>Mouse - Quebrado</t>
  </si>
  <si>
    <t>Teclado - Não funciona</t>
  </si>
  <si>
    <t>Computador - Tela preta</t>
  </si>
  <si>
    <t>Teclado - Desconfigurado</t>
  </si>
  <si>
    <t>Computador - Sinal de ambulância</t>
  </si>
  <si>
    <t>Monitor - Quebrado</t>
  </si>
  <si>
    <t>Monitor - Embaçado</t>
  </si>
  <si>
    <t>Tclock</t>
  </si>
  <si>
    <t>CCPULSE</t>
  </si>
  <si>
    <t>Movimentação de skill</t>
  </si>
  <si>
    <t>TTV</t>
  </si>
  <si>
    <t xml:space="preserve">Não navega </t>
  </si>
  <si>
    <t>Não permite registro de ponto</t>
  </si>
  <si>
    <t>Derrubar login preso</t>
  </si>
  <si>
    <t>Não extrair espelho de ponto</t>
  </si>
  <si>
    <t>Não permite importar planilha de alteração de escala</t>
  </si>
  <si>
    <t>Tcontrol</t>
  </si>
  <si>
    <t>Não permite logar na máquina (login preso)</t>
  </si>
  <si>
    <t>Alta +</t>
  </si>
  <si>
    <t>Alta -</t>
  </si>
  <si>
    <t>Santander</t>
  </si>
  <si>
    <t>Nextel</t>
  </si>
  <si>
    <t>CIELO</t>
  </si>
  <si>
    <t>BRADESCO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</si>
</sst>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2" fillId="4" borderId="0" xfId="0" applyFont="1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2" fillId="5" borderId="0" xfId="0" applyFont="1" applyFill="1"/>
    <xf numFmtId="0" fontId="0" fillId="6" borderId="0" xfId="0" applyFill="1"/>
    <xf numFmtId="0" fontId="4" fillId="6" borderId="0" xfId="0" applyFont="1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/>
    <xf numFmtId="0" fontId="0" fillId="6" borderId="0" xfId="0" quotePrefix="1" applyFill="1"/>
    <xf numFmtId="0" fontId="8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/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wrapText="1"/>
    </xf>
    <xf numFmtId="0" fontId="13" fillId="8" borderId="0" xfId="0" applyFont="1" applyFill="1" applyBorder="1" applyAlignment="1">
      <alignment vertical="top" shrinkToFit="1"/>
    </xf>
    <xf numFmtId="0" fontId="13" fillId="9" borderId="0" xfId="0" applyFont="1" applyFill="1" applyBorder="1" applyAlignment="1">
      <alignment vertical="top" shrinkToFit="1"/>
    </xf>
    <xf numFmtId="0" fontId="13" fillId="9" borderId="0" xfId="0" applyFont="1" applyFill="1" applyBorder="1" applyAlignment="1">
      <alignment vertical="center" shrinkToFit="1"/>
    </xf>
    <xf numFmtId="0" fontId="13" fillId="10" borderId="0" xfId="0" applyFont="1" applyFill="1" applyBorder="1" applyAlignment="1">
      <alignment vertical="top" shrinkToFit="1"/>
    </xf>
    <xf numFmtId="0" fontId="13" fillId="11" borderId="0" xfId="0" applyFont="1" applyFill="1" applyBorder="1" applyAlignment="1">
      <alignment vertical="top" shrinkToFit="1"/>
    </xf>
    <xf numFmtId="0" fontId="13" fillId="4" borderId="0" xfId="0" applyFont="1" applyFill="1" applyBorder="1" applyAlignment="1">
      <alignment vertical="top" shrinkToFit="1"/>
    </xf>
    <xf numFmtId="0" fontId="7" fillId="7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164" fontId="0" fillId="6" borderId="0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9" borderId="10" xfId="0" applyNumberFormat="1" applyFill="1" applyBorder="1" applyAlignment="1">
      <alignment horizontal="center" vertical="center"/>
    </xf>
    <xf numFmtId="164" fontId="0" fillId="9" borderId="0" xfId="0" applyNumberForma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164" fontId="0" fillId="9" borderId="12" xfId="0" applyNumberFormat="1" applyFill="1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164" fontId="0" fillId="9" borderId="13" xfId="0" applyNumberFormat="1" applyFill="1" applyBorder="1" applyAlignment="1">
      <alignment horizontal="center" vertical="center"/>
    </xf>
    <xf numFmtId="0" fontId="2" fillId="6" borderId="7" xfId="0" applyFont="1" applyFill="1" applyBorder="1"/>
    <xf numFmtId="0" fontId="17" fillId="7" borderId="7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/>
    </xf>
    <xf numFmtId="0" fontId="14" fillId="7" borderId="0" xfId="0" applyFont="1" applyFill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8DB4E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3524250</xdr:colOff>
          <xdr:row>16</xdr:row>
          <xdr:rowOff>19050</xdr:rowOff>
        </xdr:from>
        <xdr:to>
          <xdr:col>2</xdr:col>
          <xdr:colOff>9525</xdr:colOff>
          <xdr:row>19</xdr:row>
          <xdr:rowOff>133350</xdr:rowOff>
        </xdr:to>
        <xdr:sp macro="" textlink="">
          <xdr:nvSpPr>
            <xdr:cNvPr id="14340" name="Object 4" hidden="1">
              <a:extLst>
                <a:ext uri="{63B3BB69-23CF-44E3-9099-C40C66FF867C}">
                  <a14:compatExt spid="_x0000_s14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447675</xdr:colOff>
          <xdr:row>16</xdr:row>
          <xdr:rowOff>19050</xdr:rowOff>
        </xdr:from>
        <xdr:to>
          <xdr:col>2</xdr:col>
          <xdr:colOff>1362075</xdr:colOff>
          <xdr:row>19</xdr:row>
          <xdr:rowOff>133350</xdr:rowOff>
        </xdr:to>
        <xdr:sp macro="" textlink="">
          <xdr:nvSpPr>
            <xdr:cNvPr id="14341" name="Object 5" hidden="1">
              <a:extLst>
                <a:ext uri="{63B3BB69-23CF-44E3-9099-C40C66FF867C}">
                  <a14:compatExt spid="_x0000_s14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/>
  </sheetViews>
  <sheetFormatPr defaultRowHeight="15" x14ac:dyDescent="0.25"/>
  <cols>
    <col min="1" max="1" width="47.5703125" style="13" customWidth="1"/>
    <col min="2" max="2" width="19.28515625" style="13" bestFit="1" customWidth="1"/>
    <col min="3" max="3" width="9.140625" style="13"/>
    <col min="4" max="4" width="18.140625" style="13" customWidth="1"/>
    <col min="5" max="5" width="14" style="13" customWidth="1"/>
    <col min="6" max="7" width="9.140625" style="13"/>
    <col min="8" max="8" width="6.7109375" style="13" customWidth="1"/>
    <col min="9" max="9" width="10.28515625" style="13" bestFit="1" customWidth="1"/>
    <col min="10" max="10" width="9.140625" style="13"/>
    <col min="11" max="11" width="19.7109375" style="13" customWidth="1"/>
    <col min="12" max="12" width="23" style="13" bestFit="1" customWidth="1"/>
    <col min="13" max="16384" width="9.140625" style="13"/>
  </cols>
  <sheetData>
    <row r="1" spans="1:16" ht="6" customHeight="1" x14ac:dyDescent="0.25"/>
    <row r="2" spans="1:16" ht="16.5" thickBot="1" x14ac:dyDescent="0.3">
      <c r="E2" s="54" t="s">
        <v>101</v>
      </c>
      <c r="F2" s="54"/>
      <c r="G2" s="54"/>
      <c r="H2" s="54"/>
      <c r="I2" s="54"/>
    </row>
    <row r="3" spans="1:16" ht="30" customHeight="1" thickBot="1" x14ac:dyDescent="0.3">
      <c r="A3" s="14" t="s">
        <v>54</v>
      </c>
      <c r="E3" s="51" t="s">
        <v>55</v>
      </c>
      <c r="F3" s="52"/>
      <c r="G3" s="52"/>
      <c r="H3" s="52"/>
      <c r="I3" s="53"/>
    </row>
    <row r="4" spans="1:16" ht="15.75" thickBot="1" x14ac:dyDescent="0.3"/>
    <row r="5" spans="1:16" ht="16.5" thickBot="1" x14ac:dyDescent="0.3">
      <c r="A5" s="3" t="s">
        <v>44</v>
      </c>
      <c r="B5" s="3" t="s">
        <v>61</v>
      </c>
      <c r="E5" s="18" t="s">
        <v>56</v>
      </c>
      <c r="F5" s="18" t="s">
        <v>57</v>
      </c>
      <c r="G5" s="18" t="s">
        <v>58</v>
      </c>
      <c r="H5" s="18" t="s">
        <v>59</v>
      </c>
      <c r="I5" s="18" t="s">
        <v>37</v>
      </c>
      <c r="J5" s="15"/>
      <c r="K5" s="15"/>
      <c r="O5" s="13">
        <v>1</v>
      </c>
      <c r="P5" s="13">
        <v>2</v>
      </c>
    </row>
    <row r="6" spans="1:16" x14ac:dyDescent="0.25">
      <c r="A6" s="2" t="s">
        <v>43</v>
      </c>
      <c r="B6" s="2">
        <v>5</v>
      </c>
      <c r="E6" s="43">
        <v>3</v>
      </c>
      <c r="F6" s="44">
        <v>4</v>
      </c>
      <c r="G6" s="44">
        <v>5</v>
      </c>
      <c r="H6" s="44">
        <v>2</v>
      </c>
      <c r="I6" s="45">
        <f>(E6*0.7)+F6+(G6*1.5)+(H6*1.5)</f>
        <v>16.600000000000001</v>
      </c>
      <c r="J6" s="15"/>
      <c r="K6" s="15"/>
      <c r="O6" s="13">
        <v>2</v>
      </c>
      <c r="P6" s="13">
        <v>1</v>
      </c>
    </row>
    <row r="7" spans="1:16" x14ac:dyDescent="0.25">
      <c r="A7" s="2" t="s">
        <v>45</v>
      </c>
      <c r="B7" s="2">
        <v>4</v>
      </c>
      <c r="E7" s="41"/>
      <c r="F7" s="40"/>
      <c r="G7" s="40"/>
      <c r="H7" s="40">
        <v>0</v>
      </c>
      <c r="I7" s="42">
        <f t="shared" ref="I7:I14" si="0">(E7*0.5)+F7+(G7*1.5)+(H7*1.5)</f>
        <v>0</v>
      </c>
      <c r="J7" s="15"/>
      <c r="K7" s="15"/>
      <c r="O7" s="13">
        <v>3</v>
      </c>
    </row>
    <row r="8" spans="1:16" x14ac:dyDescent="0.25">
      <c r="A8" s="2" t="s">
        <v>46</v>
      </c>
      <c r="B8" s="2">
        <v>3</v>
      </c>
      <c r="E8" s="43"/>
      <c r="F8" s="44"/>
      <c r="G8" s="44"/>
      <c r="H8" s="44">
        <v>0</v>
      </c>
      <c r="I8" s="45">
        <f t="shared" si="0"/>
        <v>0</v>
      </c>
      <c r="J8" s="15"/>
      <c r="K8" s="15"/>
      <c r="O8" s="13">
        <v>4</v>
      </c>
    </row>
    <row r="9" spans="1:16" x14ac:dyDescent="0.25">
      <c r="A9" s="2" t="s">
        <v>47</v>
      </c>
      <c r="B9" s="2">
        <v>2</v>
      </c>
      <c r="E9" s="41"/>
      <c r="F9" s="40"/>
      <c r="G9" s="40"/>
      <c r="H9" s="40">
        <v>0</v>
      </c>
      <c r="I9" s="42">
        <f t="shared" si="0"/>
        <v>0</v>
      </c>
      <c r="J9" s="15"/>
      <c r="O9" s="13">
        <v>5</v>
      </c>
    </row>
    <row r="10" spans="1:16" x14ac:dyDescent="0.25">
      <c r="A10" s="2" t="s">
        <v>48</v>
      </c>
      <c r="B10" s="2">
        <v>1</v>
      </c>
      <c r="E10" s="43"/>
      <c r="F10" s="44"/>
      <c r="G10" s="44"/>
      <c r="H10" s="44">
        <v>0</v>
      </c>
      <c r="I10" s="45">
        <f t="shared" si="0"/>
        <v>0</v>
      </c>
      <c r="J10" s="15"/>
    </row>
    <row r="11" spans="1:16" x14ac:dyDescent="0.25">
      <c r="E11" s="41"/>
      <c r="F11" s="40"/>
      <c r="G11" s="40"/>
      <c r="H11" s="40">
        <v>0</v>
      </c>
      <c r="I11" s="42">
        <f t="shared" si="0"/>
        <v>0</v>
      </c>
      <c r="J11" s="15"/>
    </row>
    <row r="12" spans="1:16" x14ac:dyDescent="0.25">
      <c r="A12" s="4" t="s">
        <v>49</v>
      </c>
      <c r="B12" s="4" t="s">
        <v>60</v>
      </c>
      <c r="E12" s="43"/>
      <c r="F12" s="44"/>
      <c r="G12" s="44"/>
      <c r="H12" s="44">
        <v>0</v>
      </c>
      <c r="I12" s="45">
        <f t="shared" si="0"/>
        <v>0</v>
      </c>
      <c r="J12" s="15"/>
    </row>
    <row r="13" spans="1:16" x14ac:dyDescent="0.25">
      <c r="A13" s="5" t="s">
        <v>43</v>
      </c>
      <c r="B13" s="5">
        <v>5</v>
      </c>
      <c r="E13" s="41"/>
      <c r="F13" s="40"/>
      <c r="G13" s="40"/>
      <c r="H13" s="40">
        <v>0</v>
      </c>
      <c r="I13" s="42">
        <f t="shared" si="0"/>
        <v>0</v>
      </c>
      <c r="J13" s="15"/>
    </row>
    <row r="14" spans="1:16" ht="15.75" thickBot="1" x14ac:dyDescent="0.3">
      <c r="A14" s="5" t="s">
        <v>45</v>
      </c>
      <c r="B14" s="5">
        <v>4</v>
      </c>
      <c r="E14" s="46"/>
      <c r="F14" s="47"/>
      <c r="G14" s="47"/>
      <c r="H14" s="47">
        <v>0</v>
      </c>
      <c r="I14" s="48">
        <f t="shared" si="0"/>
        <v>0</v>
      </c>
    </row>
    <row r="15" spans="1:16" x14ac:dyDescent="0.25">
      <c r="A15" s="5" t="s">
        <v>46</v>
      </c>
      <c r="B15" s="5">
        <v>3</v>
      </c>
      <c r="E15" s="16"/>
      <c r="F15" s="16"/>
      <c r="G15" s="16"/>
      <c r="H15" s="16"/>
      <c r="I15" s="16"/>
    </row>
    <row r="16" spans="1:16" x14ac:dyDescent="0.25">
      <c r="A16" s="5" t="s">
        <v>47</v>
      </c>
      <c r="B16" s="5">
        <v>2</v>
      </c>
      <c r="E16" s="16"/>
      <c r="F16" s="16"/>
      <c r="G16" s="16"/>
      <c r="H16" s="16"/>
      <c r="I16" s="16"/>
    </row>
    <row r="17" spans="1:7" x14ac:dyDescent="0.25">
      <c r="A17" s="5" t="s">
        <v>48</v>
      </c>
      <c r="B17" s="5">
        <v>1</v>
      </c>
    </row>
    <row r="20" spans="1:7" x14ac:dyDescent="0.25">
      <c r="A20" s="8" t="s">
        <v>50</v>
      </c>
      <c r="B20" s="8" t="s">
        <v>100</v>
      </c>
    </row>
    <row r="21" spans="1:7" x14ac:dyDescent="0.25">
      <c r="A21" s="6" t="s">
        <v>51</v>
      </c>
      <c r="B21" s="9">
        <v>5</v>
      </c>
    </row>
    <row r="22" spans="1:7" ht="16.5" customHeight="1" x14ac:dyDescent="0.25">
      <c r="A22" s="7" t="s">
        <v>99</v>
      </c>
      <c r="B22" s="9">
        <v>4</v>
      </c>
    </row>
    <row r="23" spans="1:7" x14ac:dyDescent="0.25">
      <c r="A23" s="6" t="s">
        <v>98</v>
      </c>
      <c r="B23" s="9">
        <v>3</v>
      </c>
      <c r="E23" s="17" t="s">
        <v>92</v>
      </c>
      <c r="G23" s="17" t="s">
        <v>92</v>
      </c>
    </row>
    <row r="24" spans="1:7" x14ac:dyDescent="0.25">
      <c r="A24" s="6" t="s">
        <v>97</v>
      </c>
      <c r="B24" s="9">
        <v>2</v>
      </c>
    </row>
    <row r="25" spans="1:7" x14ac:dyDescent="0.25">
      <c r="A25" s="6" t="s">
        <v>96</v>
      </c>
      <c r="B25" s="9">
        <v>1</v>
      </c>
    </row>
    <row r="26" spans="1:7" x14ac:dyDescent="0.25">
      <c r="A26" s="6" t="s">
        <v>95</v>
      </c>
      <c r="B26" s="9" t="s">
        <v>63</v>
      </c>
    </row>
    <row r="27" spans="1:7" x14ac:dyDescent="0.25">
      <c r="A27" s="6" t="s">
        <v>94</v>
      </c>
      <c r="B27" s="9">
        <v>0</v>
      </c>
    </row>
    <row r="29" spans="1:7" x14ac:dyDescent="0.25">
      <c r="A29" s="12" t="s">
        <v>52</v>
      </c>
      <c r="B29" s="12" t="s">
        <v>62</v>
      </c>
    </row>
    <row r="30" spans="1:7" ht="30" x14ac:dyDescent="0.25">
      <c r="A30" s="27" t="s">
        <v>128</v>
      </c>
      <c r="B30" s="11">
        <v>2</v>
      </c>
    </row>
    <row r="31" spans="1:7" x14ac:dyDescent="0.25">
      <c r="A31" s="10" t="s">
        <v>53</v>
      </c>
      <c r="B31" s="11">
        <v>1</v>
      </c>
    </row>
    <row r="33" spans="1:1" x14ac:dyDescent="0.25">
      <c r="A33" s="49" t="s">
        <v>176</v>
      </c>
    </row>
    <row r="34" spans="1:1" x14ac:dyDescent="0.25">
      <c r="A34" s="49" t="s">
        <v>177</v>
      </c>
    </row>
    <row r="35" spans="1:1" x14ac:dyDescent="0.25">
      <c r="A35" s="49" t="s">
        <v>178</v>
      </c>
    </row>
    <row r="36" spans="1:1" x14ac:dyDescent="0.25">
      <c r="A36" s="49" t="s">
        <v>179</v>
      </c>
    </row>
  </sheetData>
  <dataConsolidate/>
  <mergeCells count="2">
    <mergeCell ref="E3:I3"/>
    <mergeCell ref="E2:I2"/>
  </mergeCells>
  <dataValidations count="2">
    <dataValidation type="list" allowBlank="1" showInputMessage="1" showErrorMessage="1" sqref="E6:G14">
      <formula1>$O$5:$O$9</formula1>
    </dataValidation>
    <dataValidation type="list" allowBlank="1" showInputMessage="1" showErrorMessage="1" sqref="H6:H14">
      <formula1>$P$5:$P$6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"/>
  <sheetViews>
    <sheetView showGridLines="0" zoomScale="110" zoomScaleNormal="110" workbookViewId="0"/>
  </sheetViews>
  <sheetFormatPr defaultRowHeight="15" x14ac:dyDescent="0.25"/>
  <cols>
    <col min="1" max="1" width="10.28515625" bestFit="1" customWidth="1"/>
    <col min="2" max="2" width="12.7109375" customWidth="1"/>
    <col min="3" max="3" width="12.28515625" customWidth="1"/>
    <col min="13" max="13" width="9.140625" customWidth="1"/>
  </cols>
  <sheetData>
    <row r="2" spans="1:17" ht="18.75" x14ac:dyDescent="0.3">
      <c r="A2" s="55" t="s">
        <v>66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4" spans="1:17" ht="62.25" customHeight="1" x14ac:dyDescent="0.25">
      <c r="A4" s="34" t="s">
        <v>37</v>
      </c>
      <c r="B4" s="34" t="s">
        <v>80</v>
      </c>
      <c r="C4" s="50" t="s">
        <v>93</v>
      </c>
      <c r="D4" s="50" t="s">
        <v>67</v>
      </c>
      <c r="E4" s="50" t="s">
        <v>68</v>
      </c>
      <c r="F4" s="50" t="s">
        <v>69</v>
      </c>
      <c r="G4" s="50" t="s">
        <v>70</v>
      </c>
      <c r="H4" s="50" t="s">
        <v>71</v>
      </c>
      <c r="I4" s="50" t="s">
        <v>72</v>
      </c>
      <c r="J4" s="50" t="s">
        <v>73</v>
      </c>
      <c r="K4" s="50" t="s">
        <v>74</v>
      </c>
      <c r="L4" s="50" t="s">
        <v>75</v>
      </c>
      <c r="M4" s="50" t="s">
        <v>84</v>
      </c>
      <c r="N4" s="50" t="s">
        <v>76</v>
      </c>
      <c r="O4" s="50" t="s">
        <v>77</v>
      </c>
      <c r="P4" s="50" t="s">
        <v>78</v>
      </c>
      <c r="Q4" s="50" t="s">
        <v>79</v>
      </c>
    </row>
    <row r="5" spans="1:17" x14ac:dyDescent="0.25">
      <c r="A5" s="38" t="s">
        <v>81</v>
      </c>
      <c r="B5" s="36" t="s">
        <v>82</v>
      </c>
      <c r="C5" s="36" t="s">
        <v>87</v>
      </c>
      <c r="D5" s="36" t="s">
        <v>83</v>
      </c>
      <c r="E5" s="36" t="s">
        <v>83</v>
      </c>
      <c r="F5" s="36" t="s">
        <v>83</v>
      </c>
      <c r="G5" s="36" t="s">
        <v>83</v>
      </c>
      <c r="H5" s="36" t="s">
        <v>83</v>
      </c>
      <c r="I5" s="36" t="s">
        <v>83</v>
      </c>
      <c r="J5" s="36" t="s">
        <v>83</v>
      </c>
      <c r="K5" s="36" t="s">
        <v>83</v>
      </c>
      <c r="L5" s="36" t="s">
        <v>83</v>
      </c>
      <c r="M5" s="36" t="s">
        <v>83</v>
      </c>
      <c r="N5" s="36" t="s">
        <v>83</v>
      </c>
      <c r="O5" s="36" t="s">
        <v>83</v>
      </c>
      <c r="P5" s="36" t="s">
        <v>83</v>
      </c>
      <c r="Q5" s="36" t="s">
        <v>83</v>
      </c>
    </row>
    <row r="6" spans="1:17" x14ac:dyDescent="0.25">
      <c r="A6" s="39" t="s">
        <v>85</v>
      </c>
      <c r="B6" s="35" t="s">
        <v>86</v>
      </c>
      <c r="C6" s="35" t="s">
        <v>87</v>
      </c>
      <c r="D6" s="35" t="s">
        <v>83</v>
      </c>
      <c r="E6" s="35" t="s">
        <v>83</v>
      </c>
      <c r="F6" s="35" t="s">
        <v>83</v>
      </c>
      <c r="G6" s="35" t="s">
        <v>83</v>
      </c>
      <c r="H6" s="35" t="s">
        <v>83</v>
      </c>
      <c r="I6" s="35" t="s">
        <v>83</v>
      </c>
      <c r="J6" s="35" t="s">
        <v>83</v>
      </c>
      <c r="K6" s="35" t="s">
        <v>83</v>
      </c>
      <c r="L6" s="35" t="s">
        <v>87</v>
      </c>
      <c r="M6" s="35" t="s">
        <v>83</v>
      </c>
      <c r="N6" s="35" t="s">
        <v>83</v>
      </c>
      <c r="O6" s="35" t="s">
        <v>83</v>
      </c>
      <c r="P6" s="35" t="s">
        <v>83</v>
      </c>
      <c r="Q6" s="35" t="s">
        <v>83</v>
      </c>
    </row>
    <row r="7" spans="1:17" x14ac:dyDescent="0.25">
      <c r="A7" s="38" t="s">
        <v>174</v>
      </c>
      <c r="B7" s="36" t="s">
        <v>88</v>
      </c>
      <c r="C7" s="36" t="s">
        <v>87</v>
      </c>
      <c r="D7" s="36" t="s">
        <v>87</v>
      </c>
      <c r="E7" s="36" t="s">
        <v>83</v>
      </c>
      <c r="F7" s="36" t="s">
        <v>87</v>
      </c>
      <c r="G7" s="36" t="s">
        <v>83</v>
      </c>
      <c r="H7" s="36" t="s">
        <v>87</v>
      </c>
      <c r="I7" s="36" t="s">
        <v>83</v>
      </c>
      <c r="J7" s="36" t="s">
        <v>83</v>
      </c>
      <c r="K7" s="36" t="s">
        <v>87</v>
      </c>
      <c r="L7" s="36" t="s">
        <v>87</v>
      </c>
      <c r="M7" s="36" t="s">
        <v>87</v>
      </c>
      <c r="N7" s="36" t="s">
        <v>87</v>
      </c>
      <c r="O7" s="36" t="s">
        <v>87</v>
      </c>
      <c r="P7" s="36" t="s">
        <v>87</v>
      </c>
      <c r="Q7" s="36" t="s">
        <v>83</v>
      </c>
    </row>
    <row r="8" spans="1:17" x14ac:dyDescent="0.25">
      <c r="A8" s="35" t="s">
        <v>175</v>
      </c>
      <c r="B8" s="35" t="s">
        <v>89</v>
      </c>
      <c r="C8" s="35" t="s">
        <v>87</v>
      </c>
      <c r="D8" s="35" t="s">
        <v>87</v>
      </c>
      <c r="E8" s="35" t="s">
        <v>87</v>
      </c>
      <c r="F8" s="35" t="s">
        <v>87</v>
      </c>
      <c r="G8" s="35" t="s">
        <v>87</v>
      </c>
      <c r="H8" s="35" t="s">
        <v>87</v>
      </c>
      <c r="I8" s="35" t="s">
        <v>83</v>
      </c>
      <c r="J8" s="35" t="s">
        <v>83</v>
      </c>
      <c r="K8" s="35" t="s">
        <v>87</v>
      </c>
      <c r="L8" s="35" t="s">
        <v>87</v>
      </c>
      <c r="M8" s="35" t="s">
        <v>87</v>
      </c>
      <c r="N8" s="35" t="s">
        <v>87</v>
      </c>
      <c r="O8" s="35" t="s">
        <v>87</v>
      </c>
      <c r="P8" s="35" t="s">
        <v>87</v>
      </c>
      <c r="Q8" s="35" t="s">
        <v>83</v>
      </c>
    </row>
    <row r="9" spans="1:17" x14ac:dyDescent="0.25">
      <c r="A9" s="37" t="s">
        <v>90</v>
      </c>
      <c r="B9" s="37" t="s">
        <v>91</v>
      </c>
      <c r="C9" s="37" t="s">
        <v>83</v>
      </c>
      <c r="D9" s="37" t="s">
        <v>87</v>
      </c>
      <c r="E9" s="37" t="s">
        <v>87</v>
      </c>
      <c r="F9" s="37" t="s">
        <v>87</v>
      </c>
      <c r="G9" s="37" t="s">
        <v>87</v>
      </c>
      <c r="H9" s="37" t="s">
        <v>87</v>
      </c>
      <c r="I9" s="37" t="s">
        <v>83</v>
      </c>
      <c r="J9" s="37" t="s">
        <v>87</v>
      </c>
      <c r="K9" s="37" t="s">
        <v>87</v>
      </c>
      <c r="L9" s="37" t="s">
        <v>87</v>
      </c>
      <c r="M9" s="37" t="s">
        <v>87</v>
      </c>
      <c r="N9" s="37" t="s">
        <v>87</v>
      </c>
      <c r="O9" s="37" t="s">
        <v>87</v>
      </c>
      <c r="P9" s="37" t="s">
        <v>87</v>
      </c>
      <c r="Q9" s="37" t="s">
        <v>83</v>
      </c>
    </row>
  </sheetData>
  <mergeCells count="1">
    <mergeCell ref="A2:Q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1"/>
  <sheetViews>
    <sheetView showGridLines="0" workbookViewId="0">
      <pane ySplit="1" topLeftCell="A16" activePane="bottomLeft" state="frozen"/>
      <selection pane="bottomLeft" activeCell="A4" sqref="A4:A14"/>
    </sheetView>
  </sheetViews>
  <sheetFormatPr defaultRowHeight="15" outlineLevelRow="1" x14ac:dyDescent="0.25"/>
  <cols>
    <col min="1" max="1" width="14.7109375" customWidth="1"/>
    <col min="2" max="2" width="64.28515625" customWidth="1"/>
    <col min="3" max="3" width="47.5703125" customWidth="1"/>
    <col min="4" max="4" width="13.7109375" style="1" customWidth="1"/>
    <col min="5" max="5" width="31.28515625" style="22" bestFit="1" customWidth="1"/>
    <col min="6" max="6" width="10.28515625" bestFit="1" customWidth="1"/>
  </cols>
  <sheetData>
    <row r="1" spans="1:5" ht="28.5" customHeight="1" thickBot="1" x14ac:dyDescent="0.3">
      <c r="A1" s="23" t="s">
        <v>0</v>
      </c>
      <c r="B1" s="23" t="s">
        <v>36</v>
      </c>
      <c r="C1" s="23" t="s">
        <v>40</v>
      </c>
      <c r="D1" s="24" t="s">
        <v>38</v>
      </c>
      <c r="E1" s="23" t="s">
        <v>39</v>
      </c>
    </row>
    <row r="2" spans="1:5" ht="15.75" thickBot="1" x14ac:dyDescent="0.3"/>
    <row r="3" spans="1:5" ht="16.5" thickBot="1" x14ac:dyDescent="0.3">
      <c r="A3" s="56" t="s">
        <v>111</v>
      </c>
      <c r="B3" s="57"/>
      <c r="C3" s="57"/>
      <c r="D3" s="57"/>
      <c r="E3" s="58"/>
    </row>
    <row r="4" spans="1:5" ht="30" hidden="1" outlineLevel="1" x14ac:dyDescent="0.25">
      <c r="A4" s="62" t="s">
        <v>112</v>
      </c>
      <c r="B4" s="19" t="s">
        <v>6</v>
      </c>
      <c r="C4" s="20" t="s">
        <v>41</v>
      </c>
      <c r="D4" s="26">
        <v>5</v>
      </c>
      <c r="E4" s="19" t="s">
        <v>64</v>
      </c>
    </row>
    <row r="5" spans="1:5" ht="30" hidden="1" outlineLevel="1" x14ac:dyDescent="0.25">
      <c r="A5" s="63"/>
      <c r="B5" s="19" t="s">
        <v>1</v>
      </c>
      <c r="C5" s="20" t="s">
        <v>41</v>
      </c>
      <c r="D5" s="26">
        <v>5</v>
      </c>
      <c r="E5" s="19" t="s">
        <v>64</v>
      </c>
    </row>
    <row r="6" spans="1:5" ht="30" hidden="1" outlineLevel="1" x14ac:dyDescent="0.25">
      <c r="A6" s="63"/>
      <c r="B6" s="19" t="s">
        <v>2</v>
      </c>
      <c r="C6" s="20" t="s">
        <v>41</v>
      </c>
      <c r="D6" s="26">
        <v>4</v>
      </c>
      <c r="E6" s="19" t="s">
        <v>65</v>
      </c>
    </row>
    <row r="7" spans="1:5" ht="30" hidden="1" outlineLevel="1" x14ac:dyDescent="0.25">
      <c r="A7" s="63"/>
      <c r="B7" s="19" t="s">
        <v>3</v>
      </c>
      <c r="C7" s="20" t="s">
        <v>41</v>
      </c>
      <c r="D7" s="26">
        <v>4</v>
      </c>
      <c r="E7" s="19" t="s">
        <v>65</v>
      </c>
    </row>
    <row r="8" spans="1:5" ht="30" hidden="1" outlineLevel="1" x14ac:dyDescent="0.25">
      <c r="A8" s="63"/>
      <c r="B8" s="19" t="s">
        <v>4</v>
      </c>
      <c r="C8" s="21" t="s">
        <v>42</v>
      </c>
      <c r="D8" s="26">
        <v>3</v>
      </c>
      <c r="E8" s="19" t="s">
        <v>65</v>
      </c>
    </row>
    <row r="9" spans="1:5" ht="30" hidden="1" outlineLevel="1" x14ac:dyDescent="0.25">
      <c r="A9" s="63"/>
      <c r="B9" s="19" t="s">
        <v>7</v>
      </c>
      <c r="C9" s="21" t="s">
        <v>42</v>
      </c>
      <c r="D9" s="26">
        <v>3</v>
      </c>
      <c r="E9" s="19" t="s">
        <v>65</v>
      </c>
    </row>
    <row r="10" spans="1:5" ht="30" hidden="1" outlineLevel="1" x14ac:dyDescent="0.25">
      <c r="A10" s="63"/>
      <c r="B10" s="19" t="s">
        <v>5</v>
      </c>
      <c r="C10" s="21" t="s">
        <v>42</v>
      </c>
      <c r="D10" s="26">
        <v>2</v>
      </c>
      <c r="E10" s="19" t="s">
        <v>65</v>
      </c>
    </row>
    <row r="11" spans="1:5" ht="30" hidden="1" outlineLevel="1" x14ac:dyDescent="0.25">
      <c r="A11" s="63"/>
      <c r="B11" s="19" t="s">
        <v>13</v>
      </c>
      <c r="C11" s="21" t="s">
        <v>42</v>
      </c>
      <c r="D11" s="26">
        <v>2</v>
      </c>
      <c r="E11" s="19" t="s">
        <v>65</v>
      </c>
    </row>
    <row r="12" spans="1:5" ht="30" hidden="1" outlineLevel="1" x14ac:dyDescent="0.25">
      <c r="A12" s="63"/>
      <c r="B12" s="19" t="s">
        <v>10</v>
      </c>
      <c r="C12" s="21" t="s">
        <v>42</v>
      </c>
      <c r="D12" s="26">
        <v>2</v>
      </c>
      <c r="E12" s="19" t="s">
        <v>65</v>
      </c>
    </row>
    <row r="13" spans="1:5" ht="30" hidden="1" outlineLevel="1" x14ac:dyDescent="0.25">
      <c r="A13" s="63"/>
      <c r="B13" s="19" t="s">
        <v>14</v>
      </c>
      <c r="C13" s="21" t="s">
        <v>42</v>
      </c>
      <c r="D13" s="26">
        <v>2</v>
      </c>
      <c r="E13" s="19" t="s">
        <v>65</v>
      </c>
    </row>
    <row r="14" spans="1:5" ht="30" hidden="1" outlineLevel="1" x14ac:dyDescent="0.25">
      <c r="A14" s="63"/>
      <c r="B14" s="19" t="s">
        <v>110</v>
      </c>
      <c r="C14" s="21" t="s">
        <v>42</v>
      </c>
      <c r="D14" s="26">
        <v>2</v>
      </c>
      <c r="E14" s="19" t="s">
        <v>65</v>
      </c>
    </row>
    <row r="15" spans="1:5" ht="30.75" hidden="1" outlineLevel="1" thickBot="1" x14ac:dyDescent="0.3">
      <c r="B15" s="19" t="s">
        <v>169</v>
      </c>
      <c r="C15" s="21" t="s">
        <v>42</v>
      </c>
      <c r="D15" s="26">
        <v>2</v>
      </c>
      <c r="E15" s="19" t="s">
        <v>65</v>
      </c>
    </row>
    <row r="16" spans="1:5" ht="15.75" collapsed="1" thickBot="1" x14ac:dyDescent="0.3">
      <c r="A16" s="59" t="s">
        <v>108</v>
      </c>
      <c r="B16" s="60"/>
      <c r="C16" s="60"/>
      <c r="D16" s="60"/>
      <c r="E16" s="61"/>
    </row>
    <row r="17" spans="1:5" ht="30" hidden="1" outlineLevel="1" x14ac:dyDescent="0.25">
      <c r="A17" s="62" t="s">
        <v>17</v>
      </c>
      <c r="B17" s="19" t="s">
        <v>1</v>
      </c>
      <c r="C17" s="20" t="s">
        <v>41</v>
      </c>
      <c r="D17" s="26">
        <v>5</v>
      </c>
      <c r="E17" s="19" t="s">
        <v>64</v>
      </c>
    </row>
    <row r="18" spans="1:5" ht="30" hidden="1" outlineLevel="1" x14ac:dyDescent="0.25">
      <c r="A18" s="63"/>
      <c r="B18" s="19" t="s">
        <v>103</v>
      </c>
      <c r="C18" s="20" t="s">
        <v>41</v>
      </c>
      <c r="D18" s="26">
        <v>5</v>
      </c>
      <c r="E18" s="19" t="s">
        <v>64</v>
      </c>
    </row>
    <row r="19" spans="1:5" ht="30" hidden="1" outlineLevel="1" x14ac:dyDescent="0.25">
      <c r="A19" s="63"/>
      <c r="B19" s="19" t="s">
        <v>106</v>
      </c>
      <c r="C19" s="20" t="s">
        <v>41</v>
      </c>
      <c r="D19" s="26">
        <v>5</v>
      </c>
      <c r="E19" s="19" t="s">
        <v>64</v>
      </c>
    </row>
    <row r="20" spans="1:5" ht="30" hidden="1" outlineLevel="1" x14ac:dyDescent="0.25">
      <c r="A20" s="63"/>
      <c r="B20" s="19" t="s">
        <v>2</v>
      </c>
      <c r="C20" s="20" t="s">
        <v>41</v>
      </c>
      <c r="D20" s="26">
        <v>4</v>
      </c>
      <c r="E20" s="19" t="s">
        <v>65</v>
      </c>
    </row>
    <row r="21" spans="1:5" ht="30" hidden="1" outlineLevel="1" x14ac:dyDescent="0.25">
      <c r="A21" s="63"/>
      <c r="B21" s="19" t="s">
        <v>3</v>
      </c>
      <c r="C21" s="20" t="s">
        <v>41</v>
      </c>
      <c r="D21" s="26">
        <v>4</v>
      </c>
      <c r="E21" s="19" t="s">
        <v>65</v>
      </c>
    </row>
    <row r="22" spans="1:5" ht="30" hidden="1" outlineLevel="1" x14ac:dyDescent="0.25">
      <c r="A22" s="63"/>
      <c r="B22" s="19" t="s">
        <v>4</v>
      </c>
      <c r="C22" s="21" t="s">
        <v>42</v>
      </c>
      <c r="D22" s="26">
        <v>3</v>
      </c>
      <c r="E22" s="19" t="s">
        <v>65</v>
      </c>
    </row>
    <row r="23" spans="1:5" ht="30" hidden="1" outlineLevel="1" x14ac:dyDescent="0.25">
      <c r="A23" s="63"/>
      <c r="B23" s="19" t="s">
        <v>104</v>
      </c>
      <c r="C23" s="21" t="s">
        <v>42</v>
      </c>
      <c r="D23" s="26">
        <v>3</v>
      </c>
      <c r="E23" s="19" t="s">
        <v>65</v>
      </c>
    </row>
    <row r="24" spans="1:5" ht="30" hidden="1" outlineLevel="1" x14ac:dyDescent="0.25">
      <c r="A24" s="63"/>
      <c r="B24" s="19" t="s">
        <v>124</v>
      </c>
      <c r="C24" s="21" t="s">
        <v>42</v>
      </c>
      <c r="D24" s="26">
        <v>3</v>
      </c>
      <c r="E24" s="19" t="s">
        <v>65</v>
      </c>
    </row>
    <row r="25" spans="1:5" ht="30" hidden="1" outlineLevel="1" x14ac:dyDescent="0.25">
      <c r="A25" s="63"/>
      <c r="B25" s="19" t="s">
        <v>102</v>
      </c>
      <c r="C25" s="21" t="s">
        <v>42</v>
      </c>
      <c r="D25" s="26">
        <v>3</v>
      </c>
      <c r="E25" s="19" t="s">
        <v>65</v>
      </c>
    </row>
    <row r="26" spans="1:5" ht="30" hidden="1" outlineLevel="1" x14ac:dyDescent="0.25">
      <c r="A26" s="63"/>
      <c r="B26" s="19" t="s">
        <v>107</v>
      </c>
      <c r="C26" s="21" t="s">
        <v>42</v>
      </c>
      <c r="D26" s="26">
        <v>3</v>
      </c>
      <c r="E26" s="19" t="s">
        <v>65</v>
      </c>
    </row>
    <row r="27" spans="1:5" ht="30" hidden="1" outlineLevel="1" x14ac:dyDescent="0.25">
      <c r="A27" s="63"/>
      <c r="B27" s="19" t="s">
        <v>105</v>
      </c>
      <c r="C27" s="21" t="s">
        <v>42</v>
      </c>
      <c r="D27" s="26">
        <v>2</v>
      </c>
      <c r="E27" s="19" t="s">
        <v>65</v>
      </c>
    </row>
    <row r="28" spans="1:5" ht="30" hidden="1" outlineLevel="1" x14ac:dyDescent="0.25">
      <c r="A28" s="63"/>
      <c r="B28" s="19" t="s">
        <v>13</v>
      </c>
      <c r="C28" s="21" t="s">
        <v>42</v>
      </c>
      <c r="D28" s="26">
        <v>2</v>
      </c>
      <c r="E28" s="19" t="s">
        <v>65</v>
      </c>
    </row>
    <row r="29" spans="1:5" ht="30" hidden="1" outlineLevel="1" x14ac:dyDescent="0.25">
      <c r="A29" s="63"/>
      <c r="B29" s="19" t="s">
        <v>10</v>
      </c>
      <c r="C29" s="21" t="s">
        <v>42</v>
      </c>
      <c r="D29" s="26">
        <v>2</v>
      </c>
      <c r="E29" s="19" t="s">
        <v>65</v>
      </c>
    </row>
    <row r="30" spans="1:5" ht="30" hidden="1" outlineLevel="1" x14ac:dyDescent="0.25">
      <c r="A30" s="63"/>
      <c r="B30" s="19" t="s">
        <v>109</v>
      </c>
      <c r="C30" s="21" t="s">
        <v>42</v>
      </c>
      <c r="D30" s="26">
        <v>2</v>
      </c>
      <c r="E30" s="19" t="s">
        <v>65</v>
      </c>
    </row>
    <row r="31" spans="1:5" collapsed="1" x14ac:dyDescent="0.25"/>
  </sheetData>
  <sortState ref="B16:E28">
    <sortCondition descending="1" ref="D16:D28"/>
  </sortState>
  <mergeCells count="4">
    <mergeCell ref="A3:E3"/>
    <mergeCell ref="A16:E16"/>
    <mergeCell ref="A4:A14"/>
    <mergeCell ref="A17:A30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"/>
  <sheetViews>
    <sheetView showGridLines="0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14.7109375" customWidth="1"/>
    <col min="2" max="2" width="66.42578125" customWidth="1"/>
    <col min="3" max="3" width="47.5703125" customWidth="1"/>
    <col min="4" max="4" width="13.7109375" style="1" customWidth="1"/>
    <col min="5" max="5" width="31.28515625" style="22" bestFit="1" customWidth="1"/>
    <col min="6" max="6" width="10.28515625" bestFit="1" customWidth="1"/>
  </cols>
  <sheetData>
    <row r="1" spans="1:5" ht="28.5" customHeight="1" thickBot="1" x14ac:dyDescent="0.3">
      <c r="A1" s="23" t="s">
        <v>0</v>
      </c>
      <c r="B1" s="23" t="s">
        <v>36</v>
      </c>
      <c r="C1" s="23" t="s">
        <v>40</v>
      </c>
      <c r="D1" s="24" t="s">
        <v>38</v>
      </c>
      <c r="E1" s="23" t="s">
        <v>39</v>
      </c>
    </row>
    <row r="2" spans="1:5" ht="15.75" thickBot="1" x14ac:dyDescent="0.3"/>
    <row r="3" spans="1:5" ht="16.5" thickBot="1" x14ac:dyDescent="0.3">
      <c r="A3" s="56" t="s">
        <v>113</v>
      </c>
      <c r="B3" s="57"/>
      <c r="C3" s="57"/>
      <c r="D3" s="57"/>
      <c r="E3" s="58"/>
    </row>
    <row r="4" spans="1:5" ht="30" hidden="1" outlineLevel="1" x14ac:dyDescent="0.25">
      <c r="A4" s="62" t="s">
        <v>113</v>
      </c>
      <c r="B4" s="19" t="s">
        <v>116</v>
      </c>
      <c r="C4" s="20" t="s">
        <v>41</v>
      </c>
      <c r="D4" s="26">
        <v>5</v>
      </c>
      <c r="E4" s="19" t="s">
        <v>64</v>
      </c>
    </row>
    <row r="5" spans="1:5" ht="30" hidden="1" outlineLevel="1" x14ac:dyDescent="0.25">
      <c r="A5" s="66"/>
      <c r="B5" s="19" t="s">
        <v>8</v>
      </c>
      <c r="C5" s="20" t="s">
        <v>41</v>
      </c>
      <c r="D5" s="26">
        <v>5</v>
      </c>
      <c r="E5" s="19" t="s">
        <v>64</v>
      </c>
    </row>
    <row r="6" spans="1:5" ht="30" hidden="1" outlineLevel="1" x14ac:dyDescent="0.25">
      <c r="A6" s="66"/>
      <c r="B6" s="19" t="s">
        <v>9</v>
      </c>
      <c r="C6" s="20" t="s">
        <v>41</v>
      </c>
      <c r="D6" s="26">
        <v>4</v>
      </c>
      <c r="E6" s="19" t="s">
        <v>65</v>
      </c>
    </row>
    <row r="7" spans="1:5" ht="30" hidden="1" outlineLevel="1" x14ac:dyDescent="0.25">
      <c r="A7" s="66"/>
      <c r="B7" s="19" t="s">
        <v>11</v>
      </c>
      <c r="C7" s="20" t="s">
        <v>41</v>
      </c>
      <c r="D7" s="26">
        <v>4</v>
      </c>
      <c r="E7" s="19" t="s">
        <v>65</v>
      </c>
    </row>
    <row r="8" spans="1:5" ht="30" hidden="1" outlineLevel="1" x14ac:dyDescent="0.25">
      <c r="A8" s="66"/>
      <c r="B8" s="19" t="s">
        <v>12</v>
      </c>
      <c r="C8" s="21" t="s">
        <v>42</v>
      </c>
      <c r="D8" s="26">
        <v>3</v>
      </c>
      <c r="E8" s="19" t="s">
        <v>65</v>
      </c>
    </row>
    <row r="9" spans="1:5" ht="30" hidden="1" outlineLevel="1" x14ac:dyDescent="0.25">
      <c r="A9" s="66"/>
      <c r="B9" s="19" t="s">
        <v>15</v>
      </c>
      <c r="C9" s="21" t="s">
        <v>42</v>
      </c>
      <c r="D9" s="26">
        <v>2</v>
      </c>
      <c r="E9" s="19" t="s">
        <v>65</v>
      </c>
    </row>
    <row r="10" spans="1:5" ht="30" hidden="1" outlineLevel="1" x14ac:dyDescent="0.25">
      <c r="A10" s="66"/>
      <c r="B10" s="25" t="s">
        <v>16</v>
      </c>
      <c r="C10" s="21" t="s">
        <v>42</v>
      </c>
      <c r="D10" s="26">
        <v>2</v>
      </c>
      <c r="E10" s="19" t="s">
        <v>65</v>
      </c>
    </row>
    <row r="11" spans="1:5" ht="30" hidden="1" outlineLevel="1" x14ac:dyDescent="0.25">
      <c r="A11" s="66"/>
      <c r="B11" s="19" t="s">
        <v>114</v>
      </c>
      <c r="C11" s="21" t="s">
        <v>42</v>
      </c>
      <c r="D11" s="26">
        <v>2</v>
      </c>
      <c r="E11" s="19" t="s">
        <v>65</v>
      </c>
    </row>
    <row r="12" spans="1:5" ht="30.75" hidden="1" outlineLevel="1" thickBot="1" x14ac:dyDescent="0.3">
      <c r="A12" s="66"/>
      <c r="B12" s="19" t="s">
        <v>115</v>
      </c>
      <c r="C12" s="21" t="s">
        <v>42</v>
      </c>
      <c r="D12" s="26">
        <v>2</v>
      </c>
      <c r="E12" s="19" t="s">
        <v>65</v>
      </c>
    </row>
    <row r="13" spans="1:5" ht="16.5" collapsed="1" thickBot="1" x14ac:dyDescent="0.3">
      <c r="A13" s="56" t="s">
        <v>117</v>
      </c>
      <c r="B13" s="57"/>
      <c r="C13" s="57"/>
      <c r="D13" s="57"/>
      <c r="E13" s="58"/>
    </row>
    <row r="14" spans="1:5" ht="30" hidden="1" outlineLevel="1" x14ac:dyDescent="0.25">
      <c r="A14" s="64" t="s">
        <v>117</v>
      </c>
      <c r="B14" s="19" t="s">
        <v>123</v>
      </c>
      <c r="C14" s="20" t="s">
        <v>41</v>
      </c>
      <c r="D14" s="26">
        <v>5</v>
      </c>
      <c r="E14" s="19" t="s">
        <v>64</v>
      </c>
    </row>
    <row r="15" spans="1:5" ht="30" hidden="1" outlineLevel="1" x14ac:dyDescent="0.25">
      <c r="A15" s="65"/>
      <c r="B15" s="19" t="s">
        <v>8</v>
      </c>
      <c r="C15" s="20" t="s">
        <v>41</v>
      </c>
      <c r="D15" s="26">
        <v>5</v>
      </c>
      <c r="E15" s="19" t="s">
        <v>64</v>
      </c>
    </row>
    <row r="16" spans="1:5" ht="30" hidden="1" outlineLevel="1" x14ac:dyDescent="0.25">
      <c r="A16" s="65"/>
      <c r="B16" s="19" t="s">
        <v>9</v>
      </c>
      <c r="C16" s="20" t="s">
        <v>41</v>
      </c>
      <c r="D16" s="26">
        <v>4</v>
      </c>
      <c r="E16" s="19" t="s">
        <v>65</v>
      </c>
    </row>
    <row r="17" spans="1:5" ht="30" hidden="1" outlineLevel="1" x14ac:dyDescent="0.25">
      <c r="A17" s="65"/>
      <c r="B17" s="19" t="s">
        <v>11</v>
      </c>
      <c r="C17" s="20" t="s">
        <v>41</v>
      </c>
      <c r="D17" s="26">
        <v>4</v>
      </c>
      <c r="E17" s="19" t="s">
        <v>65</v>
      </c>
    </row>
    <row r="18" spans="1:5" ht="30" hidden="1" outlineLevel="1" x14ac:dyDescent="0.25">
      <c r="A18" s="65"/>
      <c r="B18" s="19" t="s">
        <v>118</v>
      </c>
      <c r="C18" s="20" t="s">
        <v>41</v>
      </c>
      <c r="D18" s="26">
        <v>4</v>
      </c>
      <c r="E18" s="19" t="s">
        <v>65</v>
      </c>
    </row>
    <row r="19" spans="1:5" ht="30" hidden="1" outlineLevel="1" x14ac:dyDescent="0.25">
      <c r="A19" s="65"/>
      <c r="B19" s="19" t="s">
        <v>12</v>
      </c>
      <c r="C19" s="21" t="s">
        <v>42</v>
      </c>
      <c r="D19" s="26">
        <v>3</v>
      </c>
      <c r="E19" s="19" t="s">
        <v>65</v>
      </c>
    </row>
    <row r="20" spans="1:5" ht="30" hidden="1" outlineLevel="1" x14ac:dyDescent="0.25">
      <c r="A20" s="65"/>
      <c r="B20" s="19" t="s">
        <v>15</v>
      </c>
      <c r="C20" s="21" t="s">
        <v>42</v>
      </c>
      <c r="D20" s="26">
        <v>2</v>
      </c>
      <c r="E20" s="19" t="s">
        <v>65</v>
      </c>
    </row>
    <row r="21" spans="1:5" ht="30" hidden="1" outlineLevel="1" x14ac:dyDescent="0.25">
      <c r="A21" s="65"/>
      <c r="B21" s="25" t="s">
        <v>16</v>
      </c>
      <c r="C21" s="21" t="s">
        <v>42</v>
      </c>
      <c r="D21" s="26">
        <v>2</v>
      </c>
      <c r="E21" s="19" t="s">
        <v>65</v>
      </c>
    </row>
    <row r="22" spans="1:5" ht="15.75" hidden="1" outlineLevel="1" thickBot="1" x14ac:dyDescent="0.3">
      <c r="B22" s="19"/>
      <c r="C22" s="21"/>
      <c r="D22" s="26"/>
      <c r="E22" s="19"/>
    </row>
    <row r="23" spans="1:5" ht="16.5" collapsed="1" thickBot="1" x14ac:dyDescent="0.3">
      <c r="A23" s="56" t="s">
        <v>120</v>
      </c>
      <c r="B23" s="57"/>
      <c r="C23" s="57"/>
      <c r="D23" s="57"/>
      <c r="E23" s="58"/>
    </row>
    <row r="24" spans="1:5" ht="30" hidden="1" outlineLevel="1" x14ac:dyDescent="0.25">
      <c r="B24" s="19" t="s">
        <v>121</v>
      </c>
      <c r="C24" s="20" t="s">
        <v>41</v>
      </c>
      <c r="D24" s="26">
        <v>5</v>
      </c>
      <c r="E24" s="19" t="s">
        <v>64</v>
      </c>
    </row>
    <row r="25" spans="1:5" ht="30" hidden="1" outlineLevel="1" x14ac:dyDescent="0.25">
      <c r="B25" s="19" t="s">
        <v>8</v>
      </c>
      <c r="C25" s="20" t="s">
        <v>41</v>
      </c>
      <c r="D25" s="26">
        <v>5</v>
      </c>
      <c r="E25" s="19" t="s">
        <v>64</v>
      </c>
    </row>
    <row r="26" spans="1:5" ht="30" hidden="1" outlineLevel="1" x14ac:dyDescent="0.25">
      <c r="B26" s="19" t="s">
        <v>9</v>
      </c>
      <c r="C26" s="20" t="s">
        <v>41</v>
      </c>
      <c r="D26" s="26">
        <v>4</v>
      </c>
      <c r="E26" s="19" t="s">
        <v>65</v>
      </c>
    </row>
    <row r="27" spans="1:5" ht="30" hidden="1" outlineLevel="1" x14ac:dyDescent="0.25">
      <c r="B27" s="19" t="s">
        <v>11</v>
      </c>
      <c r="C27" s="20" t="s">
        <v>41</v>
      </c>
      <c r="D27" s="26">
        <v>4</v>
      </c>
      <c r="E27" s="19" t="s">
        <v>65</v>
      </c>
    </row>
    <row r="28" spans="1:5" ht="30" hidden="1" outlineLevel="1" x14ac:dyDescent="0.25">
      <c r="B28" s="19" t="s">
        <v>122</v>
      </c>
      <c r="C28" s="20" t="s">
        <v>41</v>
      </c>
      <c r="D28" s="26">
        <v>4</v>
      </c>
      <c r="E28" s="19" t="s">
        <v>65</v>
      </c>
    </row>
    <row r="29" spans="1:5" ht="30" hidden="1" outlineLevel="1" x14ac:dyDescent="0.25">
      <c r="B29" s="19" t="s">
        <v>12</v>
      </c>
      <c r="C29" s="21" t="s">
        <v>42</v>
      </c>
      <c r="D29" s="26">
        <v>3</v>
      </c>
      <c r="E29" s="19" t="s">
        <v>65</v>
      </c>
    </row>
    <row r="30" spans="1:5" ht="30" hidden="1" outlineLevel="1" x14ac:dyDescent="0.25">
      <c r="B30" s="19" t="s">
        <v>15</v>
      </c>
      <c r="C30" s="21" t="s">
        <v>42</v>
      </c>
      <c r="D30" s="26">
        <v>2</v>
      </c>
      <c r="E30" s="19" t="s">
        <v>65</v>
      </c>
    </row>
    <row r="31" spans="1:5" ht="30" hidden="1" outlineLevel="1" x14ac:dyDescent="0.25">
      <c r="B31" s="25" t="s">
        <v>16</v>
      </c>
      <c r="C31" s="21" t="s">
        <v>42</v>
      </c>
      <c r="D31" s="26">
        <v>2</v>
      </c>
      <c r="E31" s="19" t="s">
        <v>65</v>
      </c>
    </row>
    <row r="32" spans="1:5" collapsed="1" x14ac:dyDescent="0.25"/>
  </sheetData>
  <sortState ref="B15:E22">
    <sortCondition descending="1" ref="D15:D22"/>
  </sortState>
  <mergeCells count="5">
    <mergeCell ref="A14:A21"/>
    <mergeCell ref="A23:E23"/>
    <mergeCell ref="A3:E3"/>
    <mergeCell ref="A4:A12"/>
    <mergeCell ref="A13:E1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7"/>
  <sheetViews>
    <sheetView showGridLines="0" workbookViewId="0">
      <pane ySplit="1" topLeftCell="A17" activePane="bottomLeft" state="frozen"/>
      <selection pane="bottomLeft" activeCell="A4" sqref="A4:A15"/>
    </sheetView>
  </sheetViews>
  <sheetFormatPr defaultRowHeight="15" outlineLevelRow="1" x14ac:dyDescent="0.25"/>
  <cols>
    <col min="1" max="1" width="14.7109375" customWidth="1"/>
    <col min="2" max="2" width="66.42578125" customWidth="1"/>
    <col min="3" max="3" width="47.5703125" customWidth="1"/>
    <col min="4" max="4" width="13.7109375" style="1" customWidth="1"/>
    <col min="5" max="5" width="31.28515625" style="22" bestFit="1" customWidth="1"/>
    <col min="6" max="6" width="10.28515625" bestFit="1" customWidth="1"/>
  </cols>
  <sheetData>
    <row r="1" spans="1:5" ht="28.5" customHeight="1" thickBot="1" x14ac:dyDescent="0.3">
      <c r="A1" s="23" t="s">
        <v>0</v>
      </c>
      <c r="B1" s="23" t="s">
        <v>36</v>
      </c>
      <c r="C1" s="23" t="s">
        <v>40</v>
      </c>
      <c r="D1" s="24" t="s">
        <v>38</v>
      </c>
      <c r="E1" s="23" t="s">
        <v>39</v>
      </c>
    </row>
    <row r="2" spans="1:5" ht="15.75" thickBot="1" x14ac:dyDescent="0.3"/>
    <row r="3" spans="1:5" ht="16.5" thickBot="1" x14ac:dyDescent="0.3">
      <c r="A3" s="56" t="s">
        <v>134</v>
      </c>
      <c r="B3" s="57"/>
      <c r="C3" s="57"/>
      <c r="D3" s="57"/>
      <c r="E3" s="58"/>
    </row>
    <row r="4" spans="1:5" ht="30" hidden="1" outlineLevel="1" x14ac:dyDescent="0.25">
      <c r="A4" s="67" t="s">
        <v>130</v>
      </c>
      <c r="B4" s="19" t="s">
        <v>21</v>
      </c>
      <c r="C4" s="20" t="s">
        <v>41</v>
      </c>
      <c r="D4" s="26">
        <v>5</v>
      </c>
      <c r="E4" s="19" t="s">
        <v>65</v>
      </c>
    </row>
    <row r="5" spans="1:5" ht="30" hidden="1" outlineLevel="1" x14ac:dyDescent="0.25">
      <c r="A5" s="68"/>
      <c r="B5" s="19" t="s">
        <v>22</v>
      </c>
      <c r="C5" s="20" t="s">
        <v>41</v>
      </c>
      <c r="D5" s="26">
        <v>5</v>
      </c>
      <c r="E5" s="19" t="s">
        <v>65</v>
      </c>
    </row>
    <row r="6" spans="1:5" ht="30" hidden="1" outlineLevel="1" x14ac:dyDescent="0.25">
      <c r="A6" s="68"/>
      <c r="B6" s="19" t="s">
        <v>23</v>
      </c>
      <c r="C6" s="20" t="s">
        <v>41</v>
      </c>
      <c r="D6" s="26">
        <v>5</v>
      </c>
      <c r="E6" s="19" t="s">
        <v>65</v>
      </c>
    </row>
    <row r="7" spans="1:5" ht="30" hidden="1" outlineLevel="1" x14ac:dyDescent="0.25">
      <c r="A7" s="68"/>
      <c r="B7" s="19" t="s">
        <v>135</v>
      </c>
      <c r="C7" s="20" t="s">
        <v>41</v>
      </c>
      <c r="D7" s="26">
        <v>5</v>
      </c>
      <c r="E7" s="19" t="s">
        <v>65</v>
      </c>
    </row>
    <row r="8" spans="1:5" ht="30" hidden="1" outlineLevel="1" x14ac:dyDescent="0.25">
      <c r="A8" s="68"/>
      <c r="B8" s="25" t="s">
        <v>131</v>
      </c>
      <c r="C8" s="21" t="s">
        <v>42</v>
      </c>
      <c r="D8" s="26">
        <v>3</v>
      </c>
      <c r="E8" s="19" t="s">
        <v>65</v>
      </c>
    </row>
    <row r="9" spans="1:5" ht="30" hidden="1" outlineLevel="1" x14ac:dyDescent="0.25">
      <c r="A9" s="68"/>
      <c r="B9" s="19" t="s">
        <v>133</v>
      </c>
      <c r="C9" s="21" t="s">
        <v>42</v>
      </c>
      <c r="D9" s="26">
        <v>3</v>
      </c>
      <c r="E9" s="19" t="s">
        <v>65</v>
      </c>
    </row>
    <row r="10" spans="1:5" ht="30" hidden="1" outlineLevel="1" x14ac:dyDescent="0.25">
      <c r="A10" s="68"/>
      <c r="B10" s="25" t="s">
        <v>138</v>
      </c>
      <c r="C10" s="21" t="s">
        <v>42</v>
      </c>
      <c r="D10" s="26">
        <v>3</v>
      </c>
      <c r="E10" s="19" t="s">
        <v>65</v>
      </c>
    </row>
    <row r="11" spans="1:5" ht="30" hidden="1" outlineLevel="1" x14ac:dyDescent="0.25">
      <c r="A11" s="68"/>
      <c r="B11" s="19" t="s">
        <v>20</v>
      </c>
      <c r="C11" s="21" t="s">
        <v>42</v>
      </c>
      <c r="D11" s="26">
        <v>2</v>
      </c>
      <c r="E11" s="19" t="s">
        <v>65</v>
      </c>
    </row>
    <row r="12" spans="1:5" ht="30" hidden="1" outlineLevel="1" x14ac:dyDescent="0.25">
      <c r="A12" s="68"/>
      <c r="B12" s="19" t="s">
        <v>129</v>
      </c>
      <c r="C12" s="21" t="s">
        <v>42</v>
      </c>
      <c r="D12" s="26">
        <v>2</v>
      </c>
      <c r="E12" s="19" t="s">
        <v>65</v>
      </c>
    </row>
    <row r="13" spans="1:5" ht="30" hidden="1" outlineLevel="1" x14ac:dyDescent="0.25">
      <c r="A13" s="68"/>
      <c r="B13" s="19" t="s">
        <v>19</v>
      </c>
      <c r="C13" s="21" t="s">
        <v>42</v>
      </c>
      <c r="D13" s="26">
        <v>2</v>
      </c>
      <c r="E13" s="19" t="s">
        <v>65</v>
      </c>
    </row>
    <row r="14" spans="1:5" ht="30" hidden="1" outlineLevel="1" x14ac:dyDescent="0.25">
      <c r="A14" s="68"/>
      <c r="B14" s="19" t="s">
        <v>132</v>
      </c>
      <c r="C14" s="21" t="s">
        <v>42</v>
      </c>
      <c r="D14" s="26">
        <v>2</v>
      </c>
      <c r="E14" s="19" t="s">
        <v>65</v>
      </c>
    </row>
    <row r="15" spans="1:5" ht="30" hidden="1" outlineLevel="1" x14ac:dyDescent="0.25">
      <c r="A15" s="68"/>
      <c r="B15" s="19" t="s">
        <v>136</v>
      </c>
      <c r="C15" s="21" t="s">
        <v>42</v>
      </c>
      <c r="D15" s="26">
        <v>2</v>
      </c>
      <c r="E15" s="19" t="s">
        <v>65</v>
      </c>
    </row>
    <row r="16" spans="1:5" ht="30" hidden="1" outlineLevel="1" x14ac:dyDescent="0.25">
      <c r="B16" s="19" t="s">
        <v>137</v>
      </c>
      <c r="C16" s="21" t="s">
        <v>42</v>
      </c>
      <c r="D16" s="26">
        <v>2</v>
      </c>
      <c r="E16" s="19" t="s">
        <v>65</v>
      </c>
    </row>
    <row r="17" collapsed="1" x14ac:dyDescent="0.25"/>
  </sheetData>
  <sortState ref="B4:E16">
    <sortCondition descending="1" ref="D4:D16"/>
  </sortState>
  <mergeCells count="2">
    <mergeCell ref="A3:E3"/>
    <mergeCell ref="A4:A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14.7109375" customWidth="1"/>
    <col min="2" max="2" width="66.42578125" customWidth="1"/>
    <col min="3" max="3" width="47.5703125" customWidth="1"/>
    <col min="4" max="4" width="13.7109375" style="1" customWidth="1"/>
    <col min="5" max="5" width="31.28515625" style="22" bestFit="1" customWidth="1"/>
    <col min="6" max="6" width="10.28515625" bestFit="1" customWidth="1"/>
  </cols>
  <sheetData>
    <row r="1" spans="1:5" ht="28.5" customHeight="1" thickBot="1" x14ac:dyDescent="0.3">
      <c r="A1" s="23" t="s">
        <v>0</v>
      </c>
      <c r="B1" s="23" t="s">
        <v>36</v>
      </c>
      <c r="C1" s="23" t="s">
        <v>40</v>
      </c>
      <c r="D1" s="24" t="s">
        <v>38</v>
      </c>
      <c r="E1" s="23" t="s">
        <v>39</v>
      </c>
    </row>
    <row r="2" spans="1:5" ht="15.75" thickBot="1" x14ac:dyDescent="0.3"/>
    <row r="3" spans="1:5" ht="16.5" thickBot="1" x14ac:dyDescent="0.3">
      <c r="A3" s="56" t="s">
        <v>126</v>
      </c>
      <c r="B3" s="57"/>
      <c r="C3" s="57"/>
      <c r="D3" s="57"/>
      <c r="E3" s="58"/>
    </row>
    <row r="4" spans="1:5" ht="30" outlineLevel="1" x14ac:dyDescent="0.25">
      <c r="A4" s="62" t="s">
        <v>127</v>
      </c>
      <c r="B4" s="19" t="s">
        <v>30</v>
      </c>
      <c r="C4" s="20" t="s">
        <v>41</v>
      </c>
      <c r="D4" s="26">
        <v>5</v>
      </c>
      <c r="E4" s="19" t="s">
        <v>64</v>
      </c>
    </row>
    <row r="5" spans="1:5" ht="30" outlineLevel="1" x14ac:dyDescent="0.25">
      <c r="A5" s="66"/>
      <c r="B5" s="19" t="s">
        <v>28</v>
      </c>
      <c r="C5" s="20" t="s">
        <v>41</v>
      </c>
      <c r="D5" s="26">
        <v>5</v>
      </c>
      <c r="E5" s="19" t="s">
        <v>64</v>
      </c>
    </row>
    <row r="6" spans="1:5" ht="30" outlineLevel="1" x14ac:dyDescent="0.25">
      <c r="A6" s="66"/>
      <c r="B6" s="19" t="s">
        <v>31</v>
      </c>
      <c r="C6" s="20" t="s">
        <v>41</v>
      </c>
      <c r="D6" s="26">
        <v>4</v>
      </c>
      <c r="E6" s="19" t="s">
        <v>64</v>
      </c>
    </row>
    <row r="7" spans="1:5" ht="30" outlineLevel="1" x14ac:dyDescent="0.25">
      <c r="A7" s="66"/>
      <c r="B7" s="19" t="s">
        <v>32</v>
      </c>
      <c r="C7" s="20" t="s">
        <v>41</v>
      </c>
      <c r="D7" s="26">
        <v>4</v>
      </c>
      <c r="E7" s="19" t="s">
        <v>65</v>
      </c>
    </row>
    <row r="8" spans="1:5" ht="30" outlineLevel="1" x14ac:dyDescent="0.25">
      <c r="A8" s="66"/>
      <c r="B8" s="19" t="s">
        <v>33</v>
      </c>
      <c r="C8" s="20" t="s">
        <v>41</v>
      </c>
      <c r="D8" s="26">
        <v>4</v>
      </c>
      <c r="E8" s="19" t="s">
        <v>65</v>
      </c>
    </row>
    <row r="9" spans="1:5" ht="30" outlineLevel="1" x14ac:dyDescent="0.25">
      <c r="A9" s="66"/>
      <c r="B9" s="19" t="s">
        <v>125</v>
      </c>
      <c r="C9" s="20" t="s">
        <v>41</v>
      </c>
      <c r="D9" s="26">
        <v>4</v>
      </c>
      <c r="E9" s="19" t="s">
        <v>65</v>
      </c>
    </row>
    <row r="10" spans="1:5" ht="30" outlineLevel="1" x14ac:dyDescent="0.25">
      <c r="A10" s="66"/>
      <c r="B10" s="19" t="s">
        <v>119</v>
      </c>
      <c r="C10" s="20" t="s">
        <v>41</v>
      </c>
      <c r="D10" s="26">
        <v>4</v>
      </c>
      <c r="E10" s="19" t="s">
        <v>65</v>
      </c>
    </row>
    <row r="11" spans="1:5" ht="30" outlineLevel="1" x14ac:dyDescent="0.25">
      <c r="A11" s="66"/>
      <c r="B11" s="19" t="s">
        <v>35</v>
      </c>
      <c r="C11" s="20" t="s">
        <v>41</v>
      </c>
      <c r="D11" s="26">
        <v>4</v>
      </c>
      <c r="E11" s="19" t="s">
        <v>65</v>
      </c>
    </row>
    <row r="12" spans="1:5" ht="30" outlineLevel="1" x14ac:dyDescent="0.25">
      <c r="A12" s="66"/>
      <c r="B12" s="19" t="s">
        <v>34</v>
      </c>
      <c r="C12" s="21" t="s">
        <v>42</v>
      </c>
      <c r="D12" s="26">
        <v>3</v>
      </c>
      <c r="E12" s="19" t="s">
        <v>65</v>
      </c>
    </row>
    <row r="13" spans="1:5" ht="30" outlineLevel="1" x14ac:dyDescent="0.25">
      <c r="A13" s="66"/>
      <c r="B13" s="19" t="s">
        <v>18</v>
      </c>
      <c r="C13" s="21" t="s">
        <v>42</v>
      </c>
      <c r="D13" s="26">
        <v>2</v>
      </c>
      <c r="E13" s="19" t="s">
        <v>65</v>
      </c>
    </row>
    <row r="14" spans="1:5" ht="15.75" outlineLevel="1" thickBot="1" x14ac:dyDescent="0.3">
      <c r="A14" s="66"/>
      <c r="B14" s="19"/>
      <c r="C14" s="21"/>
      <c r="D14" s="26"/>
      <c r="E14" s="19"/>
    </row>
    <row r="15" spans="1:5" ht="16.5" thickBot="1" x14ac:dyDescent="0.3">
      <c r="A15" s="56" t="s">
        <v>139</v>
      </c>
      <c r="B15" s="57"/>
      <c r="C15" s="57"/>
      <c r="D15" s="57"/>
      <c r="E15" s="58"/>
    </row>
  </sheetData>
  <sortState ref="B4:E13">
    <sortCondition descending="1" ref="D4:D13"/>
  </sortState>
  <mergeCells count="3">
    <mergeCell ref="A3:E3"/>
    <mergeCell ref="A4:A14"/>
    <mergeCell ref="A15:E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lanilha" dvAspect="DVASPECT_ICON" shapeId="14340" r:id="rId4">
          <objectPr defaultSize="0" r:id="rId5">
            <anchor moveWithCells="1">
              <from>
                <xdr:col>1</xdr:col>
                <xdr:colOff>3524250</xdr:colOff>
                <xdr:row>16</xdr:row>
                <xdr:rowOff>19050</xdr:rowOff>
              </from>
              <to>
                <xdr:col>2</xdr:col>
                <xdr:colOff>9525</xdr:colOff>
                <xdr:row>19</xdr:row>
                <xdr:rowOff>133350</xdr:rowOff>
              </to>
            </anchor>
          </objectPr>
        </oleObject>
      </mc:Choice>
      <mc:Fallback>
        <oleObject progId="Planilha" dvAspect="DVASPECT_ICON" shapeId="14340" r:id="rId4"/>
      </mc:Fallback>
    </mc:AlternateContent>
    <mc:AlternateContent xmlns:mc="http://schemas.openxmlformats.org/markup-compatibility/2006">
      <mc:Choice Requires="x14">
        <oleObject progId="Planilha" dvAspect="DVASPECT_ICON" shapeId="14341" r:id="rId6">
          <objectPr defaultSize="0" r:id="rId7">
            <anchor moveWithCells="1">
              <from>
                <xdr:col>2</xdr:col>
                <xdr:colOff>447675</xdr:colOff>
                <xdr:row>16</xdr:row>
                <xdr:rowOff>19050</xdr:rowOff>
              </from>
              <to>
                <xdr:col>2</xdr:col>
                <xdr:colOff>1362075</xdr:colOff>
                <xdr:row>19</xdr:row>
                <xdr:rowOff>133350</xdr:rowOff>
              </to>
            </anchor>
          </objectPr>
        </oleObject>
      </mc:Choice>
      <mc:Fallback>
        <oleObject progId="Planilha" dvAspect="DVASPECT_ICON" shapeId="14341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5"/>
  <sheetViews>
    <sheetView showGridLines="0" workbookViewId="0">
      <pane ySplit="1" topLeftCell="A14" activePane="bottomLeft" state="frozen"/>
      <selection pane="bottomLeft"/>
    </sheetView>
  </sheetViews>
  <sheetFormatPr defaultRowHeight="15" outlineLevelRow="1" x14ac:dyDescent="0.25"/>
  <cols>
    <col min="1" max="1" width="14.7109375" customWidth="1"/>
    <col min="2" max="2" width="66.42578125" customWidth="1"/>
    <col min="3" max="3" width="47.5703125" customWidth="1"/>
    <col min="4" max="4" width="13.7109375" style="1" customWidth="1"/>
    <col min="5" max="5" width="31.28515625" style="22" bestFit="1" customWidth="1"/>
    <col min="6" max="6" width="10.28515625" bestFit="1" customWidth="1"/>
  </cols>
  <sheetData>
    <row r="1" spans="1:5" ht="28.5" customHeight="1" thickBot="1" x14ac:dyDescent="0.3">
      <c r="A1" s="23" t="s">
        <v>0</v>
      </c>
      <c r="B1" s="23" t="s">
        <v>36</v>
      </c>
      <c r="C1" s="23" t="s">
        <v>40</v>
      </c>
      <c r="D1" s="24" t="s">
        <v>38</v>
      </c>
      <c r="E1" s="23" t="s">
        <v>39</v>
      </c>
    </row>
    <row r="2" spans="1:5" ht="15.75" thickBot="1" x14ac:dyDescent="0.3"/>
    <row r="3" spans="1:5" ht="16.5" thickBot="1" x14ac:dyDescent="0.3">
      <c r="A3" s="56" t="s">
        <v>140</v>
      </c>
      <c r="B3" s="57"/>
      <c r="C3" s="57"/>
      <c r="D3" s="57"/>
      <c r="E3" s="58"/>
    </row>
    <row r="4" spans="1:5" ht="30" customHeight="1" outlineLevel="1" x14ac:dyDescent="0.25">
      <c r="A4" s="69" t="s">
        <v>140</v>
      </c>
      <c r="B4" s="33" t="s">
        <v>142</v>
      </c>
      <c r="C4" s="20" t="s">
        <v>41</v>
      </c>
      <c r="D4" s="26">
        <v>5</v>
      </c>
      <c r="E4" s="19" t="s">
        <v>65</v>
      </c>
    </row>
    <row r="5" spans="1:5" ht="30" outlineLevel="1" x14ac:dyDescent="0.25">
      <c r="A5" s="70"/>
      <c r="B5" s="33" t="s">
        <v>150</v>
      </c>
      <c r="C5" s="20" t="s">
        <v>41</v>
      </c>
      <c r="D5" s="26">
        <v>5</v>
      </c>
      <c r="E5" s="19" t="s">
        <v>65</v>
      </c>
    </row>
    <row r="6" spans="1:5" ht="30" outlineLevel="1" x14ac:dyDescent="0.25">
      <c r="A6" s="70"/>
      <c r="B6" s="33" t="s">
        <v>151</v>
      </c>
      <c r="C6" s="20" t="s">
        <v>41</v>
      </c>
      <c r="D6" s="26">
        <v>5</v>
      </c>
      <c r="E6" s="19" t="s">
        <v>65</v>
      </c>
    </row>
    <row r="7" spans="1:5" ht="30" outlineLevel="1" x14ac:dyDescent="0.25">
      <c r="A7" s="70"/>
      <c r="B7" s="32" t="s">
        <v>155</v>
      </c>
      <c r="C7" s="21" t="s">
        <v>42</v>
      </c>
      <c r="D7" s="26">
        <v>3</v>
      </c>
      <c r="E7" s="19" t="s">
        <v>65</v>
      </c>
    </row>
    <row r="8" spans="1:5" ht="30" outlineLevel="1" x14ac:dyDescent="0.25">
      <c r="A8" s="70"/>
      <c r="B8" s="32" t="s">
        <v>160</v>
      </c>
      <c r="C8" s="21" t="s">
        <v>42</v>
      </c>
      <c r="D8" s="26">
        <v>2</v>
      </c>
      <c r="E8" s="19" t="s">
        <v>65</v>
      </c>
    </row>
    <row r="9" spans="1:5" ht="30" outlineLevel="1" x14ac:dyDescent="0.25">
      <c r="A9" s="70"/>
      <c r="B9" s="32" t="s">
        <v>158</v>
      </c>
      <c r="C9" s="20" t="s">
        <v>41</v>
      </c>
      <c r="D9" s="26">
        <v>5</v>
      </c>
      <c r="E9" s="19" t="s">
        <v>65</v>
      </c>
    </row>
    <row r="10" spans="1:5" ht="30" outlineLevel="1" x14ac:dyDescent="0.25">
      <c r="A10" s="70"/>
      <c r="B10" s="32" t="s">
        <v>143</v>
      </c>
      <c r="C10" s="20" t="s">
        <v>41</v>
      </c>
      <c r="D10" s="26">
        <v>5</v>
      </c>
      <c r="E10" s="19" t="s">
        <v>65</v>
      </c>
    </row>
    <row r="11" spans="1:5" ht="30" outlineLevel="1" x14ac:dyDescent="0.25">
      <c r="A11" s="70"/>
      <c r="B11" s="32" t="s">
        <v>147</v>
      </c>
      <c r="C11" s="20" t="s">
        <v>41</v>
      </c>
      <c r="D11" s="26">
        <v>5</v>
      </c>
      <c r="E11" s="19" t="s">
        <v>65</v>
      </c>
    </row>
    <row r="12" spans="1:5" ht="30" outlineLevel="1" x14ac:dyDescent="0.25">
      <c r="A12" s="70"/>
      <c r="B12" s="32" t="s">
        <v>152</v>
      </c>
      <c r="C12" s="20" t="s">
        <v>41</v>
      </c>
      <c r="D12" s="26">
        <v>5</v>
      </c>
      <c r="E12" s="19" t="s">
        <v>65</v>
      </c>
    </row>
    <row r="13" spans="1:5" ht="30" outlineLevel="1" x14ac:dyDescent="0.25">
      <c r="A13" s="70"/>
      <c r="B13" s="32" t="s">
        <v>153</v>
      </c>
      <c r="C13" s="20" t="s">
        <v>41</v>
      </c>
      <c r="D13" s="26">
        <v>5</v>
      </c>
      <c r="E13" s="19" t="s">
        <v>65</v>
      </c>
    </row>
    <row r="14" spans="1:5" ht="30" outlineLevel="1" x14ac:dyDescent="0.25">
      <c r="A14" s="70"/>
      <c r="B14" s="31" t="s">
        <v>162</v>
      </c>
      <c r="C14" s="21" t="s">
        <v>42</v>
      </c>
      <c r="D14" s="26">
        <v>2</v>
      </c>
      <c r="E14" s="19" t="s">
        <v>65</v>
      </c>
    </row>
    <row r="15" spans="1:5" ht="30" outlineLevel="1" x14ac:dyDescent="0.25">
      <c r="A15" s="70"/>
      <c r="B15" s="31" t="s">
        <v>149</v>
      </c>
      <c r="C15" s="21" t="s">
        <v>42</v>
      </c>
      <c r="D15" s="26">
        <v>2</v>
      </c>
      <c r="E15" s="19" t="s">
        <v>65</v>
      </c>
    </row>
    <row r="16" spans="1:5" ht="30" outlineLevel="1" x14ac:dyDescent="0.25">
      <c r="A16" s="70"/>
      <c r="B16" s="31" t="s">
        <v>154</v>
      </c>
      <c r="C16" s="20" t="s">
        <v>41</v>
      </c>
      <c r="D16" s="26">
        <v>5</v>
      </c>
      <c r="E16" s="19" t="s">
        <v>65</v>
      </c>
    </row>
    <row r="17" spans="1:5" ht="30" outlineLevel="1" x14ac:dyDescent="0.25">
      <c r="A17" s="70"/>
      <c r="B17" s="31" t="s">
        <v>161</v>
      </c>
      <c r="C17" s="20" t="s">
        <v>41</v>
      </c>
      <c r="D17" s="26">
        <v>5</v>
      </c>
      <c r="E17" s="19" t="s">
        <v>65</v>
      </c>
    </row>
    <row r="18" spans="1:5" ht="30" outlineLevel="1" x14ac:dyDescent="0.25">
      <c r="A18" s="70"/>
      <c r="B18" s="29" t="s">
        <v>148</v>
      </c>
      <c r="C18" s="21" t="s">
        <v>42</v>
      </c>
      <c r="D18" s="26">
        <v>3</v>
      </c>
      <c r="E18" s="19" t="s">
        <v>65</v>
      </c>
    </row>
    <row r="19" spans="1:5" ht="30" outlineLevel="1" x14ac:dyDescent="0.25">
      <c r="A19" s="70"/>
      <c r="B19" s="29" t="s">
        <v>159</v>
      </c>
      <c r="C19" s="21" t="s">
        <v>42</v>
      </c>
      <c r="D19" s="26">
        <v>2</v>
      </c>
      <c r="E19" s="19" t="s">
        <v>65</v>
      </c>
    </row>
    <row r="20" spans="1:5" ht="30" outlineLevel="1" x14ac:dyDescent="0.25">
      <c r="A20" s="70"/>
      <c r="B20" s="30" t="s">
        <v>157</v>
      </c>
      <c r="C20" s="20" t="s">
        <v>41</v>
      </c>
      <c r="D20" s="26">
        <v>5</v>
      </c>
      <c r="E20" s="19" t="s">
        <v>65</v>
      </c>
    </row>
    <row r="21" spans="1:5" ht="30" outlineLevel="1" x14ac:dyDescent="0.25">
      <c r="A21" s="70"/>
      <c r="B21" s="28" t="s">
        <v>141</v>
      </c>
      <c r="C21" s="21" t="s">
        <v>42</v>
      </c>
      <c r="D21" s="26">
        <v>3</v>
      </c>
      <c r="E21" s="19" t="s">
        <v>65</v>
      </c>
    </row>
    <row r="22" spans="1:5" ht="30" outlineLevel="1" x14ac:dyDescent="0.25">
      <c r="A22" s="70"/>
      <c r="B22" s="28" t="s">
        <v>144</v>
      </c>
      <c r="C22" s="21" t="s">
        <v>42</v>
      </c>
      <c r="D22" s="26">
        <v>3</v>
      </c>
      <c r="E22" s="19" t="s">
        <v>65</v>
      </c>
    </row>
    <row r="23" spans="1:5" ht="30" outlineLevel="1" x14ac:dyDescent="0.25">
      <c r="A23" s="70"/>
      <c r="B23" s="28" t="s">
        <v>145</v>
      </c>
      <c r="C23" s="20" t="s">
        <v>41</v>
      </c>
      <c r="D23" s="26">
        <v>5</v>
      </c>
      <c r="E23" s="19" t="s">
        <v>65</v>
      </c>
    </row>
    <row r="24" spans="1:5" ht="30" outlineLevel="1" x14ac:dyDescent="0.25">
      <c r="A24" s="70"/>
      <c r="B24" s="28" t="s">
        <v>146</v>
      </c>
      <c r="C24" s="20" t="s">
        <v>41</v>
      </c>
      <c r="D24" s="26">
        <v>5</v>
      </c>
      <c r="E24" s="19" t="s">
        <v>65</v>
      </c>
    </row>
    <row r="25" spans="1:5" ht="30" outlineLevel="1" x14ac:dyDescent="0.25">
      <c r="A25" s="70"/>
      <c r="B25" s="28" t="s">
        <v>156</v>
      </c>
      <c r="C25" s="21" t="s">
        <v>42</v>
      </c>
      <c r="D25" s="26">
        <v>3</v>
      </c>
      <c r="E25" s="19" t="s">
        <v>65</v>
      </c>
    </row>
  </sheetData>
  <sortState ref="B4:E25">
    <sortCondition sortBy="cellColor" ref="B4:B25" dxfId="0"/>
  </sortState>
  <mergeCells count="2">
    <mergeCell ref="A4:A25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zoomScale="80" zoomScaleNormal="80" workbookViewId="0">
      <pane ySplit="1" topLeftCell="A2" activePane="bottomLeft" state="frozen"/>
      <selection pane="bottomLeft"/>
    </sheetView>
  </sheetViews>
  <sheetFormatPr defaultRowHeight="15" outlineLevelRow="2" x14ac:dyDescent="0.25"/>
  <cols>
    <col min="1" max="1" width="14.7109375" customWidth="1"/>
    <col min="2" max="2" width="66.42578125" customWidth="1"/>
    <col min="3" max="3" width="47.5703125" customWidth="1"/>
    <col min="4" max="4" width="13.7109375" style="1" customWidth="1"/>
    <col min="5" max="5" width="31.28515625" style="22" bestFit="1" customWidth="1"/>
    <col min="6" max="6" width="10.28515625" bestFit="1" customWidth="1"/>
  </cols>
  <sheetData>
    <row r="1" spans="1:5" ht="28.5" customHeight="1" thickBot="1" x14ac:dyDescent="0.3">
      <c r="A1" s="23" t="s">
        <v>0</v>
      </c>
      <c r="B1" s="23" t="s">
        <v>36</v>
      </c>
      <c r="C1" s="23" t="s">
        <v>40</v>
      </c>
      <c r="D1" s="24" t="s">
        <v>38</v>
      </c>
      <c r="E1" s="23" t="s">
        <v>39</v>
      </c>
    </row>
    <row r="2" spans="1:5" ht="15.75" thickBot="1" x14ac:dyDescent="0.3"/>
    <row r="3" spans="1:5" ht="16.5" thickBot="1" x14ac:dyDescent="0.3">
      <c r="A3" s="56" t="s">
        <v>24</v>
      </c>
      <c r="B3" s="57"/>
      <c r="C3" s="57"/>
      <c r="D3" s="57"/>
      <c r="E3" s="58"/>
    </row>
    <row r="4" spans="1:5" ht="30" hidden="1" outlineLevel="1" x14ac:dyDescent="0.25">
      <c r="A4" s="62" t="s">
        <v>24</v>
      </c>
      <c r="B4" s="19" t="s">
        <v>28</v>
      </c>
      <c r="C4" s="20" t="s">
        <v>41</v>
      </c>
      <c r="D4" s="26">
        <v>5</v>
      </c>
      <c r="E4" s="19" t="s">
        <v>64</v>
      </c>
    </row>
    <row r="5" spans="1:5" ht="30" hidden="1" outlineLevel="1" x14ac:dyDescent="0.25">
      <c r="A5" s="66"/>
      <c r="B5" s="19" t="s">
        <v>119</v>
      </c>
      <c r="C5" s="20" t="s">
        <v>41</v>
      </c>
      <c r="D5" s="26">
        <v>4</v>
      </c>
      <c r="E5" s="19" t="s">
        <v>65</v>
      </c>
    </row>
    <row r="6" spans="1:5" ht="30" hidden="1" outlineLevel="1" x14ac:dyDescent="0.25">
      <c r="A6" s="66"/>
      <c r="B6" s="19" t="s">
        <v>25</v>
      </c>
      <c r="C6" s="20" t="s">
        <v>41</v>
      </c>
      <c r="D6" s="26">
        <v>4</v>
      </c>
      <c r="E6" s="19" t="s">
        <v>65</v>
      </c>
    </row>
    <row r="7" spans="1:5" ht="30" hidden="1" outlineLevel="1" x14ac:dyDescent="0.25">
      <c r="A7" s="66"/>
      <c r="B7" s="19" t="s">
        <v>27</v>
      </c>
      <c r="C7" s="20" t="s">
        <v>41</v>
      </c>
      <c r="D7" s="26">
        <v>4</v>
      </c>
      <c r="E7" s="19" t="s">
        <v>65</v>
      </c>
    </row>
    <row r="8" spans="1:5" ht="30" hidden="1" outlineLevel="1" x14ac:dyDescent="0.25">
      <c r="A8" s="66"/>
      <c r="B8" s="19" t="s">
        <v>30</v>
      </c>
      <c r="C8" s="21" t="s">
        <v>42</v>
      </c>
      <c r="D8" s="26">
        <v>3</v>
      </c>
      <c r="E8" s="19" t="s">
        <v>65</v>
      </c>
    </row>
    <row r="9" spans="1:5" ht="30" hidden="1" outlineLevel="1" x14ac:dyDescent="0.25">
      <c r="A9" s="66"/>
      <c r="B9" s="19" t="s">
        <v>33</v>
      </c>
      <c r="C9" s="21" t="s">
        <v>42</v>
      </c>
      <c r="D9" s="26">
        <v>3</v>
      </c>
      <c r="E9" s="19" t="s">
        <v>65</v>
      </c>
    </row>
    <row r="10" spans="1:5" ht="30" hidden="1" outlineLevel="1" x14ac:dyDescent="0.25">
      <c r="A10" s="66"/>
      <c r="B10" s="19" t="s">
        <v>125</v>
      </c>
      <c r="C10" s="21" t="s">
        <v>42</v>
      </c>
      <c r="D10" s="26">
        <v>3</v>
      </c>
      <c r="E10" s="19" t="s">
        <v>65</v>
      </c>
    </row>
    <row r="11" spans="1:5" ht="30" hidden="1" outlineLevel="1" x14ac:dyDescent="0.25">
      <c r="A11" s="66"/>
      <c r="B11" s="19" t="s">
        <v>165</v>
      </c>
      <c r="C11" s="21" t="s">
        <v>42</v>
      </c>
      <c r="D11" s="26">
        <v>3</v>
      </c>
      <c r="E11" s="19" t="s">
        <v>65</v>
      </c>
    </row>
    <row r="12" spans="1:5" ht="30" hidden="1" outlineLevel="1" x14ac:dyDescent="0.25">
      <c r="A12" s="66"/>
      <c r="B12" s="19" t="s">
        <v>31</v>
      </c>
      <c r="C12" s="21" t="s">
        <v>42</v>
      </c>
      <c r="D12" s="26">
        <v>2</v>
      </c>
      <c r="E12" s="19" t="s">
        <v>65</v>
      </c>
    </row>
    <row r="13" spans="1:5" ht="30" hidden="1" outlineLevel="1" x14ac:dyDescent="0.25">
      <c r="A13" s="66"/>
      <c r="B13" s="19" t="s">
        <v>32</v>
      </c>
      <c r="C13" s="21" t="s">
        <v>42</v>
      </c>
      <c r="D13" s="26">
        <v>2</v>
      </c>
      <c r="E13" s="19" t="s">
        <v>65</v>
      </c>
    </row>
    <row r="14" spans="1:5" ht="30.75" hidden="1" outlineLevel="1" thickBot="1" x14ac:dyDescent="0.3">
      <c r="A14" s="66"/>
      <c r="B14" s="19" t="s">
        <v>26</v>
      </c>
      <c r="C14" s="21" t="s">
        <v>42</v>
      </c>
      <c r="D14" s="26">
        <v>2</v>
      </c>
      <c r="E14" s="19" t="s">
        <v>65</v>
      </c>
    </row>
    <row r="15" spans="1:5" ht="16.5" collapsed="1" thickBot="1" x14ac:dyDescent="0.3">
      <c r="A15" s="56" t="s">
        <v>29</v>
      </c>
      <c r="B15" s="57"/>
      <c r="C15" s="57"/>
      <c r="D15" s="57"/>
      <c r="E15" s="58"/>
    </row>
    <row r="16" spans="1:5" ht="30" hidden="1" outlineLevel="1" x14ac:dyDescent="0.25">
      <c r="A16" s="64" t="s">
        <v>166</v>
      </c>
      <c r="B16" s="19" t="s">
        <v>28</v>
      </c>
      <c r="C16" s="21" t="s">
        <v>42</v>
      </c>
      <c r="D16" s="26">
        <v>3</v>
      </c>
      <c r="E16" s="19" t="s">
        <v>65</v>
      </c>
    </row>
    <row r="17" spans="1:5" ht="30" hidden="1" outlineLevel="1" x14ac:dyDescent="0.25">
      <c r="A17" s="74"/>
      <c r="B17" s="19" t="s">
        <v>119</v>
      </c>
      <c r="C17" s="21" t="s">
        <v>42</v>
      </c>
      <c r="D17" s="26">
        <v>3</v>
      </c>
      <c r="E17" s="19" t="s">
        <v>65</v>
      </c>
    </row>
    <row r="18" spans="1:5" ht="30" hidden="1" outlineLevel="1" x14ac:dyDescent="0.25">
      <c r="A18" s="74"/>
      <c r="B18" s="19" t="s">
        <v>25</v>
      </c>
      <c r="C18" s="21" t="s">
        <v>42</v>
      </c>
      <c r="D18" s="26">
        <v>3</v>
      </c>
      <c r="E18" s="19" t="s">
        <v>65</v>
      </c>
    </row>
    <row r="19" spans="1:5" ht="30" hidden="1" outlineLevel="1" x14ac:dyDescent="0.25">
      <c r="A19" s="74"/>
      <c r="B19" s="19" t="s">
        <v>26</v>
      </c>
      <c r="C19" s="21" t="s">
        <v>42</v>
      </c>
      <c r="D19" s="26">
        <v>2</v>
      </c>
      <c r="E19" s="19" t="s">
        <v>65</v>
      </c>
    </row>
    <row r="20" spans="1:5" ht="30" hidden="1" outlineLevel="1" x14ac:dyDescent="0.25">
      <c r="A20" s="74"/>
      <c r="B20" s="19" t="s">
        <v>33</v>
      </c>
      <c r="C20" s="21" t="s">
        <v>42</v>
      </c>
      <c r="D20" s="26">
        <v>2</v>
      </c>
      <c r="E20" s="19" t="s">
        <v>65</v>
      </c>
    </row>
    <row r="21" spans="1:5" ht="30.75" hidden="1" outlineLevel="1" thickBot="1" x14ac:dyDescent="0.3">
      <c r="A21" s="74"/>
      <c r="B21" s="19" t="s">
        <v>167</v>
      </c>
      <c r="C21" s="21" t="s">
        <v>42</v>
      </c>
      <c r="D21" s="26">
        <v>2</v>
      </c>
      <c r="E21" s="19" t="s">
        <v>65</v>
      </c>
    </row>
    <row r="22" spans="1:5" ht="16.5" collapsed="1" thickBot="1" x14ac:dyDescent="0.3">
      <c r="A22" s="56" t="s">
        <v>163</v>
      </c>
      <c r="B22" s="57"/>
      <c r="C22" s="57"/>
      <c r="D22" s="57"/>
      <c r="E22" s="58"/>
    </row>
    <row r="23" spans="1:5" ht="30" hidden="1" outlineLevel="1" x14ac:dyDescent="0.25">
      <c r="A23" s="71" t="s">
        <v>163</v>
      </c>
      <c r="B23" s="19" t="s">
        <v>28</v>
      </c>
      <c r="C23" s="20" t="s">
        <v>41</v>
      </c>
      <c r="D23" s="26">
        <v>5</v>
      </c>
      <c r="E23" s="19" t="s">
        <v>64</v>
      </c>
    </row>
    <row r="24" spans="1:5" ht="30" hidden="1" outlineLevel="1" x14ac:dyDescent="0.25">
      <c r="A24" s="72"/>
      <c r="B24" s="19" t="s">
        <v>119</v>
      </c>
      <c r="C24" s="20" t="s">
        <v>41</v>
      </c>
      <c r="D24" s="26">
        <v>4</v>
      </c>
      <c r="E24" s="19" t="s">
        <v>65</v>
      </c>
    </row>
    <row r="25" spans="1:5" ht="30" hidden="1" outlineLevel="1" x14ac:dyDescent="0.25">
      <c r="A25" s="72"/>
      <c r="B25" s="19" t="s">
        <v>25</v>
      </c>
      <c r="C25" s="20" t="s">
        <v>41</v>
      </c>
      <c r="D25" s="26">
        <v>4</v>
      </c>
      <c r="E25" s="19" t="s">
        <v>65</v>
      </c>
    </row>
    <row r="26" spans="1:5" ht="30" hidden="1" outlineLevel="1" x14ac:dyDescent="0.25">
      <c r="A26" s="72"/>
      <c r="B26" s="19" t="s">
        <v>168</v>
      </c>
      <c r="C26" s="20" t="s">
        <v>41</v>
      </c>
      <c r="D26" s="26">
        <v>4</v>
      </c>
      <c r="E26" s="19" t="s">
        <v>65</v>
      </c>
    </row>
    <row r="27" spans="1:5" ht="30" hidden="1" outlineLevel="1" x14ac:dyDescent="0.25">
      <c r="A27" s="72"/>
      <c r="B27" s="19" t="s">
        <v>171</v>
      </c>
      <c r="C27" s="20" t="s">
        <v>41</v>
      </c>
      <c r="D27" s="26">
        <v>4</v>
      </c>
      <c r="E27" s="19" t="s">
        <v>65</v>
      </c>
    </row>
    <row r="28" spans="1:5" ht="30" hidden="1" outlineLevel="1" x14ac:dyDescent="0.25">
      <c r="A28" s="72"/>
      <c r="B28" s="19" t="s">
        <v>125</v>
      </c>
      <c r="C28" s="21" t="s">
        <v>42</v>
      </c>
      <c r="D28" s="26">
        <v>3</v>
      </c>
      <c r="E28" s="19" t="s">
        <v>65</v>
      </c>
    </row>
    <row r="29" spans="1:5" ht="30" hidden="1" outlineLevel="1" x14ac:dyDescent="0.25">
      <c r="A29" s="72"/>
      <c r="B29" s="19" t="s">
        <v>31</v>
      </c>
      <c r="C29" s="21" t="s">
        <v>42</v>
      </c>
      <c r="D29" s="26">
        <v>2</v>
      </c>
      <c r="E29" s="19" t="s">
        <v>65</v>
      </c>
    </row>
    <row r="30" spans="1:5" ht="30.75" hidden="1" outlineLevel="1" thickBot="1" x14ac:dyDescent="0.3">
      <c r="A30" s="73"/>
      <c r="B30" s="19" t="s">
        <v>170</v>
      </c>
      <c r="C30" s="21" t="s">
        <v>42</v>
      </c>
      <c r="D30" s="26">
        <v>2</v>
      </c>
      <c r="E30" s="19" t="s">
        <v>65</v>
      </c>
    </row>
    <row r="31" spans="1:5" ht="16.5" collapsed="1" thickBot="1" x14ac:dyDescent="0.3">
      <c r="A31" s="56" t="s">
        <v>172</v>
      </c>
      <c r="B31" s="57"/>
      <c r="C31" s="57"/>
      <c r="D31" s="57"/>
      <c r="E31" s="58"/>
    </row>
    <row r="32" spans="1:5" ht="30" hidden="1" outlineLevel="1" x14ac:dyDescent="0.25">
      <c r="B32" s="19" t="s">
        <v>28</v>
      </c>
      <c r="C32" s="20" t="s">
        <v>41</v>
      </c>
      <c r="D32" s="26">
        <v>5</v>
      </c>
      <c r="E32" s="19" t="s">
        <v>64</v>
      </c>
    </row>
    <row r="33" spans="1:5" ht="30" hidden="1" outlineLevel="1" x14ac:dyDescent="0.25">
      <c r="B33" s="19" t="s">
        <v>119</v>
      </c>
      <c r="C33" s="20" t="s">
        <v>41</v>
      </c>
      <c r="D33" s="26">
        <v>4</v>
      </c>
      <c r="E33" s="19" t="s">
        <v>65</v>
      </c>
    </row>
    <row r="34" spans="1:5" ht="30" hidden="1" outlineLevel="1" x14ac:dyDescent="0.25">
      <c r="B34" s="19" t="s">
        <v>125</v>
      </c>
      <c r="C34" s="21" t="s">
        <v>42</v>
      </c>
      <c r="D34" s="26">
        <v>3</v>
      </c>
      <c r="E34" s="19" t="s">
        <v>65</v>
      </c>
    </row>
    <row r="35" spans="1:5" ht="30" hidden="1" outlineLevel="1" x14ac:dyDescent="0.25">
      <c r="B35" s="19" t="s">
        <v>31</v>
      </c>
      <c r="C35" s="21" t="s">
        <v>42</v>
      </c>
      <c r="D35" s="26">
        <v>2</v>
      </c>
      <c r="E35" s="19" t="s">
        <v>65</v>
      </c>
    </row>
    <row r="36" spans="1:5" ht="30.75" hidden="1" outlineLevel="1" thickBot="1" x14ac:dyDescent="0.3">
      <c r="B36" s="19" t="s">
        <v>173</v>
      </c>
      <c r="C36" s="21" t="s">
        <v>42</v>
      </c>
      <c r="D36" s="26">
        <v>2</v>
      </c>
      <c r="E36" s="19" t="s">
        <v>65</v>
      </c>
    </row>
    <row r="37" spans="1:5" ht="16.5" collapsed="1" thickBot="1" x14ac:dyDescent="0.3">
      <c r="A37" s="56" t="s">
        <v>164</v>
      </c>
      <c r="B37" s="57"/>
      <c r="C37" s="57"/>
      <c r="D37" s="57"/>
      <c r="E37" s="58"/>
    </row>
    <row r="38" spans="1:5" ht="30" hidden="1" outlineLevel="2" x14ac:dyDescent="0.25">
      <c r="B38" s="19" t="s">
        <v>28</v>
      </c>
      <c r="C38" s="20" t="s">
        <v>41</v>
      </c>
      <c r="D38" s="26">
        <v>5</v>
      </c>
      <c r="E38" s="19" t="s">
        <v>64</v>
      </c>
    </row>
    <row r="39" spans="1:5" ht="30" hidden="1" outlineLevel="2" x14ac:dyDescent="0.25">
      <c r="B39" s="19" t="s">
        <v>119</v>
      </c>
      <c r="C39" s="20" t="s">
        <v>41</v>
      </c>
      <c r="D39" s="26">
        <v>4</v>
      </c>
      <c r="E39" s="19" t="s">
        <v>65</v>
      </c>
    </row>
    <row r="40" spans="1:5" ht="30" hidden="1" outlineLevel="2" x14ac:dyDescent="0.25">
      <c r="B40" s="19" t="s">
        <v>25</v>
      </c>
      <c r="C40" s="20" t="s">
        <v>41</v>
      </c>
      <c r="D40" s="26">
        <v>4</v>
      </c>
      <c r="E40" s="19" t="s">
        <v>65</v>
      </c>
    </row>
    <row r="41" spans="1:5" ht="30" hidden="1" outlineLevel="2" x14ac:dyDescent="0.25">
      <c r="B41" s="19" t="s">
        <v>27</v>
      </c>
      <c r="C41" s="20" t="s">
        <v>41</v>
      </c>
      <c r="D41" s="26">
        <v>4</v>
      </c>
      <c r="E41" s="19" t="s">
        <v>65</v>
      </c>
    </row>
    <row r="42" spans="1:5" ht="30" hidden="1" outlineLevel="2" x14ac:dyDescent="0.25">
      <c r="B42" s="19" t="s">
        <v>30</v>
      </c>
      <c r="C42" s="21" t="s">
        <v>42</v>
      </c>
      <c r="D42" s="26">
        <v>3</v>
      </c>
      <c r="E42" s="19" t="s">
        <v>65</v>
      </c>
    </row>
    <row r="43" spans="1:5" ht="30" hidden="1" outlineLevel="2" x14ac:dyDescent="0.25">
      <c r="B43" s="19" t="s">
        <v>33</v>
      </c>
      <c r="C43" s="21" t="s">
        <v>42</v>
      </c>
      <c r="D43" s="26">
        <v>3</v>
      </c>
      <c r="E43" s="19" t="s">
        <v>65</v>
      </c>
    </row>
    <row r="44" spans="1:5" ht="30" hidden="1" outlineLevel="2" x14ac:dyDescent="0.25">
      <c r="B44" s="19" t="s">
        <v>125</v>
      </c>
      <c r="C44" s="21" t="s">
        <v>42</v>
      </c>
      <c r="D44" s="26">
        <v>3</v>
      </c>
      <c r="E44" s="19" t="s">
        <v>65</v>
      </c>
    </row>
    <row r="45" spans="1:5" ht="30" hidden="1" outlineLevel="2" x14ac:dyDescent="0.25">
      <c r="B45" s="19" t="s">
        <v>165</v>
      </c>
      <c r="C45" s="21" t="s">
        <v>42</v>
      </c>
      <c r="D45" s="26">
        <v>3</v>
      </c>
      <c r="E45" s="19" t="s">
        <v>65</v>
      </c>
    </row>
    <row r="46" spans="1:5" ht="30" hidden="1" outlineLevel="2" x14ac:dyDescent="0.25">
      <c r="B46" s="19" t="s">
        <v>31</v>
      </c>
      <c r="C46" s="21" t="s">
        <v>42</v>
      </c>
      <c r="D46" s="26">
        <v>2</v>
      </c>
      <c r="E46" s="19" t="s">
        <v>65</v>
      </c>
    </row>
    <row r="47" spans="1:5" ht="30" hidden="1" outlineLevel="2" x14ac:dyDescent="0.25">
      <c r="B47" s="19" t="s">
        <v>32</v>
      </c>
      <c r="C47" s="21" t="s">
        <v>42</v>
      </c>
      <c r="D47" s="26">
        <v>2</v>
      </c>
      <c r="E47" s="19" t="s">
        <v>65</v>
      </c>
    </row>
    <row r="48" spans="1:5" ht="30" hidden="1" outlineLevel="2" x14ac:dyDescent="0.25">
      <c r="B48" s="19" t="s">
        <v>26</v>
      </c>
      <c r="C48" s="21" t="s">
        <v>42</v>
      </c>
      <c r="D48" s="26">
        <v>2</v>
      </c>
      <c r="E48" s="19" t="s">
        <v>65</v>
      </c>
    </row>
    <row r="49" collapsed="1" x14ac:dyDescent="0.25"/>
  </sheetData>
  <sortState ref="B23:E30">
    <sortCondition descending="1" ref="D23:D30"/>
  </sortState>
  <mergeCells count="8">
    <mergeCell ref="A31:E31"/>
    <mergeCell ref="A37:E37"/>
    <mergeCell ref="A23:A30"/>
    <mergeCell ref="A3:E3"/>
    <mergeCell ref="A4:A14"/>
    <mergeCell ref="A15:E15"/>
    <mergeCell ref="A16:A21"/>
    <mergeCell ref="A22:E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Algoritmo</vt:lpstr>
      <vt:lpstr>Metodologia de tratamento</vt:lpstr>
      <vt:lpstr>Telefonia_OK</vt:lpstr>
      <vt:lpstr>URA_OK</vt:lpstr>
      <vt:lpstr>Gravadores_OK</vt:lpstr>
      <vt:lpstr>Front End_aplicativos_OK</vt:lpstr>
      <vt:lpstr>Estação de trabalho_OK</vt:lpstr>
      <vt:lpstr>Gestão equipe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202712</dc:creator>
  <cp:lastModifiedBy>Felipe Lima</cp:lastModifiedBy>
  <dcterms:created xsi:type="dcterms:W3CDTF">2015-09-27T02:25:39Z</dcterms:created>
  <dcterms:modified xsi:type="dcterms:W3CDTF">2015-10-21T12:28:11Z</dcterms:modified>
</cp:coreProperties>
</file>