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Contax\T2R\Ferramenta de Gerenciamento\tProcess\"/>
    </mc:Choice>
  </mc:AlternateContent>
  <bookViews>
    <workbookView xWindow="0" yWindow="0" windowWidth="23040" windowHeight="9084" tabRatio="878" activeTab="7"/>
  </bookViews>
  <sheets>
    <sheet name="Inclusão e Controle (Projetos)" sheetId="1" r:id="rId1"/>
    <sheet name="Administração (Analistas)" sheetId="2" r:id="rId2"/>
    <sheet name="Plano de Comunidação" sheetId="3" r:id="rId3"/>
    <sheet name="Controle de Compras" sheetId="4" r:id="rId4"/>
    <sheet name="Log de Issue" sheetId="5" r:id="rId5"/>
    <sheet name=" Plano de Implementação" sheetId="6" r:id="rId6"/>
    <sheet name="Plano de Recuperação" sheetId="7" r:id="rId7"/>
    <sheet name="RPI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5" i="4"/>
  <c r="F4" i="4"/>
  <c r="M11" i="1" l="1"/>
  <c r="M12" i="1"/>
  <c r="M8" i="1" l="1"/>
  <c r="M4" i="1"/>
  <c r="C2" i="1"/>
  <c r="M3" i="1" l="1"/>
  <c r="M2" i="1" s="1"/>
</calcChain>
</file>

<file path=xl/sharedStrings.xml><?xml version="1.0" encoding="utf-8"?>
<sst xmlns="http://schemas.openxmlformats.org/spreadsheetml/2006/main" count="293" uniqueCount="125">
  <si>
    <t>Anaista</t>
  </si>
  <si>
    <t>Grupo</t>
  </si>
  <si>
    <t>1.1</t>
  </si>
  <si>
    <t>1.2</t>
  </si>
  <si>
    <t>1.2.1</t>
  </si>
  <si>
    <t>1.2.2</t>
  </si>
  <si>
    <t>1.1.2</t>
  </si>
  <si>
    <t>1.1.1</t>
  </si>
  <si>
    <t>1.1.3</t>
  </si>
  <si>
    <t>Previsão de Conclusão</t>
  </si>
  <si>
    <t>Conclusão da Atividade</t>
  </si>
  <si>
    <t>Horas Alocadas</t>
  </si>
  <si>
    <t>Gmud \ Requisição</t>
  </si>
  <si>
    <t>Atividade / Subatividade / Tarefa</t>
  </si>
  <si>
    <t>Controle</t>
  </si>
  <si>
    <t>2.1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</si>
  <si>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</si>
  <si>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</si>
  <si>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</si>
  <si>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</si>
  <si>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</si>
  <si>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</si>
  <si>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</si>
  <si>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</si>
  <si>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Telecom</t>
  </si>
  <si>
    <t>Thomas Kiss</t>
  </si>
  <si>
    <t>Atividades</t>
  </si>
  <si>
    <t>Subatividades</t>
  </si>
  <si>
    <t>Tarefas</t>
  </si>
  <si>
    <t>Status</t>
  </si>
  <si>
    <t>Microsoft</t>
  </si>
  <si>
    <t>CSC</t>
  </si>
  <si>
    <t>Felipe Lima</t>
  </si>
  <si>
    <t>Henrique Abrileri</t>
  </si>
  <si>
    <t>Pendente</t>
  </si>
  <si>
    <t>Concluido</t>
  </si>
  <si>
    <t>Aberto</t>
  </si>
  <si>
    <t>Em desenvlvimento</t>
  </si>
  <si>
    <t>Gravadores</t>
  </si>
  <si>
    <t>Diogo</t>
  </si>
  <si>
    <t>CTXSPOAL-121807</t>
  </si>
  <si>
    <t>CTXSPOLP-117646</t>
  </si>
  <si>
    <t>(Última data)</t>
  </si>
  <si>
    <t>Descrição da Tarefa 1</t>
  </si>
  <si>
    <t>Descrição da Tarefa 2</t>
  </si>
  <si>
    <t>Descrição da Tarefa 3</t>
  </si>
  <si>
    <t>Descrição da Tarefa 4</t>
  </si>
  <si>
    <t>Descrição da Tarefa 5</t>
  </si>
  <si>
    <t>Descrição da Tarefa 6</t>
  </si>
  <si>
    <t>Descrição da Tarefa 7</t>
  </si>
  <si>
    <t>Descrição da Tarefa 8</t>
  </si>
  <si>
    <t>Descrição da Sub-atividade 1</t>
  </si>
  <si>
    <t>Descrição da Sub-atividade 2</t>
  </si>
  <si>
    <t>Descrição da Atividade 1</t>
  </si>
  <si>
    <t>Descrição da Atividade 2</t>
  </si>
  <si>
    <t>Observações</t>
  </si>
  <si>
    <t>Total soma valores das atividades, Atividades somam valores das Subatividades, Subatividades somam valores das tarefas.</t>
  </si>
  <si>
    <t>Quando o valor for data, deve aparecer sempre a última data</t>
  </si>
  <si>
    <t>Quando for Status, somente alterar para concluído quando todos estiverem concluídos: Total: Quando todas as atividades estiverem concluídas. Atividade: Quando todas as subatividades estiverem concluídas. Subatividades quando todas as tarefas estiverem concluídas.</t>
  </si>
  <si>
    <t>Somar Valores diferentes</t>
  </si>
  <si>
    <t>XXXXXX</t>
  </si>
  <si>
    <t>Descrição</t>
  </si>
  <si>
    <t>xxxxxxxxxxxxxxxxxxxxxxxxxxxxx</t>
  </si>
  <si>
    <t>+</t>
  </si>
  <si>
    <t>-</t>
  </si>
  <si>
    <t>Ao alterar as informações no controle de cada analista, o valor deve sincronizar com as informações da Gmud.</t>
  </si>
  <si>
    <t>Coordenadores devem visualizar todas as atividades de seu grupo.</t>
  </si>
  <si>
    <t>Analista deve visualizar as informações de sua responsabilidade.</t>
  </si>
  <si>
    <t>Gerentes devem visualizar todas as atividades de todos os seus grupos.</t>
  </si>
  <si>
    <t>Analista xxxxxxxxx</t>
  </si>
  <si>
    <t>Projeto</t>
  </si>
  <si>
    <t>Previsão de Início</t>
  </si>
  <si>
    <t>(Primeira Data)</t>
  </si>
  <si>
    <t>Nome</t>
  </si>
  <si>
    <t>Cargo</t>
  </si>
  <si>
    <t>E-mail</t>
  </si>
  <si>
    <t>Telefone Fixo</t>
  </si>
  <si>
    <t>Consultor de Processos</t>
  </si>
  <si>
    <t>thomas@chacon-ilimitada.com</t>
  </si>
  <si>
    <t>N/A</t>
  </si>
  <si>
    <t>Marilice de Oliveira</t>
  </si>
  <si>
    <t>Gestor de Processos</t>
  </si>
  <si>
    <t>madeolivveira@contax.com.br</t>
  </si>
  <si>
    <t>4932-6957</t>
  </si>
  <si>
    <t>Conultor de Pprocessos</t>
  </si>
  <si>
    <t>henrique@chacon-ilimitada.com</t>
  </si>
  <si>
    <t>ID</t>
  </si>
  <si>
    <t>Descrição do Produto</t>
  </si>
  <si>
    <t>Valor Unitário</t>
  </si>
  <si>
    <t>Quantidade</t>
  </si>
  <si>
    <t>Total</t>
  </si>
  <si>
    <t>Valor Total</t>
  </si>
  <si>
    <t>Requisição de Compra</t>
  </si>
  <si>
    <t>Nas/Storage Com Capacidade De 12 Hds - Ts-1279U-Rp</t>
  </si>
  <si>
    <t>Fita De Dados Hp Storage 100/200gb Lto1 Ultrium</t>
  </si>
  <si>
    <t>Identificação da requisição (Link)</t>
  </si>
  <si>
    <t>Ação Recomendada</t>
  </si>
  <si>
    <t>Impacto</t>
  </si>
  <si>
    <t>Prioridade</t>
  </si>
  <si>
    <t>Responsável</t>
  </si>
  <si>
    <t>Data de Resolução</t>
  </si>
  <si>
    <t>Pendete</t>
  </si>
  <si>
    <t>Em andamento</t>
  </si>
  <si>
    <t>Resolvido</t>
  </si>
  <si>
    <t>Alto</t>
  </si>
  <si>
    <t>Médio</t>
  </si>
  <si>
    <t>Baixa</t>
  </si>
  <si>
    <t>Alta</t>
  </si>
  <si>
    <t>Descrição do Issue</t>
  </si>
  <si>
    <t>Plano de ação</t>
  </si>
  <si>
    <t>Atividade</t>
  </si>
  <si>
    <t>Data e Hora</t>
  </si>
  <si>
    <t>Retirar Servidor 01 do ballance</t>
  </si>
  <si>
    <t>Welinton Silva</t>
  </si>
  <si>
    <t>Atualizar patch 1.24 SO</t>
  </si>
  <si>
    <t>Retornar Servidor ao Ballance</t>
  </si>
  <si>
    <t>Acompanhar comportamento de todos os serviços chave</t>
  </si>
  <si>
    <t>Rollback para patch 1.23</t>
  </si>
  <si>
    <t>Stats</t>
  </si>
  <si>
    <t>Revisão de serviços mmandatórios Servidor 01</t>
  </si>
  <si>
    <t>Revisão de patch atualizado Servidor 01</t>
  </si>
  <si>
    <t>Revisão de patch atualizado Servidor 02</t>
  </si>
  <si>
    <t>Revisão de serviços mmandatórios Servidor 02</t>
  </si>
  <si>
    <t>Validar serviços suportados pelos servidores atualizados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</si>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</sst>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/m/yy\ h:mm\ AM/PM;@"/>
    <numFmt numFmtId="165" formatCode="[h]:mm:ss;@"/>
    <numFmt numFmtId="166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1" applyAlignment="1">
      <alignment horizontal="left" vertical="center" wrapText="1" indent="1"/>
    </xf>
    <xf numFmtId="0" fontId="4" fillId="0" borderId="0" xfId="0" applyFon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6" fontId="0" fillId="0" borderId="0" xfId="0" applyNumberFormat="1"/>
    <xf numFmtId="0" fontId="1" fillId="0" borderId="0" xfId="0" applyFont="1"/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process-contax/browse/CTXSPOAL-121807" TargetMode="External"/><Relationship Id="rId2" Type="http://schemas.openxmlformats.org/officeDocument/2006/relationships/hyperlink" Target="http://tprocess-contax/browse/CTXSPOAL-121807" TargetMode="External"/><Relationship Id="rId1" Type="http://schemas.openxmlformats.org/officeDocument/2006/relationships/hyperlink" Target="http://tprocess-contax/browse/CTXSPOLP-117646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tprocess-contax/browse/CTXSPOAL-12180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enrique@chacon-ilimitada.com" TargetMode="External"/><Relationship Id="rId2" Type="http://schemas.openxmlformats.org/officeDocument/2006/relationships/hyperlink" Target="mailto:madeolivveira@contax.com.br" TargetMode="External"/><Relationship Id="rId1" Type="http://schemas.openxmlformats.org/officeDocument/2006/relationships/hyperlink" Target="mailto:thomas@chacon-ilimitada.com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zoomScale="85" zoomScaleNormal="85" workbookViewId="0">
      <selection sqref="A1:O20"/>
    </sheetView>
  </sheetViews>
  <sheetFormatPr defaultRowHeight="14.4" x14ac:dyDescent="0.3"/>
  <cols>
    <col min="1" max="1" width="8.88671875" style="1"/>
    <col min="2" max="2" width="9.77734375" bestFit="1" customWidth="1"/>
    <col min="3" max="3" width="10.77734375" customWidth="1"/>
    <col min="4" max="4" width="12.77734375" bestFit="1" customWidth="1"/>
    <col min="5" max="5" width="10.77734375" customWidth="1"/>
    <col min="6" max="6" width="7.109375" bestFit="1" customWidth="1"/>
    <col min="7" max="7" width="10.77734375" customWidth="1"/>
    <col min="8" max="9" width="22.5546875" style="1" bestFit="1" customWidth="1"/>
    <col min="10" max="10" width="22.5546875" style="13" customWidth="1"/>
    <col min="11" max="11" width="20" style="7" bestFit="1" customWidth="1"/>
    <col min="12" max="12" width="20.88671875" style="7" bestFit="1" customWidth="1"/>
    <col min="13" max="13" width="15.77734375" style="8" customWidth="1"/>
    <col min="14" max="14" width="16.88671875" style="1" bestFit="1" customWidth="1"/>
    <col min="15" max="15" width="29.109375" customWidth="1"/>
  </cols>
  <sheetData>
    <row r="1" spans="1:15" x14ac:dyDescent="0.3">
      <c r="A1" s="1" t="s">
        <v>14</v>
      </c>
      <c r="B1" s="34" t="s">
        <v>13</v>
      </c>
      <c r="C1" s="34"/>
      <c r="D1" s="34"/>
      <c r="E1" s="34"/>
      <c r="F1" s="34"/>
      <c r="G1" s="34"/>
      <c r="H1" s="3" t="s">
        <v>1</v>
      </c>
      <c r="I1" s="3" t="s">
        <v>0</v>
      </c>
      <c r="J1" s="23" t="s">
        <v>71</v>
      </c>
      <c r="K1" s="4" t="s">
        <v>9</v>
      </c>
      <c r="L1" s="4" t="s">
        <v>10</v>
      </c>
      <c r="M1" s="5" t="s">
        <v>11</v>
      </c>
      <c r="N1" s="3" t="s">
        <v>29</v>
      </c>
      <c r="O1" s="3" t="s">
        <v>12</v>
      </c>
    </row>
    <row r="2" spans="1:15" x14ac:dyDescent="0.3">
      <c r="A2" s="1" t="s">
        <v>14</v>
      </c>
      <c r="B2" s="3" t="s">
        <v>26</v>
      </c>
      <c r="C2" s="3">
        <f>COUNT(A2:A47)</f>
        <v>2</v>
      </c>
      <c r="D2" s="3" t="s">
        <v>27</v>
      </c>
      <c r="E2" s="3">
        <v>3</v>
      </c>
      <c r="F2" s="3" t="s">
        <v>28</v>
      </c>
      <c r="G2" s="3">
        <v>12</v>
      </c>
      <c r="H2" s="3" t="s">
        <v>59</v>
      </c>
      <c r="I2" s="3" t="s">
        <v>59</v>
      </c>
      <c r="J2" s="23" t="s">
        <v>72</v>
      </c>
      <c r="K2" s="4">
        <v>42582</v>
      </c>
      <c r="L2" s="4" t="s">
        <v>42</v>
      </c>
      <c r="M2" s="5">
        <f>SUM(M3,M12)</f>
        <v>6.2944444444444443</v>
      </c>
      <c r="N2" s="3" t="s">
        <v>34</v>
      </c>
      <c r="O2" s="3">
        <v>3</v>
      </c>
    </row>
    <row r="3" spans="1:15" ht="21" x14ac:dyDescent="0.4">
      <c r="A3" s="1">
        <v>1</v>
      </c>
      <c r="B3" s="36" t="s">
        <v>53</v>
      </c>
      <c r="C3" s="36"/>
      <c r="D3" s="36"/>
      <c r="E3" s="36"/>
      <c r="F3" s="36"/>
      <c r="G3" s="36"/>
      <c r="H3" s="1" t="s">
        <v>24</v>
      </c>
      <c r="I3" s="1" t="s">
        <v>25</v>
      </c>
      <c r="J3" s="24">
        <v>42513.416666666664</v>
      </c>
      <c r="K3" s="7">
        <v>42582</v>
      </c>
      <c r="M3" s="8">
        <f>SUM(M4,M8)</f>
        <v>2.8666666666666667</v>
      </c>
      <c r="N3" s="1" t="s">
        <v>34</v>
      </c>
    </row>
    <row r="4" spans="1:15" ht="18" x14ac:dyDescent="0.35">
      <c r="B4" s="1" t="s">
        <v>2</v>
      </c>
      <c r="C4" s="35" t="s">
        <v>51</v>
      </c>
      <c r="D4" s="35"/>
      <c r="E4" s="35"/>
      <c r="F4" s="35"/>
      <c r="G4" s="35"/>
      <c r="H4" s="1" t="s">
        <v>24</v>
      </c>
      <c r="I4" s="1" t="s">
        <v>25</v>
      </c>
      <c r="J4" s="24">
        <v>42513.416666666664</v>
      </c>
      <c r="K4" s="7">
        <v>42581</v>
      </c>
      <c r="M4" s="8">
        <f>SUM(M5:M7)</f>
        <v>2.5763888888888888</v>
      </c>
      <c r="N4" s="1" t="s">
        <v>34</v>
      </c>
      <c r="O4" s="9" t="s">
        <v>40</v>
      </c>
    </row>
    <row r="5" spans="1:15" ht="15.6" x14ac:dyDescent="0.3">
      <c r="C5" s="1" t="s">
        <v>7</v>
      </c>
      <c r="D5" s="33" t="s">
        <v>43</v>
      </c>
      <c r="E5" s="33"/>
      <c r="F5" s="33"/>
      <c r="G5" s="33"/>
      <c r="H5" s="1" t="s">
        <v>24</v>
      </c>
      <c r="I5" s="1" t="s">
        <v>25</v>
      </c>
      <c r="J5" s="24">
        <v>42515.416666608799</v>
      </c>
      <c r="K5" s="7">
        <v>42580</v>
      </c>
      <c r="L5" s="7">
        <v>42574</v>
      </c>
      <c r="M5" s="8">
        <v>5.8333333333333327E-2</v>
      </c>
      <c r="N5" s="1" t="s">
        <v>35</v>
      </c>
    </row>
    <row r="6" spans="1:15" ht="15.6" x14ac:dyDescent="0.3">
      <c r="C6" s="1" t="s">
        <v>6</v>
      </c>
      <c r="D6" s="33" t="s">
        <v>44</v>
      </c>
      <c r="E6" s="33"/>
      <c r="F6" s="33"/>
      <c r="G6" s="33"/>
      <c r="H6" s="1" t="s">
        <v>30</v>
      </c>
      <c r="I6" s="1" t="s">
        <v>32</v>
      </c>
      <c r="J6" s="24">
        <v>42513.416666666664</v>
      </c>
      <c r="K6" s="7">
        <v>42580</v>
      </c>
      <c r="M6" s="8">
        <v>2.2798611111111113</v>
      </c>
      <c r="N6" s="1" t="s">
        <v>36</v>
      </c>
    </row>
    <row r="7" spans="1:15" ht="15.6" x14ac:dyDescent="0.3">
      <c r="C7" s="1" t="s">
        <v>8</v>
      </c>
      <c r="D7" s="33" t="s">
        <v>45</v>
      </c>
      <c r="E7" s="33"/>
      <c r="F7" s="33"/>
      <c r="G7" s="33"/>
      <c r="H7" s="1" t="s">
        <v>31</v>
      </c>
      <c r="I7" s="1" t="s">
        <v>33</v>
      </c>
      <c r="J7" s="24">
        <v>42517.416666608799</v>
      </c>
      <c r="K7" s="7">
        <v>42580</v>
      </c>
      <c r="M7" s="8">
        <v>0.23819444444444446</v>
      </c>
      <c r="N7" s="1" t="s">
        <v>37</v>
      </c>
    </row>
    <row r="8" spans="1:15" ht="18" x14ac:dyDescent="0.35">
      <c r="B8" s="1" t="s">
        <v>3</v>
      </c>
      <c r="C8" s="35" t="s">
        <v>52</v>
      </c>
      <c r="D8" s="35"/>
      <c r="E8" s="35"/>
      <c r="F8" s="35"/>
      <c r="G8" s="35"/>
      <c r="H8" s="1" t="s">
        <v>31</v>
      </c>
      <c r="I8" s="1" t="s">
        <v>33</v>
      </c>
      <c r="J8" s="24">
        <v>42518.416666608799</v>
      </c>
      <c r="K8" s="7">
        <v>42582</v>
      </c>
      <c r="L8" s="7">
        <v>42581</v>
      </c>
      <c r="M8" s="8">
        <f>SUM(M9)</f>
        <v>0.2902777777777778</v>
      </c>
      <c r="N8" s="1" t="s">
        <v>35</v>
      </c>
    </row>
    <row r="9" spans="1:15" ht="15.6" x14ac:dyDescent="0.3">
      <c r="C9" s="1" t="s">
        <v>4</v>
      </c>
      <c r="D9" s="33" t="s">
        <v>43</v>
      </c>
      <c r="E9" s="33"/>
      <c r="F9" s="33"/>
      <c r="G9" s="33"/>
      <c r="H9" s="1" t="s">
        <v>31</v>
      </c>
      <c r="I9" s="1" t="s">
        <v>33</v>
      </c>
      <c r="J9" s="24">
        <v>42519.416666608799</v>
      </c>
      <c r="K9" s="7">
        <v>42581</v>
      </c>
      <c r="L9" s="7">
        <v>42581</v>
      </c>
      <c r="M9" s="8">
        <v>0.2902777777777778</v>
      </c>
      <c r="N9" s="1" t="s">
        <v>35</v>
      </c>
      <c r="O9" s="9" t="s">
        <v>41</v>
      </c>
    </row>
    <row r="10" spans="1:15" ht="15.6" x14ac:dyDescent="0.3">
      <c r="C10" s="1" t="s">
        <v>5</v>
      </c>
      <c r="D10" s="33" t="s">
        <v>44</v>
      </c>
      <c r="E10" s="33"/>
      <c r="F10" s="33"/>
      <c r="G10" s="33"/>
      <c r="H10" s="1" t="s">
        <v>38</v>
      </c>
      <c r="I10" s="1" t="s">
        <v>39</v>
      </c>
      <c r="J10" s="24">
        <v>42518</v>
      </c>
      <c r="K10" s="7">
        <v>42581</v>
      </c>
      <c r="L10" s="7">
        <v>42579</v>
      </c>
      <c r="M10" s="8">
        <v>3.6805555555555557E-2</v>
      </c>
      <c r="N10" s="1" t="s">
        <v>35</v>
      </c>
    </row>
    <row r="11" spans="1:15" ht="21" x14ac:dyDescent="0.4">
      <c r="A11" s="1">
        <v>2</v>
      </c>
      <c r="B11" s="36" t="s">
        <v>54</v>
      </c>
      <c r="C11" s="36"/>
      <c r="D11" s="36"/>
      <c r="E11" s="36"/>
      <c r="F11" s="36"/>
      <c r="G11" s="36"/>
      <c r="H11" s="1" t="s">
        <v>24</v>
      </c>
      <c r="I11" s="1" t="s">
        <v>25</v>
      </c>
      <c r="J11" s="24">
        <v>42501.416666666664</v>
      </c>
      <c r="K11" s="7">
        <v>42582</v>
      </c>
      <c r="L11" s="7">
        <v>42578</v>
      </c>
      <c r="M11" s="8">
        <f>SUM(M12)</f>
        <v>3.427777777777778</v>
      </c>
      <c r="N11" s="1" t="s">
        <v>35</v>
      </c>
    </row>
    <row r="12" spans="1:15" ht="18" x14ac:dyDescent="0.35">
      <c r="B12" s="1" t="s">
        <v>15</v>
      </c>
      <c r="C12" s="35" t="s">
        <v>51</v>
      </c>
      <c r="D12" s="35"/>
      <c r="E12" s="35"/>
      <c r="F12" s="35"/>
      <c r="G12" s="35"/>
      <c r="H12" s="1" t="s">
        <v>24</v>
      </c>
      <c r="I12" s="1" t="s">
        <v>25</v>
      </c>
      <c r="J12" s="24">
        <v>42501.416666666664</v>
      </c>
      <c r="K12" s="7">
        <v>42581</v>
      </c>
      <c r="L12" s="7">
        <v>42578</v>
      </c>
      <c r="M12" s="8">
        <f>SUM(M13:M20)</f>
        <v>3.427777777777778</v>
      </c>
      <c r="N12" s="1" t="s">
        <v>35</v>
      </c>
    </row>
    <row r="13" spans="1:15" ht="15.6" x14ac:dyDescent="0.3">
      <c r="B13" s="1"/>
      <c r="C13" s="1" t="s">
        <v>16</v>
      </c>
      <c r="D13" s="33" t="s">
        <v>43</v>
      </c>
      <c r="E13" s="33"/>
      <c r="F13" s="33"/>
      <c r="G13" s="33"/>
      <c r="H13" s="1" t="s">
        <v>24</v>
      </c>
      <c r="I13" s="1" t="s">
        <v>25</v>
      </c>
      <c r="J13" s="24">
        <v>42523.416666608799</v>
      </c>
      <c r="K13" s="7">
        <v>42574</v>
      </c>
      <c r="L13" s="7">
        <v>42574</v>
      </c>
      <c r="M13" s="8">
        <v>5.8333333333333327E-2</v>
      </c>
      <c r="N13" s="1" t="s">
        <v>35</v>
      </c>
    </row>
    <row r="14" spans="1:15" ht="15.6" x14ac:dyDescent="0.3">
      <c r="B14" s="1"/>
      <c r="C14" s="1" t="s">
        <v>17</v>
      </c>
      <c r="D14" s="33" t="s">
        <v>44</v>
      </c>
      <c r="E14" s="33"/>
      <c r="F14" s="33"/>
      <c r="G14" s="33"/>
      <c r="H14" s="1" t="s">
        <v>30</v>
      </c>
      <c r="I14" s="1" t="s">
        <v>32</v>
      </c>
      <c r="J14" s="24">
        <v>42524.416666608799</v>
      </c>
      <c r="K14" s="7">
        <v>42572</v>
      </c>
      <c r="L14" s="7">
        <v>42572</v>
      </c>
      <c r="M14" s="8">
        <v>2.2798611111111113</v>
      </c>
      <c r="N14" s="1" t="s">
        <v>35</v>
      </c>
    </row>
    <row r="15" spans="1:15" ht="15.6" x14ac:dyDescent="0.3">
      <c r="B15" s="1"/>
      <c r="C15" s="1" t="s">
        <v>18</v>
      </c>
      <c r="D15" s="33" t="s">
        <v>45</v>
      </c>
      <c r="E15" s="33"/>
      <c r="F15" s="33"/>
      <c r="G15" s="33"/>
      <c r="H15" s="1" t="s">
        <v>30</v>
      </c>
      <c r="I15" s="1" t="s">
        <v>32</v>
      </c>
      <c r="J15" s="24">
        <v>42501.416666666664</v>
      </c>
      <c r="K15" s="7">
        <v>42574</v>
      </c>
      <c r="L15" s="7">
        <v>42574</v>
      </c>
      <c r="M15" s="8">
        <v>0.23819444444444446</v>
      </c>
      <c r="N15" s="1" t="s">
        <v>35</v>
      </c>
      <c r="O15" s="9" t="s">
        <v>40</v>
      </c>
    </row>
    <row r="16" spans="1:15" ht="15.6" x14ac:dyDescent="0.3">
      <c r="B16" s="1"/>
      <c r="C16" s="1" t="s">
        <v>19</v>
      </c>
      <c r="D16" s="33" t="s">
        <v>46</v>
      </c>
      <c r="E16" s="33"/>
      <c r="F16" s="33"/>
      <c r="G16" s="33"/>
      <c r="H16" s="1" t="s">
        <v>30</v>
      </c>
      <c r="I16" s="1" t="s">
        <v>32</v>
      </c>
      <c r="J16" s="24">
        <v>42526.416666608799</v>
      </c>
      <c r="K16" s="7">
        <v>42571</v>
      </c>
      <c r="L16" s="7">
        <v>42571</v>
      </c>
      <c r="M16" s="8">
        <v>4.9999999999999996E-2</v>
      </c>
      <c r="N16" s="1" t="s">
        <v>35</v>
      </c>
    </row>
    <row r="17" spans="1:14" ht="15.6" x14ac:dyDescent="0.3">
      <c r="B17" s="1"/>
      <c r="C17" s="1" t="s">
        <v>20</v>
      </c>
      <c r="D17" s="33" t="s">
        <v>47</v>
      </c>
      <c r="E17" s="33"/>
      <c r="F17" s="33"/>
      <c r="G17" s="33"/>
      <c r="H17" s="1" t="s">
        <v>31</v>
      </c>
      <c r="I17" s="1" t="s">
        <v>33</v>
      </c>
      <c r="J17" s="24">
        <v>42527.416666608799</v>
      </c>
      <c r="K17" s="7">
        <v>42578</v>
      </c>
      <c r="L17" s="7">
        <v>42578</v>
      </c>
      <c r="M17" s="8">
        <v>1.8055555555555557E-2</v>
      </c>
      <c r="N17" s="1" t="s">
        <v>35</v>
      </c>
    </row>
    <row r="18" spans="1:14" ht="15.6" x14ac:dyDescent="0.3">
      <c r="B18" s="1"/>
      <c r="C18" s="1" t="s">
        <v>21</v>
      </c>
      <c r="D18" s="33" t="s">
        <v>48</v>
      </c>
      <c r="E18" s="33"/>
      <c r="F18" s="33"/>
      <c r="G18" s="33"/>
      <c r="H18" s="1" t="s">
        <v>31</v>
      </c>
      <c r="I18" s="1" t="s">
        <v>33</v>
      </c>
      <c r="J18" s="24">
        <v>42528.416666666664</v>
      </c>
      <c r="K18" s="7">
        <v>42569</v>
      </c>
      <c r="L18" s="7">
        <v>42569</v>
      </c>
      <c r="M18" s="8">
        <v>0.1673611111111111</v>
      </c>
      <c r="N18" s="1" t="s">
        <v>35</v>
      </c>
    </row>
    <row r="19" spans="1:14" ht="15.6" x14ac:dyDescent="0.3">
      <c r="B19" s="1"/>
      <c r="C19" s="1" t="s">
        <v>22</v>
      </c>
      <c r="D19" s="33" t="s">
        <v>49</v>
      </c>
      <c r="E19" s="33"/>
      <c r="F19" s="33"/>
      <c r="G19" s="33"/>
      <c r="H19" s="1" t="s">
        <v>31</v>
      </c>
      <c r="I19" s="1" t="s">
        <v>33</v>
      </c>
      <c r="J19" s="24">
        <v>42512.416666666664</v>
      </c>
      <c r="K19" s="7">
        <v>42562</v>
      </c>
      <c r="L19" s="7">
        <v>42562</v>
      </c>
      <c r="M19" s="8">
        <v>0.33333333333333331</v>
      </c>
      <c r="N19" s="1" t="s">
        <v>35</v>
      </c>
    </row>
    <row r="20" spans="1:14" ht="15.6" x14ac:dyDescent="0.3">
      <c r="B20" s="1"/>
      <c r="C20" s="1" t="s">
        <v>23</v>
      </c>
      <c r="D20" s="33" t="s">
        <v>50</v>
      </c>
      <c r="E20" s="33"/>
      <c r="F20" s="33"/>
      <c r="G20" s="33"/>
      <c r="H20" s="1" t="s">
        <v>31</v>
      </c>
      <c r="I20" s="1" t="s">
        <v>33</v>
      </c>
      <c r="J20" s="24">
        <v>42530.416666608799</v>
      </c>
      <c r="K20" s="7">
        <v>42570</v>
      </c>
      <c r="L20" s="7">
        <v>42570</v>
      </c>
      <c r="M20" s="8">
        <v>0.28263888888888888</v>
      </c>
      <c r="N20" s="1" t="s">
        <v>35</v>
      </c>
    </row>
    <row r="21" spans="1:14" x14ac:dyDescent="0.3">
      <c r="B21" s="1"/>
    </row>
    <row r="22" spans="1:14" x14ac:dyDescent="0.3">
      <c r="A22" s="30" t="s">
        <v>55</v>
      </c>
      <c r="B22" s="30"/>
      <c r="C22" s="31" t="s">
        <v>56</v>
      </c>
      <c r="D22" s="31"/>
      <c r="E22" s="31"/>
      <c r="F22" s="31"/>
      <c r="G22" s="31"/>
      <c r="H22" s="31"/>
      <c r="I22" s="31"/>
      <c r="J22" s="31"/>
      <c r="K22" s="31"/>
    </row>
    <row r="23" spans="1:14" x14ac:dyDescent="0.3">
      <c r="A23" s="30"/>
      <c r="B23" s="30"/>
      <c r="C23" s="31" t="s">
        <v>57</v>
      </c>
      <c r="D23" s="31"/>
      <c r="E23" s="31"/>
      <c r="F23" s="31"/>
      <c r="G23" s="31"/>
      <c r="H23" s="31"/>
      <c r="I23" s="31"/>
      <c r="J23" s="31"/>
      <c r="K23" s="31"/>
    </row>
    <row r="24" spans="1:14" ht="33" customHeight="1" x14ac:dyDescent="0.3">
      <c r="A24" s="30"/>
      <c r="B24" s="30"/>
      <c r="C24" s="32" t="s">
        <v>58</v>
      </c>
      <c r="D24" s="32"/>
      <c r="E24" s="32"/>
      <c r="F24" s="32"/>
      <c r="G24" s="32"/>
      <c r="H24" s="32"/>
      <c r="I24" s="32"/>
      <c r="J24" s="32"/>
      <c r="K24" s="32"/>
    </row>
    <row r="25" spans="1:14" x14ac:dyDescent="0.3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</row>
    <row r="26" spans="1:14" x14ac:dyDescent="0.3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</row>
    <row r="27" spans="1:14" x14ac:dyDescent="0.3">
      <c r="B27" s="1"/>
    </row>
  </sheetData>
  <mergeCells count="29">
    <mergeCell ref="B1:G1"/>
    <mergeCell ref="C12:G12"/>
    <mergeCell ref="D15:G15"/>
    <mergeCell ref="D16:G16"/>
    <mergeCell ref="D17:G17"/>
    <mergeCell ref="D6:G6"/>
    <mergeCell ref="C8:G8"/>
    <mergeCell ref="D9:G9"/>
    <mergeCell ref="D13:G13"/>
    <mergeCell ref="D14:G14"/>
    <mergeCell ref="B11:G11"/>
    <mergeCell ref="B3:G3"/>
    <mergeCell ref="C4:G4"/>
    <mergeCell ref="D19:G19"/>
    <mergeCell ref="D20:G20"/>
    <mergeCell ref="D10:G10"/>
    <mergeCell ref="D5:G5"/>
    <mergeCell ref="D7:G7"/>
    <mergeCell ref="D18:G18"/>
    <mergeCell ref="A26:B26"/>
    <mergeCell ref="C26:K26"/>
    <mergeCell ref="A22:B22"/>
    <mergeCell ref="C22:K22"/>
    <mergeCell ref="A24:B24"/>
    <mergeCell ref="C24:K24"/>
    <mergeCell ref="A25:B25"/>
    <mergeCell ref="C25:K25"/>
    <mergeCell ref="A23:B23"/>
    <mergeCell ref="C23:K23"/>
  </mergeCells>
  <hyperlinks>
    <hyperlink ref="O9" r:id="rId1" display="http://tprocess-contax/browse/CTXSPOLP-117646"/>
    <hyperlink ref="O15" r:id="rId2" display="http://tprocess-contax/browse/CTXSPOAL-121807"/>
    <hyperlink ref="O4" r:id="rId3" display="http://tprocess-contax/browse/CTXSPOAL-121807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showGridLines="0" workbookViewId="0">
      <selection activeCell="I17" sqref="I17"/>
    </sheetView>
  </sheetViews>
  <sheetFormatPr defaultRowHeight="14.4" x14ac:dyDescent="0.3"/>
  <cols>
    <col min="9" max="9" width="8" bestFit="1" customWidth="1"/>
    <col min="10" max="10" width="10.88671875" bestFit="1" customWidth="1"/>
    <col min="11" max="11" width="15.77734375" style="11" bestFit="1" customWidth="1"/>
    <col min="12" max="12" width="20" bestFit="1" customWidth="1"/>
    <col min="13" max="13" width="20.88671875" bestFit="1" customWidth="1"/>
    <col min="14" max="14" width="13.88671875" style="6" bestFit="1" customWidth="1"/>
    <col min="15" max="15" width="9.109375" bestFit="1" customWidth="1"/>
    <col min="16" max="16" width="27.5546875" customWidth="1"/>
  </cols>
  <sheetData>
    <row r="1" spans="1:19" x14ac:dyDescent="0.3">
      <c r="A1" t="s">
        <v>69</v>
      </c>
    </row>
    <row r="3" spans="1:19" ht="21" x14ac:dyDescent="0.4">
      <c r="B3" s="10" t="s">
        <v>63</v>
      </c>
      <c r="C3" s="11" t="s">
        <v>70</v>
      </c>
      <c r="D3" s="30" t="s">
        <v>60</v>
      </c>
      <c r="E3" s="30"/>
      <c r="F3" s="30" t="s">
        <v>61</v>
      </c>
      <c r="G3" s="30"/>
      <c r="H3" s="31" t="s">
        <v>62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21" x14ac:dyDescent="0.4">
      <c r="B4" s="10" t="s">
        <v>63</v>
      </c>
      <c r="C4" s="11" t="s">
        <v>70</v>
      </c>
      <c r="D4" s="30" t="s">
        <v>60</v>
      </c>
      <c r="E4" s="30"/>
      <c r="F4" s="30" t="s">
        <v>61</v>
      </c>
      <c r="G4" s="30"/>
      <c r="H4" s="31" t="s">
        <v>62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ht="21" x14ac:dyDescent="0.4">
      <c r="B5" s="10"/>
      <c r="C5" s="34" t="s">
        <v>13</v>
      </c>
      <c r="D5" s="34"/>
      <c r="E5" s="34"/>
      <c r="F5" s="34"/>
      <c r="G5" s="34"/>
      <c r="H5" s="34"/>
      <c r="I5" s="3" t="s">
        <v>1</v>
      </c>
      <c r="J5" s="3" t="s">
        <v>0</v>
      </c>
      <c r="K5" s="15" t="s">
        <v>71</v>
      </c>
      <c r="L5" s="4" t="s">
        <v>9</v>
      </c>
      <c r="M5" s="4" t="s">
        <v>10</v>
      </c>
      <c r="N5" s="5" t="s">
        <v>11</v>
      </c>
      <c r="O5" s="3" t="s">
        <v>29</v>
      </c>
      <c r="P5" s="3" t="s">
        <v>12</v>
      </c>
      <c r="Q5" s="2"/>
      <c r="R5" s="2"/>
      <c r="S5" s="2"/>
    </row>
    <row r="6" spans="1:19" ht="21" x14ac:dyDescent="0.4">
      <c r="B6" s="10" t="s">
        <v>64</v>
      </c>
      <c r="C6" s="36" t="s">
        <v>53</v>
      </c>
      <c r="D6" s="36"/>
      <c r="E6" s="36"/>
      <c r="F6" s="36"/>
      <c r="G6" s="36"/>
      <c r="H6" s="36"/>
      <c r="I6" s="1" t="s">
        <v>24</v>
      </c>
      <c r="J6" s="1" t="s">
        <v>25</v>
      </c>
      <c r="K6" s="12">
        <v>42513.416666666664</v>
      </c>
      <c r="L6" s="7">
        <v>42582</v>
      </c>
      <c r="M6" s="7"/>
      <c r="N6" s="8">
        <v>2.8666666666666667</v>
      </c>
      <c r="O6" s="1" t="s">
        <v>34</v>
      </c>
    </row>
    <row r="7" spans="1:19" ht="21" x14ac:dyDescent="0.4">
      <c r="B7" s="10" t="s">
        <v>64</v>
      </c>
      <c r="C7" s="1" t="s">
        <v>2</v>
      </c>
      <c r="D7" s="35" t="s">
        <v>51</v>
      </c>
      <c r="E7" s="35"/>
      <c r="F7" s="35"/>
      <c r="G7" s="35"/>
      <c r="H7" s="35"/>
      <c r="I7" s="1" t="s">
        <v>24</v>
      </c>
      <c r="J7" s="1" t="s">
        <v>25</v>
      </c>
      <c r="K7" s="12">
        <v>42513.416666666664</v>
      </c>
      <c r="L7" s="7">
        <v>42581</v>
      </c>
      <c r="M7" s="7"/>
      <c r="N7" s="8">
        <v>2.5763888888888888</v>
      </c>
      <c r="O7" s="1" t="s">
        <v>34</v>
      </c>
      <c r="P7" s="9" t="s">
        <v>40</v>
      </c>
    </row>
    <row r="8" spans="1:19" ht="21" x14ac:dyDescent="0.4">
      <c r="C8" s="10" t="s">
        <v>64</v>
      </c>
      <c r="D8" s="1" t="s">
        <v>7</v>
      </c>
      <c r="E8" s="33" t="s">
        <v>43</v>
      </c>
      <c r="F8" s="33"/>
      <c r="G8" s="33"/>
      <c r="H8" s="33"/>
      <c r="I8" s="1" t="s">
        <v>24</v>
      </c>
      <c r="J8" s="1" t="s">
        <v>25</v>
      </c>
      <c r="K8" s="12">
        <v>42515.416666608799</v>
      </c>
      <c r="L8" s="7">
        <v>42580</v>
      </c>
      <c r="M8" s="7">
        <v>42574</v>
      </c>
      <c r="N8" s="8">
        <v>5.8333333333333327E-2</v>
      </c>
      <c r="O8" s="1" t="s">
        <v>35</v>
      </c>
    </row>
    <row r="9" spans="1:19" ht="21" x14ac:dyDescent="0.4">
      <c r="B9" s="10" t="s">
        <v>63</v>
      </c>
      <c r="C9" s="36" t="s">
        <v>54</v>
      </c>
      <c r="D9" s="36"/>
      <c r="E9" s="36"/>
      <c r="F9" s="36"/>
      <c r="G9" s="36"/>
      <c r="H9" s="36"/>
      <c r="I9" s="1" t="s">
        <v>24</v>
      </c>
      <c r="J9" s="1" t="s">
        <v>25</v>
      </c>
      <c r="K9" s="12">
        <v>42501.416666666664</v>
      </c>
      <c r="L9" s="7">
        <v>42582</v>
      </c>
      <c r="M9" s="7">
        <v>42578</v>
      </c>
      <c r="N9" s="8">
        <v>3.427777777777778</v>
      </c>
      <c r="O9" s="1" t="s">
        <v>35</v>
      </c>
    </row>
    <row r="10" spans="1:19" ht="21" x14ac:dyDescent="0.4">
      <c r="B10" s="10" t="s">
        <v>63</v>
      </c>
      <c r="C10" s="11" t="s">
        <v>70</v>
      </c>
      <c r="D10" s="30" t="s">
        <v>60</v>
      </c>
      <c r="E10" s="30"/>
      <c r="F10" s="30" t="s">
        <v>61</v>
      </c>
      <c r="G10" s="30"/>
      <c r="H10" s="31" t="s">
        <v>62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2" spans="1:19" x14ac:dyDescent="0.3">
      <c r="A12" s="30" t="s">
        <v>55</v>
      </c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1:19" x14ac:dyDescent="0.3">
      <c r="A13" s="30"/>
      <c r="B13" s="30"/>
      <c r="C13" s="31" t="s">
        <v>67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1:19" x14ac:dyDescent="0.3">
      <c r="A14" s="30"/>
      <c r="B14" s="30"/>
      <c r="C14" s="31" t="s">
        <v>66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9" x14ac:dyDescent="0.3">
      <c r="A15" s="30"/>
      <c r="B15" s="30"/>
      <c r="C15" s="31" t="s">
        <v>68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</sheetData>
  <mergeCells count="22">
    <mergeCell ref="C6:H6"/>
    <mergeCell ref="D7:H7"/>
    <mergeCell ref="E8:H8"/>
    <mergeCell ref="C5:H5"/>
    <mergeCell ref="D3:E3"/>
    <mergeCell ref="F3:G3"/>
    <mergeCell ref="H3:S3"/>
    <mergeCell ref="D4:E4"/>
    <mergeCell ref="F4:G4"/>
    <mergeCell ref="H4:S4"/>
    <mergeCell ref="C9:H9"/>
    <mergeCell ref="A12:B12"/>
    <mergeCell ref="A13:B13"/>
    <mergeCell ref="D10:E10"/>
    <mergeCell ref="F10:G10"/>
    <mergeCell ref="H10:S10"/>
    <mergeCell ref="A14:B14"/>
    <mergeCell ref="C12:P12"/>
    <mergeCell ref="C13:P13"/>
    <mergeCell ref="C14:P14"/>
    <mergeCell ref="A15:B15"/>
    <mergeCell ref="C15:P15"/>
  </mergeCells>
  <hyperlinks>
    <hyperlink ref="P7" r:id="rId1" display="http://tprocess-contax/browse/CTXSPOAL-121807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4"/>
  <sheetViews>
    <sheetView showGridLines="0" workbookViewId="0">
      <selection activeCell="B3" sqref="B3:F6"/>
    </sheetView>
  </sheetViews>
  <sheetFormatPr defaultRowHeight="14.4" x14ac:dyDescent="0.3"/>
  <cols>
    <col min="2" max="2" width="12" bestFit="1" customWidth="1"/>
    <col min="3" max="3" width="16.77734375" style="17" bestFit="1" customWidth="1"/>
    <col min="4" max="4" width="20.33203125" style="17" bestFit="1" customWidth="1"/>
    <col min="5" max="5" width="28" bestFit="1" customWidth="1"/>
    <col min="6" max="6" width="12.109375" bestFit="1" customWidth="1"/>
  </cols>
  <sheetData>
    <row r="3" spans="2:6" x14ac:dyDescent="0.3">
      <c r="B3" s="14" t="s">
        <v>86</v>
      </c>
      <c r="C3" s="22" t="s">
        <v>73</v>
      </c>
      <c r="D3" s="22" t="s">
        <v>74</v>
      </c>
      <c r="E3" s="14" t="s">
        <v>75</v>
      </c>
      <c r="F3" s="14" t="s">
        <v>76</v>
      </c>
    </row>
    <row r="4" spans="2:6" x14ac:dyDescent="0.3">
      <c r="B4" s="16">
        <v>624088</v>
      </c>
      <c r="C4" s="17" t="s">
        <v>25</v>
      </c>
      <c r="D4" s="17" t="s">
        <v>77</v>
      </c>
      <c r="E4" s="21" t="s">
        <v>78</v>
      </c>
      <c r="F4" s="16" t="s">
        <v>79</v>
      </c>
    </row>
    <row r="5" spans="2:6" x14ac:dyDescent="0.3">
      <c r="B5" s="16">
        <v>586970</v>
      </c>
      <c r="C5" s="17" t="s">
        <v>80</v>
      </c>
      <c r="D5" s="17" t="s">
        <v>81</v>
      </c>
      <c r="E5" s="21" t="s">
        <v>82</v>
      </c>
      <c r="F5" s="16" t="s">
        <v>83</v>
      </c>
    </row>
    <row r="6" spans="2:6" x14ac:dyDescent="0.3">
      <c r="B6" s="16">
        <v>621239</v>
      </c>
      <c r="C6" s="17" t="s">
        <v>33</v>
      </c>
      <c r="D6" s="17" t="s">
        <v>84</v>
      </c>
      <c r="E6" s="21" t="s">
        <v>85</v>
      </c>
      <c r="F6" s="16" t="s">
        <v>79</v>
      </c>
    </row>
    <row r="7" spans="2:6" x14ac:dyDescent="0.3">
      <c r="B7" s="16"/>
      <c r="E7" s="16"/>
      <c r="F7" s="16"/>
    </row>
    <row r="8" spans="2:6" x14ac:dyDescent="0.3">
      <c r="B8" s="16"/>
      <c r="E8" s="16"/>
      <c r="F8" s="16"/>
    </row>
    <row r="9" spans="2:6" x14ac:dyDescent="0.3">
      <c r="B9" s="16"/>
      <c r="E9" s="16"/>
      <c r="F9" s="16"/>
    </row>
    <row r="10" spans="2:6" x14ac:dyDescent="0.3">
      <c r="B10" s="16"/>
      <c r="E10" s="16"/>
      <c r="F10" s="16"/>
    </row>
    <row r="11" spans="2:6" x14ac:dyDescent="0.3">
      <c r="B11" s="16"/>
      <c r="E11" s="16"/>
      <c r="F11" s="16"/>
    </row>
    <row r="12" spans="2:6" x14ac:dyDescent="0.3">
      <c r="B12" s="16"/>
      <c r="E12" s="16"/>
      <c r="F12" s="16"/>
    </row>
    <row r="13" spans="2:6" x14ac:dyDescent="0.3">
      <c r="B13" s="16"/>
      <c r="E13" s="16"/>
      <c r="F13" s="16"/>
    </row>
    <row r="14" spans="2:6" x14ac:dyDescent="0.3">
      <c r="B14" s="16"/>
      <c r="E14" s="16"/>
      <c r="F14" s="16"/>
    </row>
  </sheetData>
  <hyperlinks>
    <hyperlink ref="E4" r:id="rId1"/>
    <hyperlink ref="E5" r:id="rId2"/>
    <hyperlink ref="E6" r:id="rId3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showGridLines="0" workbookViewId="0">
      <selection activeCell="B2" sqref="B2:G5"/>
    </sheetView>
  </sheetViews>
  <sheetFormatPr defaultRowHeight="14.4" x14ac:dyDescent="0.3"/>
  <cols>
    <col min="3" max="3" width="46.88671875" bestFit="1" customWidth="1"/>
    <col min="4" max="4" width="18.44140625" style="25" customWidth="1"/>
    <col min="5" max="5" width="11.21875" customWidth="1"/>
    <col min="6" max="6" width="12.6640625" style="25" bestFit="1" customWidth="1"/>
    <col min="7" max="7" width="29.109375" bestFit="1" customWidth="1"/>
  </cols>
  <sheetData>
    <row r="2" spans="2:7" x14ac:dyDescent="0.3">
      <c r="C2" s="26" t="s">
        <v>87</v>
      </c>
      <c r="D2" s="28" t="s">
        <v>88</v>
      </c>
      <c r="E2" s="18" t="s">
        <v>89</v>
      </c>
      <c r="F2" s="28" t="s">
        <v>91</v>
      </c>
      <c r="G2" s="26" t="s">
        <v>92</v>
      </c>
    </row>
    <row r="3" spans="2:7" x14ac:dyDescent="0.3">
      <c r="B3" t="s">
        <v>90</v>
      </c>
      <c r="C3" s="18">
        <v>2</v>
      </c>
      <c r="D3" s="28"/>
      <c r="E3" s="18">
        <v>19</v>
      </c>
      <c r="F3" s="28">
        <f>F4+F5</f>
        <v>101657</v>
      </c>
      <c r="G3" s="26"/>
    </row>
    <row r="4" spans="2:7" x14ac:dyDescent="0.3">
      <c r="C4" t="s">
        <v>93</v>
      </c>
      <c r="D4" s="27">
        <v>50361</v>
      </c>
      <c r="E4" s="16">
        <v>2</v>
      </c>
      <c r="F4" s="27">
        <f>E4*D4</f>
        <v>100722</v>
      </c>
      <c r="G4" s="29" t="s">
        <v>95</v>
      </c>
    </row>
    <row r="5" spans="2:7" x14ac:dyDescent="0.3">
      <c r="C5" t="s">
        <v>94</v>
      </c>
      <c r="D5" s="27">
        <v>55</v>
      </c>
      <c r="E5" s="16">
        <v>17</v>
      </c>
      <c r="F5" s="27">
        <f>E5*D5</f>
        <v>935</v>
      </c>
      <c r="G5" s="29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5"/>
  <sheetViews>
    <sheetView showGridLines="0" workbookViewId="0">
      <selection activeCell="F11" sqref="F11"/>
    </sheetView>
  </sheetViews>
  <sheetFormatPr defaultRowHeight="14.4" x14ac:dyDescent="0.3"/>
  <cols>
    <col min="3" max="3" width="43.6640625" customWidth="1"/>
    <col min="4" max="4" width="26.6640625" customWidth="1"/>
    <col min="5" max="5" width="11.6640625" style="20" customWidth="1"/>
    <col min="6" max="6" width="12.88671875" style="20" customWidth="1"/>
    <col min="7" max="7" width="15.6640625" customWidth="1"/>
    <col min="8" max="8" width="13.44140625" style="20" bestFit="1" customWidth="1"/>
    <col min="9" max="9" width="16.5546875" style="20" bestFit="1" customWidth="1"/>
  </cols>
  <sheetData>
    <row r="2" spans="3:9" x14ac:dyDescent="0.3">
      <c r="C2" s="19" t="s">
        <v>61</v>
      </c>
      <c r="D2" s="19" t="s">
        <v>96</v>
      </c>
      <c r="E2" s="19" t="s">
        <v>97</v>
      </c>
      <c r="F2" s="19" t="s">
        <v>98</v>
      </c>
      <c r="G2" s="19" t="s">
        <v>99</v>
      </c>
      <c r="H2" s="19" t="s">
        <v>29</v>
      </c>
      <c r="I2" s="19" t="s">
        <v>100</v>
      </c>
    </row>
    <row r="3" spans="3:9" x14ac:dyDescent="0.3">
      <c r="C3" t="s">
        <v>108</v>
      </c>
      <c r="D3" t="s">
        <v>109</v>
      </c>
      <c r="E3" s="20" t="s">
        <v>104</v>
      </c>
      <c r="F3" s="20" t="s">
        <v>107</v>
      </c>
      <c r="G3" t="s">
        <v>25</v>
      </c>
      <c r="H3" s="20" t="s">
        <v>101</v>
      </c>
    </row>
    <row r="4" spans="3:9" x14ac:dyDescent="0.3">
      <c r="C4" t="s">
        <v>108</v>
      </c>
      <c r="D4" t="s">
        <v>109</v>
      </c>
      <c r="E4" s="20" t="s">
        <v>105</v>
      </c>
      <c r="F4" s="20" t="s">
        <v>107</v>
      </c>
      <c r="G4" t="s">
        <v>32</v>
      </c>
      <c r="H4" s="20" t="s">
        <v>102</v>
      </c>
    </row>
    <row r="5" spans="3:9" x14ac:dyDescent="0.3">
      <c r="C5" t="s">
        <v>108</v>
      </c>
      <c r="D5" t="s">
        <v>109</v>
      </c>
      <c r="E5" s="20" t="s">
        <v>104</v>
      </c>
      <c r="F5" s="20" t="s">
        <v>106</v>
      </c>
      <c r="G5" t="s">
        <v>33</v>
      </c>
      <c r="H5" s="20" t="s">
        <v>103</v>
      </c>
      <c r="I5" s="37">
        <v>42564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showGridLines="0" workbookViewId="0">
      <selection activeCell="B1" sqref="B1:E1048576"/>
    </sheetView>
  </sheetViews>
  <sheetFormatPr defaultRowHeight="14.4" x14ac:dyDescent="0.3"/>
  <cols>
    <col min="2" max="2" width="64.21875" customWidth="1"/>
    <col min="3" max="3" width="16.6640625" style="20" customWidth="1"/>
    <col min="4" max="4" width="17.5546875" style="20" customWidth="1"/>
    <col min="5" max="5" width="25.109375" style="20" customWidth="1"/>
  </cols>
  <sheetData>
    <row r="2" spans="2:5" x14ac:dyDescent="0.3">
      <c r="B2" s="19" t="s">
        <v>110</v>
      </c>
      <c r="C2" s="19" t="s">
        <v>1</v>
      </c>
      <c r="D2" s="19" t="s">
        <v>99</v>
      </c>
      <c r="E2" s="19" t="s">
        <v>111</v>
      </c>
    </row>
    <row r="3" spans="2:5" x14ac:dyDescent="0.3">
      <c r="B3" t="s">
        <v>112</v>
      </c>
      <c r="C3" s="20" t="s">
        <v>30</v>
      </c>
      <c r="D3" s="20" t="s">
        <v>113</v>
      </c>
      <c r="E3" s="38">
        <v>42563.020833333336</v>
      </c>
    </row>
    <row r="4" spans="2:5" x14ac:dyDescent="0.3">
      <c r="B4" t="s">
        <v>114</v>
      </c>
      <c r="C4" s="20" t="s">
        <v>30</v>
      </c>
      <c r="D4" s="20" t="s">
        <v>113</v>
      </c>
      <c r="E4" s="38">
        <v>42563.022222222222</v>
      </c>
    </row>
    <row r="5" spans="2:5" x14ac:dyDescent="0.3">
      <c r="B5" t="s">
        <v>115</v>
      </c>
      <c r="C5" s="20" t="s">
        <v>30</v>
      </c>
      <c r="D5" s="20" t="s">
        <v>113</v>
      </c>
      <c r="E5" s="38">
        <v>42563.038888888892</v>
      </c>
    </row>
    <row r="6" spans="2:5" x14ac:dyDescent="0.3">
      <c r="B6" t="s">
        <v>116</v>
      </c>
      <c r="C6" s="20" t="s">
        <v>30</v>
      </c>
      <c r="D6" s="20" t="s">
        <v>113</v>
      </c>
      <c r="E6" s="38">
        <v>42563.040277777778</v>
      </c>
    </row>
    <row r="7" spans="2:5" x14ac:dyDescent="0.3">
      <c r="B7" t="s">
        <v>112</v>
      </c>
      <c r="C7" s="20" t="s">
        <v>30</v>
      </c>
      <c r="D7" s="20" t="s">
        <v>113</v>
      </c>
      <c r="E7" s="38">
        <v>42563.0625</v>
      </c>
    </row>
    <row r="8" spans="2:5" x14ac:dyDescent="0.3">
      <c r="B8" t="s">
        <v>114</v>
      </c>
      <c r="C8" s="20" t="s">
        <v>30</v>
      </c>
      <c r="D8" s="20" t="s">
        <v>113</v>
      </c>
      <c r="E8" s="38">
        <v>42563.063888888886</v>
      </c>
    </row>
    <row r="9" spans="2:5" x14ac:dyDescent="0.3">
      <c r="B9" t="s">
        <v>115</v>
      </c>
      <c r="C9" s="20" t="s">
        <v>30</v>
      </c>
      <c r="D9" s="20" t="s">
        <v>113</v>
      </c>
      <c r="E9" s="38">
        <v>42563.080555555556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showGridLines="0" workbookViewId="0">
      <selection activeCell="B1" sqref="B1:E1048576"/>
    </sheetView>
  </sheetViews>
  <sheetFormatPr defaultRowHeight="14.4" x14ac:dyDescent="0.3"/>
  <cols>
    <col min="2" max="2" width="64.21875" customWidth="1"/>
    <col min="3" max="3" width="16.6640625" style="20" customWidth="1"/>
    <col min="4" max="4" width="17.5546875" style="20" customWidth="1"/>
    <col min="5" max="5" width="25.109375" style="20" customWidth="1"/>
  </cols>
  <sheetData>
    <row r="2" spans="2:5" x14ac:dyDescent="0.3">
      <c r="B2" s="19" t="s">
        <v>110</v>
      </c>
      <c r="C2" s="19" t="s">
        <v>1</v>
      </c>
      <c r="D2" s="19" t="s">
        <v>99</v>
      </c>
      <c r="E2" s="19" t="s">
        <v>111</v>
      </c>
    </row>
    <row r="3" spans="2:5" x14ac:dyDescent="0.3">
      <c r="B3" t="s">
        <v>112</v>
      </c>
      <c r="C3" s="20" t="s">
        <v>30</v>
      </c>
      <c r="D3" s="20" t="s">
        <v>113</v>
      </c>
      <c r="E3" s="38">
        <v>42563.083333333336</v>
      </c>
    </row>
    <row r="4" spans="2:5" x14ac:dyDescent="0.3">
      <c r="B4" t="s">
        <v>117</v>
      </c>
      <c r="C4" s="20" t="s">
        <v>30</v>
      </c>
      <c r="D4" s="20" t="s">
        <v>113</v>
      </c>
      <c r="E4" s="38">
        <v>42563.084722222222</v>
      </c>
    </row>
    <row r="5" spans="2:5" x14ac:dyDescent="0.3">
      <c r="B5" t="s">
        <v>115</v>
      </c>
      <c r="C5" s="20" t="s">
        <v>30</v>
      </c>
      <c r="D5" s="20" t="s">
        <v>113</v>
      </c>
      <c r="E5" s="38">
        <v>42563.101388888892</v>
      </c>
    </row>
    <row r="6" spans="2:5" x14ac:dyDescent="0.3">
      <c r="B6" t="s">
        <v>116</v>
      </c>
      <c r="C6" s="20" t="s">
        <v>30</v>
      </c>
      <c r="D6" s="20" t="s">
        <v>113</v>
      </c>
      <c r="E6" s="38">
        <v>42563.102777777778</v>
      </c>
    </row>
    <row r="7" spans="2:5" x14ac:dyDescent="0.3">
      <c r="B7" t="s">
        <v>112</v>
      </c>
      <c r="C7" s="20" t="s">
        <v>30</v>
      </c>
      <c r="D7" s="20" t="s">
        <v>113</v>
      </c>
      <c r="E7" s="38">
        <v>42563.123611111114</v>
      </c>
    </row>
    <row r="8" spans="2:5" x14ac:dyDescent="0.3">
      <c r="B8" t="s">
        <v>114</v>
      </c>
      <c r="C8" s="20" t="s">
        <v>30</v>
      </c>
      <c r="D8" s="20" t="s">
        <v>113</v>
      </c>
      <c r="E8" s="38">
        <v>42563.125</v>
      </c>
    </row>
    <row r="9" spans="2:5" x14ac:dyDescent="0.3">
      <c r="B9" t="s">
        <v>115</v>
      </c>
      <c r="C9" s="20" t="s">
        <v>30</v>
      </c>
      <c r="D9" s="20" t="s">
        <v>113</v>
      </c>
      <c r="E9" s="38">
        <v>42563.14166666667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showGridLines="0" tabSelected="1" workbookViewId="0">
      <selection activeCell="B15" sqref="B15"/>
    </sheetView>
  </sheetViews>
  <sheetFormatPr defaultRowHeight="14.4" x14ac:dyDescent="0.3"/>
  <cols>
    <col min="2" max="2" width="64.21875" customWidth="1"/>
    <col min="3" max="3" width="16.6640625" style="20" customWidth="1"/>
    <col min="4" max="4" width="17.5546875" style="20" customWidth="1"/>
    <col min="5" max="5" width="25.109375" style="20" customWidth="1"/>
  </cols>
  <sheetData>
    <row r="2" spans="2:5" x14ac:dyDescent="0.3">
      <c r="B2" s="19" t="s">
        <v>110</v>
      </c>
      <c r="C2" s="19" t="s">
        <v>1</v>
      </c>
      <c r="D2" s="19" t="s">
        <v>99</v>
      </c>
      <c r="E2" s="19" t="s">
        <v>118</v>
      </c>
    </row>
    <row r="3" spans="2:5" x14ac:dyDescent="0.3">
      <c r="B3" t="s">
        <v>120</v>
      </c>
      <c r="C3" s="20" t="s">
        <v>30</v>
      </c>
      <c r="D3" s="20" t="s">
        <v>113</v>
      </c>
      <c r="E3" s="38" t="s">
        <v>124</v>
      </c>
    </row>
    <row r="4" spans="2:5" x14ac:dyDescent="0.3">
      <c r="B4" t="s">
        <v>119</v>
      </c>
      <c r="C4" s="20" t="s">
        <v>30</v>
      </c>
      <c r="D4" s="20" t="s">
        <v>113</v>
      </c>
      <c r="E4" s="38" t="s">
        <v>124</v>
      </c>
    </row>
    <row r="5" spans="2:5" x14ac:dyDescent="0.3">
      <c r="B5" t="s">
        <v>121</v>
      </c>
      <c r="C5" s="20" t="s">
        <v>30</v>
      </c>
      <c r="D5" s="20" t="s">
        <v>113</v>
      </c>
      <c r="E5" s="38" t="s">
        <v>124</v>
      </c>
    </row>
    <row r="6" spans="2:5" x14ac:dyDescent="0.3">
      <c r="B6" t="s">
        <v>122</v>
      </c>
      <c r="C6" s="20" t="s">
        <v>30</v>
      </c>
      <c r="D6" s="20" t="s">
        <v>113</v>
      </c>
      <c r="E6" s="38" t="s">
        <v>124</v>
      </c>
    </row>
    <row r="7" spans="2:5" x14ac:dyDescent="0.3">
      <c r="B7" t="s">
        <v>123</v>
      </c>
      <c r="C7" s="20" t="s">
        <v>30</v>
      </c>
      <c r="D7" s="20" t="s">
        <v>113</v>
      </c>
      <c r="E7" s="38" t="s">
        <v>34</v>
      </c>
    </row>
    <row r="8" spans="2:5" x14ac:dyDescent="0.3">
      <c r="E8" s="38"/>
    </row>
    <row r="9" spans="2:5" x14ac:dyDescent="0.3">
      <c r="E9" s="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Inclusão e Controle (Projetos)</vt:lpstr>
      <vt:lpstr>Administração (Analistas)</vt:lpstr>
      <vt:lpstr>Plano de Comunidação</vt:lpstr>
      <vt:lpstr>Controle de Compras</vt:lpstr>
      <vt:lpstr>Log de Issue</vt:lpstr>
      <vt:lpstr> Plano de Implementação</vt:lpstr>
      <vt:lpstr>Plano de Recuperação</vt:lpstr>
      <vt:lpstr>RPI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2016-07-01T13:55:56Z</dcterms:created>
  <dcterms:modified xsi:type="dcterms:W3CDTF">2016-07-12T16:34:18Z</dcterms:modified>
</cp:coreProperties>
</file>