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Matriz de Prioridade" sheetId="1" r:id="rId1"/>
    <sheet name="Dados" sheetId="2" state="hidden" r:id="rId2"/>
    <sheet name="Plan1" sheetId="3" state="hidden" r:id="rId3"/>
  </sheets>
  <calcPr calcId="145621"/>
</workbook>
</file>

<file path=xl/calcChain.xml><?xml version="1.0" encoding="utf-8"?>
<calcChain xmlns="http://schemas.openxmlformats.org/spreadsheetml/2006/main">
  <c r="C103" i="2" l="1"/>
  <c r="C104" i="2"/>
  <c r="C105" i="2"/>
  <c r="B103" i="2"/>
  <c r="I8" i="1" l="1"/>
  <c r="C34" i="1"/>
  <c r="C35" i="1"/>
  <c r="B18" i="1"/>
  <c r="B35" i="1" s="1"/>
  <c r="B17" i="1"/>
  <c r="B34" i="1" s="1"/>
  <c r="B16" i="1"/>
  <c r="B15" i="1"/>
  <c r="B14" i="1"/>
  <c r="B13" i="1"/>
  <c r="B12" i="1"/>
  <c r="B11" i="1"/>
  <c r="B76" i="2"/>
  <c r="B75" i="2"/>
  <c r="B74" i="2"/>
  <c r="C76" i="2"/>
  <c r="C75" i="2"/>
  <c r="C74" i="2"/>
  <c r="C73" i="2"/>
  <c r="B73" i="2"/>
  <c r="B72" i="2"/>
  <c r="B71" i="2"/>
  <c r="B70" i="2"/>
  <c r="B69" i="2"/>
  <c r="C72" i="2"/>
  <c r="C71" i="2"/>
  <c r="C70" i="2"/>
  <c r="C69" i="2"/>
  <c r="C68" i="2"/>
  <c r="B68" i="2"/>
  <c r="B67" i="2"/>
  <c r="B66" i="2"/>
  <c r="B65" i="2"/>
  <c r="B64" i="2"/>
  <c r="C67" i="2"/>
  <c r="C66" i="2"/>
  <c r="C65" i="2"/>
  <c r="C64" i="2"/>
  <c r="C63" i="2"/>
  <c r="B63" i="2"/>
  <c r="B62" i="2"/>
  <c r="B61" i="2"/>
  <c r="B60" i="2"/>
  <c r="B59" i="2"/>
  <c r="C62" i="2"/>
  <c r="C61" i="2"/>
  <c r="C60" i="2"/>
  <c r="C59" i="2"/>
  <c r="C58" i="2"/>
  <c r="B58" i="2"/>
  <c r="B57" i="2"/>
  <c r="B56" i="2"/>
  <c r="B55" i="2"/>
  <c r="B54" i="2"/>
  <c r="C57" i="2"/>
  <c r="C56" i="2"/>
  <c r="C55" i="2"/>
  <c r="C54" i="2"/>
  <c r="C53" i="2"/>
  <c r="B53" i="2"/>
  <c r="B52" i="2"/>
  <c r="B51" i="2"/>
  <c r="B50" i="2"/>
  <c r="C52" i="2"/>
  <c r="C51" i="2"/>
  <c r="C50" i="2"/>
  <c r="C49" i="2"/>
  <c r="B49" i="2"/>
  <c r="C48" i="2"/>
  <c r="C47" i="2"/>
  <c r="C46" i="2"/>
  <c r="C45" i="2"/>
  <c r="B48" i="2"/>
  <c r="B47" i="2"/>
  <c r="B46" i="2"/>
  <c r="B45" i="2"/>
  <c r="B44" i="2"/>
  <c r="B43" i="2"/>
  <c r="B42" i="2"/>
  <c r="B41" i="2"/>
  <c r="B40" i="2"/>
  <c r="C44" i="2"/>
  <c r="C43" i="2"/>
  <c r="C42" i="2"/>
  <c r="C41" i="2"/>
  <c r="C40" i="2"/>
  <c r="C39" i="2"/>
  <c r="B39" i="2"/>
  <c r="G76" i="2" l="1"/>
  <c r="G75" i="2"/>
  <c r="G74" i="2"/>
  <c r="G73" i="2"/>
  <c r="D76" i="2"/>
  <c r="D75" i="2"/>
  <c r="D74" i="2"/>
  <c r="D73" i="2"/>
  <c r="G72" i="2" l="1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B32" i="1"/>
  <c r="C32" i="1"/>
  <c r="B33" i="1"/>
  <c r="C33" i="1"/>
  <c r="B31" i="1"/>
  <c r="C31" i="1"/>
  <c r="C26" i="1" l="1"/>
  <c r="B26" i="1"/>
  <c r="C25" i="1"/>
  <c r="B25" i="1"/>
  <c r="C24" i="1"/>
  <c r="B24" i="1"/>
  <c r="G57" i="2" l="1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D57" i="2" l="1"/>
  <c r="D56" i="2"/>
  <c r="D55" i="2"/>
  <c r="D5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5" i="1" s="1"/>
  <c r="D26" i="1" l="1"/>
  <c r="D34" i="1"/>
  <c r="D31" i="1"/>
  <c r="D33" i="1"/>
  <c r="D32" i="1"/>
  <c r="D25" i="1"/>
  <c r="D24" i="1"/>
  <c r="D36" i="1" l="1"/>
  <c r="D27" i="1"/>
  <c r="C39" i="1" l="1"/>
  <c r="J8" i="1" s="1"/>
  <c r="D39" i="1"/>
  <c r="K8" i="1" s="1"/>
  <c r="C27" i="1"/>
  <c r="J6" i="1" s="1"/>
  <c r="K6" i="1"/>
  <c r="C36" i="1"/>
  <c r="J7" i="1" s="1"/>
  <c r="K7" i="1"/>
</calcChain>
</file>

<file path=xl/sharedStrings.xml><?xml version="1.0" encoding="utf-8"?>
<sst xmlns="http://schemas.openxmlformats.org/spreadsheetml/2006/main" count="125" uniqueCount="78">
  <si>
    <t>Projeto</t>
  </si>
  <si>
    <t>ID Tprocess</t>
  </si>
  <si>
    <t>Data de Abertura</t>
  </si>
  <si>
    <t>Tipo de demanda</t>
  </si>
  <si>
    <t>Líder TI Alocado</t>
  </si>
  <si>
    <t>Urgência</t>
  </si>
  <si>
    <t>Critérios</t>
  </si>
  <si>
    <t>Lista</t>
  </si>
  <si>
    <t>Desenvolvimento</t>
  </si>
  <si>
    <t>Até 10 PAs</t>
  </si>
  <si>
    <t>de 10 a 50 PAs</t>
  </si>
  <si>
    <t>De 51 a 100 PAs</t>
  </si>
  <si>
    <t>Mais de 100 PAs</t>
  </si>
  <si>
    <t>Pontuação</t>
  </si>
  <si>
    <t>Pode esperar</t>
  </si>
  <si>
    <t>Pouco urgente</t>
  </si>
  <si>
    <t>Urgente</t>
  </si>
  <si>
    <t>Muito Urgente</t>
  </si>
  <si>
    <t>Necessidade de ação imediata</t>
  </si>
  <si>
    <t>Pontuação dos critérios</t>
  </si>
  <si>
    <t>Critério</t>
  </si>
  <si>
    <t>Quantidade de PAs</t>
  </si>
  <si>
    <t>Código</t>
  </si>
  <si>
    <t>Média</t>
  </si>
  <si>
    <t>Status</t>
  </si>
  <si>
    <t>De</t>
  </si>
  <si>
    <t>Até</t>
  </si>
  <si>
    <t>Não há custo</t>
  </si>
  <si>
    <t>Mais que 4</t>
  </si>
  <si>
    <t>Peso</t>
  </si>
  <si>
    <t>Baixa</t>
  </si>
  <si>
    <t>Alta</t>
  </si>
  <si>
    <t>MATRIZ COMPLEXIDADE</t>
  </si>
  <si>
    <t>Complexidade</t>
  </si>
  <si>
    <t>MATRIZ CRITICIDADE</t>
  </si>
  <si>
    <t>Criticidade</t>
  </si>
  <si>
    <t>100% Saving</t>
  </si>
  <si>
    <t>100% Compras</t>
  </si>
  <si>
    <t>50% Saving e 50% Compras</t>
  </si>
  <si>
    <t>75% Saving e 25% Compras</t>
  </si>
  <si>
    <t>75% Compras e 25% Saving</t>
  </si>
  <si>
    <t>Nível de Urgência</t>
  </si>
  <si>
    <t>Áreas de TI envolvidas/Expertise</t>
  </si>
  <si>
    <t>Fornecedores</t>
  </si>
  <si>
    <t>Pontos</t>
  </si>
  <si>
    <t>Implantação</t>
  </si>
  <si>
    <t>Infraestrutura</t>
  </si>
  <si>
    <t>RTI</t>
  </si>
  <si>
    <t>Upgrade</t>
  </si>
  <si>
    <t>URA</t>
  </si>
  <si>
    <t>Outras áreas de apoio</t>
  </si>
  <si>
    <t>Mais de 3</t>
  </si>
  <si>
    <t>Até R$ 5.000,00</t>
  </si>
  <si>
    <t>De R$ 5.000,00 a Até R$ 10.000,00</t>
  </si>
  <si>
    <t>De R$ 10.000,00 a Até R$ 30.000,00</t>
  </si>
  <si>
    <t>Mais de R$ 30.000,00</t>
  </si>
  <si>
    <t>Criticidade x Complexidade</t>
  </si>
  <si>
    <t>Infra Plataforma (servidores, etc)</t>
  </si>
  <si>
    <t>Insumos Telecom (Links, etc)</t>
  </si>
  <si>
    <t>Licenças Gravação / Discador / Etc</t>
  </si>
  <si>
    <t>Grau</t>
  </si>
  <si>
    <t>Pontuar de 1 até 5 para Grau de Complexidade</t>
  </si>
  <si>
    <t>Pontuar de 1 até 5 para Grau de Criticidade</t>
  </si>
  <si>
    <t>MATRIZ EIXO X</t>
  </si>
  <si>
    <t>P</t>
  </si>
  <si>
    <t>M</t>
  </si>
  <si>
    <t>G</t>
  </si>
  <si>
    <t>24 &lt; 133</t>
  </si>
  <si>
    <t>134 &lt; 243</t>
  </si>
  <si>
    <t>244 &lt; 350</t>
  </si>
  <si>
    <t>Tipo de demanda (1 a 5)</t>
  </si>
  <si>
    <t>Quantidade de PAs (1 a 4)</t>
  </si>
  <si>
    <t>Áreas de TI envolvidas/Exerpetise (2 a 5)</t>
  </si>
  <si>
    <t>Infra Plataforma (servidores, etc) (1 a 5)</t>
  </si>
  <si>
    <t>Insumos Telecom (Links, etc) (1 a 5)</t>
  </si>
  <si>
    <t>Licenças Gravação / Discador / Etc (1 a 5)</t>
  </si>
  <si>
    <t>Fornecedores (1 a 5)</t>
  </si>
  <si>
    <t>Outras áreas de apoio (2 a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</si>
</sst>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b/>
      <sz val="12"/>
      <color theme="0"/>
      <name val="Trebuchet MS"/>
      <family val="2"/>
    </font>
    <font>
      <b/>
      <sz val="10"/>
      <color theme="1"/>
      <name val="Trebuchet MS"/>
      <family val="2"/>
    </font>
    <font>
      <b/>
      <sz val="12"/>
      <color theme="1"/>
      <name val="Trebuchet MS"/>
      <family val="2"/>
    </font>
    <font>
      <sz val="9"/>
      <color theme="1"/>
      <name val="Calibri"/>
      <family val="2"/>
      <scheme val="minor"/>
    </font>
    <font>
      <b/>
      <sz val="9"/>
      <color theme="0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4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4" borderId="0" xfId="0" applyFont="1" applyFill="1" applyBorder="1"/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7" fillId="0" borderId="0" xfId="0" applyFont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FF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</xdr:colOff>
      <xdr:row>1</xdr:row>
      <xdr:rowOff>11905</xdr:rowOff>
    </xdr:from>
    <xdr:to>
      <xdr:col>1</xdr:col>
      <xdr:colOff>1531570</xdr:colOff>
      <xdr:row>3</xdr:row>
      <xdr:rowOff>47624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781" y="202405"/>
          <a:ext cx="1519664" cy="416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1</xdr:row>
      <xdr:rowOff>35719</xdr:rowOff>
    </xdr:from>
    <xdr:to>
      <xdr:col>1</xdr:col>
      <xdr:colOff>1543477</xdr:colOff>
      <xdr:row>3</xdr:row>
      <xdr:rowOff>71438</xdr:rowOff>
    </xdr:to>
    <xdr:pic>
      <xdr:nvPicPr>
        <xdr:cNvPr id="3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8" y="226219"/>
          <a:ext cx="1519664" cy="416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39"/>
  <sheetViews>
    <sheetView showGridLines="0" tabSelected="1" zoomScale="80" zoomScaleNormal="80" workbookViewId="0">
      <selection activeCell="C11" sqref="C11:G11"/>
    </sheetView>
  </sheetViews>
  <sheetFormatPr defaultRowHeight="15" x14ac:dyDescent="0.3"/>
  <cols>
    <col min="1" max="1" width="7.85546875" style="6" customWidth="1"/>
    <col min="2" max="2" width="33.5703125" style="6" bestFit="1" customWidth="1"/>
    <col min="3" max="3" width="45.7109375" style="6" bestFit="1" customWidth="1"/>
    <col min="4" max="4" width="10.5703125" style="6" bestFit="1" customWidth="1"/>
    <col min="5" max="5" width="12.28515625" style="6" bestFit="1" customWidth="1"/>
    <col min="6" max="6" width="14.5703125" style="6" bestFit="1" customWidth="1"/>
    <col min="7" max="7" width="14.85546875" style="6" bestFit="1" customWidth="1"/>
    <col min="8" max="8" width="12" style="6" bestFit="1" customWidth="1"/>
    <col min="9" max="9" width="28.5703125" style="6" bestFit="1" customWidth="1"/>
    <col min="10" max="10" width="9.140625" style="6" customWidth="1"/>
    <col min="11" max="16384" width="9.140625" style="6"/>
  </cols>
  <sheetData>
    <row r="6" spans="2:11" x14ac:dyDescent="0.3">
      <c r="B6" s="2" t="s">
        <v>0</v>
      </c>
      <c r="C6" s="33"/>
      <c r="D6" s="34"/>
      <c r="E6" s="34"/>
      <c r="F6" s="34"/>
      <c r="G6" s="35"/>
      <c r="I6" s="2" t="s">
        <v>33</v>
      </c>
      <c r="J6" s="10" t="str">
        <f>C27</f>
        <v/>
      </c>
      <c r="K6" s="10">
        <f>D27</f>
        <v>0</v>
      </c>
    </row>
    <row r="7" spans="2:11" x14ac:dyDescent="0.3">
      <c r="B7" s="2" t="s">
        <v>1</v>
      </c>
      <c r="C7" s="33"/>
      <c r="D7" s="34"/>
      <c r="E7" s="34"/>
      <c r="F7" s="34"/>
      <c r="G7" s="35"/>
      <c r="I7" s="2" t="s">
        <v>35</v>
      </c>
      <c r="J7" s="21" t="str">
        <f>C36</f>
        <v/>
      </c>
      <c r="K7" s="10">
        <f>D36</f>
        <v>0</v>
      </c>
    </row>
    <row r="8" spans="2:11" x14ac:dyDescent="0.3">
      <c r="B8" s="2" t="s">
        <v>2</v>
      </c>
      <c r="C8" s="36"/>
      <c r="D8" s="34"/>
      <c r="E8" s="34"/>
      <c r="F8" s="34"/>
      <c r="G8" s="35"/>
      <c r="I8" s="2" t="str">
        <f>B39</f>
        <v>Criticidade x Complexidade</v>
      </c>
      <c r="J8" s="22" t="str">
        <f>C39</f>
        <v/>
      </c>
      <c r="K8" s="10">
        <f>D39</f>
        <v>0</v>
      </c>
    </row>
    <row r="9" spans="2:11" x14ac:dyDescent="0.3">
      <c r="B9" s="2" t="s">
        <v>4</v>
      </c>
      <c r="C9" s="33"/>
      <c r="D9" s="34"/>
      <c r="E9" s="34"/>
      <c r="F9" s="34"/>
      <c r="G9" s="35"/>
    </row>
    <row r="10" spans="2:11" x14ac:dyDescent="0.3">
      <c r="B10" s="2" t="s">
        <v>21</v>
      </c>
      <c r="C10" s="15"/>
      <c r="D10" s="16"/>
      <c r="E10" s="16"/>
      <c r="F10" s="16"/>
      <c r="G10" s="17"/>
    </row>
    <row r="11" spans="2:11" x14ac:dyDescent="0.3">
      <c r="B11" s="11" t="str">
        <f>Dados!B7</f>
        <v>Tipo de demanda</v>
      </c>
      <c r="C11" s="33"/>
      <c r="D11" s="34"/>
      <c r="E11" s="34"/>
      <c r="F11" s="34"/>
      <c r="G11" s="35"/>
    </row>
    <row r="12" spans="2:11" x14ac:dyDescent="0.3">
      <c r="B12" s="11" t="str">
        <f>Dados!C7</f>
        <v>Quantidade de PAs</v>
      </c>
      <c r="C12" s="33"/>
      <c r="D12" s="34"/>
      <c r="E12" s="34"/>
      <c r="F12" s="34"/>
      <c r="G12" s="35"/>
    </row>
    <row r="13" spans="2:11" x14ac:dyDescent="0.3">
      <c r="B13" s="12" t="str">
        <f>Dados!D7</f>
        <v>Áreas de TI envolvidas/Expertise</v>
      </c>
      <c r="C13" s="33"/>
      <c r="D13" s="34"/>
      <c r="E13" s="34"/>
      <c r="F13" s="34"/>
      <c r="G13" s="35"/>
    </row>
    <row r="14" spans="2:11" x14ac:dyDescent="0.3">
      <c r="B14" s="12" t="str">
        <f>Dados!E7</f>
        <v>Infra Plataforma (servidores, etc)</v>
      </c>
      <c r="C14" s="33"/>
      <c r="D14" s="34"/>
      <c r="E14" s="34"/>
      <c r="F14" s="34"/>
      <c r="G14" s="35"/>
    </row>
    <row r="15" spans="2:11" x14ac:dyDescent="0.3">
      <c r="B15" s="12" t="str">
        <f>Dados!F7</f>
        <v>Insumos Telecom (Links, etc)</v>
      </c>
      <c r="C15" s="33"/>
      <c r="D15" s="34"/>
      <c r="E15" s="34"/>
      <c r="F15" s="34"/>
      <c r="G15" s="35"/>
    </row>
    <row r="16" spans="2:11" x14ac:dyDescent="0.3">
      <c r="B16" s="12" t="str">
        <f>Dados!G7</f>
        <v>Licenças Gravação / Discador / Etc</v>
      </c>
      <c r="C16" s="33"/>
      <c r="D16" s="34"/>
      <c r="E16" s="34"/>
      <c r="F16" s="34"/>
      <c r="G16" s="35"/>
    </row>
    <row r="17" spans="2:8" x14ac:dyDescent="0.3">
      <c r="B17" s="12" t="str">
        <f>Dados!H7</f>
        <v>Fornecedores</v>
      </c>
      <c r="C17" s="33"/>
      <c r="D17" s="34"/>
      <c r="E17" s="34"/>
      <c r="F17" s="34"/>
      <c r="G17" s="35"/>
    </row>
    <row r="18" spans="2:8" x14ac:dyDescent="0.3">
      <c r="B18" s="12" t="str">
        <f>Dados!I7</f>
        <v>Outras áreas de apoio</v>
      </c>
      <c r="C18" s="33"/>
      <c r="D18" s="34"/>
      <c r="E18" s="34"/>
      <c r="F18" s="34"/>
      <c r="G18" s="35"/>
    </row>
    <row r="22" spans="2:8" x14ac:dyDescent="0.3">
      <c r="B22" s="2" t="s">
        <v>32</v>
      </c>
      <c r="C22" s="2"/>
      <c r="D22" s="2"/>
    </row>
    <row r="23" spans="2:8" x14ac:dyDescent="0.3">
      <c r="B23" s="8" t="s">
        <v>7</v>
      </c>
      <c r="C23" s="8" t="s">
        <v>6</v>
      </c>
      <c r="D23" s="8" t="s">
        <v>44</v>
      </c>
    </row>
    <row r="24" spans="2:8" x14ac:dyDescent="0.3">
      <c r="B24" s="10" t="str">
        <f>IF($C11&lt;&gt;"",$B11,"")</f>
        <v/>
      </c>
      <c r="C24" s="10" t="str">
        <f>IF($C11&lt;&gt;"",$C11,"")</f>
        <v/>
      </c>
      <c r="D24" s="10" t="str">
        <f>IF($C24&lt;&gt;"",VLOOKUP(CONCATENATE($B24,".",$C24),Dados!$D$38:$G$87,4,FALSE),"")</f>
        <v/>
      </c>
    </row>
    <row r="25" spans="2:8" x14ac:dyDescent="0.3">
      <c r="B25" s="10" t="str">
        <f>IF($C12&lt;&gt;"",$B12,"")</f>
        <v/>
      </c>
      <c r="C25" s="10" t="str">
        <f>IF($C12&lt;&gt;"",$C12,"")</f>
        <v/>
      </c>
      <c r="D25" s="10" t="str">
        <f>IF($C25&lt;&gt;"",VLOOKUP(CONCATENATE($B25,".",$C25),Dados!$D$38:$G$87,4,FALSE),"")</f>
        <v/>
      </c>
    </row>
    <row r="26" spans="2:8" x14ac:dyDescent="0.3">
      <c r="B26" s="10" t="str">
        <f>IF($C13&lt;&gt;"",$B13,"")</f>
        <v/>
      </c>
      <c r="C26" s="10" t="str">
        <f>IF($C13&lt;&gt;"",$C13,"")</f>
        <v/>
      </c>
      <c r="D26" s="10" t="str">
        <f>IF($C26&lt;&gt;"",VLOOKUP(CONCATENATE($B26,".",$C26),Dados!$D$38:$G$87,4,FALSE),"")</f>
        <v/>
      </c>
    </row>
    <row r="27" spans="2:8" ht="18" x14ac:dyDescent="0.35">
      <c r="B27" s="8" t="s">
        <v>33</v>
      </c>
      <c r="C27" s="13" t="str">
        <f>IF(AND(D27&gt;=Dados!B93,D27&lt;=Dados!C93),Dados!D93,IF(AND(D27&gt;=Dados!B92,D27&lt;=Dados!C92),Dados!D92,IF(AND(D27&gt;=Dados!B91,D27&lt;=Dados!C91),Dados!D91,"")))</f>
        <v/>
      </c>
      <c r="D27" s="23">
        <f>IFERROR(SUM(D24:D26),"")</f>
        <v>0</v>
      </c>
      <c r="E27" s="24"/>
      <c r="F27" s="24"/>
      <c r="G27" s="24"/>
      <c r="H27" s="24"/>
    </row>
    <row r="28" spans="2:8" x14ac:dyDescent="0.3">
      <c r="E28" s="24"/>
      <c r="F28" s="24"/>
      <c r="G28" s="24"/>
      <c r="H28" s="24"/>
    </row>
    <row r="29" spans="2:8" x14ac:dyDescent="0.3">
      <c r="B29" s="2" t="s">
        <v>34</v>
      </c>
      <c r="C29" s="2"/>
      <c r="D29" s="2"/>
      <c r="E29" s="25"/>
      <c r="F29" s="25"/>
      <c r="G29" s="25"/>
      <c r="H29" s="25"/>
    </row>
    <row r="30" spans="2:8" x14ac:dyDescent="0.3">
      <c r="B30" s="8" t="s">
        <v>7</v>
      </c>
      <c r="C30" s="8" t="s">
        <v>6</v>
      </c>
      <c r="D30" s="23" t="s">
        <v>44</v>
      </c>
      <c r="E30" s="26"/>
      <c r="F30" s="26"/>
      <c r="G30" s="26"/>
      <c r="H30" s="26"/>
    </row>
    <row r="31" spans="2:8" x14ac:dyDescent="0.3">
      <c r="B31" s="10" t="str">
        <f>IF($C14&lt;&gt;"",$B14,"")</f>
        <v/>
      </c>
      <c r="C31" s="10" t="str">
        <f>IF($C14&lt;&gt;"",$C14,"")</f>
        <v/>
      </c>
      <c r="D31" s="10" t="str">
        <f>IF($C31&lt;&gt;"",VLOOKUP(CONCATENATE($B31,".",$C31),Dados!$D$38:$G$88,4,FALSE),"")</f>
        <v/>
      </c>
      <c r="E31" s="27"/>
      <c r="F31" s="27"/>
      <c r="G31" s="27"/>
      <c r="H31" s="27"/>
    </row>
    <row r="32" spans="2:8" x14ac:dyDescent="0.3">
      <c r="B32" s="10" t="str">
        <f>IF($C15&lt;&gt;"",$B15,"")</f>
        <v/>
      </c>
      <c r="C32" s="10" t="str">
        <f>IF($C15&lt;&gt;"",$C15,"")</f>
        <v/>
      </c>
      <c r="D32" s="10" t="str">
        <f>IF($C32&lt;&gt;"",VLOOKUP(CONCATENATE($B32,".",$C32),Dados!$D$38:$G$88,4,FALSE),"")</f>
        <v/>
      </c>
      <c r="E32" s="27"/>
      <c r="F32" s="27"/>
      <c r="G32" s="27"/>
      <c r="H32" s="27"/>
    </row>
    <row r="33" spans="2:8" x14ac:dyDescent="0.3">
      <c r="B33" s="10" t="str">
        <f>IF($C16&lt;&gt;"",$B16,"")</f>
        <v/>
      </c>
      <c r="C33" s="10" t="str">
        <f>IF($C16&lt;&gt;"",$C16,"")</f>
        <v/>
      </c>
      <c r="D33" s="10" t="str">
        <f>IF($C33&lt;&gt;"",VLOOKUP(CONCATENATE($B33,".",$C33),Dados!$D$38:$G$88,4,FALSE),"")</f>
        <v/>
      </c>
      <c r="E33" s="27"/>
      <c r="F33" s="27"/>
      <c r="G33" s="27"/>
      <c r="H33" s="27"/>
    </row>
    <row r="34" spans="2:8" x14ac:dyDescent="0.3">
      <c r="B34" s="10" t="str">
        <f t="shared" ref="B34:B35" si="0">IF($C17&lt;&gt;"",$B17,"")</f>
        <v/>
      </c>
      <c r="C34" s="10" t="str">
        <f>IF($C17&lt;&gt;"",$C17,"")</f>
        <v/>
      </c>
      <c r="D34" s="10" t="str">
        <f>IF($C34&lt;&gt;"",VLOOKUP(CONCATENATE($B34,".",$C34),Dados!$D$38:$G$88,4,FALSE),"")</f>
        <v/>
      </c>
      <c r="E34" s="27"/>
      <c r="F34" s="27"/>
      <c r="G34" s="27"/>
      <c r="H34" s="27"/>
    </row>
    <row r="35" spans="2:8" x14ac:dyDescent="0.3">
      <c r="B35" s="10" t="str">
        <f t="shared" si="0"/>
        <v/>
      </c>
      <c r="C35" s="10" t="str">
        <f>IF($C18&lt;&gt;"",$C18,"")</f>
        <v/>
      </c>
      <c r="D35" s="10" t="str">
        <f>IF($C35&lt;&gt;"",VLOOKUP(CONCATENATE($B35,".",$C35),Dados!$D$38:$G$88,4,FALSE),"")</f>
        <v/>
      </c>
      <c r="E35" s="27"/>
      <c r="F35" s="27"/>
      <c r="G35" s="27"/>
      <c r="H35" s="27"/>
    </row>
    <row r="36" spans="2:8" ht="18" x14ac:dyDescent="0.35">
      <c r="B36" s="8" t="s">
        <v>35</v>
      </c>
      <c r="C36" s="13" t="str">
        <f>IF(AND(D36&gt;=Dados!B99,D36&lt;=Dados!C99),Dados!D99,IF(AND(D36&gt;=Dados!B98,D36&lt;=Dados!C98),Dados!D98,IF(AND(D36&gt;=Dados!B97,D36&lt;=Dados!C97),Dados!D97,"")))</f>
        <v/>
      </c>
      <c r="D36" s="23">
        <f>IFERROR(SUM(D31:D34),"")</f>
        <v>0</v>
      </c>
      <c r="E36" s="26"/>
      <c r="F36" s="26"/>
      <c r="G36" s="26"/>
      <c r="H36" s="26"/>
    </row>
    <row r="37" spans="2:8" x14ac:dyDescent="0.3">
      <c r="E37" s="24"/>
      <c r="F37" s="24"/>
      <c r="G37" s="24"/>
      <c r="H37" s="24"/>
    </row>
    <row r="38" spans="2:8" x14ac:dyDescent="0.3">
      <c r="E38" s="24"/>
      <c r="F38" s="24"/>
      <c r="G38" s="24"/>
      <c r="H38" s="24"/>
    </row>
    <row r="39" spans="2:8" ht="18" x14ac:dyDescent="0.35">
      <c r="B39" s="8" t="s">
        <v>56</v>
      </c>
      <c r="C39" s="13" t="str">
        <f>IF(AND((D27*D36)&lt;=Dados!C103,(D27*D36)&gt;=Dados!B103),Dados!D103,IF(AND(('Matriz de Prioridade'!D27*'Matriz de Prioridade'!D36)&gt;=Dados!B104,('Matriz de Prioridade'!D27*'Matriz de Prioridade'!D36)&lt;=Dados!C104),Dados!D104,IF(AND(('Matriz de Prioridade'!D27*'Matriz de Prioridade'!D36)&gt;=Dados!B105,('Matriz de Prioridade'!D27*'Matriz de Prioridade'!D36)&lt;=Dados!C105),Dados!D105,"")))</f>
        <v/>
      </c>
      <c r="D39" s="8">
        <f>D27*D36</f>
        <v>0</v>
      </c>
    </row>
  </sheetData>
  <mergeCells count="12">
    <mergeCell ref="C16:G16"/>
    <mergeCell ref="C17:G17"/>
    <mergeCell ref="C18:G18"/>
    <mergeCell ref="C11:G11"/>
    <mergeCell ref="C6:G6"/>
    <mergeCell ref="C7:G7"/>
    <mergeCell ref="C8:G8"/>
    <mergeCell ref="C9:G9"/>
    <mergeCell ref="C14:G14"/>
    <mergeCell ref="C12:G12"/>
    <mergeCell ref="C13:G13"/>
    <mergeCell ref="C15:G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equal" id="{86A9A341-FFDB-45CB-83F6-748D5675FB0A}">
            <xm:f>Dados!$D$93</xm:f>
            <x14:dxf>
              <font>
                <b/>
                <i val="0"/>
                <color rgb="FFFF0000"/>
              </font>
            </x14:dxf>
          </x14:cfRule>
          <x14:cfRule type="cellIs" priority="12" operator="equal" id="{543CC3A2-F7CE-44A9-B75D-313DBB3DFC92}">
            <xm:f>Dados!$D$92</xm:f>
            <x14:dxf>
              <font>
                <b/>
                <i val="0"/>
                <color rgb="FFFFFF00"/>
              </font>
            </x14:dxf>
          </x14:cfRule>
          <x14:cfRule type="cellIs" priority="13" operator="equal" id="{C0FE3FA2-B626-4D15-B52F-C42144CA51D3}">
            <xm:f>Dados!$D$91</xm:f>
            <x14:dxf>
              <font>
                <b/>
                <i val="0"/>
                <color rgb="FF00B050"/>
              </font>
            </x14:dxf>
          </x14:cfRule>
          <xm:sqref>C27</xm:sqref>
        </x14:conditionalFormatting>
        <x14:conditionalFormatting xmlns:xm="http://schemas.microsoft.com/office/excel/2006/main">
          <x14:cfRule type="cellIs" priority="14" operator="equal" id="{E079FB23-A587-41CC-816E-8CCC687F5EA5}">
            <xm:f>Dados!$D$97</xm:f>
            <x14:dxf>
              <font>
                <b/>
                <i val="0"/>
                <color rgb="FF00B050"/>
              </font>
            </x14:dxf>
          </x14:cfRule>
          <x14:cfRule type="cellIs" priority="15" operator="equal" id="{88C60D98-65A3-4D31-AA34-88DA262AECFC}">
            <xm:f>Dados!$D$98</xm:f>
            <x14:dxf>
              <font>
                <b/>
                <i val="0"/>
                <color rgb="FFFFFF00"/>
              </font>
            </x14:dxf>
          </x14:cfRule>
          <x14:cfRule type="cellIs" priority="16" operator="equal" id="{32438FA6-096B-4E63-8412-E8278413178E}">
            <xm:f>Dados!$D$99</xm:f>
            <x14:dxf>
              <font>
                <b/>
                <i val="0"/>
                <color rgb="FFFF0000"/>
              </font>
            </x14:dxf>
          </x14:cfRule>
          <xm:sqref>C36</xm:sqref>
        </x14:conditionalFormatting>
        <x14:conditionalFormatting xmlns:xm="http://schemas.microsoft.com/office/excel/2006/main">
          <x14:cfRule type="cellIs" priority="1" operator="equal" id="{7FE7A87D-4D63-4B6A-A238-B724175380B9}">
            <xm:f>Dados!$D$97</xm:f>
            <x14:dxf>
              <font>
                <b/>
                <i val="0"/>
                <color rgb="FF00B050"/>
              </font>
            </x14:dxf>
          </x14:cfRule>
          <x14:cfRule type="cellIs" priority="2" operator="equal" id="{1222846B-055A-46C9-88EC-C0641BA569FE}">
            <xm:f>Dados!$D$98</xm:f>
            <x14:dxf>
              <font>
                <b/>
                <i val="0"/>
                <color rgb="FFFFFF00"/>
              </font>
            </x14:dxf>
          </x14:cfRule>
          <x14:cfRule type="cellIs" priority="3" operator="equal" id="{D13A1FBD-F1E2-4035-8187-4DDB7C7E2CB5}">
            <xm:f>Dados!$D$99</xm:f>
            <x14:dxf>
              <font>
                <b/>
                <i val="0"/>
                <color rgb="FFFF0000"/>
              </font>
            </x14:dxf>
          </x14:cfRule>
          <xm:sqref>C39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Dados!$B$8:$B$13</xm:f>
          </x14:formula1>
          <xm:sqref>C11:G11</xm:sqref>
        </x14:dataValidation>
        <x14:dataValidation type="list" allowBlank="1" showInputMessage="1" showErrorMessage="1">
          <x14:formula1>
            <xm:f>Dados!$C$8:$C$11</xm:f>
          </x14:formula1>
          <xm:sqref>C12:G12</xm:sqref>
        </x14:dataValidation>
        <x14:dataValidation type="list" allowBlank="1" showInputMessage="1" showErrorMessage="1">
          <x14:formula1>
            <xm:f>Dados!$D$8:$D$11</xm:f>
          </x14:formula1>
          <xm:sqref>C13:G13</xm:sqref>
        </x14:dataValidation>
        <x14:dataValidation type="list" allowBlank="1" showInputMessage="1" showErrorMessage="1">
          <x14:formula1>
            <xm:f>Dados!$E$8:$E$12</xm:f>
          </x14:formula1>
          <xm:sqref>C14:G14</xm:sqref>
        </x14:dataValidation>
        <x14:dataValidation type="list" allowBlank="1" showInputMessage="1" showErrorMessage="1">
          <x14:formula1>
            <xm:f>Dados!$F$8:$F$12</xm:f>
          </x14:formula1>
          <xm:sqref>C15:G15</xm:sqref>
        </x14:dataValidation>
        <x14:dataValidation type="list" allowBlank="1" showInputMessage="1" showErrorMessage="1">
          <x14:formula1>
            <xm:f>Dados!$G$8:$G$12</xm:f>
          </x14:formula1>
          <xm:sqref>C16:G16</xm:sqref>
        </x14:dataValidation>
        <x14:dataValidation type="list" allowBlank="1" showInputMessage="1" showErrorMessage="1">
          <x14:formula1>
            <xm:f>Dados!$H$8:$H$12</xm:f>
          </x14:formula1>
          <xm:sqref>C17:G17</xm:sqref>
        </x14:dataValidation>
        <x14:dataValidation type="list" allowBlank="1" showInputMessage="1" showErrorMessage="1">
          <x14:formula1>
            <xm:f>Dados!$I$8:$I$11</xm:f>
          </x14:formula1>
          <xm:sqref>C18:G18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105"/>
  <sheetViews>
    <sheetView showGridLines="0" topLeftCell="A82" zoomScale="80" zoomScaleNormal="80" workbookViewId="0">
      <selection activeCell="C103" sqref="C103"/>
    </sheetView>
  </sheetViews>
  <sheetFormatPr defaultRowHeight="15" x14ac:dyDescent="0.3"/>
  <cols>
    <col min="1" max="1" width="7.85546875" style="1" customWidth="1"/>
    <col min="2" max="2" width="31.42578125" style="1" bestFit="1" customWidth="1"/>
    <col min="3" max="3" width="49.42578125" style="1" bestFit="1" customWidth="1"/>
    <col min="4" max="4" width="64.28515625" style="1" bestFit="1" customWidth="1"/>
    <col min="5" max="5" width="39.28515625" style="1" bestFit="1" customWidth="1"/>
    <col min="6" max="6" width="20.140625" style="1" bestFit="1" customWidth="1"/>
    <col min="7" max="7" width="49.42578125" style="1" bestFit="1" customWidth="1"/>
    <col min="8" max="10" width="49.42578125" style="1" customWidth="1"/>
    <col min="11" max="16384" width="9.140625" style="1"/>
  </cols>
  <sheetData>
    <row r="6" spans="2:10" ht="18" x14ac:dyDescent="0.35">
      <c r="B6" s="5" t="s">
        <v>7</v>
      </c>
      <c r="C6" s="3"/>
      <c r="D6" s="3"/>
      <c r="E6" s="3"/>
      <c r="F6" s="3"/>
      <c r="G6" s="3"/>
      <c r="H6" s="3"/>
      <c r="I6" s="3"/>
      <c r="J6" s="3"/>
    </row>
    <row r="7" spans="2:10" x14ac:dyDescent="0.3">
      <c r="B7" s="8" t="s">
        <v>3</v>
      </c>
      <c r="C7" s="8" t="s">
        <v>21</v>
      </c>
      <c r="D7" s="8" t="s">
        <v>42</v>
      </c>
      <c r="E7" s="8" t="s">
        <v>57</v>
      </c>
      <c r="F7" s="8" t="s">
        <v>58</v>
      </c>
      <c r="G7" s="8" t="s">
        <v>59</v>
      </c>
      <c r="H7" s="8" t="s">
        <v>43</v>
      </c>
      <c r="I7" s="8" t="s">
        <v>50</v>
      </c>
      <c r="J7" s="8"/>
    </row>
    <row r="8" spans="2:10" s="4" customFormat="1" x14ac:dyDescent="0.3">
      <c r="B8" s="7" t="s">
        <v>45</v>
      </c>
      <c r="C8" s="7" t="s">
        <v>9</v>
      </c>
      <c r="D8" s="7">
        <v>1</v>
      </c>
      <c r="E8" s="7" t="s">
        <v>36</v>
      </c>
      <c r="F8" s="7" t="s">
        <v>36</v>
      </c>
      <c r="G8" s="7" t="s">
        <v>36</v>
      </c>
      <c r="H8" s="7" t="s">
        <v>27</v>
      </c>
      <c r="I8" s="7">
        <v>1</v>
      </c>
      <c r="J8" s="7"/>
    </row>
    <row r="9" spans="2:10" s="4" customFormat="1" x14ac:dyDescent="0.3">
      <c r="B9" s="7" t="s">
        <v>46</v>
      </c>
      <c r="C9" s="7" t="s">
        <v>10</v>
      </c>
      <c r="D9" s="7">
        <v>2</v>
      </c>
      <c r="E9" s="7" t="s">
        <v>37</v>
      </c>
      <c r="F9" s="7" t="s">
        <v>37</v>
      </c>
      <c r="G9" s="7" t="s">
        <v>37</v>
      </c>
      <c r="H9" s="7" t="s">
        <v>52</v>
      </c>
      <c r="I9" s="7">
        <v>2</v>
      </c>
      <c r="J9" s="7"/>
    </row>
    <row r="10" spans="2:10" s="4" customFormat="1" x14ac:dyDescent="0.3">
      <c r="B10" s="7" t="s">
        <v>8</v>
      </c>
      <c r="C10" s="7" t="s">
        <v>11</v>
      </c>
      <c r="D10" s="7">
        <v>3</v>
      </c>
      <c r="E10" s="7" t="s">
        <v>38</v>
      </c>
      <c r="F10" s="7" t="s">
        <v>38</v>
      </c>
      <c r="G10" s="7" t="s">
        <v>38</v>
      </c>
      <c r="H10" s="7" t="s">
        <v>53</v>
      </c>
      <c r="I10" s="7">
        <v>3</v>
      </c>
      <c r="J10" s="7"/>
    </row>
    <row r="11" spans="2:10" s="4" customFormat="1" x14ac:dyDescent="0.3">
      <c r="B11" s="7" t="s">
        <v>47</v>
      </c>
      <c r="C11" s="7" t="s">
        <v>12</v>
      </c>
      <c r="D11" s="7" t="s">
        <v>28</v>
      </c>
      <c r="E11" s="7" t="s">
        <v>39</v>
      </c>
      <c r="F11" s="7" t="s">
        <v>39</v>
      </c>
      <c r="G11" s="7" t="s">
        <v>39</v>
      </c>
      <c r="H11" s="7" t="s">
        <v>54</v>
      </c>
      <c r="I11" s="7" t="s">
        <v>51</v>
      </c>
      <c r="J11" s="7"/>
    </row>
    <row r="12" spans="2:10" s="4" customFormat="1" x14ac:dyDescent="0.3">
      <c r="B12" s="7" t="s">
        <v>48</v>
      </c>
      <c r="C12" s="7"/>
      <c r="D12" s="7"/>
      <c r="E12" s="7" t="s">
        <v>40</v>
      </c>
      <c r="F12" s="7" t="s">
        <v>40</v>
      </c>
      <c r="G12" s="7" t="s">
        <v>40</v>
      </c>
      <c r="H12" s="7" t="s">
        <v>55</v>
      </c>
      <c r="I12" s="7"/>
      <c r="J12" s="7"/>
    </row>
    <row r="13" spans="2:10" s="4" customFormat="1" x14ac:dyDescent="0.3">
      <c r="B13" s="7" t="s">
        <v>49</v>
      </c>
      <c r="C13" s="7"/>
      <c r="D13" s="7"/>
      <c r="E13" s="7"/>
      <c r="F13" s="7"/>
      <c r="G13" s="7"/>
      <c r="H13" s="7"/>
      <c r="I13" s="7"/>
      <c r="J13" s="7"/>
    </row>
    <row r="14" spans="2:10" s="4" customFormat="1" x14ac:dyDescent="0.3">
      <c r="B14" s="7"/>
      <c r="C14" s="7"/>
      <c r="D14" s="7"/>
      <c r="E14" s="7"/>
      <c r="F14" s="7"/>
      <c r="G14" s="7"/>
      <c r="H14" s="7"/>
      <c r="I14" s="7"/>
      <c r="J14" s="7"/>
    </row>
    <row r="15" spans="2:10" s="4" customFormat="1" x14ac:dyDescent="0.3">
      <c r="B15" s="7"/>
      <c r="C15" s="7"/>
      <c r="D15" s="7"/>
      <c r="E15" s="7"/>
      <c r="F15" s="7"/>
      <c r="G15" s="7"/>
      <c r="H15" s="7"/>
      <c r="I15" s="7"/>
      <c r="J15" s="7"/>
    </row>
    <row r="16" spans="2:10" s="4" customFormat="1" x14ac:dyDescent="0.3">
      <c r="B16" s="7"/>
      <c r="C16" s="7"/>
      <c r="D16" s="7"/>
      <c r="E16" s="7"/>
      <c r="F16" s="7"/>
      <c r="G16" s="7"/>
      <c r="H16" s="7"/>
      <c r="I16" s="7"/>
      <c r="J16" s="7"/>
    </row>
    <row r="17" spans="2:10" s="4" customFormat="1" x14ac:dyDescent="0.3">
      <c r="B17" s="7"/>
      <c r="C17" s="7"/>
      <c r="D17" s="7"/>
      <c r="E17" s="7"/>
      <c r="F17" s="7"/>
      <c r="G17" s="7"/>
      <c r="H17" s="7"/>
      <c r="I17" s="7"/>
      <c r="J17" s="7"/>
    </row>
    <row r="18" spans="2:10" s="4" customFormat="1" x14ac:dyDescent="0.3">
      <c r="B18" s="7"/>
      <c r="C18" s="7"/>
      <c r="D18" s="7"/>
      <c r="E18" s="7"/>
      <c r="F18" s="7"/>
      <c r="G18" s="7"/>
      <c r="H18" s="7"/>
      <c r="I18" s="7"/>
      <c r="J18" s="7"/>
    </row>
    <row r="19" spans="2:10" s="4" customFormat="1" x14ac:dyDescent="0.3">
      <c r="B19" s="7"/>
      <c r="C19" s="14"/>
      <c r="D19" s="7"/>
      <c r="E19" s="7"/>
      <c r="F19" s="7"/>
      <c r="G19" s="7"/>
      <c r="H19" s="7"/>
      <c r="I19" s="7"/>
      <c r="J19" s="7"/>
    </row>
    <row r="20" spans="2:10" s="4" customFormat="1" x14ac:dyDescent="0.3">
      <c r="B20" s="7"/>
      <c r="C20" s="7"/>
      <c r="D20" s="7"/>
      <c r="E20" s="7"/>
      <c r="F20" s="7"/>
      <c r="G20" s="7"/>
      <c r="H20" s="7"/>
      <c r="I20" s="7"/>
      <c r="J20" s="7"/>
    </row>
    <row r="21" spans="2:10" s="4" customFormat="1" x14ac:dyDescent="0.3">
      <c r="B21" s="7"/>
      <c r="C21" s="7"/>
      <c r="D21" s="7"/>
      <c r="E21" s="7"/>
      <c r="F21" s="7"/>
      <c r="G21" s="7"/>
      <c r="H21" s="7"/>
      <c r="I21" s="7"/>
      <c r="J21" s="7"/>
    </row>
    <row r="22" spans="2:10" s="4" customFormat="1" x14ac:dyDescent="0.3">
      <c r="B22" s="7"/>
      <c r="C22" s="7"/>
      <c r="D22" s="7"/>
      <c r="E22" s="7"/>
      <c r="F22" s="7"/>
      <c r="G22" s="7"/>
      <c r="H22" s="7"/>
      <c r="I22" s="7"/>
      <c r="J22" s="7"/>
    </row>
    <row r="23" spans="2:10" s="4" customFormat="1" x14ac:dyDescent="0.3">
      <c r="B23" s="7"/>
      <c r="C23" s="7"/>
      <c r="D23" s="7"/>
      <c r="E23" s="7"/>
      <c r="F23" s="7"/>
      <c r="G23" s="7"/>
      <c r="H23" s="7"/>
      <c r="I23" s="7"/>
      <c r="J23" s="7"/>
    </row>
    <row r="24" spans="2:10" s="4" customFormat="1" x14ac:dyDescent="0.3">
      <c r="B24" s="7"/>
      <c r="C24" s="7"/>
      <c r="D24" s="7"/>
      <c r="E24" s="7"/>
      <c r="F24" s="7"/>
      <c r="G24" s="7"/>
      <c r="H24" s="7"/>
      <c r="I24" s="7"/>
      <c r="J24" s="7"/>
    </row>
    <row r="25" spans="2:10" s="4" customFormat="1" x14ac:dyDescent="0.3">
      <c r="B25" s="7"/>
      <c r="C25" s="7"/>
      <c r="D25" s="7"/>
      <c r="E25" s="7"/>
      <c r="F25" s="7"/>
      <c r="G25" s="7"/>
      <c r="H25" s="7"/>
      <c r="I25" s="7"/>
      <c r="J25" s="7"/>
    </row>
    <row r="26" spans="2:10" s="4" customFormat="1" x14ac:dyDescent="0.3">
      <c r="B26" s="7"/>
      <c r="C26" s="7"/>
      <c r="D26" s="7"/>
      <c r="E26" s="7"/>
      <c r="F26" s="7"/>
      <c r="G26" s="7"/>
      <c r="H26" s="7"/>
      <c r="I26" s="7"/>
      <c r="J26" s="7"/>
    </row>
    <row r="27" spans="2:10" s="4" customFormat="1" x14ac:dyDescent="0.3">
      <c r="B27" s="7"/>
      <c r="C27" s="7"/>
      <c r="D27" s="7"/>
      <c r="E27" s="7"/>
      <c r="F27" s="7"/>
      <c r="G27" s="7"/>
      <c r="H27" s="7"/>
      <c r="I27" s="7"/>
      <c r="J27" s="7"/>
    </row>
    <row r="28" spans="2:10" s="4" customFormat="1" x14ac:dyDescent="0.3"/>
    <row r="29" spans="2:10" ht="18" x14ac:dyDescent="0.35">
      <c r="B29" s="5" t="s">
        <v>41</v>
      </c>
      <c r="C29" s="9"/>
      <c r="E29" s="18"/>
      <c r="F29" s="19"/>
    </row>
    <row r="30" spans="2:10" x14ac:dyDescent="0.3">
      <c r="B30" s="8" t="s">
        <v>13</v>
      </c>
      <c r="C30" s="8" t="s">
        <v>5</v>
      </c>
      <c r="E30" s="20"/>
      <c r="F30" s="20"/>
    </row>
    <row r="31" spans="2:10" x14ac:dyDescent="0.3">
      <c r="B31" s="10">
        <v>5</v>
      </c>
      <c r="C31" s="10" t="s">
        <v>18</v>
      </c>
      <c r="E31" s="19"/>
      <c r="F31" s="19"/>
    </row>
    <row r="32" spans="2:10" x14ac:dyDescent="0.3">
      <c r="B32" s="10">
        <v>4</v>
      </c>
      <c r="C32" s="10" t="s">
        <v>17</v>
      </c>
      <c r="E32" s="19"/>
      <c r="F32" s="19"/>
    </row>
    <row r="33" spans="2:7" x14ac:dyDescent="0.3">
      <c r="B33" s="10">
        <v>3</v>
      </c>
      <c r="C33" s="10" t="s">
        <v>16</v>
      </c>
      <c r="E33" s="19"/>
      <c r="F33" s="19"/>
    </row>
    <row r="34" spans="2:7" x14ac:dyDescent="0.3">
      <c r="B34" s="10">
        <v>2</v>
      </c>
      <c r="C34" s="10" t="s">
        <v>15</v>
      </c>
      <c r="E34" s="19"/>
      <c r="F34" s="19"/>
    </row>
    <row r="35" spans="2:7" x14ac:dyDescent="0.3">
      <c r="B35" s="10">
        <v>1</v>
      </c>
      <c r="C35" s="10" t="s">
        <v>14</v>
      </c>
      <c r="E35" s="19"/>
      <c r="F35" s="19"/>
    </row>
    <row r="37" spans="2:7" ht="18" x14ac:dyDescent="0.35">
      <c r="B37" s="5" t="s">
        <v>19</v>
      </c>
      <c r="C37" s="9"/>
      <c r="D37" s="9"/>
      <c r="E37" s="9"/>
      <c r="F37" s="9"/>
      <c r="G37" s="9"/>
    </row>
    <row r="38" spans="2:7" x14ac:dyDescent="0.3">
      <c r="B38" s="8" t="s">
        <v>7</v>
      </c>
      <c r="C38" s="8" t="s">
        <v>20</v>
      </c>
      <c r="D38" s="8" t="s">
        <v>22</v>
      </c>
      <c r="E38" s="8" t="s">
        <v>5</v>
      </c>
      <c r="F38" s="8" t="s">
        <v>29</v>
      </c>
      <c r="G38" s="8" t="s">
        <v>13</v>
      </c>
    </row>
    <row r="39" spans="2:7" x14ac:dyDescent="0.3">
      <c r="B39" s="10" t="str">
        <f>$B$7</f>
        <v>Tipo de demanda</v>
      </c>
      <c r="C39" s="7" t="str">
        <f>B8</f>
        <v>Implantação</v>
      </c>
      <c r="D39" s="7" t="str">
        <f t="shared" ref="D39:D62" si="0">CONCATENATE(B39,".",C39)</f>
        <v>Tipo de demanda.Implantação</v>
      </c>
      <c r="E39" s="10">
        <v>3</v>
      </c>
      <c r="F39" s="10">
        <v>1</v>
      </c>
      <c r="G39" s="10">
        <f t="shared" ref="G39:G62" si="1">E39*F39</f>
        <v>3</v>
      </c>
    </row>
    <row r="40" spans="2:7" x14ac:dyDescent="0.3">
      <c r="B40" s="10" t="str">
        <f t="shared" ref="B40:B44" si="2">$B$7</f>
        <v>Tipo de demanda</v>
      </c>
      <c r="C40" s="7" t="str">
        <f t="shared" ref="C40:C44" si="3">B9</f>
        <v>Infraestrutura</v>
      </c>
      <c r="D40" s="7" t="str">
        <f t="shared" si="0"/>
        <v>Tipo de demanda.Infraestrutura</v>
      </c>
      <c r="E40" s="10">
        <v>2</v>
      </c>
      <c r="F40" s="10">
        <v>1</v>
      </c>
      <c r="G40" s="10">
        <f t="shared" si="1"/>
        <v>2</v>
      </c>
    </row>
    <row r="41" spans="2:7" x14ac:dyDescent="0.3">
      <c r="B41" s="10" t="str">
        <f t="shared" si="2"/>
        <v>Tipo de demanda</v>
      </c>
      <c r="C41" s="7" t="str">
        <f t="shared" si="3"/>
        <v>Desenvolvimento</v>
      </c>
      <c r="D41" s="7" t="str">
        <f t="shared" si="0"/>
        <v>Tipo de demanda.Desenvolvimento</v>
      </c>
      <c r="E41" s="10">
        <v>5</v>
      </c>
      <c r="F41" s="10">
        <v>1</v>
      </c>
      <c r="G41" s="10">
        <f t="shared" si="1"/>
        <v>5</v>
      </c>
    </row>
    <row r="42" spans="2:7" x14ac:dyDescent="0.3">
      <c r="B42" s="10" t="str">
        <f t="shared" si="2"/>
        <v>Tipo de demanda</v>
      </c>
      <c r="C42" s="7" t="str">
        <f t="shared" si="3"/>
        <v>RTI</v>
      </c>
      <c r="D42" s="7" t="str">
        <f t="shared" si="0"/>
        <v>Tipo de demanda.RTI</v>
      </c>
      <c r="E42" s="10">
        <v>4</v>
      </c>
      <c r="F42" s="10">
        <v>1</v>
      </c>
      <c r="G42" s="10">
        <f t="shared" si="1"/>
        <v>4</v>
      </c>
    </row>
    <row r="43" spans="2:7" x14ac:dyDescent="0.3">
      <c r="B43" s="10" t="str">
        <f t="shared" si="2"/>
        <v>Tipo de demanda</v>
      </c>
      <c r="C43" s="7" t="str">
        <f t="shared" si="3"/>
        <v>Upgrade</v>
      </c>
      <c r="D43" s="7" t="str">
        <f t="shared" si="0"/>
        <v>Tipo de demanda.Upgrade</v>
      </c>
      <c r="E43" s="10">
        <v>1</v>
      </c>
      <c r="F43" s="10">
        <v>1</v>
      </c>
      <c r="G43" s="10">
        <f t="shared" si="1"/>
        <v>1</v>
      </c>
    </row>
    <row r="44" spans="2:7" x14ac:dyDescent="0.3">
      <c r="B44" s="10" t="str">
        <f t="shared" si="2"/>
        <v>Tipo de demanda</v>
      </c>
      <c r="C44" s="7" t="str">
        <f t="shared" si="3"/>
        <v>URA</v>
      </c>
      <c r="D44" s="7" t="str">
        <f t="shared" si="0"/>
        <v>Tipo de demanda.URA</v>
      </c>
      <c r="E44" s="10">
        <v>2</v>
      </c>
      <c r="F44" s="10">
        <v>1</v>
      </c>
      <c r="G44" s="10">
        <f t="shared" si="1"/>
        <v>2</v>
      </c>
    </row>
    <row r="45" spans="2:7" x14ac:dyDescent="0.3">
      <c r="B45" s="10" t="str">
        <f>$C$7</f>
        <v>Quantidade de PAs</v>
      </c>
      <c r="C45" s="7" t="str">
        <f>C8</f>
        <v>Até 10 PAs</v>
      </c>
      <c r="D45" s="7" t="str">
        <f t="shared" si="0"/>
        <v>Quantidade de PAs.Até 10 PAs</v>
      </c>
      <c r="E45" s="10">
        <v>1</v>
      </c>
      <c r="F45" s="10">
        <v>1</v>
      </c>
      <c r="G45" s="10">
        <f t="shared" si="1"/>
        <v>1</v>
      </c>
    </row>
    <row r="46" spans="2:7" x14ac:dyDescent="0.3">
      <c r="B46" s="10" t="str">
        <f t="shared" ref="B46:B48" si="4">$C$7</f>
        <v>Quantidade de PAs</v>
      </c>
      <c r="C46" s="7" t="str">
        <f t="shared" ref="C46:C48" si="5">C9</f>
        <v>de 10 a 50 PAs</v>
      </c>
      <c r="D46" s="7" t="str">
        <f t="shared" si="0"/>
        <v>Quantidade de PAs.de 10 a 50 PAs</v>
      </c>
      <c r="E46" s="10">
        <v>2</v>
      </c>
      <c r="F46" s="10">
        <v>1</v>
      </c>
      <c r="G46" s="10">
        <f t="shared" si="1"/>
        <v>2</v>
      </c>
    </row>
    <row r="47" spans="2:7" x14ac:dyDescent="0.3">
      <c r="B47" s="10" t="str">
        <f t="shared" si="4"/>
        <v>Quantidade de PAs</v>
      </c>
      <c r="C47" s="7" t="str">
        <f t="shared" si="5"/>
        <v>De 51 a 100 PAs</v>
      </c>
      <c r="D47" s="7" t="str">
        <f t="shared" si="0"/>
        <v>Quantidade de PAs.De 51 a 100 PAs</v>
      </c>
      <c r="E47" s="10">
        <v>3</v>
      </c>
      <c r="F47" s="10">
        <v>1</v>
      </c>
      <c r="G47" s="10">
        <f t="shared" si="1"/>
        <v>3</v>
      </c>
    </row>
    <row r="48" spans="2:7" x14ac:dyDescent="0.3">
      <c r="B48" s="10" t="str">
        <f t="shared" si="4"/>
        <v>Quantidade de PAs</v>
      </c>
      <c r="C48" s="7" t="str">
        <f t="shared" si="5"/>
        <v>Mais de 100 PAs</v>
      </c>
      <c r="D48" s="7" t="str">
        <f t="shared" si="0"/>
        <v>Quantidade de PAs.Mais de 100 PAs</v>
      </c>
      <c r="E48" s="10">
        <v>4</v>
      </c>
      <c r="F48" s="10">
        <v>1</v>
      </c>
      <c r="G48" s="10">
        <f t="shared" si="1"/>
        <v>4</v>
      </c>
    </row>
    <row r="49" spans="2:7" x14ac:dyDescent="0.3">
      <c r="B49" s="10" t="str">
        <f>$D$7</f>
        <v>Áreas de TI envolvidas/Expertise</v>
      </c>
      <c r="C49" s="7">
        <f>D8</f>
        <v>1</v>
      </c>
      <c r="D49" s="7" t="str">
        <f t="shared" si="0"/>
        <v>Áreas de TI envolvidas/Expertise.1</v>
      </c>
      <c r="E49" s="10">
        <v>2</v>
      </c>
      <c r="F49" s="10">
        <v>1</v>
      </c>
      <c r="G49" s="10">
        <f t="shared" si="1"/>
        <v>2</v>
      </c>
    </row>
    <row r="50" spans="2:7" x14ac:dyDescent="0.3">
      <c r="B50" s="10" t="str">
        <f t="shared" ref="B50:B52" si="6">$D$7</f>
        <v>Áreas de TI envolvidas/Expertise</v>
      </c>
      <c r="C50" s="7">
        <f t="shared" ref="C50:C52" si="7">D9</f>
        <v>2</v>
      </c>
      <c r="D50" s="7" t="str">
        <f t="shared" si="0"/>
        <v>Áreas de TI envolvidas/Expertise.2</v>
      </c>
      <c r="E50" s="10">
        <v>3</v>
      </c>
      <c r="F50" s="10">
        <v>1</v>
      </c>
      <c r="G50" s="10">
        <f t="shared" si="1"/>
        <v>3</v>
      </c>
    </row>
    <row r="51" spans="2:7" x14ac:dyDescent="0.3">
      <c r="B51" s="10" t="str">
        <f t="shared" si="6"/>
        <v>Áreas de TI envolvidas/Expertise</v>
      </c>
      <c r="C51" s="7">
        <f t="shared" si="7"/>
        <v>3</v>
      </c>
      <c r="D51" s="7" t="str">
        <f t="shared" si="0"/>
        <v>Áreas de TI envolvidas/Expertise.3</v>
      </c>
      <c r="E51" s="10">
        <v>4</v>
      </c>
      <c r="F51" s="10">
        <v>1</v>
      </c>
      <c r="G51" s="10">
        <f t="shared" si="1"/>
        <v>4</v>
      </c>
    </row>
    <row r="52" spans="2:7" x14ac:dyDescent="0.3">
      <c r="B52" s="10" t="str">
        <f t="shared" si="6"/>
        <v>Áreas de TI envolvidas/Expertise</v>
      </c>
      <c r="C52" s="7" t="str">
        <f t="shared" si="7"/>
        <v>Mais que 4</v>
      </c>
      <c r="D52" s="7" t="str">
        <f t="shared" si="0"/>
        <v>Áreas de TI envolvidas/Expertise.Mais que 4</v>
      </c>
      <c r="E52" s="10">
        <v>5</v>
      </c>
      <c r="F52" s="10">
        <v>1</v>
      </c>
      <c r="G52" s="10">
        <f t="shared" si="1"/>
        <v>5</v>
      </c>
    </row>
    <row r="53" spans="2:7" x14ac:dyDescent="0.3">
      <c r="B53" s="10" t="str">
        <f>$E$7</f>
        <v>Infra Plataforma (servidores, etc)</v>
      </c>
      <c r="C53" s="7" t="str">
        <f>E8</f>
        <v>100% Saving</v>
      </c>
      <c r="D53" s="7" t="str">
        <f t="shared" si="0"/>
        <v>Infra Plataforma (servidores, etc).100% Saving</v>
      </c>
      <c r="E53" s="10">
        <v>1</v>
      </c>
      <c r="F53" s="10">
        <v>1</v>
      </c>
      <c r="G53" s="10">
        <f t="shared" si="1"/>
        <v>1</v>
      </c>
    </row>
    <row r="54" spans="2:7" x14ac:dyDescent="0.3">
      <c r="B54" s="10" t="str">
        <f t="shared" ref="B54:B57" si="8">$E$7</f>
        <v>Infra Plataforma (servidores, etc)</v>
      </c>
      <c r="C54" s="7" t="str">
        <f t="shared" ref="C54:C57" si="9">E9</f>
        <v>100% Compras</v>
      </c>
      <c r="D54" s="7" t="str">
        <f t="shared" si="0"/>
        <v>Infra Plataforma (servidores, etc).100% Compras</v>
      </c>
      <c r="E54" s="10">
        <v>5</v>
      </c>
      <c r="F54" s="10">
        <v>1</v>
      </c>
      <c r="G54" s="10">
        <f t="shared" si="1"/>
        <v>5</v>
      </c>
    </row>
    <row r="55" spans="2:7" x14ac:dyDescent="0.3">
      <c r="B55" s="10" t="str">
        <f t="shared" si="8"/>
        <v>Infra Plataforma (servidores, etc)</v>
      </c>
      <c r="C55" s="7" t="str">
        <f t="shared" si="9"/>
        <v>50% Saving e 50% Compras</v>
      </c>
      <c r="D55" s="7" t="str">
        <f t="shared" si="0"/>
        <v>Infra Plataforma (servidores, etc).50% Saving e 50% Compras</v>
      </c>
      <c r="E55" s="10">
        <v>3</v>
      </c>
      <c r="F55" s="10">
        <v>1</v>
      </c>
      <c r="G55" s="10">
        <f t="shared" si="1"/>
        <v>3</v>
      </c>
    </row>
    <row r="56" spans="2:7" x14ac:dyDescent="0.3">
      <c r="B56" s="10" t="str">
        <f t="shared" si="8"/>
        <v>Infra Plataforma (servidores, etc)</v>
      </c>
      <c r="C56" s="7" t="str">
        <f t="shared" si="9"/>
        <v>75% Saving e 25% Compras</v>
      </c>
      <c r="D56" s="7" t="str">
        <f t="shared" si="0"/>
        <v>Infra Plataforma (servidores, etc).75% Saving e 25% Compras</v>
      </c>
      <c r="E56" s="10">
        <v>2</v>
      </c>
      <c r="F56" s="10">
        <v>1</v>
      </c>
      <c r="G56" s="10">
        <f t="shared" si="1"/>
        <v>2</v>
      </c>
    </row>
    <row r="57" spans="2:7" x14ac:dyDescent="0.3">
      <c r="B57" s="10" t="str">
        <f t="shared" si="8"/>
        <v>Infra Plataforma (servidores, etc)</v>
      </c>
      <c r="C57" s="7" t="str">
        <f t="shared" si="9"/>
        <v>75% Compras e 25% Saving</v>
      </c>
      <c r="D57" s="7" t="str">
        <f t="shared" si="0"/>
        <v>Infra Plataforma (servidores, etc).75% Compras e 25% Saving</v>
      </c>
      <c r="E57" s="10">
        <v>4</v>
      </c>
      <c r="F57" s="10">
        <v>1</v>
      </c>
      <c r="G57" s="10">
        <f t="shared" si="1"/>
        <v>4</v>
      </c>
    </row>
    <row r="58" spans="2:7" x14ac:dyDescent="0.3">
      <c r="B58" s="10" t="str">
        <f>$F$7</f>
        <v>Insumos Telecom (Links, etc)</v>
      </c>
      <c r="C58" s="7" t="str">
        <f>F8</f>
        <v>100% Saving</v>
      </c>
      <c r="D58" s="7" t="str">
        <f t="shared" si="0"/>
        <v>Insumos Telecom (Links, etc).100% Saving</v>
      </c>
      <c r="E58" s="10">
        <v>1</v>
      </c>
      <c r="F58" s="10">
        <v>1</v>
      </c>
      <c r="G58" s="10">
        <f t="shared" si="1"/>
        <v>1</v>
      </c>
    </row>
    <row r="59" spans="2:7" x14ac:dyDescent="0.3">
      <c r="B59" s="10" t="str">
        <f t="shared" ref="B59:B62" si="10">$F$7</f>
        <v>Insumos Telecom (Links, etc)</v>
      </c>
      <c r="C59" s="7" t="str">
        <f t="shared" ref="C59:C62" si="11">F9</f>
        <v>100% Compras</v>
      </c>
      <c r="D59" s="7" t="str">
        <f t="shared" si="0"/>
        <v>Insumos Telecom (Links, etc).100% Compras</v>
      </c>
      <c r="E59" s="10">
        <v>5</v>
      </c>
      <c r="F59" s="10">
        <v>1</v>
      </c>
      <c r="G59" s="10">
        <f t="shared" si="1"/>
        <v>5</v>
      </c>
    </row>
    <row r="60" spans="2:7" x14ac:dyDescent="0.3">
      <c r="B60" s="10" t="str">
        <f t="shared" si="10"/>
        <v>Insumos Telecom (Links, etc)</v>
      </c>
      <c r="C60" s="7" t="str">
        <f t="shared" si="11"/>
        <v>50% Saving e 50% Compras</v>
      </c>
      <c r="D60" s="7" t="str">
        <f t="shared" si="0"/>
        <v>Insumos Telecom (Links, etc).50% Saving e 50% Compras</v>
      </c>
      <c r="E60" s="10">
        <v>3</v>
      </c>
      <c r="F60" s="10">
        <v>1</v>
      </c>
      <c r="G60" s="10">
        <f t="shared" si="1"/>
        <v>3</v>
      </c>
    </row>
    <row r="61" spans="2:7" x14ac:dyDescent="0.3">
      <c r="B61" s="10" t="str">
        <f t="shared" si="10"/>
        <v>Insumos Telecom (Links, etc)</v>
      </c>
      <c r="C61" s="7" t="str">
        <f t="shared" si="11"/>
        <v>75% Saving e 25% Compras</v>
      </c>
      <c r="D61" s="7" t="str">
        <f t="shared" si="0"/>
        <v>Insumos Telecom (Links, etc).75% Saving e 25% Compras</v>
      </c>
      <c r="E61" s="10">
        <v>2</v>
      </c>
      <c r="F61" s="10">
        <v>1</v>
      </c>
      <c r="G61" s="10">
        <f t="shared" si="1"/>
        <v>2</v>
      </c>
    </row>
    <row r="62" spans="2:7" x14ac:dyDescent="0.3">
      <c r="B62" s="10" t="str">
        <f t="shared" si="10"/>
        <v>Insumos Telecom (Links, etc)</v>
      </c>
      <c r="C62" s="7" t="str">
        <f t="shared" si="11"/>
        <v>75% Compras e 25% Saving</v>
      </c>
      <c r="D62" s="7" t="str">
        <f t="shared" si="0"/>
        <v>Insumos Telecom (Links, etc).75% Compras e 25% Saving</v>
      </c>
      <c r="E62" s="10">
        <v>4</v>
      </c>
      <c r="F62" s="10">
        <v>1</v>
      </c>
      <c r="G62" s="10">
        <f t="shared" si="1"/>
        <v>4</v>
      </c>
    </row>
    <row r="63" spans="2:7" x14ac:dyDescent="0.3">
      <c r="B63" s="10" t="str">
        <f>$G$7</f>
        <v>Licenças Gravação / Discador / Etc</v>
      </c>
      <c r="C63" s="7" t="str">
        <f>G8</f>
        <v>100% Saving</v>
      </c>
      <c r="D63" s="7" t="str">
        <f t="shared" ref="D63:D76" si="12">CONCATENATE(B63,".",C63)</f>
        <v>Licenças Gravação / Discador / Etc.100% Saving</v>
      </c>
      <c r="E63" s="10">
        <v>1</v>
      </c>
      <c r="F63" s="10">
        <v>1</v>
      </c>
      <c r="G63" s="10">
        <f t="shared" ref="G63:G76" si="13">E63*F63</f>
        <v>1</v>
      </c>
    </row>
    <row r="64" spans="2:7" x14ac:dyDescent="0.3">
      <c r="B64" s="10" t="str">
        <f t="shared" ref="B64:B67" si="14">$G$7</f>
        <v>Licenças Gravação / Discador / Etc</v>
      </c>
      <c r="C64" s="7" t="str">
        <f t="shared" ref="C64:C67" si="15">G9</f>
        <v>100% Compras</v>
      </c>
      <c r="D64" s="7" t="str">
        <f t="shared" si="12"/>
        <v>Licenças Gravação / Discador / Etc.100% Compras</v>
      </c>
      <c r="E64" s="10">
        <v>5</v>
      </c>
      <c r="F64" s="10">
        <v>1</v>
      </c>
      <c r="G64" s="10">
        <f t="shared" si="13"/>
        <v>5</v>
      </c>
    </row>
    <row r="65" spans="2:7" x14ac:dyDescent="0.3">
      <c r="B65" s="10" t="str">
        <f t="shared" si="14"/>
        <v>Licenças Gravação / Discador / Etc</v>
      </c>
      <c r="C65" s="7" t="str">
        <f t="shared" si="15"/>
        <v>50% Saving e 50% Compras</v>
      </c>
      <c r="D65" s="7" t="str">
        <f t="shared" si="12"/>
        <v>Licenças Gravação / Discador / Etc.50% Saving e 50% Compras</v>
      </c>
      <c r="E65" s="10">
        <v>3</v>
      </c>
      <c r="F65" s="10">
        <v>1</v>
      </c>
      <c r="G65" s="10">
        <f t="shared" si="13"/>
        <v>3</v>
      </c>
    </row>
    <row r="66" spans="2:7" x14ac:dyDescent="0.3">
      <c r="B66" s="10" t="str">
        <f t="shared" si="14"/>
        <v>Licenças Gravação / Discador / Etc</v>
      </c>
      <c r="C66" s="7" t="str">
        <f t="shared" si="15"/>
        <v>75% Saving e 25% Compras</v>
      </c>
      <c r="D66" s="7" t="str">
        <f t="shared" si="12"/>
        <v>Licenças Gravação / Discador / Etc.75% Saving e 25% Compras</v>
      </c>
      <c r="E66" s="10">
        <v>2</v>
      </c>
      <c r="F66" s="10">
        <v>1</v>
      </c>
      <c r="G66" s="10">
        <f t="shared" si="13"/>
        <v>2</v>
      </c>
    </row>
    <row r="67" spans="2:7" x14ac:dyDescent="0.3">
      <c r="B67" s="10" t="str">
        <f t="shared" si="14"/>
        <v>Licenças Gravação / Discador / Etc</v>
      </c>
      <c r="C67" s="7" t="str">
        <f t="shared" si="15"/>
        <v>75% Compras e 25% Saving</v>
      </c>
      <c r="D67" s="7" t="str">
        <f t="shared" si="12"/>
        <v>Licenças Gravação / Discador / Etc.75% Compras e 25% Saving</v>
      </c>
      <c r="E67" s="10">
        <v>4</v>
      </c>
      <c r="F67" s="10">
        <v>1</v>
      </c>
      <c r="G67" s="10">
        <f t="shared" si="13"/>
        <v>4</v>
      </c>
    </row>
    <row r="68" spans="2:7" x14ac:dyDescent="0.3">
      <c r="B68" s="10" t="str">
        <f>$H$7</f>
        <v>Fornecedores</v>
      </c>
      <c r="C68" s="7" t="str">
        <f>H8</f>
        <v>Não há custo</v>
      </c>
      <c r="D68" s="7" t="str">
        <f t="shared" si="12"/>
        <v>Fornecedores.Não há custo</v>
      </c>
      <c r="E68" s="10">
        <v>1</v>
      </c>
      <c r="F68" s="10">
        <v>1</v>
      </c>
      <c r="G68" s="10">
        <f t="shared" si="13"/>
        <v>1</v>
      </c>
    </row>
    <row r="69" spans="2:7" x14ac:dyDescent="0.3">
      <c r="B69" s="10" t="str">
        <f t="shared" ref="B69:B72" si="16">$H$7</f>
        <v>Fornecedores</v>
      </c>
      <c r="C69" s="7" t="str">
        <f t="shared" ref="C69:C72" si="17">H9</f>
        <v>Até R$ 5.000,00</v>
      </c>
      <c r="D69" s="7" t="str">
        <f t="shared" si="12"/>
        <v>Fornecedores.Até R$ 5.000,00</v>
      </c>
      <c r="E69" s="10">
        <v>2</v>
      </c>
      <c r="F69" s="10">
        <v>1</v>
      </c>
      <c r="G69" s="10">
        <f t="shared" si="13"/>
        <v>2</v>
      </c>
    </row>
    <row r="70" spans="2:7" x14ac:dyDescent="0.3">
      <c r="B70" s="10" t="str">
        <f t="shared" si="16"/>
        <v>Fornecedores</v>
      </c>
      <c r="C70" s="7" t="str">
        <f t="shared" si="17"/>
        <v>De R$ 5.000,00 a Até R$ 10.000,00</v>
      </c>
      <c r="D70" s="7" t="str">
        <f t="shared" si="12"/>
        <v>Fornecedores.De R$ 5.000,00 a Até R$ 10.000,00</v>
      </c>
      <c r="E70" s="10">
        <v>3</v>
      </c>
      <c r="F70" s="10">
        <v>1</v>
      </c>
      <c r="G70" s="10">
        <f t="shared" si="13"/>
        <v>3</v>
      </c>
    </row>
    <row r="71" spans="2:7" x14ac:dyDescent="0.3">
      <c r="B71" s="10" t="str">
        <f t="shared" si="16"/>
        <v>Fornecedores</v>
      </c>
      <c r="C71" s="7" t="str">
        <f t="shared" si="17"/>
        <v>De R$ 10.000,00 a Até R$ 30.000,00</v>
      </c>
      <c r="D71" s="7" t="str">
        <f t="shared" si="12"/>
        <v>Fornecedores.De R$ 10.000,00 a Até R$ 30.000,00</v>
      </c>
      <c r="E71" s="10">
        <v>4</v>
      </c>
      <c r="F71" s="10">
        <v>1</v>
      </c>
      <c r="G71" s="10">
        <f t="shared" si="13"/>
        <v>4</v>
      </c>
    </row>
    <row r="72" spans="2:7" x14ac:dyDescent="0.3">
      <c r="B72" s="10" t="str">
        <f t="shared" si="16"/>
        <v>Fornecedores</v>
      </c>
      <c r="C72" s="7" t="str">
        <f t="shared" si="17"/>
        <v>Mais de R$ 30.000,00</v>
      </c>
      <c r="D72" s="7" t="str">
        <f t="shared" si="12"/>
        <v>Fornecedores.Mais de R$ 30.000,00</v>
      </c>
      <c r="E72" s="10">
        <v>5</v>
      </c>
      <c r="F72" s="10">
        <v>1</v>
      </c>
      <c r="G72" s="10">
        <f t="shared" si="13"/>
        <v>5</v>
      </c>
    </row>
    <row r="73" spans="2:7" x14ac:dyDescent="0.3">
      <c r="B73" s="10" t="str">
        <f>$I$7</f>
        <v>Outras áreas de apoio</v>
      </c>
      <c r="C73" s="7">
        <f>I8</f>
        <v>1</v>
      </c>
      <c r="D73" s="7" t="str">
        <f t="shared" si="12"/>
        <v>Outras áreas de apoio.1</v>
      </c>
      <c r="E73" s="10">
        <v>2</v>
      </c>
      <c r="F73" s="10">
        <v>1</v>
      </c>
      <c r="G73" s="10">
        <f t="shared" si="13"/>
        <v>2</v>
      </c>
    </row>
    <row r="74" spans="2:7" x14ac:dyDescent="0.3">
      <c r="B74" s="10" t="str">
        <f t="shared" ref="B74:B76" si="18">$I$7</f>
        <v>Outras áreas de apoio</v>
      </c>
      <c r="C74" s="7">
        <f t="shared" ref="C74:C76" si="19">I9</f>
        <v>2</v>
      </c>
      <c r="D74" s="7" t="str">
        <f t="shared" si="12"/>
        <v>Outras áreas de apoio.2</v>
      </c>
      <c r="E74" s="10">
        <v>3</v>
      </c>
      <c r="F74" s="10">
        <v>1</v>
      </c>
      <c r="G74" s="10">
        <f t="shared" si="13"/>
        <v>3</v>
      </c>
    </row>
    <row r="75" spans="2:7" x14ac:dyDescent="0.3">
      <c r="B75" s="10" t="str">
        <f t="shared" si="18"/>
        <v>Outras áreas de apoio</v>
      </c>
      <c r="C75" s="7">
        <f t="shared" si="19"/>
        <v>3</v>
      </c>
      <c r="D75" s="7" t="str">
        <f t="shared" si="12"/>
        <v>Outras áreas de apoio.3</v>
      </c>
      <c r="E75" s="10">
        <v>4</v>
      </c>
      <c r="F75" s="10">
        <v>1</v>
      </c>
      <c r="G75" s="10">
        <f t="shared" si="13"/>
        <v>4</v>
      </c>
    </row>
    <row r="76" spans="2:7" x14ac:dyDescent="0.3">
      <c r="B76" s="10" t="str">
        <f t="shared" si="18"/>
        <v>Outras áreas de apoio</v>
      </c>
      <c r="C76" s="7" t="str">
        <f t="shared" si="19"/>
        <v>Mais de 3</v>
      </c>
      <c r="D76" s="7" t="str">
        <f t="shared" si="12"/>
        <v>Outras áreas de apoio.Mais de 3</v>
      </c>
      <c r="E76" s="10">
        <v>5</v>
      </c>
      <c r="F76" s="10">
        <v>1</v>
      </c>
      <c r="G76" s="10">
        <f t="shared" si="13"/>
        <v>5</v>
      </c>
    </row>
    <row r="77" spans="2:7" x14ac:dyDescent="0.3">
      <c r="B77" s="10"/>
      <c r="C77" s="7"/>
      <c r="D77" s="7"/>
      <c r="E77" s="10"/>
      <c r="F77" s="10"/>
      <c r="G77" s="10"/>
    </row>
    <row r="78" spans="2:7" x14ac:dyDescent="0.3">
      <c r="B78" s="10"/>
      <c r="C78" s="7"/>
      <c r="D78" s="7"/>
      <c r="E78" s="10"/>
      <c r="F78" s="10"/>
      <c r="G78" s="10"/>
    </row>
    <row r="79" spans="2:7" x14ac:dyDescent="0.3">
      <c r="B79" s="10"/>
      <c r="C79" s="7"/>
      <c r="D79" s="7"/>
      <c r="E79" s="10"/>
      <c r="F79" s="10"/>
      <c r="G79" s="10"/>
    </row>
    <row r="80" spans="2:7" x14ac:dyDescent="0.3">
      <c r="B80" s="10"/>
      <c r="C80" s="7"/>
      <c r="D80" s="7"/>
      <c r="E80" s="10"/>
      <c r="F80" s="10"/>
      <c r="G80" s="10"/>
    </row>
    <row r="81" spans="2:7" x14ac:dyDescent="0.3">
      <c r="B81" s="10"/>
      <c r="C81" s="7"/>
      <c r="D81" s="7"/>
      <c r="E81" s="10"/>
      <c r="F81" s="10"/>
      <c r="G81" s="10"/>
    </row>
    <row r="82" spans="2:7" x14ac:dyDescent="0.3">
      <c r="B82" s="10"/>
      <c r="C82" s="7"/>
      <c r="D82" s="7"/>
      <c r="E82" s="10"/>
      <c r="F82" s="10"/>
      <c r="G82" s="10"/>
    </row>
    <row r="83" spans="2:7" x14ac:dyDescent="0.3">
      <c r="B83" s="10"/>
      <c r="C83" s="7"/>
      <c r="D83" s="7"/>
      <c r="E83" s="10"/>
      <c r="F83" s="10"/>
      <c r="G83" s="10"/>
    </row>
    <row r="84" spans="2:7" x14ac:dyDescent="0.3">
      <c r="B84" s="10"/>
      <c r="C84" s="7"/>
      <c r="D84" s="7"/>
      <c r="E84" s="10"/>
      <c r="F84" s="10"/>
      <c r="G84" s="10"/>
    </row>
    <row r="85" spans="2:7" x14ac:dyDescent="0.3">
      <c r="B85" s="10"/>
      <c r="C85" s="7"/>
      <c r="D85" s="7"/>
      <c r="E85" s="10"/>
      <c r="F85" s="10"/>
      <c r="G85" s="10"/>
    </row>
    <row r="86" spans="2:7" x14ac:dyDescent="0.3">
      <c r="B86" s="10"/>
      <c r="C86" s="7"/>
      <c r="D86" s="7"/>
      <c r="E86" s="10"/>
      <c r="F86" s="10"/>
      <c r="G86" s="10"/>
    </row>
    <row r="87" spans="2:7" x14ac:dyDescent="0.3">
      <c r="B87" s="10"/>
      <c r="C87" s="7"/>
      <c r="D87" s="7"/>
      <c r="E87" s="10"/>
      <c r="F87" s="10"/>
      <c r="G87" s="10"/>
    </row>
    <row r="88" spans="2:7" ht="15.75" customHeight="1" x14ac:dyDescent="0.3">
      <c r="D88" s="4"/>
    </row>
    <row r="89" spans="2:7" ht="18" x14ac:dyDescent="0.35">
      <c r="B89" s="5" t="s">
        <v>33</v>
      </c>
      <c r="C89" s="5"/>
      <c r="D89" s="9"/>
    </row>
    <row r="90" spans="2:7" x14ac:dyDescent="0.3">
      <c r="B90" s="8" t="s">
        <v>25</v>
      </c>
      <c r="C90" s="8" t="s">
        <v>26</v>
      </c>
      <c r="D90" s="8" t="s">
        <v>24</v>
      </c>
    </row>
    <row r="91" spans="2:7" x14ac:dyDescent="0.3">
      <c r="B91" s="10">
        <v>4</v>
      </c>
      <c r="C91" s="10">
        <v>6</v>
      </c>
      <c r="D91" s="10" t="s">
        <v>30</v>
      </c>
    </row>
    <row r="92" spans="2:7" x14ac:dyDescent="0.3">
      <c r="B92" s="10">
        <v>7</v>
      </c>
      <c r="C92" s="10">
        <v>10</v>
      </c>
      <c r="D92" s="10" t="s">
        <v>23</v>
      </c>
    </row>
    <row r="93" spans="2:7" x14ac:dyDescent="0.3">
      <c r="B93" s="10">
        <v>11</v>
      </c>
      <c r="C93" s="10">
        <v>14</v>
      </c>
      <c r="D93" s="10" t="s">
        <v>31</v>
      </c>
    </row>
    <row r="95" spans="2:7" ht="18" x14ac:dyDescent="0.35">
      <c r="B95" s="5" t="s">
        <v>35</v>
      </c>
      <c r="C95" s="5"/>
      <c r="D95" s="9"/>
    </row>
    <row r="96" spans="2:7" x14ac:dyDescent="0.3">
      <c r="B96" s="8" t="s">
        <v>25</v>
      </c>
      <c r="C96" s="8" t="s">
        <v>26</v>
      </c>
      <c r="D96" s="8" t="s">
        <v>24</v>
      </c>
    </row>
    <row r="97" spans="2:4" x14ac:dyDescent="0.3">
      <c r="B97" s="10">
        <v>6</v>
      </c>
      <c r="C97" s="10">
        <v>12</v>
      </c>
      <c r="D97" s="10" t="s">
        <v>30</v>
      </c>
    </row>
    <row r="98" spans="2:4" x14ac:dyDescent="0.3">
      <c r="B98" s="10">
        <v>13</v>
      </c>
      <c r="C98" s="10">
        <v>18</v>
      </c>
      <c r="D98" s="10" t="s">
        <v>23</v>
      </c>
    </row>
    <row r="99" spans="2:4" x14ac:dyDescent="0.3">
      <c r="B99" s="10">
        <v>19</v>
      </c>
      <c r="C99" s="10">
        <v>25</v>
      </c>
      <c r="D99" s="10" t="s">
        <v>31</v>
      </c>
    </row>
    <row r="101" spans="2:4" ht="18" x14ac:dyDescent="0.35">
      <c r="B101" s="5" t="s">
        <v>56</v>
      </c>
      <c r="C101" s="5"/>
      <c r="D101" s="9"/>
    </row>
    <row r="102" spans="2:4" x14ac:dyDescent="0.3">
      <c r="B102" s="8" t="s">
        <v>25</v>
      </c>
      <c r="C102" s="8" t="s">
        <v>26</v>
      </c>
      <c r="D102" s="8"/>
    </row>
    <row r="103" spans="2:4" x14ac:dyDescent="0.3">
      <c r="B103" s="10">
        <f>B97*B91</f>
        <v>24</v>
      </c>
      <c r="C103" s="10">
        <f>B103+109</f>
        <v>133</v>
      </c>
      <c r="D103" s="10" t="s">
        <v>30</v>
      </c>
    </row>
    <row r="104" spans="2:4" x14ac:dyDescent="0.3">
      <c r="B104" s="10">
        <v>134</v>
      </c>
      <c r="C104" s="10">
        <f>B104+109</f>
        <v>243</v>
      </c>
      <c r="D104" s="10" t="s">
        <v>23</v>
      </c>
    </row>
    <row r="105" spans="2:4" x14ac:dyDescent="0.3">
      <c r="B105" s="10">
        <v>244</v>
      </c>
      <c r="C105" s="10">
        <f t="shared" ref="C105" si="20">C99*C93</f>
        <v>350</v>
      </c>
      <c r="D105" s="10" t="s">
        <v>31</v>
      </c>
    </row>
  </sheetData>
  <sortState ref="B27:E31">
    <sortCondition descending="1" ref="B27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1"/>
  <sheetViews>
    <sheetView showGridLines="0" workbookViewId="0">
      <selection sqref="A1:I31"/>
    </sheetView>
  </sheetViews>
  <sheetFormatPr defaultRowHeight="12" x14ac:dyDescent="0.2"/>
  <cols>
    <col min="1" max="1" width="9.140625" style="28"/>
    <col min="2" max="2" width="27.7109375" style="28" bestFit="1" customWidth="1"/>
    <col min="3" max="3" width="18.5703125" style="28" customWidth="1"/>
    <col min="4" max="16384" width="9.140625" style="28"/>
  </cols>
  <sheetData>
    <row r="3" spans="2:7" ht="15" x14ac:dyDescent="0.35">
      <c r="B3" s="29" t="s">
        <v>33</v>
      </c>
      <c r="C3" s="30"/>
    </row>
    <row r="4" spans="2:7" ht="15" x14ac:dyDescent="0.35">
      <c r="B4" s="41" t="s">
        <v>61</v>
      </c>
      <c r="C4" s="42"/>
    </row>
    <row r="5" spans="2:7" ht="15" x14ac:dyDescent="0.35">
      <c r="B5" s="37" t="s">
        <v>70</v>
      </c>
      <c r="C5" s="38"/>
    </row>
    <row r="6" spans="2:7" ht="15" x14ac:dyDescent="0.35">
      <c r="B6" s="37" t="s">
        <v>71</v>
      </c>
      <c r="C6" s="38"/>
    </row>
    <row r="7" spans="2:7" ht="15" x14ac:dyDescent="0.35">
      <c r="B7" s="37" t="s">
        <v>72</v>
      </c>
      <c r="C7" s="38"/>
    </row>
    <row r="9" spans="2:7" ht="15" x14ac:dyDescent="0.35">
      <c r="E9" s="31" t="s">
        <v>25</v>
      </c>
      <c r="F9" s="31" t="s">
        <v>26</v>
      </c>
      <c r="G9" s="31" t="s">
        <v>60</v>
      </c>
    </row>
    <row r="10" spans="2:7" ht="15" x14ac:dyDescent="0.35">
      <c r="E10" s="32">
        <v>4</v>
      </c>
      <c r="F10" s="32">
        <v>6</v>
      </c>
      <c r="G10" s="32" t="s">
        <v>30</v>
      </c>
    </row>
    <row r="11" spans="2:7" ht="15" x14ac:dyDescent="0.35">
      <c r="E11" s="32">
        <v>7</v>
      </c>
      <c r="F11" s="32">
        <v>10</v>
      </c>
      <c r="G11" s="32" t="s">
        <v>23</v>
      </c>
    </row>
    <row r="12" spans="2:7" ht="15" x14ac:dyDescent="0.35">
      <c r="E12" s="32">
        <v>11</v>
      </c>
      <c r="F12" s="32">
        <v>14</v>
      </c>
      <c r="G12" s="32" t="s">
        <v>31</v>
      </c>
    </row>
    <row r="15" spans="2:7" ht="15" x14ac:dyDescent="0.35">
      <c r="B15" s="29" t="s">
        <v>35</v>
      </c>
      <c r="C15" s="30"/>
    </row>
    <row r="16" spans="2:7" ht="15" x14ac:dyDescent="0.35">
      <c r="B16" s="41" t="s">
        <v>62</v>
      </c>
      <c r="C16" s="42"/>
    </row>
    <row r="17" spans="2:9" ht="15" x14ac:dyDescent="0.35">
      <c r="B17" s="37" t="s">
        <v>73</v>
      </c>
      <c r="C17" s="38"/>
    </row>
    <row r="18" spans="2:9" ht="15" x14ac:dyDescent="0.35">
      <c r="B18" s="37" t="s">
        <v>74</v>
      </c>
      <c r="C18" s="38"/>
    </row>
    <row r="19" spans="2:9" ht="15" x14ac:dyDescent="0.35">
      <c r="B19" s="37" t="s">
        <v>75</v>
      </c>
      <c r="C19" s="38"/>
    </row>
    <row r="20" spans="2:9" ht="15" x14ac:dyDescent="0.35">
      <c r="B20" s="37" t="s">
        <v>76</v>
      </c>
      <c r="C20" s="38"/>
    </row>
    <row r="21" spans="2:9" ht="15" x14ac:dyDescent="0.35">
      <c r="B21" s="37" t="s">
        <v>77</v>
      </c>
      <c r="C21" s="38"/>
    </row>
    <row r="23" spans="2:9" ht="15" x14ac:dyDescent="0.35">
      <c r="E23" s="31" t="s">
        <v>25</v>
      </c>
      <c r="F23" s="31" t="s">
        <v>26</v>
      </c>
      <c r="G23" s="31" t="s">
        <v>60</v>
      </c>
    </row>
    <row r="24" spans="2:9" ht="15" x14ac:dyDescent="0.35">
      <c r="E24" s="32">
        <v>6</v>
      </c>
      <c r="F24" s="32">
        <v>12</v>
      </c>
      <c r="G24" s="32" t="s">
        <v>30</v>
      </c>
    </row>
    <row r="25" spans="2:9" ht="15" x14ac:dyDescent="0.35">
      <c r="E25" s="32">
        <v>13</v>
      </c>
      <c r="F25" s="32">
        <v>18</v>
      </c>
      <c r="G25" s="32" t="s">
        <v>23</v>
      </c>
    </row>
    <row r="26" spans="2:9" ht="15" x14ac:dyDescent="0.35">
      <c r="E26" s="32">
        <v>19</v>
      </c>
      <c r="F26" s="32">
        <v>25</v>
      </c>
      <c r="G26" s="32" t="s">
        <v>31</v>
      </c>
    </row>
    <row r="28" spans="2:9" ht="15" x14ac:dyDescent="0.35">
      <c r="H28" s="39" t="s">
        <v>63</v>
      </c>
      <c r="I28" s="40"/>
    </row>
    <row r="29" spans="2:9" ht="15" x14ac:dyDescent="0.35">
      <c r="H29" s="32" t="s">
        <v>67</v>
      </c>
      <c r="I29" s="32" t="s">
        <v>64</v>
      </c>
    </row>
    <row r="30" spans="2:9" ht="15" x14ac:dyDescent="0.35">
      <c r="H30" s="32" t="s">
        <v>68</v>
      </c>
      <c r="I30" s="32" t="s">
        <v>65</v>
      </c>
    </row>
    <row r="31" spans="2:9" ht="15" x14ac:dyDescent="0.35">
      <c r="H31" s="32" t="s">
        <v>69</v>
      </c>
      <c r="I31" s="32" t="s">
        <v>66</v>
      </c>
    </row>
  </sheetData>
  <mergeCells count="11">
    <mergeCell ref="B17:C17"/>
    <mergeCell ref="B4:C4"/>
    <mergeCell ref="B5:C5"/>
    <mergeCell ref="B6:C6"/>
    <mergeCell ref="B7:C7"/>
    <mergeCell ref="B16:C16"/>
    <mergeCell ref="B18:C18"/>
    <mergeCell ref="B19:C19"/>
    <mergeCell ref="B20:C20"/>
    <mergeCell ref="B21:C21"/>
    <mergeCell ref="H28:I28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de Prioridade</vt:lpstr>
      <vt:lpstr>Dados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Guerra Ferreira</dc:creator>
  <cp:lastModifiedBy>Bruno Guerra Ferreira</cp:lastModifiedBy>
  <dcterms:created xsi:type="dcterms:W3CDTF">2015-10-01T14:45:13Z</dcterms:created>
  <dcterms:modified xsi:type="dcterms:W3CDTF">2016-05-30T21:42:20Z</dcterms:modified>
</cp:coreProperties>
</file>