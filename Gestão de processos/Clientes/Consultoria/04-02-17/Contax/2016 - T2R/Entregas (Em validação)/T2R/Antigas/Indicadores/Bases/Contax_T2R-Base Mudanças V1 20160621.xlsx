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0.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1.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codeName="EstaPasta_de_trabalho" defaultThemeVersion="153222"/>
  <mc:AlternateContent xmlns:mc="http://schemas.openxmlformats.org/markup-compatibility/2006">
    <mc:Choice Requires="x15">
      <x15ac:absPath xmlns:x15ac="http://schemas.microsoft.com/office/spreadsheetml/2010/11/ac" url="C:\Users\Kiss\Desktop\"/>
    </mc:Choice>
  </mc:AlternateContent>
  <bookViews>
    <workbookView xWindow="0" yWindow="0" windowWidth="20496" windowHeight="7452"/>
  </bookViews>
  <sheets>
    <sheet name="Base 2016" sheetId="3" r:id="rId1"/>
    <sheet name="Planilha2" sheetId="7" r:id="rId2"/>
    <sheet name="Gráficos" sheetId="5" r:id="rId3"/>
  </sheets>
  <calcPr calcId="162913"/>
  <pivotCaches>
    <pivotCache cacheId="0" r:id="rId4"/>
  </pivotCaches>
</workbook>
</file>

<file path=xl/calcChain.xml><?xml version="1.0" encoding="utf-8"?>
<calcChain xmlns="http://schemas.openxmlformats.org/spreadsheetml/2006/main">
  <c r="Y378" i="5" l="1"/>
  <c r="X378" i="5" s="1"/>
  <c r="Y379" i="5"/>
  <c r="X379" i="5" s="1"/>
  <c r="Y384" i="5"/>
  <c r="W384" i="5" s="1"/>
  <c r="Y386" i="5"/>
  <c r="X386" i="5" s="1"/>
  <c r="Y382" i="5"/>
  <c r="W382" i="5" s="1"/>
  <c r="Y389" i="5"/>
  <c r="X389" i="5" s="1"/>
  <c r="Y391" i="5"/>
  <c r="X391" i="5" s="1"/>
  <c r="Y380" i="5"/>
  <c r="X380" i="5" s="1"/>
  <c r="Y383" i="5"/>
  <c r="W383" i="5" s="1"/>
  <c r="Y398" i="5"/>
  <c r="W398" i="5" s="1"/>
  <c r="Y381" i="5"/>
  <c r="W381" i="5" s="1"/>
  <c r="Y397" i="5"/>
  <c r="W397" i="5" s="1"/>
  <c r="Y393" i="5"/>
  <c r="W393" i="5" s="1"/>
  <c r="Y387" i="5"/>
  <c r="W387" i="5" s="1"/>
  <c r="Y403" i="5"/>
  <c r="X403" i="5" s="1"/>
  <c r="Y402" i="5"/>
  <c r="X402" i="5" s="1"/>
  <c r="Y394" i="5"/>
  <c r="X394" i="5" s="1"/>
  <c r="Y399" i="5"/>
  <c r="W399" i="5" s="1"/>
  <c r="Y396" i="5"/>
  <c r="X396" i="5" s="1"/>
  <c r="Y390" i="5"/>
  <c r="W390" i="5" s="1"/>
  <c r="Y388" i="5"/>
  <c r="X388" i="5" s="1"/>
  <c r="Y385" i="5"/>
  <c r="W385" i="5" s="1"/>
  <c r="Y392" i="5"/>
  <c r="X392" i="5" s="1"/>
  <c r="Y395" i="5"/>
  <c r="W395" i="5" s="1"/>
  <c r="Y401" i="5"/>
  <c r="W401" i="5" s="1"/>
  <c r="Y400" i="5"/>
  <c r="X400" i="5" s="1"/>
  <c r="X393" i="5" l="1"/>
  <c r="W386" i="5"/>
  <c r="W388" i="5"/>
  <c r="W400" i="5"/>
  <c r="X387" i="5"/>
  <c r="X397" i="5"/>
  <c r="X399" i="5"/>
  <c r="W396" i="5"/>
  <c r="X395" i="5"/>
  <c r="X381" i="5"/>
  <c r="X385" i="5"/>
  <c r="X398" i="5"/>
  <c r="W379" i="5"/>
  <c r="X390" i="5"/>
  <c r="X382" i="5"/>
  <c r="X384" i="5"/>
  <c r="W380" i="5"/>
  <c r="W403" i="5"/>
  <c r="W389" i="5"/>
  <c r="X383" i="5"/>
  <c r="W392" i="5"/>
  <c r="X401" i="5"/>
  <c r="W378" i="5"/>
  <c r="W402" i="5"/>
  <c r="W394" i="5"/>
  <c r="W391" i="5"/>
  <c r="E111" i="5"/>
  <c r="H111" i="5" s="1"/>
  <c r="E112" i="5"/>
  <c r="H112" i="5" s="1"/>
  <c r="E113" i="5"/>
  <c r="H113" i="5" s="1"/>
  <c r="E114" i="5"/>
  <c r="G114" i="5" s="1"/>
  <c r="E110" i="5"/>
  <c r="G110" i="5" s="1"/>
  <c r="D188" i="5"/>
  <c r="E188" i="5" s="1"/>
  <c r="D187" i="5"/>
  <c r="E187" i="5" s="1"/>
  <c r="D186" i="5"/>
  <c r="E186" i="5" s="1"/>
  <c r="F112" i="5" l="1"/>
  <c r="F113" i="5"/>
  <c r="G113" i="5"/>
  <c r="H114" i="5"/>
  <c r="F110" i="5"/>
  <c r="G112" i="5"/>
  <c r="F114" i="5"/>
  <c r="G111" i="5"/>
  <c r="H110" i="5"/>
  <c r="F111" i="5"/>
  <c r="F186" i="5"/>
  <c r="F187" i="5"/>
  <c r="F188" i="5"/>
</calcChain>
</file>

<file path=xl/sharedStrings.xml><?xml version="1.0" encoding="utf-8"?>
<sst xmlns="http://schemas.openxmlformats.org/spreadsheetml/2006/main" count="17158" uniqueCount="2200">
  <si>
    <t>ID</t>
  </si>
  <si>
    <t>Objetivo/Descrição</t>
  </si>
  <si>
    <t>Data de Criação</t>
  </si>
  <si>
    <t>Etapa</t>
  </si>
  <si>
    <t>Solicitante</t>
  </si>
  <si>
    <t>Executor</t>
  </si>
  <si>
    <t>Site</t>
  </si>
  <si>
    <t>Cliente</t>
  </si>
  <si>
    <t>Status</t>
  </si>
  <si>
    <t>Data de Início de Planejamento</t>
  </si>
  <si>
    <t>Data de Final de Planejamento</t>
  </si>
  <si>
    <t>Deadline do Planejamento</t>
  </si>
  <si>
    <t>Tipo de Mudança</t>
  </si>
  <si>
    <t>Natureza</t>
  </si>
  <si>
    <t>Gravidade</t>
  </si>
  <si>
    <t>Componente Afetado</t>
  </si>
  <si>
    <t>Componente Alvo</t>
  </si>
  <si>
    <t>Indisponibilidade do Componente</t>
  </si>
  <si>
    <t>Indisponibilidade do Negócio</t>
  </si>
  <si>
    <t>Plano de Retorno</t>
  </si>
  <si>
    <t>Incidente</t>
  </si>
  <si>
    <t>Rollback</t>
  </si>
  <si>
    <t>Sucesso</t>
  </si>
  <si>
    <t>Chamado</t>
  </si>
  <si>
    <t>Diretorias</t>
  </si>
  <si>
    <t>Atualização evolutiva para a operação do CO.</t>
  </si>
  <si>
    <t>Encerramento</t>
  </si>
  <si>
    <t>FLÁVIO ROBERTO DE FREITAS MIRANDA</t>
  </si>
  <si>
    <t>PAULO CESAR DE SOUZA,ROBERTO MAGALHÃES DE OLIVEIRA</t>
  </si>
  <si>
    <t>Santo Amaro - REC</t>
  </si>
  <si>
    <t>Oi</t>
  </si>
  <si>
    <t>Encerrada</t>
  </si>
  <si>
    <t>Programada</t>
  </si>
  <si>
    <t>Manutenção de rotina ou Melhoria</t>
  </si>
  <si>
    <t>Pouco impacto</t>
  </si>
  <si>
    <t>DBSCTX105SPODB; DBSCTX106SPODB; FESCTX32SPODB; FESCTX33SPODB; FESCTX40SPODB</t>
  </si>
  <si>
    <t>Sim</t>
  </si>
  <si>
    <t>Não</t>
  </si>
  <si>
    <t>1 - Aplicações retorna para o arquivo TGUIDANCE.EAR antgio que foi renomeado na etapa EXECUÇÃO.; 1 - DBA executa o backup realizado na atividade de EXECUÇÃO.</t>
  </si>
  <si>
    <t>N/A</t>
  </si>
  <si>
    <t>Dir. Oi</t>
  </si>
  <si>
    <t>Atualização evolutiva para a operação do Orbitall.</t>
  </si>
  <si>
    <t>Data Center AlphaVille NGR</t>
  </si>
  <si>
    <t>Orbitall</t>
  </si>
  <si>
    <t>APPCTX106SPODA; APPCTX106SPODB; APPCTX107SPODB; APPCTX108SPODB; APPCTX109SPODA; APPCTX109SPODB; APPCTX110SPODA; APPCTX110SPODB; APPCTX111SPODA; APPCTX111SPODB; APPCTX112SPODA; APPCTX112SPODB; APPCTX113SPODA; DBSCTX101SPODB; DBSCTX104SPODA</t>
  </si>
  <si>
    <t>Dir. Cobrança,Dir. de Produtos Financeiros</t>
  </si>
  <si>
    <t>Atualização crítica a ser aplicada em servidores listados como vulneráveis pela Segurança da Informação Contax, de acordo com os boletins 12-020 e MS 14-066.</t>
  </si>
  <si>
    <t>CARLOS EDUARDO AZEVEDO PEREIRA</t>
  </si>
  <si>
    <t>Data Center Alegria NGR</t>
  </si>
  <si>
    <t>Contax</t>
  </si>
  <si>
    <t>Impacto</t>
  </si>
  <si>
    <t>AVS101CTXSPODB; AVS102CTXSPODB; BKPCTX101SPODB; DBSCTX111SPODB; DBSCTX145SPODB; DNSCTX101SPODB; DNSCTX102SPODB; JMPCTX01SPODB; MONCTX05SPODB; STMCTX101SPODB; VCTCTX101SPODB</t>
  </si>
  <si>
    <t>Remover patches instalados.</t>
  </si>
  <si>
    <t>Digite neste local o número do chamado no tProcess</t>
  </si>
  <si>
    <t>Atualização crítica a ser aplicada em servidores listados como vulneráveis pela Segurança da Informação Contax, de acordo com o boletim MS14-066.</t>
  </si>
  <si>
    <t>APPCTX105SPODB; APPCTX106SPODB; APPCTX107SPODB; APPCTX108SPODB; APPCTX109SPODB; APPCTX110SPODB; APPCTX111SPODB; APPCTX112SPODB; APPCTX113SPODB; APPCTX118SPODB; APPCTX119SPODB; APPCTX131SPODB; APPCTX138SPODB; APPCTX140SPODB; APPOIV03SPOLP; APPRDC01SPOLP</t>
  </si>
  <si>
    <t>Lapa - SPO</t>
  </si>
  <si>
    <t>APPCTX141SPODB; APPCTX142SPODB; APPCTX145SPODB; APPCTX146SPODB; APPCTX175SPODB; APPCTX200SPODB; BKPCTX121SPODB; CHHCTX101SPODB; CHHCTX102SPODB; DBSCTX303SPODB; DBSCTX304SPODB; NPSCTX101SPODB; PRTCTX101SPODB; SDCCTX109SPODB</t>
  </si>
  <si>
    <t>CARLOS EDUARDO AZEVEDO PEREIRA,ROBERTO MAGALHÃES DE OLIVEIRA</t>
  </si>
  <si>
    <t>DBSCTX102SPODB; DBSCTX114SPODB; DBSCTX118SPODB; DBSCTX121SPODB; DBSCTX122SPODB; DBSCTX123SPODB; DBSCTX125SPODB; DBSCTX132SPODB; DBSCTX133SPODB; DBSCTX134SPODB; DBSCTX135SPODB; SDCTDO01SPODB; SDCTDO05SPODB; TSTCTX04SPODB</t>
  </si>
  <si>
    <t>CARLOS EDUARDO AZEVEDO PEREIRA,JOÃO LUCAS ZEATO DE MELO GUSMÃO,ROBERTO MAGALHÃES DE OLIVEIRA</t>
  </si>
  <si>
    <t>DBSCTX139SPODB; DBSCTX141SPODB; DBSCTX217SPODB; DBSCTX306SPODB; DBSCTX338SPODB; DBSCTX339SPODB; DEVCTX102SPODB; DEVCTX322SPODB; DHCCTX101SPODB; DHCCTX102SPODB; DHCCTX103SPODB; DNSCTX103SPODB; DNSCTX104SPODB; FSSCTX103SPODB; GRVCTX102SPODB</t>
  </si>
  <si>
    <t>CARLOS EDUARDO AZEVEDO PEREIRA,JOÃO LUCAS ZEATO DE MELO GUSMÃO</t>
  </si>
  <si>
    <t>GRVCTX104SPODB; GRVCTX109SPODB; GRVCTX110SPODB; GRVCTX111SPODB; GRVCTX113SPODB; GRVCTX115SPODB; HMLCTX214SPODB; HOMCTX101SPODB; HOMCTX105SPODB; HOMCTX123SPODB; HOMCTX126SPODB; MONCTX02SPODB; MONCTX04SPODB; MONCTX06SPODB; MONCTX46SPODB; STMCTX102SPODB; TSTCTX04SPODB; WDSCTX101SPODB</t>
  </si>
  <si>
    <t>Atualização crítica a ser aplicada em servidores listados como vulneráveis pela Segurança da Informação Contax. MS12-073, MS12-017,MS11-004,MS11-061,MS13-006</t>
  </si>
  <si>
    <t>AVSCTX102SPODB; CHHCTX101SPODB; CHHCTX102SPODB; DNSCTX101SPODB; DNSCTX102SPODB; JMPCTX01SPODB; MONCTX04SPODB; SDCTDO01SPODB; SDCTDO05SPODB</t>
  </si>
  <si>
    <t>Remover patches instalados e reiniciar servidor.</t>
  </si>
  <si>
    <t>Atualização de patches e updates críticos nos hosts ESX a fim de mitigar vulnerabilidades apontadas pela SEG Info.</t>
  </si>
  <si>
    <t>São Cristovão - RJO</t>
  </si>
  <si>
    <t>10.12.3.21; 10.12.3.22; 10.12.3.23; 10.12.3.24; 10.12.3.25; 10.12.3.26; 10.12.3.27</t>
  </si>
  <si>
    <t>Efetuar remoção dos patches instalados.</t>
  </si>
  <si>
    <t>Rio Comprido - RJO</t>
  </si>
  <si>
    <t>10.14.0.10; 10.14.012</t>
  </si>
  <si>
    <t>Preventiva Energ com teste em vazio gerador Heimer 305 KVA do site PL 407</t>
  </si>
  <si>
    <t>JACQUES DOUGLAS NASCIMENTO DOS SANTOS</t>
  </si>
  <si>
    <t>Paulista 407</t>
  </si>
  <si>
    <t>Sem impacto</t>
  </si>
  <si>
    <t>--</t>
  </si>
  <si>
    <t>Gerador Heimer 305 KVA do site PL 407</t>
  </si>
  <si>
    <t>RETORNAR MARA MODO AUTOMÁTICO,AGUARDAR RESFRIAMENTO – CONCLUSÃO DA ATIVIDADES</t>
  </si>
  <si>
    <t>Aurora - REC</t>
  </si>
  <si>
    <t>10.62.0.233; 10.62.0.234</t>
  </si>
  <si>
    <t>Aplicar patches de segurança a fim de mitigar vulnerabilidades apontadas por auditoria.</t>
  </si>
  <si>
    <t>Antartica - SPO</t>
  </si>
  <si>
    <t>APPCTX07SPOBF; FSSCTX05SPOBF; MLIBCTXSPOBF; NICE-SNMP</t>
  </si>
  <si>
    <t>Realizar a troca de um disco com falha no servidor DBSCTX07FORBM IP:10.16.1.131</t>
  </si>
  <si>
    <t>JEFFERSON HONÓRIO FERREIRA</t>
  </si>
  <si>
    <t>JEFFERSON HONÓRIO FERREIRA,RICARDO ADRYANO BEZERRA</t>
  </si>
  <si>
    <t>Fortaleza - FOR</t>
  </si>
  <si>
    <t>Corretiva</t>
  </si>
  <si>
    <t>DBSCTX07FORBM</t>
  </si>
  <si>
    <t>1.7 Plano de Retorno: Realizar a troca novamente do Disco</t>
  </si>
  <si>
    <t>CTXFORBM-334265</t>
  </si>
  <si>
    <t>Dir. Cobrança</t>
  </si>
  <si>
    <t>Realizar a troca do disco com falha, localizado no servidor DBSCTX17FORBM IP:10.16.1.161</t>
  </si>
  <si>
    <t>DBSCTX17FORBM</t>
  </si>
  <si>
    <t>CTXFORBM-334301</t>
  </si>
  <si>
    <t>Garantir total confiabilidade e disponibilidade de climatização do CPD.</t>
  </si>
  <si>
    <t>SÁVIO MEIRELES CASTRO</t>
  </si>
  <si>
    <t>Nacional Gás,Oi</t>
  </si>
  <si>
    <t>Caso aja um aumento da temperatura próximo a 25,5°C o teste será abortado juntamente com a execução do serviço caso não o serviço será executado no dia seguinte.; Caso aja um aumento da temperatura próximo a 25,5°C o teste será abortado juntamente com a execução do serviço caso não sera realizado um novo teste de confirmação no dia seguinte.; Religar o sistema central e monitorar a temperatura.</t>
  </si>
  <si>
    <t>Forbm-0000</t>
  </si>
  <si>
    <t>Dir. Clientes Especiais,Dir. Televendas</t>
  </si>
  <si>
    <t>Atualização crítica a ser aplicada em servidores listados como vulneráveis pela Segurança da Informação Contax, de acordo com o boletim MS09-001.</t>
  </si>
  <si>
    <t>APPCTX02SPOBF; APPCTX03SPOBF; CLSCTX03SPOBF; DBSCTX36SPOBF; FSSORB03SPOBF; LG30176701; LG30180601; STGCTX01SPOBF</t>
  </si>
  <si>
    <t>Atualização crítica a ser aplicada em servidores listados como vulneráveis pela Segurança da Informação Contax, de acordo com os boletins MS06-035, MS06-040 e MS08-067.</t>
  </si>
  <si>
    <t>APPCTX02SPOBF; APPCTX03SPOBF; CLSCTX03SPOBF; DBSCTX36SPOBF; LG30176701; STGCTX01SPOBF</t>
  </si>
  <si>
    <t>Atualização crítica a ser aplicada em servidores listados como vulneráveis pela Segurança da Informação Contax, de acordo com os boletins MS10-024 e MS11-058.</t>
  </si>
  <si>
    <t>APPCTX25SPOBF; SDCCTX03SPOBF; SDCCTX04SPOBF; SDCORB01SPOBF; SDCORB02SPOBF</t>
  </si>
  <si>
    <t>Atualização crítica a ser aplicada em servidores listados como vulneráveis pela Segurança da Informação Contax, de acordo com o boletim MS12-020.</t>
  </si>
  <si>
    <t>APPCTX02SPOBF; APPCTX03SPOBF; APPCTX12SPOBF; APPCTX25SPOBF; APPCTX43SPOBF; APPCTX88SPOBF; BKPCTX01SPOBF; BKPCTX05SPOBF; CLSCTX02SPOBF; CLSCTX03SPOBF; CTICTX10SPOBF; DBSCTX09SPOBF; LG30176701; PRTCTX02SPOBF; SCLCTX02SPOBF; WDSCTX03SPOBF</t>
  </si>
  <si>
    <t>APPCTX02SPOBF; APPCTX25SPOBF; APPCTX36SPOBF; APPCTX40SPOBF; APPCTX43SPOBF; BKPCTX05SPOBF; CLSCTX02SPOBF; CLSCTX03SPOBF; DBSCTX36SPOBF; LG30453705; PRTCTX02SPOBF; SCLCTX02SPOBF; STGCTX01SPOBF; SVCTMP01SPOBF</t>
  </si>
  <si>
    <t>APPCTX12SPOBF; APPCTX14SPOBF; APPCTX43SPOBF; BKPCTX01SPOBF; BKPCTX05SPOBF; DBSCTX12SPOBF; DBSORB01SPOBF; HMLCRS01SPOBF; SDCCTX03SPOBF; SDCORB01SPOBF; ZENORB01SPOBF</t>
  </si>
  <si>
    <t>Atualização crítica a ser aplicada em servidores listados como vulneráveis pela Segurança da Informação Contax, de acordo com o boletim MS14-066 E MS15-034.</t>
  </si>
  <si>
    <t>APPBRA02SPOBF; APPCTX40SPOBF; BKPCTX05SPOBF; DBSBRA01SPOBF; FSSORB01SPOBF; SVCTMP01SPOBF; WDSCTX03SPOBF; ZENORB02SPOBF</t>
  </si>
  <si>
    <t>Implantação de release de novas demandas da Oi10331Unificada</t>
  </si>
  <si>
    <t>UVERLANIO MAURICIO PEREIRA DA SILVA</t>
  </si>
  <si>
    <t>MARCOS SANTOS DO SACRAMENTO</t>
  </si>
  <si>
    <t>POP OI - Arcos</t>
  </si>
  <si>
    <t>Os prejuízos ou dificuldades são impactantes</t>
  </si>
  <si>
    <t>URACTX04BSBPA\URACTX05BSBPA; URACTX04CGRPA\URACTX05CGRPA; URACTX04POAPA\URACTX05POAPA;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t>
  </si>
  <si>
    <t>Fazer o deploy da versão anterior da aplicação; Fazer o deploy da versão anterior da aplicação.</t>
  </si>
  <si>
    <t>POP OI - Bahia</t>
  </si>
  <si>
    <t>POP OI - Ceará</t>
  </si>
  <si>
    <t>POP OI - Cidade de Deus</t>
  </si>
  <si>
    <t>POP OI - Mato Grosso do Sul</t>
  </si>
  <si>
    <t>POP OI - Minas Gerais</t>
  </si>
  <si>
    <t>POP OI - Paraná</t>
  </si>
  <si>
    <t>POP OI - Pernambuco</t>
  </si>
  <si>
    <t>POP OI - Rio Grande do Sul</t>
  </si>
  <si>
    <t>POP OI - São Paulo</t>
  </si>
  <si>
    <t>Atualização crítica a ser aplicada em servidores listados como vulneráveis pela Segurança da Informação Contax, de acordo com o boletim MS11-058.</t>
  </si>
  <si>
    <t>MARCOS DA SILVA PINTO</t>
  </si>
  <si>
    <t>MARCOS DA SILVA PINTO,ROBERTO MAGALHÃES DE OLIVEIRA</t>
  </si>
  <si>
    <t>SDCCTX102SPODA; SDCCTX103SPODA; SDCCTX104SPODA; SDCCTX105SPODA; SDCCTX106SPODA; SDCCTX134SPODA; SDCTDO01SPODA; SDCUBB01SPODA</t>
  </si>
  <si>
    <t>Remover atualização e reiniciar o servidor.</t>
  </si>
  <si>
    <t>Atualização crítica a ser aplicada em servidores listados como vulneráveis pela Segurança da Informação Contax, de acordo com o boletim MS12-017.</t>
  </si>
  <si>
    <t>DNSCTX101SPODA; DNSCTX102SPODA; SDCCTX101SPODA; SDCTDO01SPODA; SDCTDO05SPODA</t>
  </si>
  <si>
    <t>APPCTX400SPODA; AVS101CTXSPODA; BKPCTX101SPODA; DBSCTX129SPODA; JMPCTX01SPODA; MONCTX01SPODA; MONCTX02SPODA; MONCTX03SPODA; MONCTX05SPODA; MONCTX06SPODA; MONCTX101SPODA; STMCTX101SPODA; VCTCTX101SPODA; VDBCCTX101SPODA</t>
  </si>
  <si>
    <t>Manter a confiabilidade dos GMG´s quando solicitados por falta de energia da concessionária.</t>
  </si>
  <si>
    <t>GÊNESIS HENRIQUE DA SILVA</t>
  </si>
  <si>
    <t>Bradesco,Itaú,Net,Oi,Santander</t>
  </si>
  <si>
    <t>10 Geradores FG Wilson 500kVA</t>
  </si>
  <si>
    <t>Em caso de algum problema e imprevisto, desligaremos os Geradores e retornaremos pela Concessionaria.</t>
  </si>
  <si>
    <t>Dir. Clientes Especiais,Dir. Clientes Premium,Dir. Cobrança,Dir. de Produtos Financeiros,Dir. Oi,Dir. Televendas</t>
  </si>
  <si>
    <t>Instalação do Link de Dados da Souza Cruz</t>
  </si>
  <si>
    <t>LUIZ WASHINGTON GIANEZZI</t>
  </si>
  <si>
    <t>LEANDRO AMARAL SILVA</t>
  </si>
  <si>
    <t>Souza Cruz</t>
  </si>
  <si>
    <t>Implantação de projeto</t>
  </si>
  <si>
    <t>Retirar o modem e a fibra</t>
  </si>
  <si>
    <t>Transferencia da Linha 1340 para 4920</t>
  </si>
  <si>
    <t>VANDERLEI CASTRO SOUZA LIMA</t>
  </si>
  <si>
    <t>Matriz - MTZ</t>
  </si>
  <si>
    <t>Citibank,Fundação Atlântico Seg Social,Oi,Rede Globo</t>
  </si>
  <si>
    <t>Subestação Primaria Blindada</t>
  </si>
  <si>
    <t>PLANO DE RETORNO -Fechar a chaves (KS) da linha 4920; -Ao término do serviço será efetuado vistoria nos equipamentos e no CPD.</t>
  </si>
  <si>
    <t>Dir. Clientes Especiais,Dir. Cobrança,Dir. Televendas</t>
  </si>
  <si>
    <t>Mauá - RJO</t>
  </si>
  <si>
    <t>Normalizar alimentação elétrica estabilizada para os equipamentos do CPD, atendidos por dois No breaks em paralelo redundante, que atualmente estão em operação singela (somente um no-break).</t>
  </si>
  <si>
    <t>PÁFILO ANDALECIO GOMES</t>
  </si>
  <si>
    <t>Rio Branco - RBRSA</t>
  </si>
  <si>
    <t>Claro</t>
  </si>
  <si>
    <t>Informe o nome do componente na rede.</t>
  </si>
  <si>
    <t>Se houver algum imprevisto, o serviço será cancelado e os equipamentos manobrados para posição normal de operação, gerador, nobreak e baterias em modo automático.</t>
  </si>
  <si>
    <t>.</t>
  </si>
  <si>
    <t>Dir. Clientes Especiais,Dir. Clientes Premium,Dir. Cobrança,Dir. de Produtos Financeiros,Dir. Televendas</t>
  </si>
  <si>
    <t>Atender ao acrescimo de carga térmica após inserção de novas cargas no CPD do Prado II (37TR).</t>
  </si>
  <si>
    <t>CRISTIANO COTA DIAS</t>
  </si>
  <si>
    <t>Prado II - BHZ</t>
  </si>
  <si>
    <t>Ar condicionado.</t>
  </si>
  <si>
    <t>Caso ocorra algum incidente os técnicos manterão contato com os gestores afim de definir o caminho ótimo para a solução do incidente.</t>
  </si>
  <si>
    <t>Realização de manutenção preventiva dos grupos geradores Stemac e FG Wilson com transferência de carga.</t>
  </si>
  <si>
    <t>REGINALDO MIRANDA BISPO</t>
  </si>
  <si>
    <t>Cabula - SAL</t>
  </si>
  <si>
    <t>Itaú,Oi</t>
  </si>
  <si>
    <t>GMG</t>
  </si>
  <si>
    <t>Em eventual falha reportaremos para a área de missão critica, coordenador do site e gerência de cidade, após ser aprovado o procedimento restabeleceremos o sistema.</t>
  </si>
  <si>
    <t>NA</t>
  </si>
  <si>
    <t>Dir. Televendas</t>
  </si>
  <si>
    <t>Realização e manutenção preventiva da UPS chloride comparada do equipamento sem previsão de interrupção da caga crítica.</t>
  </si>
  <si>
    <t>UPS</t>
  </si>
  <si>
    <t>Em eventual falha reportaremos para a área de missão critica, coordenador do site e gerência de cidade, após ser aprovado o procedimento restabeleceremos a alimentação a carga critica do sistema.</t>
  </si>
  <si>
    <t>Manter a confiabilidade e disponibilidade dos GMG´s quando solicitados</t>
  </si>
  <si>
    <t>ELVIO DE BARROS MELO</t>
  </si>
  <si>
    <t>Net</t>
  </si>
  <si>
    <t>Caso haja problema retornaremos para a alimentação de energia via concessionaria.</t>
  </si>
  <si>
    <t>Dir. Clientes Premium</t>
  </si>
  <si>
    <t>Configurar a placa de rede do servidor APPCTX02FORBM_10.16.1.235</t>
  </si>
  <si>
    <t>LUCAS ALBERTO DE MORAES,PAULO ROGERIO GOMES</t>
  </si>
  <si>
    <t>Leader Magazine</t>
  </si>
  <si>
    <t>appctx02forbm; SWICORE007FORCPD</t>
  </si>
  <si>
    <t>1.9 Plano de Retorno: CSE - Microsoft voltar as configurações anteriores e validar o acesso. CSE - Redes voltar a configuração anterior e validar o acesso.</t>
  </si>
  <si>
    <t>CTXFORBM-343372</t>
  </si>
  <si>
    <t>Manter a confiabilidade do sistema</t>
  </si>
  <si>
    <t>ROBERTO LOPES</t>
  </si>
  <si>
    <t>No-breaks</t>
  </si>
  <si>
    <t>Para retorno do equipamento a sua condição normal, após todos os testes, analise visual e limpeza, estaremos transferindo a carga para concessionária passando ogerador de manual para automático e estará apto para reconhecer uma falta de energia e atuar plenamente</t>
  </si>
  <si>
    <t>Implantação de release de novas demandas do OI 10331 Unificada</t>
  </si>
  <si>
    <t>SILVANIO DOS SANTOS FERREIRA</t>
  </si>
  <si>
    <t>Alameda Santos - SPO</t>
  </si>
  <si>
    <t>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</si>
  <si>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Fazer o deploy da versão anterior da aplicação.</t>
  </si>
  <si>
    <t>Alegria - SPO</t>
  </si>
  <si>
    <t>Augusta - SPO</t>
  </si>
  <si>
    <t>Boa Viagem</t>
  </si>
  <si>
    <t>Campina Grande</t>
  </si>
  <si>
    <t>Centro - BHZ</t>
  </si>
  <si>
    <t>Comércio - SAL</t>
  </si>
  <si>
    <t>Dedic Campinas (Bahamas)</t>
  </si>
  <si>
    <t>Dedic Campinas (Elektro)</t>
  </si>
  <si>
    <t>Dedic Campinas (Hicham)</t>
  </si>
  <si>
    <t>Engenho de Dentro - RJO</t>
  </si>
  <si>
    <t>Fonte Nova - SAL</t>
  </si>
  <si>
    <t>João Pessoa - JPA</t>
  </si>
  <si>
    <t>Luigi Amorese -Dedic</t>
  </si>
  <si>
    <t>Mackenzie - RJO</t>
  </si>
  <si>
    <t>Nascente - FOR</t>
  </si>
  <si>
    <t>Navegantes - POA</t>
  </si>
  <si>
    <t>Niterói - NIT</t>
  </si>
  <si>
    <t>Passeio - RJO</t>
  </si>
  <si>
    <t>Prado - BHZ</t>
  </si>
  <si>
    <t>TDO - Aurora</t>
  </si>
  <si>
    <t>Manutenção com Substituir dos Capacitores do Nobreak 150KVA</t>
  </si>
  <si>
    <t>PAULO ROBERTO RIBEIRO DE LIMA</t>
  </si>
  <si>
    <t>Oi,TODO</t>
  </si>
  <si>
    <t>Nobreak´s 150KVA e 80KVA</t>
  </si>
  <si>
    <t>Substituir o CapacitoresTeste de tensão do Nobreak que será executado por Técnicos especializados. Na execução de atividade caso ocorra qualquer problema cancelaremos a GMUD imediatamente.</t>
  </si>
  <si>
    <t>MANUTENÇÃO CORRETIVA</t>
  </si>
  <si>
    <t>Manter a confiabilidade do sistema.</t>
  </si>
  <si>
    <t>Gerador</t>
  </si>
  <si>
    <t>Dir. Cobrança,Dir. Oi,Dir. Televendas</t>
  </si>
  <si>
    <t>Atualização de Service Pack 3 em Servidores de Banco com SQL Server 2008</t>
  </si>
  <si>
    <t>ANDERSON MOURA DE CARVALHO</t>
  </si>
  <si>
    <t>ROBERTO MAGALHÃES DE OLIVEIRA</t>
  </si>
  <si>
    <t>DBSCTX14RJOED; DBSCTX15RJOED; DBSCTX20RJOED</t>
  </si>
  <si>
    <t>Desinstalar Service Pack 3 do SQL Server.</t>
  </si>
  <si>
    <t>Substituir a solução de DNS Nixu do datacenter Alphaville, pela solução de DNS Microsoft.</t>
  </si>
  <si>
    <t>GERALDO DE ARAUJO FERNANDES JR.</t>
  </si>
  <si>
    <t>DAVID LOPES DA COSTA CHAVES,MARCUS VINÍCIUS RUSTIGUER</t>
  </si>
  <si>
    <t>DNSCTX01SPODA; NMSCTX01SPODA</t>
  </si>
  <si>
    <t>1) Desativar as interfaces de rede do servidor DNSCTX01SPODA 2) Solicitar ao time de redes ativar as portas do servidor NMSCTX01SPODA: - Acessar o switch 10.170.207.128 e ativar as portas: Gi1/0/16 Gi2/0/16 Gi3/0/16 Po16 - Acessar o switch 10.170.207.129 e ativar as portas: Gi0/16 3) Validar ambiente e fechar a GMUD</t>
  </si>
  <si>
    <t>Release URA USSD</t>
  </si>
  <si>
    <t>PRISCILA LUCIA PEREIRA DE ALBUQUERQUE GALARANI</t>
  </si>
  <si>
    <t>DANIEL SCHONWANDT MENDES FERREIRA</t>
  </si>
  <si>
    <t>APPCTX27RJOMK; APPCTX28RJOMK</t>
  </si>
  <si>
    <t>Realizar o UNDEPLOY da versão nova através do JBoss Refazer os Testes Técnicos e Funcionais.</t>
  </si>
  <si>
    <t>Instalação e configuração de 12 HD,s de 1 TB na Storage do Polo Aspect regional MG</t>
  </si>
  <si>
    <t>MARCELO EDUARDO COSTA</t>
  </si>
  <si>
    <t>MARCELO LUIS DE BARROS</t>
  </si>
  <si>
    <t>Emergencial</t>
  </si>
  <si>
    <t>Muito impacto</t>
  </si>
  <si>
    <t>Retirar os discos instalados.</t>
  </si>
  <si>
    <t>Garantir total confiabilidade e disponibilidade do sistema de contingência de energia elétrica do Site.</t>
  </si>
  <si>
    <t>Realizado testes técnicos e funcionais a pois a execução da atividade liberação dos equipamentos para funcionamento normal.</t>
  </si>
  <si>
    <t>Dir. Clientes Especiais,Dir. Oi,Dir. Televendas</t>
  </si>
  <si>
    <t>Citibank,Oi</t>
  </si>
  <si>
    <t>Dir. Cobrança,Dir. Oi</t>
  </si>
  <si>
    <t>Eliminar erros de replicação em alguns Domain Controllers do domínio contax-br.</t>
  </si>
  <si>
    <t>JOAO BATISTA DE LIMA NETO</t>
  </si>
  <si>
    <t>sdcctx01nitsp; sdcctx02forbm; sdcctx02poarb; sdcctx03recau; sdcctx03rjomk; sdcctx04bhzri; sdcctx04recsa; sdcctx106spodb; sdcctx11spolp</t>
  </si>
  <si>
    <t>Não existe um plano de retorno. Os servidores somente serão reiniciados.</t>
  </si>
  <si>
    <t>Oi-11853 Ajustes na regra de bolha Oi Controle (pré controle) OI-11780 Melhoria na vocalização dos áudios do ACM OI-11777 Incluir nova regra de isenção de taxa de adesão de oferta na URA OI-10559 Melhorias Fluxo 880_Limpeza de Fluxo &amp; Inclusão de ICs OI-11978 Novas Ofertas Controle - Ganho Tributário Low</t>
  </si>
  <si>
    <t>DIOGO ANÍSIO DE FRANÇA</t>
  </si>
  <si>
    <t>ALBERTO DE ARAUJO RODRIGUES</t>
  </si>
  <si>
    <t>APPCTX14RJONT; APPCTX16RJOED; APPCTX18RJOED; APPCTX19RJOED</t>
  </si>
  <si>
    <t>APPCTX14RJONT; APPCTX15RJOED; APPCTX16RJOED; APPCTX18RJOED; APPCTX19RJOED</t>
  </si>
  <si>
    <t>Retorna os arquivos de backup. Refazer os Testes Técnicos e Funcionais.</t>
  </si>
  <si>
    <t>Oi-11853 OI-11780 OI-11978</t>
  </si>
  <si>
    <t>Fazer o deploy da versão anterior da aplicação</t>
  </si>
  <si>
    <t>OI-11981 e OI-11778</t>
  </si>
  <si>
    <t>Implantação de release de novas demandas MultiProduto</t>
  </si>
  <si>
    <t>OI-11534 - OI-12050</t>
  </si>
  <si>
    <t>Essa manutenção, tem como objetivo manter a confiabilidade elétrica do Site, como também a conservação e desempenho do equipamento.</t>
  </si>
  <si>
    <t>GENALDO GOMES FERREIRA</t>
  </si>
  <si>
    <t>Claro,Oi</t>
  </si>
  <si>
    <t>Havendo necessidade de acionamento dos equipamentos os mesmos serão ativados.</t>
  </si>
  <si>
    <t>DNSCTX101SPODA; DNSCTX102SPODA; SDCCTX101SPODA; SDCCTX107SPODA; SDCCTX108SPODA; SDCINT001SPODA; SDCINT003SPODA; SDCTDO05SPODA</t>
  </si>
  <si>
    <t>Despromoção dos domain controllers do domínio bbctx.contax do site RJOPF que não estão em operação.</t>
  </si>
  <si>
    <t>DAVID LOPES DA COSTA CHAVES</t>
  </si>
  <si>
    <t>sdcctx201rjopf; sdcctx202rjopf</t>
  </si>
  <si>
    <t>1) Solicitar a inicialização dos equipamentos para o site. 2) Promover os servidores novamente a controladores de domínio. 3) Validar a replicação.</t>
  </si>
  <si>
    <t>No-break</t>
  </si>
  <si>
    <t>Realizado testes técnicos e funcionais a pois a execução da atividade liberação dos equipamentos para funcionamento normal fica em observação.</t>
  </si>
  <si>
    <t>Ativação circuito Vivo, MPLS Orbitall.</t>
  </si>
  <si>
    <t>EDSON PEREIRA DA SILVA</t>
  </si>
  <si>
    <t>NA; NA</t>
  </si>
  <si>
    <t>Não há plano de retorno, pois trata-se de um novo circuito.</t>
  </si>
  <si>
    <t>Implantação de melhoria e atualização da aplicação *144 Pós Pago.</t>
  </si>
  <si>
    <t>FRANCIELE CARLA DE LIMA COSTA</t>
  </si>
  <si>
    <t>RAFAEL BARBOSA DA SILVA</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</si>
  <si>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</si>
  <si>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Realizar o UNDEPLOY da versão nova através do Tomcat Manager Refazer os Testes Técnicos e Funcionais.</t>
  </si>
  <si>
    <t>OI-12029;OI-12042</t>
  </si>
  <si>
    <t>Migração do integrador do televendas para o produto tIntegra.</t>
  </si>
  <si>
    <t>TATIANA APARECIDA BARBOSA</t>
  </si>
  <si>
    <t>ANDERSON MOURA DE CARVALHO,CLAYTON ROBERTO LEITE,JOÃO CARLOS FADUL VILAS BÔAS,LUIZ GONZAGA DOS REIS,MARINA SOLIS MARIANO,PAULO CESAR DE SOUZA,ROBERTO MAGALHÃES DE OLIVEIRA</t>
  </si>
  <si>
    <t>DBSCTX29SPODA; FESCTX10SPODA</t>
  </si>
  <si>
    <t>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t>
  </si>
  <si>
    <t>Inserir os servidores na monitoria do NOC através da Ferramenta ZABBIX</t>
  </si>
  <si>
    <t>WELINTON DIVANI DA SILVA</t>
  </si>
  <si>
    <t>JONES ALVES DOS SANTOS</t>
  </si>
  <si>
    <t>TAM</t>
  </si>
  <si>
    <t>10.153.160.88; APPCTX20SPOAL; APPCTX22SPOAL; APPCTX23SPOAL; APPCTX24SPOAL; APPCTX25SPOAL; APPCTX26SPOAL; TLK000020005027; TLK000020005028; TLK000020005029; TLK000020005086; TLK000020005090; TLK000020005247; TLK200005026; URACTX01SPOAL; URACTX02SPOAL; URACTX03SPOAL; URACTX04SPOAL</t>
  </si>
  <si>
    <t>1º Parar o serviço (ZABBIX AGENT) 2º Acessar o Promp de Comando e remover o serviço 3º Apagar a Pasta ZABBIX do diretorio c:\</t>
  </si>
  <si>
    <t>Enviar para MULTIPRODUTO UUI específico para cliente R2.</t>
  </si>
  <si>
    <t>JORGE FRANCISCO OLIVEIRA PATACO</t>
  </si>
  <si>
    <t>URACTX04BSBPA; URACTX05BSBPA; URACTX04CGRPA; URACTX05CGRPA; URACTX04POAPA; URACTX05POAPA; URACTX05CTAPA; URACTX06CTAPA; URACTX07CTAPA; URACTX06BHZPA; URACTX07BHZPA; URACTX08BHZPA; URACTX06RECPA; URACTX07RECPA; URACTX08RECPA</t>
  </si>
  <si>
    <t>OI-12060</t>
  </si>
  <si>
    <t>Liberação no proxy visando acesso a aplicação do cliente GNF.</t>
  </si>
  <si>
    <t>THIAGO SILVA FERREIRA</t>
  </si>
  <si>
    <t>TODO</t>
  </si>
  <si>
    <t>Listados no campo Detalhe</t>
  </si>
  <si>
    <t>Retirada da configuração aplicada.</t>
  </si>
  <si>
    <t>Implantação de melhorias, com atualização de promoções e demandas de recarga na URA *144 Pré Pago.</t>
  </si>
  <si>
    <t>RONDINELLI PINHEIRO DOS SANTOS</t>
  </si>
  <si>
    <t>Oi-12026|Oi-11828</t>
  </si>
  <si>
    <t>Tratar casos de skill desconhecidos para operações outbound. Novas melhorarias (funcionalidades e performance).</t>
  </si>
  <si>
    <t>NGRFFACIL.oictx.contax.root</t>
  </si>
  <si>
    <t>FESCTX01SPODA; NGRFFACIL.oictx.contax.root</t>
  </si>
  <si>
    <t>1 - Se conecta no servidor via mstsc; 2 - Para a aplicação; 3 - Exclui o arquivo que foi copiado na estapa de execução; 4 - Restaura o nome do arquivo que foi renomeado na etapa de execução; 5 - Inicia a aplicação; 6 - Segue para o próximo servidor;; 1 - Se conectar no banco; 2 - Restaurar o backup feito na etapa de execução;</t>
  </si>
  <si>
    <t>CTXSALAS-160371</t>
  </si>
  <si>
    <t>Revisão mecânica dos grupos geradores para garantir eficiência no funcionamento durante falta de energia da Concessionária.</t>
  </si>
  <si>
    <t>Geradores</t>
  </si>
  <si>
    <t>Criação de novo relatório cruzamento do bilhete ECH e da gravação da Nice, para facilitar o processo de retriever solicitado pela OI</t>
  </si>
  <si>
    <t>JOSE ADRIANO DOS SANTOS</t>
  </si>
  <si>
    <t>DBSCTX30SPODB; FESCTX01SPODA</t>
  </si>
  <si>
    <t>Parar o JBOSS da aplicação tRetrieve Acessar a pasta D:\Todo\jboss-eap-6.2\standalone\deployments no servidor 10.170.61.8, excluir o arquivo tRetrieve.war e renomear a aplicação tRetrieve.war_DDMMYYYY_HHMM onde DDMMYYYY_HHMM será a data e hora no momento da aplicação para o nome tRetrieve.war para o caminho D:\Todo\jboss-eap-6.2\standalone\deployments Reiniciar o JBOSS Acessar o servidor do Reporting Services no IP: http://10.171.2.18/Reports/Pages/Folder.aspx Carregar o novo arquivo do relatório. Acessar a aplicação do manager do tReports http://tguidance.gtm.oictx.contax.root:8080/tguidance/ e associar o perfil do relatório para os usuários que deve ter acesso ao mesmo</t>
  </si>
  <si>
    <t>CTXMTZRP-43369</t>
  </si>
  <si>
    <t>Ativação e Migração dos links de telefonia da operadora i360</t>
  </si>
  <si>
    <t>ALEXANDRE YUKIO OKUNO</t>
  </si>
  <si>
    <t>Santander</t>
  </si>
  <si>
    <t>ACSCTX01SPOAL</t>
  </si>
  <si>
    <t>Voltar às posições inicias caso o E1 não alinhe os circuitos</t>
  </si>
  <si>
    <t>Garantir a confiabilidade do sistema de geração de energia emergencial.</t>
  </si>
  <si>
    <t>Procedimento para aplicar correções e melhorias no sistema Protheus.</t>
  </si>
  <si>
    <t>WILSON DE OLIVEIRA BRITO JUNIOR</t>
  </si>
  <si>
    <t>APPCTX131SPODB; APPCTX132SPODB</t>
  </si>
  <si>
    <t>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t>
  </si>
  <si>
    <t>TUBKMS</t>
  </si>
  <si>
    <t>Manter a confiabilidade do sistema de contingência na falta de energia.</t>
  </si>
  <si>
    <t>ELIZEU RODRIGUES MEDEIROS</t>
  </si>
  <si>
    <t>ALEXANDRE GARCIA FULY</t>
  </si>
  <si>
    <t>Brasil Veículo</t>
  </si>
  <si>
    <t>GERADORES</t>
  </si>
  <si>
    <t>Se houver algum imprevisto será cancelado o serviço e o Gerador será colocado em automático.</t>
  </si>
  <si>
    <t>Dir. Clientes Especiais</t>
  </si>
  <si>
    <t>Corrigir falhas de lentidão e travamentos nas ferramentas ALM e Enterprise Monitor.</t>
  </si>
  <si>
    <t>JOÃO PEREIRA DE SOUZA JUNIOR</t>
  </si>
  <si>
    <t>LEANDRO ROCHA GONÇALVES</t>
  </si>
  <si>
    <t>acsctx01forbm; boectx01forbm; corctx01forbm; expctx01forbm; expctx02forbm; expctx03forbm; expctx04form; pdmctx01forbm; recctx01forbm; repctx01forbm</t>
  </si>
  <si>
    <t>Como os servidores serão apenas reiniciados se por algum motivo algum servidor não subir, será necessário abrir chamado de incidente para tratamento da equipe responsável.</t>
  </si>
  <si>
    <t>Garantir a confiabilidade do sistema de geração de energia emergencial do Site Prado.</t>
  </si>
  <si>
    <t>Finalização da instalação do equipamento de precisão dentro da sala Pólo e start up do Fabricante (Diamont).</t>
  </si>
  <si>
    <t>ARTHUR PRADO DE HOLANDA MOURA</t>
  </si>
  <si>
    <t>ok</t>
  </si>
  <si>
    <t>Ativação do equipamento, testes e liberação.</t>
  </si>
  <si>
    <t>Banco do Brasil,Citibank,Oi</t>
  </si>
  <si>
    <t>Dir. Cobrança,Dir. Televendas</t>
  </si>
  <si>
    <t>Inspeção do forro do cpd para futuro reparo na climatização no local.</t>
  </si>
  <si>
    <t>Dutos de insuflamento e retorno de AR COND</t>
  </si>
  <si>
    <t>1. Verificar condição dos corredores entre os racks do CPD com todo sistema operando 2. Medir temperatura de insuflamento próximo às máquinas 3. Medir temperatura de retorno dentro da casa de máquinas 4. Medir velocidade do ar no retorno e no insuflamento da casa de máquinas 5. Medir temperatura nos corredores entre os racks 6. Verificar a condição de instalação das máquinas 7. Identificar melhorias possíveis de execução imediata, com realocação de difusores do ar frio e grades de coleta do ar quente 8. Executar os ajustes pontuais em difusores e grades 9. Efetuar as medições após os ajustes pontuais 10. Executar levantamento geral da instalação do sistema de climatização 11. com o equipamento adequado para o teste; Se houver algum imprevisto, o serviço será cancelado imediatamente.</t>
  </si>
  <si>
    <t>Manutenção</t>
  </si>
  <si>
    <t>Atualização da aplicação Corporativo. A release 20160106 terá como foco principal as seguintes mudanças abaixo: ? FUO-568 Inclusão MSGs BO aberto ? FUO-563 Inclusão MSGsEvento-Vulto</t>
  </si>
  <si>
    <t>URACTX04BSBPA; URACTX05BSBPA; URACTX04CGRPA; URACTX05CGRPA; URACTX04POAPA, URACTX05POAPA; URACTX05CTAPA; URACTX06CTAPA; URACTX07CTAPA; URACTX05SALPA; URACTX06SALPA; URACTX07SALPA; URACTX06BHZPA; URACTX07BHZPA; URACTX08BHZPA; URACTX06FORPA; URACTX07FORPA; URACTX08FORPA; URACTX06RJOPA; URACTX07RJOPA; URACTX08RJOPA; URACTX06RJOPB; URACTX07RJOPB; URACTX08RJOPB</t>
  </si>
  <si>
    <t>Undeploy da versão da máquina Application Server em questão e Deploy da nova versão utilizando o Tomcat Manager.da.</t>
  </si>
  <si>
    <t>Atualização da aplicação o OiTV. A release 20160121 terá como foco principal as seguintes mudanças abaixo: ? FUO-613 STI84860-PRJ 1379 (FIBRA/TV) ? FUO-605 Descontinuação Cliente Cabo</t>
  </si>
  <si>
    <t>Disponibilização de mais um servidor para o cliente Claro visando a instalação de gravação de tela da operação.</t>
  </si>
  <si>
    <t>RODRIGO VASCONCELOS ELUAN DE ARAÚJO,THIAGO SILVA FERREIRA</t>
  </si>
  <si>
    <t>Desconexão dos cabos do core e retirada da alimentação elétrica do servidor.</t>
  </si>
  <si>
    <t>Instalar 5 troncos (E1) de propriedade da Souza Cruz no Datacenter Alegria</t>
  </si>
  <si>
    <t>TELLABS 6335</t>
  </si>
  <si>
    <t>Retirar a placa</t>
  </si>
  <si>
    <t>Instalação do Release Update 13 do Exchange 2010 SP3 Corrige bugs e aumenta a performance da aplicação.</t>
  </si>
  <si>
    <t>EDSON ANTONIO DA SILVA DIAS</t>
  </si>
  <si>
    <t>RAFAEL SIMPLES</t>
  </si>
  <si>
    <t>mesctx101spodb; mesctx102spodb; mesctx103spodb; mesctx104spodb</t>
  </si>
  <si>
    <t>Desinstalação de patches de segurança Windows.</t>
  </si>
  <si>
    <t>Excluir, através de scripts, de inconsistências no Beweb (Benefícios) - (1) associação de benefício (INT002) e movimentações afins e (2) exclusão de tarefa referente à geração de arquivo que ficou presa.</t>
  </si>
  <si>
    <t>MYRIAM WANDERLEY DA NOBREGA SANTOS</t>
  </si>
  <si>
    <t>ANDERSON MOURA DE CARVALHO,CLAYTON ROBERTO LEITE,MARINA SOLIS MARIANO,MYRIAM WANDERLEY DA NOBREGA SANTOS,ROBERTO MAGALHÃES DE OLIVEIRA</t>
  </si>
  <si>
    <t>DBSCTX127SPODB</t>
  </si>
  <si>
    <t>Não se aplica, pois como a informação a ser atualizada está inconsistente, não haverá necessidade de estornar o valor original após realizar a atualização.</t>
  </si>
  <si>
    <t>Instalar antivírus e aplicar políticas de antivírus nos controladores de domínio da floresta claroctx.contax.</t>
  </si>
  <si>
    <t>sdcctx201spodb; sdcctx202spodb</t>
  </si>
  <si>
    <t>1) Acessar os servidores SDCCTX201SPODB e SDCCTX202SPODB via RDP 2) Remover o client do antivírus 3) Reiniciar os servidores (um por vez) 4) Validar a replicação 5) Solicitar testes na ponta.</t>
  </si>
  <si>
    <t>Execução das demandas da OI10331Unificada</t>
  </si>
  <si>
    <t>PAULO VINÍCIUS DOS SANTOS PEREIRA</t>
  </si>
  <si>
    <t>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t>
  </si>
  <si>
    <t>Undeploy da versão da máquina Application Server em questão e Deploy da nova versão utilizando o Tomcat Manager.</t>
  </si>
  <si>
    <t>OI-11834, OI-10911</t>
  </si>
  <si>
    <t>Preventiva Energ sem carga do gerador Stemac 230 KVA - Site Alameda Santos</t>
  </si>
  <si>
    <t>LUIS FERNANDO COSTA NEVES</t>
  </si>
  <si>
    <t>Contax,TODO</t>
  </si>
  <si>
    <t>GMG - Site ALAMEDA</t>
  </si>
  <si>
    <t>Toda atividade será realizada seguindo procedimentos e medidas de controle caso aja qualquer anomalia na execução iremos paralisar e retornar o processo do inicio, sempre sinalizando os interessados da atividade</t>
  </si>
  <si>
    <t>Configurar protocolo SLPP de prevenção a loop na rede em todos os switches de acesso do site.</t>
  </si>
  <si>
    <t>WESLEY DE OLIVEIRA SANTANA</t>
  </si>
  <si>
    <t>Realizar Rollback do script de execução.</t>
  </si>
  <si>
    <t>Manutenção Corretiva das Torres de Resfriamento</t>
  </si>
  <si>
    <t>torre de 150tr</t>
  </si>
  <si>
    <t>Substituir das peças da Torre de Resfriamento . Os Teste será executado por Técnicos especializados. Na execução de atividade caso ocorra qualquer problema cancelaremos a GMUD imediatamente.</t>
  </si>
  <si>
    <t>MANUTENÇÃO DAS TORRES DE RESFRIAMENTO</t>
  </si>
  <si>
    <t>Realizar Manutenção preventiva no grupo de moto geradores, sem desligamento da concessionaria.</t>
  </si>
  <si>
    <t>Configurar contingência automática do link L2L Algar / Embratel. Cliente Elektro</t>
  </si>
  <si>
    <t>LUCAS ALBERTO DE MORAES</t>
  </si>
  <si>
    <t>RTEH03</t>
  </si>
  <si>
    <t>LINK DE CONTIGÊNCIA ELEKTRO Configurar o HSRP para fazer a troca automática quando houver a queda no link da Algar: Motivo: Foi informado pelo site que o link Embratel não fica ativo quando o link principal da algar fica down. Etapa: Script a configurar na interface vlan 905 RTEH03 script a configurar na interface vlan 905 no rteh03 ip sla 20 icmp-echo 192.168.250.162 frequency 25 exit ip sla schedule 1 life forever start-time now track 20 ip sla 1 reachability int vlan 905 standby 20 track 20 decrement 10 2. Etapa Verificar qual o router é o active com o comando abaixo: rteh03#show standby brief 3.Etapa Entrar na interface abaixo e : 1.interface GigabitEthernet0/14 2.shutdown 4.Etapa rteh03#show standby brief OBS: O ip 10.130.96.38 tem que estar no estado de ACTIVE. 5.Etapa Verificar o trafego pelo link da EMBRATEL. Traceroute 192.168.250.162 Show ip route 192.168.250.162 6.Etapa Caso não ocorra a contingência, rolback da atividade.</t>
  </si>
  <si>
    <t>CTXCASEK-1564</t>
  </si>
  <si>
    <t>No Break</t>
  </si>
  <si>
    <t>Não haverá plano de retorno, pois nenhum sistema será desligado.</t>
  </si>
  <si>
    <t>Ativação circuito Embratel, MPLS Orbitall.</t>
  </si>
  <si>
    <t>Implantar nova opção de busca paraextração de relatórios tProcess.</t>
  </si>
  <si>
    <t>JAIME FROILAN DE SOUZA ALOSILLA</t>
  </si>
  <si>
    <t>1. Baixar a aplicaÃ§Ã£o atravÃ©s do comando ./shutdown 2. Voltar a versÃ£o do plugin antigo. 3. voltar a versÃ£o dos workflows 4. Remover o campo "reporter username"</t>
  </si>
  <si>
    <t>CTXSPOAP407-13232</t>
  </si>
  <si>
    <t>Implementar melhorias no CRM AYTY.</t>
  </si>
  <si>
    <t>MARCIO ROBERTO ALVES NAKAYA</t>
  </si>
  <si>
    <t>Cielo</t>
  </si>
  <si>
    <t>appctx47spolp; DBSCTX47SPOLP</t>
  </si>
  <si>
    <t>Desabilitar e retirar nova versão do CRM.</t>
  </si>
  <si>
    <t>FELIPE NASCIMENTO DE MENEZES TAVARES</t>
  </si>
  <si>
    <t>LUIZ HENRIQUE OLIVEIRA DA SILVA</t>
  </si>
  <si>
    <t>Oi-11997 / Oi-11945</t>
  </si>
  <si>
    <t>Realização de manutenção preventiva e preditiva sem desligamento de 05 No-breaks do site Fonte Nova.</t>
  </si>
  <si>
    <t>Implantação de melhoria e atualização da aplicação URA Cartão.</t>
  </si>
  <si>
    <t>OI-12098</t>
  </si>
  <si>
    <t>Iremos realizar manutenção preventiva no GMG, testes serão realizados sem teste de carga.</t>
  </si>
  <si>
    <t>MARCIO LUIS DE GODOI JUNIOR</t>
  </si>
  <si>
    <t>BV Financeira,Cielo</t>
  </si>
  <si>
    <t>GMG site Lapa</t>
  </si>
  <si>
    <t>PLANO DE RETORNO: Toda atividade será acompanhada via sms e nextel por especialista de energia Contax, caso ocorra qualquer anomalia na execução da atividade iremos paralizar e retornar ao inicio do processo</t>
  </si>
  <si>
    <t>Implantação do software supervisório, realização de testes de funcionamento durante 4 dias para certificação que todas as funções estão operacionais e não possuem erros.</t>
  </si>
  <si>
    <t>Não há</t>
  </si>
  <si>
    <t>Atualizar tabela ICR do com os serviços destinos para atender demanda de URA</t>
  </si>
  <si>
    <t>WILSON SHIGERU MIYAZAKI</t>
  </si>
  <si>
    <t>dbsctx08spoda</t>
  </si>
  <si>
    <t>Voltar a tabela na versão antiga na base (MOVEL_NOVOMODELO)</t>
  </si>
  <si>
    <t>Alterar o processo de carga do arquivo de ofertas da operação R1 Móvel, do FE Tcollect.</t>
  </si>
  <si>
    <t>CAMILLA EUGÊNIA FERMIANO</t>
  </si>
  <si>
    <t>GUSTAVO RODRIGUES DE ORNELAS SILVA</t>
  </si>
  <si>
    <t>cssqloivarejo</t>
  </si>
  <si>
    <t>1 - Abrir o SQL Server Management Studio, e conectar No BD FTStage do servidor 10.55.14.11. 2- Apagar as Procedures criadas: &gt; DROP PROCEDURE ParseDataExchange_BatchLoad_Oi_Varejo_Movel_Ofertas &gt; DROP PROCEDURE PrepareBatchLoadDataExchange_BatchLoad_Oi_Varejo_Movel_Ofertas 3 - Executar o Comando a Seguir: &gt; sp_rename ParseDataExchange_BatchLoad_Oi_Varejo_Movel_Ofertas_GMUD19120 ParseDataExchange_BatchLoad_Oi_Varejo_Movel_Ofertas &gt; sp_rename PrepareBatchLoadDataExchange_BatchLoad_Oi_Varejo_Movel_Ofertas_GMUD19120 PrepareBatchLoadDataExchange_BatchLoad_Oi_Varejo_Movel_Ofertas</t>
  </si>
  <si>
    <t>CTXFORBM-344109</t>
  </si>
  <si>
    <t>Alterar o tempo de sessão expirada no IIS para os servidores de produção do Minha Contax passando para 2 minutos de acordo com o padrão pela SI Contax.</t>
  </si>
  <si>
    <t>FELIPE DE OLIVEIRA MOREIRA</t>
  </si>
  <si>
    <t>10.201.66.52; APPCTX181SPODB; APPCTX182SPODB; APPCTX185SPODB</t>
  </si>
  <si>
    <t>Não se aplica.</t>
  </si>
  <si>
    <t>Não se aplica</t>
  </si>
  <si>
    <t>Migrar o Banco de Dados da aplicação CTXPlan 2.0 do disco C: para o disco E:</t>
  </si>
  <si>
    <t>FELIPE WENCESLAU FRANCA DE JESUS</t>
  </si>
  <si>
    <t>APPCTX78SPOAL</t>
  </si>
  <si>
    <t>---- Para Mysql ---- Alterar arquivo INI ---- Voltar diretório para a mesma localização antiga ---- Iniciar Mysql ---- Analisar logs ---- Validação pela equipe Produção TI</t>
  </si>
  <si>
    <t>CTXSPOAL-102768</t>
  </si>
  <si>
    <t>Remover alarme Major ( DAC Fortaleza A )</t>
  </si>
  <si>
    <t>REGINALDO ALVES DE SOUZA</t>
  </si>
  <si>
    <t>Fortaleza A</t>
  </si>
  <si>
    <t>Retornar as placas antigas.</t>
  </si>
  <si>
    <t>CTXFORBM-327070</t>
  </si>
  <si>
    <t>Adequação do sistema de monitoramento das salas; pólo e de monitoramento.</t>
  </si>
  <si>
    <t>Não há plano de retorno, pois não haverá indisponibilidade.</t>
  </si>
  <si>
    <t>Mitigar vulnerabilidades apontadas pela auditoria Contax.</t>
  </si>
  <si>
    <t>DBSCTX145SPODB</t>
  </si>
  <si>
    <t>Evitar desligamento não programado do Controlador de Domínio do Site Cabula - SALSM</t>
  </si>
  <si>
    <t>VINÍCIUS FERNANDES CHATEAUNEUF</t>
  </si>
  <si>
    <t>TIAGO MAIA BISPO</t>
  </si>
  <si>
    <t>Itaú</t>
  </si>
  <si>
    <t>Não há plano de retorno</t>
  </si>
  <si>
    <t>CTXSALSM-86060</t>
  </si>
  <si>
    <t>Atualização da aplicação OiTV. A release 20160118 terá como foco principal as seguintes mudanças abaixo: ? FUO-613 STI84860-PRJ1379(FIBRA/TV)</t>
  </si>
  <si>
    <t>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</si>
  <si>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CLAYTON ROBERTO LEITE</t>
  </si>
  <si>
    <t>DBSCTX104SPODB; DBSCTX139SPODB; DBSCTX141SPODB; DBSCTX245SPODB; DBSCTX359SPODB; DBSCTX35SPODB</t>
  </si>
  <si>
    <t>PAULO ROGERIO GOMES,ROBERTO MAGALHÃES DE OLIVEIRA</t>
  </si>
  <si>
    <t>APPCTX17NITSP; DBSCTX10NITSP; DBSCTX14NITSP</t>
  </si>
  <si>
    <t>DBSCTX72RJORP; SENCTX01RJORP\NICESENTINEL; STLCTX01RJORP; UNFCTX01RJORP</t>
  </si>
  <si>
    <t>Torre de 150tr</t>
  </si>
  <si>
    <t>Manutenção preventiva no gerador</t>
  </si>
  <si>
    <t>LEVI CARDOSO</t>
  </si>
  <si>
    <t>BO Anatel,Oi,TODO</t>
  </si>
  <si>
    <t>Caso no planejamento inicial do trabalho seja detectado alguma dificuldade o trabalho será cancelado antes do inicio do mesmo</t>
  </si>
  <si>
    <t>Dir. Clientes Especiais,Dir. Oi</t>
  </si>
  <si>
    <t>Disponibilizar mais espaço de armazenamento.</t>
  </si>
  <si>
    <t>ALEXANDRE FERNANDES FRANCISCO</t>
  </si>
  <si>
    <t>Bradesco</t>
  </si>
  <si>
    <t>appctx15spolp</t>
  </si>
  <si>
    <t>1 - Suporte campo local remove os discos inseridos. 2 - CSE-Microsoft altera nome do compartilhamento anexos_old para anexos . 3 - CSE-Microsoft reinicia o servidor.</t>
  </si>
  <si>
    <t>CTXSPOLP-116754</t>
  </si>
  <si>
    <t>Preventiva mensal dos geradores de 200kva e 450kva. Testes com e sem carga.</t>
  </si>
  <si>
    <t>RODRIGO CABRAL GOMES</t>
  </si>
  <si>
    <t>Comunicação com missão critica e NOC</t>
  </si>
  <si>
    <t>Corrigir a demanda OI-11778 da fixa</t>
  </si>
  <si>
    <t>Emergencial Informativa</t>
  </si>
  <si>
    <t>CTXMLTREG-5399</t>
  </si>
  <si>
    <t>DBSCTX12SPOBF; SENCTX01SPOBF\NICESENTINEL; UNFCTX01SPOBF</t>
  </si>
  <si>
    <t>DBSCTX37SPOLP; DBSCTX38SPOLP; DBSCTX47SPOLP</t>
  </si>
  <si>
    <t>Alterar a view VW_INTERFACE_TELEMETRIA com os novos parâmetros contidos no código em anexo nesta GMUD.</t>
  </si>
  <si>
    <t>JOSE ULISSES FERNANDES CONCEIÇÃO JUNIOR</t>
  </si>
  <si>
    <t>CLAYTON ROBERTO LEITE,JOSE ULISSES FERNANDES CONCEIÇÃO JUNIOR</t>
  </si>
  <si>
    <t>DBSCTX241SPODB</t>
  </si>
  <si>
    <t>Será realizado restore da base de dados SMOPROD.</t>
  </si>
  <si>
    <t>não se aplica</t>
  </si>
  <si>
    <t>Demanda Aplicação OCT</t>
  </si>
  <si>
    <t>URACTX04BSBPA; URACTX05BSBPA; URACTX04CGRPA; URACTX05CGRPA; URACTX04POAPA; URACTX05POAPA; URACTX05CTAPA; URACTX06CTAPA; URACTX07CTAPA; URACTX05SPOPA; URACTX06SPOPA; URACTX07SPOPA; URACTX06BHZPA; URACTX07BHZPA; URACTX08BHZPA; URACTX06FORPA; URACTX07FORPA; URACTX08FORPA; URACTX06RECPA; URACTX07RECPA; URACTX08RECPA; URACTX06RJOPA;URACTX07RJOPA;URACTX08RJOPA; URACTX06SALPA; URACTX07SALPA; URACTX08SALPA; URACTX08RJOPB; URACTX07RJOPB; URACTX06RJOPB</t>
  </si>
  <si>
    <t>Realizar o UNDEPLOY da versão nova através do Tomcat Manager Refazer os Testes Técnicos e Funcionais. Obs.: Plano de retorno é mais rápido, devido à atualização e verificação do primeiro servidor atualizado, impedindo o rollback para os demais servidores.</t>
  </si>
  <si>
    <t>oi-12274; oi-12275; oi-12276; oi-12277</t>
  </si>
  <si>
    <t>Aumentar o numero de licenças para tronco no CMS DAC Navegantes 10.54.17.153</t>
  </si>
  <si>
    <t>RAFAEL DIAS CORREA</t>
  </si>
  <si>
    <t>LEANDRO RIBEIRO ALCOFORADO</t>
  </si>
  <si>
    <t>Navegantes</t>
  </si>
  <si>
    <t>Configurar o CMS no modo "mono-usuário" 1- Selecionar uma operação de configuração do sistema CMS. 2- Alocação de armazanamento de dados. 3- Alterar o campo "Troncos" De 5000 Para 5300. Retirar o CMS do modo "mono-usuário".</t>
  </si>
  <si>
    <t>CTXPOARB-99312 /CTXPOARB-99313</t>
  </si>
  <si>
    <t>Atender a solicitação da Oi no Projeto Pré Routing para que a Oi se torne a Controladora das chamadas</t>
  </si>
  <si>
    <t>FABIANA CARLA DE SOUZA DIAS</t>
  </si>
  <si>
    <t>SBCPCTXCGRPA; SBCPCTXCTAPA; SBCPCTXPOAPA</t>
  </si>
  <si>
    <t>Voltar o trafego das chamadas para o Realm que encontra-se em produção atualmente.</t>
  </si>
  <si>
    <t>Atualização da aplicação Empresarial. A release 20160121 terá como foco principal as seguintes mudanças abaixo: ? FUO 653 - Cliente fixo Controle Empresarial</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</si>
  <si>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</si>
  <si>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DBSCTX05RJOED; DBSCTX22RJOED; DBSCTX23RJOED; DBSCTX25RJOED</t>
  </si>
  <si>
    <t>OI-12272 Atualização da IN no Fluxo de Cancelamento de Pré-Contratação OI -12273 Inclusão de opção “retornar ao MenuPrincipal” no MInformaPromoOiControleConectado2 OI-10252 Ajustes nas Consultas M4U – Recarga; OI-10559 Melhorias Fluxo 880_Limpeza de Fluxo &amp; Inclusão de ICs; Em aprovação OI-10255 Base Única M4U - Integração com URA *880;Ag M4U alterar interface e testes integrados com M4U. OI-12186 Melhorias ACM 2ª Fase OI-12252 Incentivo Recarga bolha semanal</t>
  </si>
  <si>
    <t>JANAÍNA SILVA LIMA</t>
  </si>
  <si>
    <t>APPCTX14RJONT; APPCTX15RJOED; APPCTX16RJOED; APPCTX18RJOED; APPCTX19RJOED; APPOIM03SPOAL; APPOIM04SPOAL; APPOIM04SPOLP; APPOIM05SPOLP; DBSOIM01SPOAL; NMSIOM01SPOAL; NMSOIM04SPOLP</t>
  </si>
  <si>
    <t>OI-12272,OI -12273,OI-10252,OI-10559,OI-10255,OI-12186,OI-12252</t>
  </si>
  <si>
    <t>Esta manutenção garantirá a confiabilidade dos No-Break´s que alimentam as cargas do CPD.</t>
  </si>
  <si>
    <t>VALTER DE CAMPOS NICOLAU</t>
  </si>
  <si>
    <t>Manutenção do Nobreak Elektro</t>
  </si>
  <si>
    <t>Após testes funcional e técnico, o técnico da empresa contratada retornará todo sistema em modo automático e elaborará o relatório final.</t>
  </si>
  <si>
    <t>Manutenção corretiva do GMG 440KVA.</t>
  </si>
  <si>
    <t>Bradesco,Oi,Santander,TODO</t>
  </si>
  <si>
    <t>Após testes funcionais o técnico retorna todo sistema em modo automático e Se houver algum imprevisto será cancelado o serviço imediatamente.</t>
  </si>
  <si>
    <t>Manutenção Corretiva</t>
  </si>
  <si>
    <t>OI-12278;OI-12364;</t>
  </si>
  <si>
    <t>Restart do servidor 10.200.2.101 (Frontend Ayty CRM da operação Citi Bank)</t>
  </si>
  <si>
    <t>PYTTER SANTIAGO DE ANDRADE</t>
  </si>
  <si>
    <t>DAVID LOPES DA COSTA CHAVES,JOAO BATISTA DE LIMA NETO</t>
  </si>
  <si>
    <t>Citibank</t>
  </si>
  <si>
    <t>appctx200spoda</t>
  </si>
  <si>
    <t>Não haverão alterações para rollback, apenas o restart do servidor.</t>
  </si>
  <si>
    <t>Esta manutenção garantirá a confiabilidade dos GMG´s que alimentam as cargas do CPD, através Manutenção Preventiva dos dois GMG´s de 440 KVAs e um de 180 KVA cada do Site Hicham e um de 180 KVa do site Elektro.</t>
  </si>
  <si>
    <t>Manutenção dos GMGs; Manutenção dos GMGs Hicham e Elektro</t>
  </si>
  <si>
    <t>Para retorno do equipamento a sua condição normal, após todos os testes, análise visual e limpeza, estaremos apertando a botoeira de mudança para a função automático e o gerador estará apto para reconhecer uma falta de energia e atuar plenamente.</t>
  </si>
  <si>
    <t>Corrigir horário dos DACs Londrina e EH-Campinas.</t>
  </si>
  <si>
    <t>JOSE LADISLAU GONÇALVES JUNIOR</t>
  </si>
  <si>
    <t>VIVO</t>
  </si>
  <si>
    <t>DAC Hicham; DAC Londrina</t>
  </si>
  <si>
    <t>Reconfigurar os NTPs anteriores a GMUD.</t>
  </si>
  <si>
    <t>Bradesco,Itaú,Itaú Card,Oi,Santander</t>
  </si>
  <si>
    <t>Dir. Clientes Especiais,Dir. Cobrança,Dir. de Produtos Financeiros,Dir. Oi,Dir. Televendas</t>
  </si>
  <si>
    <t>Restabelecer alta disponibilidade do cluster do Nice responsável pelo sistema de gravação ativo e receptivo.</t>
  </si>
  <si>
    <t>GRVCTX111SPODB; GRVCTX112SPODB</t>
  </si>
  <si>
    <t>1) Desligar o servidor GRVCTX112SPODB 2) Solicitar ao time de banco que valide os serviços do SQL 3) Solicitar ao time do CSE-Gravadores que valide os serviços do Nice.</t>
  </si>
  <si>
    <t>CTXSPOAL-0000</t>
  </si>
  <si>
    <t>Manter a confiabilidade do sistema de contigência.</t>
  </si>
  <si>
    <t>Acompanhar o Desligamento dos geradores; Fim dos testes; Será efetuada vistoria nos No Breaks do CPD e Operação; Verificado a climatização das salas dos No Breaks e CPD; Após a execução dos serviços acima relacionados, será emitido laudo atestando a funcionalidade dos geradores.</t>
  </si>
  <si>
    <t>No-break de 80kva e 65Kva Operações do 5º pavimento.</t>
  </si>
  <si>
    <t>Nobreak´s de 65KVA, 80KVA.</t>
  </si>
  <si>
    <t>As atividades de testes de tensão dos Nobreak`s que será executado por Técnicos especializados. Na execução de atividade caso ocorra qualquer problema cancelaremos a GMUD imediatamente.</t>
  </si>
  <si>
    <t>manutenção preventiva</t>
  </si>
  <si>
    <t>Realizar o upgrade de versão do Vcloud Director e Vcloud Director Database</t>
  </si>
  <si>
    <t>MATHEUS MASCÁRA DA SILVA</t>
  </si>
  <si>
    <t>vdtctx101spodb</t>
  </si>
  <si>
    <t>Será realizado restauração da VM atraves do Data Protector</t>
  </si>
  <si>
    <t>Manutenção preventiva nos Nobreaks 120kva e 150kva localizados no prédio anexo, 3x50kva DPA localizado no 2°andar principal atende CPD e 30kva localizado no 8°andar principal.</t>
  </si>
  <si>
    <t>1° etapa: Se houver algum imprevisto será cancelado o serviço imediatamento e comunicado a missão crítica e areas envolvidas.; 2° etapa: Se houver algum imprevisto será cancelado o serviço imediatamento e comunicado a missão crítica e areas envolvidas.</t>
  </si>
  <si>
    <t>RESTART DA SENHA FRONT FÁCIL DAC NAVEGANTES</t>
  </si>
  <si>
    <t>AROLDO DE FARIAS ACIOLY NETO</t>
  </si>
  <si>
    <t>DANIEL SOUZA PIMENTEL</t>
  </si>
  <si>
    <t>Correção de ligações MUDAS APC Polo CE</t>
  </si>
  <si>
    <t>LUIZ CLAUDIO XAVIER</t>
  </si>
  <si>
    <t>FABIO LUIZ LINHARES FLORES,LEANDRO ROCHA GONÇALVES</t>
  </si>
  <si>
    <t>APCCTX02FORBM</t>
  </si>
  <si>
    <t>Efetuar a ativação do Firewall nos servidore APC 2 e 3</t>
  </si>
  <si>
    <t>Análise de alarme na Fonte SBC POP SP</t>
  </si>
  <si>
    <t>SBCPCTXSPOPA002</t>
  </si>
  <si>
    <t>Voltar as respectivas fontes Stand by nos SBCs 1 e 2 de forma original.</t>
  </si>
  <si>
    <t>Atualização do sistema EGMUD, versão 2.7</t>
  </si>
  <si>
    <t>MARILICE DE OLIVEIRA</t>
  </si>
  <si>
    <t>JÚLIO BOTELHO,WILSON DE OLIVEIRA BRITO JUNIOR</t>
  </si>
  <si>
    <t>DBSCTX35SPOAL</t>
  </si>
  <si>
    <t>Em caso de problema restaurar backup.</t>
  </si>
  <si>
    <t>Caso não ocorra a contingência, rolback da atividade.</t>
  </si>
  <si>
    <t>Correção do projeto OI-6798.</t>
  </si>
  <si>
    <t>VITOR SILVA DELFINO</t>
  </si>
  <si>
    <t>URACTX04BSBPA / URACTX05BSBPA; URACTX04CGRPA /URACTX05CGRPA; URACTX04POAPA / URACTX05POAPA; URACTX05CTAPA /URACTX06CTAPA /URACTX07CTAPA; URACTX06BHZPA /URACTX07BHZPA /URACTX08BHZPA; URACTX06RECPA /URACTX07RECPA /URACTX08RECPA; URACTX06RJOPA /URACTX07RJOPA /URACTX08RJOPA; URACTX07FORPA /URACTX08FORPA /URACTX06FORPA</t>
  </si>
  <si>
    <t>CTXSPOAS-5388</t>
  </si>
  <si>
    <t>Instalação de 08 novos servidores migrados do paulista 07 na sala pólo alegria.</t>
  </si>
  <si>
    <t>BRSPODC133 BRSPODC132 BRSPOPL126 BRSPOPL134 BRSPOP</t>
  </si>
  <si>
    <t>Desconectar todos os servidores da alimentação e desconectar os cabos de rede.</t>
  </si>
  <si>
    <t>instalação do TOP nas posições da claro salvador e Acre</t>
  </si>
  <si>
    <t>MARCUS VINÍCIUS DE JESUS BARBOSA</t>
  </si>
  <si>
    <t>MARCUS VINÍCIUS DE JESUS BARBOSA,RODRIGO VASCONCELOS ELUAN DE ARAÚJO</t>
  </si>
  <si>
    <t>Efetuar o rollback da versão 1.30 do TOP.</t>
  </si>
  <si>
    <t>n/a</t>
  </si>
  <si>
    <t>Manutenção preventiva trimestral no Nobreak 80kva, localizado 9°andar</t>
  </si>
  <si>
    <t>Se houver algum imprevisto será cancelado o serviço imediatamento e comunicado a missão crítica e areas envolvidas.</t>
  </si>
  <si>
    <t>Atualizar 2 tabelas ICR PR_FIXA_UNIFICADA e FIXA_UNIFICADA_NOVOMODELO para os serviços e opções de atualização da URA. alteração das tabelas de roteamento da aplicação Fixa que está em produção. URA_CANAL: 31 URA_CANAL: 09 Alteração: Inclusão de 8 linhas de roteamento não escopo (URA OPÇÃO: EE; EJ; EF; EL; EG; EM; EH e EN)</t>
  </si>
  <si>
    <t>MARCIO SEIHIRO OKA</t>
  </si>
  <si>
    <t>Voltar a tabela antiga de acordo com o Produto</t>
  </si>
  <si>
    <t>CTXRJOMA-77472</t>
  </si>
  <si>
    <t>Corrigir digito verificador de numeração gerada pelo sistema.</t>
  </si>
  <si>
    <t>Serasa</t>
  </si>
  <si>
    <t>dbsctx12spobf</t>
  </si>
  <si>
    <t>1 - conectar no sql server do servidor 10.42.0.135. 2 - voltar backup da procedure "dbo.sp_incluir_parcela_acordo_por_devedor" .</t>
  </si>
  <si>
    <t>Melhorias na plataforma.</t>
  </si>
  <si>
    <t>PAULO CESAR DE SOUZA</t>
  </si>
  <si>
    <t>FESCTX10SPODA</t>
  </si>
  <si>
    <t>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 Efetuar os testes técnicos e testes funcionais</t>
  </si>
  <si>
    <t>Atualizar o FPw com a versão específica 2014.2.0.179 da Folha de Pagamento, com alterações referentes à geração dos relatórios anuais -DIRF, Comprovante de Rendimentos e RAIS.</t>
  </si>
  <si>
    <t>FELIPE DE OLIVEIRA MOREIRA,MYRIAM WANDERLEY DA NOBREGA SANTOS</t>
  </si>
  <si>
    <t>APPCTX113SPODB; APPCTX114SPODB; APPCTX115SPODB; APPCTX117SPODB; APPCTX118SPODB; APPCTX119SPODB; APPCTX181SPODB; APPCTX182SPODB; APPCTX184SPODB; APPCTX185SPODB; APPCTX264SPODB; BRSPOPL032</t>
  </si>
  <si>
    <t>Plano de Retorno - passos: a) Desinstalar a aplicação, removendo os aplicativos atualizados nesta versão através do Painel de Controle / Adicionar/Remover Programas nos servidores de aplicação - FPw Folha de Pagamento Servidor e Cliente. Observação: ao desinstalar o Fpw Folha de Pagamento serão removidos os módulos de Folha e RH: Cadastros e Cálculos, Emissões, Autorizações, Interface Contábil, Vale Transporte, Tabelas Genéricas, Cargos e Salários e Treinamento. b) Reinstalar a versão anterior da versão do FPw - servidor e cliente, através dos instaladores da versão anterior, seguindo o mesmo procedimento de atualização descrito neste plano. ATENÇÂO: Na instalação, selecionar apenas os instaladores referentes aos módulos que foram removidos, citados acima. Local dos instaladores: \\10.49.10.14\c$\FPw_Atualizacoes_Produtos_LG\ Instaladores_mais_recentes\01-Servidor \\10.49.10.14\c$\FPw_Atualizacoes_Produtos_LG\ Instaladores_mais_recentes\03-Cliente</t>
  </si>
  <si>
    <t>-</t>
  </si>
  <si>
    <t>Ativação circuito Embratel, MPLS Orbitall. DC Alegria</t>
  </si>
  <si>
    <t>Ativação circuito Embratel, MPLS Orbitall. Dc Alphaville</t>
  </si>
  <si>
    <t>Gerar postagem para novo lote de boletos da Campanha NATAL 2015</t>
  </si>
  <si>
    <t>FREDERICO BEDETTE COSTA</t>
  </si>
  <si>
    <t>na</t>
  </si>
  <si>
    <t>Efetuar Restory da base de dados Oi_Campanha_Financeiro, atraves da Query descrita abaixo..</t>
  </si>
  <si>
    <t>CTXBHZRI-97395</t>
  </si>
  <si>
    <t>Remediação da topologia DNS da floresta DEDIC.corp.</t>
  </si>
  <si>
    <t>BRLDALA003; BRLDALA004; SDCCTX130SPODB</t>
  </si>
  <si>
    <t>Retornar as configurações anteriores da topologia DNS.</t>
  </si>
  <si>
    <t>APPCTX143SPODA; APPCTX150SPODA; APPCTX155SPODA; DBSCTX304SPODA; DBSCTX342SPODA; DBSCTX47SPODA; DNSCTX104SPODA; FSSCTX103SPODA; JMPCTX01SPODA; LABCTX121SPODA; MONCTX01SPODA</t>
  </si>
  <si>
    <t>Efetuar Restart full da plataforma Aspect PE, com intuído de prevenção de falhas no sistema. Rotina Efetuada mensalmente .</t>
  </si>
  <si>
    <t>VINICIUS GAMA</t>
  </si>
  <si>
    <t>CORCTX01RECSA; EXPCTX01RECSA; EXPCTX02RECSA; PDMCTX01RECSA; RECCTX01RECSA; REPCTX01RECSA</t>
  </si>
  <si>
    <t>Em caso de falha na instalação do Hotfix será efetuado a remover a instalação e na atualização de patch caso apresente falha será desinstalado do S.O.</t>
  </si>
  <si>
    <t>JOÃO LUCAS ZEATO DE MELO GUSMÃO,MARCOS DA SILVA PINTO</t>
  </si>
  <si>
    <t>APPCTX180SPODA; APPCTX305SPODA; APPCTX307SPODA; APPCTX317SPODA; GRVCTX109SPODA; GRVCTX111SPODA; GRVCTX113SPODA; GRVCTX115SPODA; PRTCTX101SPODA; SCMCTX103SPODA; SDCCTX109SPODA</t>
  </si>
  <si>
    <t>Remover atualização e reiniciar o servidor</t>
  </si>
  <si>
    <t>APPCTX308SPODA; APPCTX318SPODA; APPCTX337SPODA; APPCTX400SPODA; GRVCTX105SPODA; GRVCTX106SPODA; GRVCTX107SPODA; GRVCTX108SPODA; SDCTDO01SPODA; SDCTDO05SPODA; VCTCTX101SPODA</t>
  </si>
  <si>
    <t>Adicionar a porta 990 como ssl no proxy TMG</t>
  </si>
  <si>
    <t>pxyctx101spoda; pxyctx101spodb; pxyctx102spoda; pxyctx102spodb; pxyctx104spoda; pxyctx104spodb; pxyctx105spoda; pxyctx105spodb</t>
  </si>
  <si>
    <t>SPOAP407-16629</t>
  </si>
  <si>
    <t>Desativar os servidores que não estão mais em uso pelo Site.</t>
  </si>
  <si>
    <t>DHCCTX201RJOPF; SUSCTX201RJOPF</t>
  </si>
  <si>
    <t>Não existe plano, os servidores serão desligados e estão fora de produção.</t>
  </si>
  <si>
    <t>Implantar novo papel de parede de e-mail.</t>
  </si>
  <si>
    <t>appctx14spobf</t>
  </si>
  <si>
    <t>1 - apontar arquivos de configuração do gestão para a versão 36.</t>
  </si>
  <si>
    <t>CTXSPOBF-125012</t>
  </si>
  <si>
    <t>Substituir servidor WDS do Site Boa Viagem</t>
  </si>
  <si>
    <t>wdsctx02salas</t>
  </si>
  <si>
    <t>Não há plano de ação a ser executado. O Site de origem do servidor está em processo de desativação.</t>
  </si>
  <si>
    <t>Executar manutenção preventiva com carga em (1) GMG - STEMAC de 305 KVA que supri todas as cargas essenciais do Site Augusta. Testes para emissão de laudo de abrangência do gerador.</t>
  </si>
  <si>
    <t>TAM,TODO</t>
  </si>
  <si>
    <t>Toda atividade será realizada seguindo procedimentos e medidas de controle caso aja qualquer anomalia na execução iremos paralisar e retornar o processo do inicio, sempre sinalizando os interessados da atividade.</t>
  </si>
  <si>
    <t>Efetuar Restart full da plataforma Aspect SP, com intuído de prevenção de falhas no sistema. Rotina Efetuada mensalmente .</t>
  </si>
  <si>
    <t>ALEX BRUM BARBOSA DE FARIAS</t>
  </si>
  <si>
    <t>Santander,Serasa</t>
  </si>
  <si>
    <t>ALMCTX01SPOAP; ALMCTX02SPOAP; EXPCTX01SPOAP; EXPCTX02SPOAP; EXPCTX03SPOAP; EXPCTX04SPOAP; EXPCTX05SPOAP; EXPCTX06SPOAP; EXPCTX07SPOAP; EXPCTX08SPOAP; Informe o nome do componente na rede.; PDMCTX01SPOAP; RECCTX01SPOAP; REPCTX01SPOAP; TASCTX01SPOAP; TASCTX02SPOAP; TASCTX03SPOAP; TASCTX04SPOAP; TASCTX05SPOAP; TASCTX06SPOAP</t>
  </si>
  <si>
    <t>Manutenção preventiva no Aspect Polo BHZRP.</t>
  </si>
  <si>
    <t>VINICIUS JOSE SOUZA DA CRUZ</t>
  </si>
  <si>
    <t>corctx01bhzrp; EXPCTX01BHZRP; EXPCTX02BHZRP; EXPCTX03BHZRP; EXPCTX04BHZRP; PDMCTX01BHZRP; REPCTX01BHZRP</t>
  </si>
  <si>
    <t>Nao contempla plano de retorno</t>
  </si>
  <si>
    <t>Manter a confiabilidade do sistema de geradores do Site Alegria</t>
  </si>
  <si>
    <t>MARCELO BOSELLI</t>
  </si>
  <si>
    <t>DASA,Intermédica,Oi,Santander,TAM,TODO,Volkswagen,White Martins</t>
  </si>
  <si>
    <t>GERADOR</t>
  </si>
  <si>
    <t>CASO OCORRA ALGUM PROBLEMA DURANTE A MANUTENÇÃO AS ATIVIDADES SERÃO SUSPENSAS IMEDIATAMENTE</t>
  </si>
  <si>
    <t>Dir. Clientes Especiais,Dir. Clientes Premium,Dir. Cobrança,Dir. Televendas</t>
  </si>
  <si>
    <t>dbsbra01spobf; DBSCTX12SPOBF; dbsctx70spolp</t>
  </si>
  <si>
    <t>Realizar a troca do Sw Core Oi que atende à rede corporativa que interliga o Site Niterói à Oi.</t>
  </si>
  <si>
    <t>VICTOR GARCIA LAHR</t>
  </si>
  <si>
    <t>CRISTIANO DA SILVA AZEVEDO</t>
  </si>
  <si>
    <t>SWTCORE1NITSPCPD</t>
  </si>
  <si>
    <t>Substituir a GBIC pela anterior de 100MB, na porta g4/7.</t>
  </si>
  <si>
    <t>Evolução do produto tSupervisor! para atender as necessidades do cliente.</t>
  </si>
  <si>
    <t>MARCELO AIRTON YAMASHITA,ROBERTO MAGALHÃES DE OLIVEIRA</t>
  </si>
  <si>
    <t>appctx388spoda; appctx388spodb; appctx389spoda; appctx389spodb; clsctx101spoda; clsctx101spodb</t>
  </si>
  <si>
    <t>Parar o JBOSS da aplicação tSupervisor Acessar a pasta D:\Todo\jboss-eap-6.2-port-8180\standalone\deployments nos servidores 10.200.64.68, 10.200.64.69, 10.201.64.68 e 10.201.64.69 Excluir a aplicação atual tsupervisor.ear Renomear a aplicação tsupervisor.ear_DDMMYYYY_HHMM onde DDMMYYYY_HHMM será a data e hora no momento da aplicação para tsupervisor.ear Reiniciar o JBOSS Efetuar os testes tecnicos e teste funcionais</t>
  </si>
  <si>
    <t>CTXRECSA-419337</t>
  </si>
  <si>
    <t>Dir. Cobrança,Dir. de Produtos Financeiros,Dir. Televendas</t>
  </si>
  <si>
    <t>Atualização da versão server para atender a restrição para as transferências do SAC Oi.</t>
  </si>
  <si>
    <t>1 - Se conecta no servidor via mstsc; 2 - Para a aplicação; 3 - Exclui o arquivo que foi copiado na estapa de execução; 4 - Restaura o nome do arquivo que foi renomeado na etapa de execução; 5 - Inicia a aplicação; 6 - Segue para o próximo servidor;</t>
  </si>
  <si>
    <t>CTXMTZPB-1118</t>
  </si>
  <si>
    <t>Dir. Oi,Dir. Televendas</t>
  </si>
  <si>
    <t>10.9.3.211; 10.9.3.212; 10.9.3.213; 10.9.3.214</t>
  </si>
  <si>
    <t>APPCTX111SPODA; APPCTX131SPODA; APPCTX133SPODA; AVS101CTXSPODA; AVSCTX101SPODA; BKPCTX101SPODA; CHHCTX101SPODA; DBSCTX102SPODA; DBSCTX150SPODA; DBSCTX264SPODA</t>
  </si>
  <si>
    <t>Correção do projeto OI-6798</t>
  </si>
  <si>
    <t>CTXMLTREG-5624</t>
  </si>
  <si>
    <t>Implantação da Release 0.9.6.4.3 no SGRC</t>
  </si>
  <si>
    <t>JHONATAS ALVES</t>
  </si>
  <si>
    <t>CHAIMOM ANTONIO DA SILVA,ROBERTO MAGALHÃES DE OLIVEIRA</t>
  </si>
  <si>
    <t>Prefeitura RJ</t>
  </si>
  <si>
    <t>Restaurar o backup do SGRC feito antes da aplicação da Release.</t>
  </si>
  <si>
    <t>CTXRJOED-57896</t>
  </si>
  <si>
    <t>Preventiva Energ sem carga do gerador Stemac 305 KVA - Site Alameda Santos.</t>
  </si>
  <si>
    <t>Dar andamento no projeto controle de chamadas da Oi.</t>
  </si>
  <si>
    <t>Apontamento do DR3 para a versão do backup da tabela de roteamento da operação Fixo e Velox Apontamento da configuração no ICR para a URA_CANAL 31 utilizar as tabelas do backup</t>
  </si>
  <si>
    <t>CTXRJOMA-77973</t>
  </si>
  <si>
    <t>Disponibilizar nova funcionalidade de cadastro automático para os usuários que estão utilizando o Perficall.</t>
  </si>
  <si>
    <t>DYEGO CAVALCANTE WANDERLEY SILVA</t>
  </si>
  <si>
    <t>DBSCTX03RECSA</t>
  </si>
  <si>
    <t>Realizar restore da base Perfilador_CO na instancia 10.63.0.78. 1) Acessar instancia de bd 10.63.0.78; 2) Realizar restore da base Perfilador_CO; Restaurar o backup dos módulos de administração e perfilhamento do sistema Perfilador CO</t>
  </si>
  <si>
    <t>Atualização da aplicação o OiTV. A release 20160126 terá como foco principal as seguintes mudanças abaixo: ? FUO-637 - Aumento alíquota de ICMS</t>
  </si>
  <si>
    <t>CTXSPOAP407-14952</t>
  </si>
  <si>
    <t>Atualizações das lincenças do sistema SAS</t>
  </si>
  <si>
    <t>DAWSONLEY DA SILVA MELO</t>
  </si>
  <si>
    <t>APPCTX440SPODB</t>
  </si>
  <si>
    <t>Não existe uma solução para o retorno pois será uma atualização de linceças</t>
  </si>
  <si>
    <t>Atualização da aplicação Televendas. A release 20160203 terá como foco principal as seguintes mudanças abaixo: ? FUO-618 Clientes Controle Televendas ? FUO-703 Número tratado - chamada tem origem no 10331 Televendas</t>
  </si>
  <si>
    <t>Atualização da aplicação Corporativo. A release 20160203 terá como foco principal as seguintes mudanças abaixo: ? FUO-674 Captura Numero Reparo Corporativo</t>
  </si>
  <si>
    <t>Atualização da aplicação Empresarial. A release 20160203 terá como foco principal as seguintes mudanças abaixo: ? FUO-697 Rechamada Check List Velox Empresarial</t>
  </si>
  <si>
    <t>instalação do TOP nas posições da claro salvador.</t>
  </si>
  <si>
    <t>Efetuar o rollback da versão 1.35 do TOP.</t>
  </si>
  <si>
    <t>Atualização da aplicação OITV. A release 20160203 terá como foco principal as seguintes mudanças abaixo: ? FUO-675 Marcação de EDs ? FUO-701 Prompt - ClienteumaFatura.wav ? FUO-678 URA 10631 - FALHA DE PROMPT - ERRADO - ( OITV )</t>
  </si>
  <si>
    <t>Garantir a confiabilidade dos equipamentos.</t>
  </si>
  <si>
    <t>Em caso de algum problema imprevisto, acionamos a energia da concessionária.</t>
  </si>
  <si>
    <t>teste</t>
  </si>
  <si>
    <t>Técnica</t>
  </si>
  <si>
    <t>Aplicar os Procedimentos abaixo no sistema protheus: CTXSPOAP407-14992 - Criar Tabela Saída de NF - Filial 0221; CTXSPOAP407-15029 - Cálculo RPA - para Pessoa Física - Tabela IRRF; CTXSPOAP407-15063 - Correção da numeração automática no cadastro de produto.</t>
  </si>
  <si>
    <t>MIGUEL ANGELO DO PATROCINIO</t>
  </si>
  <si>
    <t>CTXSPOAP407-14992</t>
  </si>
  <si>
    <t>Corrigir o problema de gravação da Operação SOC localizada no Site Santo Amaro</t>
  </si>
  <si>
    <t>LEANDRO UCHOA DA SILVA</t>
  </si>
  <si>
    <t>SWTVOIP001FORCP; SWTVOIP004FORCPD</t>
  </si>
  <si>
    <t>Retornar o cabeamento no extreme e retornar a configuração nos switches SWTVOIP001FORCPD e SWTVOIP003FORCPD;</t>
  </si>
  <si>
    <t>OI-12591 - Incentivo USSD Pós Pago</t>
  </si>
  <si>
    <t>Atender demanda da Oi de Controle de chamadas / migração do trafego logico das chamadas dos pop´s CTA e CPE</t>
  </si>
  <si>
    <t>DANIEL DONAIRE</t>
  </si>
  <si>
    <t>Mudança Logica. Voltar o trafego das chamadas para o ue encontra-se em produção atualmente.</t>
  </si>
  <si>
    <t>Garantir a confiabilidade dos GMG´s quando solicitados.</t>
  </si>
  <si>
    <t>Em caso de algum problema imprevisto,acionamos a energia da concessionária.</t>
  </si>
  <si>
    <t>Ajustar as regras da Rotina de Carga do Arquivo de Ofertas Fixa/Móvel das operações de Cobrança da R1 , para que este insira as informações referentes ao Risco, mesmo que este não possua ofertas ou telefones de enriquecimentos.</t>
  </si>
  <si>
    <t>PLANO DE RETORNO DA GMUD: -&gt; CONECTAR VIA TERMINAL SERVICE NO SERVIDOR 10.55.14.11 -&gt; ABRIR O SQL SQL Server Management Studio -&gt; Executar os comandos: ---&gt; DROP PROCEDURE ProcessBatchLoad_Oi_Movel_Ofertas ---&gt; DROP PROCEDURE ProcessBatchLoad_Oi_Fixa_Ofertas ---&gt; Sp_Rename ProcessBatchLoad_Oi_Fixa_Ofertas_20160203, ProcessBatchLoad_Oi_Fixa_Ofertas ---&gt; Sp_Rename ProcessBatchLoad_Oi_Movel_Ofertas_20160203, ProcessBatchLoad_Oi_Fixa_Ofertas</t>
  </si>
  <si>
    <t>CTXBHZRI-97591</t>
  </si>
  <si>
    <t>Atualizar Patch críticos e de segurança nos servidores Windows e remover Symantec e instalar MacAfee</t>
  </si>
  <si>
    <t>WELLIGTON RODRIGUES MARINHO NASCIMENTO</t>
  </si>
  <si>
    <t>JOSE GERALDO DA SILVA DOS SANTOS</t>
  </si>
  <si>
    <t>; anexo na gmud</t>
  </si>
  <si>
    <t>Desinstalar os patchs atualizados na ultima execução</t>
  </si>
  <si>
    <t>Implantação de melhoria e atualização da aplicação OCTUNIFICADA.</t>
  </si>
  <si>
    <t>OI-1259 - Incentivo USSD OCT</t>
  </si>
  <si>
    <t>Fazer a fusão de fibra optica para ativação do Link de dados da Operação Souza Cruz</t>
  </si>
  <si>
    <t>Desconectar a fibra</t>
  </si>
  <si>
    <t>Atualização de Patches de segurança e Restart no Sistema Operacional em servidores de produção com mais de 30 dias online</t>
  </si>
  <si>
    <t>JOSE GERALDO DA SILVA DOS SANTOS,ROBERTO MAGALHÃES DE OLIVEIRA</t>
  </si>
  <si>
    <t>DBSCTX07FORBM; DBSCTX11FORBM; DBSCTX15FORBM; DBSCTX17FORBM; DBSCTX28FORBM; DBSCTX34FORBM; DBSCTX44FORBM; DBSCTX47FORBM</t>
  </si>
  <si>
    <t>1 - Remover as atualizações aplicadas pelo Adicionar e Remover Programas do painel de controle; 2 - Reinicializar o servidor;</t>
  </si>
  <si>
    <t>Leader Magazine,Oi</t>
  </si>
  <si>
    <t>DBSCTX02FORBM; DBSCTX10FORBM; DBSCTX14FORBM; DBSCTX20FORBM; DBSCTX23FORBM; DBSCTX25FORBM; DBSCTX27FORBM; DBSCTX32FORBM</t>
  </si>
  <si>
    <t>APPCTX15FORBM; APPCTX16FORBM; APPTLM07FORBM; DBSCTX06FORBM; DBSCTX18FORBM; DBSCTX19FORBM; DBSCTX26FORBM; DBSCTX39FORBM</t>
  </si>
  <si>
    <t>JOSIMAR LOPES DE SANTANA</t>
  </si>
  <si>
    <t>Dir. de Produtos Financeiros</t>
  </si>
  <si>
    <t>Objetivo; Upgrade do link MPLS da VIVO no DC Alphaville para 5GB. Descrição: Lançamento da fibra óptica redundante para que a operadora faça a troca do roteador posteriormente.</t>
  </si>
  <si>
    <t>Retirada da fibra óptica.</t>
  </si>
  <si>
    <t>“A atividade consiste em remover por completo, o elemento "sip-manipulation log127", desassociá-lo do realm nice e obviamente 2 reboots (um para cada SBC, um por vez).”</t>
  </si>
  <si>
    <t>Plano de Retorno Conforme documento anexo a GMUD: Plano de rollback "restore-backup-config 20150128_antes.gz". Testar chamadas.</t>
  </si>
  <si>
    <t>Conservar os equipamentos confiáveis, disponíveis e aptos para assumir carga ,quando solicitados.</t>
  </si>
  <si>
    <t>DBSCTX14NITSP; DBSCTX72RJORP; SENCTX01RJORP; STLCTX01RJORP</t>
  </si>
  <si>
    <t>Implantação de release de novas demandas do MiltiProduto.</t>
  </si>
  <si>
    <t>DANILO RODRIGUES DE JESUS</t>
  </si>
  <si>
    <t>OI-12375</t>
  </si>
  <si>
    <t>Nobreaks</t>
  </si>
  <si>
    <t>Será emitido um relatório OS da empresa contratada durante e após o serviço de manutenção.</t>
  </si>
  <si>
    <t>Preventiva trimestral com desligamento do UPS GE 30 KVA - Singelo - Paulista 407</t>
  </si>
  <si>
    <t>No Break GE 30 KVA</t>
  </si>
  <si>
    <t>Se houver algum imprevisto, o serviço será cancelado imediatamente,retornando a carga critica para a rde concessionária.</t>
  </si>
  <si>
    <t>Permitir a identificação do cliente e produto via URA - STI 84860</t>
  </si>
  <si>
    <t>CTXSPOAS-5544</t>
  </si>
  <si>
    <t>Esta mudança se faz necessária para que possa ser aplicada as configurações de IPSLA no router RTELE03 para que possa funcionar ambos links (contingencia e principal) de comunicação com a sede do cliente Elektro.</t>
  </si>
  <si>
    <t>ERIAN DO NASCIMENTO ESTRAEICH</t>
  </si>
  <si>
    <t>ERIAN DO NASCIMENTO ESTRAEICH,LUCAS ALBERTO DE MORAES</t>
  </si>
  <si>
    <t>RTELE03</t>
  </si>
  <si>
    <t>Retornar para imagem antiga. rtele03(config)# boot system switch all flash:/img_antiga.bin Aplicar configurações e reiniciar o router. rtele03# wr rtele03# reload Verificar se assumiu a versão correta: rtele03#sh ver</t>
  </si>
  <si>
    <t>Atualização da aplicação Televendas. A release 2016/02/01 terá como foco principal as seguintes mudanças abaixo: ? FUO-638 Derivação Multiprodutos televendas</t>
  </si>
  <si>
    <t>Atualização da aplicação o OiTV. A release 20160201 terá como foco principal as seguintes mudanças abaixo: ? FUO-724 - OiTv parametros Fibra</t>
  </si>
  <si>
    <t>CTXRJOMA-77817</t>
  </si>
  <si>
    <t>GARANTIR A DISPONIBILIDADE DE CLIMATIZAÇÃO E MELHORIA NA QUALIDADE DO AR</t>
  </si>
  <si>
    <t>DIAMONT</t>
  </si>
  <si>
    <t>CASO OCORRA ALGUM PROBLEMA AS ATIVIDADES SERÃO SUSPENSAS IMEDIATAMENTE E O EQUIPAMENTO EM SUA CONDIÇÃO DE FUNCIONAMENTO</t>
  </si>
  <si>
    <t>Preventiva Energ sem carga do gerador Heimer 305 KVA - Site Paulista 407.</t>
  </si>
  <si>
    <t>Implantação de melhorias e atualizações na URA *144 Pré Pago.</t>
  </si>
  <si>
    <t>OI-12720 / OI-12721 / OI-12533</t>
  </si>
  <si>
    <t>Garantir a confiabilidade dos No Break´s.</t>
  </si>
  <si>
    <t>Em caso de algum problema e imprevisto,acionamos os GMG´s ou energia da concessionária.</t>
  </si>
  <si>
    <t>Dir. Clientes Especiais,Dir. Clientes Premium,Dir. Cobrança,Dir. de Produtos Financeiros,Dir. Oi</t>
  </si>
  <si>
    <t>Troca dos alimentadores das máquinas de ar condicionado CPD (3 Selfs) e da sala de No-Break 9° operação (1 Self) atualmente da concessionaria para o Gerador de 500kva alugado.</t>
  </si>
  <si>
    <t>QTA</t>
  </si>
  <si>
    <t>Cominucação com o coordenador</t>
  </si>
  <si>
    <t>CARACTERISTICAS DOS SERVIÇOS 3.1.1 Adequação das Instalações Elétricas do Site Alameda Santos assinalados em não conformidade na ultima vistoria e emissão de novo laudo em conformidade. - Levantamento dos itens descritos em laudo de instalações elétricas, onde o Site Alameda Santos teve avaliação denominada 2- RUIM em uma escala de 1 a 5 onde 1 é PESSIMO e 5 é EXCELENTE. - Caso seja comprovada a necessidade das adequações, deve-se seguir as normas vigentes para a categoria NR10, NBR 5410, SEP, para adequações das instalações. Obs.: Considerar atividades no período noturno durante semana - segunda à sexta, das 23 às 05 h, executando o trabalho por cubículo individualmente e final de semana para desligamento da concessionária com aviso prévio de 15 dias e prazo estimado da duração das atividades durante o período de desligamento. Caso houver atrasos superiores a 1 hora do planejado para o desligamento de execução das atividades, o fornecedor deve assumir o risco em fornecer diesel para manter o GMG atuando durante o atraso. 3.1.2 Instalações - Unificação de Quadro Elétrico denominado QLT e QLD para único QGBT; - Adequação de Entrada de Energia – Chaves, isolamento, cabeamento, proteções físicas, mecânicas e elétricas; - Adequação dos Quadros Elétricos de Luz, Força, Ar Condicionado, Normal, Emergência, Estabilizado; 3.1.3 Adequação das proteções Todos os quadros devem ter proteções: - Disjuntor geral - DPS; - DR; - Barramento de terra; - Barramento de neutro; - Aterramento do quadro; - Acrílico; - Limitador de acesso – qualquer (cadeado, trava, chave) 3.1.5 Fluxo das Instalações: - Entrada de Energia; - Alimentação QGBT; - Distribuição nos andares para os QDF, QIL, QAC</t>
  </si>
  <si>
    <t>As adequações elétricas do 12°, 11° e 10° andar serão realizadas seguindo procedimentos e medidas de controle, caso aja qualquer anomalia na execução iremos paralisar e retornar o processo do inicio, sempre sinalizando os interessados da atividade.; As adequações elétricas do 15°, 14° e 13° andar serão realizadas seguindo procedimentos e medidas de controle, caso aja qualquer anomalia na execução iremos paralisar e retornar o processo do inicio, sempre sinalizando os interessados da atividade.; As adequações elétricas do 3°, 2° e 1° andar serão realizadas seguindo procedimentos e medidas de controle, caso aja qualquer anomalia na execução iremos paralisar e retornar o processo do inicio, sempre sinalizando os interessados da atividade.; As adequações elétricas do 6°, 5° e 4° andar serão realizadas seguindo procedimentos e medidas de controle, caso aja qualquer anomalia na execução iremos paralisar e retornar o processo do inicio, sempre sinalizando os interessados da atividade.; As adequações elétricas do 9°, 8° e 7° andar serão realizadas seguindo procedimentos e medidas de controle, caso aja qualquer anomalia na execução iremos paralisar e retornar o processo do inicio, sempre sinalizando os interessados da atividade.; As adequações elétricas do Térreo e 1° Subsolo serão realizadas seguindo procedimentos e medidas de controle, caso aja qualquer anomalia na execução iremos paralisar e retornar o processo do inicio, sempre sinalizando os interessados da atividade.</t>
  </si>
  <si>
    <t>Falha de sincronimo entre CMS x DAC, as ações executadas através do " CMS Supervisor" não eram acatadas pelo DAC. Seguindo orinetação da Avaya foi efetuado o reboot do servidor.</t>
  </si>
  <si>
    <t>LUIS GUSTAVO BARROS ACIOLI</t>
  </si>
  <si>
    <t>Trata-se do reboot da maquina, caso ocorra algum problema na aplicação será restaurado o backup para correção.</t>
  </si>
  <si>
    <t>CTXPOARB-101377</t>
  </si>
  <si>
    <t>Oi-12745_Incentivo SVA - Fase 2. Oi-12749_Acerto na navegação das chamadas oriundas do 3000. Oi-12469_Criação de Tabela de Incentivos (novas variáveis).</t>
  </si>
  <si>
    <t>PABLO BARBOSA CANARIO</t>
  </si>
  <si>
    <t>APPCTX14RJONT; APPCTX15RJOED; APPCTX16RJOED; APPCTX18RJOED; APPCTX19RJOED; APPOIM03SPOAL; APPOIM04SPOAL; DBSOIM01SPOAL; NMSIOM01SPOAL</t>
  </si>
  <si>
    <t>Oi-12745 | Oi-12749 | Oi-12469</t>
  </si>
  <si>
    <t>Realizar a desmobilização do Storage Dell MD3000 do Site Lapa</t>
  </si>
  <si>
    <t>EDUARDO KANASAWA MOTTA</t>
  </si>
  <si>
    <t>STGCTX01SPOLP</t>
  </si>
  <si>
    <t>NICESTORAGECENTER</t>
  </si>
  <si>
    <t>1. Entrar no servidor 10.51.0.172 via Remote Desktop (mstsc); 2. Depois clicar em Start-&gt;All Programs-&gt;Storage Manager 10 Client-&gt;Storage Manager 10 Client; 3. Duplo Clique no Storage Subsystem NICESTORAGECENTER; 4. Clicar na Aba, Configury e depois na opção Create Host-to-Logical Drive Mappings 5. Expandir a opção Host Group NICESTORAGEI e selecionar Host NICESTORAGE e Next 6. Selecionar os drives logicos que haviam sido retirados (NICESTORAGECENTER e NICESTORAGEEXPANSION) e clique em FINISH 7. Entrar no servidor 10.51.0.74 via Remote Desktop 8. Com o botão direito, clicar em My Computer e selecionar a opção Manager 9. Clicar com o botão direito na opção Disk Management e selecionar a opção Rescan Disks 10. Nos volumes que apareceram a direita, clicar com o botão direito e selacionar a opção Initialize Disk e selecione os discos que apareceram e clique em OK.</t>
  </si>
  <si>
    <t>Realizar teste de contingencia do link da Embratel entre Edificio Hicham e sede do cliente Elektro.</t>
  </si>
  <si>
    <t>rteh03</t>
  </si>
  <si>
    <t>Logar no router 10.130.96.36 e executar o scritp abaixo: conf t int Gi0/14 no shut end</t>
  </si>
  <si>
    <t>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</si>
  <si>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OI-6289, OI-12468, OI-6757, OI-12257, OI-12062</t>
  </si>
  <si>
    <t>O servidor CM1 (Avaya_S8730_1) apresentou problemas com a fonte, acionado a AVAYA para efetuar a troca do Servidor.</t>
  </si>
  <si>
    <t>Caso ocorra falha no novo servidor, será realizado o Interchange para o servidor atual, deixando o como ativo.</t>
  </si>
  <si>
    <t>CTXPOARB-101049</t>
  </si>
  <si>
    <t>Atender projeto da Oi de Controle de Chamadas / Migração logica dos SBC´s CPE, CTA e POA</t>
  </si>
  <si>
    <t>Mudança Logica. Voltar o trafego das chamadas para o agent encontra-se em produção atualmente.</t>
  </si>
  <si>
    <t>Realização de limpeza no piso elevado da sala pólo.</t>
  </si>
  <si>
    <t>Interromper a limpeza.</t>
  </si>
  <si>
    <t>OI-11431, OI-11434, OI-10500, OI-10235</t>
  </si>
  <si>
    <t>Objetivo: Release URA USSD Descrição: OI-12697 Piloto MP opção - Interatividade OI-12704 Melhoria Fluxo Cadastro Cartão OI-12707 Alterações informações Roaming Internacional OI-12613 Alteração mensagem e valor Oi Recado - Pré Pago</t>
  </si>
  <si>
    <t>Execução de um script para correção de duplicidade na base FPW para realizar a virada de referência.</t>
  </si>
  <si>
    <t>ANDERSON MOURA DE CARVALHO,FELIPE DE OLIVEIRA MOREIRA</t>
  </si>
  <si>
    <t>Upgrade do link MPLS da VIVO no DC Alegria / Instalação de GBIC para subir o circuito.</t>
  </si>
  <si>
    <t>Desig: 32080077</t>
  </si>
  <si>
    <t>Desativação do link MPLS de 5GB e desconexão de cabeamento.</t>
  </si>
  <si>
    <t>Manutenção preventiva no Grupo de moto geradores do site Antartica</t>
  </si>
  <si>
    <t>Banco Toyota,Bradesco,Orbitall,Santander,Serasa,Ticket Serviços S/A,VIVO</t>
  </si>
  <si>
    <t>GMG SITE ANTARTICA</t>
  </si>
  <si>
    <t>Dir. Clientes Especiais,Dir. Cobrança,Dir. de Produtos Financeiros,Dir. Televendas</t>
  </si>
  <si>
    <t>MANUTENÇÃO PREVENTIVA DOS NO BREAK`S DO CPD. Site Mackenzie.</t>
  </si>
  <si>
    <t>Nobreak 40KVA</t>
  </si>
  <si>
    <t>Não se aplica por ser atividade de manutenção preventiva</t>
  </si>
  <si>
    <t>Realização de manutenção preventiva das UPS Socomec, centrada na confiabilidade.</t>
  </si>
  <si>
    <t>Aplicar os Procedimentos abaixo no sistema Protheus: CTXSPOAP407-14992 - Criar Tabela Saída de NF - Filial 0221.</t>
  </si>
  <si>
    <t>Realizar configurações de correção do roteamento OSPF das redes da elektro para utilizar todos os links disponíveis, Embratel, Vivo e Algar.</t>
  </si>
  <si>
    <t>rteh03; rteh04</t>
  </si>
  <si>
    <t>#Ajustar conforme rteh04 # OSPF 190 - a prefix-list do route-map redistribute-ospf_dedic_to-ospf_elektro não está configurada Remover: ip prefix-list redes-enviadas-para-area-10 seq 5 permit 10.116.124.0/22 le 32 ip prefix-list redes-enviadas-para-area-10 seq 10 permit 10.130.0.0/17 le 32 ip prefix-list redes-enviadas-para-area-10 seq 15 permit 172.22.0.0/20 le 32 ip prefix-list redes-enviadas-para-area-10 seq 20 permit 172.25.0.0/19 le 32 ip prefix-list redes-enviadas-para-area-10 seq 25 permit 172.26.0.0/20 le 32 ip prefix-list redes-enviadas-para-area-10 seq 30 permit 172.28.0.0/20 le 32 ip prefix-list redes-enviadas-para-area-10 seq 35 permit 192.168.0.0/16 le 32 ip prefix-list redes-enviadas-para-area-10 seq 40 permit 172.23.0.0/19 le 32</t>
  </si>
  <si>
    <t>Garantir a total disponibilidade e confiabilidade do sistema de contingência de energia estabilizada do Site. Executar manutenção Preventiva Trimestral sem desligamento em 02(dois) no-breaks Eaton e 02(dois) no-breaks APC - que atendem as operações e CPD do Site Fortaleza CE</t>
  </si>
  <si>
    <t>Realizado testes técnicos, funcionais e leitura de parâmetros. Liberado equipamento para funcionamento normal.</t>
  </si>
  <si>
    <t>Garantir a total disponibilidade e confiabilidade do sistema de contingência de energia estabilizada do Site. 1. Executar manutenção Preventiva Trimestral sem desligamento em 03(dois) no-breaks Eaton que atendem as operações e CPD do Site Nascente CE</t>
  </si>
  <si>
    <t>Execução de testes de Fail-Over dos links MPLS do Site Navegantes.</t>
  </si>
  <si>
    <t>VIVO 00885088 / Algar 0030720</t>
  </si>
  <si>
    <t>Re-ativar em produção os 2 links MPLS do site</t>
  </si>
  <si>
    <t>APPCTX175RJOMK; SENCTX01SPOLP; UNFCTX01RJORP</t>
  </si>
  <si>
    <t>Manutenção preventiva dos NoBreaks</t>
  </si>
  <si>
    <t>BO Anatel,Oi</t>
  </si>
  <si>
    <t>No-Breaks 80 e 160 KVA</t>
  </si>
  <si>
    <t>Em caso de algum problema será cancelado a manutenção preventiva.</t>
  </si>
  <si>
    <t>Implementar o response da M4U, na aplicação do RACO, para adequar o nosso código com os atributos solicitados pela mesma. Com isso os registros de clientes que cancelam devem ser voltar a ser gravados no DW. Após implantar a correção nos encaminhar evidência que a aplicação voltou a gravar os cancelamentos no DW.</t>
  </si>
  <si>
    <t>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</si>
  <si>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oi-12855</t>
  </si>
  <si>
    <t>Manutenção preventiva dos grupos geradores com transferência de carga.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</si>
  <si>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t>
  </si>
  <si>
    <t>No-break de 80kva, 80kva e 50Kva Operações do 2º pavimento.</t>
  </si>
  <si>
    <t>Nobreak´s de 80KVA, 80KVA e 50KVA.</t>
  </si>
  <si>
    <t>Atualização da aplicação o OiTV. A release 20160211 terá como foco principal as seguintes mudanças abaixo: ? FUO-727 – Criação de parâmetros para ativação da Consulta Master OiTV</t>
  </si>
  <si>
    <t>Não haverá plano de retorno, pois nenhum sistema será desligado. OBS: Após a execução dos serviços acima relacionados, será emitido laudo atestando a funcionalidade dos no-breaks.</t>
  </si>
  <si>
    <t>Para retorno do equipamento a sua condição normal, após todos os testes, analise visual e limpeza, estaremos transferindo a carga para concessionária passando os geradores de manual para automático e estará apto para reconhecer uma falta de energia e atuar plenamente.</t>
  </si>
  <si>
    <t>Realizar a manutenção preventiva trimestral dos NB's de Operações e do CPD</t>
  </si>
  <si>
    <t>ALEXANDRE PIRES DE JESUS</t>
  </si>
  <si>
    <t>No break's</t>
  </si>
  <si>
    <t>Manutenção preventiva de gerador Leon Heimer</t>
  </si>
  <si>
    <t>CASSIO REIS LIMA</t>
  </si>
  <si>
    <t>Jornal Correio da Bahia,Oi</t>
  </si>
  <si>
    <t>Manutenção Preventiva sem carga Gerador Smatec 310 KVA</t>
  </si>
  <si>
    <t>Implantação da Release 20160216 OiTV</t>
  </si>
  <si>
    <t>LUIZ EDUARDO RAMOS FERREIRA</t>
  </si>
  <si>
    <t>Alteração da Tabela na aplicação Móvel Pré</t>
  </si>
  <si>
    <t>Apontamento para a versão do backup da tabela de roteamento da operação Pré Apontamento da configuração no ICR para a URA_CANAL 05 utilizar as tabelas do backup DE MOVELPRE_NOVOMODELO PARA MOVELPRE_NOVOMODELO_V3</t>
  </si>
  <si>
    <t>CTXMTZPB-1252</t>
  </si>
  <si>
    <t>OI-12734;OI-12736</t>
  </si>
  <si>
    <t>Manter a confiabilidade dos geradores do site João Pessoa</t>
  </si>
  <si>
    <t>FRANCISCO DE ASSIS GONDIM</t>
  </si>
  <si>
    <t>Oi,VIVO</t>
  </si>
  <si>
    <t>Acompanhar o Desligamento dos geradores e garantir modo automático; Fim dos testes; Será efetuada vistoria nos No Breaks do CPD e Operação; Verificado a climatização das salas dos No Breaks e CPD; Após a execução dos serviços acima relacionados, será emitido laudo atestando a funcionalidade dos geradores pela ENERG GERADORES.</t>
  </si>
  <si>
    <t>OI-12735</t>
  </si>
  <si>
    <t>Implantação de melhoria e atualização da aplicação RACO.</t>
  </si>
  <si>
    <t>OI-13036</t>
  </si>
  <si>
    <t>Rodar a aplicação APEA da Aspect para validar se os servidores destinados a implatação do Aspect são de acordo com os requisitos solicitados pela Aspect</t>
  </si>
  <si>
    <t>10.201.14.100; ALMCTX100SPODB</t>
  </si>
  <si>
    <t>Interromper a execução da aplicação.</t>
  </si>
  <si>
    <t>Migração dos circuitos elétricos do PDU antigo (do Nobreak de 80KVA singelo) para os PDUs novos (dos Nobreaks de 275KVA paralelos e redundantes) para redundância de fontes dos equipamentos de TI do CPD.</t>
  </si>
  <si>
    <t>ALEXANDRE GARCIA FULY,MARCOS DA SILVA PINTO</t>
  </si>
  <si>
    <t>Brasil Veículo,TODO</t>
  </si>
  <si>
    <t>; PDUs</t>
  </si>
  <si>
    <t>Durante a execução dos trabalhos, se algum imprevisto ocorrer com o serviço será cancelado e o CPD será ativado normalmente.</t>
  </si>
  <si>
    <t>Migrar o gravador SOC para outro Extreme com objetivo de resolver o problema de gravação</t>
  </si>
  <si>
    <t>Voltar o cabeamento do servidor para Extreme antigo e voltar o backup da configuração do Extreme 10.16.97.5</t>
  </si>
  <si>
    <t>Realizar manutenção preventiva no GMG</t>
  </si>
  <si>
    <t>Para retorno do equipamento a sua condição normal, após todos os testes, analise visual e limpeza, estaremos passando ogerador de manual para automático e estará apto para reconhecer uma falta de energia e atuar plenamente</t>
  </si>
  <si>
    <t>Upgrade do link MPLS da VIVO no DC Alegria / Fusão e lançamento de nova fibra até a sala das operadoras.</t>
  </si>
  <si>
    <t>Desig. 32080077</t>
  </si>
  <si>
    <t>Retirada da fibra óptica lançada.</t>
  </si>
  <si>
    <t>Implantação de release de novas demandas da MultiProduto</t>
  </si>
  <si>
    <t>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t>
  </si>
  <si>
    <t>OI-12843</t>
  </si>
  <si>
    <t>Configuração dos UMS da plataforma Aspect</t>
  </si>
  <si>
    <t>Desligar os equipamentos</t>
  </si>
  <si>
    <t>Instalação duas URAS MPPs Avaya no Data Center Alegria</t>
  </si>
  <si>
    <t>MDSCTX101SPODB</t>
  </si>
  <si>
    <t>Não existe plano de retorno, pois é uma implantação nova.</t>
  </si>
  <si>
    <t>Baixar de todas as fatura que estão em cobrança com mais de 60 dias.</t>
  </si>
  <si>
    <t>GEOVANI JOSE DE RESENDE MOREIRA</t>
  </si>
  <si>
    <t>dbsctx07forbm</t>
  </si>
  <si>
    <t>1 - conectar no servidor 10.16.1.131 pelo query analyzer 2 - executar update abaixo USE BRTEscob_Cobranca UPDATE DBO.REGISTROS_ITEM SET CD_STATUS_FTURA=1,DT_ALTERACAO='2012-09-30 22:00:00',CD_BAIXA = 'Aberta',ID_SITUACAO=0 WHERE CD_STATUS_FTURA IN (20) USE BRTEscob_GC UPDATE DBO.FATURA SET CD_STATUS_FTURA=1,DT_ALTAO='2012-09-30 22:00:00',CD_BAIXA = 'Aberta' WHERE CD_STATUS_FTURA IN (20)</t>
  </si>
  <si>
    <t>CTXBHZRI-98080</t>
  </si>
  <si>
    <t>Aplicar os Procedimentos abaixo no sistema Protheus: CTXSPOAP407-15258 - Criar Tabela Saída de NF - Filial 0221.</t>
  </si>
  <si>
    <t>Realizar manutenção preventiva no sistema de Geradores que atendem ao site Lapa</t>
  </si>
  <si>
    <t>Atualização da aplicação Corporativo. A release 20160212 terá como foco principal as seguintes mudanças abaixo: -&gt; FUO-732 ENCAMINHADO PARA OPERAÇÃO ERRADA</t>
  </si>
  <si>
    <t>CTXFORBM-356652</t>
  </si>
  <si>
    <t>Executar manutenção preventiva mensal em 01 (Um) Grupo Gerador de Energia FGWILSON -S500E1/Garantir total confiabilidade e disponibilidade do sistema de contingência de energia elétrica do Site.</t>
  </si>
  <si>
    <t>Citibank,Leader Magazine,Oi</t>
  </si>
  <si>
    <t>Executar manutenção preventiva mensal em 05 (Cinco) grupos geradores de energia/Garantir total confiabilidade e disponibilidade do sistema de contingência de energia elétrica do Site</t>
  </si>
  <si>
    <t>Executar manutenção preventiva trimestral em 02 (Dois) Chillers centrífugos Carrier/Garantir total confiabilidade e disponibilidade do sistema de climatização do Site.</t>
  </si>
  <si>
    <t>Upgrade do link MPLS da VIVO / Execução de configurações nos switches do site para atingir os 400MB.</t>
  </si>
  <si>
    <t>Desig. 00942702</t>
  </si>
  <si>
    <t>Restaurar a configuração dos switches.</t>
  </si>
  <si>
    <t>Manter a confiabilidade do sistema de contingência / Manutenção preventiva Anual com troca de peças.</t>
  </si>
  <si>
    <t>Manutenção preventiva dos Geradores de 200kva e 450kva com troca de óleo, filtros e anéis de vedação.</t>
  </si>
  <si>
    <t>Comunicar as áreas responsaveis</t>
  </si>
  <si>
    <t>Realizar as atividades abaixo conforme pedido do CSE – Telecom 1-Sacar as placas TN755 Maintenance e a IPSI TN2312 (o gabinete será desligado) 2- Verificar a conexão do flat cable da placa TN755 Maintenance com a IPSI TN2312. 3- Voltar as placas ( o gabinete deverá subir) 4- Caso o alarme não desapareça substituir a placa TN755 junto com o falt cable Intervenção no gabinete 44ª do Prado C</t>
  </si>
  <si>
    <t>ROBSON DA SILVA</t>
  </si>
  <si>
    <t>single-carrier-stack cab 44 Prado C</t>
  </si>
  <si>
    <t>Retornar as placas TN755 Maintenance e IPSI TN2312. originais de produção</t>
  </si>
  <si>
    <t>CTXBHZRP-217563</t>
  </si>
  <si>
    <t>Atender projeto Controle de Chamada da Oi / Migração logica do trafego para os SBC´s da Oi - Curitiba, Campo Grande e Porto Alegre</t>
  </si>
  <si>
    <t>Troca do modulo de bateria no servidor 10.16.0.14 para normalização do alarme</t>
  </si>
  <si>
    <t>LEEWAN ALVES DE MENESES</t>
  </si>
  <si>
    <t>SUSCTX02FORBM</t>
  </si>
  <si>
    <t>Desligar o servidor, retirar o modulo de bateria inserido e inserir o antigo modulo e ligar o servidor novamente.</t>
  </si>
  <si>
    <t>CTXFORBM-339006</t>
  </si>
  <si>
    <t>OI-13121 Concatenar Msg Inicial_Incentico Asterisco OI-13117 Mudança na validaçao do Parâmetro de Fraude da Migração Pre-Controle OI-13114 Melhorias Consulta WS ACM OI-13111 Atualização e Inclusão de serviços SVA</t>
  </si>
  <si>
    <t>WILLIAN CAMPBELL VIANA</t>
  </si>
  <si>
    <t>APPCTX14RJONT; APPCTX15RJOED; APPCTX16RJOED; APPCTX18RJOED; APPCTX19RJOED; APPOIM03SPOAL; APPOIM04SPOAL; DBSOIM01SPOAL; NMSIOM01SPOAL; NMSOIM04SPOLP</t>
  </si>
  <si>
    <t>OI-13121 OI-13117 OI-13114 OI-13111</t>
  </si>
  <si>
    <t>Release URA USSD. OI-13118 Incentivo a Recarga - USSD</t>
  </si>
  <si>
    <t>10.9.3.142; APPCTX27RJOMK</t>
  </si>
  <si>
    <t>OI-12752 e OI-12751</t>
  </si>
  <si>
    <t>Atualização da aplicação Empresarial. A release 2016/02/23 terá como foco principal as seguintes mudanças abaixo: -&gt; FUO-534 Consulta Mailing Novo Portifólio -&gt; FUO-662 Informe de OS Aberta Fixo/Velox -&gt; FUO-663 Envio de SMS protocolo e cod de barras</t>
  </si>
  <si>
    <t>Executar a manutenção preventiva sem carga dos Geradores Stemac do site Boa Viagem, conforme abaixo: 3 Geradores de 642 KVA (operações e CPD – blocos 2,3 e 4) e 1 Gerador de 260 KVA (operação e adm bloco 1)</t>
  </si>
  <si>
    <t>No break GE 30 KVA</t>
  </si>
  <si>
    <t>Corrigir erros encontrados em produção</t>
  </si>
  <si>
    <t>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t>
  </si>
  <si>
    <t>CTXMLTREG-6137</t>
  </si>
  <si>
    <t>• Nova versão de boleto. • Logs de rastreamento de chamadas. • Nova opção Gerenciamento Estratégico -&gt; Auto carregar questionários no pop de tela.</t>
  </si>
  <si>
    <t>ALEXANDRE BASTOS CORREA</t>
  </si>
  <si>
    <t>CD 1. Conectar no servidor 10.171.2.82 via terminas services. 6. Parar IIS 7. Apagar pasta de: C:\inetpub\wwwroot\WebTier 8. Copiar C:\inetpub\wwwroot\ WebTier_bkp17022016_antigo para Copiar C:\inetpub\wwwroot\ 9. Iniciar IIS Escob: 6. Conectar no servidor 10.171.2.76 via terminas services. 7. Parar IIS 8. Apagar pasta de: C:\inetpub\wwwroot\WebTier 9. Copiar C:\inetpub\wwwroot\ WebTier_bkp17022016_antigo para Copiar C:\inetpub\wwwroot\ 10. Iniciar IIS</t>
  </si>
  <si>
    <t>CTXBHZRI-97704</t>
  </si>
  <si>
    <t>Instalação de 8 links de Voz E1</t>
  </si>
  <si>
    <t>- Retornar as 4 placas E1s para o roteador atual.</t>
  </si>
  <si>
    <t>Na</t>
  </si>
  <si>
    <t>Incremento de informações para auditorias e segurança, além de melhora na performance no tSupervisor!.</t>
  </si>
  <si>
    <t>Banco Toyota,Cielo,Souza Cruz,VIVO</t>
  </si>
  <si>
    <t>Dir. de Produtos Financeiros,Dir. Televendas</t>
  </si>
  <si>
    <t>Manutenção preventiva no gerador sem teste com carga</t>
  </si>
  <si>
    <t>EZEQUIEL FARIA FERREIRA</t>
  </si>
  <si>
    <t>Oi,Prefeitura RJ,TODO</t>
  </si>
  <si>
    <t>Efetuar a substituição de ventiladores dos gabinetes 07A e 09A do DAC Mack A conforme orientação do CSE – Telecom Motivo: Gabinetes 07 e 09 do DAC B Mack alarmando</t>
  </si>
  <si>
    <t>MAEWE DO EGITO PEGADO</t>
  </si>
  <si>
    <t>MackenzieB</t>
  </si>
  <si>
    <t>Instalar novamente os equipamentos que já estavam em operação,e se necessário realocar as placas para outros gabinetes.</t>
  </si>
  <si>
    <t>CTXRJOMK-126742</t>
  </si>
  <si>
    <t>Implantação de melhorias e atualizações de promoções na URA *144 Pré Pago</t>
  </si>
  <si>
    <t>OI-13115 / OI-13119</t>
  </si>
  <si>
    <t>melhor abrir pra 25/02 Ajustes e limpeza de configurações não utilizadas / Remoção de Agent da BTCC no SBC do POP PR</t>
  </si>
  <si>
    <t>Retornar as configurações restaurando o backup realizado no incio da atividade.</t>
  </si>
  <si>
    <t>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</si>
  <si>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OI-10100, OI-11431, OI-11343</t>
  </si>
  <si>
    <t>Atender projeto da Oi de Controle de chamadas / Migração logica do SBC do POP Porto Alegre</t>
  </si>
  <si>
    <t>NOBREAKS</t>
  </si>
  <si>
    <t>Não há plano de retorno pois caso ocorra algum imprevisto a atividade será suspensa imediatamente.</t>
  </si>
  <si>
    <t>Aprimoramento do mecanismo de replicação do domínio abilitysp.local.</t>
  </si>
  <si>
    <t>sdcabl01spoqs; sdcabl02spoqs; sdcabl03spoas; sdcabl04spoas; sdcctx02azdev; sdcctx06azprd; sdcctx07azprd; sdcctx134spoda; sdcctx134spodb; sdcctx135spoda; sdcctx135spodb</t>
  </si>
  <si>
    <t>Não existe a possibilidade de retornar ao estado anterior ao inicio da GMUD.</t>
  </si>
  <si>
    <t>Aplicar os Procedimentos abaixo no sistema Protheus: TSOJD0 - Correção do relatório Relação de Baixas no campo de totalizador de faturas a pagar; TTLRHY e TUBDCB - Correção na rotina de baixas automáticas a receber e na consulta de posição de títulos a receber; TTNRLJ - Correção na contabilização da rotina de Baixas Automáticas a Pagar; TTQOJS - Correção no desempenho da rotina de Reprocessamento de Saldos Contábeis; TUBCJ8 - Habilita impressão de parâmetros na geração dos relatórios no Protheus; TUCRVS - Correção na seleção de títulos da rotina Compensação de Contas a Receber.</t>
  </si>
  <si>
    <t>Upgrade do link MPLS da VIVO no DC Alegria / Instalação de GBIC e ativação do link de 5GB.</t>
  </si>
  <si>
    <t>Re-ativação do link de 1GB e validações de funcionamento.</t>
  </si>
  <si>
    <t>FUO-732</t>
  </si>
  <si>
    <t>Manutenção Preventiva e Preditivas em Subestação.</t>
  </si>
  <si>
    <t>Subestação</t>
  </si>
  <si>
    <t>Toda a ativida será monitorada pela de equipe se manutenção local in loco, com comunicação via rádio com a coordenação prédial e via rádio e sms com a equipe de missão crítica. Se tivermos qualquer eventualidade fora do plano de comunicação dentro da GMUD faremos o retorno de comunicação e cancelaremos a mudança.</t>
  </si>
  <si>
    <t>Upgrade do link MPLS da VIVO no DC Alphaville / Fusão e lançamento de fibra óptica.</t>
  </si>
  <si>
    <t>Desig. 00858479</t>
  </si>
  <si>
    <t>Retirada da fibra lançada.</t>
  </si>
  <si>
    <t>Migração das FSMO do domínio EXTN.dedic-br.dedic.corp para o servidor SDCCTX132SPODB localizado no Datacenter Alegria como parte do plano de recomendações do ambiente Dedic.corp</t>
  </si>
  <si>
    <t>BRSPOPL602; SDCCTX132SPODB</t>
  </si>
  <si>
    <t>Caso hajam problemas ou indisponibilidade do servidor SDCCTX132SPODA após receber as FSMO, efetuar o processo de seize retornando as FSMO para o servidor de origem.</t>
  </si>
  <si>
    <t>Excluir, através de scripts, planos de assistência médica UNIMED associados indevidamente a dependentes – planos UNIMED BASICO e UNIMED ESPECIAL (CNU ESPECIAL APARTAMENTO), em um total de 33 casos.</t>
  </si>
  <si>
    <t>ANDERSON MOURA DE CARVALHO,CLAYTON ROBERTO LEITE,FELIPE DE OLIVEIRA MOREIRA,MARINA SOLIS MARIANO,ROBERTO MAGALHÃES DE OLIVEIRA</t>
  </si>
  <si>
    <t>Preventiva Mensal Energ - Teste com carga do Gerador Heimer 305 KVA - Site Paulista 407</t>
  </si>
  <si>
    <t>Gerador Heimer 305 KVA - Singelo</t>
  </si>
  <si>
    <t>Substituição do hd espelho por defeito.</t>
  </si>
  <si>
    <t>MARCIO CARDOSO MORTONI</t>
  </si>
  <si>
    <t>wfmctx01rjomk</t>
  </si>
  <si>
    <t>Caso o novo disco apresente defeito o fabricante fará a substituição (Big_Blue)</t>
  </si>
  <si>
    <t>call 19193 - Big_Blue</t>
  </si>
  <si>
    <t>Alterar as vlans da operação divo do site João Pessoa apra autenticação nos DCs do Datacenter SPODB.</t>
  </si>
  <si>
    <t>SDCCTX133SPODB.ngcc.dedic-br.dedic.corp</t>
  </si>
  <si>
    <t>Acessar o Console Active Directory do domínio NGCC e expandir Subnets; Nas propriedades das vlans informadas, clicar com o botão direito, propriedades e alterar na lista suspensa Site de acordo com o que se segue: 10.130.118.0 - EH 10.130.121.0 - EH 10.139.126.0 - LA</t>
  </si>
  <si>
    <t>Homologação Wsus</t>
  </si>
  <si>
    <t>dbshsb01recau; DHCCTX02RECAU; HMLABN01RECAU; MONCTX01RECAU</t>
  </si>
  <si>
    <t>Ocorrendo erro na instalação ,será realizado rollback dos patch aplicados</t>
  </si>
  <si>
    <t>Troca da fonte do Gabinete G650 numero 28 DAC A ceara, pois a fonte atual está com alarme.</t>
  </si>
  <si>
    <t>Gabinete 28 DAC A</t>
  </si>
  <si>
    <t>1- Inserir a fonte antiga que estava que foi retirada 2- Retirar a nova fonte inserida no slot que estava livre. 3- Validar se a fonte foi reconhecida</t>
  </si>
  <si>
    <t>CTXFORBM-358396</t>
  </si>
  <si>
    <t>Ajustar a geração do arquivo raw para adequar as regras da EF pois foram evidenciadas inconsistências pela operação. Permitir que a data de vencimento seja atualizada no processo de baixa da R1 Móvel assim como já ocorre no processo de carga pois com a informação desatualizada os relatórios de acompanhamento da operação se tornam inconsistentes.</t>
  </si>
  <si>
    <t>PLANO DE RETORNO DA GMUD: -&gt; CONECTAR VIA TERMINAL SERVICE NO SERVIDOR 10.55.14.11 -&gt; ABRIR O SQL SQL Server Management Studio -&gt; Executar os comandos: ---&gt; DROP PROCEDURE ProcessStrategies ---&gt; DROP PROCEDURE ProcessBatchLoad_Oi_Varejo_Movel ---&gt; Sp_Rename ProcessStrategies_20160229, ProcessStrategies ---&gt; Sp_Rename ProcessBatchLoad_Oi_Varejo_Movel_20160229, ProcessBatchLoad_Oi_Varejo_Movel</t>
  </si>
  <si>
    <t>Manutenção preventiva Bianual da substação do site</t>
  </si>
  <si>
    <t>Gerador e No-Breaks 80 e 160 KVA</t>
  </si>
  <si>
    <t>INSTALAR INFRA ELETRICA PARA RETIFICADOR DO SDH (OI) SITE ALEGRIA</t>
  </si>
  <si>
    <t>PDU</t>
  </si>
  <si>
    <t>CASO OCORRA ALGUM PROBLEMA DURANTE A ATIVIDADE SERÃO SUSPENSAS IMEDIATEMENTE</t>
  </si>
  <si>
    <t>CTXMLTREG 6282 CPD ALEGRIA FALAHA SDH OI</t>
  </si>
  <si>
    <t>Manutenção corretiva com Substituir dos Capacitores do Nobreak 150KVA Operação 8º andar.</t>
  </si>
  <si>
    <t>Nobreak´s 150KVA</t>
  </si>
  <si>
    <t>Realização de manutenção preventiva com parada da UPS Maxi-line de 120KVA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</si>
  <si>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Gerador.</t>
  </si>
  <si>
    <t>Atender demanda do projeto de Controle de Chamadas da Oi / Realizar migração de trafego para o SBC da Oi em Curitiba</t>
  </si>
  <si>
    <t>OI-13273 - Recarga Ajuste - OCT</t>
  </si>
  <si>
    <t>LEANDRO GALVÃO OLIVEIRA</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</si>
  <si>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</si>
  <si>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Retorna os arquivos de backup. Refazer os Testes Técnicos e Funcionais</t>
  </si>
  <si>
    <t>OI-13273</t>
  </si>
  <si>
    <t>Atender projeto da Oi de Controle de Chamadas / Migração logica das chamadas para o SBC da Oi no POP Porto Alegre</t>
  </si>
  <si>
    <t>OI-12750</t>
  </si>
  <si>
    <t>Manutenção corretiva nas máquinas de ar condicionado: 02 e 04 CDP Prado I.</t>
  </si>
  <si>
    <t>Ar condicionado</t>
  </si>
  <si>
    <t>Atualização da aplicação OiTv. A release 2016/03/01 terá como foco principal as seguintes mudanças abaixo: ? FUO-551 Diagnóstico do Projeto Clima Tempo "Prezados, ? FUO-550 Diagnóstico do Projeto NID "Prezados, ? FUO-720 Menu Fibra ? FUO-678 FUO-760 URA 10631 - FALHA DE PROMPT - ERRADO - ( OITV ) ? FUO-761 Problema Consulta BuscaDadosCliente ? FUO-764 Alteração tratamento 0 contratos</t>
  </si>
  <si>
    <t>Atualização da aplicação Corporativo. A release 2016/03/01 terá como foco principal as seguintes mudanças abaixo: ? FUO-710 Inclusão MSGs BD e evento no início da URA ? FUO-711 Implantar novo checklist de reparo Fixo e Velox</t>
  </si>
  <si>
    <t>Manutenção preventiva dos grupos geradores Stemac e FGW e realização de teste com carga.</t>
  </si>
  <si>
    <t>GMG Stemac e FGGilson.</t>
  </si>
  <si>
    <t>Em eventual falha reportaremos para a área de missão critica, coordenador do site e gerência de cidade, após ser aprovado o procedimento restabeleceremos o sistema. OBS: A execução da manutenção será acompanhada pelo técnico de equipamentos do site Cabula</t>
  </si>
  <si>
    <t>Atualização da aplicação Empresarial. A release 2016/03/01 terá como foco principal as seguintes mudanças abaixo: ? FUO-757 Piloto Vendas _ TLV Empresarial</t>
  </si>
  <si>
    <t>Garantir devida alimentação elétrica para equipamento Oi SDH. Troca da fonte alimentadora (Retificadora) atual (solução temporária) para retificadora definitiva. A GMUD será executada pelas equipes de transmissão e energia da Oi</t>
  </si>
  <si>
    <t>NOC,WELINTON DIVANI DA SILVA</t>
  </si>
  <si>
    <t>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t>
  </si>
  <si>
    <t>Caso a alimentação nova do retificador não funcione, deve-se voltar para a contingência atual. Seguir os mesmos testes de validação descritos aqui.</t>
  </si>
  <si>
    <t>CTXMLTREG-6282</t>
  </si>
  <si>
    <t>Atualização da aplicação OiTv. A release 2016/02/25 terá como foco principal as seguintes mudanças abaixo: ? FUO - 766 Emergencial - Luta Anderson Silva</t>
  </si>
  <si>
    <t>Ajuste URA RACO.</t>
  </si>
  <si>
    <t>Evitar desligamento indevido do ativo apptctx04salas</t>
  </si>
  <si>
    <t>RICARDO ADRYANO BEZERRA</t>
  </si>
  <si>
    <t>appctx04salas</t>
  </si>
  <si>
    <t>Caso ocorra falha no disco, o mesmo será removido do servidor e disco anterior inserido.</t>
  </si>
  <si>
    <t>CTXSALAS-163253</t>
  </si>
  <si>
    <t>Atualização da aplicação Empresarial. A release 2016/02/26 terá como foco principal as seguintes mudanças abaixo: ? FUO-325 - CapturaNumero TelevendasFUO-709 Captura Numero Empresarial ? FUO-662 Informe de OS Aberta Fixo/Velox</t>
  </si>
  <si>
    <t>Embratel irá instalar o roteador para ativiação do link de dados da Operação Souza Cruz</t>
  </si>
  <si>
    <t>Não tem</t>
  </si>
  <si>
    <t>Desligar o equipamento.</t>
  </si>
  <si>
    <t>Implantar novo processo de baixa diária na Operação Varejo R2 Fixa.</t>
  </si>
  <si>
    <t>10.55.14.13</t>
  </si>
  <si>
    <t>1 - conectar no servidor 10.55.14.13 pelo query analyzer 2 - executar SQL ABAIXO: /****** Object: Table [dbo].[DataExchange_BatchLoad_Oi_Fixa_R2_Baixa_Diaria_Matrix] Script Date: 01/13/2015 14:34:46 ******/ IF EXISTS (SELECT * FROM sys.objects WHERE object_id = OBJECT_ID(N'[dbo].[DataExchange_BatchLoad_Oi_Fixa_R2_Baixa_Diaria_Matrix]') AND type in (N'U')) DROP TABLE [dbo].[DataExchange_BatchLoad_Oi_Fixa_R2_Baixa_Diaria_Matrix] GO /****** Object: Table [dbo].[DataExchange_BatchLoad_Oi_Fixa_R2_Baixa_Diaria_RawData] Script Date: 01/13/2015 14:34:57 ******/ IF EXISTS (SELECT * FROM sys.objects WHERE object_id = OBJECT_ID(N'[dbo].[DataExchange_BatchLoad_Oi_Fixa_R2_Baixa_Diaria_RawData]') AND type in (N'U')) DROP TABLE [dbo].[DataExchange_BatchLoad_Oi_Fixa_R2_Baixa_Diaria_RawData] GO /****** Object: StoredProcedure [dbo].[PrepareBatchLoadDataExchange_BatchLoad_Oi_Fixa_R2_Baixa_Diaria] Script Date: 26/02/2016 14:30:54 ******/ IF EXISTS (SELECT * FROM sys.objects WHERE object_id = OBJECT_ID(N'[dbo].[PrepareBatchLoadDataExchange_BatchLoad_Oi_Fixa_R2_Baixa_Diaria]') AND type in (N'P', N'PC')) DROP PROCEDURE [dbo].[PrepareBatchLoadDataExchange_BatchLoad_Oi_Fixa_R2_Baixa_Diaria] GO /****** Object: StoredProcedure [dbo].[SendMail_Baixa_Oi_Fixa_R2_Baixa_Diaria] Script Date: 01/13/2015 14:33:18 ******/ IF EXISTS (SELECT * FROM sys.objects WHERE object_id = OBJECT_ID(N'[dbo].[SendMail_Baixa_Oi_Fixa_R2_Baixa_Diaria]') AND type in (N'P', N'PC')) DROP PROCEDURE [dbo].[SendMail_Baixa_Oi_Fixa_R2_Baixa_Diaria] GO /****** Object: StoredProcedure [dbo].[ProcessBatchLoad__Oi_FixaR2BaixaDiaria] Script Date: 01/13/2015 14:33:56 ******/ IF EXISTS (SELECT * FROM sys.objects WHERE object_id = OBJECT_ID(N'[dbo].[ProcessBatchLoad__Oi_FixaR2BaixaDiaria]') AND type in (N'P', N'PC')) DROP PROCEDURE [dbo].[ProcessBatchLoad__Oi_FixaR2BaixaDiaria] GO /****** Object: StoredProcedure [dbo].[ParseDataExchange_BatchLoad_Oi_Fixa_R2_Baixa_Diaria] Script Date: 01/13/2015 14:34:13 ******/ IF EXISTS (SELECT * FROM sys.objects WHERE object_id = OBJECT_ID(N'[dbo].[ParseDataExchange_BatchLoad_Oi_Fixa_R2_Baixa_Diaria]') AND type in (N'P', N'PC')) DROP PROCEDURE [dbo].[ParseDataExchange_BatchLoad_Oi_Fixa_R2_Baixa_Diaria] GO</t>
  </si>
  <si>
    <t>Upgrade do link MPLS da VIVO no DC Alphaville / Fusão e lançamento da fibra de redundância da VIVO no DC Alphaville</t>
  </si>
  <si>
    <t>Retirar a fibra lançada.</t>
  </si>
  <si>
    <t>Upgrade do link MPLS da VIVO no DC Alegria / Ativação do link de 5GB.</t>
  </si>
  <si>
    <t>Re-ativação do link MPLS de 1GB</t>
  </si>
  <si>
    <t>APPTLM10FORBM; DBSCTX07FORBM; DBSCTX08FORBM; DBSCTX11FORBM; DBSCTX16FORBM; GRVCTX23FORBM; GRVTLM11FORBM; WEBCTX01FORBM; WEBCTX02FORBM</t>
  </si>
  <si>
    <t>Atualizar o número de licenças contratadas pela Contax junto ao fornecedor LG. O licenciamento do FPw tem como base o número de colaboradores ativos. Nesta atualização está sendo feito um downgrade do número de licenças conforme listado abaixo: FPW Folha de Pagamento: de 83 mil para 66 mil My Way: de 83 mil para 66 mil. Esta redução se deve ao fato de redução no número de funcionários na Contax.</t>
  </si>
  <si>
    <t>APPCTX114SPODB; APPCTX181SPODB</t>
  </si>
  <si>
    <t>Não há, caso a atualização não seja feita com sucesso permanece o número de licenças anterior.</t>
  </si>
  <si>
    <t>rollout dos projetos Preenchimento Automático de Senha do DataCenter e Inad45d</t>
  </si>
  <si>
    <t>MARIANA DE LIMA BOSCHIERO</t>
  </si>
  <si>
    <t>Aproximadamente 130 máquinas da operação NET; Aproximadamente 720 máquinas da operação NET</t>
  </si>
  <si>
    <t>Voltar a solução ativa atualmente nos times de cada uma das operações NET com solução RTI - Acessar o servidor de RTI para a operação NET; - Associar a última versão aos times de cada operação - Acompanhar</t>
  </si>
  <si>
    <t>CTXPOARB-95445, CTXPOARB-95468</t>
  </si>
  <si>
    <t>Realizar Manutenção Preventiva nas UPS que atendem ao CPD site Lapa</t>
  </si>
  <si>
    <t>VIVO,Volkswagen</t>
  </si>
  <si>
    <t>Caso ocorra qualquer anomalia, iremos parar a ativade em imediato informar areas interessadas e voltar o processo do inicio</t>
  </si>
  <si>
    <t>Atualização da aplicação Televendas. A release 2016/03/01 terá como foco principal as seguintes mudanças abaixo: -&gt; FUO-740 Confirmação de CNPJ em mãos</t>
  </si>
  <si>
    <t>Garantir a confiabilidade de energia estabilizada para as cargas do CPD.</t>
  </si>
  <si>
    <t>No-Break´s</t>
  </si>
  <si>
    <t>No-Break's</t>
  </si>
  <si>
    <t>Remoção do Antivírus Symantec no servidor 10.16.1.159</t>
  </si>
  <si>
    <t>JÚLIO CÉSAR DOMINGOS MARQUES</t>
  </si>
  <si>
    <t>APPCTX05FORBM</t>
  </si>
  <si>
    <t>Restore de backup</t>
  </si>
  <si>
    <t>CTXBHZRP-217742</t>
  </si>
  <si>
    <t>Garantir a confiabilidade do sistema de geração de energia emergencial do Site Prado. Troca da bomba d'água do GMG 03 (405KVA)</t>
  </si>
  <si>
    <t>APPCTX388SPODA; APPCTX388SPODB; APPCTX389SPODA; APPCTX389SPODB</t>
  </si>
  <si>
    <t>APPCTX388SPODA; APPCTX388SPODB; APPCTX389SPODA; APPCTX389SPODB; CLSCTX101SPODA; CLSCTX101SPODB</t>
  </si>
  <si>
    <t>Atualização da aplicação OiTv. A release 2016/03/02 terá como foco principal as seguintes mudanças abaixo: -&gt; FUO-720 Menu Fibra -&gt; FUO-760 URA 10631 - FALHA DE PROMPT - ERRADO - ( OITV ) -&gt; FUO-761 Problema Consulta BuscaDadosCliente -&gt; FUO-764 Alteração tratamento 0 contratos OiTV</t>
  </si>
  <si>
    <t>Preventiva Mensal Energ - Teste com carga do Gerador Heimer 305 KVA -</t>
  </si>
  <si>
    <t>Manutenção preventiva anual dos geradores para manter a confiabilidade do sistema de contingência na falta de energia.</t>
  </si>
  <si>
    <t>Substituição de peça em garantia para equipamento de ar condicionado de Precisão na área da sala Pólo. Será substituido transdutor de alta pressão.</t>
  </si>
  <si>
    <t>N/A.</t>
  </si>
  <si>
    <t>Realizar manutenção preventiva mensal em gerador conforme cronograma anual contemplando teste sem carga.</t>
  </si>
  <si>
    <t>Para retorno do equipamento a sua condição normal, após todos os testes, analise visual e limpeza, estaremos passando ogerador de manual para automático e estará apto para reconhecer uma falta de energia e atuar plenamente.</t>
  </si>
  <si>
    <t>Alterar o banco "tempdb" para o novo disco que foi disponibilizado ("T") e reiniciar o SqlServer</t>
  </si>
  <si>
    <t>DBSCTX306SPODA</t>
  </si>
  <si>
    <t>Alterar a localização dos arquivos tempdb para a unidade D: ----- Segue comandos : use master go ALTER DATABASE tempdb MODIFY FILE (NAME = tempdev, FILENAME = 'D:\Program Files\Microsoft SQL Server\MSSQL10_50.MSSQLSERVER\MSSQL\DATA\tempdb.mdf'); GO ALTER DATABASE tempdb MODIFY FILE (NAME = templog, FILENAME = 'D:\Program Files\Microsoft SQL Server\MSSQL10_50.MSSQLSERVER\MSSQL\DATA\templog.ldf'); GO --- Reiniciar o SQLServer --- Validar o ambiente (logs)</t>
  </si>
  <si>
    <t>CTXSPOAR-1195</t>
  </si>
  <si>
    <t>Instalar o agente da aplicação de inventário OCS.</t>
  </si>
  <si>
    <t>DAVID LOPES DA COSTA CHAVES,JOSE GERALDO DA SILVA DOS SANTOS</t>
  </si>
  <si>
    <t>APPTDO101SPODB</t>
  </si>
  <si>
    <t>Atualização de melhorias do sistema Perficall, para a implantação da (Célula CRV) Operação CO.</t>
  </si>
  <si>
    <t>CTXRECSA-407337</t>
  </si>
  <si>
    <t>Aplicar os Procedimentos abaixo no sistema Protheus: TUHVG8 - Correção da contabilização do IRRF para a rotina Documentos de Entrada; TUJHZP - Implementação das regras contábeis para baixas a receber c/ motivo “PER”.</t>
  </si>
  <si>
    <t>Remoção do Antivírus Symantec e Instalação do McAfee</t>
  </si>
  <si>
    <t>EDUARDO SOARES PEREIRA</t>
  </si>
  <si>
    <t>APPCTX02SALSM; APPCTX03SALSM; APPCTX04SALSM; APPCTX12BHZRP; appctx04bhzac; dbsctx04spoal; DBSCTX04SPOBF; DBSCTX14SPOBF; dbsctx05spolp; disctx07forbm; disctx11forbm; GRVCTX103SPODA; GRVCTX101SPODA; WEBCTX07BHZRP; WEBCTX08BHZRP</t>
  </si>
  <si>
    <t>Desinstalar o antivírus McAfee.</t>
  </si>
  <si>
    <t>Executar manutenção preventiva em (1) NO BREAK - ENGETRON de 80 KVA que supri a carga essencial do Site Alameda Santos.</t>
  </si>
  <si>
    <t>APPCTX05FORBM; appctx06recsa; appctx07recsa; APPCTX12RECSA; APPCTX13RECSA; APPCTX19RECSA; dbsctx11forbm; dbsctx12forbm; dbsctx14forbm; dbsctx15forbm; dbsctx16forbm; dbsctx17forbm; dbsctx18forbm; dbsctx20forbm; dbsctx23forbm; dbsctx26forbm; disctx04bhzrp; disctx06bhzrp; disctx07bhzrp; GRVCTX06SPODB; GRVCTX10SPODA; GRVCTX23SPODB; webctx01forbm; webctx02forbm; webctx04forbm; webctx07forbm</t>
  </si>
  <si>
    <t>O Objetivo do Plano de Retorno é desinstalar o Antivírus McAfee. O período previsto para um Plano de Retorno é de 2:00 horas (06:00 à 08:00 am).</t>
  </si>
  <si>
    <t>Executar manutenção preventiva trimestral sem desligamento em 02(dois) no-breaks Emerson , 02(dois) no-breaks APC e 01(um) no-break Leistung -que atendem as operações e Site Fortaleza CE/Garantir a total disponibilidade e confiabilidade do sistema de contingência de energia estabilizada do Site.</t>
  </si>
  <si>
    <t>URA 144 Pré não está identificando e tratando corretamente os clientes com bloqueio de cadastro.</t>
  </si>
  <si>
    <t>MONIQUE DE ALMEIDA AIRES</t>
  </si>
  <si>
    <t>OI-13664</t>
  </si>
  <si>
    <t>Correções na Recarga do Pós Pago.</t>
  </si>
  <si>
    <t>Realizar a remoção do antivírus Symantec do servidor APPCTX04BHZAC - 10.48.15.43, pois nesse servidor o antivírus MCafee ja foi instalado, mas continua com o symantec.</t>
  </si>
  <si>
    <t>Não haverá plano de retorno, pois após a remoção do symantec ele não pode ser reinstalado, pois não há mais contrato com esse fornecedor e a reinstalação aumentaria o gap de licenças.</t>
  </si>
  <si>
    <t>CTXBHZRI-99032</t>
  </si>
  <si>
    <t>Manutenção preventiva do Gerador Stemac 310 KVA</t>
  </si>
  <si>
    <t>Manutenção emergencial Banco de baterias e No break Leistung 3º AGV</t>
  </si>
  <si>
    <t>Banco de baterias e Nobreak</t>
  </si>
  <si>
    <t>Colocar gerador em manual ou deixar em automático caso o banco não segure após a retirada do by pass.</t>
  </si>
  <si>
    <t>CTXSALAS-163674</t>
  </si>
  <si>
    <t>Implantação de atualizações de promoções na URA *144 Pré Pago.</t>
  </si>
  <si>
    <t>MARCELO GALDINO DA SILVA</t>
  </si>
  <si>
    <t>Executar a manutenção preventiva com carga dos Geradores Stemac do site Boa Viagem, conforme abaixo: 3 Geradores de 642 KVA (operações e CPD – blocos 2,3 e 4) e 1 Gerador de 260 KVA (operação e adm bloco 1)</t>
  </si>
  <si>
    <t>APPCTX01FORBM; APPCTX03FORBM; BKPCTX05FORBM; CTICTX03FORBM; DBSCTX07FORBM; DISCTX10FORBM; FSSCTX01FORBM; FSSCTX01FORNA; FSSCTX07FORBM; HMLCTX02FORBM</t>
  </si>
  <si>
    <t>Mapeamento dos circuitos da PDU2 e ligação dos circuitos na nova PDU2 Desenergizada</t>
  </si>
  <si>
    <t>PDU2</t>
  </si>
  <si>
    <t>Atualizar a versão do produto tClock Contax para contemplar: Reclassificações de registro de ponto  - informar no espelho de ponto; Trava de fechamento; Melhorar tela de filtro de relatório; Abono em Lote; Conteúdo informacional na tela inicial ; Afastamento que não Gera HE; Melhorias nas telas (Menu Controle de Acesso);</t>
  </si>
  <si>
    <t>VINICIUS ADELIR NYARI</t>
  </si>
  <si>
    <t>VICENTE FRITZEN DA SILVA,VINICIUS ADELIR NYARI</t>
  </si>
  <si>
    <t>APPCTX245SPODB; APPCTX246SPODB; APPCTX247SPODB; APPCTX248SPODB; APPCTX249SPODB; APPCTX250SPODB; APPCTX251SPODB; APPCTX253SPODB; APPCTX254SPODB; DBSCTX123SPODB; DBSCTX125SPODB</t>
  </si>
  <si>
    <t>Fazer o restore do backup e das aplicações</t>
  </si>
  <si>
    <t>Manter a confiabilidade do sistema de contingência de energia</t>
  </si>
  <si>
    <t>Executar manutenção preventiva em (1) NO BREAK - EATON de 160 KVA que supri a carga essencial da operação do Site Augusta.</t>
  </si>
  <si>
    <t>Serviço de Manutenção Preventiva de Nobreak para manter a confiabilidade do sistema.</t>
  </si>
  <si>
    <t>Não há plano de torno, pois nenhum sistema será desligado no caso o No Break. OBS: Após a execução dos serviços acima relacionados, será emitido laudo atestando a funcionalidade dos no-breaks.</t>
  </si>
  <si>
    <t>OI 13483 Oferta Oi Controle retenção OI-13427 Inclusão de novos serviços SVA Oi-13492Inclusão de mensagem para retorno dos códigos de negócio SVA OI 13627 Correção Oi Conta Acesso pelo *3000 OI 13629 Inclusão ByPass Turn Around Recarga Novos Fluxos OI 13686 Validar recarga nas ultimas 24h quando só há uma opção disponível</t>
  </si>
  <si>
    <t>APPCTX14RJONT; APPCTX15RJOED; APPCTX16RJOED; APPCTX18RJOED; APPCTX19RJOED; APPOIM04SPOAL; DBSOIM01SPOAL; NMSIOM01SPOAL</t>
  </si>
  <si>
    <t>OI 13483 OI-13427 Oi-13492 ,OI 13627,OI 13629 e OI 13686</t>
  </si>
  <si>
    <t>Preventiva STEMAC sem carga do gerador Stemac 305 KVA - Site Augusta.</t>
  </si>
  <si>
    <t>Garantir a realização de backup dos servidores do Site Fonte Nova BA.</t>
  </si>
  <si>
    <t>PAULO ROGERIO GOMES</t>
  </si>
  <si>
    <t>FSSCTX05SALAS</t>
  </si>
  <si>
    <t>Caso ocorra falha durante o processo de atualização, retornar a ferramenta CA ARCserve para a versão anterior e reiniciar o servidor. 1. Remover o software arcserve backup 16.5, através do “Control Panel\Programs\Programs and Features” 2. Clicar com o botão direito do mouse no “Ca ARCserve Backup” e clica com o botão esquerdo um “unistall”. Clique next para desintalar e ok para confirmando a desinstalação</t>
  </si>
  <si>
    <t>CTXSALAS-163678</t>
  </si>
  <si>
    <t>Manutenção Preventiva em 02(dois) Grupo Gerador de 360KVA. Verificar ajustes e realizar testes necessários nas USCA/Geradores.</t>
  </si>
  <si>
    <t>WILTON DOS ANJOS CARNEIRO</t>
  </si>
  <si>
    <t>02(dois) Grupo Gerador de 360KVA (cada)</t>
  </si>
  <si>
    <t>Caso tenha algum problema com o gerador, será realizado by-pass para o fornecimento de energia da concessionária.</t>
  </si>
  <si>
    <t>Validação e documentação de redundância dos links MPLS no site Aurora/Execução de testes de fail over e captura de evidências.</t>
  </si>
  <si>
    <t>FRANCISCO ROSBERG DE CARVALHO SILVA,THIAGO SILVA FERREIRA</t>
  </si>
  <si>
    <t>Desig. 00838606 / RCE5388972</t>
  </si>
  <si>
    <t>Reativação dos links.</t>
  </si>
  <si>
    <t>Para atender solicitação da concessionaria Light para execução de reparo na rede /transferência da Linha 1340 para 4920</t>
  </si>
  <si>
    <t>Subestação Primaria</t>
  </si>
  <si>
    <t>Manutenção preventiva em (1) NO BREAK - CHLORIDE de 40 KVA - Site Augusta. Teste sem desligamento e transferência de carga, porém com teste de descarga baterias.</t>
  </si>
  <si>
    <t>Adicionar o gravador 10.171.1.137 ao session recording do SBC de CDS</t>
  </si>
  <si>
    <t>Sera removido o servidor da configuração.</t>
  </si>
  <si>
    <t>CTXSPOAL-108973</t>
  </si>
  <si>
    <t>Criar uma instância para Operação Bradesco que irá utilizar o tGuidance!</t>
  </si>
  <si>
    <t>DBSCTX105SPODA; DBSCTX21SPODA</t>
  </si>
  <si>
    <t>1. Exclusão de Usuário na base de dados de destino 2. Exclusão de Profile na base de dados de destino 3. Exclusão de Tablespace na base de dados de destino</t>
  </si>
  <si>
    <t>Voltar a tabela na versão antiga na base (MOVEL_NOVOMODELO_V1)</t>
  </si>
  <si>
    <t>CTXRJOMA-78761</t>
  </si>
  <si>
    <t>Última etapa do projeto de migração do tSupervisor! versão 1.0 para a versão 2.0.</t>
  </si>
  <si>
    <t>DBSCTX21SPODA; DBSCTX22SPODA; FESCTX01SPODA</t>
  </si>
  <si>
    <t>1) Se logar no servidor via mstsc 2) Parar o serviço da aplicação tsupervisor 3) excluir o arquivo TSUPERVISOR.EAR do diretório D:\Todo\jboss-eap-6.2-port-8180\standalone\deployments 4) Retornar o arquivo que foi renomeado na etapa de execução 5) Iniciar a aplicação novamente; Realizar o rollback da estrutura criada.</t>
  </si>
  <si>
    <t>CTXSPOAP407-10493</t>
  </si>
  <si>
    <t>Restart da plataforma Aspect / Corrigir falhas de quedas e travamentos</t>
  </si>
  <si>
    <t>acsctx01forbm; corctx01forbm; expctx01forbm; expctx02forbm; expctx03forbm; expctx04form; pdmctx01forbm; recctx01forbm; repctx01forbm</t>
  </si>
  <si>
    <t>Realizar cópia do arquivo antes de alterá-lo, caso aconteça algum problema, o arquivo original é restaurado.</t>
  </si>
  <si>
    <t>CTXFORBM-364585</t>
  </si>
  <si>
    <t>Falha na identificação do bloqueio de cadastro.</t>
  </si>
  <si>
    <t>OI-13835</t>
  </si>
  <si>
    <t>Ocorrerá uma release emergencial por pedido do cliente Oi. Subirá apenas uma demanda que envolve o ACM.</t>
  </si>
  <si>
    <t>DOUGLAS ALVARES DO NASCIMENTO</t>
  </si>
  <si>
    <t>APPCTX14RJONT; APPCTX15RJOED; APPCTX16RJOED; APPCTX18RJOED; APPCTX19RJOED; APPOIM04SPOAL; APPOIM07SPOLP; DBSOIM01SPOAL; NMSIOM01SPOAL</t>
  </si>
  <si>
    <t>OI-13805</t>
  </si>
  <si>
    <t>Release URA USSD OI-13620 Alteração mensagem fluxo: " RealizaRecarga" OI-13820 Disponibilizar menuContas cliente Oi Controle c/Fatura</t>
  </si>
  <si>
    <t>Atualização de rotina de melhorias e correções no sistema.</t>
  </si>
  <si>
    <t>APPCTX304SPODA; APPCTX305SPODA; APPCTX306SPODA; APPCTX307SPODA; APPCTX308SPODA; APPCTX309SPODA; DBSCTX105SPODA; DBSCTX106SPODA</t>
  </si>
  <si>
    <t>Manutenção GMGs; Manutençãpo de GMGs</t>
  </si>
  <si>
    <t>Após testes funcional e técnico, o técnico da empresa contratada, retornará todo sistema em modo automático e elaborará o relatório final.</t>
  </si>
  <si>
    <t>Upgrade do link MPLS VIVO no DC Alphaville / Energização e configuração do DWDM.</t>
  </si>
  <si>
    <t>Desligamento do DWDM e retificador.</t>
  </si>
  <si>
    <t>Objetivo/Descrição: Atender demanda do projeto da Oi do Controle de Chamadas / Migrar trafego dos pop´s faltantes Projeto: Pre Routing da OI</t>
  </si>
  <si>
    <t>Realizar Upgrade de memoria no Servidor FSSCTX01FORBM</t>
  </si>
  <si>
    <t>FILIPE ANTONIO MESQUITA BEZERRA,JOSE GERALDO DA SILVA DOS SANTOS,PAULO ROGERIO GOMES</t>
  </si>
  <si>
    <t>FSSCTX01FORBM</t>
  </si>
  <si>
    <t>Retirar as novas memorias inseridas e ligar o servidor apenas com as memorias ja existentes.</t>
  </si>
  <si>
    <t>Upgrade do link MPLS da VIVO no DC Alphaville / Instalação do roteador e conexão da link no CORE.</t>
  </si>
  <si>
    <t>LUCAS ALBERTO DE MORAES,THIAGO SILVA FERREIRA</t>
  </si>
  <si>
    <t>Reativar o link de 680MB.</t>
  </si>
  <si>
    <t>Aplicar os Procedimentos abaixo no sistema Protheus: TURFML - Disponibilizar novo cadastro de espécie “Recibo” na inclusão de Documento de Entrada; TUHVH4 - Correção no relatório de Provisões/Faturamento para tratar exibição de pedidos duplicados; TURFB2 - Inclusão da lupa de busca do diretório na geração do arquivo de remessa CNAB.</t>
  </si>
  <si>
    <t>Executar manutenção Preventiva Mensal em 05 (Cinco) Grupos Geradores de Energia. Garantir total confiabilidade e disponibilidade do sistema de contingência de energia elétrica do Site.</t>
  </si>
  <si>
    <t>Testes dos equipamentos e de temperaturas do CPD com o novo sistema Climatização Fancoils. Garantir total confiabilidade e disponibilidade de climatização do CPD com diferentes tipos de contingência.</t>
  </si>
  <si>
    <t>Será monitorado a temperatura caso aja um aumento da temperatura próximo a 25,5°C o teste será abortado será realizado todos os procedimentos necessários para retomar ao funcionamento normal.</t>
  </si>
  <si>
    <t>Downgrande duas URAS MPPs Avaya no Data Center Alegria, Sistema operacional Linux.</t>
  </si>
  <si>
    <t>CTXMTZPB-1285</t>
  </si>
  <si>
    <t>Correção de falha no CM de MCK_A.</t>
  </si>
  <si>
    <t>WARLEI DIAS DE OLIVEIRA</t>
  </si>
  <si>
    <t>EDERSON DA SILVA ROCHA</t>
  </si>
  <si>
    <t>10.9.15.83</t>
  </si>
  <si>
    <t>Realizar roolback para o SP anterior.</t>
  </si>
  <si>
    <t>CTXFORBM-348725</t>
  </si>
  <si>
    <t>Correção para consulta clientes InfoGeral R2, para Evento Vulto</t>
  </si>
  <si>
    <t>HUGO RAFAEL DE LIMA BRITO</t>
  </si>
  <si>
    <t>HUGO RAFAEL DE LIMA BRITO,MARCOS SANTOS DO SACRAMENTO</t>
  </si>
  <si>
    <t>URACTX04BSBPA / URACTX05BSBPA; URACTX04CGRPA / URACTX05CGRPA; URACTX04POAPA / URACTX05POAPA; URACTX05BHZPA / URACTX06BHZPA / URACTX07SALPA; URACTX05CTAPA / URACTX06CTAPA / URACTX07CTAPA; URACTX05SPOPA / URACTX06SPOPA / URACTX07SPOPA; URACTX06BHZPA / URACTX07BHZPA / URACTX08BHZPA; URACTX06RECPA / URACTX07RECPA / URACTX08RECPA; URACTX06RJOPA / URACTX07RJOPA / URACTX08RJOPA; URACTX06RJOPB / URACTX07RJOPB / URACTX08RJOPB; URACTX07FORPA / URACTX08FORPA / URACTX06FORPA</t>
  </si>
  <si>
    <t>CTXMLTREG-6670</t>
  </si>
  <si>
    <t>BRUNO AUGUSTO ABBADE OLIVEIRA</t>
  </si>
  <si>
    <t>OI-13270</t>
  </si>
  <si>
    <t>MANUTENÇÃO PREVENTIVA DO GRUPO GERADOR SEM CARGA</t>
  </si>
  <si>
    <t>MARCOS SANTOS DO SACRAMENTO,UVERLANIO MAURICIO PEREIRA DA SILVA</t>
  </si>
  <si>
    <t>Validação e documentação de redundância dos links MPLS no site João Pessoa/Execução de testes de fail over e captura de evidências.</t>
  </si>
  <si>
    <t>JPA5144574 / JPA-301KOFAY</t>
  </si>
  <si>
    <t>Reativação dos 2 links do site.</t>
  </si>
  <si>
    <t>Realizar atualização do Vmware Vcenter do site Alegria</t>
  </si>
  <si>
    <t>vctctx101spodb</t>
  </si>
  <si>
    <t>1º Efetuar logon no host esxi que hospeda o servidor virtual do Vcenter(VCTCTX101SPODB); 2º Com o botão direito clicar no servidor virtual e escolher a opção SNAPSHOT/SNAPSHOT MANAGER; 3º Escolher a opção VCENTER GMUD 19655 e clicar em GO TO; 4º Clicar em Yes na mensagem que diz que irá utilizar o snapshot da maquina virtual; 5º Efetuar logon no host esxi que hospeda o servidor virtual do Banco de Dados Vcenter(VDBCTX101SPODB); 6º Com o botão direito clicar no servidor virtual e escolher a opção SNAPSHOT/SNAPSHOT MANAGER; 7º Escolher a opção VCENTER GMUD 19655 e clicar em GO TO; 8º Clicar em Yes na mensagem que diz que irá utilizar o snapshot da maquina virtual; 9º Ligar o servidor virtual de Banco de Dados do Vcenter (VDBCTX101SPODB); 10º Apos o servidor virtual de Banco de Dados estiver com todos os serviços funcionando, ligar o servidor virtual do VCENTER(VCTCTX101SPODB)</t>
  </si>
  <si>
    <t>Realizar a manutenção preventiva no GMG</t>
  </si>
  <si>
    <t>Banco Toyota,Bradesco,Ticket Serviços S/A,VIVO</t>
  </si>
  <si>
    <t>Iremos realizar a manutenção preventiva visando garantir o funcionamento pleno do equipamento, caso ocorra qualquer anomalia no momento da execução iremos paralizar a atividade e iniciar o processo.</t>
  </si>
  <si>
    <t>Remoção de servidores desativados do CPD do Site Fonte Nova</t>
  </si>
  <si>
    <t>DBSCTX03SALAS; DEFINITY 1; DEFINITY 2; MESCTX01SALAS; SUSCTX02SALAS</t>
  </si>
  <si>
    <t>Não há plano de retorno a ser executado. Todos os servidores já encontram-se fora de produção e desligados.</t>
  </si>
  <si>
    <t>• PROJETO: POP 1 DESMOBILIZAÇÃO DO CPD SITE PRADO 1</t>
  </si>
  <si>
    <t>Caso ocorra alguma falha, efetuar o Restore do backup</t>
  </si>
  <si>
    <t>Upgrade de 2 hosts esxi para versão 5.5 (VMWARE)</t>
  </si>
  <si>
    <t>DBSCTX117SPODB; DBSCTX143SPODB; DBSCTX304SPODB; GRVCTX109SPODB; vshctx115spodb, vshctx102spodb</t>
  </si>
  <si>
    <t>vshctx115spodb, vshctx102spodb</t>
  </si>
  <si>
    <t>Não existe rollback para a atualização do esxi.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t>
  </si>
  <si>
    <t>Restart FULL Plataforma Aspect Polo PE - STOP/START dos serviços UIP, restart dos servidores com S.O Windows. Tem como objetivo prevenir paradas no ambiente e atendendo a recomendações de restart mensal do sistema.</t>
  </si>
  <si>
    <t>Cielo,Oi</t>
  </si>
  <si>
    <t>Não possui plano de retorno, pois o ambiente não irá sofrer alterações na estrutura.</t>
  </si>
  <si>
    <t>Instalação de roteador e posterior ativação do Link de Voz para operação Souza Curz</t>
  </si>
  <si>
    <t>Manutenção corretiva emergência No Break 1° AGV</t>
  </si>
  <si>
    <t>CTXSALAS - 163760</t>
  </si>
  <si>
    <t>Atualização do ambiente / remoção o restante de configuração do SBC do POP Paraná.</t>
  </si>
  <si>
    <t>Realizar o restore do backup realizado no incio da mudança (Conforme plano de ação).</t>
  </si>
  <si>
    <t>Executar manutenção Preventiva Mensal em 01 (Um) Grupo Gerador de Energia. Garantir total confiabilidade e disponibilidade do sistema de contingência de energia elétrica do Site.</t>
  </si>
  <si>
    <t>Ajuste na regra de bloqueio Antifraude.</t>
  </si>
  <si>
    <t>OI-14097</t>
  </si>
  <si>
    <t>JOÃO PAULO MACIEL FILHO</t>
  </si>
  <si>
    <t>Manutenção preventiva trimestral de No-break, tem como objetivo manter a confiabilidade elétrica do Site, como também a conservação e desempenho do equipamento.</t>
  </si>
  <si>
    <t>Substituição de memória e processador do servidor CT_102_01</t>
  </si>
  <si>
    <t>CT_102_01</t>
  </si>
  <si>
    <t>Não há plano de retorno. No momento, o servidor já encontra-se fora de produção devido a falha em processador e memória.</t>
  </si>
  <si>
    <t>CTXSALAS-163252</t>
  </si>
  <si>
    <t>Desig. JPA5144574/JPA-301KOFAY</t>
  </si>
  <si>
    <t>Aplicar os Procedimentos abaixo no sistema Protheus: TURFD6 - Habilitar relatório que exibe permissões de acessos dos usuários; TURZRO - Disponibilizar cadastros das espécies “NFF” e “ND” na inclusão de Documento de Entrada; TUTIRQ - Liberação de arquivos de licenças;</t>
  </si>
  <si>
    <t>Atualização da aplicação Televendas. A release 20160322 terá como foco principal as seguintes mudanças: -&gt; FUO-791 URA TELEVENDAS - FALHA DE PROMPT - ERRADO -&gt; FUO-790 Trata Erro Televendas Empresarial -&gt; FUO-781 Lançamento Oi Total Televendas Varejo</t>
  </si>
  <si>
    <t>FUO-781, FUO-790 e FUO-791</t>
  </si>
  <si>
    <t>Voltar a tabela na versão antiga na base (Multiproduto)</t>
  </si>
  <si>
    <t>CTXRJOMA-79188</t>
  </si>
  <si>
    <t>OI-14096_Ajuste regra de bloqueio oi controle</t>
  </si>
  <si>
    <t>APPCTX14RJONT; APPCTX15RJOED; APPCTX16RJOED; APPCTX18RJOED; APPCTX19RJOED; APPOIM03SPOAL; APPOIM04SPOLP; DBSOIM01SPOAL; NMSIOM01SPOAL; NMSOIM04SPOLP</t>
  </si>
  <si>
    <t>; APPCTX14RJONT; APPCTX15RJOED; APPCTX16RJOED; APPCTX18RJOED; APPCTX19RJOED; APPOIM03SPOAL; APPOIM04SPOAL; APPOIM04SPOLP; DBSOIM01SPOAL; NMSIOM01SPOAL; NMSOIM04SPOLP</t>
  </si>
  <si>
    <t>OI-14096</t>
  </si>
  <si>
    <t>MARCUS VINÍCIUS RUSTIGUER,THIAGO SILVA FERREIRA</t>
  </si>
  <si>
    <t>Reativação do link de 680MB e restore do tráfego por esse link.</t>
  </si>
  <si>
    <t>Desligamento e desmontagem de No-break, banco de bateria e quadro de by-pass no 2º AVG</t>
  </si>
  <si>
    <t>Não há necessidade,pois o equipamento será desmobilizado.</t>
  </si>
  <si>
    <t>Manter a confiabilidade do sistema/repor No break GE 160 de Operação em Carga</t>
  </si>
  <si>
    <t>Após todos os testes; Acionar a equipe de TI para que sejam ligadas as salas de telemáticas do 4º, 5º e 6º andar; Acompanhar a equipe de TI para verificar juntamente se está normal; Estando tudo normal será informado ao Coordenador do Site a finalização do serviço;</t>
  </si>
  <si>
    <t>10.48.0.121; 10.48.0.141; 10.48.0.15; 10.48.0.150; 10.48.0.151; 10.48.0.160; 10.48.0.188; 10.48.0.220; 10.48.0.27; 10.48.0.71; 10.48.0.75</t>
  </si>
  <si>
    <t>Restore do backup. Segue anexo o e-mail do responsável em anexo</t>
  </si>
  <si>
    <t>OI-13617,OI-13415, OI-12750 e OI-13414</t>
  </si>
  <si>
    <t>Manutenção preventiva da fonte -48VCC</t>
  </si>
  <si>
    <t>Fonte -48Vcc</t>
  </si>
  <si>
    <t>Realizar troca do Switch pertencente a Operação Itaú. O mesmo esta desconectando.</t>
  </si>
  <si>
    <t>FELIPE LINS DA SILVA</t>
  </si>
  <si>
    <t>SWTACE45STATC02-1</t>
  </si>
  <si>
    <t>Não Possui plano de retorno.</t>
  </si>
  <si>
    <t>Instalação de Novo DHCP para correção de Ips operação BBMpfre.</t>
  </si>
  <si>
    <t>Retornar ips para modo manual em caso de falha na execução da GMUD.</t>
  </si>
  <si>
    <t>CTXRJOSC-15707</t>
  </si>
  <si>
    <t>Implantação de atualizações e melhorias na URA *144 Pré Pago</t>
  </si>
  <si>
    <t>"Realizar o UNDEPLOY da versão nova através do Tomcat Manager Refazer os Testes Técnicos e Funcionais."</t>
  </si>
  <si>
    <t>OI-13918 / OI-13952 / OI-13955</t>
  </si>
  <si>
    <t>Gerar postagem para novo lote de boletos da Campanha MÃES 2016</t>
  </si>
  <si>
    <t>O plano de retorno deve ser executado por CSE-Aplicações. Efetuar Restory da base de dados Oi_Campanha_Financeiro, atraves da Query descrita abaixo.. Obs: Rotina de backup validada pela área de BACKUP/RESTORE através do chamado CTXFORBM-359831.</t>
  </si>
  <si>
    <t>Remoção do Antivírus Symantec e Instalação do McAfee.</t>
  </si>
  <si>
    <t>FELIPE SANTOS BARBOSA DELGADO</t>
  </si>
  <si>
    <t>APPCTX04BHZRP; appctx04recau; APPCTX07BHZRP; APPCTX08BHZRP; APPCTX13RJOED; APPCTX14RJOED; appctx24bhzrp; apptlm06bhzrp; DBSCTX01BHZRI; DBSCTX02BHZRI; DBSCTX05BHZRI; DBSCTX06BHZRI; DBSCTX27FORBM; dbsctx28forbm; dbsctx32forbm; dbsctx39forbm; DBSCTX44FORBM; DBSTLM02BHZRP; fssctx01recsa; FSSORB01RECSA; FSSUBB02RECSA; GRVCTX109SPODB; GRVCTX110SPODB; GRVCTX27SPODA; HMLCTX04SPOAL; webctx02bhzrp; webctx02recau</t>
  </si>
  <si>
    <t>O Objetivo do Plano de Retorno é desinstalar o Antivírus McAfee. O período previsto para um Plano de Retorno é de 1:00 hora.</t>
  </si>
  <si>
    <t>Realizar troca de disco com alarme dos servidores abaixo: AESCTX07FORBM DBSCTX25FORBM DBSCTX21FORBM DBSCTX06FORBM</t>
  </si>
  <si>
    <t>FILIPE ANTONIO MESQUITA BEZERRA</t>
  </si>
  <si>
    <t>AESCTX07FORBM; DBSCTX06FORBM; DBSCTX25FORBM</t>
  </si>
  <si>
    <t>Voltar o disco anterior seguindo o processo de execução da troca. OBs: Essa ação deve ser aplicada em cada ação, seguindo o cronograma do plano de Ação, já que se trata de três servidores diferentes. AESCTX07FORBM - Data Inicio 19/04/2016 23:00:00 | Data Fim 19/04/2016 23:40:00 DBSCTX25FORBM - Data Inicio 20/04/2016 01:10:00 | Data Fim 20/04/2016 02:00:00 DBSCTX06FORBM - Data Inicio 20/04/2016 03:30:00 | Data Fim 20/04/2016 04:20:00</t>
  </si>
  <si>
    <t>CTXFORBM-346076 / CTXFORBM-334295 / CTXFORBM-346563</t>
  </si>
  <si>
    <t>Ativação dos troncos de voz da Operação Souza Cruz</t>
  </si>
  <si>
    <t>Desconectar os cabos do DID da Contax</t>
  </si>
  <si>
    <t>Realizar a troca dos discos com falha, dos servidores abaixo: DBSCTX10FORBM DBSCTX20FORBM DBSCTX07FORBM</t>
  </si>
  <si>
    <t>DBSCTX07FORBM; DBSCTX10FORBM; DBSCTX20FORBM</t>
  </si>
  <si>
    <t>Voltar o disco anterior seguindo o processo de execução da troca. OBs: Essa ação deve ser aplicada em cada ação, seguindo o cronograma do plano de Ação, já que se trata de três servidores diferentes. DBSCTX10FORBM - Data Inicio 07/04/2016 23:30:00 | Data Fim 08/04/2016 00:30:00 DBSCTX20FORBM - Data Inicio 08/04/2016 01:00:00 | Data Fim 08/04/2016 02:30:00 DBSCTX07FORBM - Data Inicio 08/04/2016 03:30:00 | Data Fim 08/04/2016 05:00:00</t>
  </si>
  <si>
    <t>CTXFORBM-346246 | CTXFORBM-334258 | CTXFORBM-334265</t>
  </si>
  <si>
    <t>Ajustar a configuração de duas CLAN´s e duas Prowlers do DAC Mackenzie_C.</t>
  </si>
  <si>
    <t>Acessar o DAC Mackenzie_C e alterar o campo Network-Region nas placas abaixo para utilizar a NR 1: CLAN 23A10 23A11 Media-Processo (Prowler) 23A14 24A14</t>
  </si>
  <si>
    <t>CTXRJOMK-137740</t>
  </si>
  <si>
    <t>Release URA USSD OI-14077 Atualização template financeira e Serviços SVA</t>
  </si>
  <si>
    <t>10.48.0.80; 10.50.13.40</t>
  </si>
  <si>
    <t>Restore do backup</t>
  </si>
  <si>
    <t>Alteração do acesso do site Comércio para a RI CC e sites NGR, pois ambos são acessados via link metro do Fonte Nova.</t>
  </si>
  <si>
    <t>ERIAN DO NASCIMENTO ESTRAEICH,THIAGO SILVA FERREIRA</t>
  </si>
  <si>
    <t>; De: SDR5876792 Para: SDR5948399</t>
  </si>
  <si>
    <t>Rollback da atividade alterando o tráfego para o link metroethernet.</t>
  </si>
  <si>
    <t>Implantação de projeto na aplicação RACO.</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</si>
  <si>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URACTX06RJOPA; URACTX07RJOPA; URACTX08RJOPA; URACTX06RJOPB; URACTX07RJOPB; URACTX08RJOPB</t>
  </si>
  <si>
    <t>Inclusão dos ativos no pool de backup.</t>
  </si>
  <si>
    <t>ISAIAS DA SILVA SANTOS,JOSE GERALDO DA SILVA DOS SANTOS</t>
  </si>
  <si>
    <t>APPCTX01RJOMA; APPCTX06RJONT; APPCTX08RJONT; APPCTX09NITSP; BKPCTX06RJONT; BKPCTX07RJONT; BKPCTX09RJONT; BKPCTX11RJONT; BKPCTX17RJONT; CLSCTX01NITSP; DBSCTX01NITSP; DBSCTX07NITSP; DBSCTX39RJOMA; DHCCTX01RJOMA; FSSCTX04RJOMA; FSSCTX06RJOMA; FSSCTX07RJOMA</t>
  </si>
  <si>
    <t>O Objetivo do Plano de Retorno é Reiniciar os Servidores nos dias 30/03 e 31/03.</t>
  </si>
  <si>
    <t>Atualização crítica a ser aplicada em servidores listados como vulneráveis pela Segurança da Informação Contax, de acordo com o boletim MS15-034-MS14-066.</t>
  </si>
  <si>
    <t>AVSCTX01SPOAL; BKPCTX03SPOAL; DBSCTX29SPOAL; DBSNPC02SPOAL; HMLCTX51SPOAL; HMLCTX52SPOAL; SDCTDO01SPOAL; SDCTDO02SPOAL</t>
  </si>
  <si>
    <t>1-Remover patches instalados.</t>
  </si>
  <si>
    <t>CTXSPOAL-110264</t>
  </si>
  <si>
    <t>Ajustar as configurações do Servidor de Aplicação do Sistema Carbon para que o tráfego de dados seja feito pela MPLS da Oi</t>
  </si>
  <si>
    <t>Alteração do IP do Seridor de Aplicação de 10.171.2.120 para 10.201.2.106 e alterar o domínio de oictx.contax.root para contax-br. O fornecedor deve retornar as configurações anteriores Efetuar testes de TELNET e testar a aplicação</t>
  </si>
  <si>
    <t>Movimentar discador Aspect DCP1 para novo rack com objetivo de estruturar/organizar o cabeamento</t>
  </si>
  <si>
    <t>DCP1</t>
  </si>
  <si>
    <t>Caso apresente algum problema no novo hack, o discador sera retornado para o hack de origem e o cabeamento ligado.</t>
  </si>
  <si>
    <t>Aplicar os Procedimentos abaixo no sistema Protheus: TUQRAY - Correção para considerar a cumulatividade diária do IR e PCC em notas fiscais de entrada; TUSCBN - Configuração para geração do SPED EFD ICMS-IPI;</t>
  </si>
  <si>
    <t>Manutenção preventiva no Aspect Polo SP</t>
  </si>
  <si>
    <t>corctx01spoal; EXPCTX01SPOAL; EXPCTX02SPOAL; EXPCTX03SPOAL; EXPCTX04SPOAL; PDMCTX01SPOAL; REPCTX01SPOAL</t>
  </si>
  <si>
    <t>Retirar a consulta da recarga programa do inicio da URA *880</t>
  </si>
  <si>
    <t>; APPCTX14RJONT; APPCTX15RJOED; APPCTX16RJOED; APPCTX18RJOED; APPCTX19RJOED; APPOIM03SPOAL; DBSOIM01SPOAL; NMSIOM01SPOAL; NMSOIM04SPOLP</t>
  </si>
  <si>
    <t>Upgrade do link MPLS da VIVO no DC Alphaville.</t>
  </si>
  <si>
    <t>Re ativação do tráfego via link atual.</t>
  </si>
  <si>
    <t>Continuação da implantação do projeto na aplicação RACO [GMUD - 19762].</t>
  </si>
  <si>
    <t>URACTX04BSBPA; URACTX05BSBPA; URACTX04POAPA; URACTX05POAPA; URACTX05CTAPA; URACTX06CTAPA; URACTX07CTAPA; URACTX05SALPA; URACTX06SALPA; URACTX07SALPA; URACTX06RECPA; URACTX07RECPA; URACTX08RECPA</t>
  </si>
  <si>
    <t>Alteração da porta (5555 para 9555) do tSupervisor! utilizada nos servidores</t>
  </si>
  <si>
    <t>APPCTX472SPODA; APPCTX472SPODB; APPCTX473SPODA; APPCTX473SPODB</t>
  </si>
  <si>
    <t>1 - Parar serviço do JBOSS da aplicação tSupervisor! 2 - Voltar o backup do arquivo de configuração feito no item de execução 3 - Iniciar novamente o serviço do JBOSS 4 - Efetuar testes técnicos e teste funcionais novamente</t>
  </si>
  <si>
    <t>Agilizar correção de falhas nas plataformas de gravações / Implantar ferramenta de monitoração dos ambientes de gravações</t>
  </si>
  <si>
    <t>MARCELO AIRTON YAMASHITA</t>
  </si>
  <si>
    <t>BO Anatel,Bradesco,Brasil Veículo,BV Financeira,HSBC,Itaú,Itaú Card,Oi,Prefeitura RJ,Rede Globo,Santander,Souza Cruz,TAM,Ticket Serviços S/A,VIVO</t>
  </si>
  <si>
    <t>APPCTX05AZPRD</t>
  </si>
  <si>
    <t>Não há plano de retorno para essa atividade, pois é a instalação de uma nova aplicação.</t>
  </si>
  <si>
    <t>OI 13943 Tabela de Incentivos fase 3 OI 13821 Alteração de mensagem de erro OI 13894 Inclusão de Timer nas consultas da URA 880 (legados, M4U e etc...) OI 13944 Melhorias Na Vocalização do Prompts do ACM OI 14028 Ajuste ACM Campanha ID 0001 OI 14046 Melhorias Recarga Programada OI 13615 Interatividade para clientes que vieram do *3000</t>
  </si>
  <si>
    <t>APPCTX15RJOED; APPCTX16RJOED; APPCTX18RJOED; APPCTX19RJOED; DBSOIM01SPOAL; NMSIOM01SPOAL</t>
  </si>
  <si>
    <t>OI 13943 Tabela de Incentivos fase 3 OI 13821, OI 13894 OI 13944 ,OI 14028 , OI 14046, OI 13615</t>
  </si>
  <si>
    <t>Reiniciar os servidores Domain Controllers que estão ocasionando em erro de replicação no domínio contax-br.</t>
  </si>
  <si>
    <t>SDCCTX01NITSP; sdcctx01sallm; sdcctx02nitsp; SDCCTX03RJOED; SDCCTX03SPOBF; SDCCTX04NITSP; SDCCTX04RECSA; sdcctx04rjoed; sdcctx04rjoma; sdcctx05recau; SDCCTX05RJOMK; sdcctx07salas; SDCCTX08SALAS; sdcctx103spodb</t>
  </si>
  <si>
    <t>Não existe Plano de Retorno.</t>
  </si>
  <si>
    <t>Corrigir falhas de replicação do sysvol no servidor SDCCTX104SPODB</t>
  </si>
  <si>
    <t>SDCCTX104SPODB</t>
  </si>
  <si>
    <t>Efetuar rollback na promoção do DC.</t>
  </si>
  <si>
    <t>instalação do TOP (programa robô da claro) nas posições da claro salvador e Acre</t>
  </si>
  <si>
    <t>Efetuar o rollback da versão anterior do TOP.</t>
  </si>
  <si>
    <t>Ativação dos Links de Voz da Operação Souza Cruz</t>
  </si>
  <si>
    <t>Desconectar os cabos do did das Operadoras</t>
  </si>
  <si>
    <t>Manutenção preventiva nos resfriadores de líquidos, integrantes do sistema de ar condicionado do site Rio Branco AC.</t>
  </si>
  <si>
    <t>KAEZER CORREIA SILVA</t>
  </si>
  <si>
    <t>Chillers</t>
  </si>
  <si>
    <t>Caso ocorra algum incidente os técnicos manterão contato com os gestores afim de definir o caminho correto para a solução do incidente.</t>
  </si>
  <si>
    <t>Atualização crítica a ser aplicada em servidores listados como vulneráveis pela Segurança da Informação Contax, de acordo com o boletim MS14-066. .</t>
  </si>
  <si>
    <t>APPCTX50SPOAL.contax-br.contax.root; CSSQL02SPOAL.contax-br.contax.root; DBSCTX18SPOAL.contax-br.contax.root; DBSCTX19SPOAL.contax-br.contax.root; DBSCTX25SPOAL.contax-br.contax.root; DBSCTX26SPOAL.contax-br.contax.root; DBSCTX29SPOAL.contax-br.contax.root; DBSCTX39SPOAL.contax-br.contax.root; DBSCTX42SPOAL.contax-br.contax.root; SVCCTX02SPOAL.contax-br.contax.root</t>
  </si>
  <si>
    <t>CTXSPOAL-109394</t>
  </si>
  <si>
    <t>DBSCTX10SPOAL.contax-br.contax.root; DBSCTX30SPOAL.contax-br.contax.root; DBSCTX32SPOAL.contax-br.contax.root; DBSCTX34SPOAL.contax-br.contax.root; DBSCTX35SPOAL.contax-br.contax.root; DBSCTX36SPOAL.contax-br.contax.root; DBSCTX37SPOAL.contax-br.contax.root; DBSCTX38SPOAL.contax-br.contax.root; DBSCTX44SPOAL.contax-br.contax.root; DBSCTX46SPOAL.contax-br.contax.root; DBSCTX48SPOAL.contax-br.contax.root; DBSNPC02SPOAL.contax-br.contax.root</t>
  </si>
  <si>
    <t>CTXSPOAL-109618</t>
  </si>
  <si>
    <t>Validação e documentação de redundância dos links MPLS no site Paulista 407/Execução de testes de fail over e captura de evidências.</t>
  </si>
  <si>
    <t>Desig. 32845717 VIVO / 00028433 Algar</t>
  </si>
  <si>
    <t>Fazer o deploy da versão anterior da aplicação.; Piloto: Fazer o deploy da versão anterior da aplicação.</t>
  </si>
  <si>
    <t>OI-13618</t>
  </si>
  <si>
    <t>APPCTX04BHZRP; APPCTX04RECSA; appctx06recsa; APPCTX06SALAS; appctx07recsa; APPCTX08RECSA; APPCTX08SALAS; APPCTX10RECSA; APPCTX10SALAS; APPCTX12RECSA; APPCTX13RECSA; APPCTX14SALAS; APPCTX16RECSA; APPCTX18FORBM; APPCTX19RECSA; dbsctx02spobf; DBSCTX05BHZRI; DBSCTX39FORBM; DBSTDO04SPOAS; DBSTDO12SPOAS; DBSTDO18SPOAS; grvctx23forbm; GRVSAV01RJONT; grvtlm04salas; GRVTLM05SALAS; grvtlm06forbm; grvtlm11forbm; grvtlm13forbm; URACTX16RJONT; URACTX17RJONT; URACTX18RJONT; URACTX19RJONT; URACTX25NITSP</t>
  </si>
  <si>
    <t>Validação e documentação de redundância dos links MPLS no site Alameda Santos/Execução de testes de fail over e captura de evidências.</t>
  </si>
  <si>
    <t>Desig. 32840566 VIVO / 00028622 Algar</t>
  </si>
  <si>
    <t>Alteração de rede Metro para rede MPLS da operação Bradesco, mantendo a mesma rota entre saída e entrada</t>
  </si>
  <si>
    <t>ANDRÉ MENDES DA COSTA</t>
  </si>
  <si>
    <t>SWTCOR125LPACPD</t>
  </si>
  <si>
    <t>Negar regras inseridas 10.51.4.125 no ip prefix-list I-BGP-Algar seq 575 permit 10.63.0.0/16 no ip prefix-list I-BGP-Vivo seq 575 permit 10.63.0.0/16</t>
  </si>
  <si>
    <t>Implantar novo processo de enriquecimento Operação Varejo R2 Fixa.</t>
  </si>
  <si>
    <t>1 - conectar no servidor 10.55.14.13 pelo query analyzer 2 - executar SQL ABAIXO: /****** Object: Table [dbo].[DataExchange_BatchLoad_Oi_Fixa_R2_Baixa_Diaria_Matrix] Script Date: 01/13/2015 14:34:46 ******/ IF EXISTS (SELECT * FROM sys.objects WHERE object_id = OBJECT_ID(N'[dbo].[DataExchange_BatchLoad_Oi_Velox_RawData]') AND type in (N'U')) DROP TABLE [dbo].DataExchange_BatchLoad_Oi_Velox_RawData GO /****** Object: StoredProcedure [dbo].[PrepareBatchLoadDataExchange_BatchLoad_Oi_Fixa_R2_Baixa_Diaria] Script Date: 26/02/2016 14:30:54 ******/ IF EXISTS (SELECT * FROM sys.objects WHERE object_id = OBJECT_ID(N'[dbo].[ParseDataExchange_BatchLoad_Oi_Velox]') AND type in (N'P', N'PC')) DROP PROCEDURE [dbo].ParseDataExchange_BatchLoad_Oi_Velox GO /****** Object: StoredProcedure [dbo].[SendMail_Baixa_Oi_Fixa_R2_Baixa_Diaria] Script Date: 01/13/2015 14:33:18 ******/ IF EXISTS (SELECT * FROM sys.objects WHERE object_id = OBJECT_ID(N'[dbo].[FormatDataExchange_BatchLoad_Oi_Velox]') AND type in (N'P', N'PC')) DROP PROCEDURE [dbo].FormatDataExchange_BatchLoad_Oi_Velox GO /****** Object: StoredProcedure [dbo].[ProcessBatchLoad__Oi_FixaR2BaixaDiaria] Script Date: 01/13/2015 14:33:56 ******/ IF EXISTS (SELECT * FROM sys.objects WHERE object_id = OBJECT_ID(N'[dbo].[ProcessBatchLoad_Oi_Velox]') AND type in (N'P', N'PC')) DROP PROCEDURE [dbo].ProcessBatchLoad_Oi_Velox GO</t>
  </si>
  <si>
    <t>Upgrade do link MPLS no site Santo Amaro/Operadora irá reconfigurar a estação para entregar um link de 400MB</t>
  </si>
  <si>
    <t>Desig. 00838575</t>
  </si>
  <si>
    <t>Reativação do link de 150MB.</t>
  </si>
  <si>
    <t>Aplicar os Procedimentos abaixo no sistema Protheus: TUVNZY - Disponibilização das séries de notas fiscais de saída da filial 0257 (Acre).</t>
  </si>
  <si>
    <t>OI-14352 Atualização de áudio SVA - Clube Oi OI-14046 Correção</t>
  </si>
  <si>
    <t>OI-14352 Atualização de áudio SVA - Clube Oi, OI-14046 Correção</t>
  </si>
  <si>
    <t>Realizar manutenção preventiva em No-break's DC Alphaville conforme cronograma anual sem desligamento.</t>
  </si>
  <si>
    <t>NO-BREAK´S</t>
  </si>
  <si>
    <t>NÃO TEM. CASO OCORRA ALGUM PROBLEMA DURANTE A MANUTENÇÃO AS ATIVIDADES SERÃO SUSPENSAS IMEDIATAMENTE.</t>
  </si>
  <si>
    <t>Alteração da Tabela na aplicação OI FIXA ( URA CANAL 31)</t>
  </si>
  <si>
    <t>CTXMTZPB-1311</t>
  </si>
  <si>
    <t>Reativar membro do Virtual Chassis do Core Júniper do POP Recife.</t>
  </si>
  <si>
    <t>CLAUDEMIR BEZERRA VICTOR DA SILVA</t>
  </si>
  <si>
    <t>ANDRÉ MENDES DA COSTA,CLAUDEMIR BEZERRA VICTOR DA SILVA,LEO GOMES DA LUZ,LUCAS ALBERTO DE MORAES,MARCUS VINÍCIUS RUSTIGUER</t>
  </si>
  <si>
    <t>SWCPCTXRECPA001</t>
  </si>
  <si>
    <t>- Desligar o novo switch. - Desconectar todo cabeamento.</t>
  </si>
  <si>
    <t>CTXRECSA-477438</t>
  </si>
  <si>
    <t>Implantação da Release 20160406 OiTv</t>
  </si>
  <si>
    <t>Atualização da aplicação Corporativo. A release 2016/04/06 terá como foco principal as seguintes mudanças abaixo: ? FUO-713 Incluir MSGs Contigenciais de Ferramenta Versátil ? FUO- 801 Opção Circuito Valida DDD</t>
  </si>
  <si>
    <t>DALVO ANDRE GERONIMO RAMOS</t>
  </si>
  <si>
    <t>FUO-713 - FUO- 801</t>
  </si>
  <si>
    <t>BKPCTX02SPOAL.contax-br.contax.root; BRSPOAL001.dedic-br.dedic.corp; BRSPOAL003.dedic.corp; BRSPOAL004.dedic.corp; BRSPOAL401.ngcc.dedic-br.dedic.corp; BRSPOAL402.ngcc.dedic-br.dedic.corp; WTSCTX09SPOAL.contax-br.contax.root; WTSCTX29SPOAL.contax-br.contax.root</t>
  </si>
  <si>
    <t>CTXSPOAL-110571</t>
  </si>
  <si>
    <t>APPCTX15SPOAL.contax-br.contax.root; APPCTX16SPOAL.contax-br.contax.root; APPCTX84SPOAL.contax-br.contax.root; DBSBRA01SPOAP.contax-br.contax.root; HMLCTX52SPOAL.contax-br.contax.root; MONCTX03SPOAL.contax-br.contax.root; SCACTX01SPOAL.contax-br.contax.root; URACTX08SPOAL.contax-br.contax.root; WDSCTX01SPOAL.contax-br.contax.root</t>
  </si>
  <si>
    <t>CTXSPOAL-110572</t>
  </si>
  <si>
    <t>Projeto Programa Otimização de Sites POP 3 - Migrações OI Fonte Nova/Comércio. Instalação de disjuntor para alimentação de no-break novo no QGEG 1.</t>
  </si>
  <si>
    <t>Alterar apontamento de área de armazenamento de arquivos para aplicação G!neration.</t>
  </si>
  <si>
    <t>1 - parar serviço da aplicação G!neration. 2 - alterar apontamento do diretório de compartilhamento atual onde são gerados os arquivos conforme DE X PARA abaixo : DE : "E:\anexos" PARA : "D:\anexos" 3 - iniciar serviço da aplicação G!neration.</t>
  </si>
  <si>
    <t>CTXSPOLP-117469</t>
  </si>
  <si>
    <t>Manutenção corretiva na Storage do Polo Aspect MG, com substituição de 1 HD de 1TB na encloused do ambiente de gravação</t>
  </si>
  <si>
    <t>LEANDRO ROCHA GONÇALVES,MARCELO LUIS DE BARROS</t>
  </si>
  <si>
    <t>STGCTX02BHZRP</t>
  </si>
  <si>
    <t>Informar em caso de problemas qual ação será tomada para retornar o ambiente ao estado inicial da mudança.</t>
  </si>
  <si>
    <t>CTXBHZRP-218006</t>
  </si>
  <si>
    <t>Aplicar os Procedimentos abaixo no sistema Protheus: TUSO38 - Disponibilização do relatório de Auditoria de LOG para lançamentos contábeis; TUVECJ - Configuração da contabilização de baixas a pagar com motivo FAP.</t>
  </si>
  <si>
    <t>Manutenção preventiva anual dos geradores de 325KVA para manter a continuidade de energia em falta pela Concessionária.</t>
  </si>
  <si>
    <t>Criar filtro especifico para operação R1 e R2 Varejo PJ</t>
  </si>
  <si>
    <t>10.55.14.11; 10.55.14.13</t>
  </si>
  <si>
    <t>1 - conectar no servidor 10.55.14.13 e 10.55.14.11 pelo query analyzer 2 - executar SQL ABAIXO: drop table [DataExchange_FilterCriteriaOiFaturasSemPromessas] drop procedure [FilterCriteriaOiFaturasSemPromessas</t>
  </si>
  <si>
    <t>APPOIM06SPOAL.contax-br.contax.root; APPOIM08SPOAL.contax-br.contax.root; DBSOIM01SPOAL.contax-br.contax.root; GRVOIM11SPOAL.contax-br.contax.root; GRVOIM13SPOAL.contax-br.contax.root; QRFOIM01SPOAL.contax-br.contax.root; QRFOIM05SPOAL.contax-br.contax.root</t>
  </si>
  <si>
    <t>OI-14237</t>
  </si>
  <si>
    <t>Release URA USSD OI-14077 Atualização template financeira e Serviços SVA OI-11982 Adesão e informações de Ofertas</t>
  </si>
  <si>
    <t>Manutenção preventiva centrada na confiabilidade, com parada e transferência de carga dos Grupos geradores Stemac e FG Wilson.</t>
  </si>
  <si>
    <t>Plano de Retorno: Em eventual falha reportaremos para a área de missão critica coordenador do site e gerência de cidade, após ser aprovado o procedimento restabeleceremos o sistema. OBS: A execução da manutenção será acompanhada pelo técnico de equipamentos do site Cabula.</t>
  </si>
  <si>
    <t>Gerador Heimer 305 KVA</t>
  </si>
  <si>
    <t>Devido a quedas constantes que vem ocorrendo nos servidor de CM do Site Navegantes, foi aberto chamado junto a AVAYA SR 1-11497212662 (15/03/2016) para que seja realizada a troca de Servidores</t>
  </si>
  <si>
    <t>Voltar a utilizar os servidores anteriores a mudança, seguindo o mesmo procedimento do plano de ação.</t>
  </si>
  <si>
    <t>CTXPOARB-104039</t>
  </si>
  <si>
    <t>DBSCTX10SPOAL.contax-br.contax.root; DBSCTX13SPOAL.contax-br.contax.root; DBSCTX48SPOAL.contax-br.contax.root; DBSNPC02SPOAL.contax-br.contax.root; RECOIM01SPOAL.contax-br.contax.root; URAOIM03SPOAL.contax-br.contax.root; URAOIM06SPOAL.contax-br.contax.root; URAOIM08SPOAL.contax-br.contax.root; URAOIM11SPOAL.contax-br.contax.root; URAOIM12SPOAL.contax-br.contax.root</t>
  </si>
  <si>
    <t>CTXSPOAL-110573</t>
  </si>
  <si>
    <t>DBSCTX01SPOAL.contax-br.contax.root; DBSCTX02SPOAL.contax-br.contax.root; INTCTX01SPOAL.contax-br.contax.root; INTCTX02SPOAL.contax-br.contax.root; LOGCTX01SPOAL.contax-br.contax.root; LOGCTX02SPOAL.contax-br.contax.root; LOGCTX03SPOAL.contax-br.contax.root; STGCTX03SPOAL.contax-br.contax.root; STGCTX04SPOAL.contax-br.contax.root; STGCTX05SPOAL.contax-br.contax.root</t>
  </si>
  <si>
    <t>CTXSPOAL-110575</t>
  </si>
  <si>
    <t>OI 13888 Promoção OI Indica Oferta Mães; OI 13896 Piloto Recarga Sem CVV OI 13944 Melhorias Na Vocalização do Prompts do ACM OI 14047 Inserir opção de Recarga no SubMenu OICSF OI 14211 Retentativas Digitar Dados do cartão - Fluxo Registra; OI 14382 Rentabilização da recarga programada.</t>
  </si>
  <si>
    <t>OI 13888 OI 13896 OI 13944 OI 14382 OI 14211</t>
  </si>
  <si>
    <t>Manter o sistema de energia estabilizada em funcionamento. Manutenção preventiva de No-breaks de Operação com desligamento.</t>
  </si>
  <si>
    <t>Execução de manutenção corretiva com desligamento para substituição do ventilador que parou por final de vida útil em no-breaks Emerson 90NET que atendem as operações do 3º andar do Site Fortaleza CE</t>
  </si>
  <si>
    <t>Se houver algum imprevisto, o serviço será cancelado imediatamente e será realizar todas as intervenções possível para retomar ao sistema normal.</t>
  </si>
  <si>
    <t>Manutenção Preventiva em 02(dois) Grupo Gerador de 360KVA (cada). Verificar ajustes e realizar testes necessários nas USCA/Geradores</t>
  </si>
  <si>
    <t>02(dois) Grupos Geradores de 360KVA (cada)</t>
  </si>
  <si>
    <t>Devido a um problema com relatórios automáticos do sistema GNeration, faz-se necessário realizar uma edição no registro e realizar o restart lógico dos servidores que atendem a esse sistema.</t>
  </si>
  <si>
    <t>JOÃO CARLOS FADUL VILAS BÔAS,JOSE GERALDO DA SILVA DOS SANTOS,VICTOR GARCIA LAHR</t>
  </si>
  <si>
    <t>Rede Globo</t>
  </si>
  <si>
    <t>appctx84rjorp</t>
  </si>
  <si>
    <t>Efetuar restore do Backup do servidor e homologar a ferramenta Gneration.</t>
  </si>
  <si>
    <t>Realizar mix nos links da rotas de discagem do Aspect Fortaleza, afim de identificar se o problema de Run Time gerado no TLV, tem relação com links de voz</t>
  </si>
  <si>
    <t>CORCTX01FORBM</t>
  </si>
  <si>
    <t>Caso apresente falha na discagem da operação Pronpenso R1, será retirado as associações de rotas no acesso de encaminhamento.</t>
  </si>
  <si>
    <t>SDCCTX01NITSP; sdcctx01sallm; sdcctx02nitsp; SDCCTX03RJOED; SDCCTX03SPOBF; SDCCTX04NITSP; SDCCTX04RECSA; sdcctx04rjoed; sdcctx04rjoma; sdcctx05recau</t>
  </si>
  <si>
    <t>Release-OI-13618 - Menu Rentabilização (Criar uma estrutura para direcionar chamadas para a operação de rentabilização)</t>
  </si>
  <si>
    <t>Blindagem de acesso nos usuários da operação Retenção Invol TV, Móvel e Fixa. Usuários Ex: 598416 596328 596358 OU: contax-br.contax.root/Contax/FORBM/Usuarios/Operacoes_/OI/RETENCAO/RETENÇÃO-INVOL/OPERADORES/</t>
  </si>
  <si>
    <t>SDCCTX02FORBM</t>
  </si>
  <si>
    <t>1- Incluir os usuários novamente nos grupos _ADM Workstation - FORBM e ADM_LOCAL_PA_FORBM. 2- Retirar a GPO "WKS_FORBM_OPER_BLOCK_ADMINTOOLS" da OU "contax-br.contax.root/Computadores/FORBM/Operacoes/OI/OI Retenção - Invol/"</t>
  </si>
  <si>
    <t>Realizar manutenção preventiva em gerador Site DC Alphaville contemplando teste com carga.</t>
  </si>
  <si>
    <t>Para retorno do equipamento a sua condição normal, após todos os testes, analise visual e limpeza, estaremos transferindo a carga para concessionária passando ogerador de manual para automático e estará apto para reconhecer uma falta de energia e atuar plenamente.</t>
  </si>
  <si>
    <t>appctx01rjoma; appctx02rjoma; APPCTX04RJOMA; APPCTX09BHZRI; APPCTX15RJONT; appctx19forbm; appctx23rjoed; APPCTX23RJOMK; APPCTX25RJOMK; APPCTX26RJOMK; DBSCTX03RJOED; DBSCTX05BHZRI; DBSCTX05RJOED; DBSCTX06RJOED; DBSCTX06SALSM; DBSCTX12RJOED; DBSCTX13RJOED; DBSCTX22RJOED; DBSCTX23RJOED; DBSCTX25RJOED; FESCTX10RJOPF; FESCTX11RJOPF; FSSCTX06RJOMA; GRVCTX09SPODA; GRVCTX111SPODB; GRVCTX113SPODB; grvoim11spoal; GRVOIM13SPOAL; HMLCTX03RJOMK; HMLCTX04RJOMK; HMLCTX81RJOMK; URACTX10RJOED; URACTX30RJOMK; URACTX31RJOMK; URAHML13NITSP; VLOGCTX05RECSA; VLOGCTX06RECSA; VLOGCTX07RECSA; WEBCTX04BHZRI</t>
  </si>
  <si>
    <t>Evoluir a ferramenta com as necessidades do cliente.</t>
  </si>
  <si>
    <t>RODRIGO SANTOS DE CAMPOS</t>
  </si>
  <si>
    <t>APPCTX473SPODA; racngrctx.contax-br.contax.root</t>
  </si>
  <si>
    <t>1 - Efetuar o retorno do backup do banco de dados; 2 - Se conectar no servidor via mstsc; 3 - Parar o serviço DISCA FACIL; 4 - Apagar a nova versão (1.3.0.1660.zip) no caminho da aplicação C:/discafacil/versoes/ 5 - Apontar para a versão anterior 6 - Iniciar o serviço DISCA FACIL; 7 - Acompanhar os log da aplicação garantindo que a mesma está executando com sucesso. 8 - Executar testes técnicos e testes funcionais</t>
  </si>
  <si>
    <t>CTXPOARB-91679</t>
  </si>
  <si>
    <t>Manutenção preventiva com desligamento dos No-breaks chloride ,UPS ( No-breaks Chloride uma de 120 e duas de 40 KVA )do site Cabula, sem previsão de interrupção da carga critica.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</si>
  <si>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rede.</t>
  </si>
  <si>
    <t>Inserção de scripts para abertura de chamados com severidade: Muito Alta e Crítica</t>
  </si>
  <si>
    <t>JIRA02</t>
  </si>
  <si>
    <t>1) Voltar o script original no campo (Velocity Incidentes Create Screen) 2) Voltar o texto em (Descrição) no campo (Severidade) 3) Alterar novamente a ordem dos campos 4) Executar os testes tecnicos e funcionais novamente</t>
  </si>
  <si>
    <t>CTXSPOAL-109513</t>
  </si>
  <si>
    <t>Realizar upgrade da Firmware dos switches Avaya devido ao bug relatado pelo fabricante no arquivo em anexo.</t>
  </si>
  <si>
    <t>SWTACE025PBOI-TC04B</t>
  </si>
  <si>
    <t>Retornar com a firmware antiga.</t>
  </si>
  <si>
    <t>GARANTIR A DISPONIBILIDADE DE ENERGIA E MELHORIA NA QUALIDADE DO AR</t>
  </si>
  <si>
    <t>Banco Toyota,Bradesco,Interodonto,Orbitall,Santander,Ticket Serviços S/A,VIVO</t>
  </si>
  <si>
    <t>CTXRJOMA-79723</t>
  </si>
  <si>
    <t>MANTER A DISPONIBILIDADE DE ENERGIA NO SITE, EM CASO DE FALTA DE FORNECIMENTO.</t>
  </si>
  <si>
    <t>Desativação do Link Metro entre os Sites Engenho de Dentro e Mackenzie</t>
  </si>
  <si>
    <t>MARCUS VINÍCIUS RUSTIGUER</t>
  </si>
  <si>
    <t>SWTCOR001MCKCPD; SWTCOR253ENDCPD; SWTCOR254ENDCPD; SWTCORP027MCKCPD; SWTCORP028ENDCPD</t>
  </si>
  <si>
    <t>Executar as configurações conforme descrito no plano ação em anexo</t>
  </si>
  <si>
    <t>Release URA USSD OI14635 - Melhoria Informe de pagamento - USSD Pós</t>
  </si>
  <si>
    <t>Corrigir problemas na base de dados do Active Directory do servidor SDCCIT01RJOMA.</t>
  </si>
  <si>
    <t>SDCCIT01RJOMA</t>
  </si>
  <si>
    <t>Como o servidor será despromovido e sua base atual se encontra comprometida, não existe a possibilidade de ser realizado o plano de retorno.</t>
  </si>
  <si>
    <t>Manutenção preventiva trimestral de No-break Chloride e tem como objetivo manter a confiabilidade elétrica do Site, como também a conservação e desempenho do equipamento.</t>
  </si>
  <si>
    <t>Serviço de passagem de 6 novos circuitos retirados do PDU nº4 para serem as novas alimentações dos DACs que ficarão contingenciados pelos dois no-breaks Eatons paralelos redundantes e pelo gerador Leo Heimer.</t>
  </si>
  <si>
    <t>Se houver algum imprevisto, o serviço será cancelado imediatamente. Não haverá indisponibilidade, visto que o serviço será realizado em horário fora do funcionamento das operações os servidores serão ligados pela equipe de TI em uma nova GMUD</t>
  </si>
  <si>
    <t>Inclusão de novos campos: *Andar *Posição PA *Torre / Bloco Quando tiver como seleção no campo: Serviço afetado / Tipo Estação de Trabalho: • Computador • Mouse • Monitor • Teclado • Headset • SMPA • Telefone • Acesso a Rede • Pacote Office • Impressora</t>
  </si>
  <si>
    <t>DIOGO DO NASCIMENTO</t>
  </si>
  <si>
    <t>- Retirar os campos da tela de criação Incidentes, Iniciar Chamado (11) e View . Andar . Posição PA . Torre / Bloco . Número da URA - Voltar backup da pasta conditional-fields no servidor da aplicação. - Voltar backup do Workflow de Incidentes - Efetuar testes tecnicos e testes funcionais</t>
  </si>
  <si>
    <t>CTXSPOAL-111360</t>
  </si>
  <si>
    <t>Criação de um site no tProcess com SLA diferenciado para que sejam aberto chamados para a equipe NTTDATA (Oi). Especificações: Nome do Site: ClIOI (Cliente Oi) SLA: Consta em Anexo.</t>
  </si>
  <si>
    <t>EDUARDO YUKIO CASTILLO</t>
  </si>
  <si>
    <t>DBSTDO01RJORP; JIRA02</t>
  </si>
  <si>
    <t>1 - Configurar a Permission Scheme do projeto criado para (Disabled Permission Scheme). 2 - Efetuar testes tecnicos e testes funcionais</t>
  </si>
  <si>
    <t>CTXSPOAL-101712</t>
  </si>
  <si>
    <t>Vincular o campo Cliente/Operação apenas à Elektro/ Elektro, quando o usuário estiver abrindo chamado para o local CTX - Elektro - CASEK.</t>
  </si>
  <si>
    <t>1 - Execucar o script abaixo: update todo_cliente_operacao set local = replace(local,'DESCASEK','CTXCASEK') where local like '%DESCASEK%' and cliente 'ELEKTRO' 2 - Efetuar testes tecnicos e testes funcionais</t>
  </si>
  <si>
    <t>CTXCASEK-1790</t>
  </si>
  <si>
    <t>EFETUAR TROCA DE DISCO</t>
  </si>
  <si>
    <t>URACTX02BHZPA</t>
  </si>
  <si>
    <t>Caso o disco não funcione será necessário providenciar outro junto a equipe de controle de ativo.</t>
  </si>
  <si>
    <t>CTXBHZRI-99496</t>
  </si>
  <si>
    <t>Ao Criar estratégia TCollect apresenta erro:"Parameter count does not match Parameter Value count" Aplicar correção de Procedure nas operações OI Fixa R1 e R2.</t>
  </si>
  <si>
    <t>1 - conectar no servidor 10.55.14.13 pelo query analyzer 2 - executar SQL ABAIXO: ALTER PROCEDURE [dbo].[GetStrategy] ( @StrategyID INT, @UserSID INT ) AS BEGIN SET NOCOUNT ON DECLARE @LanguageAlias VARCHAR(10) SELECT @LanguageAlias = FTFoundation.dbo.GetUserLanguage (@UserSID) SELECT S.StrategyID, S.Name AS StrategyName, S.GroupNumber AS StrategyGroupNumber, S.FilterID, F.Name AS FilterName, S.StartDate, S.EndDate, S.Skill, S.StrategyTargetID, FTFoundation.dbo.GetResourceCaption('StrategyTargets', ST.TargetAlias, @LanguageAlias ) AS TargetName, S.Enabled, S.DataVersion, ISNULL(S.SurveyWebLink,'') AS SurveyWebLink, ISNULL(S.StrategyTargetGroupID,0) AS StrategyTargetGroupID, runSunday,runMonday, runTuesday,runWednesday, runThursday,runFriday,runSaturday, PhoneTypeForStrategie, SurveyAutoLoad FROM Strategies AS S INNER JOIN StrategyTargets AS ST ON S.StrategyTargetID = ST.StrategyTargetID INNER JOIN Filters AS F ON S.FilterID = F.FilterID WHERE S.StrategyID = @StrategyID AND ( NOT EXISTS ( SELECT * FROM FTFoundation.dbo.RetrieveUserSiteGroups (@UserSID) ) OR S.CreationUserSID = @UserSID ) -- If its a Site User, it should only see its own Strategies END</t>
  </si>
  <si>
    <t>Realizar o desvinculação das PAs do tSupervisor desacoplados x tSupervisor acoplado. Solucionar lentidão na interface do tSupervisor.</t>
  </si>
  <si>
    <t>FESCTX01SPODA</t>
  </si>
  <si>
    <t>1) Se logar no servidor via mstsc 2) Parar o serviço da aplicação tsupervisor 3) excluir o arquivo TSUPERVISOR.EAR do diretório D:\Todo\jboss-eap-6.2-port-8180\standalone\deployments 4) Retornar o arquivo que foi renomeado na etapa de execução 5) Iniciar a aplicação novamente</t>
  </si>
  <si>
    <t>CTXRECSA-481422</t>
  </si>
  <si>
    <t>MANUTENÇÃO PREVENTIVA SEM CARGA DO GRUPO GERADOR</t>
  </si>
  <si>
    <t>Aplicar os Procedimentos abaixo no sistema Protheus:</t>
  </si>
  <si>
    <t>Atualização da aplicação Empresarial. A release 2016/04/12 terá como foco principal as seguintes mudanças abaixo: ? FUO-782 URA LIGHT 1 - Mensagem de Vulto e BD ? FUO-783 URA Light 2 - Menu Empresarial Fixo e Móvel excluir Opções ? FUO-778 Retenção Móvel atendimento aos Sábados ? FUO-787 URA Light 4 - Solicitação de Reparo Velox ? FUO-793 Rentabilização na URA Empresarial</t>
  </si>
  <si>
    <t>Atualização da aplicação Televendas. A release 2016/04/12 terá como foco principal as seguintes mudanças abaixo: ? FUO-727 Reestruturação do Início Televendas ? FUO-813 Variável msgOiTotal = “True”</t>
  </si>
  <si>
    <t>MANUTENÇÃO PREVENTIVA DOS NOBREAKS DO SITE ALEGRIA SEM PARADA</t>
  </si>
  <si>
    <t>NOBREAK</t>
  </si>
  <si>
    <t>Manutenção preventiva trimestral sem desligamento em 3 (Três) no-breaks Siemens com a empresa Powercom e 2 (Dois) no-breaks APC com a empresa APC by Schneider Electric que atende as operações do T,1º,4º e 7º andar.</t>
  </si>
  <si>
    <t>Se houver algum imprevisto, o serviço será cancelado imediatamente.</t>
  </si>
  <si>
    <t>Release URA USSD OI-14635 Melhoria Informe de pagamento - USSD Pós</t>
  </si>
  <si>
    <t>APPCTX27RJOMK</t>
  </si>
  <si>
    <t>Ativação da abordagem de contingência do link MPLS da VIVO no DC Alphaville.</t>
  </si>
  <si>
    <t>MÁRCIO JOSÉ DA SILVA,THIAGO SILVA FERREIRA</t>
  </si>
  <si>
    <t>SPOPD-41911666/SPOVM-41912429</t>
  </si>
  <si>
    <t>Derrubar a segunda abordagem da VIVO no DC Alphaville.</t>
  </si>
  <si>
    <t>Manutenção preventiva de Gerador com o objetivo de manter a confiabilidade elétrica do Site, como também a conservação e desempenho do equipamento.</t>
  </si>
  <si>
    <t>Realizar a construção de gradil metálico para isolamento de área de segurança da subestação 69kV do site Santo Amaro.</t>
  </si>
  <si>
    <t>O Plano de Retorno,se for necessário,será no dia 15/05/16,se houver algum imprevisto, no momento das manobras descritas no Plano de Ação,retornaremos imediatamente para a Concessionária. O Coordenador de infra e técnico realizarão as manobras de retorno presentes no plano de ação anexo a GMUD. Atividades x Data/Tempo - GMUD 19928 – Reconstrução do Gradil da Subestação 69KV de 15/05/16  até  05/06/16 - Site Santo Amaro     Domingo, 15/05/16 das 08:00h ás 17:00h   INSTALAÇÃO DE TAPUME PARA ISOLAMENTO DE ÁREA A SER TRABALHADA;   Segunda-feira, 16/05/16 das 08:00h ás 17:00h   REMOÇÃO DE TODO GRADIL DANIFICADO;   De Terça-feira, 17/05/16 das 08:00h  até  Sábado,21/05/16 ás 17:00h   CONSTRUÇÃO DO GRADIL DANIFICADO EM TODO PERÍMETRO DA SUBESTAÇÃO, HAVENDO REUTILIZAÇÃO/READEQUAÇÃO ESTRUTURAL PAINÉIS METÁLICOS;   De Segunda-feira, 23/05/16 das 08:00h até  Sábado,28/05/16 ás 17:00h   CONSTRUÇÃO DE PAREDE EM ELEMENTO VAZADO, HAVENDO AMARRAÇÃO E CONTENÇÃO DO SISTEMA EM COLUNAS E VIGAS DE CONCRETO ARMADO ESTRUTURAL;   De Segunda-feira, 30/05/16 das 08:00h até Quinta-feira,02/06/16 ás 17:00h   CONSTRUÇÃO DE PORTÃO METÁLICO COM TELA;   De Sexta-feira , 03/06/16 das 08:00h até  Sábado,04/06/16 ás 17:00h PINTURA EM ESMALTE SINTÉTICO DE GRADIL METÁLICO EXISTENTE (subestação 69kV)   Domingo, 05/06/16 das 08:00h ás 17:00h LIMPEZA E REMOÇÃO DE ENTULHOS</t>
  </si>
  <si>
    <t>Dir. Clientes Especiais,Dir. Clientes Premium,Dir. Cobrança,Dir. Oi,Dir. Televendas</t>
  </si>
  <si>
    <t>Migrar Servidores DAC A Ceara para circuito Elétrico ligado ao PDU (Nobreaks).</t>
  </si>
  <si>
    <t>GLAUDIENE PAULA FREIRE DE ANDRADE</t>
  </si>
  <si>
    <t>EDERSON DA SILVA ROCHA,JOÃO PEREIRA DE SOUZA JUNIOR</t>
  </si>
  <si>
    <t>DAC A CM1; DAC A CM2; DAC C CM1; DAC C CM2</t>
  </si>
  <si>
    <t>DAC A possui dois servidores ativos, se nao subir o principal o de standby assumira automaticamente. Nao haverá retorno para o circuito eletrico ligado diretamente na rede publica.</t>
  </si>
  <si>
    <t>Upgrade de versão SWITCH CORE site João Pessoa. 10.183.0.2 - SWTCORE002JPASACPD 10.183.0.3 - SWTCORE003JPASACPD</t>
  </si>
  <si>
    <t>Oi,TAM</t>
  </si>
  <si>
    <t>SWTCORE002JPASACPD; SWTCORE003JPASACPD</t>
  </si>
  <si>
    <t>Executar rollback da versão instalada.</t>
  </si>
  <si>
    <t>CTXJPASA-7015</t>
  </si>
  <si>
    <t>Dir. Clientes Premium,Dir. Oi</t>
  </si>
  <si>
    <t>DBSCTX145SPODB; DBSCTX251SPODB; DEVCTX102SPODB; HOMCTX102SPODB</t>
  </si>
  <si>
    <t>CTXSPOAL-109464 - Validação do Backup</t>
  </si>
  <si>
    <t>Alterar o arquivo PAC para funcionamento do site M4U.</t>
  </si>
  <si>
    <t>FELIPE LINS DA SILVA,JOAO BATISTA DE LIMA NETO</t>
  </si>
  <si>
    <t>CTXRECSA-475872</t>
  </si>
  <si>
    <t>Manter a confiabilidade do sistema de energia/Manutenção Preventiva Trimestral No Breaks de Operação e CPD</t>
  </si>
  <si>
    <t>Ligar No Break; Transferir as cargas para o No Break; Desligar os geradores; Vistoria final em todos os equipamentos após o término; Vistoria no CPD;</t>
  </si>
  <si>
    <t>Melhoria no ambiente de autenticação AD do site RJOMK, substituindo o DC virtual SDCCTX03RJOMK pelo servidor físico SDCCTX06RJOMK.</t>
  </si>
  <si>
    <t>SDCCTX03RJOMK; SDCCTX06RJOMK</t>
  </si>
  <si>
    <t>1) trocar o IP do servidor SDCCTX06RJOMK para 10.9.3.8 2) Ligar o servidor SDCCTX03RJOMK 3) Promover o servidor novamente a controlador de domínio 4) Executar testes de replicação</t>
  </si>
  <si>
    <t>Desativação do Link metro entre os Sites Prado 2 e Prado 1 - designação BHE-5692675</t>
  </si>
  <si>
    <t>SWTCOR002BHECPD; SWTCOR007BHECPD; SWTCORE02BHZRICPD; SWTCORE03BHZRICPD; SWTCORP008BHECPD; SWTCORP028BHECPD; SWTCORP27BHZRICPD; SWTCORP28BHZRICPD</t>
  </si>
  <si>
    <t>Executar os comandos de configuração informados no documento em anexo.</t>
  </si>
  <si>
    <t>Desativação do Link metro entre os Sites Prado 1 e Niterói</t>
  </si>
  <si>
    <t>SWTCOR002BHECPD; SWTCOR007BHECPD; SWTMETRO5NITSPCPD; SWTMETRO6NITSPCPD</t>
  </si>
  <si>
    <t>Implementar as configurações nos switches informadas no documento em anexo - tópico plano de retorno</t>
  </si>
  <si>
    <t>Implementar novas tabulações para operação.</t>
  </si>
  <si>
    <t>DBSCTX47SPOLP</t>
  </si>
  <si>
    <t>1 - voltar backup dos objetos de banco de dados.</t>
  </si>
  <si>
    <t>Correção problema de clientes que não são carregados ou que são carregados sem telefone no arquivo .raw.</t>
  </si>
  <si>
    <t>Retornar backup das procedures.</t>
  </si>
  <si>
    <t>CTXSPOBF-139684</t>
  </si>
  <si>
    <t>Implementar melhoria de pesquisar cliente dentro do CRM utilizando campo chave.</t>
  </si>
  <si>
    <t>Retirar os novos arquivos de configuração aplicados e deletar novos objetos que foram criados no banco de dados.</t>
  </si>
  <si>
    <t>Retirar os novos arquivos de configuração aplicados e deletar novos objetos que foram criados no banco de dados. Objetos de banco de dados : SPR_CRM_QUERY_MAILING APPLICATION_DISCAGEM_EXTERNA RETIRAR ARQUIVOS DE CONFIGURAÇÃO QUE ESTÃO NO DIRETORIO: \\10.51.0.202\c$\inetpub\wwwroot\Ayty\AppCtxCielo\AYTYCRMCieloDynamicWCF\v6.5 \\10.51.0.202\Contax\Aytycrm\AppCtxCielo\AYTYCRMCieloDynamicFrontEndDesktop\Application Files\v6.5</t>
  </si>
  <si>
    <t>Implementar pacote com correções enviadas pelo fornecedor para processo de enriquecimento.</t>
  </si>
  <si>
    <t>1 - executar script de rollback para desfazer alterações.</t>
  </si>
  <si>
    <t>Necessário efetuar Donwgrade no link de dados da Embratel no Data Center Alegria</t>
  </si>
  <si>
    <t>Voltar o link para operar em 300MB</t>
  </si>
  <si>
    <t>Substituir Core 01 com defeito, no Site João Pessoa.</t>
  </si>
  <si>
    <t>CLAUDEMIR BEZERRA VICTOR DA SILVA,ERIAN DO NASCIMENTO ESTRAEICH,LUCAS ALBERTO DE MORAES,WESLEY DE OLIVEIRA SANTANA</t>
  </si>
  <si>
    <t>SWTCORE002JPASACPD</t>
  </si>
  <si>
    <t>- Deixar o novo core desligado em caso de falha.</t>
  </si>
  <si>
    <t>Garantir a total disponibilidade e confiabilidade do sistema de contingência de energia estabilizada do Site./Manutenção preventiva com desligamento em 1 (Um) nobreaks Siemens Modelo S52100 Nº Serie AJ80845500006 que atende as operações do 2º andar o mesmo esta apresentando constantemente alarmes de falha da rede (Alarme nº2)/ operando via bateria (Alarme nº9),onde o mesmo é o único a apresentar tal alarme em uma eventual oscilação da rede, é necessário realizar uma manutenção preventiva com desligamento para uma revisão geral dos componentes deste equipamento.</t>
  </si>
  <si>
    <t>Se houver algum imprevisto, o serviço será cancelado imediatamente e realizado todo o procedimento para restabelecer o sistema.</t>
  </si>
  <si>
    <t>Release URA USSD OI-14281 Incentivo Oi Indica - Oferta Maes OI-14589 Atualização de URL Query intentiva - Oi Pontos</t>
  </si>
  <si>
    <t>Melhoria na monitoria da plataforma de gravação / Implantar novas funcionalidades de monitoração por ramal no Painel</t>
  </si>
  <si>
    <t>1 - Parar o serviço do JBOSS do servidor 2 - Acessar a pasta F:\Todo\jboss-eap-6.2\standalone\deployments 2.1 - Apagar o arquivo atual da aplicação painel.ear 2.2 - Renomear a aplicação painel_DDMMYYYY.ear de backup feita no passo de Execução, para painel.ear 3 - Iniciar novamente o serviço do JBOSS do servidor 4 - Executar os testes tecnicos e testes funcionais</t>
  </si>
  <si>
    <t>Atender projeto da Oi de Controle de Chamadas / Migração logica de trafego para o SBC da Oi no POP SP</t>
  </si>
  <si>
    <t>URACTX04BSBPA; URACTX05BSBPA; URACTX04CGRPA; URACTX05CGRPA;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</si>
  <si>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OI-14896; OI-14872; OI-14402;</t>
  </si>
  <si>
    <t>Atualização da aplicação Televendas. A release 2016/04/13 terá como foco principal as seguintes mudanças abaixo: ? FUO-727 Reestruturação do Inicio Televendas</t>
  </si>
  <si>
    <t>Criar filtro especifico para operação R1 Escob com universo de clientes que não possuem endereços validos para postagem via correios.</t>
  </si>
  <si>
    <t>10.171.2.76</t>
  </si>
  <si>
    <t>1 - conectar no servidor 10.171.2.76 pelo query analyzer 2 - executar SQL ABAIXO: drop table [DataExchange_FilterCriteriaOiClientesEnderecosInvalidosPostagem] drop procedure [GenerateFilterCriteriaOiClientesEnderecosInvalidosPostagem]</t>
  </si>
  <si>
    <t>APPCTX01RJONT; APPCTX05RJOMK; APPCTX05RJONT; APPCTX07RJOMK; APPCTX11NITSP; APPCTX12NITSP; APPCTX12RJONT; APPCTX13RJOMK; APPCTX15NITSP; appctx16rjont; appctx17rjont; appctx18rjont; APPCTX19RJOMK; APPCTX19RJONT; APPCTX20RJOMK; APPCTX21RJOMK; APPCTX222RJOMK; APPCTX90RJOMK; DBSABN02RECAU; dbsctx01recau; dbsctx02forbm; DBSCTX03RECSA; DBSCTX04RECSA; dbsctx07forbm; DBSCTX08FORBM; DBSCTX13RJOPF; DBSCTX36RJORP; DBSCTX47FORBM; DBSORB04RECSA; DBSRED01RECSA; GRVBOA01RJOPF; GRVCTX104SPODA; GRVCTX105SPODA; GRVCTX106SPODA; GRVCTX107SPODA; GRVCTX108SPODA; GRVCTX109SPODA; GRVCTX111SPODA; GRVCTX113SPODA; GRVCTX115SPODA; GRVOIM07SPOAL; HMLCRS01SPOBF; HMLCTX11SPOLP; hmlctx15spolp; HMLCTX214SPODB; HMLCTX87RJORP; HMLOIM01SPOLP; MONCTX02RJOPF; URABV04SPOLP; URACIE01SPOLP; URACIE02SPOLP; URACTX32RJOMK; URACTX33RJOMK</t>
  </si>
  <si>
    <t>Ação para auxiliar no desempenho, pois em varios momentos o banco apresenta ao processamento e servidores de aplicação também.</t>
  </si>
  <si>
    <t>NGRFFACIL.OICTX.CONTAX.ROOT</t>
  </si>
  <si>
    <t>Não há plano de retorno para essa GMUD pois é a criação de uma nova tabela.</t>
  </si>
  <si>
    <t>CTXSPOAL-111330</t>
  </si>
  <si>
    <t>OI-14403 - Alterar Horário de Atendimento TLV Controle; OI-14402 - Registrar o Tempo das Consultas aos Legados; OI-14427 - Alterar Fraseologia Oi Total; OI-14426 - Direcionar Chamadas Venda Controle de MG para BTCC; OI-14449 - Projeto Migrados BRT-Oi Corporativo; OI-13953 - Promoção Oi Indica e Oferta Mães 2016;</t>
  </si>
  <si>
    <t>MARCELO GALDINO DA SILVA,WILLIAN CAMPBELL VIANA</t>
  </si>
  <si>
    <t>OI-14403; OI-14402; OI-14427; OI-14426; OI-14449; OI-13953.</t>
  </si>
  <si>
    <t>Atualizado o SCOS do sistema de SSN 22333/ 22334 da versão 06.05.30 para 6.7 .</t>
  </si>
  <si>
    <t>STMCTX101SPODA; STMCTX101SPODB</t>
  </si>
  <si>
    <t>1-Remover firmware instalado.</t>
  </si>
  <si>
    <t>Realizar manutenção preventiva em Ar condicionado de precisão do Site DC Alphaville conforme cronograma.</t>
  </si>
  <si>
    <t>AR CONDICIONADO</t>
  </si>
  <si>
    <t>Para retorno do equipamento a sua condição normal, após todos os testes, analise visual e limpeza, estaremos transferindo de manual para automático e estará apto para atuar plenamente.</t>
  </si>
  <si>
    <t>Sistema Credibilidade - Correção de duplicidades na dimensão funcionários. Foi identificado duplicidades na dimensão de funcionários que acabou causando duplicidade em outras tabelas. Este problema não causa impacto nos dados demonstrado, mas causa um forte impacto no processamento dos dados causando atraso na entrega dos dados.</t>
  </si>
  <si>
    <t>CARLOS CESAR CRUZ</t>
  </si>
  <si>
    <t>DBSCTX130SPODB; DBSCTX131SPODB</t>
  </si>
  <si>
    <t>Voltar backup caso necessário executando o restore.</t>
  </si>
  <si>
    <t>CTXSPOAP407-16457</t>
  </si>
  <si>
    <t>Atualizar página de perfilação do módulo de atendimento.</t>
  </si>
  <si>
    <t>Realizar rollback do backup dos arquivos do sistema.</t>
  </si>
  <si>
    <t>CTXRECSA-483845</t>
  </si>
  <si>
    <t>Implantação da Release 20160414 Televendas FUO-727 Reestruturação do Inicio Televendas</t>
  </si>
  <si>
    <t>Atualização da aplicação Corporativo. A release 2016/04/18 terá como foco principal as seguintes mudanças abaixo: ? FUO-711 Implantar novo checklist de reparo Fixo e Velox ? FUO-713 Incluir MSGs Contingenciais da Ferramenta Versátil</t>
  </si>
  <si>
    <t>Atualizar tabela ICR do com os serviços destinos para atender demanda de URA aplicação Móvel Pré URA CANAL 5</t>
  </si>
  <si>
    <t>CTXMTZPB-1339</t>
  </si>
  <si>
    <t>Atualização da aplicação OiTv. A release 2016/04/18 terá como foco principal as seguintes mudanças abaixo: ? FUO-745 Protocolo OiTv/Fibra</t>
  </si>
  <si>
    <t>URACTX04CTAPA</t>
  </si>
  <si>
    <t>Caso o disco não funcione será necessário providenciar outro junto a equipe de controle de ativo. Caso ocorra alguma falha no sistema operacional que impossibilite a sua inicialização será efetuado restore de backup.</t>
  </si>
  <si>
    <t>CTXMLTREG-6017</t>
  </si>
  <si>
    <t>Movimentar os arquivos de dados e logs do DBSCTX37SPOLP para as novas unidades de disco e reconfigurar storage GRP-CONTAX. Manutenção necessária para mitigar possível falha total do servidor decorrente das falhas múltiplas de hardware do storage adjacente.</t>
  </si>
  <si>
    <t>EDUARDO KANASAWA MOTTA,RICARDO DE OLIVEIRA FLORES</t>
  </si>
  <si>
    <t>STOCTX01SPOLP; STOCTX02SPOLP; STOCTX04SPOLP</t>
  </si>
  <si>
    <t>DBSCTX37SPOLP; STOCTX01SPOLP; STOCTX02SPOLP; STOCTX03SPOLP; STOCTX04SPOLP</t>
  </si>
  <si>
    <t>1 Acessar o storage via browser http://192.168.130.100, aguardar o carregamento do aplicativo JAVA. Utilizar o usuário grpadmin/n9v.; 2 Em volumes do EQUALLOGIC storage manager colocar em on-line o volume SQL-DATA; 3 Via Windows Disk Management colocar em online o “Disk 1” (9,7 TB); 4 Inverter letras das unidades M com G; 5 Inverter letras das unidades N com H; 6 Iniciar serviço do MS SQL: SQL Server (MSSQLSERVER) 7 Solicitar a validação pela equipe de Aplicações; Não se aplica porque é troca de peça defeituosa já fora de operação. E desligamento de storage sem função após ação do primeiro 1.</t>
  </si>
  <si>
    <t>CTXSPOLP-117506</t>
  </si>
  <si>
    <t>Garantir total confiabilidade e disponibilidade do sistema de contingência de energia elétrica do Site./Executar manutenção preventiva mensal sem transferência de carga em 01 (Um) grupo gerador de energia que atende as cargas das operações e CPD no Site Nascente.</t>
  </si>
  <si>
    <t>Não haverá indisponibilidade, visto que o serviço será realizado sem transferência de cargas e/ou desligamento do grupo gerador de energia, em horário de menor fluxo das operações e durante a execução, teremos a contingência de energia da concessionária e No-breaks. Caso aja algum imprevisto o serviço será cancelado.</t>
  </si>
  <si>
    <t>Garantir total confiabilidade e disponibilidade do sistema de contingência de energia elétrica do Site./Execução de manutenção preventiva mensal sem transferência de cargas em 04 (Quatro) grupos geradores de energia que atende as cargas das operações, CPD,Iluminação essencial e elevadores do Site Fortaleza.</t>
  </si>
  <si>
    <t>Garantir total confiabilidade e disponibilidade do sistema de contingência de energia elétrica do Site/Execução de manutenção preventiva/corretiva mensal com transferência de carga em 01 (Um) grupo gerador de energia Stemac 340Kva. Ao realizar todos os testes, verificações e medições serão transferidas as cargas da concessionária para o gerador.</t>
  </si>
  <si>
    <t>Atualizar a versão do produto tClock Contax para contemplar: Funcionalidade de Acordos (Termo de aceite da assinatura digital) - Nosso Número: Release_119. Oriundo dos chamados: tProcess: (CTXMLTREG-7073) - Demandas: (DEMANDAS-4502)</t>
  </si>
  <si>
    <t>tProcess: (CTXMLTREG-7073) - Demandas: (DEMANDAS-4502)</t>
  </si>
  <si>
    <t>ADIÇÃO DE INIBIDOR DE CORROSÃO E CAVITAÇÃO DO SISTEMA CENTRAL DE ÁGUA GELADA.</t>
  </si>
  <si>
    <t>ROGÉRIO VINÍCIUS VALE GONÇALVES</t>
  </si>
  <si>
    <t>CHILLER</t>
  </si>
  <si>
    <t>CASO OCORRA ALGUM INCIDENTE OS TÉCNICOS MANTERÃO CONTATO COM OS GESTORES AFIM DE DEFINIR O CAMINHO IDEAL PARA A SOLUÇÃO DO INCIDENTE</t>
  </si>
  <si>
    <t>Release URA USSD OI-14699 Novas Melhorias Projeto Integração Template OI-14710 Acrescentar novos campos de serviço Interatividade (SVA)</t>
  </si>
  <si>
    <t>Cadastramento de Estados de diálogos Registrar o Tempo das Consultas aos Legados Criar Contingência para Consulta ao Legado Inclusão de variáveis no contexto</t>
  </si>
  <si>
    <t>OI-14237, OI-14594, OI-14357 e OI-12753</t>
  </si>
  <si>
    <t>Validação e documentação de redundância dos links MPLS no site São Cristovão/Execução de testes de fail over e captura de evidências.</t>
  </si>
  <si>
    <t>VIVO 00869928 / Oi RJO8613815</t>
  </si>
  <si>
    <t>Não há plano de retorno para essa GMUD pois é a criação de uma nova tabela e novos indices.</t>
  </si>
  <si>
    <t>OI 14211 Retentativas Digitar Dados do cartão - Fluxo Registra OI 13632 Limpeza de Fluxo - Fase II OI 13947 Não permitir que o cliente oriundo do 3000 navegue na URA OI 13615 Interatividade para clientes que vieram do *3000 OI 14709 Posição dos áudios SVA</t>
  </si>
  <si>
    <t>APPCTX14RJONT; APPCTX15RJOED; APPCTX16RJOED; APPCTX18RJOED; APPCTX19RJOED; DBSOIM01SPOAL; NMSIOM01SPOAL</t>
  </si>
  <si>
    <t>OI 14211 OI 13632 OI 13947 OI 13615 OI 14709</t>
  </si>
  <si>
    <t>A operação de cobrança Escob R1 e CD R1 deseja enviar sms para clientes que estão em débito com a OI. Criar novo processo de exportação de clientes para envio de SMS.</t>
  </si>
  <si>
    <t>10.171.2.76; 10.171.2.82</t>
  </si>
  <si>
    <t>Apagar procedure do banco criado no plano de ação. 1 - conectar no servidor 10.171.2.76 pelo query analyzer 2 - executar SQL ABAIXO: drop procedure [SubmitFilterResultToComunika] e apertar F1, validando criação do objeto. 1 - conectar no servidor 10.171.2.82 pelo query analyzer 2 - executar SQL abaixo: drop procedure [SubmitFilterResultToComunika]</t>
  </si>
  <si>
    <t>Preventiva Stemac sem carga do gerador Stemac 305 KVA - Site Augusta.</t>
  </si>
  <si>
    <t>Implantação de release de novas demandas da URA Oi10331Unificada. **Criar um menu dinâmico para contingência inteligente com consulta à um CRM off line **Utilizar o mailing 95 - MailingMensagemInicio para cliente Fixo-Velox com cobrança errada **Incluir desambiguação para opção 9 do Menu OCT R2 **Registro de BD na URA Unificada para clientes R1</t>
  </si>
  <si>
    <t>URACTX04BSBPA / URACTX05BSBPA; URACTX04CGRPA /URACTX05CGRPA; URACTX04POAPA / URACTX05POAPA; URACTX05BHZPA / URACTX06BHZPA /URACTX07SALPA; URACTX05CTAPA /URACTX06CTAPA /URACTX07CTAPA; URACTX06BHZPA /URACTX07BHZPA /URACTX08BHZPA; URACTX06RECPA /URACTX07RECPA /URACTX08RECPA; URACTX06RJOPA /URACTX07RJOPA /URACTX08RJOPA; URACTX06RJOPB / URACTX07RJOPB /URACTX08RJOPB; URACTX07FORPA /URACTX08FORPA /URACTX06FORPA</t>
  </si>
  <si>
    <t>Número do chamado e Texto copiado da descrição do chamado ou projeto que originou a GMUD</t>
  </si>
  <si>
    <t>Validação e documentação de redundância dos links MPLS no site Engenho de Dentro/Execução de testes de fail over e captura de evidências.</t>
  </si>
  <si>
    <t>VIVO 00838602 / Oi RJO8523019</t>
  </si>
  <si>
    <t>Manutenção preventiva nos Nobreaks 36kva</t>
  </si>
  <si>
    <t>Informações da GMUD</t>
  </si>
  <si>
    <t>10.49.10.51; APPCTX05RJOMK; APPCTX07RJOMK; APPCTX13RJOMK; APPCTX19RJOMK; APPCTX20RJOMK; APPCTX21RJOMK; APPCTX22RJOMK; APPCTX90RJOMK; DBSCTX02RJOPF; DBSCTX04SALSM; DBSCTX06RJOPF; DBSCTX07RJOPF; DBSCTX08RJOMK; dbsctx10rjomk; DBSCTX11RJOPF; DBSCTX120RJOMK; DBSCTX13RJOPF; DBSCTX199RJOMK; dbsctx20rjopf; DBSCTX36RJORP; DBSTLM01RECAM; dbstlm07bhzrp; DBSTLM10BHZRP; DBSTLM18BHZRP; DBSTLM20BHZRP; dbstlm21bhzrp; FSSCTX05RJOMA; FSSCTX07RJORP; GRVBOA01RJOPF; GRVOIM08SPOAL; HMLCTX05SPOAL; HMLCTX87RJORP; HMLTDO05SPOAS; HMLTDO10SPOAS; HMLTDO11SPOAS; HMLTDO12SPOAS; HMLTDO16SPOAS; IDMCTX10RJORP; IDMCTX11RJORP; IDMCTX12RJORP; IDMCTX13RJORP; IDMCTX14RJORP; IDMCTX15RJORP; IDMCTX16RJORP; IDMCTX17RJORP; MONCTX02RJOPF; URACTX03RJOPF; uraoim10spoal; uraoim11spoal</t>
  </si>
  <si>
    <t>Realizar manutenção preventiva no sistema de No break site antartica</t>
  </si>
  <si>
    <t>Banco Toyota,Bradesco,Interodonto,Orbitall,VIVO</t>
  </si>
  <si>
    <t>Ação para auxiliar no desempenho, pois em vários momentos o banco apresenta alto processamento e servidores de aplicação também. Na atividade será renomeada uma tabela existente e criada uma nova tabela exatamente igual com os mesmo campos e nome. Não havendo nenhum impacto para o sistema. O objetivo é melhorar a perfomace do sistema.</t>
  </si>
  <si>
    <t>Para essa GMUD não haverá necessidade de Plano de Retorno, pois na atividade será renomeada uma tabela existente e criada uma nova tabela exatamente igual com os mesmo campos e nome. Não havendo nenhum impacto para o sistema. O objetivo é ter uma tabela vazia para melhorar a perfomace do sistema.</t>
  </si>
  <si>
    <t>Evoluir a ferramenta com as necessidades do cliente. Criação de modo receptivo / Agendamento; Criação de busca de contato (receptivo); Inclusão novo contato (receptivo); Edição de contato; Carregado de mailing; Criação de tela e gerenciamento de campos customizáveis para edição; Gerenciamento Ofertas de Venda customizáveis; Gerenciamento Campos de Ofertas de Venda; Gerenciamento de questionarios customizáveis; Métodos integração Disca Fácil com Tguidance + Aspect; Métodos integração Disca Fácil com Avaya; Aba Diversos para o operador; Inclusão de opção para tranferência de ligação;</t>
  </si>
  <si>
    <t>ROBERTO MAGALHÃES DE OLIVEIRA,RODRIGO SANTOS DE CAMPOS</t>
  </si>
  <si>
    <t>1 - Se conectar no servidor via mstsc; 2 - Parar o serviço DISCA FACIL; 3 - Apagar a nova versão (1.3.0.1660.zip) no caminho da aplicação C:/discafacil/versoes/ 4 - Apontar para a versão anterior 5 - Iniciar o serviço DISCA FACIL; 6 - Acompanhar os log da aplicação garantindo que a mesma está executando com sucesso. 7 - Executar testes técnicos e testes funcionais; ATENÇÃO: Essa atividade deverá ser executada apenas quando a equipe de NGR - Aplicações solicitar a sua execução por parte da equipe CSE - DBA 1 - Efetuar o retorno do backup do banco de dados;</t>
  </si>
  <si>
    <t>Evoluir a ferramenta (outros clientes já estão com a versão mais atualizada da plataforma) e correção apresentado pelo cliente.</t>
  </si>
  <si>
    <t>APPCTX106SPODB; APPCTX107SPODA; APPCTX107SPODB; APPCTX108SPODA; APPCTX108SPODB; APPCTX109SPODA; APPCTX109SPODB; APPCTX110SPODA; APPCTX110SPODB; APPCTX111SPODA; APPCTX111SPODB; APPCTX112SPODA; APPCTX112SPODB; APPCTX113SPODA; DBSCTX101SPODB; DBSCTX104SPODA</t>
  </si>
  <si>
    <t>ATENÇÃO: Essa atividade deverá ser executada apenas quando a equipe de NGR - Aplicações solicitar a sua execução por parte da equipe CSE - DBA 1 - Efetuar o retorno do backup do banco de dados;; EXECUÇÃO NGR: #EXECUCAO TGUIDANCE 1 - Se conectar no servidor via mstsc; 2 - Parar o serviço TGUIDANCE; 3 - Apagar o arquivo atual do TGuidance-EAR.ear 4 - Renomear o arquivo TGuidance-EAR.ear_DDMMYYYY_HHMM de backup para TGuidance-EAR.ear no diretorio (Diretório C:\Todo\jboss-6.0.0.Final\server\default\deploy); 5 - Iniciar o serviço TGUIDANCE; 6 - Acompanhar os logs de execução para verificar se está executando com sucesso. #EXECUCAO TSUPERVISOR 1 - Parar o JBOSS da aplicação tSupervisor 2 - Acessar a pasta C:\Todo\jboss-eap-6.2-port-8180\standalone\deployments 3 - Apagar o arquivo tsupervisor.ear no caminho C:\Todo\jboss-eap-6.2-port-8180\standalone\deployments 4 - Renomear tsupervisor.ear_DDMMYYYY_HHMM armazenado de backup, para tsupervisor.ear 5 - Iniciar o serviço do TSUPERVISOR #EXECUCAO TSYSTEMMANAGER 1 - Parar o JBOSS da aplicação tSystemManager 2 - Acessar a pasta C:\Todo\jboss-eap-6.2-port-8180\standalone\deployments 3 - Apagar o arquivo tsystemmanager.ear no caminho C:\Todo\jboss-eap-6.2-port-8180\standalone\deployments 4 - Renomear tsystemmanager.ear_DDMMYYYY_HHMM armazenado de backup, para tsystemmanager.ear 5 - Iniciar o serviço do TSYSTEMMANAGER 6 - Reiniciar o JBOSS Efetuar os testes tecnicos e teste funcionais</t>
  </si>
  <si>
    <t>CLIORBSAN-165</t>
  </si>
  <si>
    <t>Implementar processo de Carga de Score Operação URC ESCOB R2 e CDR2</t>
  </si>
  <si>
    <t>dbsctx07forbm; dbsctx44forbm</t>
  </si>
  <si>
    <t>PLANO DE RETORNO DA GMUD: -&gt; CONECTAR VIA TERMINAL SERVICE NO SERVIDOR 10.16.1.131 -&gt; ABRIR O SQL SQL QUERY ANALYZER -&gt; EXECUTAR OS COMANDOS NA SEQUENCIA: ---&gt; DROP PROCEDURE RetornaColunaScore ---&gt; DROP PROCEDURE SCORE -&gt; CONECTAR VIA TERMINAL SERVICE NO SERVIDOR 10.16.1.237 -&gt; ABRIR O SQL SQL QUERY ANALYZER -&gt; EXECUTAR OS COMANDOS NA SEQUENCIA: ---&gt; DROP PROCEDURE RetornaColunaScore ---&gt; DROP PROCEDURE SCORE</t>
  </si>
  <si>
    <t>CTXBHZRI-100401</t>
  </si>
  <si>
    <t>Atualização de service pack do Avaya Aura Comunication Manager 6.2</t>
  </si>
  <si>
    <t>Realizar roolback para o Service Pack anterior, este estará salvo no próprio servidor.</t>
  </si>
  <si>
    <t>10.48.28.55</t>
  </si>
  <si>
    <t>Realizar roolback para o Service Pack anterior, pois este arquivo estará salvo no próprio servidor.</t>
  </si>
  <si>
    <t>Acessar o servidor brcaseh006 e excluir o servidor virtual brcaseh402.</t>
  </si>
  <si>
    <t>Não existe plano de retorno.</t>
  </si>
  <si>
    <t>10.48.28.102</t>
  </si>
  <si>
    <t>Cadastrar SLA para o site CTXMLTREG</t>
  </si>
  <si>
    <t>JULIANA MORETTI ROVARIS GALVÃO PAES</t>
  </si>
  <si>
    <t>Caso houver necessidade de reverter a alteração, só será preciso trocar a configuração no próprio tProcess Executar teste técnico/funcional novamente.</t>
  </si>
  <si>
    <t>CTXMLTREG-6986</t>
  </si>
  <si>
    <t>Atualizar os campos de Incidentes para os clientes OI Blindagem, OI Fixo, OI Móvel, OI Televendas, OI TV e OI SAV.</t>
  </si>
  <si>
    <t>CTXSPOAL-112161</t>
  </si>
  <si>
    <t>Criar um novo site Golden Cross, tendo como base o site criado Tem Assist e com opções específicas para esse site</t>
  </si>
  <si>
    <t>1) Desconfigurar o site na aplicação 2) renomear o conditional-fields 3) Desabilitar o cliente/operação cadastrado. 4) Desconfigurar o SLA Executar teste técnico/funcional novamente.</t>
  </si>
  <si>
    <t>CTXSPOAL-110593</t>
  </si>
  <si>
    <t>Desativar os links Metro entre os Sites Santo Amaro, Niterói e Lapa</t>
  </si>
  <si>
    <t>SWTCORE001STACPD; SWTCORP27STACPD; SWTCORP28STACPD; SWTMETRO122LPACPD; SWTMETRO5NITSPCPD; SWTMETRO6NITSPCPD</t>
  </si>
  <si>
    <t>Efetuar as configurações conforme as orientações do documento em anexo</t>
  </si>
  <si>
    <t>Implantação de atualizações e promoções OI. Alteração de mensagem para ofertas de bônus semanal e alteração de benefícios para clientes cadastrado nas ofertas semanais.</t>
  </si>
  <si>
    <t>OI-14872 / OI-14951</t>
  </si>
  <si>
    <t>Realizar manutenção preventiva GMG site Lapa</t>
  </si>
  <si>
    <t>Polo Aspect Alegria - restart padrão do storage Dell Equallogic para recuperação da interface de gestão, essencial para monitoração e análise de falhas.</t>
  </si>
  <si>
    <t>ALEX BRUM BARBOSA DE FARIAS,EDUARDO KANASAWA MOTTA,PAULO ROGERIO GOMES</t>
  </si>
  <si>
    <t>STOCTX01SPOAP; STOCTX02SPOAP; STOCTX03SPOAP; STOCTX04SPOAP</t>
  </si>
  <si>
    <t>Não se aplica devido a natureza da operação.</t>
  </si>
  <si>
    <t>CTXSPOAL-114539</t>
  </si>
  <si>
    <t>Deesativação do Link Metro entre os Sites Antaártica e Lapa</t>
  </si>
  <si>
    <t>SWTCOR002SPOBFCPD; SWTCOR003SPOBFCPD; SWTCRP027SPOBFCPD; SWTMETRO123LPACPD</t>
  </si>
  <si>
    <t>executar as configurações informadas no documento em anexo</t>
  </si>
  <si>
    <t>Manutenção preventiva geradores Boa Viagem</t>
  </si>
  <si>
    <t>Geradores Stemac</t>
  </si>
  <si>
    <t>Remover o site Mck da rede metroethernet, provendo toda sua comunicação via MPLS NGR e MPLS Contax.</t>
  </si>
  <si>
    <t>SWTCORP027MCKCPD; SWTMETRO5NITSPCPD</t>
  </si>
  <si>
    <t>Executar as configurações conforme documento em anexo.</t>
  </si>
  <si>
    <t>Atualização do Firmware da controladora do servidor APPCTX04RECAU [10.62.0.23] ; Atualização dos patches pendentes.</t>
  </si>
  <si>
    <t>APPCTX04RECAU</t>
  </si>
  <si>
    <t>Através do painel de controle remover todas as atualizações instaladas entre os dias 22 e 23/04/2016. Reiniciar o servidor após as desinstalações.</t>
  </si>
  <si>
    <t>Atualização da aplicação Empresarial. A release 2016/04/26 terá como foco principal as seguintes mudanças abaixo: ? FUO- 787 URA Light 4 - Solicitação de Reparo Velox ? FUO- 784 URA Light 3 - Exclusão de mensagens Pós Menu ? FUO- 786 URA Light 5 - Solicitação de Reparo Móvel ? FUO- 785 URA Light 6 - Desambiguação da opção Atendente (Menu empresarial FIXO) ? FUO- 816 Ajustes referentes à demanda FUO-663 ? FUO- 822 Retirada de mensagens cliente VIP</t>
  </si>
  <si>
    <t>Atualização da aplicação Televendas. A release 2016/04/26 terá como foco principal as seguintes mudanças abaixo: -&gt; FUO-811 Levantamento e documentação dos Parâmetros na URA -&gt; FUO-823 Captura Numero Televendas DDD iniciado com "zero"</t>
  </si>
  <si>
    <t>Copiar as estrutura, indices, procedures do banco de dados Disca_facil para o novo banco discafácil da Operação Cielo</t>
  </si>
  <si>
    <t>DBSCTX105SPODA; DBSCTX105SPODB; DBSCTX106SPODA; DBSCTX106SPODB</t>
  </si>
  <si>
    <t>Apargar o banco cielo_discafacil criado nos servidores DBSCTX105SPODA, DBSCTX106SPODA, DBSCTX105SPODB e DBSCTX106SPODB</t>
  </si>
  <si>
    <t>Criação de regras na URA para roteamento de chamadas diretamente para a AeC Retirar decisão ‘Possui Bloqueio OU Evento Vulto Fixo ou BD (Fixo ou Velox) ativo?"</t>
  </si>
  <si>
    <t>Procedimentos2: GMUD 1- Executar a GMUD, às 22:00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"Item de configuração". 4- Executar o deploy da aplicação em um servidor de cada vez da nova versão do pacote em produção. 5-Ao término da Implantação, buscar o log da chamada via NGR Monitor, apurando se não há nenhuma falha registrada, seja ela de Aplicação, Telefonia, Legado ou Context</t>
  </si>
  <si>
    <t>Substituição de cabeamento óptico da operadora Algar.</t>
  </si>
  <si>
    <t>Oi,Orbitall</t>
  </si>
  <si>
    <t>Não Informado</t>
  </si>
  <si>
    <t>Refazer a fusão no cabeamento provisório</t>
  </si>
  <si>
    <t>FPw - Transferência de funcionários da empresa 62-Contax para empresa 4-Ability,</t>
  </si>
  <si>
    <t>A princípio não haverá necessidade de um rollback total da base. Caso seja necessário estornar a transferência de um ou mais funcionários, as atualizações realizadas através de scripts serão revertidas a partir de novos scripts, a serem elaborados pelo analista da LG, para voltar os valores originais, usando como base os backups de tabelas realizadas como primeira ação da GMUD. As ações executadas na aplicação serão estornadas através da mesma.</t>
  </si>
  <si>
    <t>Realizar um restart no Big Ip ADCPCTXFORPA002 do POP FORPA</t>
  </si>
  <si>
    <t>Não há plano de retorno, pois se trata de um restart em um equipamento que possui contingência.</t>
  </si>
  <si>
    <t>CTXFORBM-376367</t>
  </si>
  <si>
    <t>Desativar o Link Metro entre os Sites Lapa e Niteroi.</t>
  </si>
  <si>
    <t>FWCPCTXSPODA001; FWCPCTXSPODB001; SWTMETRO123LPACPD; SWTMETRO5NITSPCPD; SWTMETRO6NITSPCPD</t>
  </si>
  <si>
    <t>Reinicializar os Domain controllers dos domínios callcorp.contax.root e contax-br.contax.root para correção de problemas de replicação.</t>
  </si>
  <si>
    <t>sdcctx03spobf; sdcctx04spobf; sdcorb01spobf; sdcorb02spobf</t>
  </si>
  <si>
    <t>1) Realizar o restart do servidor e checar se o mesmo vai retornar. 2) Caso o servidor não retorne deve ser avaliado com apoio do site a reinstalação do ativo.</t>
  </si>
  <si>
    <t>Implementar as demandas OI-14278 : Alterar conteúdo da mensagem TrataReparoBloqueioTP-LC_05 OI-14098: Criar um menu dinâmico para contingência inteligente com consulta à um CRM off line OI-14714: Inclusao variavel Cobrança no Contexto para o Pre Routing</t>
  </si>
  <si>
    <t>OI-14278, OI-14098 e OI-14714</t>
  </si>
  <si>
    <t>Permitir que somente os usuários do grupo CSC - Service Desk possa delegar os chamados pertencentes a esse grupo.</t>
  </si>
  <si>
    <t>Jira02</t>
  </si>
  <si>
    <t>Plano de Retorno - Voltar backup do arquivo todo-jira4-plugins-1.0.jar no servidor da aplicação com a aplicação fora. - Executar testes tecnicos/funcionais novamente.</t>
  </si>
  <si>
    <t>CTXSPOAL-111761</t>
  </si>
  <si>
    <t>Criar a instância do Discafácil para Operação Cielo através da cópia das estrutura, índice e procedures da instância discafacil da Souza Cruz</t>
  </si>
  <si>
    <t>LUIZ WASHINGTON GIANEZZI,ROBERTO MAGALHÃES DE OLIVEIRA</t>
  </si>
  <si>
    <t>DBSCTX105SPODA</t>
  </si>
  <si>
    <t>Apagar o Schema criado</t>
  </si>
  <si>
    <t>Atualização de patches nos controladores de domínio da floresta contax.root</t>
  </si>
  <si>
    <t>sdcctx01salpb; sdcctx02salpb; sdcctx07salas; sdcctx08salas</t>
  </si>
  <si>
    <t>1) Remover as atualizações 2) Reiniciar o servidor 3) Validar o status dos serviços pelo mmc do Windows 4) Caso tenhamos falhas lógicas/físicas deve se contatar o site para apoio local</t>
  </si>
  <si>
    <t>APPCTX01RJONT; APPCTX01RJORI; APPCTX01SPOBF; APPCTX02SPOBF; APPCTX04POARB; APPCTX04RJORP; APPCTX05RJONT; APPCTX11NITSP; APPCTX12NITSP; APPCTX12RJONT; APPCTX13SPOBF; APPCTX15NITSP; appctx16rjont; APPCTX16SPOAL; appctx17rjont; appctx18rjont; APPCTX19RJONT; appctx22spolp; APPCTX30RJORP; APPCTX33SPOLP; APPCTX62SPOAL; BKPCTX03NITSP; BRLDALA152; BRLDALA154; BRLDALA401; DBSCTX01POARB; DBSCTX02POARB; DBSCTX04SPODA; DBSCTX04SPOLP; DBSCTX06SPODA; DBSCTX06SPOLP; DBSCTX07SPOLP; DBSCTX08SPODA; DBSCTX105SPOLP; DBSCTX114SPODB; DBSCTX122SPODB; DBSCTX128SPODB; dbsctx13spolp; dbsctx14spolp; DBSCTX150SPODB; DBSCTX17SPODB; DBSCTX20SPODA; DBSCTX34SPOLP; DBSCTX47SPOLP; dbsctx51spolp; DBSCTX55SPOLP; DEVCTX101SPODB; DEVCTX103SPODB; DEVCTX104SPODB; DEVCTX105SPODB; HMLCRS01SPOBF; HMLCTX11SPOLP; hmlctx15spolp; HMLCTX214SPODB; HMLOIM01SPOLP; MONCTX01SPOBF; SDCCTX02POARB; SDCORB02SPOBF; URABV04SPOLP; URACIE01SPOLP; URACIE02SPOLP; URACTX32RJOMK; URACTX33RJOMK; WEBCTX01RJORP; WEBCTX03RJORP</t>
  </si>
  <si>
    <t>Atualização de patches nos controladores de domínio da floresta contax.root e bbctx.contax</t>
  </si>
  <si>
    <t>sdcctx01sallm; sdcctx01salsm; sdcctx02salsm; sdcctx03sallm; sdcctx201sallm; sdcctx202sallm; sdcorb01salsm; sdcorb02salsm</t>
  </si>
  <si>
    <t>Atualização da aplicação Televendas. A release 2016/04/26 terá como foco principal as seguintes mudanças abaixo: Configurar a entrada da URA para receber os códigos de entrada do novo 0800 do Televendas empresarial. A Ura devera receber a chamada e encaminhar para o fluxo do Televendas Empresarial. ( 0800 282 3131).</t>
  </si>
  <si>
    <t>Correção da Recarga One Click, que está com o volume de transações muito baixo. Correção da rotina que controla a quantidade de ligações One Click em 24 horas.</t>
  </si>
  <si>
    <t>URACTX04BSBPA; URACTX05BSBPA;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</si>
  <si>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Atualização da aplicação Corporativo. A release 2016/05/04 terá como foco principal as seguintes mudanças abaixo: -&gt; FUO-815 Validação cliente Voice Net no Menu Reparo -&gt; FUO-713 Incluir MSGs Contingenciais da Ferramenta Versátil</t>
  </si>
  <si>
    <t>Atualização da versão da aplicação; 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</si>
  <si>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Atualização da aplicação OiTv. A release 2016/05/04 terá como foco principal as seguintes mudanças abaixo: -&gt; FUO- 767 Servidor de Contexto Oi -&gt; FUO- 796 ID Zerados</t>
  </si>
  <si>
    <t>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</si>
  <si>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Realizar o desligamento do servidor DEVCTX08RJOMA</t>
  </si>
  <si>
    <t>devctx08rjoma</t>
  </si>
  <si>
    <t>Sinalizar ao analista Local, que o servidor deverá ser religado. Ao ligar o equipamento, realizar a validação dos serviços de sistema operacional. Contatar o analista que pediu para religar, para o mesmo realizar testes da sua aplicação.</t>
  </si>
  <si>
    <t>Substituir a solução de DNS Nixu do datacenter Alegria, pela solução de DNS Microsoft.</t>
  </si>
  <si>
    <t>JOSE GERALDO DA SILVA DOS SANTOS,MARCUS VINÍCIUS RUSTIGUER</t>
  </si>
  <si>
    <t>DNSCTX01SPODB; NMSCTX01SPODB</t>
  </si>
  <si>
    <t>1) Desativar as interfaces de rede do servidor DNSCTX01SPODB 2) Solicitar ao time de redes que ative as portas do servidor NMSCTX01SPODB: - Acessar o switch 10.171.207.146 e desativar as portas: Gi1/0/8 Gi2/0/8 Gi3/0/8 Po8 - Acessar o switch 10.171.207.147 e desativar as portas: Gi0/8 3) Validar ambiente e fechar a GMUD</t>
  </si>
  <si>
    <t>Expurgo de dados tClock (Record)</t>
  </si>
  <si>
    <t>MARCELO TAKESHI INOUE GERENT</t>
  </si>
  <si>
    <t>APPCTX245SPODB; APPCTX246SPODB; APPCTX247SPODB; APPCTX248SPODB; APPCTX249SPODB; APPCTX250SPODB; APPCTX251SPODB; APPCTX253SPODB; APPCTX254SPODB; DBSCTX123SPODB</t>
  </si>
  <si>
    <t>DBSCTX123SPODB</t>
  </si>
  <si>
    <t>Brasil Cap</t>
  </si>
  <si>
    <t>Atualização do FW da controladora , atualização do Driver dos Discos e atualização de Patchs do S.O. - Servidor : 10.49.12.23</t>
  </si>
  <si>
    <t>RICARDO DE OLIVEIRA FLORES</t>
  </si>
  <si>
    <t>1 - Remover a atualização do drive dos discos (Caminho do arquivo : C:\Dell\SAS-Drive_Firmware_41N5D_WN32_FM0A_A05.exe) 2 - Efetuar o restart do servidor 3 - Remover a atualização do FW da controladora (Caminho do arquivo :C:\Dell\SAS-RAID_Firmware_9FVJ2_WN64_12.10.7-0001_A13.exe) 4 - Efetuar o restart do servidor 5 - Remover a atualização de Patchs efetuadas na data da execução da GMUD 6 - Efetuar o restart do servidor 7 - Verificar mensagens de erro no eventviewer 8 - Verificar quais serviços do SQL estão com status "Started" 9 - Acessar unidades D: e E: 10 - Validar as bases montadas utilizando o SQL Server Manager Studio</t>
  </si>
  <si>
    <t>CTXSPOAP407-15761</t>
  </si>
  <si>
    <t>AUMENTAR A CONFIABILIDADE DO SISTEMA DE ÁGUA POTÁVEL GARANTINDO O FORNECIMENTO NOS BEBEDOUROS E TORNEIRAS, MODIFICANDO A LINHA DE ÁGUA POTÁVEL E O POSICIONAMENTO DAS BOMBAS.</t>
  </si>
  <si>
    <t>Realizar manutenção corretiva nos NB's do CPD do Site Luigi amortese</t>
  </si>
  <si>
    <t>NB's</t>
  </si>
  <si>
    <t>Não Há, visto que os equipamentos já se encontram com falha</t>
  </si>
  <si>
    <t>Atendimento emergencial</t>
  </si>
  <si>
    <t>Aplicar os Procedimentos abaixo no sistema Protheus: TURNH9 - Correção na configuração do TSS para não haver necessidade de reinicio dos serviços constantemente; TUVR60 - Eliminação automática de resíduos das Solicitações de Compras de Salvador não integradas com o Fluig;</t>
  </si>
  <si>
    <t>APPCTX108SPOLP; APPCTX119SPODB; APPCTX11SPODA; APPCTX12SPODA; appctx13spolp; APPCTX149SPODB; APPCTX14SPOBF; APPCTX15SPOLP; appctx16spobf; APPCTX310SPODA; APPCTX31SPOLP; appctx32spobf; APPCTX39SPOAL; APPCTX40SPOAL; APPCTX41SPOAL; APPCTX41SPOBF; APPCTX42SPOAL; APPCTX88SPOBF; AUTCTX01RECAU; AVSCTX01RECAU; BKPCTX01RECAU; BKPCTX01RECSA; BKPCTX03RECSA; BRCASQC130; BRCASQC131; BRCASQC134; BRCASQC139; ctitlm01salas; DBSCTX06NITSP; dbsctx07bhzri; DBSCTX09NITSP; DBSCTX18NITSP; dbsctx20spobf; DBSCTX23NITSP; DBSCTX25SPOBF; DBSCTX26NITSP; dbsctx26spobf; DBSCTX71NITSP; dhcctx01recsa; FESCTX01SPODA; FESCTX02SPODA; FESCTX04SPODA; FESCTX05SPODA; FESCTX06SPODA; FESCTX08SPODA; FESCTX09SPODA; FESCTX10SPODA; FESCTX11SPODA; FESCTX13SPODA; FESCTX15SPODA; FSSCTX07RJORP2; FSSORB01SPOBF; GSCCTX01RECAU; MONCTX01RECAU; ZENORB03SALSM</t>
  </si>
  <si>
    <t>Simular desligamento do equipamento para execução de manutenção preventiva/Execução de teste de funcionamento do sistema de climatização operado apenas com um chiller.</t>
  </si>
  <si>
    <t>Caso um único chiller não consiga suportar a carga térmica por 6h ou haja algum imprevisto o outro chiller será religado.</t>
  </si>
  <si>
    <t>Preventiva mensal teste em vazio do gerador heimer 305 KVA</t>
  </si>
  <si>
    <t>Caso ocorra anormalidades com equipamento será abortada a atividade, com procedimentos e medidas de controle sinalizando os interessados da atividade.</t>
  </si>
  <si>
    <t>STOP/START Full Plataforma Aspect PE - Manutenlçao preventiva na plataforma Aspect 6.6 PE, com intuito de minizar instabilidades e indisponibilidades no sistema.</t>
  </si>
  <si>
    <t>Integração com servidor de contexto Oi. Envio de todas as variáveis para o servidor de contexto da Oi, as quais são usadas para roteamento.</t>
  </si>
  <si>
    <t>Publicação no ambiente de produção do sistema EGMUD com a notificação de freezing do dia das mães.</t>
  </si>
  <si>
    <t>GABRIEL SACRAMENTO DO AMARAL</t>
  </si>
  <si>
    <t>DBSCTX36SPOAL</t>
  </si>
  <si>
    <t>Retornar o arquivo original para o servidor em caso de falha.</t>
  </si>
  <si>
    <t>Controlar execução do checklist de sites / implantar nova funcionalidade de dashbord no checklist</t>
  </si>
  <si>
    <t>1 - Parar o serviço do JBOSS do servidor 2 - Acessar a pasta F:\Todo\jboss-eap-6.2\standalone\deployments 2.1 - Apagar o arquivo atual da aplicação checklistsite.ear 2.2 - Renomear a aplicação checklistsite_DDMMYYYY.ear de backup feita no passo de Execução, para checklistsite.ear 3 - Iniciar novamente o serviço do JBOSS do servidor 4 - Executar os testes tecnicos e testes funcionais</t>
  </si>
  <si>
    <t>Realizar manutenção preventiva mensal em gerador do Site DC Alphaville conforme cronograma contemplando teste sem carga.</t>
  </si>
  <si>
    <t>Para retorno do equipamento a sua condição normal, após todos os testes, analise visual e limpeza, estaremos passando o gerador de manual para automático e estará apto para reconhecer uma falta de energia e atuar plenamente</t>
  </si>
  <si>
    <t>Implantação de melhoria e atualização da aplicação RACO. Registrar o tempo de consultas dos legados.</t>
  </si>
  <si>
    <t>OI-14648</t>
  </si>
  <si>
    <t>NO BREAK</t>
  </si>
  <si>
    <t>Manutenção preventiva dos Nobreak`s de 150KVA e 80KVA</t>
  </si>
  <si>
    <t>Manutenção Preventiva</t>
  </si>
  <si>
    <t>Implantar uma página para acesso dos serviços mais procurados pelo colaborador com o nome contaxfacil nos quiosques próximos ao ACI em todos os sites</t>
  </si>
  <si>
    <t>APPCTX181SPODB; APPCTX182SPODB; APPCTX184SPODB; APPCTX185SPODB</t>
  </si>
  <si>
    <t>Remover a aplicação conforme plano de retorno em anexo</t>
  </si>
  <si>
    <t>10.65.29.14</t>
  </si>
  <si>
    <t>Em caso de algum problema imprevisto, acionamos a energia da concessionaria;</t>
  </si>
  <si>
    <t>Manutenção preventiva de grupo gerador, essa manobra , tem como objetivo manter a confiabilidade elétrica do Site, como também a conservação e desempenho do equipamento.</t>
  </si>
  <si>
    <t>Grupo gerador</t>
  </si>
  <si>
    <t>Executar manutenção corretiva emergencial no banco de baterias do (1) NO BREAK - ENGETRON de 80 KVA que supri a carga essencial ( CPD ) do Site Alameda Santos.</t>
  </si>
  <si>
    <t>Toda atividade será realizada seguindo procedimentos e medidas de controle caso haja qualquer anomalia na execução iremos paralisar e retornar o processo do inicio, sempre sinalizando os interessados da atividade.</t>
  </si>
  <si>
    <t>sem chamado</t>
  </si>
  <si>
    <t>Atualização da aplicação Empresarial. A release 2016/05/04 terá como foco principal as seguintes mudanças abaixo: ? FUO-833 - Correção RP derivação cliente voice net (Consiste em realizar o ajuste do código para atender o Tipo de Produto DVI ou RVI(Campo8 SVIF21) e ReparoFixo = True no fluxo MenuReparo)</t>
  </si>
  <si>
    <t>Movimentação de um ponto de hidrante no térreo e rebaixar um ponto de sprinkler. Necessário atividade, devido a implantação do novo espaço do ACI na área onde estão os itens hoje.</t>
  </si>
  <si>
    <t>Manutenção Preventiva em 02(dois) No-break de 60KVA do CPD e 02(dois) No-break de 160KVA da Operação .Verificar ajustes e realizar testes necessários nos equipamentos.</t>
  </si>
  <si>
    <t>02(dois) No-break de 60KVA do CPD e 02(dois) No-br</t>
  </si>
  <si>
    <t>Caso tenha algum problema com o no-break , será realizada by-pass para alimentação das cargas através da energia elétrica fornecida pela concessionária.</t>
  </si>
  <si>
    <t>Manutenção dos Nobreak do CPD. Sem Desligamento</t>
  </si>
  <si>
    <t>UPS 40KVA</t>
  </si>
  <si>
    <t>FPw - Atualização da versão 2015.2 do FPw, abrangendo todos os módulos e customizados, com melhorias e correções.</t>
  </si>
  <si>
    <t>ANDERSON MOURA DE CARVALHO,CLAYTON ROBERTO LEITE,FELIPE DE OLIVEIRA MOREIRA,JOÃO CARLOS FADUL VILAS BÔAS,LUIZ GONZAGA DOS REIS,MIGUEL ANGELO DO PATROCINIO,MYRIAM WANDERLEY DA NOBREGA SANTOS,ROBERTO MAGALHÃES DE OLIVEIRA</t>
  </si>
  <si>
    <t>APPCTX113SPODB; APPCTX114SPODB; APPCTX115SPODB; APPCTX117SPODB; APPCTX118SPODB; APPCTX119SPODB; APPCTX181SPODB; APPCTX182SPODB; APPCTX184SPODB; APPCTX185SPODB; APPCTX264SPODB; BRSPOPL032; DBSCTX127SPODB</t>
  </si>
  <si>
    <t>Plano de Retorno - passos: a) Restaurar a base de dados a partir do backup salvo no item 1, nos servidores de BD 10.201.34.141 / DBSCTX127SPODB b) Desinstalar a aplicação, removendo os aplicativos através do Painel de Controle / Adicionar/Remover Programas nos servidores de aplicação. c) Desinstalar a aplicação, removendo os produtos atualizados nesta versão através do Painel de Controle / Adicionar/Remover Programas nos servidores de aplicação - FPw Folha de Pagamento Servidor e Cliente, Benefícios e Portal MyWay. Observação: ao desinstalar o Fpw Folha de Pagamento serão removidos os módulos de Folha e RH: Cadastros e Cálculos, Emissões, Autorizações, Interface Contábil, Vale Transporte, Tabelas Genéricas, Cargos e Salários e Treinamento. d) Reinstalar a versão anterior da versão do FPw - servidor e cliente, através dos instaladores da versão anterior, seguindo o mesmo procedimento de atualização descrito neste plano. Local dos instaladores da versão anterior: \\10.49.10.14\c$\FPw_Atualizacoes_Produtos_LG\Instaladores_mais_recentes_2014.2.</t>
  </si>
  <si>
    <t>Manter o sistema de energia de telefonia em perfeito funcionamento. Manutenção Preventiva da Fonte -48V</t>
  </si>
  <si>
    <t>Executar manutenção preventiva dos grupos geradores FGW e Stemac com realização de testes com carga.</t>
  </si>
  <si>
    <t>Correção de erro técnico, para garantir integração com servidor de contexto Oi. Envio de todas as variáveis para o servidor de contexto da Oi, as quais são usadas para roteamento.</t>
  </si>
  <si>
    <t>OI-10561</t>
  </si>
  <si>
    <t>Despromoção do DC SDCCIT01RJOMA que se encontra com problemas na base de dados do Active Directory e ativação do DC SDCCIT03RJOMA.</t>
  </si>
  <si>
    <t>SDCCIT01RJOMA; SDCCIT03RJOMA</t>
  </si>
  <si>
    <t>1) Acessar o controlador de domínio sdccit03rjoma.citicontax.root via RDP 2) Trocar o IP do servidor para 10.8.29.196 3) Executar os comandos abaixo nos servidores sdccit02rjoma.citicontax.root e sdccit03rjoma.citicontax.root: ipconfig /flushdns ipconfig /registerdns net stop netlogon net start netlogon 4) Acessar o controlador de domínio sdccit01rjoma.citicontax.root via RDP 5) Trocar o IP do servidor para 10.8.29.205 6) Promover o servidor novamente a controlador de domínio e validar o share SYSVOL/NETLGON</t>
  </si>
  <si>
    <t>Atualização da aplicação Televendas. A release 2016/05/10 terá como foco principal as seguintes mudanças abaixo: -&gt; FUO-792 Novo Cliente Controle -&gt; FUO-828 Novo Canal de Televendas Empresarial</t>
  </si>
  <si>
    <t>Implantar melhorias e atualizações na URA</t>
  </si>
  <si>
    <t>OI-14568; OI-14811</t>
  </si>
  <si>
    <t>Atualização da aplicação Empresarial. A release 2016/05/10 terá como foco principal as seguintes mudanças abaixo: -&gt; FUO-770 Envio de Protocolo por SMS -&gt; FUO-814 Mensagem Clientes Migrados -&gt; FUO-804 Migração Pré BRT_CHIP OI -&gt; FUO-825 PILOTO DE VENDAS EMPRESARIAL NAS LOJAS</t>
  </si>
  <si>
    <t>Atualizar os campos de Incidentes para os clientes Itaú e Redecard.</t>
  </si>
  <si>
    <t>Desativar as options da tabela cliente/operação que foram cadastradas. Executar testes técnicos/funcionais novamente.</t>
  </si>
  <si>
    <t>CTXSPOAL-113133</t>
  </si>
  <si>
    <t>Release URA USSD OI 14873 Exclusão check "Limite Recarga programada" Custome OI 15111 Exclusão retentiva fluxo "CadastraPromo“ OI 15088 Atualização serviço SVA planilha serviços / tabela financeira OI 15199 Atualização fraseologias Sorte na Palma da mão</t>
  </si>
  <si>
    <t>Alterar configuração de tempo de sessão do IIS nos servidores 10.55.14.5 e 10.55.14.6, com o objetivo de reduzir o indice de incidentes relacionados a desconexão do tCollect nas operações de Retenção Invol no site Borges de Melo -CE</t>
  </si>
  <si>
    <t>appctx03bhzri; appctx04bhzri</t>
  </si>
  <si>
    <t>.Conectar via Terminal Service no servidor 10.55.14.5 .Abrir O Internet Information Services .Clicar com o Botão direito no Servidor "APPCTX03BHZRI", do Console Tree, selecionar a opção "All Tasks", e em seguida "Restart IIS..." .Selecionar a opção "Stop Internet Services on APPCTX03BHZRI" e clicar no Botão "OK". .Selecionar a pasta "Web Sites" do Console Tree, e em seguida, "Default Web Site". -- ..Selecionar "tCollectNBA"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"tCollecttv"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.Clicar com o Botão direito no Servidor "APPCTX03BHZRI", do Console Tree, selecionar a opção "All Tasks", e em seguida "Restart IIS..." .Selecionar a opção "Star Internet Services on APPCTX03BHZRI" e clicar no Botão "OK". .Conectar via Terminal Service no servidor 10.55.14.6 .Abrir O Internet Information Services .Clicar com o Botão direito no Servidor "APPCTX04BHZRI", do Console Tree, selecionar a opção "All Tasks", e em seguida "Restart IIS..." .Selecionar a opção "Stop Internet Services on APPCTX04BHZRI" e clicar no Botão "OK". .Selecionar a pasta "Web Sites" do Console Tree, e em seguida, "Default Web Site". -- ..Selecionar "tCollectNBA"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"tCollecttv"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.Clicar com o Botão direito no Servidor "APPCTX04BHZRI", do Console Tree, selecionar a opção "All Tasks", e em seguida "Restart IIS..." .Selecionar a opção "Star Internet Services on APPCTX04BHZRI" e clicar no Botão "OK".</t>
  </si>
  <si>
    <t>CTXFORBM-371727</t>
  </si>
  <si>
    <t>Realização de manutenção preventiva sem desligamento das UPS Socomec site Cabula.</t>
  </si>
  <si>
    <t>Plano de retorno 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t>
  </si>
  <si>
    <t>Adequar o layout do arquivo de carga das operações Cobrança Escob R1, Cobrança CD Fixa R1 e Varejo R1. Serão incluídos no layout atual os campos 33, 34, 35, 36, 37 e 39.</t>
  </si>
  <si>
    <t>10.171.2.76; 10.171.2.82; 10.55.14.11</t>
  </si>
  <si>
    <t>1 - conectar no servidor 10.171.2.76 pelo query analyzer 2 - conectar no servidor 10.171.2.82 pelo query analyzer 3 - conectar no servidor 10.55.14.11 pelo query analyzer 4 - executar SQL abaixo: CREATE PROCEDURE [dbo].[GetCalculatedCustomerExtensions] ( @DebtID INT , @UserID INT ) AS BEGIN SET NOCOUNT ON -- Begin block customer risk (DebtDeals version) DECLARE @CustomerRisk VARCHAR(100) SELECT TOP 1 @CustomerRisk = DD.DebtDealComplement FROM FTCRM..DebtDeals DD INNER JOIN FTCRM..Bindings B ON DD.DebtID = B.DebtID WHERE B.CustomerID = (SELECT MAX(CustomerID) FROM FTCRM..Bindings WHERE DebtID = @DebtID) ORDER BY ISNULL(DD.LastModificationDate,DD.CreationDate) DESC -- End block customer risk SELECT (CASE WHEN CE.CustomerString5 IS NOT NULL THEN 'Filial: '+CE.CustomerString5+'' ELSE '' END) + (CASE WHEN CE.PortfolioID = 1--Oi Fixa THEN CASE WHEN CE.CustomerString4 IS NOT NULL THEN ' - Seg. de Consumo:  '+CE.CustomerString4+'' ELSE '' END ELSE '' -- CASE WHEN CE.CustomerString4 IS NOT NULL THEN ' - Cenário Cobrança:  '+CE.CustomerString4+'' ELSE '' END END) + (CASE WHEN CE.CustomerCode1 is not NULL THEN ' - Anatel' ELSE '' END) + (CASE WHEN CE.CustomerString1 is not NULL THEN ' - Alavancado' ELSE '' END) + ' - Risco do Cliente: ' + (CASE WHEN @CustomerRisk = 'ALTO' THEN 'ALTO' WHEN @CustomerRisk = 'BAIXO' THEN 'BAIXO' WHEN @CustomerRisk IS NOT NULL AND @CustomerRisk '' THEN @CustomerRisk ELSE 'INDEFINIDO' END) + '' + ( CASE WHEN CE.CustomerNumber2 IS NULL THEN '' ELSE ' - Velox: ' + CASE WHEN CE.CustomerNumber2 = 1 THEN 'Sim' ELSE 'Não' END END) + ' - Cluster: ' + (CASE WHEN (CE.CustomerCode2 = 1 and CE.CustomerCode4 = 1) THEN ' NOVO CLIENTE - Alto Risco' WHEN (CE.CustomerCode2 = 2 and CE.CustomerCode4 = 2) THEN ' LEAL - Baixo Risco' WHEN (CE.CustomerCode2 = 3 and CE.CustomerCode4 = 1) THEN ' BAIXA DÍVIDA 1 - Alto Risco' WHEN (CE.CustomerCode2 = 4 and CE.CustomerCode4 = 2) THEN ' TROUBLE - Baixo Risco' WHEN (CE.CustomerCode2 = 5 and CE.CustomerCode4 = 1) THEN ' BAIXA DÍVIDA 2 - Alto Risco' WHEN (CE.CustomerCode2 = 1 and CE.CustomerCode4 = 2) THEN ' NOVO CLIENTE - Baixo Risco' WHEN (CE.CustomerCode2 = 2 and CE.CustomerCode4 = 1) THEN ' LEAL - Alto Risco' WHEN (CE.CustomerCode2 = 3 and CE.CustomerCode4 = 2) THEN ' BAIXA DÍVIDA 1 - Baixo Risco' WHEN (CE.CustomerCode2 = 4 and CE.CustomerCode4 = 1) THEN ' TROUBLE - Alto Risco' WHEN (CE.CustomerCode2 = 5 and CE.CustomerCode4 = 2) THEN ' BAIXA DÍVIDA 2 - Baixo Risco' ELSE 'Não definido' END) as value FROM Bindings B INNER JOIN Customers C on C.CustomerID = B.CustomerID LEFT JOIN CustomerExtensions CE on B.CustomerID = CE.CustomerID LEFT JOIN DebtCustomExtensions DB ON B.DebtID = DB</t>
  </si>
  <si>
    <t>Identificado a necessidade de criação de: Produto tGuidance! - Tabela / Indece / Procedure / Job</t>
  </si>
  <si>
    <t>FLÁVIO ROBERTO DE FREITAS MIRANDA,PAULO CESAR DE SOUZA,ROBERTO MAGALHÃES DE OLIVEIRA</t>
  </si>
  <si>
    <t>DBSCTX101SPODB; DBSCTX104SPODA</t>
  </si>
  <si>
    <t>ATENÇÃO: Essa atividade deverá ser executada apenas quando a equipe de NGR - Aplicações solicitar a sua execução por parte da equipe CSE - DBA 1 - Efetuar a execução do script (Script tGuidance Orbitall - rollback);</t>
  </si>
  <si>
    <t>Alteração Fraseologia rentabilização</t>
  </si>
  <si>
    <t>OI-15134</t>
  </si>
  <si>
    <t>Modificar o tempo de SLA para os chamados do site Alegria</t>
  </si>
  <si>
    <t>MAIKEL JOEL DE SOUZA</t>
  </si>
  <si>
    <t>Realizar o update nos registros do bkp feito anteriormente. Executar testes técnicos/funcionais novamente.</t>
  </si>
  <si>
    <t>CTXSPOAL-112992</t>
  </si>
  <si>
    <t>Criação do cliente Banco do Brasil</t>
  </si>
  <si>
    <t>• Desabilitar as opções do cliente Banco do Brasil na tabela todo_cliente_operacao, coluna habilitado • Desabilitar as opções: o Aplicativo Contax do Banco do Brasil o Cliente Contax do Banco do Brasil • Substituir o velocity pela cópia gerada no passo anterior a substituição na seção procedimento que foi executado • Executar testes técnicos/funcionais novamente</t>
  </si>
  <si>
    <t>CTXSPOAL-113142</t>
  </si>
  <si>
    <t>Ajustar o WS responsável pela integração tCollect x NBA para identificar, através da validação do campo Regiao , se o registro encaminhado pelo NBA pertence a operação R1 ou R2 e assim direcionar a informação para o BD relacionado a cada uma das operaçoes respectivamente</t>
  </si>
  <si>
    <t>FABIANA HORA PAIXAO</t>
  </si>
  <si>
    <t>- Entrar nos servidores (10.170.61.60 / 10.171.61.60 / 10.170.61.78 / 10.171.61.78) testar acessos e validar acesso aos bds (10.55.14.11 / 10.171.2.103 / porta 1433), tirar evidências. - Estando tudo ok, seguir os passos abaixo: - parar o servidor Jboss 6.2 - Apagar arquivo \\10.170.61.60\c$\Todo\jboss-eap-6.2-port-8180\standalone\data\wsdl\barramento-nba-tcollect.war\service\log-chamada - renomear arquivo: de:\\10.170.61.60\c$\Todo\jboss-eap-6.2-port-8180\standalone\data\wsdl\barramento-nba-tcollect.war\service\log-chamada_retorno para: \\10.170.61.60\c$\Todo\jboss-eap-6.2-port-8180\standalone\data\wsdl\barramento-nba-tcollect.war\service\log-chamada</t>
  </si>
  <si>
    <t>OI 13947 Não permitir que o cliente oriundo do 3000 navegue na URA OI 13615 Interatividade para clientes que vieram do *3000 OI 15113 Cliente sem saldo disponível na M4u (3107), rentabilizar recarga programada. OI 15115 Novos bônus de internet para recarga</t>
  </si>
  <si>
    <t>OI 13947 , 13615 ,OI 15113 e OI 15115</t>
  </si>
  <si>
    <t>Inserção da Operação "Dir. Engenharia e Produção TI" para o Cliente Contax</t>
  </si>
  <si>
    <t>Desabilitar a opção Dir. Engenharia e Produção TI do cliente contax na tabela todo_cliente_operacao, coluna habilitado Desabilitar as opções: Egmud, Ecadop, VDNSKILL e GICS do campo sistema/categoria/subcategoria • Associar os usuários ao grupo Sistemas Corporativos – Soluções para o grupo Dev-Soluções • Desassociar os usuários do grupo Sistemas Corporativos – Soluções • Associar os usuários ao grupo Sistemas Corporativos para o grupo Dev-Zoom • Desassociar os usuários do grupo Sistemas Corporativos • Associar os usuários ao grupo Dev-BI, conforme print realizado no passo de procedimentos executados. • Substituir o velocity Velocity Requisição de Serviços Create Screen pela cópia feita no passo de procedimentos executados. • Substituir o script ScritpDistribuicaoRequisicaoDeServico.js pela cópia feita no passo de procedimentos executados. • Substituir o script ScritpDistribuicaoIncidentes.js pela cópia feita no passo de procedimentos executados. • Renomear a pasta conditional-fields para conditional-fields_NOVO • Renomear a pasta conditional-fields_YYYYMMDD para conditional-fields Executar testes técnicos/funcionais novamente</t>
  </si>
  <si>
    <t>CTXSPOAS-6122</t>
  </si>
  <si>
    <t>Criação de um novo local de trabalho no tprocess. Nome: CTXFORBTC - Contax Fortaleza Brasil Treine Center Este novo local só deve ter permissão para abertura de chamados como requisição de serviço e deve ser direcionado automaticamente para site-suporte campo. Este é um local de trabalho alocado fora da Contax (site treinamento).</t>
  </si>
  <si>
    <t>Excluir Local Criado e pastas criadas. Executar testes técnicos/funcionais novamente.</t>
  </si>
  <si>
    <t>CTXSPOAL-114797</t>
  </si>
  <si>
    <t>Atualização do Java no servidor EPM (URA Orbitall) IP 10.180.67.16</t>
  </si>
  <si>
    <t>EPMCTX101SPODA</t>
  </si>
  <si>
    <t>Retornar as variáveis de ambiente Retornar o arquivo profile original</t>
  </si>
  <si>
    <t>Migrar 2 VLANs do Site Alegria para o Site João Pessoa - Operação TAM</t>
  </si>
  <si>
    <t>LUIZ WASHINGTON GIANEZZI,MARCUS VINÍCIUS RUSTIGUER</t>
  </si>
  <si>
    <t>FWCCCTXSPODB001; FWDCTX01SPOAL; RTGRETAM001JPASACPD; RTGRETAM002JPASACPD; SWTCOR253ALG; SWTCOR254ALG; SWTCORE001JPASACPD; SWTCORE002JPASACPD; SWTCORE003JPASACPD; SWTDIS002ALGTC8; SWTDIS003ALGTC8; SWTDIS162ALGTC5; SWTDIS163ALGTC5</t>
  </si>
  <si>
    <t>Executar os comandos descritos no documento em anexo.</t>
  </si>
  <si>
    <t>Implantação de melhorias e atualizações na URA *144 Pré Pago. Implantação de demandas para alteração de mensagem de erro e cadastros de cartão de crédito para recargas, ajustes em fluxos da aplicação *144 Pré Pago, alteração de ofertas e melhorias na derivação de chamadas.</t>
  </si>
  <si>
    <t>OI-14887 / OI-15176 / OI-15200 / OI-15233</t>
  </si>
  <si>
    <t>Viabilizar alimentação elétrica para atender os computadores da nova área de R&amp;S no térreo do Alegria.</t>
  </si>
  <si>
    <t>As atividades serão imediatamente paralisadas se houver algum problema, e retomadas somente com solução do problema resolvido.</t>
  </si>
  <si>
    <t>SWTACE016PBOI-TC01A</t>
  </si>
  <si>
    <t>APPCTX105SPODB; DBSCTX09SPODB; DBSCTX102SPODB; DBSCTX103SPODB</t>
  </si>
  <si>
    <t>Realizar manutenção preventiva e corretiva no CHILLER que atende ao site LAPA.</t>
  </si>
  <si>
    <t>Validação e documentação de redundância dos links MPLS no site Luigi Amorese (João Pessoa e Antártica)/Execução de testes de fail over e captura de evidências.</t>
  </si>
  <si>
    <t>VIVO 00869930/ Algar 00028672</t>
  </si>
  <si>
    <t>Movimentar discador Aspect DCP2 para novo rack com objetivo de estruturar/organizar o cabeamento</t>
  </si>
  <si>
    <t>JOÃO PEREIRA DE SOUZA JUNIOR,LEANDRO ROCHA GONÇALVES</t>
  </si>
  <si>
    <t>DCP2</t>
  </si>
  <si>
    <t>Identificamos que alguns relatórios da OI e OI CO não estão sendo atualizados desde 07/05/2016. Para analise do problema é necessário para o serviço do analisys Services (CUBO) do servidor DBSCTX23SPODB. A principio, o simples fato de parar e iniciar o serviço ja é o suficiente para solucionar o problema.</t>
  </si>
  <si>
    <t>DBSCTX23SPODB</t>
  </si>
  <si>
    <t>Para este problema , não existe plano de retorno. Caso ocorra qualquer tipo de problema na hora de subir o serviço teremos que acionar o analista Microsoft para desistalar e instalar novamento o serviços analisys services.</t>
  </si>
  <si>
    <t>CTXMLTREG-7546</t>
  </si>
  <si>
    <t>Atualização de Service Pack no servidor CM 2 10.54.17.38 do último SP 02.1.016.4-21656 e Kernel e Sys-Plat. Por padrão é instalado o load do CM, SP e configurações do servidor. Tanto o Kernel quanto o Sys-Plat não são requeridos para o funcionamento do sistema, apenas recomendado e talvez por esse motivo um dos fields não tenha atentado a necessidade de aplicar uma vez que o outro servidor tinha sido instalado, ou seja, falha na execução.</t>
  </si>
  <si>
    <t>Conforme plano de ação inserido na mudança.</t>
  </si>
  <si>
    <t>Manutenção preventiva do GMG 440KVA com carga.</t>
  </si>
  <si>
    <t>Atualização crítica a ser aplicada em servidores listados como vulneráveis pela Segurança da Informação Contax, de acordo com o boletim MS14-066 e MS12-020.</t>
  </si>
  <si>
    <t>APPCTX77SPOAL.contax-br.contax.root; APPCTX78SPOAL.contax-br.contax.root; URACTX02SPOAL.contax-br.contax.root; URACTX03SPOAL.contax-br.contax.root; URACTX04SPOAL.contax-br.contax.root</t>
  </si>
  <si>
    <t>CTXSPOAL-110577</t>
  </si>
  <si>
    <t>BRSPOAL001.dedic-br.dedic.corp; brspoal003.dedic.corp; BRSPOAL401.ngcc.dedic-br.dedic.corp</t>
  </si>
  <si>
    <t>CTXSPOAL-113355</t>
  </si>
  <si>
    <t>BRSPOAL001.dedic-br.dedic.corp; BRSPOAL003.dedic.corp; BRSPOAL401.ngcc.dedic-br.dedic.corp; SDCCTX03SPOAL.contax-br.contax.root; SDCCTX05SPOAL.contax-br.contax.root; SDCTDO01SPOAL.todo.root; SDCTDO02SPOAL.todo.root; SDCTDO03SPOAL.todocorp.todo.root; SDCTDO04SPOAL.todocorp.todo.root; SDCTDO05SPOAL.todocorp.todo.root</t>
  </si>
  <si>
    <t>sdcctx01forbm; sdcctx01forna; sdcctx02forbm; sdcctx02forna</t>
  </si>
  <si>
    <t>Limpeza de objetos de computador obsoletos nos domínios contax-br, callcorp, itau-ubb, ngcc e dedic-br</t>
  </si>
  <si>
    <t>Habilitar novamente objetos que ao longo do processo tenham apresentado a necessidade de estarem ativos.</t>
  </si>
  <si>
    <t>• OI-15232 CTXMLTREG-7522 - INVESTIGATIVO - FIXA (10331) Falha na entrega de Variavel "URA_MAILING_R2" para APP PreRouting • OI-15251 TRNIDs incorretos</t>
  </si>
  <si>
    <t>1- Executar a GMUD, às 16:00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"Item de configuração". 4- Executar o deploy da aplicação em um servidor de cada vez da nova versão do pacote em produção. 5-Ao término da Implantação, buscar o log da chamada via NGR Monitor, apurando se não há nenhuma falha registrada, seja ela de Aplicação, Telefonia, Legado ou Context</t>
  </si>
  <si>
    <t>CTXMLTREG-7522</t>
  </si>
  <si>
    <t>Disponibilizar melhorias no sistema Perficall.</t>
  </si>
  <si>
    <t>CTXRECSA-476612</t>
  </si>
  <si>
    <t>Preventiva Energ sem carga do gerador Stemac 305 KVA - Site Augusta.</t>
  </si>
  <si>
    <t>CORRIGIR PROBLEMA DE CONVERSÃO DE TELEFONES NEXTEL.</t>
  </si>
  <si>
    <t>Atualizar os campos de Incidentes para o cliente Leader Magazine.</t>
  </si>
  <si>
    <t>- Desabilitar as options na tabela todo cliente_operacao - Executar testes técnicos/funcionais novamente.</t>
  </si>
  <si>
    <t>CTXSPOAL-113165</t>
  </si>
  <si>
    <t>Atualizar os campos de Incidentes para o cliente Citibank.</t>
  </si>
  <si>
    <t>Desativar options criadas na tabela todo_cliente_operacao. Executar testes técnicos/funcionais novamente.</t>
  </si>
  <si>
    <t>CTXSPOAL-113149</t>
  </si>
  <si>
    <t>Implantação de projeto e melhoria na aplicação RACO. Projeto: Objetivo da Solução: Permitir opção de cancelamento via URA RACO para atender a nova Regulamentação da Anatel (RGC). Melhoria: mensurar o tempo de consulta à todas as interfaces que a aplicação do RACO realiza. O Objetivo é saber quanto tempo durou cada consulta para podermos solicitar melhorias nas interfaces.</t>
  </si>
  <si>
    <t>LUCIANA MARTINS CARVALHO</t>
  </si>
  <si>
    <t>RAPHAEL GONCALVES COUTO</t>
  </si>
  <si>
    <t>Adicionar os clientes abaixo no campo Cliente/Operação e adicionar novos opções no campo Serviço afetado de acordo com os clientes - Lafê - Globo - Prefeitura do RJ - Fundação Atlantico - NET - Souza Cruz - Claro</t>
  </si>
  <si>
    <t>- Desabilitar via banco de dados os Clientes criados - Excluir do campo Serviço Afetado / Tipo / Sintoma as opções criadas - Voltar o backup do Velocity Incidentes Create Screen - Voltar backup do Workflow de Incidentes - Executar testes técnicos/funcionais novamente.</t>
  </si>
  <si>
    <t>CTXSPOAL-113158 e CTXSPOAL-113169</t>
  </si>
  <si>
    <t>Implantação de melhoria e atualização da aplicação OCTUNIFICADA Projeto: 9º Dígito - Inclusão DDDs 6x</t>
  </si>
  <si>
    <t>appctx04forbm; appctx08spobf; APPCTX185SPODB; appctx22rjomk; APPCTX250SPODB; APPCTX254SPODB; APPCTX265SPODB; APPCTX43SPOAL; APPCTX441SPODB; APPCTX44SPOAL; APPCTX45SPOAL; APPCTX53SPOAL; APPCTX59SPOAL; appoim99spoal; apptdo05spoas; apptlm03forbm; BKPCTX01RJOED; CTMCTX101SPODB; dbsctx00spobf; DBSCTX09SPOBF; DBSCTX121SPODB; DBSCTX125SPODB; DBSCTX132SPODB; DBSCTX133SPODB; DBSCTX139SPODB; DBSCTX140SPODB; DBSCTX141SPODB; DBSCTX145SPODB; DBSCTX150SPODB; DBSCTX22NITSP; DBSCTX25NITSP; DBSCTX27NITSP; DBSCTX27SPODB; DBSTDO19SPOAS; DBSTDO26SPOAS; DBSTDO27SPOAS; DBSTDO71SPOAS; DBSTDO72SPOAS; DEVCTX01SPOAL; DEVCTX102SPODB; DEVCTX107SPODB; DEVCTX201SPODB; DEVCTX202SPODB; DHCCTX102SPODB; DHCCTX103SPODB; ECHCTX02SPODB; FAXCTX03SPOBF; fesctx01nitsp; HOMCTX102SPODB; LOGCTX04RECAU; MONCTX01SPODB; MONCTX02SPODB; uratlm11forbm; WEBCTX204SPODB</t>
  </si>
  <si>
    <t>Implantação de melhoria e atualização da aplicação *144 Pós Pago. Projeto: Projeto 9º Dígito - Inclusão DDDs 6x</t>
  </si>
  <si>
    <t>VIVO 00869928 / RJO8613815</t>
  </si>
  <si>
    <t>Manutenção preventiva com carga geradores Stemac Boa Viagem.</t>
  </si>
  <si>
    <t>Geradores Stemac Boa Viagem</t>
  </si>
  <si>
    <t>Alteração de layout do arquivo raw gerado pelo CRM Gestão.</t>
  </si>
  <si>
    <t>Retornar backup efetuados.</t>
  </si>
  <si>
    <t>CTXMLTREG-7410</t>
  </si>
  <si>
    <t>Manutenção corretiva, Transporte vertical, substituição de 01 Compressor e 02 Serpentinas do Chiller 01 de 100TR localizados na cobertura 69</t>
  </si>
  <si>
    <t>Chiller Hitachi 100TR</t>
  </si>
  <si>
    <t>Após testes funcionais o técnico retorna todo sistema e Se houver algum imprevisto será cancelado o serviço imediatamente.</t>
  </si>
  <si>
    <t>Garantir funcionalidade dos circuitos que alimentam Telemática das operações Santander e Bradesco</t>
  </si>
  <si>
    <t>FELIPE RUBINATO DA HORA,PAULO ROBERTO RIBEIRO DE LIMA</t>
  </si>
  <si>
    <t>Garantir a total disponibilidade e confiabilidade do sistema de contingência de energia estabilizada do Site/Executar manutenção preventiva trimestral sem desligamento em 02(dois) no-breaks Eaton que atende o CPD do Site Fortaleza CE;</t>
  </si>
  <si>
    <t>Garantir a total disponibilidade e confiabilidade do sistema de contingência de energia estabilizada do Site/Executar manutenção Preventiva Trimestral sem desligamento em 03(dois) no-breaks Eaton que atendem as operações e CPD do Site Nascente CE;</t>
  </si>
  <si>
    <t>Garantir total confiabilidade e disponibilidade do sistema de contingência de energia elétrica do Site/Executar manutenção Preventiva Mensal em 05 (Cinco) Grupos Geradores de Energia.</t>
  </si>
  <si>
    <t>Garantir total confiabilidade e disponibilidade do sistema de contingência de energia elétrica do Site/Executar manutenção Preventiva Mensal em 01 (Um) Grupo Gerador de Energia.</t>
  </si>
  <si>
    <t>Manutenção preventiva nos Nobreaks 120kva (Com parada) e 150kva localizados no prédio anexo, 3x50kva DPA localizado no 2°andar principal atende CPD e 30kva localizado no 8°andar principal.</t>
  </si>
  <si>
    <t>Atualizar versão do tClock todo! da Release 115 para a Release 119. Release 115: Assinatura Digital (com itens de homologação exceto Data limite para aprovação ); Log de alteração de senha pelo totem (item da segurança da informação);Limitar a tentativa de logins por senha incorreta (item da segurança da informação – ESTARÁ DESABILITADA);Limitação de relatórios (mostrar mensagem e limitar os casos que foram eleitos como ofensores); Release 116: Mensagem para perfil com acesso apenas de Leitura; Bloqueio de ponto sem saída para período travado; Tela de Conceder Liberação (MVC); Trava de Fechamento (MVC); Gerenciar Motivo (MVC); Feriado (MVC); Cadastro de tempo de pausa (MVC); Justificativa de Marcação - Retirada dos valores default; Release 117: Tela de Parâmetros; Tela de Gerenciar Pausa; Exportação por Período; Release 118: Reclassificações de registro de ponto; Trava de Fechamento; Melhorar tela de filtro de relatório; Abono em Lote; Mensagem na tela de login "Aviso"; Afastamento que não Gera HE; Controle de Acesso aos Menus - Melhoria MVC; Tela de Filtro de Relatórios; Release 119: Gerenciamento de Acordos (Termo de Aceite);Relatório de Aceites aos Acordos; Aceitando Acordos (Termos de Aceite);Espelho de Ponto em HTML</t>
  </si>
  <si>
    <t>APPTDO01SPODB; APPTDO02SPODB; DBSTDO01SPODB</t>
  </si>
  <si>
    <t>Manutenção preventiva GMG site Antartica.</t>
  </si>
  <si>
    <t>Bradesco,Ticket Serviços S/A,VIVO</t>
  </si>
  <si>
    <t>STOP/START Full Plataforma Aspect CE - Manutenlçao preventiva na plataforma Aspect 6.7 CE, com intuito de minizar instabilidades e indisponibilidades no sistema.</t>
  </si>
  <si>
    <t>CORCTX01FOR|BM; EXPCTX01FORBM; EXPCTX02FORBM; EXPCTX03FORBM; EXPCTX04FORBM; PDMCTX01FORBM; RECCTX01FORBM</t>
  </si>
  <si>
    <t>Inclusão do score_pgt espontâneo no arquivo raw da operação PJ R2, inclusão de novo campa para RAW que é carregado no discador.</t>
  </si>
  <si>
    <t>1 - conectar no servidor 10.55.14.13 pelo query analyzer 2 -Executar script USE [FTStage] GO /****** Object: StoredProcedure [dbo].[FormatDataExchange_DialingUnifiedIPExport] Script Date: 04/25/2012 10:19:19 ******/ SET ANSI_NULLS ON GO SET QUOTED_IDENTIFIER ON GO ALTER PROCEDURE [dbo].[FormatDataExchange_DialingUnifiedIPExport](@BatchID INT) AS BEGIN SET NOCOUNT ON DECLARE @ReferenceDate SMALLDATETIME SELECT @ReferenceDate = GETDATE() --&gt; File Details IF NOT EXISTS ( SELECT top 1 * FROM dbo.DataExchange_DialingUnifiedIPExport_RawData AS CM WHERE CM.BatchID = @BatchID ) BEGIN INSERT DataExchange_DialingUnifiedIPExport_RawData (BatchID, LoadSequenceKey, RecordCode, RawData) SELECT @BatchID AS BatchID, M.LoadSequenceKey, 1 AS RecordCode, dbo.NumPad(M.StrategyItemID, 10) + dbo.NumPad(M.StrategyID, 10) + dbo.NumPad(M.BindingID, 10) + dbo.CharPad(IsNull(m.Name,''), 160) + dbo.NumPad(M.CPFIdentityNumber, 15) + dbo.NumPad(IsNull(m.CustomerId, 0), 10) + CASE WHEN M.PhoneNumber1 0 THEN dbo.NumPad(M.PhoneArea1, 2) + dbo.CharPad(M.PhoneNumber1, 9) ELSE REPLICATE(' ', 11) END + CASE WHEN M.PhoneNumber2 0 THEN dbo.NumPad(M.PhoneArea2, 2) + dbo.CharPad(M.PhoneNumber2, 9) ELSE REPLICATE(' ', 11) END + CASE WHEN M.PhoneNumber3 0 THEN dbo.NumPad(M.PhoneArea3, 2) + dbo.CharPad(M.PhoneNumber3, 9) ELSE REPLICATE(' ', 11) END + CASE WHEN M.PhoneNumber4 0 THEN dbo.NumPad(M.PhoneArea4, 2) + dbo.CharPad(M.PhoneNumber4, 9) ELSE REPLICATE(' ', 11) END + CASE WHEN M.PhoneNumber5 0 THEN dbo.NumPad(M.PhoneArea5, 2) + dbo.CharPad(M.PhoneNumber5, 9) ELSE REPLICATE(' ', 11) END + CASE WHEN M.PhoneNumber6 0 THEN dbo.NumPad(M.PhoneArea6, 2) + dbo.CharPad(M.PhoneNumber6, 9) ELSE REPLICATE(' ', 11) END + CASE WHEN M.PhoneNumber7 0 THEN dbo.NumPad(M.PhoneArea7, 2) + dbo.CharPad(M.PhoneNumber7, 9) ELSE REPLICATE(' ', 11) END + CASE WHEN M.PhoneNumber8 0 THEN dbo.NumPad(M.PhoneArea8, 2) + dbo.CharPad(M.PhoneNumber8, 9) ELSE REPLICATE(' ', 11) END + CASE WHEN M.PhoneNumber9 0 THEN dbo.NumPad(M.PhoneArea9, 2) + dbo.CharPad(M.PhoneNumber9, 9) ELSE REPLICATE(' ', 11) END + CASE WHEN M.PhoneNumber10 0 THEN dbo.NumPad(M.PhoneArea10, 2) + dbo.CharPad(M.PhoneNumber10, 9) ELSE REPLICATE(' ', 11) END + dbo.CharPad(IsNull(m.Branch, ''), 20) --+ dbo.NumPad(IsNull(m.Segment, 0), 10) + dbo.CharPad(IsNull(m.Segment, ''), 50) + dbo.CharPad(IsNull(m.Leveraged, ''), 1) + dbo.NumPad(IsNull(m.Age, 0), 10) + dbo.NumPad(IsNull(m.Time, 0), 10) + dbo.CharPad(IsNull(m.Beha, ''), 20) + dbo.NumPad(IsNull(m.Dcpf, 0), 1) + dbo.NumPad(IsNull(m.DebtTotalBalance, 0) * 100, 12) + dbo.CharPad(IsNull(m.ExpenditureSegment, ''), 20) + dbo.NumPad(IsNull(m.BuiltinClaim, 0), 2) + dbo.CharPad(IsNull(m.CompanyName, ''), 11) + case when m.CbTime is null then replicate(' ', 19) else Convert(varchar(19), m.cbTime, 20) end + dbo.NumPad(IsNull(m.CampaignId, ''), 10) + case when m.LastTrackingModificationDate is null then replicate(' ', 19) else Convert(varchar(19), m.LastTrackingModificationDate, 20) end + dbo.CharPad(IsNull(m.SpontaneousPaymentScore, 0), 16) + case when m.LastRightPersonContactDate is null then replicate(' ', 19) else Convert(varchar(19), m.LastRightPersonContactDate, 20) end + case when m.LastEffectiveContactDate is null then replicate(' ', 19) else Convert(varchar(19), m.LastEffectiveContactDate, 20) end + dbo.CharPad(ISNULL(M.Cluster, '')</t>
  </si>
  <si>
    <t>Implantação de melhorias e atualizações na URA *144 Pré Pago. Implantação de demandas para ajustes de código da M4U para ajuste na recarga programada e criação de novos pontos de derivação para clientes fone OI.</t>
  </si>
  <si>
    <t>OI-15178/OI-15248</t>
  </si>
  <si>
    <t>Não há.</t>
  </si>
  <si>
    <t>DESENTUPIMENTO DE DRENO DA MÁQUINA DE PRECISÃO DIAMONT DO CPD</t>
  </si>
  <si>
    <t>- VOLTAR COM A OPERAÇÃO DA MÁQUINA COM MANGUEIRA NO DRENO.</t>
  </si>
  <si>
    <t>Release URA USSD OI 14873 Exclusão check "Limite Recarga programada" Customer OI 15309 Acrescentar campos aos logs USSD OI 15088 Atualização serviço SVA planilha serviços / tabela financeira OI 15302 Incentivo a recarga através de bônus de internet</t>
  </si>
  <si>
    <t>Reinicialização de Servidor DC para sanar erros de replicação.</t>
  </si>
  <si>
    <t>SDCCTX01SPOAS; SDCCTX106SPODB</t>
  </si>
  <si>
    <t>OI MÓVEL - Postagem da Campanha Mães 2016, cancelamento em massa e renegociação das negociações visões boleto.</t>
  </si>
  <si>
    <t>RAPHAEL ANDRÉ MARCANDIER GONÇALVES</t>
  </si>
  <si>
    <t>Restart dos loggers NGR com mais de 300 dias sem restart</t>
  </si>
  <si>
    <t>JOÃO LUCAS ZEATO DE MELO GUSMÃO</t>
  </si>
  <si>
    <t>grvctx02bsbpa; grvctx02poapa; grvctx03forpa; grvctx03poapa; grvctx04rjopb; GRVCTX05BHZPA; grvctx05rjopb; GRVCTX05SPOPA; grvctx06rjopb; GRVCTX07RJOPA</t>
  </si>
  <si>
    <t>Não existe</t>
  </si>
  <si>
    <t>Implantação de melhoria e atualização da aplicação URA10331UNIFICADA Projeto: 9º Dígito - Inclusão DDDs 6x</t>
  </si>
  <si>
    <t>Ativar Links BGP com a ALMAVIVA (TAM)</t>
  </si>
  <si>
    <t>FWCCCTXSPODB001</t>
  </si>
  <si>
    <t>- FWCCCTXSPODB001 - 10.171.207.100 rollback X (Verificar último rollback válido)</t>
  </si>
  <si>
    <t>Manutenção do banco de dados 10.67.150.95 - Reindex de 69 índices com alto nível de fragmentação.</t>
  </si>
  <si>
    <t>dbsctx01salpb</t>
  </si>
  <si>
    <t>Caso haja a necessidade de rollback, haverá disponível o backup no diretório "E:\Backup_Bases_de_Dados" do servidor de banco de dados 10.67.150.95.</t>
  </si>
  <si>
    <t>CTXSALPB-66352</t>
  </si>
  <si>
    <t>Validação e documentação de redundância dos links MPLS no site Luigi Amorese/Joao Pessoa Execução de testes de fail over e captura de evidências.</t>
  </si>
  <si>
    <t>VIVO 00869930 / Algar 00028672</t>
  </si>
  <si>
    <t>Atividade parar inicio da implantação projeto de eficiência energética para o site Alegria, iniciando com a instalação de analisador de rede e analisadores de aterramento.</t>
  </si>
  <si>
    <t>Intermédica,Santander,TAM</t>
  </si>
  <si>
    <t>Dir. Clientes Especiais,Dir. Clientes Premium,Dir. Televendas</t>
  </si>
  <si>
    <t>Atualizar tabela das aplicações de roteamento na base de dados do ICR - ALPHAVILLE (Escopo das Aplicações Empresarial Móvel e Fixa)</t>
  </si>
  <si>
    <t>• CTXRJOMK-143161 • CTXRJOMK-143160</t>
  </si>
  <si>
    <t>Manter a confiabilidade dos sitema /CPD do Site Mauá será desligado para implatação do projeto</t>
  </si>
  <si>
    <t>Quadros eletrico</t>
  </si>
  <si>
    <t>Equipe de TI religando os equipamentos do CPD</t>
  </si>
  <si>
    <t>Manutenção preventiva UPS</t>
  </si>
  <si>
    <t>Bradesco,Santander,VIVO</t>
  </si>
  <si>
    <t>Manutenção preventiva sem carga gerador Stemac 210 KVA</t>
  </si>
  <si>
    <t>Gerador Stemac Fonte Nova</t>
  </si>
  <si>
    <t>Manutenção preventiva gerador Leon Heimer 210 KVA Fonte Nova</t>
  </si>
  <si>
    <t>Gerador Leon Heimer</t>
  </si>
  <si>
    <t>Realizar manutenção corretiva com troca de exaustor do no break 2 que atende as operações da torre I</t>
  </si>
  <si>
    <t>Itaú,Net,Oi</t>
  </si>
  <si>
    <t>No break</t>
  </si>
  <si>
    <t>Caso haja qualquer imprevisto realizaremos as manobras de retorno para normalização dos equipamentos.</t>
  </si>
  <si>
    <t>Manutenção corretiva</t>
  </si>
  <si>
    <t>Dir. Clientes Premium,Dir. de Produtos Financeiros,Dir. Oi,Dir. Televendas</t>
  </si>
  <si>
    <t>Realizar a limpeza de dois tanques aéreos de diesel que alimentam os geradores do sie Santo Amaro.</t>
  </si>
  <si>
    <t>Caso haja algum problema realizaremos o abastecimento externo dos tanques.</t>
  </si>
  <si>
    <t>Limpeza de tanques de diesel</t>
  </si>
  <si>
    <t>Dir. Clientes Premium,Dir. Cobrança,Dir. Oi,Dir. Televendas</t>
  </si>
  <si>
    <t>Upgrade do host esxi vshctx101spodb para versão 5.5 (VMWARE)</t>
  </si>
  <si>
    <t>grvctx101spodb; grvctx115spodb</t>
  </si>
  <si>
    <t>vshctx101spodb</t>
  </si>
  <si>
    <t>Caso a instalação da atualização venha a dar problemas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t>
  </si>
  <si>
    <t>Executar a substituição dos retificadores de tensão 48Vcc que apresentam falhas.</t>
  </si>
  <si>
    <t>Janela de manutenção de um especialista de campo Avaya para o POP ARCOS para execuções de rotinas de diagnósticos no hw SBCPCTXRJOPA001 para eventos de Switch Over.</t>
  </si>
  <si>
    <t>SBCPCTXRJOPA001</t>
  </si>
  <si>
    <t>Não haverá necessidade de Rollback pois ocorrerá somente ace...</t>
  </si>
  <si>
    <t>: ***AVAYA*** 1-11908123822 / Switchover pop Arcos</t>
  </si>
  <si>
    <t>desativação da placa de rede dos servidores que serão futuramente desligados do CPD da Al. Santos. Esses servidores devem ficar com a placa desativada até 16/06/2016 para depois passar pelo processo de desativação total.</t>
  </si>
  <si>
    <t>EDER LUIZ HERRERO,JOSE GERALDO DA SILVA DOS SANTOS</t>
  </si>
  <si>
    <t>APPTDO02SPOAS; APPTDO04SPOAS; APPTDO05SPOAS; APPTDO13SPOAS; APPTDO14SPOAS; APPTDO27SPOAS; APPTDO28SPOAS; APPTDO30SPOAS; APPTDO32SPOAS; APPTDO33SPOAS; APPTDO35SPOAS; APPTDO36SPOAS; APPTDO37SPOAS; APPTDO38SPOAS; APPTDO39SPOAS; APPTDO42SPOAS; APPTDO48SPOAS; APPTDO49SPOAS; CISCOLMS; DBSTDO12SPOAS; DBSTDO17SPOAS; DBSTDO19SPOAS; DBSTDO20SPOAS; DBSTDO26SPOAS; DBSTDO27SPOAS; DESTDO01SPOAS; EASTDO01FLNJC; EASTDO02FLNJC; EXCTDO01SPOAS; HML001-AD-LAB; HML002-APP3; HML003-TMG; HML004-APP1; HML005-APP2; HML006-Template 2k3; HML007-APP4; HMLTDO01SPOAS; HMLTDO02SPOAS; HMLTDO05SPOAS; HMLTDO06SPOAS; HMLTDO07SPOAS; HMLTDO08SPOAS; HMLTDO09SPOAS; HMLTDO10SPOAS; HMLTDO11SPOAS; HMLTDO12SPOAS; HMLTDO13SPOAS; HMLTDO14SPOAS; HMLTDO15SP; HMLTDO15SPOAS; HMLTDO16SP; HMLTDO16SPOAS; HMLTDO17SPOAS; HMTDO18SPOAS; HMTDO19SPOAS; HOMOLOGANICE; SAOLX062; SAOW3CABOXI01; SAOW3CASDDB02; SAOW3DBDS01; SAOW3PFS02; SAOW3RPT01; SPOAPTDPVE79319-WORKSTATION; Talentos; TSTARC01TD; VPNTDO01SPOAS; VSSTDO01SPOAS; WDSTDO01SPOAS; XP-PRO</t>
  </si>
  <si>
    <t>Em caso de necessidade da reativação de alguma máquina virtual especifica podemos reestabelecer a conexão com o seguinte procedimento também listado no Anexo da Gmud na etapa 3. Plano de Rollback.</t>
  </si>
  <si>
    <t>Efetuar a troca do disco 7 no servidor que apresenta falha</t>
  </si>
  <si>
    <t>FERNANDO SOUZA DOS REIS</t>
  </si>
  <si>
    <t>DANIEL DE LIMA PEREIRA,FERNANDO SOUZA DOS REIS</t>
  </si>
  <si>
    <t>BRSPOLP013</t>
  </si>
  <si>
    <t>Não se aplica pois o disco com falha está inutilizado</t>
  </si>
  <si>
    <t>CTXSPOLP-117637</t>
  </si>
  <si>
    <t>manutenção preventiva sem desligamento NO- BREAKS LESTUNG, site Boa Viagem.</t>
  </si>
  <si>
    <t>NO BREAKS LEISTUNG</t>
  </si>
  <si>
    <t>O equipamento já estará em modo automático apto para segurar as cargas numa falta de energia.</t>
  </si>
  <si>
    <t>Gerado Stemac</t>
  </si>
  <si>
    <t>Implantação de melhoria e atualização da aplicação *144 Pre Pago. Projeto: Projeto 9º Dígito - Inclusão DDDs 6x</t>
  </si>
  <si>
    <t>OI-15217</t>
  </si>
  <si>
    <t>Disponibilização do módulo SIGATAF para geração do SPED CONTABIL FISCAL - ECF</t>
  </si>
  <si>
    <t>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t>
  </si>
  <si>
    <t>Remoção do Antivírus Symantec e Instalação do McAfee, e reboot dos Servidores para atualização de Path.</t>
  </si>
  <si>
    <t>APPCTX01POARB; APPCTX02RJONT; APPCTX04RJONT; APPCTX06RJONT; APPCTX07RJONT; APPCTX08RJONT; APPCTX11NITSP; APPCTX12NITSP; appctx13apolp; APPCTX13RJONT; APPCTX14RJONT; APPCTX15NITSP; APPCTX16SPOAL; appctx17poarb; APPCTX17SALAS; APPCTX337SPODA; APPCTX338SPODA; APPCTX401SPODA; APPCTX66NITSP; appnet16poarb; APPTDO38SPOAS; APPTDO39SPOAS; APPTDO50SPOAS; BKPCTX01SALLM; BKPCTX03NITSP; BKPCTX03SPODA; BRCASQC130; BRCASQC131; BRCASQC134; BRCASQC139; CCSCTX01SPODB; CCSCTX02SPODB; CCSCTX03SPODB; CHHCTX01SPODB; CTSCTX02SPODB; CTSCTX03SPODB; CTSCTX04SPODB; CTSCTX05SPODB; CTSCTX06SPODB; CTSCTX08SPODB; CTSCTX09SPODB; DBSCTX01POARB; DBSCTX01SALAS; DBSCTX02CITSA; DBSCTX02POARB; DBSCTX03SPOBF; DBSCTX06SPOLP; DBSCTX09SPODB; DBSCTX105SPOLP; DBSCTX10SPODB; DBSCTX11SPODB; DBSCTX12SPODB; dbsctx13spolp; dbsctx14spolp; DBSCTX207SPODB; DBSCTX299SPODB; DBSCTX47SPOLP; dbsctx51spolp; DBSCTX55SPOLP; DBSCTX70SPOLP; DBSCTX77SPOLP; dbsctxb01spolp; DBSCTXG01SPOLP; dbsoim01spolp; DBSTDO01SPODB; DFSCTX01SPODB; FESCTX16SPODA; FESCTX27SPODB; FESCTX35SPODA; FESCTX36SPODA; FESCTX37SPODA; FESCTX38SPODA; FESCTX39SPODA; FESCTX40SPODA; fSSTDO01SPOAS; HMLCRS01SPOBF; HMLCTX11SPOLP; MONCTX02SPODA; SDCCTX02CITSA; SDCCTX03SALLM; sdcctx04poarb; SDCCTX07SALAS; svcctx01poarb</t>
  </si>
  <si>
    <t>Baixar os serviços do servidor 10.170.61.15 e subir novamente.</t>
  </si>
  <si>
    <t>FESCTX08SPODA</t>
  </si>
  <si>
    <t>Subir o serviço novamente.</t>
  </si>
  <si>
    <t>Implantação da Release 20160523 Empresarial FUO-810 Levantamento de todos os parametros da URA FUO-830 Cliente TOP Pequenas Empresas FUO-837 Cliente Chip Oi R2 FUO-842 Alteração Informa protocolo e tratamento para clientes moveis Triagem Cont</t>
  </si>
  <si>
    <t>Migração de 60 licenças do TLV da operação SOC GFE para a operação SOC Off-Lines, conforme abaixo: CTXTV070 -&gt; De: 530 Para: 470 CTXTV071 -&gt; De: 302 Para: 362</t>
  </si>
  <si>
    <t>Não há possibilidade de retorno para esta GMUD, visto que as chaves anteriores à troca (chaves atuais) irão expirar no dia 20/05, deixando de valer após esta data. Qualquer problema na aplicação das chaves deverá ser reportada ao fornecedor para envio de novas licenças.</t>
  </si>
  <si>
    <t>CTXRJOMA-80834</t>
  </si>
  <si>
    <t>Implantação da Release 20160523 Televendas FUO-843 - Captura Numero Televendas Varejo. Essa demanda tem como objetivo a inserção de um parâmetro que habilitará a captura do numero do cliente. Esse parâmetro iniciará desativado. FUO-845 - Novo Cliente Controle - Pré Pago. Essa demanda tem como objetivo a inserção de uma validação para clientes pré-pagos no início da rotina OiControle.</t>
  </si>
  <si>
    <t>Gerar postagem para novo lote de boletos da Campanha MÃES 2016 - Operação CD Móvel R1</t>
  </si>
  <si>
    <t>Alterar roteamento para novo Grupo HSRP da TAM, para os Sites João Pessoa e ALMAVIVA</t>
  </si>
  <si>
    <t>Retornar roteamento para rede TAM. Firewall 10.171.207.100 - Configuração: del routing-instances TAM routing-options static route 0.0.0.0/0 next-hop 10.152.6.21 set routing-instances TAM routing-options static route 0.0.0.0/0 next-hop 10.152.6.30 commit and quit</t>
  </si>
  <si>
    <t>Implementar o 9 digito nas operações de cobrança para os seguintes DDD's: 61,62,63,64,65,66,67,68,69</t>
  </si>
  <si>
    <t>ALEXANDRE BASTOS CORREA,GUSTAVO RODRIGUES DE ORNELAS SILVA</t>
  </si>
  <si>
    <t>cssqloiregiao2; CSSQLOIVAREJO; dbsctx02forbm; dbsctx07forbm; dbsctx08bhzri; DBSCTX173SPODB; dbsctx179spodb; dbsctx18forbm; DBSCTX193SPODB; dbsctx44forbm</t>
  </si>
  <si>
    <t>No caso de Falha na realização da atualização do servidor 10.16.1.147 , BD TLM_Cobranca_MF_REL, restaurar o Backup do BD TLM_Cobranca_MF_REL. No caso de Falha na realização da atualização do servidor 10.16.1.237 , BD BrtCampanhaFixa_GC, restaurar o Backup do BD BrtCampanhaFixa_GC. No caso de Falha na realização da atualização do servidor 10.16.1.237 , BD BrtCampanhaFixa_Cobranca, restaurar o Backup do BD BrtCampanhaFixa_Cobranca. No caso de Falha na realização da atualização do servidor 10.16.1.229 , BD BrtCampanhaFixa_Cobranca_Rel, restaurar o Backup do BD BrtCampanhaFixa_Cobranca_Rel. No caso de Falha na realização da atualização do servidor 10.16.1.229 , BD BRTEscob_Cobranca_Rel, restaurar o Backup do BD BRTEscob_Cobranca_Rel. No caso de Falha na realização da atualização do servidor 10.16.1.131 , BD BRTEscob_GC, restaurar o Backup do BD BRTEscob_GC. No caso de Falha na realização da atualização do servidor 10.16.1.131 , BD BRTEscob_Cobranca, restaurar o Backup do BD BRTEscob_Cobranca. No caso de Falha na realização da atualização do servidor 10.16.1.131 , BD BRTBPI_Cobranca, restaurar o Backup do BD BRTBPI_Cobranca. No caso de Falha na realização da atualização do servidor 10.16.1.131 , BD BRTBPI_GC, restaurar o Backup do BD BRTBPI_GC. No caso de Falha na realização da atualização do servidor 10.16.1.152 , BD OiTv_Cobranca, restaurar o Backup do BD OiTv_Cobranca. No caso de Falha na realização da atualização do servidor 10.55.14.11 , BD FTContacts, restaurar o Backup do BD FTContacts. No caso de Falha na realização da atualização do servidor 10.55.14.13 , BD FTContacts, restaurar o Backup do BD FTContacts. No caso de Falha na realização da atualização do servidor 10.55.14.20 , BD FTContacts, restaurar o Backup do BD FTContacts. No caso de Falha na realização da atualização do servidor 10.171.2.76 , BD FTContacts, restaurar o Backup do BD FTContacts. No caso de Falha na realização da atualização do servidor 10.171.2.82 , BD FTContacts, restaurar o Backup do BD FTContacts. No caso de Falha na realização da atualização do servidor 10.171.2.103, BD FTContacts, restaurar o Backup do BD FTContacts.</t>
  </si>
  <si>
    <t>Migração de servidor de homologação - Operação REDE</t>
  </si>
  <si>
    <t>A alteração no novo servidor de homologação envolverá apenas a alteração do nome de HOST, este servidor não é de produção, e todo seu ambiente poderá ser recriado pelo fornecedor Ayty CRM caso haja necessidade.</t>
  </si>
  <si>
    <t>OI 15184 Incentivo Recarga Pacotes Sem Saldo. OI 15112 ACM Alterações Campanha ID01</t>
  </si>
  <si>
    <t>OI 15184 OI 15112</t>
  </si>
  <si>
    <t>Restabelecer NETLOGON nos servidor SDCCTX02RJOMA e SDCCTX01SPOQS.</t>
  </si>
  <si>
    <t>sdcctx01spoqs; sdcctx02rjoma</t>
  </si>
  <si>
    <t>Em caso de falhas lógicas deve ser solicitado ao time local o apoio na reinstalação da máquina.</t>
  </si>
  <si>
    <t>Demanda: Reposicionar check de TUP para antes do check de Corporativo URA 10331 UNIFICADA</t>
  </si>
  <si>
    <t>OI-15293</t>
  </si>
  <si>
    <t>Realizar manutenção preventiva no GMG site Lapa</t>
  </si>
  <si>
    <t>Bradesco,VIVO</t>
  </si>
  <si>
    <t>Manutenção corretiva emergencial No-brea</t>
  </si>
  <si>
    <t>Equipamento está em by-pass</t>
  </si>
  <si>
    <t>Atualizar a versão de RTI nas maquinas da operação NET</t>
  </si>
  <si>
    <t>BRUNO TEODORO LEANDRO</t>
  </si>
  <si>
    <t>Voltar a solução antiga de RTI para as maquinas da operação NET</t>
  </si>
  <si>
    <t>Migrar as FSMOs do domínio citicontax para os DCs Windows 2008 R2.</t>
  </si>
  <si>
    <t>SDCCIT02RJOMA; SDCCTX01CTISP</t>
  </si>
  <si>
    <t>Para migrar as FSMO RID, PDC e Infrastructure logar no servidor SDCCTX03CITSP; Abrir o dsa.exe; Botão direito sobre o domínio e selecionar Operations Masters; Operations Masters. Será apresentdo uma tela de todos Operations Masters em nível de domínio (RID, PDC e Infrastructure), para trocarmos devemos clicar em Change; confirmar a troca do Operation Master. Para migrar a FSMO Domain Naming Logar no servidor SDCCTX03CITSP: Abrir o Active Directory Domain and Trusts Clicar em Active Directory Domain and Trusts com o botão direito e clicar em Operations Mater Change Operations Master. Depois e clicado Yes nos é confirmado com a janela abaixo que a transferência foi executada com sucesso Para migrar a FSMO Schema Master Logar no servidor SDCCTX03CITSP: Ir em Start e depois em Run Digitar regsvr32 schmmgmt.dll, onde vamos registrar o Schema para ser visto na GUI (Graphical User Interface) e clicar em OK Será mostrado uma janela com a confirmação de registro da dll Ir novamente em Start e depois em Run Digitar mmc e clicar em OK Dentro do MMC, clicar em File e depois Add/Remove Snap-in Na nova janela, clicar em Add Neste ponto podemos visualizar o Active Directory Schema, que só é possível após o registro da Dll. Clicar em Close e Ok até voltarmos ao MMC Depois devemos clicar com o botão direito em Active Directory Schema e mudar o foco para o servidor que irá receber a role (gp-srv2), clicando em Change Domain Controller Devemos escolher o servidor que irá receber a role Devemos clicar novament com o botão direito em Active Directory Schema [] e clicar em Operations Master Aparecerá a tela abaixo, devemos clicar em Change Devemos clicar em Yes e será confirmado a transferência</t>
  </si>
  <si>
    <t>Aplicar os Procedimentos abaixo no sistema Protheus: • Disponibilização das rotinas da Contabilidade atualizadas para geração de SPED CONTÁBIL – ECD</t>
  </si>
  <si>
    <t>Realizar o tratamento de exceção da chamada a funcionalidade callback pois a mesma está sendo validada mesmo quando não houve acionamento do tipo Callback. Tal comprtamento vem gerando erros na aplicação levando a cenários de travamento e lentidão</t>
  </si>
  <si>
    <t>appctx03bhzri; appctx04bhzri; appctx415spodb; appctx418spodb; appctx419spodb</t>
  </si>
  <si>
    <t>Retornar o Backup dos arquivos, realizado no passo 2 da execução.</t>
  </si>
  <si>
    <t>CTXFORBM-391488</t>
  </si>
  <si>
    <t>Implementar o 9 digito nas operações de cobrança Leader Magazine e CD Móvel R1</t>
  </si>
  <si>
    <t>No caso de Falha na realização da atualização do servidor 10.16.1.230, BD Oi_Campanha_cobranca, restaurar o Backup do Oi_Campanha_cobranca. No caso de Falha na realização da atualização do servidor 10.16.1.166, BD Leader_Cobranca, restaurar o Backup do BD Leader_Cobranca. Backups, validados no chamado em anexo.</t>
  </si>
  <si>
    <t>Alteração do Nono digito para operações que utilizam do TLV TQS.</t>
  </si>
  <si>
    <t>Brasil Veículo,Oi</t>
  </si>
  <si>
    <t>; NA</t>
  </si>
  <si>
    <t>Retornar com Backup de Base de dados Televendas TQS.</t>
  </si>
  <si>
    <t>devctx01spoal.contax-br.contax.root</t>
  </si>
  <si>
    <t>IMPLEMENTAR NOVOS DDD´S COM O NONO DIGITO.</t>
  </si>
  <si>
    <t>Bradesco,Cielo,Citibank,Santander,Serasa</t>
  </si>
  <si>
    <t>appbra02spobf; appctx145spoda; appctx200spoda; appctx47spolp; DBSBRA01SPOBF; DBSCTX121SPODA; dbsctx12spobf; dbsctx160spoda; DBSCTX47SPOLP; DBSRED01RECSA</t>
  </si>
  <si>
    <t>Retornar backup das bases de dados.</t>
  </si>
  <si>
    <t>Ajustar a rotina de integração tCollect x NBA para corrigir GAP e garantir que seja obedecido o follow das marcações registradas no NBA. Hoje o cliente está sendo acionado indevidamente já que os follows das marcações não estão sendo respeitados, salvo em caso de agendamento.</t>
  </si>
  <si>
    <t>CSSQLOIVAREJO; DBSCTX193SPODB</t>
  </si>
  <si>
    <t>R1 Fixa Ret Invol (10.55.14.11) 1. Retornar o backup da procedure FTCRM..LoadNBAWorkflowTrackings 2. Executar o job SIC Sincronização NBA -&gt; TC – LoadNBAWorkflowTrackings R2 Fixa Ret Invol (10.171.2.103) 1. Retornar o backup da procedure FTCRM..LoadNBAWorkflowTrackings 2. Executar o job tCollect - Sync NBA – TC</t>
  </si>
  <si>
    <t>CTXFORBM-390786</t>
  </si>
  <si>
    <t>Troca do disco 3 do host BRCASEH220 (BD NICE)</t>
  </si>
  <si>
    <t>ALEXANDRE MAGNO PEREIRA DA SILVA</t>
  </si>
  <si>
    <t>1. Remover o disco novo. 2. Recolocar o disco antigo.</t>
  </si>
  <si>
    <t>CTXCASEH-20522</t>
  </si>
  <si>
    <t>OI-15217 Projeto 9º Dígito - Inclusão DDDs 6x</t>
  </si>
  <si>
    <t>ALBERTO DE ARAUJO RODRIGUES,JANAÍNA SILVA LIMA</t>
  </si>
  <si>
    <t>Particionar a tabela VALANO (Histórico de valores de pagamento) para os anos de 2016 a 2018 para melhoria de performance dos processos de Folha de Pagamento, que estão apresentando lentidão.</t>
  </si>
  <si>
    <t>Realizar restore da base de produção a partir do backup diário.</t>
  </si>
  <si>
    <t>Realizar a troca das fontes FAN's, pois as que estão no Switch Core 1 estão apresentando falhas.</t>
  </si>
  <si>
    <t>CHARLES DAVID DE SOUSA GALVÃO,FELIPE LINS DA SILVA</t>
  </si>
  <si>
    <t>SWTCORE003JPACPD</t>
  </si>
  <si>
    <t>Recolocar as fontes atual no lugar, caso as fontes novas apresentem alguma instabilidade.</t>
  </si>
  <si>
    <t>Excluir arquivos não utilizados da pasta NETLOGON</t>
  </si>
  <si>
    <t>sdcctx05recsa</t>
  </si>
  <si>
    <t>1- Logar no servidor SDCCTX05RECSA; 2- Acessar o Windows Explorer; 3- Mover o conteúdo da pesquisa para dentro da pasta "c:\Users\masterbr80\Desktop\GMUD Exclusão de arquivos\ para a pasta \\contax-br.contax.root\netlogon; 4- Fazer logoff do servidor.</t>
  </si>
  <si>
    <t>Executar a manutenção corretiva dos ARC´s de precisão do CPD do site, com o desligamento do mesmo, deixando o segundo equipamento operante, não gerando impacto no setor.</t>
  </si>
  <si>
    <t>Subir tabela na aplicação 'Escopo Fixa (canal 31)' e nova tabela 'Não escopo da aplicação B2B Móvel' no servidor de BD;</t>
  </si>
  <si>
    <t>Na obtenção de retorno com falha a tabela que ocorrer erro sofrerá rollback, utilizando-se da tabela anterior disposta na aplicação.</t>
  </si>
  <si>
    <t>CTXRJOMK-143888; CTXRJOMK-143803</t>
  </si>
  <si>
    <t>Interligação das telemáticas no No-break do 3º AGV</t>
  </si>
  <si>
    <t>Substituição de discos com falha nos servidores do Site Lapa</t>
  </si>
  <si>
    <t>APPCTX01SPOLP; APPCTX02SPOLP; APPCTX109SPOLP; APPCTX21SPOLP; APPCTX26SPOLP; APPCTX37SPOLP; APPOIM04SPOLP; APPOIM10SPOLP; APPOIV01SPOLP; APPRDC01SPOLP; BRSPOLP006; CTICTX05SPOLP; DBRDC01SPOLP; DBSCTX02SPOLP; DBSCTX47SPOLP; DBSCTX66SPOLP; DBSCTX67SPOLP; DBSCTXG01SPOLP; DBSOIM01SPOLP; MDXOIM01SPOLP; NMSCP01SPOLP; STGCTX01SPOLP</t>
  </si>
  <si>
    <t>Não se aplica pois os discos que serão substituídos não possuem nenhuma utilidade.</t>
  </si>
  <si>
    <t>CTXSPOLP-116058-CTXSPOLP-116071-CTXSPOLP-116119-CTXSPOLP-116126-CTXSPOLP-116127-CTXSPOLP-116135-CTXSPOLP-116139-CTXSPOLP-116141-CTXSPOLP-116145-CTXSPOLP-116146-CTXSPOLP-116148-CTXSPOLP-116150-CTXSPOLP-116151-CTXSPOLP-116152-CTXSPOLP-116153-CTXSPOLP-116154-CTXSPOLP-116155-CTXSPOLP-117631-CTXSPOLP-117632-CTXSPOLP-117633-CTXSPOLP-117634-CTXSPOLP-117635-CTXSPOLP-117638-CTXSPOLP-117639</t>
  </si>
  <si>
    <t>Atualização de arquivo de carga do TLV 5.0 CTXTV072 para suportar 1 campo à mais, matricula_demanda, este campo deve ser exportado no Relatório de Ultima marcação do TLV.</t>
  </si>
  <si>
    <t>Retornar com os Scripts de Backup, conforme descrito no plano de ação.</t>
  </si>
  <si>
    <t>CTXNITSP-183370</t>
  </si>
  <si>
    <t>Trocar o certificado da ferramenta protheus</t>
  </si>
  <si>
    <t>Mês</t>
  </si>
  <si>
    <t>Outubro</t>
  </si>
  <si>
    <t>Novembro</t>
  </si>
  <si>
    <t>Dezembro</t>
  </si>
  <si>
    <t>Janeiro</t>
  </si>
  <si>
    <t>Fevereiro</t>
  </si>
  <si>
    <t>Março</t>
  </si>
  <si>
    <t>Abril</t>
  </si>
  <si>
    <t>Maio</t>
  </si>
  <si>
    <t>Total Geral</t>
  </si>
  <si>
    <t>Total</t>
  </si>
  <si>
    <t>Falha</t>
  </si>
  <si>
    <t>Tipo</t>
  </si>
  <si>
    <t>% Falha</t>
  </si>
  <si>
    <t>% Sucesso</t>
  </si>
  <si>
    <t>% Implantação de projeto</t>
  </si>
  <si>
    <t>% Manutenção de rotina ou Melhoria</t>
  </si>
  <si>
    <t>% Corretiva</t>
  </si>
  <si>
    <t>(vazio)</t>
  </si>
  <si>
    <t>Contagem de Cliente</t>
  </si>
  <si>
    <t>Nacional Gás</t>
  </si>
  <si>
    <t>White Martins</t>
  </si>
  <si>
    <t>Volkswagen</t>
  </si>
  <si>
    <t>Intermédica</t>
  </si>
  <si>
    <t>DASA</t>
  </si>
  <si>
    <t>Banco do Brasil</t>
  </si>
  <si>
    <t>Fundação Atlântico Seg Social</t>
  </si>
  <si>
    <t>Ticket Serviços S/A</t>
  </si>
  <si>
    <t>Projetos</t>
  </si>
  <si>
    <t>Oi10331Unificada</t>
  </si>
  <si>
    <t>NGR URA USSD</t>
  </si>
  <si>
    <t>Melhorias na Plataforma</t>
  </si>
  <si>
    <t>TROCA DO WIN7 - a criação da estrutura do tsupervisor, o SMPA não funciona com Win 7</t>
  </si>
  <si>
    <t>Restrição de Transferência</t>
  </si>
  <si>
    <t>Projeto Pre-Routing - Demandas importantes(ura calan 31 com a estrutura do canal 32)</t>
  </si>
  <si>
    <t>(null)</t>
  </si>
  <si>
    <t>PROTHEUS</t>
  </si>
  <si>
    <t>Projeto Gravação SOC</t>
  </si>
  <si>
    <t>Pre routing Oi</t>
  </si>
  <si>
    <t>Projeto Souza Cruz</t>
  </si>
  <si>
    <t>MPLS Contax 2.0</t>
  </si>
  <si>
    <t>Preventiva trimestral com desligamento do UPS GE 30 KVA -  Singelo - Paulista 407</t>
  </si>
  <si>
    <t>OI-11433</t>
  </si>
  <si>
    <t>Projeto Pre Routing</t>
  </si>
  <si>
    <t>Atualização da aplicação Televendas</t>
  </si>
  <si>
    <t>URA880</t>
  </si>
  <si>
    <t>Desmobilização de Equipamentos Lapa</t>
  </si>
  <si>
    <t>Exclusão de planos de assistência médica  associados indevidamente a dependentes.</t>
  </si>
  <si>
    <t>Manutenção GMG</t>
  </si>
  <si>
    <t>Manutenção preventiva  com desligamento das UPS  Socomec ,sem interrupção da  carga crítica.</t>
  </si>
  <si>
    <t>Manutenção  preventiva   com o objetivo de manter  a confiabilidade do equipamento.</t>
  </si>
  <si>
    <t>ATUALIZAÇÃO DE TABELA</t>
  </si>
  <si>
    <t>Projeto Implantação do Aspect 7.3</t>
  </si>
  <si>
    <t>Gravação da Operação SOC</t>
  </si>
  <si>
    <t>Manutenção de rotina GMG</t>
  </si>
  <si>
    <t>Protheus</t>
  </si>
  <si>
    <t>Manutenção Preventiva GMG</t>
  </si>
  <si>
    <t>Pre Routing Oi</t>
  </si>
  <si>
    <t>Projeto Pre Routing Oi</t>
  </si>
  <si>
    <t>CD Móvel R1</t>
  </si>
  <si>
    <t>Atulização de  patch -teste Wsus</t>
  </si>
  <si>
    <t>NÃO SE APLICA</t>
  </si>
  <si>
    <t>Projetos de desenvolvimento de solução RTI para operação NET</t>
  </si>
  <si>
    <t>Remoção do Symantec</t>
  </si>
  <si>
    <t>Remoção do Symantec e Instalação do Anti-Vírus McAfee</t>
  </si>
  <si>
    <t>Oi-13614</t>
  </si>
  <si>
    <t>tClock</t>
  </si>
  <si>
    <t>Implantação do tGuidance! na Operação Bradesco</t>
  </si>
  <si>
    <t>NGR</t>
  </si>
  <si>
    <t>Migração do tSupervisor! v1.0 para v2.0</t>
  </si>
  <si>
    <t>Manutenção preventiva</t>
  </si>
  <si>
    <t>Pre Routing</t>
  </si>
  <si>
    <t>SIM</t>
  </si>
  <si>
    <t>Callback com falha - Correção</t>
  </si>
  <si>
    <t>Instalação Servidores Aspect</t>
  </si>
  <si>
    <t>Aspect</t>
  </si>
  <si>
    <t>Projeto Pre-Routing</t>
  </si>
  <si>
    <t>Projeto  Programa Otimização de Sites POP 3 - Migrações OI Fonte Nova/Comércio</t>
  </si>
  <si>
    <t>Estabilidade operacional</t>
  </si>
  <si>
    <t>OI-11272 - Módulo de Gerenciamento de Parâmetros (Convergys)</t>
  </si>
  <si>
    <t>Projeto Carbon</t>
  </si>
  <si>
    <t>Projeto Qualidade na Gravacao</t>
  </si>
  <si>
    <t>Atualização de Tabela ICR</t>
  </si>
  <si>
    <t>FUO-747 e FUO-742</t>
  </si>
  <si>
    <t>Se for referente a algum projeto informar (Não obrigatório)</t>
  </si>
  <si>
    <t>Projeto de migração Site Fonte Nova / Comércio</t>
  </si>
  <si>
    <t>Manutenção preventiva  com o objetivo de manter a confiabilidade do equipamento.</t>
  </si>
  <si>
    <t>ura 880</t>
  </si>
  <si>
    <t>Manutenção preventiva   centrada na  confiabilidade, com o objetivo  de manter a confiabilidade  dos equipamentos.</t>
  </si>
  <si>
    <t>Desativação do Link Metro</t>
  </si>
  <si>
    <t>Inclusão - Severidade: Muito Alta e Crítica</t>
  </si>
  <si>
    <t>MANUTENÇÃO PREVENTIVA GMG</t>
  </si>
  <si>
    <t>Inclusão de Campos - Andar / Posicao / Torre / Bloco</t>
  </si>
  <si>
    <t>Criação de Site com SLA diferenciado</t>
  </si>
  <si>
    <t>Acesso ao campo Cliente/Operação tProcess</t>
  </si>
  <si>
    <t>Reconstrução de gradil metálico subestação 69kV.</t>
  </si>
  <si>
    <t>Descrever o Projeto ao qual a GMUD solicitada está ligada e qual a parte do projeto estará atendida por esta GMUD</t>
  </si>
  <si>
    <t>Desativação de Links Metro</t>
  </si>
  <si>
    <t>Desativação da Rede Metro</t>
  </si>
  <si>
    <t>OI-14896: XII Fase Sorte na Palma da Mão; OI-14872:Alteração Mensagens Bolha Oferta Semanal All; OI-14402:Registrar o Tempo das Consultas aos Legados.</t>
  </si>
  <si>
    <t>Credibilidade</t>
  </si>
  <si>
    <t>Atualização de service pack dos CM's NGR</t>
  </si>
  <si>
    <t>Ura 880</t>
  </si>
  <si>
    <t>Destivação dos Link Metro</t>
  </si>
  <si>
    <t>Desativação dos Links Metros</t>
  </si>
  <si>
    <t>Desativação dos Links Metroethernet</t>
  </si>
  <si>
    <t>Projeto Desativação dos Links Metro</t>
  </si>
  <si>
    <t>REMANEJAMENTO DO SISTEMA DE ÁGUA POTÁVEL</t>
  </si>
  <si>
    <t>Projeto Qualidade na Gravação</t>
  </si>
  <si>
    <t>contaxFácil</t>
  </si>
  <si>
    <t>Manutenção FPw</t>
  </si>
  <si>
    <t>1º Melhoria para tratamento de cliente com mais de uma conta vencendo no mesmo mês. 2º Ajustar o Menu de Cancelamento;</t>
  </si>
  <si>
    <t>DEMANDAS-3642</t>
  </si>
  <si>
    <t>Criação de um novo local de trabalho no tprocess.  Nome: CTXFORBTC - Contax Fortaleza Brasil Treine Center  Este novo local só deve ter permissão para abertura de chamados como requisição de serviço e deve ser direcionado automaticamente para site-suporte campo.  Este é um local de trabalho alocado fora da Contax (site treinamento).</t>
  </si>
  <si>
    <t>OI-12371</t>
  </si>
  <si>
    <t>Adicionar os clientes abaixo no campo Cliente/Operação e adicionar novos opções no campo Serviço afetado de acordo com os clientes - Lafê  - Globo  - Prefeitura do RJ  - Fundação Atlantico - NET  - Souza Cruz  - Claro</t>
  </si>
  <si>
    <t>Alteração do Lay-out do raw</t>
  </si>
  <si>
    <t>Projeto de eficiência energética</t>
  </si>
  <si>
    <t>Desativação Placa de Rede</t>
  </si>
  <si>
    <t>OI-15217_Projeto 9º Dígito - Inclusão DDDs 6x</t>
  </si>
  <si>
    <t>9 digito</t>
  </si>
  <si>
    <t>Texto Padrão</t>
  </si>
  <si>
    <t>Manutenção banco de dados do FPw</t>
  </si>
  <si>
    <t>Rótulos de Linha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</si>
</sst>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sz val="11"/>
      <color rgb="FF000000"/>
      <name val="Calibri"/>
      <family val="2"/>
      <scheme val="minor"/>
    </font>
    <font>
      <sz val="10"/>
      <color rgb="FF000000"/>
      <name val="Calibri"/>
      <family val="2"/>
      <scheme val="minor"/>
    </font>
    <font>
      <b/>
      <sz val="10"/>
      <color theme="0"/>
      <name val="Calibri"/>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E9EAEC"/>
        <bgColor indexed="64"/>
      </patternFill>
    </fill>
    <fill>
      <patternFill patternType="solid">
        <fgColor theme="3"/>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indexed="65"/>
      </left>
      <right/>
      <top/>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 fillId="20" borderId="0" applyNumberFormat="0" applyBorder="0" applyAlignment="0" applyProtection="0"/>
    <xf numFmtId="0" fontId="4" fillId="21" borderId="2" applyNumberFormat="0" applyAlignment="0" applyProtection="0"/>
    <xf numFmtId="0" fontId="5" fillId="22" borderId="3" applyNumberFormat="0" applyAlignment="0" applyProtection="0"/>
    <xf numFmtId="0" fontId="6" fillId="0" borderId="4" applyNumberFormat="0" applyFill="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7" fillId="29" borderId="2" applyNumberFormat="0" applyAlignment="0" applyProtection="0"/>
    <xf numFmtId="0" fontId="8" fillId="30" borderId="0" applyNumberFormat="0" applyBorder="0" applyAlignment="0" applyProtection="0"/>
    <xf numFmtId="0" fontId="9" fillId="31" borderId="0" applyNumberFormat="0" applyBorder="0" applyAlignment="0" applyProtection="0"/>
    <xf numFmtId="0" fontId="1" fillId="32" borderId="5" applyNumberFormat="0" applyFont="0" applyAlignment="0" applyProtection="0"/>
    <xf numFmtId="0" fontId="10" fillId="21" borderId="6" applyNumberFormat="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7" applyNumberFormat="0" applyFill="0" applyAlignment="0" applyProtection="0"/>
    <xf numFmtId="0" fontId="15" fillId="0" borderId="8" applyNumberFormat="0" applyFill="0" applyAlignment="0" applyProtection="0"/>
    <xf numFmtId="0" fontId="16" fillId="0" borderId="9" applyNumberFormat="0" applyFill="0" applyAlignment="0" applyProtection="0"/>
    <xf numFmtId="0" fontId="16" fillId="0" borderId="0" applyNumberFormat="0" applyFill="0" applyBorder="0" applyAlignment="0" applyProtection="0"/>
    <xf numFmtId="0" fontId="17" fillId="0" borderId="10" applyNumberFormat="0" applyFill="0" applyAlignment="0" applyProtection="0"/>
  </cellStyleXfs>
  <cellXfs count="35">
    <xf numFmtId="0" fontId="0" fillId="0" borderId="0" xfId="0"/>
    <xf numFmtId="0" fontId="18" fillId="33" borderId="0" xfId="0" applyFont="1" applyFill="1"/>
    <xf numFmtId="0" fontId="18" fillId="33" borderId="0" xfId="0" applyFont="1" applyFill="1" applyAlignment="1">
      <alignment horizontal="center"/>
    </xf>
    <xf numFmtId="0" fontId="20" fillId="34" borderId="1" xfId="0" applyFont="1" applyFill="1" applyBorder="1" applyAlignment="1">
      <alignment horizontal="center" vertical="center"/>
    </xf>
    <xf numFmtId="0" fontId="19" fillId="35" borderId="1" xfId="0" applyFont="1" applyFill="1" applyBorder="1"/>
    <xf numFmtId="22" fontId="19" fillId="35" borderId="1" xfId="0" applyNumberFormat="1" applyFont="1" applyFill="1" applyBorder="1"/>
    <xf numFmtId="0" fontId="19" fillId="35" borderId="1" xfId="0" applyFont="1" applyFill="1" applyBorder="1"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NumberFormat="1" applyBorder="1"/>
    <xf numFmtId="0" fontId="0" fillId="0" borderId="16" xfId="0" applyNumberFormat="1" applyBorder="1"/>
    <xf numFmtId="0" fontId="0" fillId="0" borderId="1" xfId="0" applyBorder="1"/>
    <xf numFmtId="0" fontId="0" fillId="0" borderId="1" xfId="0" applyNumberFormat="1" applyBorder="1"/>
    <xf numFmtId="0" fontId="0" fillId="0" borderId="1" xfId="0" applyFill="1" applyBorder="1"/>
    <xf numFmtId="10" fontId="0" fillId="0" borderId="1" xfId="0" applyNumberFormat="1" applyBorder="1"/>
    <xf numFmtId="0" fontId="0" fillId="0" borderId="0" xfId="0" applyBorder="1"/>
    <xf numFmtId="0" fontId="0" fillId="0" borderId="0" xfId="0" applyNumberFormat="1" applyBorder="1"/>
    <xf numFmtId="1" fontId="19" fillId="35" borderId="1" xfId="0" applyNumberFormat="1" applyFont="1" applyFill="1" applyBorder="1" applyAlignment="1">
      <alignment horizontal="right"/>
    </xf>
    <xf numFmtId="1" fontId="18" fillId="33"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7" fillId="0" borderId="1" xfId="0" applyFont="1" applyBorder="1" applyAlignment="1">
      <alignment horizontal="left"/>
    </xf>
    <xf numFmtId="0" fontId="17" fillId="0" borderId="1" xfId="0" applyNumberFormat="1" applyFont="1" applyBorder="1"/>
    <xf numFmtId="0" fontId="0" fillId="0" borderId="1" xfId="0" applyBorder="1" applyAlignment="1">
      <alignment horizontal="left" indent="1"/>
    </xf>
    <xf numFmtId="0" fontId="17" fillId="0" borderId="0" xfId="0" applyFont="1" applyAlignment="1">
      <alignment horizontal="left" indent="1"/>
    </xf>
    <xf numFmtId="0" fontId="17" fillId="0" borderId="0" xfId="0" applyNumberFormat="1" applyFont="1"/>
    <xf numFmtId="0" fontId="0" fillId="0" borderId="0" xfId="0" applyAlignment="1">
      <alignment horizontal="left" indent="2"/>
    </xf>
    <xf numFmtId="0" fontId="0" fillId="0" borderId="17" xfId="0" applyBorder="1"/>
    <xf numFmtId="0" fontId="0" fillId="0" borderId="0" xfId="0" applyBorder="1" applyAlignment="1">
      <alignment horizontal="left" indent="1"/>
    </xf>
    <xf numFmtId="0" fontId="0" fillId="0" borderId="1" xfId="0" applyNumberFormat="1" applyFill="1" applyBorder="1"/>
    <xf numFmtId="10" fontId="0" fillId="0" borderId="0" xfId="0" applyNumberFormat="1" applyBorder="1"/>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Incorreto" xfId="30" builtinId="27" customBuiltin="1"/>
    <cellStyle name="Neutra" xfId="31" builtinId="28" customBuiltin="1"/>
    <cellStyle name="Normal" xfId="0" builtinId="0"/>
    <cellStyle name="Nota" xfId="32" builtinId="10" customBuiltin="1"/>
    <cellStyle name="Saída" xfId="33" builtinId="21" customBuiltin="1"/>
    <cellStyle name="Texto de Aviso" xfId="34" builtinId="11" customBuiltin="1"/>
    <cellStyle name="Texto Explicativo" xfId="35" builtinId="53" customBuiltin="1"/>
    <cellStyle name="Título" xfId="36" builtinId="15" customBuiltin="1"/>
    <cellStyle name="Título 1" xfId="37" builtinId="16" customBuiltin="1"/>
    <cellStyle name="Título 2" xfId="38" builtinId="17" customBuiltin="1"/>
    <cellStyle name="Título 3" xfId="39" builtinId="18" customBuiltin="1"/>
    <cellStyle name="Título 4" xfId="40" builtinId="19" customBuiltin="1"/>
    <cellStyle name="Total" xfId="41" builtinId="25" customBuiltin="1"/>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pt-BR" sz="2000" b="1"/>
              <a:t>Total de</a:t>
            </a:r>
            <a:r>
              <a:rPr lang="pt-BR" sz="2000" b="1" baseline="0"/>
              <a:t> Mudanças por mês</a:t>
            </a:r>
            <a:endParaRPr lang="pt-BR"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tx>
            <c:strRef>
              <c:f>Gráficos!$B$3</c:f>
              <c:strCache>
                <c:ptCount val="1"/>
                <c:pt idx="0">
                  <c:v>Total</c:v>
                </c:pt>
              </c:strCache>
            </c:strRef>
          </c:tx>
          <c:spPr>
            <a:solidFill>
              <a:srgbClr val="44546A">
                <a:alpha val="80000"/>
              </a:srgb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Gráficos!$A$4:$A$8</c:f>
              <c:strCache>
                <c:ptCount val="5"/>
                <c:pt idx="0">
                  <c:v>Janeiro</c:v>
                </c:pt>
                <c:pt idx="1">
                  <c:v>Fevereiro</c:v>
                </c:pt>
                <c:pt idx="2">
                  <c:v>Março</c:v>
                </c:pt>
                <c:pt idx="3">
                  <c:v>Abril</c:v>
                </c:pt>
                <c:pt idx="4">
                  <c:v>Maio</c:v>
                </c:pt>
              </c:strCache>
            </c:strRef>
          </c:cat>
          <c:val>
            <c:numRef>
              <c:f>Gráficos!$B$4:$B$8</c:f>
              <c:numCache>
                <c:formatCode>General</c:formatCode>
                <c:ptCount val="5"/>
                <c:pt idx="0">
                  <c:v>165</c:v>
                </c:pt>
                <c:pt idx="1">
                  <c:v>133</c:v>
                </c:pt>
                <c:pt idx="2">
                  <c:v>150</c:v>
                </c:pt>
                <c:pt idx="3">
                  <c:v>167</c:v>
                </c:pt>
                <c:pt idx="4">
                  <c:v>160</c:v>
                </c:pt>
              </c:numCache>
            </c:numRef>
          </c:val>
          <c:extLst>
            <c:ext xmlns:c16="http://schemas.microsoft.com/office/drawing/2014/chart" uri="{C3380CC4-5D6E-409C-BE32-E72D297353CC}">
              <c16:uniqueId val="{00000000-F86C-48B8-B4E5-F608B709C8B4}"/>
            </c:ext>
          </c:extLst>
        </c:ser>
        <c:dLbls>
          <c:showLegendKey val="0"/>
          <c:showVal val="0"/>
          <c:showCatName val="0"/>
          <c:showSerName val="0"/>
          <c:showPercent val="0"/>
          <c:showBubbleSize val="0"/>
        </c:dLbls>
        <c:gapWidth val="219"/>
        <c:overlap val="-27"/>
        <c:axId val="742744504"/>
        <c:axId val="742735976"/>
      </c:barChart>
      <c:catAx>
        <c:axId val="7427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crossAx val="742735976"/>
        <c:crosses val="autoZero"/>
        <c:auto val="1"/>
        <c:lblAlgn val="ctr"/>
        <c:lblOffset val="100"/>
        <c:noMultiLvlLbl val="0"/>
      </c:catAx>
      <c:valAx>
        <c:axId val="742735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742744504"/>
        <c:crosses val="autoZero"/>
        <c:crossBetween val="between"/>
      </c:valAx>
      <c:spPr>
        <a:noFill/>
        <a:ln>
          <a:noFill/>
        </a:ln>
        <a:effectLst/>
      </c:spPr>
    </c:plotArea>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r>
              <a:rPr lang="pt-BR" sz="2000" b="1"/>
              <a:t>Total de Mudanças por Mês - Tipo</a:t>
            </a:r>
          </a:p>
        </c:rich>
      </c:tx>
      <c:overlay val="0"/>
      <c:spPr>
        <a:noFill/>
        <a:ln>
          <a:noFill/>
        </a:ln>
        <a:effectLst/>
      </c:spPr>
      <c:txPr>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tx>
            <c:strRef>
              <c:f>Gráficos!$B$33</c:f>
              <c:strCache>
                <c:ptCount val="1"/>
                <c:pt idx="0">
                  <c:v>Emergencial</c:v>
                </c:pt>
              </c:strCache>
            </c:strRef>
          </c:tx>
          <c:spPr>
            <a:solidFill>
              <a:srgbClr val="C00000">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Gráficos!$A$34:$A$38</c:f>
              <c:strCache>
                <c:ptCount val="5"/>
                <c:pt idx="0">
                  <c:v>Janeiro</c:v>
                </c:pt>
                <c:pt idx="1">
                  <c:v>Fevereiro</c:v>
                </c:pt>
                <c:pt idx="2">
                  <c:v>Março</c:v>
                </c:pt>
                <c:pt idx="3">
                  <c:v>Abril</c:v>
                </c:pt>
                <c:pt idx="4">
                  <c:v>Maio</c:v>
                </c:pt>
              </c:strCache>
            </c:strRef>
          </c:cat>
          <c:val>
            <c:numRef>
              <c:f>Gráficos!$B$34:$B$38</c:f>
              <c:numCache>
                <c:formatCode>General</c:formatCode>
                <c:ptCount val="5"/>
                <c:pt idx="0">
                  <c:v>16</c:v>
                </c:pt>
                <c:pt idx="1">
                  <c:v>11</c:v>
                </c:pt>
                <c:pt idx="2">
                  <c:v>22</c:v>
                </c:pt>
                <c:pt idx="3">
                  <c:v>12</c:v>
                </c:pt>
                <c:pt idx="4">
                  <c:v>19</c:v>
                </c:pt>
              </c:numCache>
            </c:numRef>
          </c:val>
          <c:extLst>
            <c:ext xmlns:c16="http://schemas.microsoft.com/office/drawing/2014/chart" uri="{C3380CC4-5D6E-409C-BE32-E72D297353CC}">
              <c16:uniqueId val="{00000000-33D3-4824-8302-33FE81942AF5}"/>
            </c:ext>
          </c:extLst>
        </c:ser>
        <c:ser>
          <c:idx val="2"/>
          <c:order val="1"/>
          <c:tx>
            <c:strRef>
              <c:f>Gráficos!$C$33</c:f>
              <c:strCache>
                <c:ptCount val="1"/>
                <c:pt idx="0">
                  <c:v>Programada</c:v>
                </c:pt>
              </c:strCache>
            </c:strRef>
          </c:tx>
          <c:spPr>
            <a:solidFill>
              <a:srgbClr val="548235">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Gráficos!$A$34:$A$38</c:f>
              <c:strCache>
                <c:ptCount val="5"/>
                <c:pt idx="0">
                  <c:v>Janeiro</c:v>
                </c:pt>
                <c:pt idx="1">
                  <c:v>Fevereiro</c:v>
                </c:pt>
                <c:pt idx="2">
                  <c:v>Março</c:v>
                </c:pt>
                <c:pt idx="3">
                  <c:v>Abril</c:v>
                </c:pt>
                <c:pt idx="4">
                  <c:v>Maio</c:v>
                </c:pt>
              </c:strCache>
            </c:strRef>
          </c:cat>
          <c:val>
            <c:numRef>
              <c:f>Gráficos!$C$34:$C$38</c:f>
              <c:numCache>
                <c:formatCode>General</c:formatCode>
                <c:ptCount val="5"/>
                <c:pt idx="0">
                  <c:v>143</c:v>
                </c:pt>
                <c:pt idx="1">
                  <c:v>106</c:v>
                </c:pt>
                <c:pt idx="2">
                  <c:v>102</c:v>
                </c:pt>
                <c:pt idx="3">
                  <c:v>113</c:v>
                </c:pt>
                <c:pt idx="4">
                  <c:v>97</c:v>
                </c:pt>
              </c:numCache>
            </c:numRef>
          </c:val>
          <c:extLst>
            <c:ext xmlns:c16="http://schemas.microsoft.com/office/drawing/2014/chart" uri="{C3380CC4-5D6E-409C-BE32-E72D297353CC}">
              <c16:uniqueId val="{00000002-33D3-4824-8302-33FE81942AF5}"/>
            </c:ext>
          </c:extLst>
        </c:ser>
        <c:ser>
          <c:idx val="3"/>
          <c:order val="2"/>
          <c:tx>
            <c:strRef>
              <c:f>Gráficos!$D$33</c:f>
              <c:strCache>
                <c:ptCount val="1"/>
                <c:pt idx="0">
                  <c:v>Técnica</c:v>
                </c:pt>
              </c:strCache>
            </c:strRef>
          </c:tx>
          <c:spPr>
            <a:solidFill>
              <a:srgbClr val="44546A">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Gráficos!$A$34:$A$38</c:f>
              <c:strCache>
                <c:ptCount val="5"/>
                <c:pt idx="0">
                  <c:v>Janeiro</c:v>
                </c:pt>
                <c:pt idx="1">
                  <c:v>Fevereiro</c:v>
                </c:pt>
                <c:pt idx="2">
                  <c:v>Março</c:v>
                </c:pt>
                <c:pt idx="3">
                  <c:v>Abril</c:v>
                </c:pt>
                <c:pt idx="4">
                  <c:v>Maio</c:v>
                </c:pt>
              </c:strCache>
            </c:strRef>
          </c:cat>
          <c:val>
            <c:numRef>
              <c:f>Gráficos!$D$34:$D$38</c:f>
              <c:numCache>
                <c:formatCode>General</c:formatCode>
                <c:ptCount val="5"/>
                <c:pt idx="0">
                  <c:v>1</c:v>
                </c:pt>
                <c:pt idx="1">
                  <c:v>16</c:v>
                </c:pt>
                <c:pt idx="2">
                  <c:v>26</c:v>
                </c:pt>
                <c:pt idx="3">
                  <c:v>42</c:v>
                </c:pt>
                <c:pt idx="4">
                  <c:v>44</c:v>
                </c:pt>
              </c:numCache>
            </c:numRef>
          </c:val>
          <c:extLst>
            <c:ext xmlns:c16="http://schemas.microsoft.com/office/drawing/2014/chart" uri="{C3380CC4-5D6E-409C-BE32-E72D297353CC}">
              <c16:uniqueId val="{00000003-33D3-4824-8302-33FE81942AF5}"/>
            </c:ext>
          </c:extLst>
        </c:ser>
        <c:dLbls>
          <c:showLegendKey val="0"/>
          <c:showVal val="0"/>
          <c:showCatName val="0"/>
          <c:showSerName val="0"/>
          <c:showPercent val="0"/>
          <c:showBubbleSize val="0"/>
        </c:dLbls>
        <c:gapWidth val="219"/>
        <c:overlap val="-27"/>
        <c:axId val="410618184"/>
        <c:axId val="410618512"/>
      </c:barChart>
      <c:catAx>
        <c:axId val="41061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1200" b="1" i="0" u="none" strike="noStrike" kern="1200" baseline="0">
                <a:solidFill>
                  <a:schemeClr val="tx1"/>
                </a:solidFill>
                <a:latin typeface="+mn-lt"/>
                <a:ea typeface="+mn-ea"/>
                <a:cs typeface="+mn-cs"/>
              </a:defRPr>
            </a:pPr>
            <a:endParaRPr lang="pt-BR"/>
          </a:p>
        </c:txPr>
        <c:crossAx val="410618512"/>
        <c:crosses val="autoZero"/>
        <c:auto val="1"/>
        <c:lblAlgn val="ctr"/>
        <c:lblOffset val="100"/>
        <c:noMultiLvlLbl val="0"/>
      </c:catAx>
      <c:valAx>
        <c:axId val="41061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crossAx val="41061818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legend>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lang="pt-BR" sz="1000" b="0"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r>
              <a:rPr lang="pt-BR" sz="2000"/>
              <a:t>Total de Mudanças por</a:t>
            </a:r>
            <a:r>
              <a:rPr lang="pt-BR" sz="2000" baseline="0"/>
              <a:t> Mês - Natureza</a:t>
            </a:r>
            <a:endParaRPr lang="pt-BR" sz="2000"/>
          </a:p>
        </c:rich>
      </c:tx>
      <c:overlay val="0"/>
      <c:spPr>
        <a:noFill/>
        <a:ln>
          <a:noFill/>
        </a:ln>
        <a:effectLst/>
      </c:spPr>
      <c:txPr>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tx>
            <c:strRef>
              <c:f>Gráficos!$B$71</c:f>
              <c:strCache>
                <c:ptCount val="1"/>
                <c:pt idx="0">
                  <c:v>Implantação de projeto</c:v>
                </c:pt>
              </c:strCache>
            </c:strRef>
          </c:tx>
          <c:spPr>
            <a:solidFill>
              <a:srgbClr val="548235">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Gráficos!$A$72:$A$76</c:f>
              <c:strCache>
                <c:ptCount val="5"/>
                <c:pt idx="0">
                  <c:v>Janeiro</c:v>
                </c:pt>
                <c:pt idx="1">
                  <c:v>Fevereiro</c:v>
                </c:pt>
                <c:pt idx="2">
                  <c:v>Março</c:v>
                </c:pt>
                <c:pt idx="3">
                  <c:v>Abril</c:v>
                </c:pt>
                <c:pt idx="4">
                  <c:v>Maio</c:v>
                </c:pt>
              </c:strCache>
            </c:strRef>
          </c:cat>
          <c:val>
            <c:numRef>
              <c:f>Gráficos!$B$72:$B$76</c:f>
              <c:numCache>
                <c:formatCode>General</c:formatCode>
                <c:ptCount val="5"/>
                <c:pt idx="0">
                  <c:v>32</c:v>
                </c:pt>
                <c:pt idx="1">
                  <c:v>24</c:v>
                </c:pt>
                <c:pt idx="2">
                  <c:v>33</c:v>
                </c:pt>
                <c:pt idx="3">
                  <c:v>22</c:v>
                </c:pt>
                <c:pt idx="4">
                  <c:v>26</c:v>
                </c:pt>
              </c:numCache>
            </c:numRef>
          </c:val>
          <c:extLst>
            <c:ext xmlns:c16="http://schemas.microsoft.com/office/drawing/2014/chart" uri="{C3380CC4-5D6E-409C-BE32-E72D297353CC}">
              <c16:uniqueId val="{00000000-33D3-4824-8302-33FE81942AF5}"/>
            </c:ext>
          </c:extLst>
        </c:ser>
        <c:ser>
          <c:idx val="2"/>
          <c:order val="1"/>
          <c:tx>
            <c:strRef>
              <c:f>Gráficos!$C$71</c:f>
              <c:strCache>
                <c:ptCount val="1"/>
                <c:pt idx="0">
                  <c:v>Manutenção de rotina ou Melhoria</c:v>
                </c:pt>
              </c:strCache>
            </c:strRef>
          </c:tx>
          <c:spPr>
            <a:solidFill>
              <a:srgbClr val="44546A">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Gráficos!$A$72:$A$76</c:f>
              <c:strCache>
                <c:ptCount val="5"/>
                <c:pt idx="0">
                  <c:v>Janeiro</c:v>
                </c:pt>
                <c:pt idx="1">
                  <c:v>Fevereiro</c:v>
                </c:pt>
                <c:pt idx="2">
                  <c:v>Março</c:v>
                </c:pt>
                <c:pt idx="3">
                  <c:v>Abril</c:v>
                </c:pt>
                <c:pt idx="4">
                  <c:v>Maio</c:v>
                </c:pt>
              </c:strCache>
            </c:strRef>
          </c:cat>
          <c:val>
            <c:numRef>
              <c:f>Gráficos!$C$72:$C$76</c:f>
              <c:numCache>
                <c:formatCode>General</c:formatCode>
                <c:ptCount val="5"/>
                <c:pt idx="0">
                  <c:v>98</c:v>
                </c:pt>
                <c:pt idx="1">
                  <c:v>76</c:v>
                </c:pt>
                <c:pt idx="2">
                  <c:v>73</c:v>
                </c:pt>
                <c:pt idx="3">
                  <c:v>109</c:v>
                </c:pt>
                <c:pt idx="4">
                  <c:v>94</c:v>
                </c:pt>
              </c:numCache>
            </c:numRef>
          </c:val>
          <c:extLst>
            <c:ext xmlns:c16="http://schemas.microsoft.com/office/drawing/2014/chart" uri="{C3380CC4-5D6E-409C-BE32-E72D297353CC}">
              <c16:uniqueId val="{00000002-33D3-4824-8302-33FE81942AF5}"/>
            </c:ext>
          </c:extLst>
        </c:ser>
        <c:ser>
          <c:idx val="3"/>
          <c:order val="2"/>
          <c:tx>
            <c:strRef>
              <c:f>Gráficos!$D$71</c:f>
              <c:strCache>
                <c:ptCount val="1"/>
                <c:pt idx="0">
                  <c:v>Corretiva</c:v>
                </c:pt>
              </c:strCache>
            </c:strRef>
          </c:tx>
          <c:spPr>
            <a:solidFill>
              <a:srgbClr val="C00000">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Gráficos!$A$72:$A$76</c:f>
              <c:strCache>
                <c:ptCount val="5"/>
                <c:pt idx="0">
                  <c:v>Janeiro</c:v>
                </c:pt>
                <c:pt idx="1">
                  <c:v>Fevereiro</c:v>
                </c:pt>
                <c:pt idx="2">
                  <c:v>Março</c:v>
                </c:pt>
                <c:pt idx="3">
                  <c:v>Abril</c:v>
                </c:pt>
                <c:pt idx="4">
                  <c:v>Maio</c:v>
                </c:pt>
              </c:strCache>
            </c:strRef>
          </c:cat>
          <c:val>
            <c:numRef>
              <c:f>Gráficos!$D$72:$D$76</c:f>
              <c:numCache>
                <c:formatCode>General</c:formatCode>
                <c:ptCount val="5"/>
                <c:pt idx="0">
                  <c:v>35</c:v>
                </c:pt>
                <c:pt idx="1">
                  <c:v>33</c:v>
                </c:pt>
                <c:pt idx="2">
                  <c:v>44</c:v>
                </c:pt>
                <c:pt idx="3">
                  <c:v>36</c:v>
                </c:pt>
                <c:pt idx="4">
                  <c:v>40</c:v>
                </c:pt>
              </c:numCache>
            </c:numRef>
          </c:val>
          <c:extLst>
            <c:ext xmlns:c16="http://schemas.microsoft.com/office/drawing/2014/chart" uri="{C3380CC4-5D6E-409C-BE32-E72D297353CC}">
              <c16:uniqueId val="{00000003-33D3-4824-8302-33FE81942AF5}"/>
            </c:ext>
          </c:extLst>
        </c:ser>
        <c:dLbls>
          <c:showLegendKey val="0"/>
          <c:showVal val="0"/>
          <c:showCatName val="0"/>
          <c:showSerName val="0"/>
          <c:showPercent val="0"/>
          <c:showBubbleSize val="0"/>
        </c:dLbls>
        <c:gapWidth val="219"/>
        <c:overlap val="-27"/>
        <c:axId val="410618184"/>
        <c:axId val="410618512"/>
      </c:barChart>
      <c:catAx>
        <c:axId val="41061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1200" b="1" i="0" u="none" strike="noStrike" kern="1200" baseline="0">
                <a:solidFill>
                  <a:schemeClr val="tx1"/>
                </a:solidFill>
                <a:latin typeface="+mn-lt"/>
                <a:ea typeface="+mn-ea"/>
                <a:cs typeface="+mn-cs"/>
              </a:defRPr>
            </a:pPr>
            <a:endParaRPr lang="pt-BR"/>
          </a:p>
        </c:txPr>
        <c:crossAx val="410618512"/>
        <c:crosses val="autoZero"/>
        <c:auto val="1"/>
        <c:lblAlgn val="ctr"/>
        <c:lblOffset val="100"/>
        <c:noMultiLvlLbl val="0"/>
      </c:catAx>
      <c:valAx>
        <c:axId val="41061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crossAx val="41061818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legend>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lang="pt-BR" sz="1000" b="0"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r>
              <a:rPr lang="pt-BR" sz="2000"/>
              <a:t>Total</a:t>
            </a:r>
            <a:r>
              <a:rPr lang="pt-BR" sz="2000" baseline="0"/>
              <a:t> de Mudanças por Mês - Sucesso</a:t>
            </a:r>
          </a:p>
        </c:rich>
      </c:tx>
      <c:overlay val="0"/>
      <c:spPr>
        <a:noFill/>
        <a:ln>
          <a:noFill/>
        </a:ln>
        <a:effectLst/>
      </c:spPr>
      <c:txPr>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tx>
            <c:strRef>
              <c:f>Gráficos!$B$147</c:f>
              <c:strCache>
                <c:ptCount val="1"/>
                <c:pt idx="0">
                  <c:v>Sucesso</c:v>
                </c:pt>
              </c:strCache>
            </c:strRef>
          </c:tx>
          <c:spPr>
            <a:solidFill>
              <a:srgbClr val="44546A">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Gráficos!$A$148:$A$152</c:f>
              <c:strCache>
                <c:ptCount val="5"/>
                <c:pt idx="0">
                  <c:v>Janeiro</c:v>
                </c:pt>
                <c:pt idx="1">
                  <c:v>Fevereiro</c:v>
                </c:pt>
                <c:pt idx="2">
                  <c:v>Março</c:v>
                </c:pt>
                <c:pt idx="3">
                  <c:v>Abril</c:v>
                </c:pt>
                <c:pt idx="4">
                  <c:v>Maio</c:v>
                </c:pt>
              </c:strCache>
            </c:strRef>
          </c:cat>
          <c:val>
            <c:numRef>
              <c:f>Gráficos!$B$148:$B$152</c:f>
              <c:numCache>
                <c:formatCode>General</c:formatCode>
                <c:ptCount val="5"/>
                <c:pt idx="0">
                  <c:v>138</c:v>
                </c:pt>
                <c:pt idx="1">
                  <c:v>116</c:v>
                </c:pt>
                <c:pt idx="2">
                  <c:v>132</c:v>
                </c:pt>
                <c:pt idx="3">
                  <c:v>141</c:v>
                </c:pt>
                <c:pt idx="4">
                  <c:v>146</c:v>
                </c:pt>
              </c:numCache>
            </c:numRef>
          </c:val>
          <c:extLst>
            <c:ext xmlns:c16="http://schemas.microsoft.com/office/drawing/2014/chart" uri="{C3380CC4-5D6E-409C-BE32-E72D297353CC}">
              <c16:uniqueId val="{00000000-33D3-4824-8302-33FE81942AF5}"/>
            </c:ext>
          </c:extLst>
        </c:ser>
        <c:ser>
          <c:idx val="2"/>
          <c:order val="1"/>
          <c:tx>
            <c:strRef>
              <c:f>Gráficos!$C$147</c:f>
              <c:strCache>
                <c:ptCount val="1"/>
                <c:pt idx="0">
                  <c:v>Falha</c:v>
                </c:pt>
              </c:strCache>
            </c:strRef>
          </c:tx>
          <c:spPr>
            <a:solidFill>
              <a:srgbClr val="C00000">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Gráficos!$A$148:$A$152</c:f>
              <c:strCache>
                <c:ptCount val="5"/>
                <c:pt idx="0">
                  <c:v>Janeiro</c:v>
                </c:pt>
                <c:pt idx="1">
                  <c:v>Fevereiro</c:v>
                </c:pt>
                <c:pt idx="2">
                  <c:v>Março</c:v>
                </c:pt>
                <c:pt idx="3">
                  <c:v>Abril</c:v>
                </c:pt>
                <c:pt idx="4">
                  <c:v>Maio</c:v>
                </c:pt>
              </c:strCache>
            </c:strRef>
          </c:cat>
          <c:val>
            <c:numRef>
              <c:f>Gráficos!$C$148:$C$152</c:f>
              <c:numCache>
                <c:formatCode>General</c:formatCode>
                <c:ptCount val="5"/>
                <c:pt idx="0">
                  <c:v>21</c:v>
                </c:pt>
                <c:pt idx="1">
                  <c:v>11</c:v>
                </c:pt>
                <c:pt idx="2">
                  <c:v>18</c:v>
                </c:pt>
                <c:pt idx="3">
                  <c:v>18</c:v>
                </c:pt>
                <c:pt idx="4">
                  <c:v>12</c:v>
                </c:pt>
              </c:numCache>
            </c:numRef>
          </c:val>
          <c:extLst>
            <c:ext xmlns:c16="http://schemas.microsoft.com/office/drawing/2014/chart" uri="{C3380CC4-5D6E-409C-BE32-E72D297353CC}">
              <c16:uniqueId val="{00000002-33D3-4824-8302-33FE81942AF5}"/>
            </c:ext>
          </c:extLst>
        </c:ser>
        <c:dLbls>
          <c:showLegendKey val="0"/>
          <c:showVal val="0"/>
          <c:showCatName val="0"/>
          <c:showSerName val="0"/>
          <c:showPercent val="0"/>
          <c:showBubbleSize val="0"/>
        </c:dLbls>
        <c:gapWidth val="219"/>
        <c:overlap val="-27"/>
        <c:axId val="410618184"/>
        <c:axId val="410618512"/>
      </c:barChart>
      <c:catAx>
        <c:axId val="41061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1200" b="1" i="0" u="none" strike="noStrike" kern="1200" baseline="0">
                <a:solidFill>
                  <a:schemeClr val="tx1"/>
                </a:solidFill>
                <a:latin typeface="+mn-lt"/>
                <a:ea typeface="+mn-ea"/>
                <a:cs typeface="+mn-cs"/>
              </a:defRPr>
            </a:pPr>
            <a:endParaRPr lang="pt-BR"/>
          </a:p>
        </c:txPr>
        <c:crossAx val="410618512"/>
        <c:crosses val="autoZero"/>
        <c:auto val="1"/>
        <c:lblAlgn val="ctr"/>
        <c:lblOffset val="100"/>
        <c:noMultiLvlLbl val="0"/>
      </c:catAx>
      <c:valAx>
        <c:axId val="41061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crossAx val="41061818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legend>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lang="pt-BR" sz="1000" b="0"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r>
              <a:rPr lang="pt-BR" sz="2000"/>
              <a:t>Sucesso de Mudanças por Tipo - Maio</a:t>
            </a:r>
          </a:p>
        </c:rich>
      </c:tx>
      <c:overlay val="0"/>
      <c:spPr>
        <a:noFill/>
        <a:ln>
          <a:noFill/>
        </a:ln>
        <a:effectLst/>
      </c:spPr>
      <c:txPr>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tx>
            <c:strRef>
              <c:f>Gráficos!$E$185</c:f>
              <c:strCache>
                <c:ptCount val="1"/>
                <c:pt idx="0">
                  <c:v>% Sucesso</c:v>
                </c:pt>
              </c:strCache>
            </c:strRef>
          </c:tx>
          <c:spPr>
            <a:solidFill>
              <a:srgbClr val="44546A">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Gráficos!$A$186:$A$188</c:f>
              <c:strCache>
                <c:ptCount val="3"/>
                <c:pt idx="0">
                  <c:v>Programada</c:v>
                </c:pt>
                <c:pt idx="1">
                  <c:v>Técnica</c:v>
                </c:pt>
                <c:pt idx="2">
                  <c:v>Emergencial</c:v>
                </c:pt>
              </c:strCache>
            </c:strRef>
          </c:cat>
          <c:val>
            <c:numRef>
              <c:f>Gráficos!$E$186:$E$188</c:f>
              <c:numCache>
                <c:formatCode>0.00%</c:formatCode>
                <c:ptCount val="3"/>
                <c:pt idx="0">
                  <c:v>0.94736842105263153</c:v>
                </c:pt>
                <c:pt idx="1">
                  <c:v>0.86363636363636365</c:v>
                </c:pt>
                <c:pt idx="2">
                  <c:v>0.94736842105263153</c:v>
                </c:pt>
              </c:numCache>
            </c:numRef>
          </c:val>
          <c:extLst>
            <c:ext xmlns:c16="http://schemas.microsoft.com/office/drawing/2014/chart" uri="{C3380CC4-5D6E-409C-BE32-E72D297353CC}">
              <c16:uniqueId val="{00000000-33D3-4824-8302-33FE81942AF5}"/>
            </c:ext>
          </c:extLst>
        </c:ser>
        <c:ser>
          <c:idx val="2"/>
          <c:order val="1"/>
          <c:tx>
            <c:strRef>
              <c:f>Gráficos!$F$185</c:f>
              <c:strCache>
                <c:ptCount val="1"/>
                <c:pt idx="0">
                  <c:v>% Falha</c:v>
                </c:pt>
              </c:strCache>
            </c:strRef>
          </c:tx>
          <c:spPr>
            <a:solidFill>
              <a:srgbClr val="C00000">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Gráficos!$A$186:$A$188</c:f>
              <c:strCache>
                <c:ptCount val="3"/>
                <c:pt idx="0">
                  <c:v>Programada</c:v>
                </c:pt>
                <c:pt idx="1">
                  <c:v>Técnica</c:v>
                </c:pt>
                <c:pt idx="2">
                  <c:v>Emergencial</c:v>
                </c:pt>
              </c:strCache>
            </c:strRef>
          </c:cat>
          <c:val>
            <c:numRef>
              <c:f>Gráficos!$F$186:$F$188</c:f>
              <c:numCache>
                <c:formatCode>0.00%</c:formatCode>
                <c:ptCount val="3"/>
                <c:pt idx="0">
                  <c:v>5.2631578947368418E-2</c:v>
                </c:pt>
                <c:pt idx="1">
                  <c:v>0.13636363636363635</c:v>
                </c:pt>
                <c:pt idx="2">
                  <c:v>5.2631578947368418E-2</c:v>
                </c:pt>
              </c:numCache>
            </c:numRef>
          </c:val>
          <c:extLst>
            <c:ext xmlns:c16="http://schemas.microsoft.com/office/drawing/2014/chart" uri="{C3380CC4-5D6E-409C-BE32-E72D297353CC}">
              <c16:uniqueId val="{00000002-33D3-4824-8302-33FE81942AF5}"/>
            </c:ext>
          </c:extLst>
        </c:ser>
        <c:dLbls>
          <c:showLegendKey val="0"/>
          <c:showVal val="0"/>
          <c:showCatName val="0"/>
          <c:showSerName val="0"/>
          <c:showPercent val="0"/>
          <c:showBubbleSize val="0"/>
        </c:dLbls>
        <c:gapWidth val="219"/>
        <c:overlap val="-27"/>
        <c:axId val="410618184"/>
        <c:axId val="410618512"/>
      </c:barChart>
      <c:catAx>
        <c:axId val="41061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1200" b="1" i="0" u="none" strike="noStrike" kern="1200" baseline="0">
                <a:solidFill>
                  <a:schemeClr val="tx1"/>
                </a:solidFill>
                <a:latin typeface="+mn-lt"/>
                <a:ea typeface="+mn-ea"/>
                <a:cs typeface="+mn-cs"/>
              </a:defRPr>
            </a:pPr>
            <a:endParaRPr lang="pt-BR"/>
          </a:p>
        </c:txPr>
        <c:crossAx val="410618512"/>
        <c:crosses val="autoZero"/>
        <c:auto val="1"/>
        <c:lblAlgn val="ctr"/>
        <c:lblOffset val="100"/>
        <c:noMultiLvlLbl val="0"/>
      </c:catAx>
      <c:valAx>
        <c:axId val="410618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crossAx val="41061818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legend>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lang="pt-BR" sz="1000" b="0"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r>
              <a:rPr lang="pt-BR" sz="1800" b="1" i="0" baseline="0">
                <a:effectLst/>
              </a:rPr>
              <a:t>Percentual de Mudanças por Mês - Natureza</a:t>
            </a:r>
            <a:endParaRPr lang="pt-BR">
              <a:effectLst/>
            </a:endParaRPr>
          </a:p>
        </c:rich>
      </c:tx>
      <c:overlay val="0"/>
      <c:spPr>
        <a:noFill/>
        <a:ln>
          <a:noFill/>
        </a:ln>
        <a:effectLst/>
      </c:spPr>
      <c:txPr>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tx>
            <c:strRef>
              <c:f>Gráficos!$F$109</c:f>
              <c:strCache>
                <c:ptCount val="1"/>
                <c:pt idx="0">
                  <c:v>% Implantação de projeto</c:v>
                </c:pt>
              </c:strCache>
            </c:strRef>
          </c:tx>
          <c:spPr>
            <a:solidFill>
              <a:srgbClr val="548235">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Gráficos!$A$110:$A$114</c:f>
              <c:strCache>
                <c:ptCount val="5"/>
                <c:pt idx="0">
                  <c:v>Janeiro</c:v>
                </c:pt>
                <c:pt idx="1">
                  <c:v>Fevereiro</c:v>
                </c:pt>
                <c:pt idx="2">
                  <c:v>Março</c:v>
                </c:pt>
                <c:pt idx="3">
                  <c:v>Abril</c:v>
                </c:pt>
                <c:pt idx="4">
                  <c:v>Maio</c:v>
                </c:pt>
              </c:strCache>
            </c:strRef>
          </c:cat>
          <c:val>
            <c:numRef>
              <c:f>Gráficos!$F$110:$F$114</c:f>
              <c:numCache>
                <c:formatCode>0.00%</c:formatCode>
                <c:ptCount val="5"/>
                <c:pt idx="0">
                  <c:v>0.19393939393939394</c:v>
                </c:pt>
                <c:pt idx="1">
                  <c:v>0.18045112781954886</c:v>
                </c:pt>
                <c:pt idx="2">
                  <c:v>0.22</c:v>
                </c:pt>
                <c:pt idx="3">
                  <c:v>0.1317365269461078</c:v>
                </c:pt>
                <c:pt idx="4">
                  <c:v>0.16250000000000001</c:v>
                </c:pt>
              </c:numCache>
            </c:numRef>
          </c:val>
          <c:extLst>
            <c:ext xmlns:c16="http://schemas.microsoft.com/office/drawing/2014/chart" uri="{C3380CC4-5D6E-409C-BE32-E72D297353CC}">
              <c16:uniqueId val="{00000000-33D3-4824-8302-33FE81942AF5}"/>
            </c:ext>
          </c:extLst>
        </c:ser>
        <c:ser>
          <c:idx val="2"/>
          <c:order val="1"/>
          <c:tx>
            <c:strRef>
              <c:f>Gráficos!$G$109</c:f>
              <c:strCache>
                <c:ptCount val="1"/>
                <c:pt idx="0">
                  <c:v>% Manutenção de rotina ou Melhoria</c:v>
                </c:pt>
              </c:strCache>
            </c:strRef>
          </c:tx>
          <c:spPr>
            <a:solidFill>
              <a:srgbClr val="44546A">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Gráficos!$A$110:$A$114</c:f>
              <c:strCache>
                <c:ptCount val="5"/>
                <c:pt idx="0">
                  <c:v>Janeiro</c:v>
                </c:pt>
                <c:pt idx="1">
                  <c:v>Fevereiro</c:v>
                </c:pt>
                <c:pt idx="2">
                  <c:v>Março</c:v>
                </c:pt>
                <c:pt idx="3">
                  <c:v>Abril</c:v>
                </c:pt>
                <c:pt idx="4">
                  <c:v>Maio</c:v>
                </c:pt>
              </c:strCache>
            </c:strRef>
          </c:cat>
          <c:val>
            <c:numRef>
              <c:f>Gráficos!$G$110:$G$114</c:f>
              <c:numCache>
                <c:formatCode>0.00%</c:formatCode>
                <c:ptCount val="5"/>
                <c:pt idx="0">
                  <c:v>0.59393939393939399</c:v>
                </c:pt>
                <c:pt idx="1">
                  <c:v>0.5714285714285714</c:v>
                </c:pt>
                <c:pt idx="2">
                  <c:v>0.48666666666666669</c:v>
                </c:pt>
                <c:pt idx="3">
                  <c:v>0.65269461077844315</c:v>
                </c:pt>
                <c:pt idx="4">
                  <c:v>0.58750000000000002</c:v>
                </c:pt>
              </c:numCache>
            </c:numRef>
          </c:val>
          <c:extLst>
            <c:ext xmlns:c16="http://schemas.microsoft.com/office/drawing/2014/chart" uri="{C3380CC4-5D6E-409C-BE32-E72D297353CC}">
              <c16:uniqueId val="{00000002-33D3-4824-8302-33FE81942AF5}"/>
            </c:ext>
          </c:extLst>
        </c:ser>
        <c:ser>
          <c:idx val="3"/>
          <c:order val="2"/>
          <c:tx>
            <c:strRef>
              <c:f>Gráficos!$H$109</c:f>
              <c:strCache>
                <c:ptCount val="1"/>
                <c:pt idx="0">
                  <c:v>% Corretiva</c:v>
                </c:pt>
              </c:strCache>
            </c:strRef>
          </c:tx>
          <c:spPr>
            <a:solidFill>
              <a:srgbClr val="C00000">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Gráficos!$A$110:$A$114</c:f>
              <c:strCache>
                <c:ptCount val="5"/>
                <c:pt idx="0">
                  <c:v>Janeiro</c:v>
                </c:pt>
                <c:pt idx="1">
                  <c:v>Fevereiro</c:v>
                </c:pt>
                <c:pt idx="2">
                  <c:v>Março</c:v>
                </c:pt>
                <c:pt idx="3">
                  <c:v>Abril</c:v>
                </c:pt>
                <c:pt idx="4">
                  <c:v>Maio</c:v>
                </c:pt>
              </c:strCache>
            </c:strRef>
          </c:cat>
          <c:val>
            <c:numRef>
              <c:f>Gráficos!$H$110:$H$114</c:f>
              <c:numCache>
                <c:formatCode>0.00%</c:formatCode>
                <c:ptCount val="5"/>
                <c:pt idx="0">
                  <c:v>0.21212121212121213</c:v>
                </c:pt>
                <c:pt idx="1">
                  <c:v>0.24812030075187969</c:v>
                </c:pt>
                <c:pt idx="2">
                  <c:v>0.29333333333333333</c:v>
                </c:pt>
                <c:pt idx="3">
                  <c:v>0.21556886227544911</c:v>
                </c:pt>
                <c:pt idx="4">
                  <c:v>0.25</c:v>
                </c:pt>
              </c:numCache>
            </c:numRef>
          </c:val>
          <c:extLst>
            <c:ext xmlns:c16="http://schemas.microsoft.com/office/drawing/2014/chart" uri="{C3380CC4-5D6E-409C-BE32-E72D297353CC}">
              <c16:uniqueId val="{00000003-33D3-4824-8302-33FE81942AF5}"/>
            </c:ext>
          </c:extLst>
        </c:ser>
        <c:dLbls>
          <c:showLegendKey val="0"/>
          <c:showVal val="0"/>
          <c:showCatName val="0"/>
          <c:showSerName val="0"/>
          <c:showPercent val="0"/>
          <c:showBubbleSize val="0"/>
        </c:dLbls>
        <c:gapWidth val="219"/>
        <c:overlap val="-27"/>
        <c:axId val="410618184"/>
        <c:axId val="410618512"/>
      </c:barChart>
      <c:catAx>
        <c:axId val="41061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1200" b="1" i="0" u="none" strike="noStrike" kern="1200" baseline="0">
                <a:solidFill>
                  <a:schemeClr val="tx1"/>
                </a:solidFill>
                <a:latin typeface="+mn-lt"/>
                <a:ea typeface="+mn-ea"/>
                <a:cs typeface="+mn-cs"/>
              </a:defRPr>
            </a:pPr>
            <a:endParaRPr lang="pt-BR"/>
          </a:p>
        </c:txPr>
        <c:crossAx val="410618512"/>
        <c:crosses val="autoZero"/>
        <c:auto val="1"/>
        <c:lblAlgn val="ctr"/>
        <c:lblOffset val="100"/>
        <c:noMultiLvlLbl val="0"/>
      </c:catAx>
      <c:valAx>
        <c:axId val="410618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crossAx val="41061818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legend>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lang="pt-BR" sz="1000" b="0"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pt-BR"/>
              <a:t>Mudanças</a:t>
            </a:r>
            <a:r>
              <a:rPr lang="pt-BR" baseline="0"/>
              <a:t> por Site - Maio</a:t>
            </a:r>
            <a:endParaRPr lang="pt-B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spPr>
            <a:solidFill>
              <a:srgbClr val="44546A">
                <a:alpha val="80000"/>
              </a:srgb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Gráficos!$A$221:$A$251</c:f>
              <c:strCache>
                <c:ptCount val="31"/>
                <c:pt idx="0">
                  <c:v>Alegria - SPO</c:v>
                </c:pt>
                <c:pt idx="1">
                  <c:v>POP OI - Arcos</c:v>
                </c:pt>
                <c:pt idx="2">
                  <c:v>Mackenzie - RJO</c:v>
                </c:pt>
                <c:pt idx="3">
                  <c:v>Fortaleza - FOR</c:v>
                </c:pt>
                <c:pt idx="4">
                  <c:v>Alameda Santos - SPO</c:v>
                </c:pt>
                <c:pt idx="5">
                  <c:v>Santo Amaro - REC</c:v>
                </c:pt>
                <c:pt idx="6">
                  <c:v>Antartica - SPO</c:v>
                </c:pt>
                <c:pt idx="7">
                  <c:v>Boa Viagem</c:v>
                </c:pt>
                <c:pt idx="8">
                  <c:v>Aurora - REC</c:v>
                </c:pt>
                <c:pt idx="9">
                  <c:v>Niterói - NIT</c:v>
                </c:pt>
                <c:pt idx="10">
                  <c:v>Lapa - SPO</c:v>
                </c:pt>
                <c:pt idx="11">
                  <c:v>Data Center Alegria NGR</c:v>
                </c:pt>
                <c:pt idx="12">
                  <c:v>João Pessoa - JPA</c:v>
                </c:pt>
                <c:pt idx="13">
                  <c:v>São Cristovão - RJO</c:v>
                </c:pt>
                <c:pt idx="14">
                  <c:v>Data Center AlphaVille NGR</c:v>
                </c:pt>
                <c:pt idx="15">
                  <c:v>Fonte Nova - SAL</c:v>
                </c:pt>
                <c:pt idx="16">
                  <c:v>Cabula - SAL</c:v>
                </c:pt>
                <c:pt idx="17">
                  <c:v>Prado - BHZ</c:v>
                </c:pt>
                <c:pt idx="18">
                  <c:v>Prado II - BHZ</c:v>
                </c:pt>
                <c:pt idx="19">
                  <c:v>Engenho de Dentro - RJO</c:v>
                </c:pt>
                <c:pt idx="20">
                  <c:v>Comércio - SAL</c:v>
                </c:pt>
                <c:pt idx="21">
                  <c:v>Luigi Amorese -Dedic</c:v>
                </c:pt>
                <c:pt idx="22">
                  <c:v>Matriz - MTZ</c:v>
                </c:pt>
                <c:pt idx="23">
                  <c:v>Mauá - RJO</c:v>
                </c:pt>
                <c:pt idx="24">
                  <c:v>Nascente - FOR</c:v>
                </c:pt>
                <c:pt idx="25">
                  <c:v>Paulista 407</c:v>
                </c:pt>
                <c:pt idx="26">
                  <c:v>TDO - Aurora</c:v>
                </c:pt>
                <c:pt idx="27">
                  <c:v>Dedic Campinas (Hicham)</c:v>
                </c:pt>
                <c:pt idx="28">
                  <c:v>Augusta - SPO</c:v>
                </c:pt>
                <c:pt idx="29">
                  <c:v>Campina Grande</c:v>
                </c:pt>
                <c:pt idx="30">
                  <c:v>Rio Branco - RBRSA</c:v>
                </c:pt>
              </c:strCache>
            </c:strRef>
          </c:cat>
          <c:val>
            <c:numRef>
              <c:f>Gráficos!$B$221:$B$251</c:f>
              <c:numCache>
                <c:formatCode>General</c:formatCode>
                <c:ptCount val="31"/>
                <c:pt idx="0">
                  <c:v>27</c:v>
                </c:pt>
                <c:pt idx="1">
                  <c:v>22</c:v>
                </c:pt>
                <c:pt idx="2">
                  <c:v>15</c:v>
                </c:pt>
                <c:pt idx="3">
                  <c:v>10</c:v>
                </c:pt>
                <c:pt idx="4">
                  <c:v>9</c:v>
                </c:pt>
                <c:pt idx="5">
                  <c:v>7</c:v>
                </c:pt>
                <c:pt idx="6">
                  <c:v>6</c:v>
                </c:pt>
                <c:pt idx="7">
                  <c:v>6</c:v>
                </c:pt>
                <c:pt idx="8">
                  <c:v>5</c:v>
                </c:pt>
                <c:pt idx="9">
                  <c:v>4</c:v>
                </c:pt>
                <c:pt idx="10">
                  <c:v>4</c:v>
                </c:pt>
                <c:pt idx="11">
                  <c:v>4</c:v>
                </c:pt>
                <c:pt idx="12">
                  <c:v>4</c:v>
                </c:pt>
                <c:pt idx="13">
                  <c:v>3</c:v>
                </c:pt>
                <c:pt idx="14">
                  <c:v>3</c:v>
                </c:pt>
                <c:pt idx="15">
                  <c:v>3</c:v>
                </c:pt>
                <c:pt idx="16">
                  <c:v>3</c:v>
                </c:pt>
                <c:pt idx="17">
                  <c:v>3</c:v>
                </c:pt>
                <c:pt idx="18">
                  <c:v>3</c:v>
                </c:pt>
                <c:pt idx="19">
                  <c:v>3</c:v>
                </c:pt>
                <c:pt idx="20">
                  <c:v>2</c:v>
                </c:pt>
                <c:pt idx="21">
                  <c:v>2</c:v>
                </c:pt>
                <c:pt idx="22">
                  <c:v>2</c:v>
                </c:pt>
                <c:pt idx="23">
                  <c:v>2</c:v>
                </c:pt>
                <c:pt idx="24">
                  <c:v>2</c:v>
                </c:pt>
                <c:pt idx="25">
                  <c:v>1</c:v>
                </c:pt>
                <c:pt idx="26">
                  <c:v>1</c:v>
                </c:pt>
                <c:pt idx="27">
                  <c:v>1</c:v>
                </c:pt>
                <c:pt idx="28">
                  <c:v>1</c:v>
                </c:pt>
                <c:pt idx="29">
                  <c:v>1</c:v>
                </c:pt>
                <c:pt idx="30">
                  <c:v>1</c:v>
                </c:pt>
              </c:numCache>
            </c:numRef>
          </c:val>
          <c:extLst>
            <c:ext xmlns:c16="http://schemas.microsoft.com/office/drawing/2014/chart" uri="{C3380CC4-5D6E-409C-BE32-E72D297353CC}">
              <c16:uniqueId val="{00000000-F86C-48B8-B4E5-F608B709C8B4}"/>
            </c:ext>
          </c:extLst>
        </c:ser>
        <c:dLbls>
          <c:showLegendKey val="0"/>
          <c:showVal val="0"/>
          <c:showCatName val="0"/>
          <c:showSerName val="0"/>
          <c:showPercent val="0"/>
          <c:showBubbleSize val="0"/>
        </c:dLbls>
        <c:gapWidth val="219"/>
        <c:overlap val="-27"/>
        <c:axId val="742744504"/>
        <c:axId val="742735976"/>
      </c:barChart>
      <c:catAx>
        <c:axId val="7427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crossAx val="742735976"/>
        <c:crosses val="autoZero"/>
        <c:auto val="1"/>
        <c:lblAlgn val="ctr"/>
        <c:lblOffset val="100"/>
        <c:noMultiLvlLbl val="0"/>
      </c:catAx>
      <c:valAx>
        <c:axId val="742735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742744504"/>
        <c:crosses val="autoZero"/>
        <c:crossBetween val="between"/>
      </c:valAx>
      <c:spPr>
        <a:noFill/>
        <a:ln>
          <a:noFill/>
        </a:ln>
        <a:effectLst/>
      </c:spPr>
    </c:plotArea>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pt-BR"/>
              <a:t>Mudanças</a:t>
            </a:r>
            <a:r>
              <a:rPr lang="pt-BR" baseline="0"/>
              <a:t> por Diretoria - Maio</a:t>
            </a:r>
            <a:endParaRPr lang="pt-B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spPr>
            <a:solidFill>
              <a:srgbClr val="44546A">
                <a:alpha val="80000"/>
              </a:srgb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Gráficos!$T$252:$T$271</c:f>
              <c:strCache>
                <c:ptCount val="20"/>
                <c:pt idx="0">
                  <c:v>Dir. Oi</c:v>
                </c:pt>
                <c:pt idx="1">
                  <c:v>Dir. Cobrança</c:v>
                </c:pt>
                <c:pt idx="2">
                  <c:v>Dir. Televendas</c:v>
                </c:pt>
                <c:pt idx="3">
                  <c:v>Dir. Cobrança,Dir. Oi,Dir. Televendas</c:v>
                </c:pt>
                <c:pt idx="4">
                  <c:v>Dir. Clientes Premium</c:v>
                </c:pt>
                <c:pt idx="5">
                  <c:v>Dir. Cobrança,Dir. Televendas</c:v>
                </c:pt>
                <c:pt idx="6">
                  <c:v>Dir. Clientes Especiais,Dir. Televendas</c:v>
                </c:pt>
                <c:pt idx="7">
                  <c:v>Dir. Clientes Especiais,Dir. Clientes Premium,Dir. Cobrança,Dir. Televendas</c:v>
                </c:pt>
                <c:pt idx="8">
                  <c:v>Dir. Oi,Dir. Televendas</c:v>
                </c:pt>
                <c:pt idx="9">
                  <c:v>Dir. Clientes Especiais,Dir. Oi,Dir. Televendas</c:v>
                </c:pt>
                <c:pt idx="10">
                  <c:v>Dir. Clientes Especiais</c:v>
                </c:pt>
                <c:pt idx="11">
                  <c:v>Dir. Clientes Especiais,Dir. Cobrança,Dir. Televendas</c:v>
                </c:pt>
                <c:pt idx="12">
                  <c:v>Dir. Clientes Especiais,Dir. Clientes Premium,Dir. Cobrança,Dir. de Produtos Financeiros,Dir. Oi</c:v>
                </c:pt>
                <c:pt idx="13">
                  <c:v>Dir. Clientes Especiais,Dir. Clientes Premium,Dir. Televendas</c:v>
                </c:pt>
                <c:pt idx="14">
                  <c:v>Dir. de Produtos Financeiros</c:v>
                </c:pt>
                <c:pt idx="15">
                  <c:v>Dir. Cobrança,Dir. de Produtos Financeiros</c:v>
                </c:pt>
                <c:pt idx="16">
                  <c:v>Dir. Clientes Especiais,Dir. Clientes Premium,Dir. Cobrança,Dir. de Produtos Financeiros,Dir. Oi,Dir. Televendas</c:v>
                </c:pt>
                <c:pt idx="17">
                  <c:v>Dir. Clientes Especiais,Dir. Oi</c:v>
                </c:pt>
                <c:pt idx="18">
                  <c:v>Dir. Clientes Premium,Dir. de Produtos Financeiros,Dir. Oi,Dir. Televendas</c:v>
                </c:pt>
                <c:pt idx="19">
                  <c:v>Dir. Clientes Premium,Dir. Cobrança,Dir. Oi,Dir. Televendas</c:v>
                </c:pt>
              </c:strCache>
            </c:strRef>
          </c:cat>
          <c:val>
            <c:numRef>
              <c:f>Gráficos!$U$252:$U$271</c:f>
              <c:numCache>
                <c:formatCode>General</c:formatCode>
                <c:ptCount val="20"/>
                <c:pt idx="0">
                  <c:v>27</c:v>
                </c:pt>
                <c:pt idx="1">
                  <c:v>20</c:v>
                </c:pt>
                <c:pt idx="2">
                  <c:v>20</c:v>
                </c:pt>
                <c:pt idx="3">
                  <c:v>9</c:v>
                </c:pt>
                <c:pt idx="4">
                  <c:v>9</c:v>
                </c:pt>
                <c:pt idx="5">
                  <c:v>6</c:v>
                </c:pt>
                <c:pt idx="6">
                  <c:v>4</c:v>
                </c:pt>
                <c:pt idx="7">
                  <c:v>2</c:v>
                </c:pt>
                <c:pt idx="8">
                  <c:v>2</c:v>
                </c:pt>
                <c:pt idx="9">
                  <c:v>2</c:v>
                </c:pt>
                <c:pt idx="10">
                  <c:v>2</c:v>
                </c:pt>
                <c:pt idx="11">
                  <c:v>2</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F86C-48B8-B4E5-F608B709C8B4}"/>
            </c:ext>
          </c:extLst>
        </c:ser>
        <c:dLbls>
          <c:showLegendKey val="0"/>
          <c:showVal val="0"/>
          <c:showCatName val="0"/>
          <c:showSerName val="0"/>
          <c:showPercent val="0"/>
          <c:showBubbleSize val="0"/>
        </c:dLbls>
        <c:gapWidth val="219"/>
        <c:overlap val="-27"/>
        <c:axId val="742744504"/>
        <c:axId val="742735976"/>
      </c:barChart>
      <c:catAx>
        <c:axId val="7427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crossAx val="742735976"/>
        <c:crosses val="autoZero"/>
        <c:auto val="1"/>
        <c:lblAlgn val="ctr"/>
        <c:lblOffset val="100"/>
        <c:noMultiLvlLbl val="0"/>
      </c:catAx>
      <c:valAx>
        <c:axId val="742735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742744504"/>
        <c:crosses val="autoZero"/>
        <c:crossBetween val="between"/>
      </c:valAx>
      <c:spPr>
        <a:noFill/>
        <a:ln>
          <a:noFill/>
        </a:ln>
        <a:effectLst/>
      </c:spPr>
    </c:plotArea>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pt-BR"/>
              <a:t>Consolidado de Mudanças  por Diretoria  - Maio</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spPr>
            <a:solidFill>
              <a:srgbClr val="44546A">
                <a:alpha val="80000"/>
              </a:srgb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Gráficos!$T$283:$T$288</c:f>
              <c:strCache>
                <c:ptCount val="6"/>
                <c:pt idx="0">
                  <c:v>Dir. Televendas</c:v>
                </c:pt>
                <c:pt idx="1">
                  <c:v>Dir. Oi</c:v>
                </c:pt>
                <c:pt idx="2">
                  <c:v>Dir. Cobrança</c:v>
                </c:pt>
                <c:pt idx="3">
                  <c:v>Dir. Clientes Especiais</c:v>
                </c:pt>
                <c:pt idx="4">
                  <c:v>Dir. Clientes Premium</c:v>
                </c:pt>
                <c:pt idx="5">
                  <c:v>Dir. de Produtos Financeiros</c:v>
                </c:pt>
              </c:strCache>
            </c:strRef>
          </c:cat>
          <c:val>
            <c:numRef>
              <c:f>Gráficos!$U$283:$U$288</c:f>
              <c:numCache>
                <c:formatCode>General</c:formatCode>
                <c:ptCount val="6"/>
                <c:pt idx="0">
                  <c:v>51</c:v>
                </c:pt>
                <c:pt idx="1">
                  <c:v>45</c:v>
                </c:pt>
                <c:pt idx="2">
                  <c:v>43</c:v>
                </c:pt>
                <c:pt idx="3">
                  <c:v>16</c:v>
                </c:pt>
                <c:pt idx="4">
                  <c:v>16</c:v>
                </c:pt>
                <c:pt idx="5">
                  <c:v>5</c:v>
                </c:pt>
              </c:numCache>
            </c:numRef>
          </c:val>
          <c:extLst>
            <c:ext xmlns:c16="http://schemas.microsoft.com/office/drawing/2014/chart" uri="{C3380CC4-5D6E-409C-BE32-E72D297353CC}">
              <c16:uniqueId val="{00000000-F86C-48B8-B4E5-F608B709C8B4}"/>
            </c:ext>
          </c:extLst>
        </c:ser>
        <c:dLbls>
          <c:showLegendKey val="0"/>
          <c:showVal val="0"/>
          <c:showCatName val="0"/>
          <c:showSerName val="0"/>
          <c:showPercent val="0"/>
          <c:showBubbleSize val="0"/>
        </c:dLbls>
        <c:gapWidth val="219"/>
        <c:overlap val="-27"/>
        <c:axId val="742744504"/>
        <c:axId val="742735976"/>
      </c:barChart>
      <c:catAx>
        <c:axId val="7427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crossAx val="742735976"/>
        <c:crosses val="autoZero"/>
        <c:auto val="1"/>
        <c:lblAlgn val="ctr"/>
        <c:lblOffset val="100"/>
        <c:noMultiLvlLbl val="0"/>
      </c:catAx>
      <c:valAx>
        <c:axId val="742735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742744504"/>
        <c:crosses val="autoZero"/>
        <c:crossBetween val="between"/>
      </c:valAx>
      <c:spPr>
        <a:noFill/>
        <a:ln>
          <a:noFill/>
        </a:ln>
        <a:effectLst/>
      </c:spPr>
    </c:plotArea>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pt-BR"/>
              <a:t>Total de Mudanças por cliente - Maio</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spPr>
            <a:solidFill>
              <a:srgbClr val="44546A">
                <a:alpha val="80000"/>
              </a:srgb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Gráficos!$A$315:$A$346</c:f>
              <c:strCache>
                <c:ptCount val="32"/>
                <c:pt idx="0">
                  <c:v>Oi</c:v>
                </c:pt>
                <c:pt idx="1">
                  <c:v>Contax</c:v>
                </c:pt>
                <c:pt idx="2">
                  <c:v>Bradesco,Oi,Santander,TODO</c:v>
                </c:pt>
                <c:pt idx="3">
                  <c:v>TAM</c:v>
                </c:pt>
                <c:pt idx="4">
                  <c:v>TODO</c:v>
                </c:pt>
                <c:pt idx="5">
                  <c:v>Santander</c:v>
                </c:pt>
                <c:pt idx="6">
                  <c:v>Net</c:v>
                </c:pt>
                <c:pt idx="7">
                  <c:v>VIVO</c:v>
                </c:pt>
                <c:pt idx="8">
                  <c:v>Claro,Oi</c:v>
                </c:pt>
                <c:pt idx="9">
                  <c:v>Nacional Gás,Oi</c:v>
                </c:pt>
                <c:pt idx="10">
                  <c:v>Bradesco,Itaú,Net,Oi,Santander</c:v>
                </c:pt>
                <c:pt idx="11">
                  <c:v>Orbitall</c:v>
                </c:pt>
                <c:pt idx="12">
                  <c:v>Citibank,Fundação Atlântico Seg Social,Oi,Rede Globo</c:v>
                </c:pt>
                <c:pt idx="13">
                  <c:v>Serasa</c:v>
                </c:pt>
                <c:pt idx="14">
                  <c:v>Banco do Brasil,Citibank,Oi</c:v>
                </c:pt>
                <c:pt idx="15">
                  <c:v>Brasil Veículo</c:v>
                </c:pt>
                <c:pt idx="16">
                  <c:v>Itaú,Oi</c:v>
                </c:pt>
                <c:pt idx="17">
                  <c:v>Bradesco,Cielo,Citibank,Santander,Serasa</c:v>
                </c:pt>
                <c:pt idx="18">
                  <c:v>Citibank,Oi</c:v>
                </c:pt>
                <c:pt idx="19">
                  <c:v>Bradesco,Santander,VIVO</c:v>
                </c:pt>
                <c:pt idx="20">
                  <c:v>Itaú</c:v>
                </c:pt>
                <c:pt idx="21">
                  <c:v>Bradesco,Ticket Serviços S/A,VIVO</c:v>
                </c:pt>
                <c:pt idx="22">
                  <c:v>Itaú,Net,Oi</c:v>
                </c:pt>
                <c:pt idx="23">
                  <c:v>Oi,Prefeitura RJ,TODO</c:v>
                </c:pt>
                <c:pt idx="24">
                  <c:v>Citibank,Leader Magazine,Oi</c:v>
                </c:pt>
                <c:pt idx="25">
                  <c:v>Brasil Veículo,Oi</c:v>
                </c:pt>
                <c:pt idx="26">
                  <c:v>Leader Magazine,Oi</c:v>
                </c:pt>
                <c:pt idx="27">
                  <c:v>Citibank</c:v>
                </c:pt>
                <c:pt idx="28">
                  <c:v>Bradesco,VIVO</c:v>
                </c:pt>
                <c:pt idx="29">
                  <c:v>Intermédica,Santander,TAM</c:v>
                </c:pt>
                <c:pt idx="30">
                  <c:v>Claro</c:v>
                </c:pt>
                <c:pt idx="31">
                  <c:v>DASA,Intermédica,Oi,Santander,TAM,TODO,Volkswagen,White Martins</c:v>
                </c:pt>
              </c:strCache>
            </c:strRef>
          </c:cat>
          <c:val>
            <c:numRef>
              <c:f>Gráficos!$B$315:$B$346</c:f>
              <c:numCache>
                <c:formatCode>General</c:formatCode>
                <c:ptCount val="32"/>
                <c:pt idx="0">
                  <c:v>60</c:v>
                </c:pt>
                <c:pt idx="1">
                  <c:v>37</c:v>
                </c:pt>
                <c:pt idx="2">
                  <c:v>5</c:v>
                </c:pt>
                <c:pt idx="3">
                  <c:v>5</c:v>
                </c:pt>
                <c:pt idx="4">
                  <c:v>5</c:v>
                </c:pt>
                <c:pt idx="5">
                  <c:v>4</c:v>
                </c:pt>
                <c:pt idx="6">
                  <c:v>4</c:v>
                </c:pt>
                <c:pt idx="7">
                  <c:v>4</c:v>
                </c:pt>
                <c:pt idx="8">
                  <c:v>3</c:v>
                </c:pt>
                <c:pt idx="9">
                  <c:v>3</c:v>
                </c:pt>
                <c:pt idx="10">
                  <c:v>3</c:v>
                </c:pt>
                <c:pt idx="11">
                  <c:v>2</c:v>
                </c:pt>
                <c:pt idx="12">
                  <c:v>2</c:v>
                </c:pt>
                <c:pt idx="13">
                  <c:v>2</c:v>
                </c:pt>
                <c:pt idx="14">
                  <c:v>2</c:v>
                </c:pt>
                <c:pt idx="15">
                  <c:v>2</c:v>
                </c:pt>
                <c:pt idx="16">
                  <c:v>2</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numCache>
            </c:numRef>
          </c:val>
          <c:extLst>
            <c:ext xmlns:c16="http://schemas.microsoft.com/office/drawing/2014/chart" uri="{C3380CC4-5D6E-409C-BE32-E72D297353CC}">
              <c16:uniqueId val="{00000000-F86C-48B8-B4E5-F608B709C8B4}"/>
            </c:ext>
          </c:extLst>
        </c:ser>
        <c:dLbls>
          <c:showLegendKey val="0"/>
          <c:showVal val="0"/>
          <c:showCatName val="0"/>
          <c:showSerName val="0"/>
          <c:showPercent val="0"/>
          <c:showBubbleSize val="0"/>
        </c:dLbls>
        <c:gapWidth val="219"/>
        <c:overlap val="-27"/>
        <c:axId val="742744504"/>
        <c:axId val="742735976"/>
      </c:barChart>
      <c:catAx>
        <c:axId val="7427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crossAx val="742735976"/>
        <c:crosses val="autoZero"/>
        <c:auto val="1"/>
        <c:lblAlgn val="ctr"/>
        <c:lblOffset val="100"/>
        <c:noMultiLvlLbl val="0"/>
      </c:catAx>
      <c:valAx>
        <c:axId val="742735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742744504"/>
        <c:crosses val="autoZero"/>
        <c:crossBetween val="between"/>
      </c:valAx>
      <c:spPr>
        <a:noFill/>
        <a:ln>
          <a:noFill/>
        </a:ln>
        <a:effectLst/>
      </c:spPr>
    </c:plotArea>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pt-BR"/>
              <a:t>Consolidado de Mudanças</a:t>
            </a:r>
            <a:r>
              <a:rPr lang="pt-BR" baseline="0"/>
              <a:t>  por cliente - Maio</a:t>
            </a:r>
            <a:endParaRPr lang="pt-B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spPr>
            <a:solidFill>
              <a:srgbClr val="44546A">
                <a:alpha val="80000"/>
              </a:srgb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Gráficos!$T$345:$T$370</c:f>
              <c:strCache>
                <c:ptCount val="26"/>
                <c:pt idx="0">
                  <c:v>Oi</c:v>
                </c:pt>
                <c:pt idx="1">
                  <c:v>Contax</c:v>
                </c:pt>
                <c:pt idx="2">
                  <c:v>Santander</c:v>
                </c:pt>
                <c:pt idx="3">
                  <c:v>Bradesco</c:v>
                </c:pt>
                <c:pt idx="4">
                  <c:v>TODO</c:v>
                </c:pt>
                <c:pt idx="5">
                  <c:v>Citibank</c:v>
                </c:pt>
                <c:pt idx="6">
                  <c:v>Net</c:v>
                </c:pt>
                <c:pt idx="7">
                  <c:v>TAM</c:v>
                </c:pt>
                <c:pt idx="8">
                  <c:v>Itaú</c:v>
                </c:pt>
                <c:pt idx="9">
                  <c:v>VIVO</c:v>
                </c:pt>
                <c:pt idx="10">
                  <c:v>Claro</c:v>
                </c:pt>
                <c:pt idx="11">
                  <c:v>Brasil Veículo</c:v>
                </c:pt>
                <c:pt idx="12">
                  <c:v>Serasa</c:v>
                </c:pt>
                <c:pt idx="13">
                  <c:v>Nacional Gás</c:v>
                </c:pt>
                <c:pt idx="14">
                  <c:v>Intermédica</c:v>
                </c:pt>
                <c:pt idx="15">
                  <c:v>Fundação Atlântico Seg Social</c:v>
                </c:pt>
                <c:pt idx="16">
                  <c:v>Rede Globo</c:v>
                </c:pt>
                <c:pt idx="17">
                  <c:v>Leader Magazine</c:v>
                </c:pt>
                <c:pt idx="18">
                  <c:v>Orbitall</c:v>
                </c:pt>
                <c:pt idx="19">
                  <c:v>Banco do Brasil</c:v>
                </c:pt>
                <c:pt idx="20">
                  <c:v>Cielo</c:v>
                </c:pt>
                <c:pt idx="21">
                  <c:v>DASA</c:v>
                </c:pt>
                <c:pt idx="22">
                  <c:v>Volkswagen</c:v>
                </c:pt>
                <c:pt idx="23">
                  <c:v>White Martins</c:v>
                </c:pt>
                <c:pt idx="24">
                  <c:v>Prefeitura RJ</c:v>
                </c:pt>
                <c:pt idx="25">
                  <c:v>Ticket Serviços S/A</c:v>
                </c:pt>
              </c:strCache>
            </c:strRef>
          </c:cat>
          <c:val>
            <c:numRef>
              <c:f>Gráficos!$U$345:$U$370</c:f>
              <c:numCache>
                <c:formatCode>General</c:formatCode>
                <c:ptCount val="26"/>
                <c:pt idx="0">
                  <c:v>87</c:v>
                </c:pt>
                <c:pt idx="1">
                  <c:v>37</c:v>
                </c:pt>
                <c:pt idx="2">
                  <c:v>16</c:v>
                </c:pt>
                <c:pt idx="3">
                  <c:v>12</c:v>
                </c:pt>
                <c:pt idx="4">
                  <c:v>12</c:v>
                </c:pt>
                <c:pt idx="5">
                  <c:v>8</c:v>
                </c:pt>
                <c:pt idx="6">
                  <c:v>8</c:v>
                </c:pt>
                <c:pt idx="7">
                  <c:v>7</c:v>
                </c:pt>
                <c:pt idx="8">
                  <c:v>7</c:v>
                </c:pt>
                <c:pt idx="9">
                  <c:v>7</c:v>
                </c:pt>
                <c:pt idx="10">
                  <c:v>4</c:v>
                </c:pt>
                <c:pt idx="11">
                  <c:v>3</c:v>
                </c:pt>
                <c:pt idx="12">
                  <c:v>3</c:v>
                </c:pt>
                <c:pt idx="13">
                  <c:v>3</c:v>
                </c:pt>
                <c:pt idx="14">
                  <c:v>2</c:v>
                </c:pt>
                <c:pt idx="15">
                  <c:v>2</c:v>
                </c:pt>
                <c:pt idx="16">
                  <c:v>2</c:v>
                </c:pt>
                <c:pt idx="17">
                  <c:v>2</c:v>
                </c:pt>
                <c:pt idx="18">
                  <c:v>2</c:v>
                </c:pt>
                <c:pt idx="19">
                  <c:v>2</c:v>
                </c:pt>
                <c:pt idx="20">
                  <c:v>1</c:v>
                </c:pt>
                <c:pt idx="21">
                  <c:v>1</c:v>
                </c:pt>
                <c:pt idx="22">
                  <c:v>1</c:v>
                </c:pt>
                <c:pt idx="23">
                  <c:v>1</c:v>
                </c:pt>
                <c:pt idx="24">
                  <c:v>1</c:v>
                </c:pt>
                <c:pt idx="25">
                  <c:v>1</c:v>
                </c:pt>
              </c:numCache>
            </c:numRef>
          </c:val>
          <c:extLst>
            <c:ext xmlns:c16="http://schemas.microsoft.com/office/drawing/2014/chart" uri="{C3380CC4-5D6E-409C-BE32-E72D297353CC}">
              <c16:uniqueId val="{00000000-F86C-48B8-B4E5-F608B709C8B4}"/>
            </c:ext>
          </c:extLst>
        </c:ser>
        <c:dLbls>
          <c:showLegendKey val="0"/>
          <c:showVal val="0"/>
          <c:showCatName val="0"/>
          <c:showSerName val="0"/>
          <c:showPercent val="0"/>
          <c:showBubbleSize val="0"/>
        </c:dLbls>
        <c:gapWidth val="219"/>
        <c:overlap val="-27"/>
        <c:axId val="742744504"/>
        <c:axId val="742735976"/>
      </c:barChart>
      <c:catAx>
        <c:axId val="7427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crossAx val="742735976"/>
        <c:crosses val="autoZero"/>
        <c:auto val="1"/>
        <c:lblAlgn val="ctr"/>
        <c:lblOffset val="100"/>
        <c:noMultiLvlLbl val="0"/>
      </c:catAx>
      <c:valAx>
        <c:axId val="742735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742744504"/>
        <c:crosses val="autoZero"/>
        <c:crossBetween val="between"/>
      </c:valAx>
      <c:spPr>
        <a:noFill/>
        <a:ln>
          <a:noFill/>
        </a:ln>
        <a:effectLst/>
      </c:spPr>
    </c:plotArea>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r>
              <a:rPr lang="pt-BR"/>
              <a:t>Mudanças por Cliente</a:t>
            </a:r>
            <a:r>
              <a:rPr lang="pt-BR" baseline="0"/>
              <a:t> e Sucesso - Maio</a:t>
            </a:r>
            <a:endParaRPr lang="pt-BR"/>
          </a:p>
        </c:rich>
      </c:tx>
      <c:overlay val="0"/>
      <c:spPr>
        <a:noFill/>
        <a:ln>
          <a:noFill/>
        </a:ln>
        <a:effectLst/>
      </c:spPr>
      <c:txPr>
        <a:bodyPr rot="0" spcFirstLastPara="1" vertOverflow="ellipsis" vert="horz" wrap="square" anchor="ctr" anchorCtr="1"/>
        <a:lstStyle/>
        <a:p>
          <a:pPr>
            <a:defRPr lang="pt-B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percentStacked"/>
        <c:varyColors val="0"/>
        <c:ser>
          <c:idx val="0"/>
          <c:order val="0"/>
          <c:tx>
            <c:strRef>
              <c:f>Gráficos!$U$377</c:f>
              <c:strCache>
                <c:ptCount val="1"/>
                <c:pt idx="0">
                  <c:v>Sucesso</c:v>
                </c:pt>
              </c:strCache>
            </c:strRef>
          </c:tx>
          <c:spPr>
            <a:solidFill>
              <a:srgbClr val="44546A">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Gráficos!$T$378:$T$402</c:f>
              <c:strCache>
                <c:ptCount val="25"/>
                <c:pt idx="0">
                  <c:v>Oi</c:v>
                </c:pt>
                <c:pt idx="1">
                  <c:v>Contax</c:v>
                </c:pt>
                <c:pt idx="2">
                  <c:v>Santander</c:v>
                </c:pt>
                <c:pt idx="3">
                  <c:v>Bradesco</c:v>
                </c:pt>
                <c:pt idx="4">
                  <c:v>TODO</c:v>
                </c:pt>
                <c:pt idx="5">
                  <c:v>Citibank</c:v>
                </c:pt>
                <c:pt idx="6">
                  <c:v>Net</c:v>
                </c:pt>
                <c:pt idx="7">
                  <c:v>Itaú</c:v>
                </c:pt>
                <c:pt idx="8">
                  <c:v>TAM</c:v>
                </c:pt>
                <c:pt idx="9">
                  <c:v>VIVO</c:v>
                </c:pt>
                <c:pt idx="10">
                  <c:v>Claro</c:v>
                </c:pt>
                <c:pt idx="11">
                  <c:v>Brasil Veículo</c:v>
                </c:pt>
                <c:pt idx="12">
                  <c:v>Nacional Gás</c:v>
                </c:pt>
                <c:pt idx="13">
                  <c:v>Serasa</c:v>
                </c:pt>
                <c:pt idx="14">
                  <c:v>Banco do Brasil</c:v>
                </c:pt>
                <c:pt idx="15">
                  <c:v>Fundação Atlântico Seg Social</c:v>
                </c:pt>
                <c:pt idx="16">
                  <c:v>Intermédica</c:v>
                </c:pt>
                <c:pt idx="17">
                  <c:v>Leader Magazine</c:v>
                </c:pt>
                <c:pt idx="18">
                  <c:v>Orbitall</c:v>
                </c:pt>
                <c:pt idx="19">
                  <c:v>Rede Globo</c:v>
                </c:pt>
                <c:pt idx="20">
                  <c:v>Cielo</c:v>
                </c:pt>
                <c:pt idx="21">
                  <c:v>DASA</c:v>
                </c:pt>
                <c:pt idx="22">
                  <c:v>Prefeitura RJ</c:v>
                </c:pt>
                <c:pt idx="23">
                  <c:v>Ticket Serviços S/A</c:v>
                </c:pt>
                <c:pt idx="24">
                  <c:v>Volkswagen</c:v>
                </c:pt>
              </c:strCache>
            </c:strRef>
          </c:cat>
          <c:val>
            <c:numRef>
              <c:f>Gráficos!$U$378:$U$402</c:f>
              <c:numCache>
                <c:formatCode>General</c:formatCode>
                <c:ptCount val="25"/>
                <c:pt idx="0">
                  <c:v>78</c:v>
                </c:pt>
                <c:pt idx="1">
                  <c:v>33</c:v>
                </c:pt>
                <c:pt idx="2">
                  <c:v>16</c:v>
                </c:pt>
                <c:pt idx="3">
                  <c:v>12</c:v>
                </c:pt>
                <c:pt idx="4">
                  <c:v>12</c:v>
                </c:pt>
                <c:pt idx="5">
                  <c:v>7</c:v>
                </c:pt>
                <c:pt idx="6">
                  <c:v>8</c:v>
                </c:pt>
                <c:pt idx="7">
                  <c:v>7</c:v>
                </c:pt>
                <c:pt idx="8">
                  <c:v>6</c:v>
                </c:pt>
                <c:pt idx="9">
                  <c:v>7</c:v>
                </c:pt>
                <c:pt idx="10">
                  <c:v>3</c:v>
                </c:pt>
                <c:pt idx="11">
                  <c:v>3</c:v>
                </c:pt>
                <c:pt idx="12">
                  <c:v>3</c:v>
                </c:pt>
                <c:pt idx="13">
                  <c:v>3</c:v>
                </c:pt>
                <c:pt idx="14">
                  <c:v>1</c:v>
                </c:pt>
                <c:pt idx="15">
                  <c:v>2</c:v>
                </c:pt>
                <c:pt idx="16">
                  <c:v>2</c:v>
                </c:pt>
                <c:pt idx="17">
                  <c:v>2</c:v>
                </c:pt>
                <c:pt idx="18">
                  <c:v>2</c:v>
                </c:pt>
                <c:pt idx="19">
                  <c:v>2</c:v>
                </c:pt>
                <c:pt idx="20">
                  <c:v>1</c:v>
                </c:pt>
                <c:pt idx="21">
                  <c:v>1</c:v>
                </c:pt>
                <c:pt idx="22">
                  <c:v>1</c:v>
                </c:pt>
                <c:pt idx="23">
                  <c:v>1</c:v>
                </c:pt>
                <c:pt idx="24">
                  <c:v>1</c:v>
                </c:pt>
              </c:numCache>
            </c:numRef>
          </c:val>
          <c:extLst>
            <c:ext xmlns:c16="http://schemas.microsoft.com/office/drawing/2014/chart" uri="{C3380CC4-5D6E-409C-BE32-E72D297353CC}">
              <c16:uniqueId val="{00000000-33D3-4824-8302-33FE81942AF5}"/>
            </c:ext>
          </c:extLst>
        </c:ser>
        <c:ser>
          <c:idx val="2"/>
          <c:order val="1"/>
          <c:tx>
            <c:strRef>
              <c:f>Gráficos!$V$377</c:f>
              <c:strCache>
                <c:ptCount val="1"/>
                <c:pt idx="0">
                  <c:v>Falha</c:v>
                </c:pt>
              </c:strCache>
            </c:strRef>
          </c:tx>
          <c:spPr>
            <a:solidFill>
              <a:srgbClr val="C00000">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10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Gráficos!$T$378:$T$402</c:f>
              <c:strCache>
                <c:ptCount val="25"/>
                <c:pt idx="0">
                  <c:v>Oi</c:v>
                </c:pt>
                <c:pt idx="1">
                  <c:v>Contax</c:v>
                </c:pt>
                <c:pt idx="2">
                  <c:v>Santander</c:v>
                </c:pt>
                <c:pt idx="3">
                  <c:v>Bradesco</c:v>
                </c:pt>
                <c:pt idx="4">
                  <c:v>TODO</c:v>
                </c:pt>
                <c:pt idx="5">
                  <c:v>Citibank</c:v>
                </c:pt>
                <c:pt idx="6">
                  <c:v>Net</c:v>
                </c:pt>
                <c:pt idx="7">
                  <c:v>Itaú</c:v>
                </c:pt>
                <c:pt idx="8">
                  <c:v>TAM</c:v>
                </c:pt>
                <c:pt idx="9">
                  <c:v>VIVO</c:v>
                </c:pt>
                <c:pt idx="10">
                  <c:v>Claro</c:v>
                </c:pt>
                <c:pt idx="11">
                  <c:v>Brasil Veículo</c:v>
                </c:pt>
                <c:pt idx="12">
                  <c:v>Nacional Gás</c:v>
                </c:pt>
                <c:pt idx="13">
                  <c:v>Serasa</c:v>
                </c:pt>
                <c:pt idx="14">
                  <c:v>Banco do Brasil</c:v>
                </c:pt>
                <c:pt idx="15">
                  <c:v>Fundação Atlântico Seg Social</c:v>
                </c:pt>
                <c:pt idx="16">
                  <c:v>Intermédica</c:v>
                </c:pt>
                <c:pt idx="17">
                  <c:v>Leader Magazine</c:v>
                </c:pt>
                <c:pt idx="18">
                  <c:v>Orbitall</c:v>
                </c:pt>
                <c:pt idx="19">
                  <c:v>Rede Globo</c:v>
                </c:pt>
                <c:pt idx="20">
                  <c:v>Cielo</c:v>
                </c:pt>
                <c:pt idx="21">
                  <c:v>DASA</c:v>
                </c:pt>
                <c:pt idx="22">
                  <c:v>Prefeitura RJ</c:v>
                </c:pt>
                <c:pt idx="23">
                  <c:v>Ticket Serviços S/A</c:v>
                </c:pt>
                <c:pt idx="24">
                  <c:v>Volkswagen</c:v>
                </c:pt>
              </c:strCache>
            </c:strRef>
          </c:cat>
          <c:val>
            <c:numRef>
              <c:f>Gráficos!$V$378:$V$402</c:f>
              <c:numCache>
                <c:formatCode>General</c:formatCode>
                <c:ptCount val="25"/>
                <c:pt idx="0">
                  <c:v>7</c:v>
                </c:pt>
                <c:pt idx="1">
                  <c:v>4</c:v>
                </c:pt>
                <c:pt idx="5">
                  <c:v>1</c:v>
                </c:pt>
                <c:pt idx="8">
                  <c:v>1</c:v>
                </c:pt>
                <c:pt idx="10">
                  <c:v>1</c:v>
                </c:pt>
                <c:pt idx="14">
                  <c:v>1</c:v>
                </c:pt>
              </c:numCache>
            </c:numRef>
          </c:val>
          <c:extLst>
            <c:ext xmlns:c16="http://schemas.microsoft.com/office/drawing/2014/chart" uri="{C3380CC4-5D6E-409C-BE32-E72D297353CC}">
              <c16:uniqueId val="{00000002-33D3-4824-8302-33FE81942AF5}"/>
            </c:ext>
          </c:extLst>
        </c:ser>
        <c:dLbls>
          <c:showLegendKey val="0"/>
          <c:showVal val="0"/>
          <c:showCatName val="0"/>
          <c:showSerName val="0"/>
          <c:showPercent val="0"/>
          <c:showBubbleSize val="0"/>
        </c:dLbls>
        <c:gapWidth val="219"/>
        <c:overlap val="100"/>
        <c:axId val="410618184"/>
        <c:axId val="410618512"/>
      </c:barChart>
      <c:catAx>
        <c:axId val="41061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1200" b="1" i="0" u="none" strike="noStrike" kern="1200" baseline="0">
                <a:solidFill>
                  <a:schemeClr val="tx1"/>
                </a:solidFill>
                <a:latin typeface="+mn-lt"/>
                <a:ea typeface="+mn-ea"/>
                <a:cs typeface="+mn-cs"/>
              </a:defRPr>
            </a:pPr>
            <a:endParaRPr lang="pt-BR"/>
          </a:p>
        </c:txPr>
        <c:crossAx val="410618512"/>
        <c:crosses val="autoZero"/>
        <c:auto val="1"/>
        <c:lblAlgn val="ctr"/>
        <c:lblOffset val="100"/>
        <c:noMultiLvlLbl val="0"/>
      </c:catAx>
      <c:valAx>
        <c:axId val="410618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crossAx val="41061818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lang="pt-BR" sz="1000" b="0" i="0" u="none" strike="noStrike" kern="1200" baseline="0">
              <a:solidFill>
                <a:schemeClr val="tx1"/>
              </a:solidFill>
              <a:latin typeface="+mn-lt"/>
              <a:ea typeface="+mn-ea"/>
              <a:cs typeface="+mn-cs"/>
            </a:defRPr>
          </a:pPr>
          <a:endParaRPr lang="pt-BR"/>
        </a:p>
      </c:txPr>
    </c:legend>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lang="pt-BR" sz="1000" b="0"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pt-BR"/>
              <a:t>Total</a:t>
            </a:r>
            <a:r>
              <a:rPr lang="pt-BR" baseline="0"/>
              <a:t> de Mudanças por Projeto</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Gráficos!$A$410:$A$444</c:f>
              <c:strCache>
                <c:ptCount val="35"/>
                <c:pt idx="0">
                  <c:v>OI-15217</c:v>
                </c:pt>
                <c:pt idx="1">
                  <c:v>PROTHEUS</c:v>
                </c:pt>
                <c:pt idx="2">
                  <c:v>Remoção do Symantec e Instalação do Anti-Vírus McAfee</c:v>
                </c:pt>
                <c:pt idx="3">
                  <c:v>NGR URA USSD</c:v>
                </c:pt>
                <c:pt idx="4">
                  <c:v>N/A</c:v>
                </c:pt>
                <c:pt idx="5">
                  <c:v>Manutenção  preventiva   com o objetivo de manter  a confiabilidade do equipamento.</c:v>
                </c:pt>
                <c:pt idx="6">
                  <c:v>OI-10561</c:v>
                </c:pt>
                <c:pt idx="7">
                  <c:v>Projeto Qualidade na Gravação</c:v>
                </c:pt>
                <c:pt idx="8">
                  <c:v>Alteração do Lay-out do raw</c:v>
                </c:pt>
                <c:pt idx="9">
                  <c:v>contaxFácil</c:v>
                </c:pt>
                <c:pt idx="10">
                  <c:v>Adicionar os clientes abaixo no campo Cliente/Operação e adicionar novos opções no campo Serviço afetado de acordo com os clientes - Lafê  - Globo  - Prefeitura do RJ  - Fundação Atlantico - NET  - Souza Cruz  - Claro</c:v>
                </c:pt>
                <c:pt idx="11">
                  <c:v>Criação de um novo local de trabalho no tprocess.  Nome: CTXFORBTC - Contax Fortaleza Brasil Treine Center  Este novo local só deve ter permissão para abertura de chamados como requisição de serviço e deve ser direcionado automaticamente para site-suporte</c:v>
                </c:pt>
                <c:pt idx="12">
                  <c:v>OI-14887 / OI-15176 / OI-15200 / OI-15233</c:v>
                </c:pt>
                <c:pt idx="13">
                  <c:v>Criação do cliente Banco do Brasil</c:v>
                </c:pt>
                <c:pt idx="14">
                  <c:v>Preventiva mensal teste em vazio do gerador heimer 305 KVA</c:v>
                </c:pt>
                <c:pt idx="15">
                  <c:v>DEMANDAS-3642</c:v>
                </c:pt>
                <c:pt idx="16">
                  <c:v>Atualizar os campos de Incidentes para o cliente Citibank.</c:v>
                </c:pt>
                <c:pt idx="17">
                  <c:v>Desativação Placa de Rede</c:v>
                </c:pt>
                <c:pt idx="18">
                  <c:v>No break</c:v>
                </c:pt>
                <c:pt idx="19">
                  <c:v>Inserção da Operação "Dir. Engenharia e Produção TI" para o Cliente Contax</c:v>
                </c:pt>
                <c:pt idx="20">
                  <c:v>OI-12371</c:v>
                </c:pt>
                <c:pt idx="21">
                  <c:v>Limpeza de tanques de diesel</c:v>
                </c:pt>
                <c:pt idx="22">
                  <c:v>OI-15178/OI-15248</c:v>
                </c:pt>
                <c:pt idx="23">
                  <c:v>SIM</c:v>
                </c:pt>
                <c:pt idx="24">
                  <c:v>OI-15217_Projeto 9º Dígito - Inclusão DDDs 6x</c:v>
                </c:pt>
                <c:pt idx="25">
                  <c:v>Texto Padrão</c:v>
                </c:pt>
                <c:pt idx="26">
                  <c:v>Projeto de eficiência energética</c:v>
                </c:pt>
                <c:pt idx="27">
                  <c:v>1º Melhoria para tratamento de cliente com mais de uma conta vencendo no mesmo mês. 2º Ajustar o Menu de Cancelamento;</c:v>
                </c:pt>
                <c:pt idx="28">
                  <c:v>Atualização de service pack dos CM's NGR</c:v>
                </c:pt>
                <c:pt idx="29">
                  <c:v>Modificar o tempo de SLA para os chamados do site Alegria</c:v>
                </c:pt>
                <c:pt idx="30">
                  <c:v>Atualizar os campos de Incidentes para o cliente Leader Magazine.</c:v>
                </c:pt>
                <c:pt idx="31">
                  <c:v>9 digito</c:v>
                </c:pt>
                <c:pt idx="32">
                  <c:v>ura 880</c:v>
                </c:pt>
                <c:pt idx="33">
                  <c:v>Manutenção banco de dados do FPw</c:v>
                </c:pt>
                <c:pt idx="34">
                  <c:v>Manutenção FPw</c:v>
                </c:pt>
              </c:strCache>
            </c:strRef>
          </c:cat>
          <c:val>
            <c:numRef>
              <c:f>Gráficos!$B$410:$B$444</c:f>
              <c:numCache>
                <c:formatCode>General</c:formatCode>
                <c:ptCount val="35"/>
                <c:pt idx="0">
                  <c:v>3</c:v>
                </c:pt>
                <c:pt idx="1">
                  <c:v>3</c:v>
                </c:pt>
                <c:pt idx="2">
                  <c:v>3</c:v>
                </c:pt>
                <c:pt idx="3">
                  <c:v>2</c:v>
                </c:pt>
                <c:pt idx="4">
                  <c:v>2</c:v>
                </c:pt>
                <c:pt idx="5">
                  <c:v>2</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numCache>
            </c:numRef>
          </c:val>
          <c:extLst>
            <c:ext xmlns:c16="http://schemas.microsoft.com/office/drawing/2014/chart" uri="{C3380CC4-5D6E-409C-BE32-E72D297353CC}">
              <c16:uniqueId val="{00000000-F86C-48B8-B4E5-F608B709C8B4}"/>
            </c:ext>
          </c:extLst>
        </c:ser>
        <c:dLbls>
          <c:showLegendKey val="0"/>
          <c:showVal val="0"/>
          <c:showCatName val="0"/>
          <c:showSerName val="0"/>
          <c:showPercent val="0"/>
          <c:showBubbleSize val="0"/>
        </c:dLbls>
        <c:gapWidth val="219"/>
        <c:overlap val="-27"/>
        <c:axId val="742744504"/>
        <c:axId val="742735976"/>
      </c:barChart>
      <c:catAx>
        <c:axId val="7427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crossAx val="742735976"/>
        <c:crosses val="autoZero"/>
        <c:auto val="1"/>
        <c:lblAlgn val="ctr"/>
        <c:lblOffset val="100"/>
        <c:noMultiLvlLbl val="0"/>
      </c:catAx>
      <c:valAx>
        <c:axId val="742735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742744504"/>
        <c:crosses val="autoZero"/>
        <c:crossBetween val="between"/>
      </c:valAx>
      <c:spPr>
        <a:noFill/>
        <a:ln>
          <a:noFill/>
        </a:ln>
        <a:effectLst/>
      </c:spPr>
    </c:plotArea>
    <c:plotVisOnly val="1"/>
    <c:dispBlanksAs val="gap"/>
    <c:showDLblsOverMax val="0"/>
  </c:chart>
  <c:spPr>
    <a:gradFill>
      <a:gsLst>
        <a:gs pos="0">
          <a:schemeClr val="bg1">
            <a:alpha val="20000"/>
          </a:schemeClr>
        </a:gs>
        <a:gs pos="100000">
          <a:schemeClr val="tx2">
            <a:alpha val="5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15240</xdr:colOff>
      <xdr:row>1</xdr:row>
      <xdr:rowOff>7620</xdr:rowOff>
    </xdr:from>
    <xdr:to>
      <xdr:col>17</xdr:col>
      <xdr:colOff>601980</xdr:colOff>
      <xdr:row>30</xdr:row>
      <xdr:rowOff>176784</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39</xdr:row>
      <xdr:rowOff>0</xdr:rowOff>
    </xdr:from>
    <xdr:to>
      <xdr:col>18</xdr:col>
      <xdr:colOff>15240</xdr:colOff>
      <xdr:row>69</xdr:row>
      <xdr:rowOff>18288</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76</xdr:row>
      <xdr:rowOff>175260</xdr:rowOff>
    </xdr:from>
    <xdr:to>
      <xdr:col>18</xdr:col>
      <xdr:colOff>30480</xdr:colOff>
      <xdr:row>107</xdr:row>
      <xdr:rowOff>6096</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153</xdr:row>
      <xdr:rowOff>0</xdr:rowOff>
    </xdr:from>
    <xdr:to>
      <xdr:col>18</xdr:col>
      <xdr:colOff>15240</xdr:colOff>
      <xdr:row>183</xdr:row>
      <xdr:rowOff>0</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188</xdr:row>
      <xdr:rowOff>175260</xdr:rowOff>
    </xdr:from>
    <xdr:to>
      <xdr:col>18</xdr:col>
      <xdr:colOff>7620</xdr:colOff>
      <xdr:row>218</xdr:row>
      <xdr:rowOff>179832</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7620</xdr:colOff>
      <xdr:row>115</xdr:row>
      <xdr:rowOff>0</xdr:rowOff>
    </xdr:from>
    <xdr:to>
      <xdr:col>18</xdr:col>
      <xdr:colOff>7620</xdr:colOff>
      <xdr:row>145</xdr:row>
      <xdr:rowOff>0</xdr:rowOff>
    </xdr:to>
    <xdr:graphicFrame macro="">
      <xdr:nvGraphicFramePr>
        <xdr:cNvPr id="7" name="Gráfico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7620</xdr:colOff>
      <xdr:row>220</xdr:row>
      <xdr:rowOff>15240</xdr:rowOff>
    </xdr:from>
    <xdr:to>
      <xdr:col>17</xdr:col>
      <xdr:colOff>601980</xdr:colOff>
      <xdr:row>250</xdr:row>
      <xdr:rowOff>6096</xdr:rowOff>
    </xdr:to>
    <xdr:graphicFrame macro="">
      <xdr:nvGraphicFramePr>
        <xdr:cNvPr id="8" name="Gráfico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7620</xdr:colOff>
      <xdr:row>250</xdr:row>
      <xdr:rowOff>175260</xdr:rowOff>
    </xdr:from>
    <xdr:to>
      <xdr:col>18</xdr:col>
      <xdr:colOff>7620</xdr:colOff>
      <xdr:row>280</xdr:row>
      <xdr:rowOff>175260</xdr:rowOff>
    </xdr:to>
    <xdr:graphicFrame macro="">
      <xdr:nvGraphicFramePr>
        <xdr:cNvPr id="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7620</xdr:colOff>
      <xdr:row>281</xdr:row>
      <xdr:rowOff>175260</xdr:rowOff>
    </xdr:from>
    <xdr:to>
      <xdr:col>18</xdr:col>
      <xdr:colOff>0</xdr:colOff>
      <xdr:row>311</xdr:row>
      <xdr:rowOff>170688</xdr:rowOff>
    </xdr:to>
    <xdr:graphicFrame macro="">
      <xdr:nvGraphicFramePr>
        <xdr:cNvPr id="10" name="Gráfico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0</xdr:colOff>
      <xdr:row>313</xdr:row>
      <xdr:rowOff>7620</xdr:rowOff>
    </xdr:from>
    <xdr:to>
      <xdr:col>18</xdr:col>
      <xdr:colOff>7620</xdr:colOff>
      <xdr:row>343</xdr:row>
      <xdr:rowOff>12192</xdr:rowOff>
    </xdr:to>
    <xdr:graphicFrame macro="">
      <xdr:nvGraphicFramePr>
        <xdr:cNvPr id="11" name="Gráfico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601980</xdr:colOff>
      <xdr:row>344</xdr:row>
      <xdr:rowOff>0</xdr:rowOff>
    </xdr:from>
    <xdr:to>
      <xdr:col>18</xdr:col>
      <xdr:colOff>7620</xdr:colOff>
      <xdr:row>374</xdr:row>
      <xdr:rowOff>9144</xdr:rowOff>
    </xdr:to>
    <xdr:graphicFrame macro="">
      <xdr:nvGraphicFramePr>
        <xdr:cNvPr id="13" name="Gráfico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0</xdr:colOff>
      <xdr:row>375</xdr:row>
      <xdr:rowOff>0</xdr:rowOff>
    </xdr:from>
    <xdr:to>
      <xdr:col>18</xdr:col>
      <xdr:colOff>7620</xdr:colOff>
      <xdr:row>405</xdr:row>
      <xdr:rowOff>4572</xdr:rowOff>
    </xdr:to>
    <xdr:graphicFrame macro="">
      <xdr:nvGraphicFramePr>
        <xdr:cNvPr id="15" name="Gráfico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406</xdr:row>
      <xdr:rowOff>0</xdr:rowOff>
    </xdr:from>
    <xdr:to>
      <xdr:col>17</xdr:col>
      <xdr:colOff>601980</xdr:colOff>
      <xdr:row>433</xdr:row>
      <xdr:rowOff>178308</xdr:rowOff>
    </xdr:to>
    <xdr:graphicFrame macro="">
      <xdr:nvGraphicFramePr>
        <xdr:cNvPr id="12" name="Gráfico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iss" refreshedDate="42541.702836111108" createdVersion="6" refreshedVersion="6" minRefreshableVersion="3" recordCount="2478">
  <cacheSource type="worksheet">
    <worksheetSource ref="A1:AA2479" sheet="Base 2016"/>
  </cacheSource>
  <cacheFields count="27">
    <cacheField name="ID" numFmtId="0">
      <sharedItems containsString="0" containsBlank="1" containsNumber="1" containsInteger="1" minValue="19039" maxValue="20404"/>
    </cacheField>
    <cacheField name="Objetivo/Descrição" numFmtId="0">
      <sharedItems containsBlank="1" longText="1"/>
    </cacheField>
    <cacheField name="Projetos" numFmtId="0">
      <sharedItems containsBlank="1" containsMixedTypes="1" containsNumber="1" containsInteger="1" minValue="0" maxValue="0" count="122" longText="1">
        <n v="0"/>
        <s v="NGR URA USSD"/>
        <e v="#N/A"/>
        <s v="N/A"/>
        <s v="CTXSPOBF-125012"/>
        <s v="TROCA DO WIN7 - a criação da estrutura do tsupervisor, o SMPA não funciona com Win 7"/>
        <s v="Restrição de Transferência"/>
        <s v="Projeto Pre-Routing - Demandas importantes(ura calan 31 com a estrutura do canal 32)"/>
        <s v="--"/>
        <s v="(null)"/>
        <s v="PROTHEUS"/>
        <s v="Projeto Gravação SOC"/>
        <s v="Pre routing Oi"/>
        <s v="Projeto Souza Cruz"/>
        <s v="MPLS Contax 2.0"/>
        <s v="Preventiva trimestral com desligamento do UPS GE 30 KVA -  Singelo - Paulista 407"/>
        <s v="OI-11433"/>
        <s v="Atualização da aplicação Televendas"/>
        <s v="OI-12720 / OI-12721 / OI-12533"/>
        <s v="URA880"/>
        <s v="Desmobilização de Equipamentos Lapa"/>
        <s v="Projeto Pre Routing"/>
        <s v="Manutenção GMG"/>
        <s v="Não se aplica por ser atividade de manutenção preventiva"/>
        <s v="Manutenção preventiva  com desligamento das UPS  Socomec ,sem interrupção da  carga crítica."/>
        <s v="Manutenção  preventiva   com o objetivo de manter  a confiabilidade do equipamento."/>
        <s v="ATUALIZAÇÃO DE TABELA"/>
        <s v="Projeto Implantação do Aspect 7.3"/>
        <s v="Gravação da Operação SOC"/>
        <s v="Manutenção de rotina GMG"/>
        <s v="Manutenção Preventiva GMG"/>
        <s v="NA"/>
        <s v="OI-13115 / OI-13119"/>
        <s v="Projeto Pre Routing Oi"/>
        <s v="Exclusão de planos de assistência médica  associados indevidamente a dependentes."/>
        <s v="Preventiva Mensal Energ - Teste com carga do Gerador Heimer 305 KVA - Site Paulista 407"/>
        <s v="Atulização de  patch -teste Wsus"/>
        <s v="NÃO SE APLICA"/>
        <s v="Manutenção corretiva nas máquinas de ar condicionado: 02 e 04 CDP Prado I."/>
        <s v="Projetos de desenvolvimento de solução RTI para operação NET"/>
        <s v="Manutenção Preventiva"/>
        <s v="CTXBHZRP-217742"/>
        <s v="Preventiva Mensal Energ - Teste com carga do Gerador Heimer 305 KVA -"/>
        <s v="Remoção do Symantec"/>
        <s v="Remoção do Symantec e Instalação do Anti-Vírus McAfee"/>
        <s v="Oi-13614"/>
        <s v="tClock"/>
        <s v="Implantação do tGuidance! na Operação Bradesco"/>
        <s v="NGR"/>
        <s v="Migração do tSupervisor! v1.0 para v2.0"/>
        <s v="Pre Routing"/>
        <s v="SIM"/>
        <s v="Callback com falha - Correção"/>
        <s v="Oi10331Unificada"/>
        <s v="Instalação Servidores Aspect"/>
        <s v="Aspect"/>
        <s v="Projeto Pre-Routing"/>
        <s v="Projeto  Programa Otimização de Sites POP 3 - Migrações OI Fonte Nova/Comércio"/>
        <s v="OI-13918 / OI-13952 / OI-13955"/>
        <s v="CD Móvel R1"/>
        <s v="Estabilidade operacional"/>
        <s v="OI-11272 - Módulo de Gerenciamento de Parâmetros (Convergys)"/>
        <s v="Projeto Carbon"/>
        <s v="Projeto Qualidade na Gravacao"/>
        <s v="Atualização de Tabela ICR"/>
        <s v="FUO-747 e FUO-742"/>
        <s v="Se for referente a algum projeto informar (Não obrigatório)"/>
        <s v="Projeto de migração Site Fonte Nova / Comércio"/>
        <s v="Manutenção preventiva  com o objetivo de manter a confiabilidade do equipamento."/>
        <s v="Preventiva Energ sem carga do gerador Heimer 305 KVA - Site Paulista 407."/>
        <s v="Incidente"/>
        <s v="ura 880"/>
        <s v="Melhorias na Plataforma"/>
        <s v="Manutenção preventiva   centrada na  confiabilidade, com o objetivo  de manter a confiabilidade  dos equipamentos."/>
        <s v="Inclusão - Severidade: Muito Alta e Crítica"/>
        <s v="Desativação do Link Metro"/>
        <s v="Inclusão de Campos - Andar / Posicao / Torre / Bloco"/>
        <s v="Criação de Site com SLA diferenciado"/>
        <s v="Acesso ao campo Cliente/Operação tProcess"/>
        <s v="Manutenção corretiva"/>
        <s v="Reconstrução de gradil metálico subestação 69kV."/>
        <s v="Descrever o Projeto ao qual a GMUD solicitada está ligada e qual a parte do projeto estará atendida por esta GMUD"/>
        <s v="Desativação de Links Metro"/>
        <s v="Desativação da Rede Metro"/>
        <s v="OI-14896: XII Fase Sorte na Palma da Mão; OI-14872:Alteração Mensagens Bolha Oferta Semanal All; OI-14402:Registrar o Tempo das Consultas aos Legados."/>
        <s v="Credibilidade"/>
        <s v="tProcess: (CTXMLTREG-7073) - Demandas: (DEMANDAS-4502)"/>
        <s v="ADIÇÃO DE INIBIDOR DE CORROSÃO E CAVITAÇÃO DO SISTEMA CENTRAL DE ÁGUA GELADA."/>
        <s v="Atualização de service pack dos CM's NGR"/>
        <s v="Destivação dos Link Metro"/>
        <s v="Desativação dos Links Metros"/>
        <s v="Desativação dos Links Metroethernet"/>
        <s v="Projeto Desativação dos Links Metro"/>
        <s v="REMANEJAMENTO DO SISTEMA DE ÁGUA POTÁVEL"/>
        <s v="Preventiva mensal teste em vazio do gerador heimer 305 KVA"/>
        <s v="OI-10561"/>
        <s v="Projeto Qualidade na Gravação"/>
        <s v="contaxFácil"/>
        <s v="Manutenção FPw"/>
        <s v="1º Melhoria para tratamento de cliente com mais de uma conta vencendo no mesmo mês. 2º Ajustar o Menu de Cancelamento;"/>
        <s v="DEMANDAS-3642"/>
        <s v="Modificar o tempo de SLA para os chamados do site Alegria"/>
        <s v="Criação do cliente Banco do Brasil"/>
        <s v="Inserção da Operação &quot;Dir. Engenharia e Produção TI&quot; para o Cliente Contax"/>
        <s v="Criação de um novo local de trabalho no tprocess.  Nome: CTXFORBTC - Contax Fortaleza Brasil Treine Center  Este novo local só deve ter permissão para abertura de chamados como requisição de serviço e deve ser direcionado automaticamente para site-suporte campo.  Este é um local de trabalho alocado fora da Contax (site treinamento)."/>
        <s v="OI-14887 / OI-15176 / OI-15200 / OI-15233"/>
        <s v="Atualizar os campos de Incidentes para o cliente Leader Magazine."/>
        <s v="Atualizar os campos de Incidentes para o cliente Citibank."/>
        <s v="OI-12371"/>
        <s v="Adicionar os clientes abaixo no campo Cliente/Operação e adicionar novos opções no campo Serviço afetado de acordo com os clientes - Lafê  - Globo  - Prefeitura do RJ  - Fundação Atlantico - NET  - Souza Cruz  - Claro"/>
        <s v="OI-15217"/>
        <s v="Alteração do Lay-out do raw"/>
        <s v="OI-15178/OI-15248"/>
        <s v="Projeto de eficiência energética"/>
        <s v="No break"/>
        <s v="Limpeza de tanques de diesel"/>
        <s v="Desativação Placa de Rede"/>
        <s v="OI-15217_Projeto 9º Dígito - Inclusão DDDs 6x"/>
        <s v="9 digito"/>
        <s v="Texto Padrão"/>
        <s v="Manutenção banco de dados do FPw"/>
        <m/>
      </sharedItems>
    </cacheField>
    <cacheField name="Data de Criação" numFmtId="0">
      <sharedItems containsNonDate="0" containsDate="1" containsString="0" containsBlank="1" minDate="2016-01-04T09:00:37" maxDate="2016-05-31T12:56:59"/>
    </cacheField>
    <cacheField name="Mês" numFmtId="0">
      <sharedItems containsBlank="1" count="6">
        <s v="Janeiro"/>
        <s v="Fevereiro"/>
        <s v="Março"/>
        <s v="Abril"/>
        <s v="Maio"/>
        <m/>
      </sharedItems>
    </cacheField>
    <cacheField name="Etapa" numFmtId="0">
      <sharedItems containsBlank="1"/>
    </cacheField>
    <cacheField name="Solicitante" numFmtId="0">
      <sharedItems containsBlank="1"/>
    </cacheField>
    <cacheField name="Executor" numFmtId="0">
      <sharedItems containsBlank="1"/>
    </cacheField>
    <cacheField name="Site" numFmtId="0">
      <sharedItems containsBlank="1" count="47">
        <s v="Data Center AlphaVille NGR"/>
        <s v="Mackenzie - RJO"/>
        <s v="Prado II - BHZ"/>
        <s v="Fortaleza - FOR"/>
        <s v="Nascente - FOR"/>
        <s v="Alegria - SPO"/>
        <s v="Alameda Santos - SPO"/>
        <s v="POP OI - Arcos"/>
        <s v="Boa Viagem"/>
        <s v="Rio Comprido - RJO"/>
        <s v="Data Center Alegria NGR"/>
        <s v="Aurora - REC"/>
        <s v="São Cristovão - RJO"/>
        <s v="Prado - BHZ"/>
        <s v="Comércio - SAL"/>
        <s v="Rio Branco - RBRSA"/>
        <s v="Augusta - SPO"/>
        <s v="Dedic Campinas (Elektro)"/>
        <s v="Matriz - MTZ"/>
        <s v="Lapa - SPO"/>
        <s v="Fonte Nova - SAL"/>
        <s v="Cabula - SAL"/>
        <s v="Niterói - NIT"/>
        <s v="Passeio - RJO"/>
        <s v="Antartica - SPO"/>
        <s v="Navegantes - POA"/>
        <s v="POP OI - Mato Grosso do Sul"/>
        <s v="Engenho de Dentro - RJO"/>
        <s v="Dedic Campinas (Hicham)"/>
        <s v="Santo Amaro - REC"/>
        <s v="Mauá - RJO"/>
        <s v="POP OI - São Paulo"/>
        <s v="Dedic Campinas (Bahamas)"/>
        <s v="POP OI - Minas Gerais"/>
        <s v="Paulista 407"/>
        <s v="João Pessoa - JPA"/>
        <s v="POP OI - Paraná"/>
        <s v="POP OI - Rio Grande do Sul"/>
        <s v="POP OI - Cidade de Deus"/>
        <s v="POP OI - Bahia"/>
        <s v="POP OI - Pernambuco"/>
        <s v="Campina Grande"/>
        <s v="Centro - BHZ"/>
        <s v="POP OI - Ceará"/>
        <s v="Luigi Amorese -Dedic"/>
        <s v="TDO - Aurora"/>
        <m/>
      </sharedItems>
    </cacheField>
    <cacheField name="Cliente" numFmtId="0">
      <sharedItems containsBlank="1" count="61" longText="1">
        <s v="Contax"/>
        <s v="Oi"/>
        <s v="Nacional Gás,Oi"/>
        <s v="Citibank,Oi"/>
        <s v="Claro,Oi"/>
        <s v="Orbitall"/>
        <s v="TAM"/>
        <s v="TODO"/>
        <s v="Santander"/>
        <s v="Brasil Veículo"/>
        <s v="Banco do Brasil,Citibank,Oi"/>
        <s v="Claro"/>
        <s v="Souza Cruz"/>
        <s v="Contax,TODO"/>
        <s v="Oi,TODO"/>
        <s v="Citibank,Fundação Atlântico Seg Social,Oi,Rede Globo"/>
        <s v="Cielo"/>
        <s v="BV Financeira,Cielo"/>
        <s v="Itaú"/>
        <s v="BO Anatel,Oi,TODO"/>
        <s v="Bradesco"/>
        <s v="Net"/>
        <s v="Bradesco,Oi,Santander,TODO"/>
        <s v="Citibank"/>
        <s v="VIVO"/>
        <s v="Bradesco,Itaú,Itaú Card,Oi,Santander"/>
        <s v="Serasa"/>
        <s v="TAM,TODO"/>
        <s v="Santander,Serasa"/>
        <s v="DASA,Intermédica,Oi,Santander,TAM,TODO,Volkswagen,White Martins"/>
        <s v="Prefeitura RJ"/>
        <s v="Bradesco,Itaú,Net,Oi,Santander"/>
        <s v="Leader Magazine,Oi"/>
        <s v="Banco Toyota,Bradesco,Orbitall,Santander,Serasa,Ticket Serviços S/A,VIVO"/>
        <s v="Itaú,Oi"/>
        <s v="BO Anatel,Oi"/>
        <s v="Jornal Correio da Bahia,Oi"/>
        <s v="Oi,VIVO"/>
        <s v="Brasil Veículo,TODO"/>
        <s v="Citibank,Leader Magazine,Oi"/>
        <s v="Banco Toyota,Cielo,Souza Cruz,VIVO"/>
        <s v="Oi,Prefeitura RJ,TODO"/>
        <s v="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
        <s v="VIVO,Volkswagen"/>
        <s v="Banco Toyota,Bradesco,Ticket Serviços S/A,VIVO"/>
        <s v="Cielo,Oi"/>
        <s v="BO Anatel,Bradesco,Brasil Veículo,BV Financeira,HSBC,Itaú,Itaú Card,Oi,Prefeitura RJ,Rede Globo,Santander,Souza Cruz,TAM,Ticket Serviços S/A,VIVO"/>
        <s v="Rede Globo"/>
        <s v="Banco Toyota,Bradesco,Interodonto,Orbitall,Santander,Ticket Serviços S/A,VIVO"/>
        <s v="Oi,TAM"/>
        <s v="Banco Toyota,Bradesco,Interodonto,Orbitall,VIVO"/>
        <s v="Oi,Orbitall"/>
        <s v="Brasil Cap"/>
        <s v="Bradesco,Ticket Serviços S/A,VIVO"/>
        <s v="Intermédica,Santander,TAM"/>
        <s v="Bradesco,Santander,VIVO"/>
        <s v="Itaú,Net,Oi"/>
        <s v="Bradesco,VIVO"/>
        <s v="Brasil Veículo,Oi"/>
        <s v="Bradesco,Cielo,Citibank,Santander,Serasa"/>
        <m/>
      </sharedItems>
    </cacheField>
    <cacheField name="Status" numFmtId="0">
      <sharedItems containsBlank="1"/>
    </cacheField>
    <cacheField name="Data de Início de Planejamento" numFmtId="0">
      <sharedItems containsNonDate="0" containsDate="1" containsString="0" containsBlank="1" minDate="2016-01-06T23:30:00" maxDate="2016-05-31T19:00:00"/>
    </cacheField>
    <cacheField name="Data de Final de Planejamento" numFmtId="0">
      <sharedItems containsNonDate="0" containsDate="1" containsString="0" containsBlank="1" minDate="2016-01-07T04:00:00" maxDate="2016-06-05T17:00:00"/>
    </cacheField>
    <cacheField name="Deadline do Planejamento" numFmtId="0">
      <sharedItems containsNonDate="0" containsDate="1" containsString="0" containsBlank="1" minDate="2016-01-07T05:00:00" maxDate="2017-05-04T16:16:00"/>
    </cacheField>
    <cacheField name="Tipo de Mudança" numFmtId="0">
      <sharedItems containsBlank="1" count="5">
        <s v="Programada"/>
        <s v="Emergencial"/>
        <s v="Emergencial Informativa"/>
        <s v="Técnica"/>
        <m/>
      </sharedItems>
    </cacheField>
    <cacheField name="Natureza" numFmtId="0">
      <sharedItems containsBlank="1" count="4">
        <s v="Manutenção de rotina ou Melhoria"/>
        <s v="Corretiva"/>
        <s v="Implantação de projeto"/>
        <m/>
      </sharedItems>
    </cacheField>
    <cacheField name="Gravidade" numFmtId="0">
      <sharedItems containsBlank="1"/>
    </cacheField>
    <cacheField name="Componente Afetado" numFmtId="0">
      <sharedItems containsBlank="1" longText="1"/>
    </cacheField>
    <cacheField name="Componente Alvo" numFmtId="0">
      <sharedItems containsBlank="1" longText="1"/>
    </cacheField>
    <cacheField name="Indisponibilidade do Componente" numFmtId="0">
      <sharedItems containsBlank="1"/>
    </cacheField>
    <cacheField name="Indisponibilidade do Negócio" numFmtId="0">
      <sharedItems containsBlank="1"/>
    </cacheField>
    <cacheField name="Plano de Retorno" numFmtId="0">
      <sharedItems containsBlank="1" longText="1"/>
    </cacheField>
    <cacheField name="Incidente" numFmtId="0">
      <sharedItems containsBlank="1"/>
    </cacheField>
    <cacheField name="Rollback" numFmtId="0">
      <sharedItems containsBlank="1"/>
    </cacheField>
    <cacheField name="Sucesso" numFmtId="0">
      <sharedItems containsBlank="1" count="3">
        <s v="Sim"/>
        <m/>
        <s v="Não"/>
      </sharedItems>
    </cacheField>
    <cacheField name="Chamado" numFmtId="0">
      <sharedItems containsBlank="1" containsMixedTypes="1" containsNumber="1" containsInteger="1" minValue="0" maxValue="28314959" longText="1"/>
    </cacheField>
    <cacheField name="Diretorias" numFmtId="0">
      <sharedItems containsBlank="1" count="29">
        <m/>
        <s v="Dir. Televendas"/>
        <s v="Dir. Cobrança"/>
        <s v="Dir. Clientes Especiais,Dir. Oi,Dir. Televendas"/>
        <s v="Dir. Cobrança,Dir. Oi"/>
        <s v="Dir. Oi"/>
        <s v="Dir. Cobrança,Dir. de Produtos Financeiros"/>
        <s v="Dir. Clientes Premium"/>
        <s v="Dir. Clientes Especiais"/>
        <s v="Dir. Cobrança,Dir. Televendas"/>
        <s v="Dir. Clientes Especiais,Dir. Cobrança,Dir. Televendas"/>
        <s v="Dir. Clientes Especiais,Dir. Televendas"/>
        <s v="Dir. Clientes Especiais,Dir. Oi"/>
        <s v="Dir. Cobrança,Dir. Oi,Dir. Televendas"/>
        <s v="Dir. Clientes Especiais,Dir. Cobrança,Dir. de Produtos Financeiros,Dir. Oi,Dir. Televendas"/>
        <s v="Dir. Clientes Especiais,Dir. Clientes Premium,Dir. Cobrança,Dir. Televendas"/>
        <s v="Dir. Cobrança,Dir. de Produtos Financeiros,Dir. Televendas"/>
        <s v="Dir. Oi,Dir. Televendas"/>
        <s v="Dir. Clientes Especiais,Dir. Clientes Premium,Dir. Cobrança,Dir. de Produtos Financeiros,Dir. Oi,Dir. Televendas"/>
        <s v="Dir. de Produtos Financeiros"/>
        <s v="Dir. Clientes Especiais,Dir. Clientes Premium,Dir. Cobrança,Dir. de Produtos Financeiros,Dir. Oi"/>
        <s v="Dir. Clientes Especiais,Dir. Cobrança,Dir. de Produtos Financeiros,Dir. Televendas"/>
        <s v="Dir. de Produtos Financeiros,Dir. Televendas"/>
        <s v="Dir. Clientes Especiais,Dir. Clientes Premium,Dir. Cobrança,Dir. de Produtos Financeiros,Dir. Televendas"/>
        <s v="Dir. Clientes Especiais,Dir. Clientes Premium,Dir. Cobrança,Dir. Oi,Dir. Televendas"/>
        <s v="Dir. Clientes Premium,Dir. Oi"/>
        <s v="Dir. Clientes Especiais,Dir. Clientes Premium,Dir. Televendas"/>
        <s v="Dir. Clientes Premium,Dir. de Produtos Financeiros,Dir. Oi,Dir. Televendas"/>
        <s v="Dir. Clientes Premium,Dir. Cobrança,Dir. Oi,Dir. Televenda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78">
  <r>
    <n v="19039"/>
    <s v="Substituir a solução de DNS Nixu do datacenter Alphaville, pela solução de DNS Microsoft."/>
    <x v="0"/>
    <d v="2016-01-04T09:00:37"/>
    <x v="0"/>
    <s v="Encerramento"/>
    <s v="GERALDO DE ARAUJO FERNANDES JR."/>
    <s v="DAVID LOPES DA COSTA CHAVES,MARCUS VINÍCIUS RUSTIGUER"/>
    <x v="0"/>
    <x v="0"/>
    <s v="Encerrada"/>
    <d v="2016-04-14T22:00:00"/>
    <d v="2016-04-15T04:00:00"/>
    <d v="2016-04-15T05:00:00"/>
    <x v="0"/>
    <x v="0"/>
    <s v="Impacto"/>
    <s v="DNSCTX01SPODA; NMSCTX01SPODA"/>
    <s v="DNSCTX01SPODA; NMSCTX01SPODA"/>
    <s v="Sim"/>
    <s v="Sim"/>
    <s v="1) Desativar as interfaces de rede do servidor DNSCTX01SPODA 2) Solicitar ao time de redes ativar as portas do servidor NMSCTX01SPODA: - Acessar o switch 10.170.207.128 e ativar as portas: Gi1/0/16 Gi2/0/16 Gi3/0/16 Po16 - Acessar o switch 10.170.207.129 e ativar as portas: Gi0/16 3) Validar ambiente e fechar a GMUD"/>
    <s v="Não"/>
    <s v="Não"/>
    <x v="0"/>
    <m/>
    <x v="0"/>
  </r>
  <r>
    <n v="19041"/>
    <s v="Release URA USSD"/>
    <x v="1"/>
    <d v="2016-01-04T10:43:05"/>
    <x v="0"/>
    <s v="Encerramento"/>
    <s v="PRISCILA LUCIA PEREIRA DE ALBUQUERQUE GALARANI"/>
    <s v="DANIEL SCHONWANDT MENDES FERREIRA"/>
    <x v="1"/>
    <x v="1"/>
    <s v="Encerrada"/>
    <d v="2016-01-13T22:00:00"/>
    <d v="2016-01-14T03:00:00"/>
    <d v="2016-01-14T09:00:00"/>
    <x v="0"/>
    <x v="0"/>
    <s v="Pouco impacto"/>
    <s v="APPCTX27RJOMK; APPCTX28RJOMK"/>
    <s v="APPCTX27RJOMK; APPCTX28RJOMK"/>
    <s v="Não"/>
    <s v="Não"/>
    <s v="Realizar o UNDEPLOY da versão nova através do JBoss Refazer os Testes Técnicos e Funcionais."/>
    <s v="Não"/>
    <s v="Não"/>
    <x v="0"/>
    <s v="Digite neste local o número do chamado no tProcess"/>
    <x v="1"/>
  </r>
  <r>
    <n v="19042"/>
    <s v="Instalação e configuração de 12 HD,s de 1 TB na Storage do Polo Aspect regional MG"/>
    <x v="2"/>
    <d v="2016-01-04T11:38:08"/>
    <x v="0"/>
    <s v="Encerramento"/>
    <s v="MARCELO EDUARDO COSTA"/>
    <s v="MARCELO LUIS DE BARROS"/>
    <x v="2"/>
    <x v="1"/>
    <s v="Encerrada"/>
    <d v="2016-01-06T23:30:00"/>
    <d v="2016-01-07T05:00:00"/>
    <d v="2016-01-07T05:00:00"/>
    <x v="1"/>
    <x v="1"/>
    <s v="Muito impacto"/>
    <s v="--"/>
    <s v="--"/>
    <s v="Não"/>
    <s v="Não"/>
    <s v="Retirar os discos instalados."/>
    <s v="Não"/>
    <s v="Não"/>
    <x v="0"/>
    <s v="N/A"/>
    <x v="2"/>
  </r>
  <r>
    <n v="19043"/>
    <s v="Garantir total confiabilidade e disponibilidade do sistema de contingência de energia elétrica do Site."/>
    <x v="2"/>
    <d v="2016-01-04T12:11:34"/>
    <x v="0"/>
    <s v="Encerramento"/>
    <s v="SÁVIO MEIRELES CASTRO"/>
    <s v="SÁVIO MEIRELES CASTRO"/>
    <x v="3"/>
    <x v="2"/>
    <s v="Encerrada"/>
    <d v="2016-01-24T07:00:00"/>
    <d v="2016-01-24T15:00:00"/>
    <d v="2016-01-24T15:00:00"/>
    <x v="0"/>
    <x v="0"/>
    <s v="Sem impacto"/>
    <s v="--"/>
    <s v="--"/>
    <s v="Não"/>
    <s v="Não"/>
    <s v="Realizado testes técnicos e funcionais a pois a execução da atividade liberação dos equipamentos para funcionamento normal."/>
    <s v="Não"/>
    <s v="Não"/>
    <x v="0"/>
    <s v="Digite neste local o número do chamado no tProcess"/>
    <x v="3"/>
  </r>
  <r>
    <n v="19044"/>
    <s v="Garantir total confiabilidade e disponibilidade do sistema de contingência de energia elétrica do Site."/>
    <x v="2"/>
    <d v="2016-01-04T12:37:34"/>
    <x v="0"/>
    <s v="Encerramento"/>
    <s v="SÁVIO MEIRELES CASTRO"/>
    <s v="SÁVIO MEIRELES CASTRO"/>
    <x v="4"/>
    <x v="3"/>
    <s v="Encerrada"/>
    <d v="2016-01-24T07:00:00"/>
    <d v="2016-01-24T15:00:00"/>
    <d v="2016-01-24T15:00:00"/>
    <x v="0"/>
    <x v="0"/>
    <s v="Sem impacto"/>
    <s v="--"/>
    <s v="--"/>
    <s v="Não"/>
    <s v="Não"/>
    <s v="Realizado testes técnicos e funcionais a pois a execução da atividade liberação dos equipamentos para funcionamento normal."/>
    <m/>
    <m/>
    <x v="1"/>
    <s v="Digite neste local o número do chamado no tProcess"/>
    <x v="4"/>
  </r>
  <r>
    <n v="19045"/>
    <s v="Eliminar erros de replicação em alguns Domain Controllers do domínio contax-br."/>
    <x v="2"/>
    <d v="2016-01-04T15:58:10"/>
    <x v="0"/>
    <s v="Encerramento"/>
    <s v="JOAO BATISTA DE LIMA NETO"/>
    <s v="JOAO BATISTA DE LIMA NETO"/>
    <x v="5"/>
    <x v="1"/>
    <s v="Encerrada"/>
    <d v="2016-01-12T23:00:00"/>
    <d v="2016-01-13T00:00:00"/>
    <d v="2016-01-13T01:00:00"/>
    <x v="0"/>
    <x v="1"/>
    <s v="Pouco impacto"/>
    <s v="sdcctx01nitsp; sdcctx02forbm; sdcctx02poarb; sdcctx03recau; sdcctx03rjomk; sdcctx04bhzri; sdcctx04recsa; sdcctx106spodb; sdcctx11spolp"/>
    <s v="sdcctx01nitsp; sdcctx02forbm; sdcctx02poarb; sdcctx03recau; sdcctx03rjomk; sdcctx04bhzri; sdcctx04recsa; sdcctx106spodb; sdcctx11spolp"/>
    <s v="Sim"/>
    <s v="Não"/>
    <s v="Não existe um plano de retorno. Os servidores somente serão reiniciados."/>
    <s v="Não"/>
    <s v="Não"/>
    <x v="0"/>
    <s v="N/A"/>
    <x v="5"/>
  </r>
  <r>
    <n v="19046"/>
    <s v="Oi-11853 Ajustes na regra de bolha Oi Controle (pré controle) OI-11780 Melhoria na vocalização dos áudios do ACM OI-11777 Incluir nova regra de isenção de taxa de adesão de oferta na URA OI-10559 Melhorias Fluxo 880_Limpeza de Fluxo &amp; Inclusão de ICs OI-11978 Novas Ofertas Controle - Ganho Tributário Low"/>
    <x v="2"/>
    <d v="2016-01-04T16:11:05"/>
    <x v="0"/>
    <s v="Encerramento"/>
    <s v="DIOGO ANÍSIO DE FRANÇA"/>
    <s v="ALBERTO DE ARAUJO RODRIGUES"/>
    <x v="5"/>
    <x v="1"/>
    <s v="Encerrada"/>
    <d v="2016-01-13T22:00:00"/>
    <d v="2016-01-14T11:00:00"/>
    <d v="2016-01-14T18:00:00"/>
    <x v="0"/>
    <x v="1"/>
    <s v="Muito impacto"/>
    <s v="APPCTX14RJONT; APPCTX16RJOED; APPCTX18RJOED; APPCTX19RJOED"/>
    <s v="APPCTX14RJONT; APPCTX15RJOED; APPCTX16RJOED; APPCTX18RJOED; APPCTX19RJOED"/>
    <s v="Não"/>
    <s v="Não"/>
    <s v="Retorna os arquivos de backup. Refazer os Testes Técnicos e Funcionais."/>
    <s v="Não"/>
    <s v="Não"/>
    <x v="0"/>
    <s v="Oi-11853 OI-11780 OI-11978"/>
    <x v="5"/>
  </r>
  <r>
    <n v="19047"/>
    <s v="Implantação de release de novas demandas do OI 10331 Unificada"/>
    <x v="2"/>
    <d v="2016-01-04T17:11:04"/>
    <x v="0"/>
    <s v="Encerramento"/>
    <s v="SILVANIO DOS SANTOS FERREIRA"/>
    <s v="MARCOS SANTOS DO SACRAMENTO"/>
    <x v="6"/>
    <x v="1"/>
    <s v="Encerrada"/>
    <d v="2016-01-13T12:00:00"/>
    <d v="2016-01-14T06:00:00"/>
    <d v="2016-01-14T06:00:00"/>
    <x v="0"/>
    <x v="0"/>
    <s v="Os prejuízos ou dificuldades são impactantes"/>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Fazer o deploy da versão anterior da aplicação"/>
    <s v="Não"/>
    <s v="Não"/>
    <x v="0"/>
    <s v="OI-11981 e OI-11778"/>
    <x v="5"/>
  </r>
  <r>
    <n v="19048"/>
    <s v="Implantação de release de novas demandas MultiProduto"/>
    <x v="2"/>
    <d v="2016-01-04T17:48:18"/>
    <x v="0"/>
    <s v="Encerramento"/>
    <s v="SILVANIO DOS SANTOS FERREIRA"/>
    <s v="MARCOS SANTOS DO SACRAMENTO"/>
    <x v="7"/>
    <x v="1"/>
    <s v="Encerrada"/>
    <d v="2016-01-13T12:00:00"/>
    <d v="2016-01-14T06:00:00"/>
    <d v="2016-01-14T06:00:00"/>
    <x v="0"/>
    <x v="0"/>
    <s v="Os prejuízos ou dificuldades são impactantes"/>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Fazer o deploy da versão anterior da aplicação"/>
    <s v="Não"/>
    <s v="Não"/>
    <x v="0"/>
    <s v="OI-11534 - OI-12050"/>
    <x v="5"/>
  </r>
  <r>
    <n v="19049"/>
    <s v="Essa manutenção, tem como objetivo manter a confiabilidade elétrica do Site, como também a conservação e desempenho do equipamento."/>
    <x v="2"/>
    <d v="2016-01-05T09:10:14"/>
    <x v="0"/>
    <s v="Encerramento"/>
    <s v="GENALDO GOMES FERREIRA"/>
    <s v="GENALDO GOMES FERREIRA"/>
    <x v="8"/>
    <x v="4"/>
    <s v="Encerrada"/>
    <d v="2016-01-24T00:01:00"/>
    <d v="2016-01-24T05:00:00"/>
    <d v="2016-01-24T06:00:00"/>
    <x v="0"/>
    <x v="0"/>
    <s v="Pouco impacto"/>
    <s v="--"/>
    <s v="Gerador"/>
    <s v="Não"/>
    <s v="Não"/>
    <s v="Havendo necessidade de acionamento dos equipamentos os mesmos serão ativados."/>
    <s v="Sim"/>
    <s v="Não"/>
    <x v="0"/>
    <s v="Digite neste local o número do chamado no tProcess"/>
    <x v="1"/>
  </r>
  <r>
    <n v="19050"/>
    <s v="Atualização crítica a ser aplicada em servidores listados como vulneráveis pela Segurança da Informação Contax, de acordo com o boletim MS11-058."/>
    <x v="2"/>
    <d v="2016-01-05T10:23:56"/>
    <x v="0"/>
    <s v="Encerramento"/>
    <s v="MARCOS DA SILVA PINTO"/>
    <s v="MARCOS DA SILVA PINTO"/>
    <x v="0"/>
    <x v="0"/>
    <s v="Encerrada"/>
    <d v="2016-01-14T22:00:00"/>
    <d v="2016-01-15T04:00:00"/>
    <d v="2016-01-15T05:00:00"/>
    <x v="0"/>
    <x v="0"/>
    <s v="Impacto"/>
    <s v="DNSCTX101SPODA; DNSCTX102SPODA; SDCCTX101SPODA; SDCCTX107SPODA; SDCCTX108SPODA; SDCINT001SPODA; SDCINT003SPODA; SDCTDO05SPODA"/>
    <s v="DNSCTX101SPODA; DNSCTX102SPODA; SDCCTX101SPODA; SDCCTX107SPODA; SDCCTX108SPODA; SDCINT001SPODA; SDCINT003SPODA; SDCTDO05SPODA"/>
    <s v="Sim"/>
    <s v="Não"/>
    <s v="Remover atualização e reiniciar o servidor."/>
    <s v="Não"/>
    <s v="Não"/>
    <x v="0"/>
    <s v="Digite neste local o número do chamado no tProcess"/>
    <x v="0"/>
  </r>
  <r>
    <n v="19051"/>
    <s v="Despromoção dos domain controllers do domínio bbctx.contax do site RJOPF que não estão em operação."/>
    <x v="2"/>
    <d v="2016-01-05T10:37:34"/>
    <x v="0"/>
    <s v="Encerramento"/>
    <s v="GERALDO DE ARAUJO FERNANDES JR."/>
    <s v="DAVID LOPES DA COSTA CHAVES"/>
    <x v="9"/>
    <x v="0"/>
    <s v="Encerrada"/>
    <d v="2016-01-14T10:00:00"/>
    <d v="2016-01-14T16:00:00"/>
    <d v="2016-01-14T17:00:00"/>
    <x v="0"/>
    <x v="0"/>
    <s v="Pouco impacto"/>
    <s v="sdcctx201rjopf; sdcctx202rjopf"/>
    <s v="sdcctx201rjopf; sdcctx202rjopf"/>
    <s v="Sim"/>
    <s v="Não"/>
    <s v="1) Solicitar a inicialização dos equipamentos para o site. 2) Promover os servidores novamente a controladores de domínio. 3) Validar a replicação."/>
    <s v="Não"/>
    <s v="Não"/>
    <x v="0"/>
    <s v="Digite neste local o número do chamado no tProcess"/>
    <x v="0"/>
  </r>
  <r>
    <n v="19053"/>
    <s v="Essa manutenção, tem como objetivo manter a confiabilidade elétrica do Site, como também a conservação e desempenho do equipamento."/>
    <x v="2"/>
    <d v="2016-01-05T11:03:08"/>
    <x v="0"/>
    <s v="Encerramento"/>
    <s v="GENALDO GOMES FERREIRA"/>
    <s v="GENALDO GOMES FERREIRA"/>
    <x v="8"/>
    <x v="4"/>
    <s v="Encerrada"/>
    <d v="2016-01-22T22:00:00"/>
    <d v="2016-01-25T06:00:00"/>
    <d v="2016-01-25T07:00:00"/>
    <x v="0"/>
    <x v="0"/>
    <s v="Impacto"/>
    <s v="--"/>
    <s v="No-break"/>
    <s v="Sim"/>
    <s v="Não"/>
    <s v="Havendo necessidade de acionamento dos equipamentos os mesmos serão ativados."/>
    <s v="Não"/>
    <s v="Não"/>
    <x v="0"/>
    <s v="Digite neste local o número do chamado no tProcess"/>
    <x v="1"/>
  </r>
  <r>
    <n v="19054"/>
    <s v="Garantir total confiabilidade e disponibilidade do sistema de contingência de energia elétrica do Site."/>
    <x v="2"/>
    <d v="2016-01-05T11:38:50"/>
    <x v="0"/>
    <s v="Encerramento"/>
    <s v="SÁVIO MEIRELES CASTRO"/>
    <s v="SÁVIO MEIRELES CASTRO"/>
    <x v="3"/>
    <x v="1"/>
    <s v="Encerrada"/>
    <d v="2016-01-30T22:00:00"/>
    <d v="2016-01-31T06:00:00"/>
    <d v="2016-01-31T06:00:00"/>
    <x v="0"/>
    <x v="0"/>
    <s v="Pouco impacto"/>
    <s v="--"/>
    <s v="--"/>
    <s v="Sim"/>
    <s v="Não"/>
    <s v="Realizado testes técnicos e funcionais a pois a execução da atividade liberação dos equipamentos para funcionamento normal fica em observação."/>
    <s v="Não"/>
    <s v="Não"/>
    <x v="2"/>
    <s v="Digite neste local o número do chamado no tProcess"/>
    <x v="1"/>
  </r>
  <r>
    <n v="19055"/>
    <s v="Ativação circuito Vivo, MPLS Orbitall."/>
    <x v="2"/>
    <d v="2016-01-05T11:44:34"/>
    <x v="0"/>
    <s v="Encerramento"/>
    <s v="EDSON PEREIRA DA SILVA"/>
    <s v="EDSON PEREIRA DA SILVA"/>
    <x v="0"/>
    <x v="5"/>
    <s v="Encerrada"/>
    <d v="2016-01-18T20:00:00"/>
    <d v="2016-01-18T23:59:00"/>
    <d v="2016-01-18T23:59:00"/>
    <x v="0"/>
    <x v="2"/>
    <s v="Sem impacto"/>
    <s v="NA; NA"/>
    <s v="NA; NA"/>
    <s v="Não"/>
    <s v="Não"/>
    <s v="Não há plano de retorno, pois trata-se de um novo circuito."/>
    <s v="Não"/>
    <s v="Não"/>
    <x v="0"/>
    <s v="NA"/>
    <x v="6"/>
  </r>
  <r>
    <n v="19057"/>
    <s v="Implantação de melhoria e atualização da aplicação *144 Pós Pago."/>
    <x v="2"/>
    <d v="2016-01-05T13:57:11"/>
    <x v="0"/>
    <s v="Encerramento"/>
    <s v="FRANCIELE CARLA DE LIMA COSTA"/>
    <s v="RAFAEL BARBOSA DA SILVA"/>
    <x v="7"/>
    <x v="1"/>
    <s v="Encerrada"/>
    <d v="2016-01-12T22:00:00"/>
    <d v="2016-01-13T12:00:00"/>
    <d v="2016-01-13T18:00:00"/>
    <x v="0"/>
    <x v="0"/>
    <s v="Pouco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2029;OI-12042"/>
    <x v="5"/>
  </r>
  <r>
    <n v="19062"/>
    <s v="Migração do integrador do televendas para o produto tIntegra."/>
    <x v="2"/>
    <d v="2016-01-05T16:32:33"/>
    <x v="0"/>
    <s v="Encerramento"/>
    <s v="TATIANA APARECIDA BARBOSA"/>
    <s v="ANDERSON MOURA DE CARVALHO,CLAYTON ROBERTO LEITE,JOÃO CARLOS FADUL VILAS BÔAS,LUIZ GONZAGA DOS REIS,MARINA SOLIS MARIANO,PAULO CESAR DE SOUZA,ROBERTO MAGALHÃES DE OLIVEIRA"/>
    <x v="0"/>
    <x v="1"/>
    <s v="Encerrada"/>
    <d v="2016-01-18T08:30:00"/>
    <d v="2016-01-18T18:00:00"/>
    <d v="2016-01-18T18:00:00"/>
    <x v="0"/>
    <x v="2"/>
    <s v="Pouco impacto"/>
    <s v="DBSCTX29SPODA; FESCTX10SPODA"/>
    <s v="DBSCTX29SPODA; FESCTX10SPODA"/>
    <s v="Sim"/>
    <s v="Sim"/>
    <s v="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
    <m/>
    <m/>
    <x v="1"/>
    <s v="N/A"/>
    <x v="1"/>
  </r>
  <r>
    <n v="19064"/>
    <s v="Inserir os servidores na monitoria do NOC através da Ferramenta ZABBIX"/>
    <x v="2"/>
    <d v="2016-01-05T20:14:13"/>
    <x v="0"/>
    <s v="Encerramento"/>
    <s v="WELINTON DIVANI DA SILVA"/>
    <s v="JONES ALVES DOS SANTOS"/>
    <x v="5"/>
    <x v="6"/>
    <s v="Encerrada"/>
    <d v="2016-01-11T14:00:00"/>
    <d v="2016-01-11T17:00:00"/>
    <d v="2016-01-11T18:00:00"/>
    <x v="0"/>
    <x v="2"/>
    <s v="Sem impacto"/>
    <s v="--"/>
    <s v="10.153.160.88; APPCTX20SPOAL; APPCTX22SPOAL; APPCTX23SPOAL; APPCTX24SPOAL; APPCTX25SPOAL; APPCTX26SPOAL; TLK000020005027; TLK000020005028; TLK000020005029; TLK000020005086; TLK000020005090; TLK000020005247; TLK200005026; URACTX01SPOAL; URACTX02SPOAL; URACTX03SPOAL; URACTX04SPOAL"/>
    <s v="Não"/>
    <s v="Não"/>
    <s v="1º Parar o serviço (ZABBIX AGENT) 2º Acessar o Promp de Comando e remover o serviço 3º Apagar a Pasta ZABBIX do diretorio c:\"/>
    <s v="Não"/>
    <s v="Não"/>
    <x v="0"/>
    <s v="Digite neste local o número do chamado no tProcess"/>
    <x v="7"/>
  </r>
  <r>
    <n v="19066"/>
    <s v="Enviar para MULTIPRODUTO UUI específico para cliente R2."/>
    <x v="2"/>
    <d v="2016-01-06T09:31:37"/>
    <x v="0"/>
    <s v="Encerramento"/>
    <s v="JORGE FRANCISCO OLIVEIRA PATACO"/>
    <s v="RAFAEL BARBOSA DA SILVA"/>
    <x v="7"/>
    <x v="1"/>
    <s v="Encerrada"/>
    <d v="2016-01-12T22:00:00"/>
    <d v="2016-01-13T12:00:00"/>
    <d v="2016-01-13T18:00:00"/>
    <x v="0"/>
    <x v="2"/>
    <s v="Pouco impacto"/>
    <s v="--"/>
    <s v="URACTX04BSBPA; URACTX05BSBPA; URACTX04CGRPA; URACTX05CGRPA; URACTX04POAPA; URACTX05POAPA; URACTX05CTAPA; URACTX06CTAPA; URACTX07CTAPA; URACTX06BHZPA; URACTX07BHZPA; URACTX08BHZPA; URACTX06RECPA; URACTX07RECPA; URACTX08RECPA"/>
    <s v="Não"/>
    <s v="Não"/>
    <s v="Realizar o UNDEPLOY da versão nova através do Tomcat Manager Refazer os Testes Técnicos e Funcionais."/>
    <m/>
    <m/>
    <x v="1"/>
    <s v="OI-12060"/>
    <x v="1"/>
  </r>
  <r>
    <n v="19067"/>
    <s v="Liberação no proxy visando acesso a aplicação do cliente GNF."/>
    <x v="2"/>
    <d v="2016-01-06T11:34:47"/>
    <x v="0"/>
    <s v="Encerramento"/>
    <s v="THIAGO SILVA FERREIRA"/>
    <s v="THIAGO SILVA FERREIRA"/>
    <x v="10"/>
    <x v="7"/>
    <s v="Encerrada"/>
    <d v="2016-01-06T23:59:00"/>
    <d v="2016-01-07T04:00:00"/>
    <d v="2016-01-07T05:00:00"/>
    <x v="1"/>
    <x v="2"/>
    <s v="Muito impacto"/>
    <s v="--"/>
    <s v="Listados no campo Detalhe"/>
    <s v="Sim"/>
    <s v="Não"/>
    <s v="Retirada da configuração aplicada."/>
    <s v="Não"/>
    <s v="Não"/>
    <x v="0"/>
    <s v="Digite neste local o número do chamado no tProcess"/>
    <x v="0"/>
  </r>
  <r>
    <n v="19068"/>
    <s v="Implantação de melhorias, com atualização de promoções e demandas de recarga na URA *144 Pré Pago."/>
    <x v="2"/>
    <d v="2016-01-06T11:45:57"/>
    <x v="0"/>
    <s v="Encerramento"/>
    <s v="RONDINELLI PINHEIRO DOS SANTOS"/>
    <s v="RAFAEL BARBOSA DA SILVA"/>
    <x v="7"/>
    <x v="1"/>
    <s v="Encerrada"/>
    <d v="2016-01-13T22:00:00"/>
    <d v="2016-01-14T03:00:00"/>
    <d v="2016-01-14T18:00:00"/>
    <x v="0"/>
    <x v="2"/>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2026|Oi-11828"/>
    <x v="5"/>
  </r>
  <r>
    <n v="19069"/>
    <s v="Tratar casos de skill desconhecidos para operações outbound. Novas melhorarias (funcionalidades e performance)."/>
    <x v="2"/>
    <d v="2016-01-06T12:14:17"/>
    <x v="0"/>
    <s v="Encerramento"/>
    <s v="FLÁVIO ROBERTO DE FREITAS MIRANDA"/>
    <s v="PAULO CESAR DE SOUZA,ROBERTO MAGALHÃES DE OLIVEIRA"/>
    <x v="11"/>
    <x v="1"/>
    <s v="Encerrada"/>
    <d v="2016-01-21T00:00:00"/>
    <d v="2016-01-21T18:00:00"/>
    <d v="2016-01-21T18:00:00"/>
    <x v="0"/>
    <x v="0"/>
    <s v="Pouco impacto"/>
    <s v="NGRFFACIL.oictx.contax.root"/>
    <s v="FESCTX01SPODA; NGRFFACIL.oictx.contax.root"/>
    <s v="Sim"/>
    <s v="Não"/>
    <s v="1 - Se conecta no servidor via mstsc; 2 - Para a aplicação; 3 - Exclui o arquivo que foi copiado na estapa de execução; 4 - Restaura o nome do arquivo que foi renomeado na etapa de execução; 5 - Inicia a aplicação; 6 - Segue para o próximo servidor;; 1 - Se conectar no banco; 2 - Restaurar o backup feito na etapa de execução;"/>
    <s v="Não"/>
    <s v="Não"/>
    <x v="0"/>
    <s v="CTXSALAS-160371"/>
    <x v="5"/>
  </r>
  <r>
    <n v="19070"/>
    <s v="Revisão mecânica dos grupos geradores para garantir eficiência no funcionamento durante falta de energia da Concessionária."/>
    <x v="2"/>
    <d v="2016-01-06T12:32:05"/>
    <x v="0"/>
    <s v="Encerramento"/>
    <s v="CRISTIANO COTA DIAS"/>
    <s v="CRISTIANO COTA DIAS"/>
    <x v="2"/>
    <x v="1"/>
    <s v="Encerrada"/>
    <d v="2016-01-20T21:00:00"/>
    <d v="2016-01-21T04:00:00"/>
    <d v="2016-01-21T05:00:00"/>
    <x v="0"/>
    <x v="0"/>
    <s v="Pouco impacto"/>
    <s v="--"/>
    <s v="Geradores"/>
    <s v="Sim"/>
    <s v="Não"/>
    <s v="Caso ocorra algum incidente os técnicos manterão contato com os gestores afim de definir o caminho ótimo para a solução do incidente."/>
    <s v="Não"/>
    <s v="Não"/>
    <x v="0"/>
    <s v="Digite neste local o número do chamado no tProcess"/>
    <x v="2"/>
  </r>
  <r>
    <n v="19071"/>
    <s v="Criação de novo relatório cruzamento do bilhete ECH e da gravação da Nice, para facilitar o processo de retriever solicitado pela OI"/>
    <x v="2"/>
    <d v="2016-01-06T14:50:07"/>
    <x v="0"/>
    <s v="Encerramento"/>
    <s v="FLÁVIO ROBERTO DE FREITAS MIRANDA"/>
    <s v="JOSE ADRIANO DOS SANTOS"/>
    <x v="10"/>
    <x v="1"/>
    <s v="Encerrada"/>
    <d v="2016-01-18T09:00:00"/>
    <d v="2016-01-18T18:00:00"/>
    <d v="2016-01-18T18:00:00"/>
    <x v="0"/>
    <x v="2"/>
    <s v="Pouco impacto"/>
    <s v="DBSCTX30SPODB; FESCTX01SPODA"/>
    <s v="DBSCTX30SPODB; FESCTX01SPODA"/>
    <s v="Sim"/>
    <s v="Sim"/>
    <s v="Parar o JBOSS da aplicação tRetrieve Acessar a pasta D:\Todo\jboss-eap-6.2\standalone\deployments no servidor 10.170.61.8, excluir o arquivo tRetrieve.war e renomear a aplicação tRetrieve.war_DDMMYYYY_HHMM onde DDMMYYYY_HHMM será a data e hora no momento da aplicação para o nome tRetrieve.war para o caminho D:\Todo\jboss-eap-6.2\standalone\deployments Reiniciar o JBOSS Acessar o servidor do Reporting Services no IP: http://10.171.2.18/Reports/Pages/Folder.aspx Carregar o novo arquivo do relatório. Acessar a aplicação do manager do tReports http://tguidance.gtm.oictx.contax.root:8080/tguidance/ e associar o perfil do relatório para os usuários que deve ter acesso ao mesmo"/>
    <s v="Não"/>
    <s v="Não"/>
    <x v="0"/>
    <s v="CTXMTZRP-43369"/>
    <x v="1"/>
  </r>
  <r>
    <n v="19072"/>
    <s v="Ativação e Migração dos links de telefonia da operadora i360"/>
    <x v="0"/>
    <d v="2016-01-06T15:45:07"/>
    <x v="0"/>
    <s v="Encerramento"/>
    <s v="ALEXANDRE YUKIO OKUNO"/>
    <s v="ALEXANDRE YUKIO OKUNO"/>
    <x v="5"/>
    <x v="8"/>
    <s v="Encerrada"/>
    <d v="2016-01-07T21:00:00"/>
    <d v="2016-01-08T02:00:00"/>
    <d v="2016-01-08T03:00:00"/>
    <x v="1"/>
    <x v="0"/>
    <s v="Impacto"/>
    <s v="ACSCTX01SPOAL"/>
    <s v="ACSCTX01SPOAL"/>
    <s v="Não"/>
    <s v="Não"/>
    <s v="Voltar às posições inicias caso o E1 não alinhe os circuitos"/>
    <s v="Não"/>
    <s v="Não"/>
    <x v="0"/>
    <s v="Digite neste local o número do chamado no tProcess"/>
    <x v="1"/>
  </r>
  <r>
    <n v="19073"/>
    <s v="Garantir a confiabilidade do sistema de geração de energia emergencial."/>
    <x v="2"/>
    <d v="2016-01-06T16:22:47"/>
    <x v="0"/>
    <s v="Encerramento"/>
    <s v="CRISTIANO COTA DIAS"/>
    <s v="CRISTIANO COTA DIAS"/>
    <x v="2"/>
    <x v="1"/>
    <s v="Encerrada"/>
    <d v="2016-01-22T21:00:00"/>
    <d v="2016-01-23T04:00:00"/>
    <d v="2016-01-23T05:00:00"/>
    <x v="0"/>
    <x v="0"/>
    <s v="Pouco impacto"/>
    <s v="--"/>
    <s v="Geradores"/>
    <s v="Sim"/>
    <s v="Não"/>
    <s v="Caso ocorra algum incidente os técnicos manterão contato com os gestores afim de definir o caminho ótimo para a solução do incidente."/>
    <s v="Não"/>
    <s v="Não"/>
    <x v="0"/>
    <s v="Digite neste local o número do chamado no tProcess"/>
    <x v="2"/>
  </r>
  <r>
    <n v="19074"/>
    <s v="Procedimento para aplicar correções e melhorias no sistema Protheus."/>
    <x v="2"/>
    <d v="2016-01-06T17:15:15"/>
    <x v="0"/>
    <s v="Encerramento"/>
    <s v="WILSON DE OLIVEIRA BRITO JUNIOR"/>
    <s v="WILSON DE OLIVEIRA BRITO JUNIOR"/>
    <x v="5"/>
    <x v="0"/>
    <s v="Encerrada"/>
    <d v="2016-01-07T20:00:00"/>
    <d v="2016-01-07T21:00:00"/>
    <d v="2016-01-07T22:00:00"/>
    <x v="1"/>
    <x v="1"/>
    <s v="Muit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TUBKMS"/>
    <x v="0"/>
  </r>
  <r>
    <n v="19075"/>
    <s v="Manter a confiabilidade do sistema de contingência na falta de energia."/>
    <x v="2"/>
    <d v="2016-01-06T17:39:44"/>
    <x v="0"/>
    <s v="Encerramento"/>
    <s v="ELIZEU RODRIGUES MEDEIROS"/>
    <s v="ALEXANDRE GARCIA FULY"/>
    <x v="12"/>
    <x v="9"/>
    <s v="Encerrada"/>
    <d v="2016-01-17T08:00:00"/>
    <d v="2016-01-17T12:00:00"/>
    <d v="2016-01-18T05:00:00"/>
    <x v="0"/>
    <x v="0"/>
    <s v="Sem impacto"/>
    <s v="--"/>
    <s v="Geradores"/>
    <s v="Não"/>
    <s v="Não"/>
    <s v="Se houver algum imprevisto será cancelado o serviço e o Gerador será colocado em automático."/>
    <s v="Não"/>
    <s v="Não"/>
    <x v="0"/>
    <s v="Digite neste local o número do chamado no tProcess"/>
    <x v="8"/>
  </r>
  <r>
    <n v="19076"/>
    <s v="Corrigir falhas de lentidão e travamentos nas ferramentas ALM e Enterprise Monitor."/>
    <x v="2"/>
    <d v="2016-01-06T17:54:43"/>
    <x v="0"/>
    <s v="Encerramento"/>
    <s v="JOÃO PEREIRA DE SOUZA JUNIOR"/>
    <s v="LEANDRO ROCHA GONÇALVES"/>
    <x v="3"/>
    <x v="1"/>
    <s v="Encerrada"/>
    <d v="2016-01-13T22:00:00"/>
    <d v="2016-01-14T03:30:00"/>
    <d v="2016-01-14T05:00:00"/>
    <x v="0"/>
    <x v="0"/>
    <s v="Pouco impacto"/>
    <s v="acsctx01forbm; boectx01forbm; corctx01forbm; expctx01forbm; expctx02forbm; expctx03forbm; expctx04form; pdmctx01forbm; recctx01forbm; repctx01forbm"/>
    <s v="acsctx01forbm; boectx01forbm; corctx01forbm; expctx01forbm; expctx02forbm; expctx03forbm; expctx04form; pdmctx01forbm; recctx01forbm; repctx01forbm"/>
    <s v="Sim"/>
    <s v="Não"/>
    <s v="Como os servidores serão apenas reiniciados se por algum motivo algum servidor não subir, será necessário abrir chamado de incidente para tratamento da equipe responsável."/>
    <s v="Não"/>
    <s v="Não"/>
    <x v="0"/>
    <s v="Digite neste local o número do chamado no tProcess"/>
    <x v="1"/>
  </r>
  <r>
    <n v="19079"/>
    <s v="Garantir a confiabilidade do sistema de geração de energia emergencial do Site Prado."/>
    <x v="2"/>
    <d v="2016-01-07T08:45:35"/>
    <x v="0"/>
    <s v="Encerramento"/>
    <s v="CRISTIANO COTA DIAS"/>
    <s v="CRISTIANO COTA DIAS"/>
    <x v="13"/>
    <x v="1"/>
    <s v="Encerrada"/>
    <d v="2016-01-22T21:00:00"/>
    <d v="2016-01-23T04:00:00"/>
    <d v="2016-01-23T05:00:00"/>
    <x v="0"/>
    <x v="0"/>
    <s v="Pouco impacto"/>
    <s v="--"/>
    <s v="Geradores"/>
    <s v="Sim"/>
    <s v="Não"/>
    <s v="Caso ocorra algum incidente os técnicos manterão contato com os gestores afim de definir o caminho ótimo para a solução do incidente."/>
    <s v="Não"/>
    <s v="Não"/>
    <x v="0"/>
    <s v="Digite neste local o número do chamado no tProcess"/>
    <x v="2"/>
  </r>
  <r>
    <n v="19080"/>
    <s v="Finalização da instalação do equipamento de precisão dentro da sala Pólo e start up do Fabricante (Diamont)."/>
    <x v="2"/>
    <d v="2016-01-07T09:01:51"/>
    <x v="0"/>
    <s v="Encerramento"/>
    <s v="ARTHUR PRADO DE HOLANDA MOURA"/>
    <s v="ARTHUR PRADO DE HOLANDA MOURA"/>
    <x v="10"/>
    <x v="1"/>
    <s v="Encerrada"/>
    <d v="2016-01-18T00:00:00"/>
    <d v="2016-01-28T23:59:00"/>
    <d v="2016-01-29T23:59:00"/>
    <x v="0"/>
    <x v="2"/>
    <s v="Pouco impacto"/>
    <s v="ok"/>
    <s v="ok"/>
    <s v="Não"/>
    <s v="Não"/>
    <s v="Ativação do equipamento, testes e liberação."/>
    <s v="Não"/>
    <s v="Não"/>
    <x v="2"/>
    <s v="Digite neste local o número do chamado no tProcess"/>
    <x v="1"/>
  </r>
  <r>
    <n v="19081"/>
    <s v="Essa manutenção, tem como objetivo manter a confiabilidade elétrica do Site, como também a conservação e desempenho do equipamento."/>
    <x v="2"/>
    <d v="2016-01-07T09:12:59"/>
    <x v="0"/>
    <s v="Encerramento"/>
    <s v="GENALDO GOMES FERREIRA"/>
    <s v="GENALDO GOMES FERREIRA"/>
    <x v="14"/>
    <x v="10"/>
    <s v="Encerrada"/>
    <d v="2016-01-31T00:01:00"/>
    <d v="2016-01-31T05:00:00"/>
    <d v="2016-01-31T06:00:00"/>
    <x v="0"/>
    <x v="0"/>
    <s v="Impacto"/>
    <s v="--"/>
    <s v="No-break"/>
    <s v="Sim"/>
    <s v="Não"/>
    <s v="Havendo necessidade de acionamento dos equipamentos os mesmos serão ativados."/>
    <s v="Não"/>
    <s v="Não"/>
    <x v="0"/>
    <s v="Digite neste local o número do chamado no tProcess"/>
    <x v="9"/>
  </r>
  <r>
    <n v="19082"/>
    <s v="Inspeção do forro do cpd para futuro reparo na climatização no local."/>
    <x v="2"/>
    <d v="2016-01-07T09:33:53"/>
    <x v="0"/>
    <s v="Encerramento"/>
    <s v="PAULO ROBERTO RIBEIRO DE LIMA"/>
    <s v="PAULO ROBERTO RIBEIRO DE LIMA"/>
    <x v="1"/>
    <x v="7"/>
    <s v="Encerrada"/>
    <d v="2016-01-21T22:00:00"/>
    <d v="2016-01-22T05:00:00"/>
    <d v="2016-01-22T06:00:00"/>
    <x v="0"/>
    <x v="0"/>
    <s v="Muito impacto"/>
    <s v="--"/>
    <s v="Dutos de insuflamento e retorno de AR COND"/>
    <s v="Não"/>
    <s v="Não"/>
    <s v="1. Verificar condição dos corredores entre os racks do CPD com todo sistema operando 2. Medir temperatura de insuflamento próximo às máquinas 3. Medir temperatura de retorno dentro da casa de máquinas 4. Medir velocidade do ar no retorno e no insuflamento da casa de máquinas 5. Medir temperatura nos corredores entre os racks 6. Verificar a condição de instalação das máquinas 7. Identificar melhorias possíveis de execução imediata, com realocação de difusores do ar frio e grades de coleta do ar quente 8. Executar os ajustes pontuais em difusores e grades 9. Efetuar as medições após os ajustes pontuais 10. Executar levantamento geral da instalação do sistema de climatização 11. com o equipamento adequado para o teste; Se houver algum imprevisto, o serviço será cancelado imediatamente."/>
    <s v="Não"/>
    <s v="Não"/>
    <x v="0"/>
    <s v="Manutenção"/>
    <x v="0"/>
  </r>
  <r>
    <n v="19084"/>
    <s v="Atualização da aplicação Corporativo. A release 20160106 terá como foco principal as seguintes mudanças abaixo: ? FUO-568 Inclusão MSGs BO aberto ? FUO-563 Inclusão MSGsEvento-Vulto"/>
    <x v="2"/>
    <d v="2016-01-07T09:45:39"/>
    <x v="0"/>
    <s v="Encerramento"/>
    <s v="DANIEL SCHONWANDT MENDES FERREIRA"/>
    <s v="RAFAEL BARBOSA DA SILVA"/>
    <x v="7"/>
    <x v="1"/>
    <s v="Encerrada"/>
    <d v="2016-01-21T22:00:00"/>
    <d v="2016-01-22T05:00:00"/>
    <d v="2016-01-22T06:00:00"/>
    <x v="0"/>
    <x v="0"/>
    <s v="Impacto"/>
    <s v="--"/>
    <s v="URACTX04BSBPA; URACTX05BSBPA; URACTX04CGRPA; URACTX05CGRPA; URACTX04POAPA, URACTX05POAPA; URACTX05CTAPA; URACTX06CTAPA; URACTX07CTAPA; URACTX05SALPA; URACTX06SALPA; URACTX07SALPA; URACTX06BHZPA; URACTX07BHZPA; URACTX08BHZPA; URACTX06FORPA; URACTX07FORPA; URACTX08FORPA; URACTX06RJOPA; URACTX07RJOPA; URACTX08RJOPA; URACTX06RJOPB; URACTX07RJOPB; URACTX08RJOPB"/>
    <s v="Sim"/>
    <s v="Não"/>
    <s v="Undeploy da versão da máquina Application Server em questão e Deploy da nova versão utilizando o Tomcat Manager.da."/>
    <s v="Não"/>
    <s v="Não"/>
    <x v="0"/>
    <s v="Digite neste local o número do chamado no tProcess"/>
    <x v="1"/>
  </r>
  <r>
    <n v="19085"/>
    <s v="Atualização da aplicação o OiTV. A release 20160121 terá como foco principal as seguintes mudanças abaixo: ? FUO-613 STI84860-PRJ 1379 (FIBRA/TV) ? FUO-605 Descontinuação Cliente Cabo"/>
    <x v="2"/>
    <d v="2016-01-07T10:13:25"/>
    <x v="0"/>
    <s v="Encerramento"/>
    <s v="DANIEL SCHONWANDT MENDES FERREIRA"/>
    <s v="RAFAEL BARBOSA DA SILVA"/>
    <x v="7"/>
    <x v="1"/>
    <s v="Encerrada"/>
    <d v="2016-01-21T22:00:00"/>
    <d v="2016-01-22T05:00:00"/>
    <d v="2016-01-22T06:00:00"/>
    <x v="0"/>
    <x v="0"/>
    <s v="Impacto"/>
    <s v="--"/>
    <s v="URACTX04BSBPA; URACTX05BSBPA; URACTX04CGRPA; URACTX05CGRPA; URACTX04POAPA, URACTX05POAPA; URACTX05CTAPA; URACTX06CTAPA; URACTX07CTAPA; URACTX05SALPA; URACTX06SALPA; URACTX07SALPA; URACTX06BHZPA; URACTX07BHZPA; URACTX08BHZPA; URACTX06FORPA; URACTX07FORPA; URACTX08FORPA; URACTX06RJOPA; URACTX07RJOPA; URACTX08RJOPA; URACTX06RJOPB; URACTX07RJOPB; URACTX08RJOPB"/>
    <s v="Sim"/>
    <s v="Não"/>
    <s v="Undeploy da versão da máquina Application Server em questão e Deploy da nova versão utilizando o Tomcat Manager.da."/>
    <s v="Não"/>
    <s v="Não"/>
    <x v="0"/>
    <s v="Digite neste local o número do chamado no tProcess"/>
    <x v="1"/>
  </r>
  <r>
    <n v="19086"/>
    <s v="Disponibilização de mais um servidor para o cliente Claro visando a instalação de gravação de tela da operação."/>
    <x v="2"/>
    <d v="2016-01-07T11:03:05"/>
    <x v="0"/>
    <s v="Encerramento"/>
    <s v="THIAGO SILVA FERREIRA"/>
    <s v="RODRIGO VASCONCELOS ELUAN DE ARAÚJO,THIAGO SILVA FERREIRA"/>
    <x v="15"/>
    <x v="11"/>
    <s v="Encerrada"/>
    <d v="2016-01-12T11:00:00"/>
    <d v="2016-01-12T13:00:00"/>
    <d v="2016-01-12T14:00:00"/>
    <x v="0"/>
    <x v="2"/>
    <s v="Pouco impacto"/>
    <s v="--"/>
    <s v="N/A"/>
    <s v="Não"/>
    <s v="Não"/>
    <s v="Desconexão dos cabos do core e retirada da alimentação elétrica do servidor."/>
    <s v="Não"/>
    <s v="Não"/>
    <x v="0"/>
    <s v="Digite neste local o número do chamado no tProcess"/>
    <x v="0"/>
  </r>
  <r>
    <n v="19089"/>
    <s v="Instalar 5 troncos (E1) de propriedade da Souza Cruz no Datacenter Alegria"/>
    <x v="2"/>
    <d v="2016-01-07T15:35:16"/>
    <x v="0"/>
    <s v="Encerramento"/>
    <s v="LUIZ WASHINGTON GIANEZZI"/>
    <s v="LEANDRO AMARAL SILVA"/>
    <x v="0"/>
    <x v="12"/>
    <s v="Encerrada"/>
    <d v="2016-01-13T22:00:00"/>
    <d v="2016-01-14T01:00:00"/>
    <d v="2016-01-14T02:00:00"/>
    <x v="0"/>
    <x v="2"/>
    <s v="Sem impacto"/>
    <s v="TELLABS 6335"/>
    <s v="TELLABS 6335"/>
    <s v="Não"/>
    <s v="Não"/>
    <s v="Retirar a placa"/>
    <s v="Não"/>
    <s v="Não"/>
    <x v="0"/>
    <s v="Digite neste local o número do chamado no tProcess"/>
    <x v="0"/>
  </r>
  <r>
    <n v="19090"/>
    <s v="Instalação do Release Update 13 do Exchange 2010 SP3 Corrige bugs e aumenta a performance da aplicação."/>
    <x v="0"/>
    <d v="2016-01-07T15:45:34"/>
    <x v="0"/>
    <s v="Encerramento"/>
    <s v="EDSON ANTONIO DA SILVA DIAS"/>
    <s v="RAFAEL SIMPLES"/>
    <x v="10"/>
    <x v="1"/>
    <s v="Encerrada"/>
    <d v="2016-01-29T22:00:00"/>
    <d v="2016-01-30T04:00:00"/>
    <d v="2016-01-30T07:00:00"/>
    <x v="0"/>
    <x v="0"/>
    <s v="Sem impacto"/>
    <s v="--"/>
    <s v="mesctx101spodb; mesctx102spodb; mesctx103spodb; mesctx104spodb"/>
    <s v="Não"/>
    <s v="Não"/>
    <s v="Desinstalação de patches de segurança Windows."/>
    <s v="Não"/>
    <s v="Não"/>
    <x v="0"/>
    <m/>
    <x v="5"/>
  </r>
  <r>
    <n v="19092"/>
    <s v="Excluir, através de scripts, de inconsistências no Beweb (Benefícios) - (1) associação de benefício (INT002) e movimentações afins e (2) exclusão de tarefa referente à geração de arquivo que ficou presa."/>
    <x v="2"/>
    <d v="2016-01-07T17:20:14"/>
    <x v="0"/>
    <s v="Encerramento"/>
    <s v="MYRIAM WANDERLEY DA NOBREGA SANTOS"/>
    <s v="ANDERSON MOURA DE CARVALHO,CLAYTON ROBERTO LEITE,MARINA SOLIS MARIANO,MYRIAM WANDERLEY DA NOBREGA SANTOS,ROBERTO MAGALHÃES DE OLIVEIRA"/>
    <x v="5"/>
    <x v="0"/>
    <s v="Encerrada"/>
    <d v="2016-01-21T09:00:00"/>
    <d v="2016-01-22T12:00:00"/>
    <d v="2016-01-22T18:00:00"/>
    <x v="0"/>
    <x v="1"/>
    <s v="Impacto"/>
    <s v="DBSCTX127SPODB"/>
    <s v="DBSCTX127SPODB"/>
    <s v="Não"/>
    <s v="Não"/>
    <s v="Não se aplica, pois como a informação a ser atualizada está inconsistente, não haverá necessidade de estornar o valor original após realizar a atualização."/>
    <s v="Não"/>
    <s v="Não"/>
    <x v="0"/>
    <s v="N/A"/>
    <x v="0"/>
  </r>
  <r>
    <n v="19093"/>
    <s v="Instalar antivírus e aplicar políticas de antivírus nos controladores de domínio da floresta claroctx.contax."/>
    <x v="2"/>
    <d v="2016-01-08T08:20:55"/>
    <x v="0"/>
    <s v="Encerramento"/>
    <s v="GERALDO DE ARAUJO FERNANDES JR."/>
    <s v="DAVID LOPES DA COSTA CHAVES"/>
    <x v="15"/>
    <x v="11"/>
    <s v="Encerrada"/>
    <d v="2016-01-21T22:00:00"/>
    <d v="2016-01-22T04:00:00"/>
    <d v="2016-01-22T05:00:00"/>
    <x v="0"/>
    <x v="0"/>
    <s v="Impacto"/>
    <s v="sdcctx201spodb; sdcctx202spodb"/>
    <s v="sdcctx201spodb; sdcctx202spodb"/>
    <s v="Sim"/>
    <s v="Sim"/>
    <s v="1) Acessar os servidores SDCCTX201SPODB e SDCCTX202SPODB via RDP 2) Remover o client do antivírus 3) Reiniciar os servidores (um por vez) 4) Validar a replicação 5) Solicitar testes na ponta."/>
    <s v="Não"/>
    <s v="Não"/>
    <x v="0"/>
    <s v="Digite neste local o número do chamado no tProcess"/>
    <x v="0"/>
  </r>
  <r>
    <n v="19094"/>
    <s v="Execução das demandas da OI10331Unificada"/>
    <x v="2"/>
    <d v="2016-01-08T10:23:49"/>
    <x v="0"/>
    <s v="Encerramento"/>
    <s v="PAULO VINÍCIUS DOS SANTOS PEREIRA"/>
    <s v="MARCOS SANTOS DO SACRAMENTO"/>
    <x v="7"/>
    <x v="1"/>
    <s v="Encerrada"/>
    <d v="2016-02-03T13:00:00"/>
    <d v="2016-02-04T06:00:00"/>
    <d v="2016-02-04T06:00:00"/>
    <x v="0"/>
    <x v="0"/>
    <s v="Muito impacto"/>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
    <s v="Não"/>
    <s v="Não"/>
    <s v="Undeploy da versão da máquina Application Server em questão e Deploy da nova versão utilizando o Tomcat Manager."/>
    <s v="Não"/>
    <s v="Não"/>
    <x v="0"/>
    <s v="OI-11834, OI-10911"/>
    <x v="2"/>
  </r>
  <r>
    <n v="19095"/>
    <s v="Preventiva Energ sem carga do gerador Stemac 230 KVA - Site Alameda Santos"/>
    <x v="2"/>
    <d v="2016-01-08T10:33:21"/>
    <x v="0"/>
    <s v="Encerramento"/>
    <s v="LUIS FERNANDO COSTA NEVES"/>
    <s v="LUIS FERNANDO COSTA NEVES"/>
    <x v="6"/>
    <x v="13"/>
    <s v="Encerrada"/>
    <d v="2016-01-29T20:00:00"/>
    <d v="2016-01-29T22:00:00"/>
    <d v="2016-01-29T22:01:00"/>
    <x v="0"/>
    <x v="0"/>
    <s v="Pouco impacto"/>
    <s v="GMG - Site ALAMEDA"/>
    <s v="GMG - Site ALAMEDA"/>
    <s v="Não"/>
    <s v="Não"/>
    <s v="Toda atividade será realizada seguindo procedimentos e medidas de controle caso aja qualquer anomalia na execução iremos paralisar e retornar o processo do inicio, sempre sinalizando os interessados da atividade"/>
    <s v="Não"/>
    <s v="Não"/>
    <x v="0"/>
    <s v="Digite neste local o número do chamado no tProcess"/>
    <x v="0"/>
  </r>
  <r>
    <n v="19096"/>
    <s v="Essa manutenção, tem como objetivo manter a confiabilidade elétrica do Site, como também a conservação e desempenho do equipamento."/>
    <x v="2"/>
    <d v="2016-01-08T11:16:18"/>
    <x v="0"/>
    <s v="Encerramento"/>
    <s v="GENALDO GOMES FERREIRA"/>
    <s v="GENALDO GOMES FERREIRA"/>
    <x v="14"/>
    <x v="10"/>
    <s v="Encerrada"/>
    <d v="2016-01-31T00:01:00"/>
    <d v="2016-01-31T05:00:00"/>
    <d v="2016-01-31T06:00:00"/>
    <x v="0"/>
    <x v="0"/>
    <s v="Impacto"/>
    <s v="--"/>
    <s v="Gerador"/>
    <s v="Não"/>
    <s v="Não"/>
    <s v="Havendo necessidade de acionamento dos equipamentos os mesmos serão ativados."/>
    <s v="Não"/>
    <s v="Não"/>
    <x v="0"/>
    <s v="Digite neste local o número do chamado no tProcess"/>
    <x v="9"/>
  </r>
  <r>
    <n v="19097"/>
    <s v="Configurar protocolo SLPP de prevenção a loop na rede em todos os switches de acesso do site."/>
    <x v="2"/>
    <d v="2016-01-08T11:26:31"/>
    <x v="0"/>
    <s v="Encerramento"/>
    <s v="WESLEY DE OLIVEIRA SANTANA"/>
    <s v="WESLEY DE OLIVEIRA SANTANA"/>
    <x v="8"/>
    <x v="4"/>
    <s v="Encerrada"/>
    <d v="2016-01-17T01:00:00"/>
    <d v="2016-01-17T05:00:00"/>
    <d v="2016-01-17T06:00:00"/>
    <x v="0"/>
    <x v="0"/>
    <s v="Impacto"/>
    <s v="--"/>
    <s v="Informe o nome do componente na rede."/>
    <s v="Não"/>
    <s v="Não"/>
    <s v="Realizar Rollback do script de execução."/>
    <s v="Não"/>
    <s v="Não"/>
    <x v="0"/>
    <s v="Digite neste local o número do chamado no tProcess"/>
    <x v="1"/>
  </r>
  <r>
    <n v="19098"/>
    <s v="Manutenção Corretiva das Torres de Resfriamento"/>
    <x v="2"/>
    <d v="2016-01-08T14:13:01"/>
    <x v="0"/>
    <s v="Encerramento"/>
    <s v="PAULO ROBERTO RIBEIRO DE LIMA"/>
    <s v="PAULO ROBERTO RIBEIRO DE LIMA"/>
    <x v="1"/>
    <x v="14"/>
    <s v="Encerrada"/>
    <d v="2016-01-16T08:00:00"/>
    <d v="2016-01-17T18:00:00"/>
    <d v="2016-01-17T19:00:00"/>
    <x v="0"/>
    <x v="1"/>
    <s v="Impacto"/>
    <s v="--"/>
    <s v="torre de 150tr"/>
    <s v="Não"/>
    <s v="Não"/>
    <s v="Substituir das peças da Torre de Resfriamento . Os Teste será executado por Técnicos especializados. Na execução de atividade caso ocorra qualquer problema cancelaremos a GMUD imediatamente."/>
    <s v="Não"/>
    <s v="Não"/>
    <x v="2"/>
    <s v="MANUTENÇÃO DAS TORRES DE RESFRIAMENTO"/>
    <x v="5"/>
  </r>
  <r>
    <n v="19099"/>
    <s v="Realizar Manutenção preventiva no grupo de moto geradores, sem desligamento da concessionaria."/>
    <x v="2"/>
    <d v="2016-01-08T14:46:52"/>
    <x v="0"/>
    <s v="Encerramento"/>
    <s v="LUIS FERNANDO COSTA NEVES"/>
    <s v="LUIS FERNANDO COSTA NEVES"/>
    <x v="16"/>
    <x v="6"/>
    <s v="Encerrada"/>
    <d v="2016-01-28T22:00:00"/>
    <d v="2016-01-28T23:59:00"/>
    <d v="2016-01-29T00:01:00"/>
    <x v="0"/>
    <x v="0"/>
    <s v="Pouco impacto"/>
    <s v="--"/>
    <s v="--"/>
    <s v="Não"/>
    <s v="Não"/>
    <s v="Toda atividade será realizada seguindo procedimentos e medidas de controle caso aja qualquer anomalia na execução iremos paralisar e retornar o processo do inicio, sempre sinalizando os interessados da atividade"/>
    <s v="Não"/>
    <s v="Não"/>
    <x v="0"/>
    <s v="Digite neste local o número do chamado no tProcess"/>
    <x v="7"/>
  </r>
  <r>
    <n v="19100"/>
    <s v="Configurar contingência automática do link L2L Algar / Embratel. Cliente Elektro"/>
    <x v="2"/>
    <d v="2016-01-08T15:31:50"/>
    <x v="0"/>
    <s v="Encerramento"/>
    <s v="EDSON PEREIRA DA SILVA"/>
    <s v="LUCAS ALBERTO DE MORAES"/>
    <x v="17"/>
    <x v="0"/>
    <s v="Encerrada"/>
    <d v="2016-01-15T23:00:00"/>
    <d v="2016-01-16T05:00:00"/>
    <d v="2016-01-16T06:30:00"/>
    <x v="0"/>
    <x v="0"/>
    <s v="Muito impacto"/>
    <s v="RTEH03"/>
    <s v="RTEH03"/>
    <s v="Não"/>
    <s v="Sim"/>
    <s v="LINK DE CONTIGÊNCIA ELEKTRO Configurar o HSRP para fazer a troca automática quando houver a queda no link da Algar: Motivo: Foi informado pelo site que o link Embratel não fica ativo quando o link principal da algar fica down. Etapa: Script a configurar na interface vlan 905 RTEH03 script a configurar na interface vlan 905 no rteh03 ip sla 20 icmp-echo 192.168.250.162 frequency 25 exit ip sla schedule 1 life forever start-time now track 20 ip sla 1 reachability int vlan 905 standby 20 track 20 decrement 10 2. Etapa Verificar qual o router é o active com o comando abaixo: rteh03#show standby brief 3.Etapa Entrar na interface abaixo e : 1.interface GigabitEthernet0/14 2.shutdown 4.Etapa rteh03#show standby brief OBS: O ip 10.130.96.38 tem que estar no estado de ACTIVE. 5.Etapa Verificar o trafego pelo link da EMBRATEL. Traceroute 192.168.250.162 Show ip route 192.168.250.162 6.Etapa Caso não ocorra a contingência, rolback da atividade."/>
    <s v="Sim"/>
    <s v="Não"/>
    <x v="2"/>
    <s v="CTXCASEK-1564"/>
    <x v="0"/>
  </r>
  <r>
    <n v="19101"/>
    <s v="Manter a confiabilidade do sistema"/>
    <x v="2"/>
    <d v="2016-01-08T15:32:16"/>
    <x v="0"/>
    <s v="Encerramento"/>
    <s v="VANDERLEI CASTRO SOUZA LIMA"/>
    <s v="VANDERLEI CASTRO SOUZA LIMA"/>
    <x v="18"/>
    <x v="15"/>
    <s v="Encerrada"/>
    <d v="2016-01-22T22:00:00"/>
    <d v="2016-01-23T01:30:00"/>
    <d v="2016-01-23T02:00:00"/>
    <x v="0"/>
    <x v="0"/>
    <s v="Muito impacto"/>
    <s v="--"/>
    <s v="No Break"/>
    <s v="Não"/>
    <s v="Não"/>
    <s v="Não haverá plano de retorno, pois nenhum sistema será desligado."/>
    <s v="Não"/>
    <s v="Não"/>
    <x v="0"/>
    <s v="Digite neste local o número do chamado no tProcess"/>
    <x v="10"/>
  </r>
  <r>
    <n v="19102"/>
    <s v="Ativação circuito Embratel, MPLS Orbitall."/>
    <x v="2"/>
    <d v="2016-01-08T16:06:13"/>
    <x v="0"/>
    <s v="Encerramento"/>
    <s v="EDSON PEREIRA DA SILVA"/>
    <s v="EDSON PEREIRA DA SILVA"/>
    <x v="10"/>
    <x v="5"/>
    <s v="Encerrada"/>
    <d v="2016-01-14T20:00:00"/>
    <d v="2016-01-14T23:59:00"/>
    <d v="2016-01-14T23:59:00"/>
    <x v="0"/>
    <x v="2"/>
    <s v="Sem impacto"/>
    <s v="NA"/>
    <s v="NA"/>
    <s v="Não"/>
    <s v="Não"/>
    <s v="Não há plano de retorno, pois trata-se de um novo circuito."/>
    <s v="Não"/>
    <s v="Sim"/>
    <x v="2"/>
    <s v="NA"/>
    <x v="2"/>
  </r>
  <r>
    <n v="19104"/>
    <s v="Ativação circuito Embratel, MPLS Orbitall."/>
    <x v="2"/>
    <d v="2016-01-08T17:27:59"/>
    <x v="0"/>
    <s v="Encerramento"/>
    <s v="EDSON PEREIRA DA SILVA"/>
    <s v="EDSON PEREIRA DA SILVA"/>
    <x v="0"/>
    <x v="5"/>
    <s v="Encerrada"/>
    <d v="2016-01-18T20:00:00"/>
    <d v="2016-01-18T23:59:00"/>
    <d v="2016-01-18T23:59:00"/>
    <x v="0"/>
    <x v="2"/>
    <s v="Sem impacto"/>
    <s v="NA"/>
    <s v="NA"/>
    <s v="Não"/>
    <s v="Não"/>
    <s v="Não há plano de retorno, pois trata-se de um novo circuito."/>
    <s v="Não"/>
    <s v="Sim"/>
    <x v="2"/>
    <s v="NA"/>
    <x v="2"/>
  </r>
  <r>
    <n v="19105"/>
    <s v="Implantar nova opção de busca paraextração de relatórios tProcess."/>
    <x v="2"/>
    <d v="2016-01-08T17:33:43"/>
    <x v="0"/>
    <s v="Encerramento"/>
    <s v="FLÁVIO ROBERTO DE FREITAS MIRANDA"/>
    <s v="JAIME FROILAN DE SOUZA ALOSILLA"/>
    <x v="6"/>
    <x v="0"/>
    <s v="Encerrada"/>
    <d v="2016-01-21T22:00:00"/>
    <d v="2016-01-22T06:00:00"/>
    <d v="2016-01-22T07:00:00"/>
    <x v="0"/>
    <x v="0"/>
    <s v="Sem impacto"/>
    <s v="Informe o nome do componente na rede."/>
    <s v="Informe o nome do componente na rede."/>
    <s v="Não"/>
    <s v="Sim"/>
    <s v="1. Baixar a aplicaÃ§Ã£o atravÃ©s do comando ./shutdown 2. Voltar a versÃ£o do plugin antigo. 3. voltar a versÃ£o dos workflows 4. Remover o campo &quot;reporter username&quot;"/>
    <s v="Não"/>
    <s v="Não"/>
    <x v="0"/>
    <s v="CTXSPOAP407-13232"/>
    <x v="0"/>
  </r>
  <r>
    <n v="19107"/>
    <s v="Implementar melhorias no CRM AYTY."/>
    <x v="2"/>
    <d v="2016-01-11T11:15:56"/>
    <x v="0"/>
    <s v="Encerramento"/>
    <s v="MARCIO ROBERTO ALVES NAKAYA"/>
    <s v="MARCIO ROBERTO ALVES NAKAYA"/>
    <x v="19"/>
    <x v="16"/>
    <s v="Encerrada"/>
    <d v="2016-01-25T08:00:00"/>
    <d v="2016-01-25T22:00:00"/>
    <d v="2016-01-26T06:00:00"/>
    <x v="0"/>
    <x v="0"/>
    <s v="Pouco impacto"/>
    <s v="appctx47spolp; DBSCTX47SPOLP"/>
    <s v="appctx47spolp; DBSCTX47SPOLP"/>
    <s v="Não"/>
    <s v="Não"/>
    <s v="Desabilitar e retirar nova versão do CRM."/>
    <s v="Não"/>
    <s v="Sim"/>
    <x v="0"/>
    <s v="N/A"/>
    <x v="1"/>
  </r>
  <r>
    <n v="19109"/>
    <s v="Implantação de melhorias, com atualização de promoções e demandas de recarga na URA *144 Pré Pago."/>
    <x v="2"/>
    <d v="2016-01-11T15:30:45"/>
    <x v="0"/>
    <s v="Encerramento"/>
    <s v="FELIPE NASCIMENTO DE MENEZES TAVARES"/>
    <s v="LUIZ HENRIQUE OLIVEIRA DA SILVA"/>
    <x v="7"/>
    <x v="1"/>
    <s v="Encerrada"/>
    <d v="2016-01-27T22:00:00"/>
    <d v="2016-01-28T03:00:00"/>
    <d v="2016-01-28T18:00:00"/>
    <x v="0"/>
    <x v="2"/>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1997 / Oi-11945"/>
    <x v="5"/>
  </r>
  <r>
    <n v="19112"/>
    <s v="Realização de manutenção preventiva e preditiva sem desligamento de 05 No-breaks do site Fonte Nova."/>
    <x v="2"/>
    <d v="2016-01-11T17:03:32"/>
    <x v="0"/>
    <s v="Encerramento"/>
    <s v="REGINALDO MIRANDA BISPO"/>
    <s v="REGINALDO MIRANDA BISPO"/>
    <x v="20"/>
    <x v="1"/>
    <s v="Encerrada"/>
    <d v="2016-01-21T22:00:00"/>
    <d v="2016-01-23T05:00:00"/>
    <d v="2016-01-23T06:00:00"/>
    <x v="0"/>
    <x v="0"/>
    <s v="Sem impacto"/>
    <s v="No-breaks"/>
    <s v="No-breaks"/>
    <s v="Não"/>
    <s v="Não"/>
    <s v="Em eventual falha reportaremos para a área de missão critica, coordenador do site e gerência de cidade, após ser aprovado o procedimento restabeleceremos o sistema."/>
    <s v="Não"/>
    <s v="Não"/>
    <x v="0"/>
    <s v="NA"/>
    <x v="5"/>
  </r>
  <r>
    <n v="19115"/>
    <s v="Implantação de melhoria e atualização da aplicação URA Cartão."/>
    <x v="2"/>
    <d v="2016-01-12T10:44:18"/>
    <x v="0"/>
    <s v="Encerramento"/>
    <s v="FELIPE NASCIMENTO DE MENEZES TAVARES"/>
    <s v="LUIZ HENRIQUE OLIVEIRA DA SILVA"/>
    <x v="7"/>
    <x v="1"/>
    <s v="Encerrada"/>
    <d v="2016-01-18T22:00:00"/>
    <d v="2016-01-19T03:00:00"/>
    <d v="2016-01-19T18:00:00"/>
    <x v="0"/>
    <x v="2"/>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2098"/>
    <x v="5"/>
  </r>
  <r>
    <n v="19116"/>
    <s v="Iremos realizar manutenção preventiva no GMG, testes serão realizados sem teste de carga."/>
    <x v="2"/>
    <d v="2016-01-12T10:49:03"/>
    <x v="0"/>
    <s v="Encerramento"/>
    <s v="MARCIO LUIS DE GODOI JUNIOR"/>
    <s v="MARCIO LUIS DE GODOI JUNIOR"/>
    <x v="19"/>
    <x v="17"/>
    <s v="Encerrada"/>
    <d v="2016-01-22T09:00:00"/>
    <d v="2016-01-22T13:00:00"/>
    <d v="2016-01-26T10:51:00"/>
    <x v="0"/>
    <x v="0"/>
    <s v="Pouco impacto"/>
    <s v="GMG site Lapa"/>
    <s v="GMG site Lapa"/>
    <s v="Não"/>
    <s v="Não"/>
    <s v="PLANO DE RETORNO: Toda atividade será acompanhada via sms e nextel por especialista de energia Contax, caso ocorra qualquer anomalia na execução da atividade iremos paralizar e retornar ao inicio do processo"/>
    <s v="Não"/>
    <s v="Não"/>
    <x v="2"/>
    <n v="116991"/>
    <x v="11"/>
  </r>
  <r>
    <n v="19118"/>
    <s v="Implantação do software supervisório, realização de testes de funcionamento durante 4 dias para certificação que todas as funções estão operacionais e não possuem erros."/>
    <x v="2"/>
    <d v="2016-01-12T13:26:29"/>
    <x v="0"/>
    <s v="Encerramento"/>
    <s v="ARTHUR PRADO DE HOLANDA MOURA"/>
    <s v="ARTHUR PRADO DE HOLANDA MOURA"/>
    <x v="10"/>
    <x v="1"/>
    <s v="Encerrada"/>
    <d v="2016-01-26T00:01:00"/>
    <d v="2016-01-29T23:59:00"/>
    <d v="2016-01-30T13:50:00"/>
    <x v="0"/>
    <x v="2"/>
    <s v="Pouco impacto"/>
    <s v="Informe o nome do componente na rede."/>
    <s v="Informe o nome do componente na rede."/>
    <s v="Não"/>
    <s v="Não"/>
    <s v="Não há"/>
    <s v="Não"/>
    <s v="Não"/>
    <x v="2"/>
    <s v="Digite neste local o número do chamado no tProcess"/>
    <x v="1"/>
  </r>
  <r>
    <n v="19119"/>
    <s v="Atualizar tabela ICR do com os serviços destinos para atender demanda de URA"/>
    <x v="2"/>
    <d v="2016-01-12T15:10:55"/>
    <x v="0"/>
    <s v="Encerramento"/>
    <s v="WILSON SHIGERU MIYAZAKI"/>
    <s v="WILSON SHIGERU MIYAZAKI"/>
    <x v="7"/>
    <x v="1"/>
    <s v="Encerrada"/>
    <d v="2016-01-21T08:00:00"/>
    <d v="2016-01-21T14:14:00"/>
    <d v="2016-01-21T15:14:00"/>
    <x v="0"/>
    <x v="0"/>
    <s v="Pouco impacto"/>
    <s v="dbsctx08spoda"/>
    <s v="dbsctx08spoda"/>
    <s v="Não"/>
    <s v="Não"/>
    <s v="Voltar a tabela na versão antiga na base (MOVEL_NOVOMODELO)"/>
    <s v="Não"/>
    <s v="Não"/>
    <x v="0"/>
    <s v="Digite neste local o número do chamado no tProcess"/>
    <x v="1"/>
  </r>
  <r>
    <n v="19120"/>
    <s v="Alterar o processo de carga do arquivo de ofertas da operação R1 Móvel, do FE Tcollect."/>
    <x v="2"/>
    <d v="2016-01-12T17:10:58"/>
    <x v="0"/>
    <s v="Encerramento"/>
    <s v="CAMILLA EUGÊNIA FERMIANO"/>
    <s v="GUSTAVO RODRIGUES DE ORNELAS SILVA"/>
    <x v="3"/>
    <x v="1"/>
    <s v="Encerrada"/>
    <d v="2016-01-19T23:30:00"/>
    <d v="2016-01-20T02:30:00"/>
    <d v="2016-01-20T03:00:00"/>
    <x v="0"/>
    <x v="1"/>
    <s v="Impacto"/>
    <s v="--"/>
    <s v="cssqloivarejo"/>
    <s v="Não"/>
    <s v="Não"/>
    <s v="1 - Abrir o SQL Server Management Studio, e conectar No BD FTStage do servidor 10.55.14.11. 2- Apagar as Procedures criadas: &gt; DROP PROCEDURE ParseDataExchange_BatchLoad_Oi_Varejo_Movel_Ofertas &gt; DROP PROCEDURE PrepareBatchLoadDataExchange_BatchLoad_Oi_Varejo_Movel_Ofertas 3 - Executar o Comando a Seguir: &gt; sp_rename ParseDataExchange_BatchLoad_Oi_Varejo_Movel_Ofertas_GMUD19120 ParseDataExchange_BatchLoad_Oi_Varejo_Movel_Ofertas &gt; sp_rename PrepareBatchLoadDataExchange_BatchLoad_Oi_Varejo_Movel_Ofertas_GMUD19120 PrepareBatchLoadDataExchange_BatchLoad_Oi_Varejo_Movel_Ofertas"/>
    <s v="Não"/>
    <s v="Não"/>
    <x v="0"/>
    <s v="CTXFORBM-344109"/>
    <x v="2"/>
  </r>
  <r>
    <n v="19123"/>
    <s v="Alterar o tempo de sessão expirada no IIS para os servidores de produção do Minha Contax passando para 2 minutos de acordo com o padrão pela SI Contax."/>
    <x v="2"/>
    <d v="2016-01-12T18:00:14"/>
    <x v="0"/>
    <s v="Encerramento"/>
    <s v="FELIPE DE OLIVEIRA MOREIRA"/>
    <s v="FELIPE DE OLIVEIRA MOREIRA"/>
    <x v="5"/>
    <x v="0"/>
    <s v="Encerrada"/>
    <d v="2016-01-21T07:00:00"/>
    <d v="2016-01-21T08:00:00"/>
    <d v="2016-01-21T09:00:00"/>
    <x v="0"/>
    <x v="0"/>
    <s v="Impacto"/>
    <s v="10.201.66.52; APPCTX181SPODB; APPCTX182SPODB; APPCTX185SPODB"/>
    <s v="10.201.66.52; APPCTX181SPODB; APPCTX182SPODB; APPCTX185SPODB"/>
    <s v="Sim"/>
    <s v="Sim"/>
    <s v="Não se aplica."/>
    <s v="Não"/>
    <s v="Não"/>
    <x v="0"/>
    <s v="Não se aplica"/>
    <x v="0"/>
  </r>
  <r>
    <n v="19124"/>
    <s v="Migrar o Banco de Dados da aplicação CTXPlan 2.0 do disco C: para o disco E:"/>
    <x v="2"/>
    <d v="2016-01-12T23:47:12"/>
    <x v="0"/>
    <s v="Encerramento"/>
    <s v="FELIPE WENCESLAU FRANCA DE JESUS"/>
    <s v="ROBERTO MAGALHÃES DE OLIVEIRA"/>
    <x v="5"/>
    <x v="0"/>
    <s v="Encerrada"/>
    <d v="2016-02-06T00:01:00"/>
    <d v="2016-02-06T05:00:00"/>
    <d v="2016-02-06T05:00:00"/>
    <x v="0"/>
    <x v="0"/>
    <s v="Sem impacto"/>
    <s v="APPCTX78SPOAL"/>
    <s v="APPCTX78SPOAL"/>
    <s v="Sim"/>
    <s v="Sim"/>
    <s v="---- Para Mysql ---- Alterar arquivo INI ---- Voltar diretório para a mesma localização antiga ---- Iniciar Mysql ---- Analisar logs ---- Validação pela equipe Produção TI"/>
    <s v="Não"/>
    <s v="Não"/>
    <x v="0"/>
    <s v="CTXSPOAL-102768"/>
    <x v="0"/>
  </r>
  <r>
    <n v="19125"/>
    <s v="Remover alarme Major ( DAC Fortaleza A )"/>
    <x v="2"/>
    <d v="2016-01-13T04:19:54"/>
    <x v="0"/>
    <s v="Encerramento"/>
    <s v="REGINALDO ALVES DE SOUZA"/>
    <s v="REGINALDO ALVES DE SOUZA"/>
    <x v="3"/>
    <x v="1"/>
    <s v="Encerrada"/>
    <d v="2016-01-21T23:00:00"/>
    <d v="2016-01-22T04:30:00"/>
    <d v="2016-01-22T05:00:00"/>
    <x v="0"/>
    <x v="1"/>
    <s v="Impacto"/>
    <s v="--"/>
    <s v="Fortaleza A"/>
    <s v="Sim"/>
    <s v="Sim"/>
    <s v="Retornar as placas antigas."/>
    <s v="Não"/>
    <s v="Não"/>
    <x v="0"/>
    <s v="CTXFORBM-327070"/>
    <x v="5"/>
  </r>
  <r>
    <n v="19126"/>
    <s v="Adequação do sistema de monitoramento das salas; pólo e de monitoramento."/>
    <x v="2"/>
    <d v="2016-01-13T11:45:01"/>
    <x v="0"/>
    <s v="Encerramento"/>
    <s v="ARTHUR PRADO DE HOLANDA MOURA"/>
    <s v="ARTHUR PRADO DE HOLANDA MOURA"/>
    <x v="10"/>
    <x v="1"/>
    <s v="Encerrada"/>
    <d v="2016-01-18T00:01:00"/>
    <d v="2016-01-25T23:59:00"/>
    <d v="2016-01-26T23:59:00"/>
    <x v="0"/>
    <x v="2"/>
    <s v="Sem impacto"/>
    <s v="Informe o nome do componente na rede."/>
    <s v="Informe o nome do componente na rede."/>
    <s v="Não"/>
    <s v="Não"/>
    <s v="Não há plano de retorno, pois não haverá indisponibilidade."/>
    <s v="Não"/>
    <s v="Não"/>
    <x v="2"/>
    <s v="Digite neste local o número do chamado no tProcess"/>
    <x v="1"/>
  </r>
  <r>
    <n v="19127"/>
    <s v="Mitigar vulnerabilidades apontadas pela auditoria Contax."/>
    <x v="2"/>
    <d v="2016-01-13T11:56:04"/>
    <x v="0"/>
    <s v="Encerramento"/>
    <s v="CARLOS EDUARDO AZEVEDO PEREIRA"/>
    <s v="CARLOS EDUARDO AZEVEDO PEREIRA"/>
    <x v="10"/>
    <x v="0"/>
    <s v="Encerrada"/>
    <d v="2016-01-22T22:00:00"/>
    <d v="2016-01-23T05:00:00"/>
    <d v="2016-01-23T06:00:00"/>
    <x v="0"/>
    <x v="0"/>
    <s v="Impacto"/>
    <s v="DBSCTX145SPODB"/>
    <s v="DBSCTX145SPODB"/>
    <s v="Sim"/>
    <s v="Não"/>
    <s v="Remover patches instalados e reiniciar servidor."/>
    <s v="Não"/>
    <s v="Não"/>
    <x v="0"/>
    <s v="Digite neste local o número do chamado no tProcess"/>
    <x v="0"/>
  </r>
  <r>
    <n v="19128"/>
    <s v="Evitar desligamento não programado do Controlador de Domínio do Site Cabula - SALSM"/>
    <x v="2"/>
    <d v="2016-01-13T13:11:54"/>
    <x v="0"/>
    <s v="Encerramento"/>
    <s v="VINÍCIUS FERNANDES CHATEAUNEUF"/>
    <s v="TIAGO MAIA BISPO"/>
    <x v="21"/>
    <x v="18"/>
    <s v="Encerrada"/>
    <d v="2016-01-13T14:00:00"/>
    <d v="2016-01-13T18:00:00"/>
    <d v="2016-01-13T19:00:00"/>
    <x v="1"/>
    <x v="1"/>
    <s v="Muito impacto"/>
    <s v="--"/>
    <s v="--"/>
    <s v="Sim"/>
    <s v="Não"/>
    <s v="Não há plano de retorno"/>
    <s v="Não"/>
    <s v="Não"/>
    <x v="0"/>
    <s v="CTXSALSM-86060"/>
    <x v="2"/>
  </r>
  <r>
    <n v="19129"/>
    <s v="Atualização da aplicação OiTV. A release 20160118 terá como foco principal as seguintes mudanças abaixo: ? FUO-613 STI84860-PRJ1379(FIBRA/TV)"/>
    <x v="2"/>
    <d v="2016-01-13T13:58:57"/>
    <x v="0"/>
    <s v="Encerramento"/>
    <s v="DANIEL SCHONWANDT MENDES FERREIRA"/>
    <s v="LUIZ HENRIQUE OLIVEIRA DA SILVA"/>
    <x v="7"/>
    <x v="1"/>
    <s v="Encerrada"/>
    <d v="2016-01-19T00:01:00"/>
    <d v="2016-01-19T05:00:00"/>
    <d v="2016-01-19T06:00:00"/>
    <x v="0"/>
    <x v="0"/>
    <s v="Impacto"/>
    <s v="--"/>
    <s v="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s v="Digite neste local o número do chamado no tProcess"/>
    <x v="1"/>
  </r>
  <r>
    <n v="19130"/>
    <s v="Atualização de Service Pack 3 em Servidores de Banco com SQL Server 2008"/>
    <x v="2"/>
    <d v="2016-01-13T14:00:43"/>
    <x v="0"/>
    <s v="Encerramento"/>
    <s v="CLAYTON ROBERTO LEITE"/>
    <s v="ROBERTO MAGALHÃES DE OLIVEIRA"/>
    <x v="10"/>
    <x v="0"/>
    <s v="Encerrada"/>
    <d v="2016-01-20T00:00:00"/>
    <d v="2016-01-20T05:00:00"/>
    <d v="2016-01-20T06:00:00"/>
    <x v="0"/>
    <x v="0"/>
    <s v="Pouco impacto"/>
    <s v="DBSCTX104SPODB; DBSCTX139SPODB; DBSCTX141SPODB; DBSCTX245SPODB; DBSCTX359SPODB; DBSCTX35SPODB"/>
    <s v="DBSCTX104SPODB; DBSCTX139SPODB; DBSCTX141SPODB; DBSCTX245SPODB; DBSCTX359SPODB; DBSCTX35SPODB"/>
    <s v="Não"/>
    <s v="Não"/>
    <s v="Desinstalar Service Pack 3 do SQL Server."/>
    <s v="Não"/>
    <s v="Não"/>
    <x v="0"/>
    <s v="Digite neste local o número do chamado no tProcess"/>
    <x v="0"/>
  </r>
  <r>
    <n v="19131"/>
    <s v="Atualização de Service Pack 3 em Servidores de Banco com SQL Server 2008"/>
    <x v="2"/>
    <d v="2016-01-13T19:49:18"/>
    <x v="0"/>
    <s v="Encerramento"/>
    <s v="ANDERSON MOURA DE CARVALHO"/>
    <s v="PAULO ROGERIO GOMES,ROBERTO MAGALHÃES DE OLIVEIRA"/>
    <x v="22"/>
    <x v="0"/>
    <s v="Encerrada"/>
    <d v="2016-01-19T00:00:00"/>
    <d v="2016-01-19T06:00:00"/>
    <d v="2016-01-19T07:00:00"/>
    <x v="0"/>
    <x v="0"/>
    <s v="Pouco impacto"/>
    <s v="APPCTX17NITSP; DBSCTX10NITSP; DBSCTX14NITSP"/>
    <s v="APPCTX17NITSP; DBSCTX10NITSP; DBSCTX14NITSP"/>
    <s v="Sim"/>
    <s v="Não"/>
    <s v="Desinstalar Service Pack 3 do SQL Server."/>
    <s v="Não"/>
    <s v="Não"/>
    <x v="0"/>
    <s v="Digite neste local o número do chamado no tProcess"/>
    <x v="0"/>
  </r>
  <r>
    <n v="19132"/>
    <s v="Atualização de Service Pack 3 em Servidores de Banco com SQL Server 2008"/>
    <x v="2"/>
    <d v="2016-01-13T21:42:30"/>
    <x v="0"/>
    <s v="Encerramento"/>
    <s v="ANDERSON MOURA DE CARVALHO"/>
    <s v="ROBERTO MAGALHÃES DE OLIVEIRA"/>
    <x v="23"/>
    <x v="0"/>
    <s v="Encerrada"/>
    <d v="2016-01-21T00:00:00"/>
    <d v="2016-01-21T06:00:00"/>
    <d v="2016-01-21T07:00:00"/>
    <x v="0"/>
    <x v="0"/>
    <s v="Pouco impacto"/>
    <s v="DBSCTX72RJORP; SENCTX01RJORP\NICESENTINEL; STLCTX01RJORP; UNFCTX01RJORP"/>
    <s v="DBSCTX72RJORP; SENCTX01RJORP\NICESENTINEL; STLCTX01RJORP; UNFCTX01RJORP"/>
    <s v="Sim"/>
    <s v="Não"/>
    <s v="Desinstalar Service Pack 3 do SQL Server."/>
    <s v="Não"/>
    <s v="Não"/>
    <x v="0"/>
    <s v="Digite neste local o número do chamado no tProcess"/>
    <x v="0"/>
  </r>
  <r>
    <n v="19133"/>
    <s v="Manutenção Corretiva das Torres de Resfriamento"/>
    <x v="2"/>
    <d v="2016-01-14T11:15:14"/>
    <x v="0"/>
    <s v="Encerramento"/>
    <s v="PAULO ROBERTO RIBEIRO DE LIMA"/>
    <s v="PAULO ROBERTO RIBEIRO DE LIMA"/>
    <x v="1"/>
    <x v="1"/>
    <s v="Encerrada"/>
    <d v="2016-01-23T08:00:00"/>
    <d v="2016-01-31T17:00:00"/>
    <d v="2016-01-31T18:00:00"/>
    <x v="0"/>
    <x v="1"/>
    <s v="Impacto"/>
    <s v="--"/>
    <s v="Torre de 150tr"/>
    <s v="Não"/>
    <s v="Não"/>
    <s v="Substituir das peças da Torre de Resfriamento . Os Teste será executado por Técnicos especializados. Na execução de atividade caso ocorra qualquer problema cancelaremos a GMUD imediatamente."/>
    <s v="Não"/>
    <s v="Sim"/>
    <x v="0"/>
    <s v="Manutenção Corretiva das Torres de Resfriamento"/>
    <x v="5"/>
  </r>
  <r>
    <n v="19134"/>
    <s v="Manutenção preventiva no gerador"/>
    <x v="0"/>
    <d v="2016-01-14T12:09:14"/>
    <x v="0"/>
    <s v="Encerramento"/>
    <s v="LEVI CARDOSO"/>
    <s v="LEVI CARDOSO"/>
    <x v="9"/>
    <x v="19"/>
    <s v="Encerrada"/>
    <d v="2016-01-29T22:30:00"/>
    <d v="2016-01-29T23:30:00"/>
    <d v="2016-01-30T05:00:00"/>
    <x v="0"/>
    <x v="0"/>
    <s v="Impacto"/>
    <s v="--"/>
    <s v="Gerador"/>
    <s v="Não"/>
    <s v="Não"/>
    <s v="Caso no planejamento inicial do trabalho seja detectado alguma dificuldade o trabalho será cancelado antes do inicio do mesmo"/>
    <s v="Não"/>
    <s v="Não"/>
    <x v="0"/>
    <m/>
    <x v="12"/>
  </r>
  <r>
    <n v="19136"/>
    <s v="Disponibilizar mais espaço de armazenamento."/>
    <x v="2"/>
    <d v="2016-01-14T15:01:17"/>
    <x v="0"/>
    <s v="Encerramento"/>
    <s v="MARCIO ROBERTO ALVES NAKAYA"/>
    <s v="ALEXANDRE FERNANDES FRANCISCO"/>
    <x v="19"/>
    <x v="20"/>
    <s v="Encerrada"/>
    <d v="2016-01-28T20:10:00"/>
    <d v="2016-01-28T23:10:00"/>
    <d v="2016-01-29T02:00:00"/>
    <x v="0"/>
    <x v="0"/>
    <s v="Impacto"/>
    <s v="appctx15spolp"/>
    <s v="appctx15spolp"/>
    <s v="Não"/>
    <s v="Não"/>
    <s v="1 - Suporte campo local remove os discos inseridos. 2 - CSE-Microsoft altera nome do compartilhamento anexos_old para anexos . 3 - CSE-Microsoft reinicia o servidor."/>
    <s v="Não"/>
    <s v="Não"/>
    <x v="0"/>
    <s v="CTXSPOLP-116754"/>
    <x v="8"/>
  </r>
  <r>
    <n v="19138"/>
    <s v="Preventiva mensal dos geradores de 200kva e 450kva. Testes com e sem carga."/>
    <x v="2"/>
    <d v="2016-01-14T16:45:59"/>
    <x v="0"/>
    <s v="Encerramento"/>
    <s v="RODRIGO CABRAL GOMES"/>
    <s v="RODRIGO CABRAL GOMES"/>
    <x v="22"/>
    <x v="1"/>
    <s v="Encerrada"/>
    <d v="2016-01-29T23:00:00"/>
    <d v="2016-01-30T04:00:00"/>
    <d v="2016-01-30T05:00:00"/>
    <x v="0"/>
    <x v="0"/>
    <s v="Pouco impacto"/>
    <s v="--"/>
    <s v="GMG"/>
    <s v="Não"/>
    <s v="Não"/>
    <s v="Comunicação com missão critica e NOC"/>
    <s v="Não"/>
    <s v="Não"/>
    <x v="0"/>
    <s v="Digite neste local o número do chamado no tProcess"/>
    <x v="5"/>
  </r>
  <r>
    <n v="19139"/>
    <s v="Corrigir a demanda OI-11778 da fixa"/>
    <x v="2"/>
    <d v="2016-01-14T17:39:30"/>
    <x v="0"/>
    <s v="Encerramento"/>
    <s v="PAULO VINÍCIUS DOS SANTOS PEREIRA"/>
    <s v="MARCOS SANTOS DO SACRAMENTO"/>
    <x v="7"/>
    <x v="1"/>
    <s v="Encerrada"/>
    <d v="2016-01-14T13:00:00"/>
    <d v="2016-01-14T18:00:00"/>
    <d v="2016-01-14T18:00:00"/>
    <x v="2"/>
    <x v="1"/>
    <s v="Muito impacto"/>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
    <s v="Não"/>
    <s v="Não"/>
    <s v="Undeploy da versão da máquina Application Server em questão e Deploy da nova versão utilizando o Tomcat Manager."/>
    <s v="Não"/>
    <s v="Não"/>
    <x v="0"/>
    <s v="CTXMLTREG-5399"/>
    <x v="2"/>
  </r>
  <r>
    <n v="19140"/>
    <s v="Atualização de Service Pack 3 em Servidores de Banco com SQL Server 2008"/>
    <x v="2"/>
    <d v="2016-01-14T19:29:18"/>
    <x v="0"/>
    <s v="Encerramento"/>
    <s v="ANDERSON MOURA DE CARVALHO"/>
    <s v="ROBERTO MAGALHÃES DE OLIVEIRA"/>
    <x v="24"/>
    <x v="0"/>
    <s v="Encerrada"/>
    <d v="2016-01-22T00:00:00"/>
    <d v="2016-01-22T06:00:00"/>
    <d v="2016-01-22T07:00:00"/>
    <x v="0"/>
    <x v="0"/>
    <s v="Pouco impacto"/>
    <s v="DBSCTX12SPOBF; SENCTX01SPOBF\NICESENTINEL; UNFCTX01SPOBF"/>
    <s v="DBSCTX12SPOBF; SENCTX01SPOBF\NICESENTINEL; UNFCTX01SPOBF"/>
    <s v="Sim"/>
    <s v="Não"/>
    <s v="Desinstalar Service Pack 3 do SQL Server."/>
    <s v="Não"/>
    <s v="Não"/>
    <x v="0"/>
    <s v="Digite neste local o número do chamado no tProcess"/>
    <x v="0"/>
  </r>
  <r>
    <n v="19141"/>
    <s v="Atualização de Service Pack 3 em Servidores de Banco com SQL Server 2008"/>
    <x v="2"/>
    <d v="2016-01-14T20:20:54"/>
    <x v="0"/>
    <s v="Encerramento"/>
    <s v="ANDERSON MOURA DE CARVALHO"/>
    <s v="ROBERTO MAGALHÃES DE OLIVEIRA"/>
    <x v="19"/>
    <x v="0"/>
    <s v="Encerrada"/>
    <d v="2016-01-23T00:00:00"/>
    <d v="2016-01-23T06:00:00"/>
    <d v="2016-01-23T07:00:00"/>
    <x v="0"/>
    <x v="0"/>
    <s v="Pouco impacto"/>
    <s v="DBSCTX37SPOLP; DBSCTX38SPOLP; DBSCTX47SPOLP"/>
    <s v="DBSCTX37SPOLP; DBSCTX38SPOLP; DBSCTX47SPOLP"/>
    <s v="Não"/>
    <s v="Não"/>
    <s v="Desinstalar Service Pack 3 do SQL Server."/>
    <s v="Não"/>
    <s v="Não"/>
    <x v="0"/>
    <s v="Digite neste local o número do chamado no tProcess"/>
    <x v="0"/>
  </r>
  <r>
    <n v="19143"/>
    <s v="Alterar a view VW_INTERFACE_TELEMETRIA com os novos parâmetros contidos no código em anexo nesta GMUD."/>
    <x v="2"/>
    <d v="2016-01-15T09:59:46"/>
    <x v="0"/>
    <s v="Encerramento"/>
    <s v="JOSE ULISSES FERNANDES CONCEIÇÃO JUNIOR"/>
    <s v="CLAYTON ROBERTO LEITE,JOSE ULISSES FERNANDES CONCEIÇÃO JUNIOR"/>
    <x v="5"/>
    <x v="0"/>
    <s v="Encerrada"/>
    <d v="2016-01-28T10:00:00"/>
    <d v="2016-01-28T14:00:00"/>
    <d v="2016-01-28T15:00:00"/>
    <x v="0"/>
    <x v="0"/>
    <s v="Sem impacto"/>
    <s v="DBSCTX241SPODB"/>
    <s v="DBSCTX241SPODB"/>
    <s v="Não"/>
    <s v="Não"/>
    <s v="Será realizado restore da base de dados SMOPROD."/>
    <s v="Não"/>
    <s v="Não"/>
    <x v="0"/>
    <s v="N/A"/>
    <x v="0"/>
  </r>
  <r>
    <n v="19146"/>
    <s v="Procedimento para aplicar correções e melhorias no sistema Protheus."/>
    <x v="2"/>
    <d v="2016-01-15T13:59:58"/>
    <x v="0"/>
    <s v="Encerramento"/>
    <s v="WILSON DE OLIVEIRA BRITO JUNIOR"/>
    <s v="WILSON DE OLIVEIRA BRITO JUNIOR"/>
    <x v="5"/>
    <x v="0"/>
    <s v="Encerrada"/>
    <d v="2016-01-25T10:30:00"/>
    <d v="2016-01-25T11:30:00"/>
    <d v="2016-01-25T12:00:00"/>
    <x v="0"/>
    <x v="1"/>
    <s v="Sem impacto"/>
    <s v="APPCTX131SPODB; APPCTX132SPODB"/>
    <s v="APPCTX131SPODB; APPCTX132SPODB"/>
    <s v="Não"/>
    <s v="Não"/>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ão se aplica"/>
    <x v="0"/>
  </r>
  <r>
    <n v="19147"/>
    <s v="Demanda Aplicação OCT"/>
    <x v="2"/>
    <d v="2016-01-15T14:30:09"/>
    <x v="0"/>
    <s v="Encerramento"/>
    <s v="JORGE FRANCISCO OLIVEIRA PATACO"/>
    <s v="LUIZ HENRIQUE OLIVEIRA DA SILVA"/>
    <x v="7"/>
    <x v="1"/>
    <s v="Encerrada"/>
    <d v="2016-01-25T22:00:00"/>
    <d v="2016-01-26T12:00:00"/>
    <d v="2016-01-26T18:00:00"/>
    <x v="0"/>
    <x v="2"/>
    <s v="Pouco impacto"/>
    <s v="--"/>
    <s v="URACTX04BSBPA; URACTX05BSBPA; URACTX04CGRPA; URACTX05CGRPA; URACTX04POAPA; URACTX05POAPA; URACTX05CTAPA; URACTX06CTAPA; URACTX07CTAPA; URACTX05SPOPA; URACTX06SPOPA; URACTX07SPOPA; URACTX06BHZPA; URACTX07BHZPA; URACTX08BHZPA; URACTX06FORPA; URACTX07FORPA; URACTX08FORPA; URACTX06RECPA; URACTX07RECPA; URACTX08RECPA; URACTX06RJOPA;URACTX07RJOPA;URACTX08RJOPA; URACTX06SALPA; URACTX07SALPA; URACTX08SALPA; URACTX08RJOPB; URACTX07RJOPB; URACTX06RJOPB"/>
    <s v="Não"/>
    <s v="Não"/>
    <s v="Realizar o UNDEPLOY da versão nova através do Tomcat Manager Refazer os Testes Técnicos e Funcionais. Obs.: Plano de retorno é mais rápido, devido à atualização e verificação do primeiro servidor atualizado, impedindo o rollback para os demais servidores."/>
    <s v="Não"/>
    <s v="Não"/>
    <x v="0"/>
    <s v="oi-12274; oi-12275; oi-12276; oi-12277"/>
    <x v="2"/>
  </r>
  <r>
    <n v="19150"/>
    <s v="Aumentar o numero de licenças para tronco no CMS DAC Navegantes 10.54.17.153"/>
    <x v="2"/>
    <d v="2016-01-15T15:09:55"/>
    <x v="0"/>
    <s v="Encerramento"/>
    <s v="RAFAEL DIAS CORREA"/>
    <s v="LEANDRO RIBEIRO ALCOFORADO"/>
    <x v="25"/>
    <x v="21"/>
    <s v="Encerrada"/>
    <d v="2016-01-28T23:00:00"/>
    <d v="2016-01-29T01:00:00"/>
    <d v="2016-01-29T02:00:00"/>
    <x v="0"/>
    <x v="0"/>
    <s v="Pouco impacto"/>
    <s v="Navegantes"/>
    <s v="Navegantes"/>
    <s v="Sim"/>
    <s v="Sim"/>
    <s v="Configurar o CMS no modo &quot;mono-usuário&quot; 1- Selecionar uma operação de configuração do sistema CMS. 2- Alocação de armazanamento de dados. 3- Alterar o campo &quot;Troncos&quot; De 5000 Para 5300. Retirar o CMS do modo &quot;mono-usuário&quot;."/>
    <s v="Não"/>
    <s v="Não"/>
    <x v="0"/>
    <s v="CTXPOARB-99312 /CTXPOARB-99313"/>
    <x v="7"/>
  </r>
  <r>
    <n v="19151"/>
    <s v="Atender a solicitação da Oi no Projeto Pré Routing para que a Oi se torne a Controladora das chamadas"/>
    <x v="2"/>
    <d v="2016-01-15T16:21:32"/>
    <x v="0"/>
    <s v="Encerramento"/>
    <s v="FABIANA CARLA DE SOUZA DIAS"/>
    <s v="WILSON SHIGERU MIYAZAKI"/>
    <x v="26"/>
    <x v="1"/>
    <s v="Encerrada"/>
    <d v="2016-01-19T14:00:00"/>
    <d v="2016-01-22T16:33:00"/>
    <d v="2016-01-22T17:33:00"/>
    <x v="1"/>
    <x v="2"/>
    <s v="Muito impacto"/>
    <s v="SBCPCTXCGRPA; SBCPCTXCTAPA; SBCPCTXPOAPA"/>
    <s v="SBCPCTXCGRPA; SBCPCTXCTAPA; SBCPCTXPOAPA"/>
    <s v="Não"/>
    <s v="Não"/>
    <s v="Voltar o trafego das chamadas para o Realm que encontra-se em produção atualmente."/>
    <s v="Não"/>
    <s v="Não"/>
    <x v="2"/>
    <s v="Digite neste local o número do chamado no tProcess"/>
    <x v="1"/>
  </r>
  <r>
    <n v="19152"/>
    <s v="Atualização da aplicação Empresarial. A release 20160121 terá como foco principal as seguintes mudanças abaixo: ? FUO 653 - Cliente fixo Controle Empresarial"/>
    <x v="2"/>
    <d v="2016-01-15T17:06:51"/>
    <x v="0"/>
    <s v="Encerramento"/>
    <s v="DANIEL SCHONWANDT MENDES FERREIRA"/>
    <s v="LUIZ HENRIQUE OLIVEIRA DA SILVA"/>
    <x v="7"/>
    <x v="1"/>
    <s v="Encerrada"/>
    <d v="2016-01-21T22:00:00"/>
    <d v="2016-01-22T05:00:00"/>
    <d v="2016-01-22T06:00:00"/>
    <x v="0"/>
    <x v="0"/>
    <s v="Muito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Sim"/>
    <s v="Não"/>
    <x v="0"/>
    <s v="Digite neste local o número do chamado no tProcess"/>
    <x v="1"/>
  </r>
  <r>
    <n v="19153"/>
    <s v="Atualização de Service Pack 3 em Servidores de Banco com SQL Server 2008"/>
    <x v="2"/>
    <d v="2016-01-15T17:31:31"/>
    <x v="0"/>
    <s v="Encerramento"/>
    <s v="ANDERSON MOURA DE CARVALHO"/>
    <s v="ROBERTO MAGALHÃES DE OLIVEIRA"/>
    <x v="27"/>
    <x v="0"/>
    <s v="Encerrada"/>
    <d v="2016-01-26T00:00:00"/>
    <d v="2016-01-26T06:00:00"/>
    <d v="2016-01-26T07:00:00"/>
    <x v="0"/>
    <x v="0"/>
    <s v="Pouco impacto"/>
    <s v="DBSCTX05RJOED; DBSCTX22RJOED; DBSCTX23RJOED; DBSCTX25RJOED"/>
    <s v="DBSCTX05RJOED; DBSCTX22RJOED; DBSCTX23RJOED; DBSCTX25RJOED"/>
    <s v="Sim"/>
    <s v="Não"/>
    <s v="Desinstalar Service Pack 3 do SQL Server."/>
    <s v="Não"/>
    <s v="Não"/>
    <x v="0"/>
    <s v="Digite neste local o número do chamado no tProcess"/>
    <x v="0"/>
  </r>
  <r>
    <n v="19155"/>
    <s v="OI-12272 Atualização da IN no Fluxo de Cancelamento de Pré-Contratação OI -12273 Inclusão de opção “retornar ao MenuPrincipal” no MInformaPromoOiControleConectado2 OI-10252 Ajustes nas Consultas M4U – Recarga; OI-10559 Melhorias Fluxo 880_Limpeza de Fluxo &amp; Inclusão de ICs; Em aprovação OI-10255 Base Única M4U - Integração com URA *880;Ag M4U alterar interface e testes integrados com M4U. OI-12186 Melhorias ACM 2ª Fase OI-12252 Incentivo Recarga bolha semanal"/>
    <x v="2"/>
    <d v="2016-01-18T08:35:15"/>
    <x v="0"/>
    <s v="Encerramento"/>
    <s v="JANAÍNA SILVA LIMA"/>
    <s v="ALBERTO DE ARAUJO RODRIGUES"/>
    <x v="5"/>
    <x v="1"/>
    <s v="Encerrada"/>
    <d v="2016-01-27T22:00:00"/>
    <d v="2016-01-28T11:00:00"/>
    <d v="2016-01-28T14:00:00"/>
    <x v="0"/>
    <x v="1"/>
    <s v="Muito impacto"/>
    <s v="APPCTX14RJONT; APPCTX15RJOED; APPCTX16RJOED; APPCTX18RJOED; APPCTX19RJOED"/>
    <s v="APPCTX14RJONT; APPCTX15RJOED; APPCTX16RJOED; APPCTX18RJOED; APPCTX19RJOED; APPOIM03SPOAL; APPOIM04SPOAL; APPOIM04SPOLP; APPOIM05SPOLP; DBSOIM01SPOAL; NMSIOM01SPOAL; NMSOIM04SPOLP"/>
    <s v="Não"/>
    <s v="Não"/>
    <s v="Retorna os arquivos de backup. Refazer os Testes Técnicos e Funcionais."/>
    <s v="Não"/>
    <s v="Não"/>
    <x v="0"/>
    <s v="OI-12272,OI -12273,OI-10252,OI-10559,OI-10255,OI-12186,OI-12252"/>
    <x v="5"/>
  </r>
  <r>
    <n v="19156"/>
    <s v="Esta manutenção garantirá a confiabilidade dos No-Break´s que alimentam as cargas do CPD."/>
    <x v="2"/>
    <d v="2016-01-18T10:11:48"/>
    <x v="0"/>
    <s v="Encerramento"/>
    <s v="VALTER DE CAMPOS NICOLAU"/>
    <s v="VALTER DE CAMPOS NICOLAU"/>
    <x v="17"/>
    <x v="0"/>
    <s v="Encerrada"/>
    <d v="2016-01-30T22:00:00"/>
    <d v="2016-01-31T07:00:00"/>
    <d v="2016-01-31T08:00:00"/>
    <x v="0"/>
    <x v="0"/>
    <s v="Pouco impacto"/>
    <s v="--"/>
    <s v="Manutenção do Nobreak Elektro"/>
    <s v="Não"/>
    <s v="Não"/>
    <s v="Após testes funcional e técnico, o técnico da empresa contratada retornará todo sistema em modo automático e elaborará o relatório final."/>
    <s v="Não"/>
    <s v="Não"/>
    <x v="0"/>
    <s v="NA"/>
    <x v="0"/>
  </r>
  <r>
    <n v="19157"/>
    <s v="Manutenção corretiva do GMG 440KVA."/>
    <x v="2"/>
    <d v="2016-01-18T11:24:21"/>
    <x v="0"/>
    <s v="Encerramento"/>
    <s v="PAULO ROBERTO RIBEIRO DE LIMA"/>
    <s v="PAULO ROBERTO RIBEIRO DE LIMA"/>
    <x v="1"/>
    <x v="22"/>
    <s v="Encerrada"/>
    <d v="2016-01-30T22:00:00"/>
    <d v="2016-01-31T05:00:00"/>
    <d v="2016-01-31T06:00:00"/>
    <x v="0"/>
    <x v="1"/>
    <s v="Impacto"/>
    <s v="--"/>
    <s v="Informe o nome do componente na rede."/>
    <s v="Não"/>
    <s v="Não"/>
    <s v="Após testes funcionais o técnico retorna todo sistema em modo automático e Se houver algum imprevisto será cancelado o serviço imediatamente."/>
    <s v="Não"/>
    <s v="Não"/>
    <x v="0"/>
    <s v="Manutenção Corretiva"/>
    <x v="13"/>
  </r>
  <r>
    <n v="19158"/>
    <s v="Release URA USSD"/>
    <x v="1"/>
    <d v="2016-01-18T15:10:33"/>
    <x v="0"/>
    <s v="Encerramento"/>
    <s v="PRISCILA LUCIA PEREIRA DE ALBUQUERQUE GALARANI"/>
    <s v="DANIEL SCHONWANDT MENDES FERREIRA"/>
    <x v="1"/>
    <x v="1"/>
    <s v="Encerrada"/>
    <d v="2016-01-27T22:00:00"/>
    <d v="2016-01-28T03:00:00"/>
    <d v="2016-01-28T09:00:00"/>
    <x v="0"/>
    <x v="0"/>
    <s v="Pouco impacto"/>
    <s v="APPCTX27RJOMK; APPCTX28RJOMK"/>
    <s v="APPCTX27RJOMK; APPCTX28RJOMK"/>
    <s v="Não"/>
    <s v="Não"/>
    <s v="Realizar o UNDEPLOY da versão nova através do JBoss Refazer os Testes Técnicos e Funcionais."/>
    <s v="Não"/>
    <s v="Não"/>
    <x v="0"/>
    <s v="Digite neste local o número do chamado no tProcess"/>
    <x v="1"/>
  </r>
  <r>
    <n v="19159"/>
    <s v="Implantação de melhoria e atualização da aplicação *144 Pós Pago."/>
    <x v="2"/>
    <d v="2016-01-18T15:25:05"/>
    <x v="0"/>
    <s v="Encerramento"/>
    <s v="FRANCIELE CARLA DE LIMA COSTA"/>
    <s v="LUIZ HENRIQUE OLIVEIRA DA SILVA"/>
    <x v="7"/>
    <x v="1"/>
    <s v="Encerrada"/>
    <d v="2016-01-25T22:00:00"/>
    <d v="2016-01-26T12:00:00"/>
    <d v="2016-01-26T18:00:00"/>
    <x v="0"/>
    <x v="0"/>
    <s v="Pouco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2278;OI-12364;"/>
    <x v="5"/>
  </r>
  <r>
    <n v="19160"/>
    <s v="Restart do servidor 10.200.2.101 (Frontend Ayty CRM da operação Citi Bank)"/>
    <x v="2"/>
    <d v="2016-01-18T16:20:43"/>
    <x v="0"/>
    <s v="Encerramento"/>
    <s v="PYTTER SANTIAGO DE ANDRADE"/>
    <s v="DAVID LOPES DA COSTA CHAVES,JOAO BATISTA DE LIMA NETO"/>
    <x v="14"/>
    <x v="23"/>
    <s v="Encerrada"/>
    <d v="2016-01-23T21:30:00"/>
    <d v="2016-01-23T22:30:00"/>
    <d v="2016-01-23T23:00:00"/>
    <x v="0"/>
    <x v="0"/>
    <s v="Sem impacto"/>
    <s v="appctx200spoda"/>
    <s v="appctx200spoda"/>
    <s v="Sim"/>
    <s v="Não"/>
    <s v="Não haverão alterações para rollback, apenas o restart do servidor."/>
    <s v="Não"/>
    <s v="Não"/>
    <x v="0"/>
    <s v="N/A"/>
    <x v="1"/>
  </r>
  <r>
    <n v="19161"/>
    <s v="Esta manutenção garantirá a confiabilidade dos GMG´s que alimentam as cargas do CPD, através Manutenção Preventiva dos dois GMG´s de 440 KVAs e um de 180 KVA cada do Site Hicham e um de 180 KVa do site Elektro."/>
    <x v="2"/>
    <d v="2016-01-18T17:02:30"/>
    <x v="0"/>
    <s v="Encerramento"/>
    <s v="VALTER DE CAMPOS NICOLAU"/>
    <s v="VALTER DE CAMPOS NICOLAU"/>
    <x v="17"/>
    <x v="0"/>
    <s v="Encerrada"/>
    <d v="2016-01-30T22:00:00"/>
    <d v="2016-01-31T07:00:00"/>
    <d v="2016-01-31T08:00:00"/>
    <x v="0"/>
    <x v="0"/>
    <s v="Sem impacto"/>
    <s v="--"/>
    <s v="Manutenção dos GMGs; Manutenção dos GMGs Hicham e Elektro"/>
    <s v="Não"/>
    <s v="Não"/>
    <s v="Para retorno do equipamento a sua condição normal, após todos os testes, análise visual e limpeza, estaremos apertando a botoeira de mudança para a função automático e o gerador estará apto para reconhecer uma falta de energia e atuar plenamente."/>
    <s v="Não"/>
    <s v="Não"/>
    <x v="0"/>
    <s v="NA"/>
    <x v="0"/>
  </r>
  <r>
    <n v="19163"/>
    <s v="Corrigir horário dos DACs Londrina e EH-Campinas."/>
    <x v="2"/>
    <d v="2016-01-19T06:48:14"/>
    <x v="0"/>
    <s v="Encerramento"/>
    <s v="REGINALDO ALVES DE SOUZA"/>
    <s v="JOSE LADISLAU GONÇALVES JUNIOR"/>
    <x v="28"/>
    <x v="24"/>
    <s v="Encerrada"/>
    <d v="2016-01-29T00:40:00"/>
    <d v="2016-01-29T04:00:00"/>
    <d v="2016-01-29T05:00:00"/>
    <x v="0"/>
    <x v="1"/>
    <s v="Impacto"/>
    <s v="--"/>
    <s v="DAC Hicham; DAC Londrina"/>
    <s v="Sim"/>
    <s v="Sim"/>
    <s v="Reconfigurar os NTPs anteriores a GMUD."/>
    <s v="Não"/>
    <s v="Não"/>
    <x v="0"/>
    <s v="N/A"/>
    <x v="0"/>
  </r>
  <r>
    <n v="19165"/>
    <s v="Manter a confiabilidade dos GMG´s quando solicitados por falta de energia da concessionária."/>
    <x v="2"/>
    <d v="2016-01-19T10:19:44"/>
    <x v="0"/>
    <s v="Encerramento"/>
    <s v="GÊNESIS HENRIQUE DA SILVA"/>
    <s v="GÊNESIS HENRIQUE DA SILVA"/>
    <x v="29"/>
    <x v="25"/>
    <s v="Encerrada"/>
    <d v="2016-01-19T12:00:00"/>
    <d v="2016-01-24T22:00:00"/>
    <d v="2016-01-24T22:00:00"/>
    <x v="1"/>
    <x v="1"/>
    <s v="Muito impacto"/>
    <s v="--"/>
    <s v="--"/>
    <s v="Não"/>
    <s v="Não"/>
    <s v="Em caso de algum problema e imprevisto, desligaremos os Geradores e retornaremos pela Concessionaria."/>
    <s v="Não"/>
    <s v="Não"/>
    <x v="0"/>
    <s v="N/A"/>
    <x v="14"/>
  </r>
  <r>
    <n v="19166"/>
    <s v="Restabelecer alta disponibilidade do cluster do Nice responsável pelo sistema de gravação ativo e receptivo."/>
    <x v="2"/>
    <d v="2016-01-19T11:18:13"/>
    <x v="0"/>
    <s v="Encerramento"/>
    <s v="GERALDO DE ARAUJO FERNANDES JR."/>
    <s v="DAVID LOPES DA COSTA CHAVES"/>
    <x v="5"/>
    <x v="0"/>
    <s v="Encerrada"/>
    <d v="2016-01-19T23:00:00"/>
    <d v="2016-01-20T04:00:00"/>
    <d v="2016-01-20T05:00:00"/>
    <x v="1"/>
    <x v="1"/>
    <s v="Muito impacto"/>
    <s v="GRVCTX111SPODB; GRVCTX112SPODB"/>
    <s v="GRVCTX111SPODB; GRVCTX112SPODB"/>
    <s v="Sim"/>
    <s v="Sim"/>
    <s v="1) Desligar o servidor GRVCTX112SPODB 2) Solicitar ao time de banco que valide os serviços do SQL 3) Solicitar ao time do CSE-Gravadores que valide os serviços do Nice."/>
    <s v="Não"/>
    <s v="Não"/>
    <x v="0"/>
    <s v="CTXSPOAL-0000"/>
    <x v="0"/>
  </r>
  <r>
    <n v="19167"/>
    <s v="Manter a confiabilidade do sistema de contigência."/>
    <x v="2"/>
    <d v="2016-01-19T12:15:24"/>
    <x v="0"/>
    <s v="Encerramento"/>
    <s v="VANDERLEI CASTRO SOUZA LIMA"/>
    <s v="VANDERLEI CASTRO SOUZA LIMA"/>
    <x v="30"/>
    <x v="15"/>
    <s v="Encerrada"/>
    <d v="2016-01-29T22:00:00"/>
    <d v="2016-01-30T01:30:00"/>
    <d v="2016-01-30T02:00:00"/>
    <x v="0"/>
    <x v="0"/>
    <s v="Impacto"/>
    <s v="--"/>
    <s v="Geradores"/>
    <s v="Não"/>
    <s v="Não"/>
    <s v="Acompanhar o Desligamento dos geradores; Fim dos testes; Será efetuada vistoria nos No Breaks do CPD e Operação; Verificado a climatização das salas dos No Breaks e CPD; Após a execução dos serviços acima relacionados, será emitido laudo atestando a funcionalidade dos geradores."/>
    <s v="Não"/>
    <s v="Não"/>
    <x v="0"/>
    <s v="Digite neste local o número do chamado no tProcess"/>
    <x v="10"/>
  </r>
  <r>
    <n v="19168"/>
    <s v="No-break de 80kva e 65Kva Operações do 5º pavimento."/>
    <x v="2"/>
    <d v="2016-01-19T12:45:48"/>
    <x v="0"/>
    <s v="Encerramento"/>
    <s v="PAULO ROBERTO RIBEIRO DE LIMA"/>
    <s v="PAULO ROBERTO RIBEIRO DE LIMA"/>
    <x v="1"/>
    <x v="1"/>
    <s v="Encerrada"/>
    <d v="2016-01-29T22:00:00"/>
    <d v="2016-01-30T05:00:00"/>
    <d v="2016-01-30T06:00:00"/>
    <x v="0"/>
    <x v="0"/>
    <s v="Pouco impacto"/>
    <s v="--"/>
    <s v="Nobreak´s de 65KVA, 80KVA."/>
    <s v="Não"/>
    <s v="Não"/>
    <s v="As atividades de testes de tensão dos Nobreak`s que será executado por Técnicos especializados. Na execução de atividade caso ocorra qualquer problema cancelaremos a GMUD imediatamente."/>
    <m/>
    <m/>
    <x v="1"/>
    <s v="manutenção preventiva"/>
    <x v="1"/>
  </r>
  <r>
    <n v="19170"/>
    <s v="Realizar o upgrade de versão do Vcloud Director e Vcloud Director Database"/>
    <x v="2"/>
    <d v="2016-01-19T15:44:14"/>
    <x v="0"/>
    <s v="Encerramento"/>
    <s v="MATHEUS MASCÁRA DA SILVA"/>
    <s v="MATHEUS MASCÁRA DA SILVA"/>
    <x v="10"/>
    <x v="0"/>
    <s v="Encerrada"/>
    <d v="2016-01-26T01:00:00"/>
    <d v="2016-01-26T04:00:00"/>
    <d v="2016-01-26T05:00:00"/>
    <x v="0"/>
    <x v="0"/>
    <s v="Pouco impacto"/>
    <s v="vdtctx101spodb"/>
    <s v="vdtctx101spodb"/>
    <s v="Sim"/>
    <s v="Não"/>
    <s v="Será realizado restauração da VM atraves do Data Protector"/>
    <s v="Não"/>
    <s v="Não"/>
    <x v="0"/>
    <s v="Digite neste local o número do chamado no tProcess"/>
    <x v="0"/>
  </r>
  <r>
    <n v="19173"/>
    <s v="Manutenção preventiva nos Nobreaks 120kva e 150kva localizados no prédio anexo, 3x50kva DPA localizado no 2°andar principal atende CPD e 30kva localizado no 8°andar principal."/>
    <x v="0"/>
    <d v="2016-01-19T17:06:34"/>
    <x v="0"/>
    <s v="Encerramento"/>
    <s v="RODRIGO CABRAL GOMES"/>
    <s v="RODRIGO CABRAL GOMES"/>
    <x v="22"/>
    <x v="1"/>
    <s v="Encerrada"/>
    <d v="2016-02-12T22:00:00"/>
    <d v="2016-02-14T05:00:00"/>
    <d v="2016-02-14T06:00:00"/>
    <x v="0"/>
    <x v="0"/>
    <s v="Impacto"/>
    <s v="--"/>
    <s v="UPS"/>
    <s v="Não"/>
    <s v="Não"/>
    <s v="1° etapa: Se houver algum imprevisto será cancelado o serviço imediatamento e comunicado a missão crítica e areas envolvidas.; 2° etapa: Se houver algum imprevisto será cancelado o serviço imediatamento e comunicado a missão crítica e areas envolvidas."/>
    <s v="Sim"/>
    <s v="Não"/>
    <x v="0"/>
    <m/>
    <x v="5"/>
  </r>
  <r>
    <n v="19174"/>
    <s v="RESTART DA SENHA FRONT FÁCIL DAC NAVEGANTES"/>
    <x v="2"/>
    <d v="2016-01-19T17:31:28"/>
    <x v="0"/>
    <s v="Encerramento"/>
    <s v="AROLDO DE FARIAS ACIOLY NETO"/>
    <s v="DANIEL SOUZA PIMENTEL"/>
    <x v="11"/>
    <x v="21"/>
    <s v="Encerrada"/>
    <d v="2016-01-27T10:00:00"/>
    <d v="2016-01-27T11:00:00"/>
    <d v="2016-01-27T12:00:00"/>
    <x v="0"/>
    <x v="1"/>
    <s v="Impacto"/>
    <s v="--"/>
    <s v="Informe o nome do componente na rede."/>
    <s v="Não"/>
    <s v="Não"/>
    <s v="N/A"/>
    <s v="Não"/>
    <s v="Não"/>
    <x v="0"/>
    <s v="N/A"/>
    <x v="7"/>
  </r>
  <r>
    <n v="19176"/>
    <s v="Correção de ligações MUDAS APC Polo CE"/>
    <x v="2"/>
    <d v="2016-01-19T18:04:07"/>
    <x v="0"/>
    <s v="Encerramento"/>
    <s v="LUIZ CLAUDIO XAVIER"/>
    <s v="FABIO LUIZ LINHARES FLORES,LEANDRO ROCHA GONÇALVES"/>
    <x v="3"/>
    <x v="1"/>
    <s v="Encerrada"/>
    <d v="2016-01-19T22:30:00"/>
    <d v="2016-01-20T01:00:00"/>
    <d v="2016-01-20T08:00:00"/>
    <x v="1"/>
    <x v="1"/>
    <s v="Muito impacto"/>
    <s v="APCCTX02FORBM"/>
    <s v="--"/>
    <s v="Sim"/>
    <s v="Não"/>
    <s v="Efetuar a ativação do Firewall nos servidore APC 2 e 3"/>
    <s v="Não"/>
    <s v="Não"/>
    <x v="0"/>
    <s v="N/A"/>
    <x v="5"/>
  </r>
  <r>
    <n v="19177"/>
    <s v="Análise de alarme na Fonte SBC POP SP"/>
    <x v="2"/>
    <d v="2016-01-19T22:04:10"/>
    <x v="0"/>
    <s v="Encerramento"/>
    <s v="REGINALDO ALVES DE SOUZA"/>
    <s v="REGINALDO ALVES DE SOUZA"/>
    <x v="31"/>
    <x v="1"/>
    <s v="Encerrada"/>
    <d v="2016-01-26T22:00:00"/>
    <d v="2016-01-27T03:00:00"/>
    <d v="2016-01-27T04:00:00"/>
    <x v="0"/>
    <x v="1"/>
    <s v="Muito impacto"/>
    <s v="SBCPCTXSPOPA002"/>
    <s v="SBCPCTXSPOPA002"/>
    <s v="Não"/>
    <s v="Não"/>
    <s v="Voltar as respectivas fontes Stand by nos SBCs 1 e 2 de forma original."/>
    <s v="Não"/>
    <s v="Sim"/>
    <x v="2"/>
    <s v="N/A"/>
    <x v="1"/>
  </r>
  <r>
    <n v="19179"/>
    <s v="Atualização do sistema EGMUD, versão 2.7"/>
    <x v="2"/>
    <d v="2016-01-20T09:41:15"/>
    <x v="0"/>
    <s v="Encerramento"/>
    <s v="MARILICE DE OLIVEIRA"/>
    <s v="JÚLIO BOTELHO,WILSON DE OLIVEIRA BRITO JUNIOR"/>
    <x v="6"/>
    <x v="0"/>
    <s v="Encerrada"/>
    <d v="2016-01-28T08:30:00"/>
    <d v="2016-01-28T10:00:00"/>
    <d v="2016-01-28T20:00:00"/>
    <x v="0"/>
    <x v="2"/>
    <s v="Impacto"/>
    <s v="DBSCTX35SPOAL"/>
    <s v="DBSCTX35SPOAL"/>
    <s v="Não"/>
    <s v="Não"/>
    <s v="Em caso de problema restaurar backup."/>
    <s v="Não"/>
    <s v="Não"/>
    <x v="0"/>
    <s v="Digite neste local o número do chamado no tProcess"/>
    <x v="0"/>
  </r>
  <r>
    <n v="19180"/>
    <s v="Configurar contingência automática do link L2L Algar / Embratel. Cliente Elektro"/>
    <x v="2"/>
    <d v="2016-01-20T10:22:19"/>
    <x v="0"/>
    <s v="Encerramento"/>
    <s v="EDSON PEREIRA DA SILVA"/>
    <s v="LUCAS ALBERTO DE MORAES"/>
    <x v="17"/>
    <x v="0"/>
    <s v="Encerrada"/>
    <d v="2016-01-29T01:00:00"/>
    <d v="2016-01-29T05:00:00"/>
    <d v="2016-01-29T07:00:00"/>
    <x v="0"/>
    <x v="0"/>
    <s v="Impacto"/>
    <s v="--"/>
    <s v="RTEH03"/>
    <s v="Não"/>
    <s v="Sim"/>
    <s v="Caso não ocorra a contingência, rolback da atividade."/>
    <s v="Não"/>
    <s v="Não"/>
    <x v="2"/>
    <s v="CTXCASEK-1564"/>
    <x v="0"/>
  </r>
  <r>
    <n v="19181"/>
    <s v="Correção do projeto OI-6798."/>
    <x v="2"/>
    <d v="2016-01-20T10:46:53"/>
    <x v="0"/>
    <s v="Encerramento"/>
    <s v="VITOR SILVA DELFINO"/>
    <s v="MARCOS SANTOS DO SACRAMENTO"/>
    <x v="7"/>
    <x v="1"/>
    <s v="Encerrada"/>
    <d v="2016-01-19T13:00:00"/>
    <d v="2016-01-19T22:00:00"/>
    <d v="2016-01-20T06:00:00"/>
    <x v="2"/>
    <x v="1"/>
    <s v="Muito impacto"/>
    <s v="URACTX04BSBPA / URACTX05BSBPA; URACTX04CGRPA /URACTX05CGRPA; URACTX04POAPA / URACTX05POAPA; URACTX05CTAPA /URACTX06CTAPA /URACTX07CTAPA; URACTX06BHZPA /URACTX07BHZPA /URACTX08BHZPA; URACTX06RECPA /URACTX07RECPA /URACTX08RECPA; URACTX06RJOPA /URACTX07RJOPA /URACTX08RJOPA; URACTX07FORPA /URACTX08FORPA /URACTX06FORPA"/>
    <s v="URACTX04BSBPA / URACTX05BSBPA; URACTX04CGRPA /URACTX05CGRPA; URACTX04POAPA / URACTX05POAPA; URACTX05CTAPA /URACTX06CTAPA /URACTX07CTAPA; URACTX06BHZPA /URACTX07BHZPA /URACTX08BHZPA; URACTX06RECPA /URACTX07RECPA /URACTX08RECPA; URACTX06RJOPA /URACTX07RJOPA /URACTX08RJOPA; URACTX07FORPA /URACTX08FORPA /URACTX06FORPA"/>
    <s v="Não"/>
    <s v="Não"/>
    <s v="Undeploy da versão da máquina Application Server em questão e Deploy da nova versão utilizando o Tomcat Manager."/>
    <s v="Não"/>
    <s v="Não"/>
    <x v="0"/>
    <s v="CTXSPOAS-5388"/>
    <x v="2"/>
  </r>
  <r>
    <n v="19182"/>
    <s v="Instalação de 08 novos servidores migrados do paulista 07 na sala pólo alegria."/>
    <x v="2"/>
    <d v="2016-01-20T10:52:31"/>
    <x v="0"/>
    <s v="Encerramento"/>
    <s v="LEANDRO AMARAL SILVA"/>
    <s v="LEANDRO AMARAL SILVA"/>
    <x v="10"/>
    <x v="24"/>
    <s v="Encerrada"/>
    <d v="2016-01-21T11:00:00"/>
    <d v="2016-01-21T18:00:00"/>
    <d v="2016-01-21T22:00:00"/>
    <x v="1"/>
    <x v="2"/>
    <s v="Muito impacto"/>
    <s v="--"/>
    <s v="BRSPODC133 BRSPODC132 BRSPOPL126 BRSPOPL134 BRSPOP"/>
    <s v="Não"/>
    <s v="Não"/>
    <s v="Desconectar todos os servidores da alimentação e desconectar os cabos de rede."/>
    <s v="Não"/>
    <s v="Não"/>
    <x v="0"/>
    <s v="Digite neste local o número do chamado no tProcess"/>
    <x v="0"/>
  </r>
  <r>
    <n v="19183"/>
    <s v="instalação do TOP nas posições da claro salvador e Acre"/>
    <x v="2"/>
    <d v="2016-01-20T11:04:15"/>
    <x v="0"/>
    <s v="Encerramento"/>
    <s v="MARCUS VINÍCIUS DE JESUS BARBOSA"/>
    <s v="MARCUS VINÍCIUS DE JESUS BARBOSA,RODRIGO VASCONCELOS ELUAN DE ARAÚJO"/>
    <x v="8"/>
    <x v="11"/>
    <s v="Encerrada"/>
    <d v="2016-01-20T11:00:00"/>
    <d v="2016-01-20T15:00:00"/>
    <d v="2016-01-20T17:00:00"/>
    <x v="2"/>
    <x v="1"/>
    <s v="Os prejuízos ou dificuldades são impactantes"/>
    <s v="Informe o nome do componente na rede."/>
    <s v="--"/>
    <s v="Não"/>
    <s v="Não"/>
    <s v="Efetuar o rollback da versão 1.30 do TOP."/>
    <s v="Não"/>
    <s v="Não"/>
    <x v="0"/>
    <s v="n/a"/>
    <x v="0"/>
  </r>
  <r>
    <n v="19184"/>
    <s v="Manutenção preventiva trimestral no Nobreak 80kva, localizado 9°andar"/>
    <x v="2"/>
    <d v="2016-01-20T11:35:09"/>
    <x v="0"/>
    <s v="Encerramento"/>
    <s v="RODRIGO CABRAL GOMES"/>
    <s v="RODRIGO CABRAL GOMES"/>
    <x v="22"/>
    <x v="1"/>
    <s v="Encerrada"/>
    <d v="2016-02-12T22:00:00"/>
    <d v="2016-02-13T04:00:00"/>
    <d v="2016-02-13T05:00:00"/>
    <x v="0"/>
    <x v="0"/>
    <s v="Pouco impacto"/>
    <s v="--"/>
    <s v="UPS"/>
    <s v="Não"/>
    <s v="Não"/>
    <s v="Se houver algum imprevisto será cancelado o serviço imediatamento e comunicado a missão crítica e areas envolvidas."/>
    <s v="Não"/>
    <s v="Não"/>
    <x v="0"/>
    <s v="Digite neste local o número do chamado no tProcess"/>
    <x v="5"/>
  </r>
  <r>
    <n v="19185"/>
    <s v="Atualizar 2 tabelas ICR PR_FIXA_UNIFICADA e FIXA_UNIFICADA_NOVOMODELO para os serviços e opções de atualização da URA. alteração das tabelas de roteamento da aplicação Fixa que está em produção. URA_CANAL: 31 URA_CANAL: 09 Alteração: Inclusão de 8 linhas de roteamento não escopo (URA OPÇÃO: EE; EJ; EF; EL; EG; EM; EH e EN)"/>
    <x v="2"/>
    <d v="2016-01-20T12:18:02"/>
    <x v="0"/>
    <s v="Encerramento"/>
    <s v="MARCIO SEIHIRO OKA"/>
    <s v="WILSON SHIGERU MIYAZAKI"/>
    <x v="7"/>
    <x v="1"/>
    <s v="Encerrada"/>
    <d v="2016-01-27T08:00:00"/>
    <d v="2016-01-27T10:40:00"/>
    <d v="2016-01-27T12:37:00"/>
    <x v="0"/>
    <x v="0"/>
    <s v="Pouco impacto"/>
    <s v="dbsctx08spoda"/>
    <s v="dbsctx08spoda"/>
    <s v="Não"/>
    <s v="Não"/>
    <s v="Voltar a tabela antiga de acordo com o Produto"/>
    <s v="Não"/>
    <s v="Não"/>
    <x v="2"/>
    <s v="CTXRJOMA-77472"/>
    <x v="1"/>
  </r>
  <r>
    <n v="19188"/>
    <s v="Corrigir digito verificador de numeração gerada pelo sistema."/>
    <x v="3"/>
    <d v="2016-01-20T17:25:39"/>
    <x v="0"/>
    <s v="Encerramento"/>
    <s v="MARCIO ROBERTO ALVES NAKAYA"/>
    <s v="MARCIO ROBERTO ALVES NAKAYA"/>
    <x v="24"/>
    <x v="26"/>
    <s v="Encerrada"/>
    <d v="2016-03-07T18:00:00"/>
    <d v="2016-03-07T19:00:00"/>
    <d v="2016-03-07T20:30:00"/>
    <x v="0"/>
    <x v="1"/>
    <s v="Impacto"/>
    <s v="dbsctx12spobf"/>
    <s v="--"/>
    <s v="Não"/>
    <s v="Não"/>
    <s v="1 - conectar no sql server do servidor 10.42.0.135. 2 - voltar backup da procedure &quot;dbo.sp_incluir_parcela_acordo_por_devedor&quot; ."/>
    <s v="Sim"/>
    <s v="Não"/>
    <x v="0"/>
    <s v="N/A"/>
    <x v="2"/>
  </r>
  <r>
    <n v="19189"/>
    <s v="Melhorias na plataforma."/>
    <x v="2"/>
    <d v="2016-01-20T20:08:46"/>
    <x v="0"/>
    <s v="Encerramento"/>
    <s v="FLÁVIO ROBERTO DE FREITAS MIRANDA"/>
    <s v="PAULO CESAR DE SOUZA"/>
    <x v="10"/>
    <x v="1"/>
    <s v="Encerrada"/>
    <d v="2016-01-27T23:00:00"/>
    <d v="2016-01-28T00:00:00"/>
    <d v="2016-01-28T00:00:00"/>
    <x v="0"/>
    <x v="2"/>
    <s v="Pouco impacto"/>
    <s v="FESCTX10SPODA"/>
    <s v="FESCTX10SPODA"/>
    <s v="Sim"/>
    <s v="Sim"/>
    <s v="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 Efetuar os testes técnicos e testes funcionais"/>
    <s v="Não"/>
    <s v="Não"/>
    <x v="0"/>
    <s v="N/A"/>
    <x v="1"/>
  </r>
  <r>
    <n v="19190"/>
    <s v="Atualizar o FPw com a versão específica 2014.2.0.179 da Folha de Pagamento, com alterações referentes à geração dos relatórios anuais -DIRF, Comprovante de Rendimentos e RAIS."/>
    <x v="2"/>
    <d v="2016-01-21T09:39:52"/>
    <x v="0"/>
    <s v="Encerramento"/>
    <s v="MYRIAM WANDERLEY DA NOBREGA SANTOS"/>
    <s v="FELIPE DE OLIVEIRA MOREIRA,MYRIAM WANDERLEY DA NOBREGA SANTOS"/>
    <x v="5"/>
    <x v="0"/>
    <s v="Encerrada"/>
    <d v="2016-01-22T16:00:00"/>
    <d v="2016-01-23T19:00:00"/>
    <d v="2016-01-24T19:00:00"/>
    <x v="1"/>
    <x v="2"/>
    <s v="Muito impacto"/>
    <s v="APPCTX113SPODB; APPCTX114SPODB; APPCTX115SPODB; APPCTX117SPODB; APPCTX118SPODB; APPCTX119SPODB; APPCTX181SPODB; APPCTX182SPODB; APPCTX184SPODB; APPCTX185SPODB; APPCTX264SPODB; BRSPOPL032"/>
    <s v="APPCTX113SPODB; APPCTX114SPODB; APPCTX115SPODB; APPCTX117SPODB; APPCTX118SPODB; APPCTX119SPODB; APPCTX181SPODB; APPCTX182SPODB; APPCTX184SPODB; APPCTX185SPODB; APPCTX264SPODB; BRSPOPL032"/>
    <s v="Não"/>
    <s v="Não"/>
    <s v="Plano de Retorno - passos: a) Desinstalar a aplicação, removendo os aplicativos atualizados nesta versão através do Painel de Controle / Adicionar/Remover Programas nos servidores de aplicação - FPw Folha de Pagamento Servidor e Cliente. Observação: ao desinstalar o Fpw Folha de Pagamento serão removidos os módulos de Folha e RH: Cadastros e Cálculos, Emissões, Autorizações, Interface Contábil, Vale Transporte, Tabelas Genéricas, Cargos e Salários e Treinamento. b) Reinstalar a versão anterior da versão do FPw - servidor e cliente, através dos instaladores da versão anterior, seguindo o mesmo procedimento de atualização descrito neste plano. ATENÇÂO: Na instalação, selecionar apenas os instaladores referentes aos módulos que foram removidos, citados acima. Local dos instaladores: \\10.49.10.14\c$\FPw_Atualizacoes_Produtos_LG\ Instaladores_mais_recentes\01-Servidor \\10.49.10.14\c$\FPw_Atualizacoes_Produtos_LG\ Instaladores_mais_recentes\03-Cliente"/>
    <s v="Não"/>
    <s v="Não"/>
    <x v="0"/>
    <s v="-"/>
    <x v="0"/>
  </r>
  <r>
    <n v="19191"/>
    <s v="Ativação circuito Embratel, MPLS Orbitall. DC Alegria"/>
    <x v="2"/>
    <d v="2016-01-21T11:19:43"/>
    <x v="0"/>
    <s v="Encerramento"/>
    <s v="EDSON PEREIRA DA SILVA"/>
    <s v="EDSON PEREIRA DA SILVA"/>
    <x v="10"/>
    <x v="5"/>
    <s v="Encerrada"/>
    <d v="2016-01-27T20:00:00"/>
    <d v="2016-01-27T22:00:00"/>
    <d v="2016-01-27T22:00:00"/>
    <x v="0"/>
    <x v="2"/>
    <s v="Sem impacto"/>
    <s v="NA"/>
    <s v="NA"/>
    <s v="Não"/>
    <s v="Não"/>
    <s v="Não há plano de retorno, pois trata-se de um novo circuito."/>
    <s v="Não"/>
    <s v="Sim"/>
    <x v="2"/>
    <s v="NA"/>
    <x v="6"/>
  </r>
  <r>
    <n v="19192"/>
    <s v="Ativação circuito Embratel, MPLS Orbitall. Dc Alphaville"/>
    <x v="2"/>
    <d v="2016-01-21T11:26:21"/>
    <x v="0"/>
    <s v="Encerramento"/>
    <s v="EDSON PEREIRA DA SILVA"/>
    <s v="EDSON PEREIRA DA SILVA"/>
    <x v="0"/>
    <x v="5"/>
    <s v="Encerrada"/>
    <d v="2016-01-28T20:00:00"/>
    <d v="2016-01-28T22:00:00"/>
    <d v="2016-01-28T22:00:00"/>
    <x v="0"/>
    <x v="0"/>
    <s v="Sem impacto"/>
    <s v="NA"/>
    <s v="NA"/>
    <s v="Não"/>
    <s v="Não"/>
    <s v="Não há plano de retorno, pois trata-se de um novo circuito."/>
    <s v="Não"/>
    <s v="Não"/>
    <x v="0"/>
    <s v="NA"/>
    <x v="6"/>
  </r>
  <r>
    <n v="19194"/>
    <s v="Gerar postagem para novo lote de boletos da Campanha NATAL 2015"/>
    <x v="2"/>
    <d v="2016-01-21T12:14:19"/>
    <x v="0"/>
    <s v="Encerramento"/>
    <s v="FREDERICO BEDETTE COSTA"/>
    <s v="FREDERICO BEDETTE COSTA"/>
    <x v="2"/>
    <x v="1"/>
    <s v="Encerrada"/>
    <d v="2016-01-24T08:00:00"/>
    <d v="2016-01-25T18:00:00"/>
    <d v="2016-01-25T19:00:00"/>
    <x v="1"/>
    <x v="1"/>
    <s v="Muito impacto"/>
    <s v="na"/>
    <s v="na"/>
    <s v="Sim"/>
    <s v="Não"/>
    <s v="Efetuar Restory da base de dados Oi_Campanha_Financeiro, atraves da Query descrita abaixo.."/>
    <s v="Não"/>
    <s v="Não"/>
    <x v="0"/>
    <s v="CTXBHZRI-97395"/>
    <x v="2"/>
  </r>
  <r>
    <n v="19196"/>
    <s v="Remediação da topologia DNS da floresta DEDIC.corp."/>
    <x v="2"/>
    <d v="2016-01-21T12:24:38"/>
    <x v="0"/>
    <s v="Encerramento"/>
    <s v="CARLOS EDUARDO AZEVEDO PEREIRA"/>
    <s v="CARLOS EDUARDO AZEVEDO PEREIRA"/>
    <x v="32"/>
    <x v="0"/>
    <s v="Encerrada"/>
    <d v="2016-01-29T11:00:00"/>
    <d v="2016-01-29T16:00:00"/>
    <d v="2016-01-29T17:00:00"/>
    <x v="0"/>
    <x v="0"/>
    <s v="Impacto"/>
    <s v="BRLDALA003; BRLDALA004; SDCCTX130SPODB"/>
    <s v="BRLDALA003; BRLDALA004; SDCCTX130SPODB"/>
    <s v="Não"/>
    <s v="Não"/>
    <s v="Retornar as configurações anteriores da topologia DNS."/>
    <s v="Não"/>
    <s v="Não"/>
    <x v="0"/>
    <s v="Digite neste local o número do chamado no tProcess"/>
    <x v="0"/>
  </r>
  <r>
    <n v="19198"/>
    <s v="Atualização crítica a ser aplicada em servidores listados como vulneráveis pela Segurança da Informação Contax, de acordo com o boletim MS14-066."/>
    <x v="2"/>
    <d v="2016-01-21T12:51:56"/>
    <x v="0"/>
    <s v="Encerramento"/>
    <s v="MARCOS DA SILVA PINTO"/>
    <s v="MARCOS DA SILVA PINTO,ROBERTO MAGALHÃES DE OLIVEIRA"/>
    <x v="0"/>
    <x v="0"/>
    <s v="Encerrada"/>
    <d v="2016-02-01T22:00:00"/>
    <d v="2016-02-02T05:00:00"/>
    <d v="2016-02-02T05:00:00"/>
    <x v="0"/>
    <x v="0"/>
    <s v="Impacto"/>
    <s v="APPCTX143SPODA; APPCTX150SPODA; APPCTX155SPODA; DBSCTX304SPODA; DBSCTX342SPODA; DBSCTX47SPODA; DNSCTX104SPODA; FSSCTX103SPODA; JMPCTX01SPODA; LABCTX121SPODA; MONCTX01SPODA"/>
    <s v="APPCTX143SPODA; APPCTX150SPODA; APPCTX155SPODA; DBSCTX304SPODA; DBSCTX342SPODA; DBSCTX47SPODA; DNSCTX104SPODA; FSSCTX103SPODA; JMPCTX01SPODA; LABCTX121SPODA; MONCTX01SPODA"/>
    <s v="Sim"/>
    <s v="Não"/>
    <s v="Remover atualização e reiniciar o servidor."/>
    <s v="Não"/>
    <s v="Não"/>
    <x v="0"/>
    <s v="Digite neste local o número do chamado no tProcess"/>
    <x v="0"/>
  </r>
  <r>
    <n v="19200"/>
    <s v="Efetuar Restart full da plataforma Aspect PE, com intuído de prevenção de falhas no sistema. Rotina Efetuada mensalmente ."/>
    <x v="2"/>
    <d v="2016-01-21T14:15:42"/>
    <x v="0"/>
    <s v="Encerramento"/>
    <s v="VINICIUS GAMA"/>
    <s v="LEANDRO ROCHA GONÇALVES"/>
    <x v="29"/>
    <x v="1"/>
    <s v="Encerrada"/>
    <d v="2016-01-29T22:00:00"/>
    <d v="2016-01-30T05:00:00"/>
    <d v="2016-01-30T07:00:00"/>
    <x v="0"/>
    <x v="0"/>
    <s v="Pouco impacto"/>
    <s v="CORCTX01RECSA; EXPCTX01RECSA; EXPCTX02RECSA; PDMCTX01RECSA; RECCTX01RECSA; REPCTX01RECSA"/>
    <s v="--"/>
    <s v="Sim"/>
    <s v="Não"/>
    <s v="Em caso de falha na instalação do Hotfix será efetuado a remover a instalação e na atualização de patch caso apresente falha será desinstalado do S.O."/>
    <s v="Não"/>
    <s v="Não"/>
    <x v="0"/>
    <s v="N/A"/>
    <x v="5"/>
  </r>
  <r>
    <n v="19204"/>
    <s v="Atualização crítica a ser aplicada em servidores listados como vulneráveis pela Segurança da Informação Contax, de acordo com o boletim MS14-066."/>
    <x v="2"/>
    <d v="2016-01-21T16:04:40"/>
    <x v="0"/>
    <s v="Encerramento"/>
    <s v="MARCOS DA SILVA PINTO"/>
    <s v="JOÃO LUCAS ZEATO DE MELO GUSMÃO,MARCOS DA SILVA PINTO"/>
    <x v="0"/>
    <x v="0"/>
    <s v="Encerrada"/>
    <d v="2016-02-02T22:00:00"/>
    <d v="2016-02-03T04:00:00"/>
    <d v="2016-02-03T05:00:00"/>
    <x v="0"/>
    <x v="0"/>
    <s v="Impacto"/>
    <s v="APPCTX180SPODA; APPCTX305SPODA; APPCTX307SPODA; APPCTX317SPODA; GRVCTX109SPODA; GRVCTX111SPODA; GRVCTX113SPODA; GRVCTX115SPODA; PRTCTX101SPODA; SCMCTX103SPODA; SDCCTX109SPODA"/>
    <s v="APPCTX180SPODA; APPCTX305SPODA; APPCTX307SPODA; APPCTX317SPODA; GRVCTX109SPODA; GRVCTX111SPODA; GRVCTX113SPODA; GRVCTX115SPODA; PRTCTX101SPODA; SCMCTX103SPODA; SDCCTX109SPODA"/>
    <s v="Sim"/>
    <s v="Não"/>
    <s v="Remover atualização e reiniciar o servidor"/>
    <s v="Não"/>
    <s v="Não"/>
    <x v="0"/>
    <s v="Digite neste local o número do chamado no tProcess"/>
    <x v="0"/>
  </r>
  <r>
    <n v="19205"/>
    <s v="Atualização crítica a ser aplicada em servidores listados como vulneráveis pela Segurança da Informação Contax, de acordo com o boletim MS14-066."/>
    <x v="2"/>
    <d v="2016-01-21T16:07:43"/>
    <x v="0"/>
    <s v="Encerramento"/>
    <s v="MARCOS DA SILVA PINTO"/>
    <s v="JOÃO LUCAS ZEATO DE MELO GUSMÃO,MARCOS DA SILVA PINTO"/>
    <x v="0"/>
    <x v="0"/>
    <s v="Encerrada"/>
    <d v="2016-02-03T22:00:00"/>
    <d v="2016-02-04T04:00:00"/>
    <d v="2016-02-04T05:00:00"/>
    <x v="0"/>
    <x v="0"/>
    <s v="Impacto"/>
    <s v="APPCTX308SPODA; APPCTX318SPODA; APPCTX337SPODA; APPCTX400SPODA; GRVCTX105SPODA; GRVCTX106SPODA; GRVCTX107SPODA; GRVCTX108SPODA; SDCTDO01SPODA; SDCTDO05SPODA; VCTCTX101SPODA"/>
    <s v="APPCTX308SPODA; APPCTX318SPODA; APPCTX337SPODA; APPCTX400SPODA; GRVCTX105SPODA; GRVCTX106SPODA; GRVCTX107SPODA; GRVCTX108SPODA; SDCTDO01SPODA; SDCTDO05SPODA; VCTCTX101SPODA"/>
    <s v="Sim"/>
    <s v="Não"/>
    <s v="Remover atualização e reiniciar o servidor."/>
    <s v="Não"/>
    <s v="Não"/>
    <x v="0"/>
    <s v="Digite neste local o número do chamado no tProcess"/>
    <x v="0"/>
  </r>
  <r>
    <n v="19208"/>
    <s v="Adicionar a porta 990 como ssl no proxy TMG"/>
    <x v="2"/>
    <d v="2016-01-21T16:39:53"/>
    <x v="0"/>
    <s v="Encerramento"/>
    <s v="JOAO BATISTA DE LIMA NETO"/>
    <s v="JOAO BATISTA DE LIMA NETO"/>
    <x v="10"/>
    <x v="7"/>
    <s v="Encerrada"/>
    <d v="2016-01-27T21:00:00"/>
    <d v="2016-01-27T22:00:00"/>
    <d v="2016-01-27T23:00:00"/>
    <x v="0"/>
    <x v="0"/>
    <s v="Pouco impacto"/>
    <s v="pxyctx101spoda; pxyctx101spodb; pxyctx102spoda; pxyctx102spodb; pxyctx104spoda; pxyctx104spodb; pxyctx105spoda; pxyctx105spodb"/>
    <s v="pxyctx101spoda; pxyctx101spodb; pxyctx102spoda; pxyctx102spodb; pxyctx104spoda; pxyctx104spodb; pxyctx105spoda; pxyctx105spodb"/>
    <s v="Sim"/>
    <s v="Não"/>
    <s v="Retirada da configuração aplicada."/>
    <s v="Não"/>
    <s v="Não"/>
    <x v="0"/>
    <s v="SPOAP407-16629"/>
    <x v="0"/>
  </r>
  <r>
    <n v="19209"/>
    <s v="Desativar os servidores que não estão mais em uso pelo Site."/>
    <x v="2"/>
    <d v="2016-01-21T17:42:15"/>
    <x v="0"/>
    <s v="Encerramento"/>
    <s v="JOAO BATISTA DE LIMA NETO"/>
    <s v="JOAO BATISTA DE LIMA NETO"/>
    <x v="9"/>
    <x v="7"/>
    <s v="Encerrada"/>
    <d v="2016-01-27T19:00:00"/>
    <d v="2016-01-27T20:00:00"/>
    <d v="2016-01-27T22:00:00"/>
    <x v="0"/>
    <x v="0"/>
    <s v="Sem impacto"/>
    <s v="DHCCTX201RJOPF; SUSCTX201RJOPF"/>
    <s v="DHCCTX201RJOPF; SUSCTX201RJOPF"/>
    <s v="Sim"/>
    <s v="Não"/>
    <s v="Não existe plano, os servidores serão desligados e estão fora de produção."/>
    <s v="Não"/>
    <s v="Não"/>
    <x v="0"/>
    <s v="Digite neste local o número do chamado no tProcess"/>
    <x v="0"/>
  </r>
  <r>
    <n v="19212"/>
    <s v="Implantar novo papel de parede de e-mail."/>
    <x v="4"/>
    <d v="2016-01-22T12:20:44"/>
    <x v="0"/>
    <s v="Encerramento"/>
    <s v="MARCIO ROBERTO ALVES NAKAYA"/>
    <s v="MARCIO ROBERTO ALVES NAKAYA"/>
    <x v="24"/>
    <x v="26"/>
    <s v="Encerrada"/>
    <d v="2016-03-16T18:00:00"/>
    <d v="2016-03-16T20:00:00"/>
    <d v="2016-03-17T02:00:00"/>
    <x v="0"/>
    <x v="2"/>
    <s v="Pouco impacto"/>
    <s v="appctx14spobf"/>
    <s v="appctx14spobf"/>
    <s v="Não"/>
    <s v="Não"/>
    <s v="1 - apontar arquivos de configuração do gestão para a versão 36."/>
    <s v="Não"/>
    <s v="Não"/>
    <x v="0"/>
    <s v="CTXSPOBF-125012"/>
    <x v="2"/>
  </r>
  <r>
    <n v="19214"/>
    <s v="Substituir servidor WDS do Site Boa Viagem"/>
    <x v="2"/>
    <d v="2016-01-22T13:43:40"/>
    <x v="0"/>
    <s v="Encerramento"/>
    <s v="VINÍCIUS FERNANDES CHATEAUNEUF"/>
    <s v="VINÍCIUS FERNANDES CHATEAUNEUF"/>
    <x v="8"/>
    <x v="7"/>
    <s v="Encerrada"/>
    <d v="2016-01-28T09:00:00"/>
    <d v="2016-01-28T13:00:00"/>
    <d v="2016-01-28T13:30:00"/>
    <x v="0"/>
    <x v="0"/>
    <s v="Pouco impacto"/>
    <s v="wdsctx02salas"/>
    <s v="wdsctx02salas"/>
    <s v="Sim"/>
    <s v="Não"/>
    <s v="Não há plano de ação a ser executado. O Site de origem do servidor está em processo de desativação."/>
    <s v="Não"/>
    <s v="Não"/>
    <x v="0"/>
    <s v="Digite neste local o número do chamado no tProcess"/>
    <x v="0"/>
  </r>
  <r>
    <n v="19215"/>
    <s v="Executar manutenção preventiva com carga em (1) GMG - STEMAC de 305 KVA que supri todas as cargas essenciais do Site Augusta. Testes para emissão de laudo de abrangência do gerador."/>
    <x v="2"/>
    <d v="2016-01-22T15:17:28"/>
    <x v="0"/>
    <s v="Encerramento"/>
    <s v="LUIS FERNANDO COSTA NEVES"/>
    <s v="LUIS FERNANDO COSTA NEVES"/>
    <x v="16"/>
    <x v="27"/>
    <s v="Encerrada"/>
    <d v="2016-02-27T22:00:00"/>
    <d v="2016-02-28T06:00:00"/>
    <d v="2016-02-28T07:00:00"/>
    <x v="0"/>
    <x v="0"/>
    <s v="Pouco impacto"/>
    <s v="Informe o nome do componente na rede."/>
    <s v="--"/>
    <s v="Não"/>
    <s v="Não"/>
    <s v="Toda atividade será realizada seguindo procedimentos e medidas de controle caso aja qualquer anomalia na execução iremos paralisar e retornar o processo do inicio, sempre sinalizando os interessados da atividade."/>
    <s v="Não"/>
    <s v="Não"/>
    <x v="0"/>
    <s v="Digite neste local o número do chamado no tProcess"/>
    <x v="7"/>
  </r>
  <r>
    <n v="19220"/>
    <s v="Efetuar Restart full da plataforma Aspect SP, com intuído de prevenção de falhas no sistema. Rotina Efetuada mensalmente ."/>
    <x v="0"/>
    <d v="2016-01-22T16:24:45"/>
    <x v="0"/>
    <s v="Encerramento"/>
    <s v="ALEX BRUM BARBOSA DE FARIAS"/>
    <s v="ALEX BRUM BARBOSA DE FARIAS"/>
    <x v="5"/>
    <x v="28"/>
    <s v="Encerrada"/>
    <d v="2016-02-04T22:00:00"/>
    <d v="2016-02-05T05:00:00"/>
    <d v="2016-02-05T06:00:00"/>
    <x v="0"/>
    <x v="0"/>
    <s v="Os prejuízos ou dificuldades são impactantes"/>
    <s v="ALMCTX01SPOAP; ALMCTX02SPOAP; EXPCTX01SPOAP; EXPCTX02SPOAP; EXPCTX03SPOAP; EXPCTX04SPOAP; EXPCTX05SPOAP; EXPCTX06SPOAP; EXPCTX07SPOAP; EXPCTX08SPOAP; Informe o nome do componente na rede.; PDMCTX01SPOAP; RECCTX01SPOAP; REPCTX01SPOAP; TASCTX01SPOAP; TASCTX02SPOAP; TASCTX03SPOAP; TASCTX04SPOAP; TASCTX05SPOAP; TASCTX06SPOAP"/>
    <s v="ALMCTX01SPOAP; ALMCTX02SPOAP; EXPCTX01SPOAP; EXPCTX02SPOAP; EXPCTX03SPOAP; EXPCTX04SPOAP; EXPCTX05SPOAP; EXPCTX06SPOAP; EXPCTX07SPOAP; EXPCTX08SPOAP; Informe o nome do componente na rede.; PDMCTX01SPOAP; RECCTX01SPOAP; REPCTX01SPOAP; TASCTX01SPOAP; TASCTX02SPOAP; TASCTX03SPOAP; TASCTX04SPOAP; TASCTX05SPOAP; TASCTX06SPOAP"/>
    <s v="Sim"/>
    <s v="Não"/>
    <s v="Em caso de falha na instalação do Hotfix será efetuado a remover a instalação e na atualização de patch caso apresente falha será desinstalado do S.O."/>
    <s v="Não"/>
    <s v="Não"/>
    <x v="0"/>
    <m/>
    <x v="2"/>
  </r>
  <r>
    <n v="19221"/>
    <s v="Manutenção preventiva no Aspect Polo BHZRP."/>
    <x v="0"/>
    <d v="2016-01-22T16:38:14"/>
    <x v="0"/>
    <s v="Encerramento"/>
    <s v="VINICIUS JOSE SOUZA DA CRUZ"/>
    <s v="VINICIUS JOSE SOUZA DA CRUZ"/>
    <x v="13"/>
    <x v="1"/>
    <s v="Encerrada"/>
    <d v="2016-02-01T23:00:00"/>
    <d v="2016-02-02T06:00:00"/>
    <d v="2016-02-02T07:00:00"/>
    <x v="0"/>
    <x v="1"/>
    <s v="Impacto"/>
    <s v="corctx01bhzrp; EXPCTX01BHZRP; EXPCTX02BHZRP; EXPCTX03BHZRP; EXPCTX04BHZRP; PDMCTX01BHZRP; REPCTX01BHZRP"/>
    <s v="corctx01bhzrp; EXPCTX01BHZRP; EXPCTX02BHZRP; EXPCTX03BHZRP; EXPCTX04BHZRP; PDMCTX01BHZRP; REPCTX01BHZRP"/>
    <s v="Não"/>
    <s v="Não"/>
    <s v="Nao contempla plano de retorno"/>
    <s v="Não"/>
    <s v="Não"/>
    <x v="0"/>
    <s v="N/A"/>
    <x v="2"/>
  </r>
  <r>
    <n v="19223"/>
    <s v="Manter a confiabilidade do sistema de geradores do Site Alegria"/>
    <x v="2"/>
    <d v="2016-01-22T16:53:47"/>
    <x v="0"/>
    <s v="Encerramento"/>
    <s v="MARCELO BOSELLI"/>
    <s v="MARCELO BOSELLI"/>
    <x v="5"/>
    <x v="29"/>
    <s v="Encerrada"/>
    <d v="2016-01-28T22:00:00"/>
    <d v="2016-01-29T06:00:00"/>
    <d v="2016-01-29T18:00:00"/>
    <x v="0"/>
    <x v="0"/>
    <s v="Sem impacto"/>
    <s v="GERADOR"/>
    <s v="GERADOR"/>
    <s v="Não"/>
    <s v="Não"/>
    <s v="CASO OCORRA ALGUM PROBLEMA DURANTE A MANUTENÇÃO AS ATIVIDADES SERÃO SUSPENSAS IMEDIATAMENTE"/>
    <s v="Não"/>
    <s v="Não"/>
    <x v="0"/>
    <s v="Digite neste local o número do chamado no tProcess"/>
    <x v="15"/>
  </r>
  <r>
    <n v="19224"/>
    <s v="Atualização de Service Pack 3 em Servidores de Banco com SQL Server 2008"/>
    <x v="2"/>
    <d v="2016-01-22T20:11:48"/>
    <x v="0"/>
    <s v="Encerramento"/>
    <s v="ANDERSON MOURA DE CARVALHO"/>
    <s v="ROBERTO MAGALHÃES DE OLIVEIRA"/>
    <x v="24"/>
    <x v="0"/>
    <s v="Encerrada"/>
    <d v="2016-01-30T00:00:00"/>
    <d v="2016-01-30T06:00:00"/>
    <d v="2016-01-30T07:00:00"/>
    <x v="0"/>
    <x v="0"/>
    <s v="Pouco impacto"/>
    <s v="dbsbra01spobf; DBSCTX12SPOBF; dbsctx70spolp"/>
    <s v="dbsbra01spobf; DBSCTX12SPOBF; dbsctx70spolp"/>
    <s v="Sim"/>
    <s v="Não"/>
    <s v="Desinstalar Service Pack 3 do SQL Server."/>
    <s v="Não"/>
    <s v="Não"/>
    <x v="0"/>
    <s v="Digite neste local o número do chamado no tProcess"/>
    <x v="0"/>
  </r>
  <r>
    <n v="19225"/>
    <s v="Realizar a troca do Sw Core Oi que atende à rede corporativa que interliga o Site Niterói à Oi."/>
    <x v="0"/>
    <d v="2016-01-25T10:59:44"/>
    <x v="0"/>
    <s v="Encerramento"/>
    <s v="VICTOR GARCIA LAHR"/>
    <s v="CRISTIANO DA SILVA AZEVEDO"/>
    <x v="4"/>
    <x v="1"/>
    <s v="Encerrada"/>
    <d v="2016-01-31T01:00:00"/>
    <d v="2016-01-31T02:00:00"/>
    <d v="2016-01-31T03:00:00"/>
    <x v="0"/>
    <x v="1"/>
    <s v="Os prejuízos ou dificuldades são impactantes"/>
    <s v="SWTCORE1NITSPCPD"/>
    <s v="--"/>
    <s v="Sim"/>
    <s v="Sim"/>
    <s v="Substituir a GBIC pela anterior de 100MB, na porta g4/7."/>
    <s v="Sim"/>
    <s v="Não"/>
    <x v="0"/>
    <s v="Não há"/>
    <x v="5"/>
  </r>
  <r>
    <n v="19227"/>
    <s v="Evolução do produto tSupervisor! para atender as necessidades do cliente."/>
    <x v="5"/>
    <d v="2016-01-25T12:24:30"/>
    <x v="0"/>
    <s v="Encerramento"/>
    <s v="FLÁVIO ROBERTO DE FREITAS MIRANDA"/>
    <s v="MARCELO AIRTON YAMASHITA,ROBERTO MAGALHÃES DE OLIVEIRA"/>
    <x v="10"/>
    <x v="18"/>
    <s v="Encerrada"/>
    <d v="2016-02-03T22:00:00"/>
    <d v="2016-02-04T18:00:00"/>
    <d v="2016-02-04T18:00:00"/>
    <x v="0"/>
    <x v="2"/>
    <s v="Impacto"/>
    <s v="appctx388spoda; appctx388spodb; appctx389spoda; appctx389spodb; clsctx101spoda; clsctx101spodb"/>
    <s v="appctx388spoda; appctx388spodb; appctx389spoda; appctx389spodb; clsctx101spoda; clsctx101spodb"/>
    <s v="Sim"/>
    <s v="Não"/>
    <s v="Parar o JBOSS da aplicação tSupervisor Acessar a pasta D:\Todo\jboss-eap-6.2-port-8180\standalone\deployments nos servidores 10.200.64.68, 10.200.64.69, 10.201.64.68 e 10.201.64.69 Excluir a aplicação atual tsupervisor.ear Renomear a aplicação tsupervisor.ear_DDMMYYYY_HHMM onde DDMMYYYY_HHMM será a data e hora no momento da aplicação para tsupervisor.ear Reiniciar o JBOSS Efetuar os testes tecnicos e teste funcionais"/>
    <s v="Não"/>
    <s v="Não"/>
    <x v="0"/>
    <s v="CTXRECSA-419337"/>
    <x v="16"/>
  </r>
  <r>
    <n v="19228"/>
    <s v="Atualização da versão server para atender a restrição para as transferências do SAC Oi."/>
    <x v="6"/>
    <d v="2016-01-25T12:33:52"/>
    <x v="0"/>
    <s v="Encerramento"/>
    <s v="FLÁVIO ROBERTO DE FREITAS MIRANDA"/>
    <s v="PAULO CESAR DE SOUZA,ROBERTO MAGALHÃES DE OLIVEIRA"/>
    <x v="8"/>
    <x v="1"/>
    <s v="Encerrada"/>
    <d v="2016-02-24T22:00:00"/>
    <d v="2016-02-25T18:00:00"/>
    <d v="2016-02-25T18:00:00"/>
    <x v="0"/>
    <x v="2"/>
    <s v="Pouco impacto"/>
    <s v="NGRFFACIL.oictx.contax.root"/>
    <s v="FESCTX01SPODA; NGRFFACIL.oictx.contax.root"/>
    <s v="Sim"/>
    <s v="Não"/>
    <s v="1 - Se conecta no servidor via mstsc; 2 - Para a aplicação; 3 - Exclui o arquivo que foi copiado na estapa de execução; 4 - Restaura o nome do arquivo que foi renomeado na etapa de execução; 5 - Inicia a aplicação; 6 - Segue para o próximo servidor;"/>
    <s v="Não"/>
    <s v="Sim"/>
    <x v="2"/>
    <s v="CTXMTZPB-1118"/>
    <x v="17"/>
  </r>
  <r>
    <n v="19229"/>
    <s v="Atualização de patches e updates críticos nos hosts ESX a fim de mitigar vulnerabilidades apontadas pela SEG Info."/>
    <x v="2"/>
    <d v="2016-01-25T14:35:11"/>
    <x v="0"/>
    <s v="Encerramento"/>
    <s v="CARLOS EDUARDO AZEVEDO PEREIRA"/>
    <s v="CARLOS EDUARDO AZEVEDO PEREIRA"/>
    <x v="1"/>
    <x v="0"/>
    <s v="Encerrada"/>
    <d v="2016-02-26T22:00:00"/>
    <d v="2016-02-27T06:00:00"/>
    <d v="2016-02-27T07:00:00"/>
    <x v="0"/>
    <x v="0"/>
    <s v="Impacto"/>
    <s v="10.9.3.211; 10.9.3.212; 10.9.3.213; 10.9.3.214"/>
    <s v="10.9.3.211; 10.9.3.212; 10.9.3.213; 10.9.3.214"/>
    <s v="Sim"/>
    <s v="Não"/>
    <s v="Efetuar remoção dos patches instalados."/>
    <s v="Sim"/>
    <s v="Não"/>
    <x v="2"/>
    <s v="Digite neste local o número do chamado no tProcess"/>
    <x v="0"/>
  </r>
  <r>
    <n v="19232"/>
    <s v="Atualização crítica a ser aplicada em servidores listados como vulneráveis pela Segurança da Informação Contax, de acordo com o boletim MS14-066."/>
    <x v="2"/>
    <d v="2016-01-26T08:43:22"/>
    <x v="0"/>
    <s v="Encerramento"/>
    <s v="MARCOS DA SILVA PINTO"/>
    <s v="MARCOS DA SILVA PINTO,ROBERTO MAGALHÃES DE OLIVEIRA"/>
    <x v="0"/>
    <x v="0"/>
    <s v="Encerrada"/>
    <d v="2016-02-04T22:00:00"/>
    <d v="2016-02-05T04:00:00"/>
    <d v="2016-02-05T05:00:00"/>
    <x v="0"/>
    <x v="0"/>
    <s v="Impacto"/>
    <s v="APPCTX111SPODA; APPCTX131SPODA; APPCTX133SPODA; AVS101CTXSPODA; AVSCTX101SPODA; BKPCTX101SPODA; CHHCTX101SPODA; DBSCTX102SPODA; DBSCTX150SPODA; DBSCTX264SPODA"/>
    <s v="APPCTX111SPODA; APPCTX131SPODA; APPCTX133SPODA; AVS101CTXSPODA; AVSCTX101SPODA; BKPCTX101SPODA; CHHCTX101SPODA; DBSCTX102SPODA; DBSCTX150SPODA; DBSCTX264SPODA"/>
    <s v="Sim"/>
    <s v="Não"/>
    <s v="Remover atualização e reiniciar o servidor."/>
    <s v="Não"/>
    <s v="Não"/>
    <x v="2"/>
    <s v="Digite neste local o número do chamado no tProcess"/>
    <x v="0"/>
  </r>
  <r>
    <n v="19233"/>
    <s v="Correção do projeto OI-6798"/>
    <x v="2"/>
    <d v="2016-01-26T11:21:14"/>
    <x v="0"/>
    <s v="Encerramento"/>
    <s v="PAULO VINÍCIUS DOS SANTOS PEREIRA"/>
    <s v="MARCOS SANTOS DO SACRAMENTO"/>
    <x v="7"/>
    <x v="1"/>
    <s v="Encerrada"/>
    <d v="2016-01-22T13:00:00"/>
    <d v="2016-01-22T18:00:00"/>
    <d v="2016-01-22T18:00:00"/>
    <x v="2"/>
    <x v="1"/>
    <s v="Muito impacto"/>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
    <s v="Não"/>
    <s v="Não"/>
    <s v="Undeploy da versão da máquina Application Server em questão e Deploy da nova versão utilizando o Tomcat Manager."/>
    <s v="Não"/>
    <s v="Não"/>
    <x v="0"/>
    <s v="CTXMLTREG-5624"/>
    <x v="2"/>
  </r>
  <r>
    <n v="19234"/>
    <s v="Implantação da Release 0.9.6.4.3 no SGRC"/>
    <x v="2"/>
    <d v="2016-01-26T16:03:59"/>
    <x v="0"/>
    <s v="Encerramento"/>
    <s v="JHONATAS ALVES"/>
    <s v="CHAIMOM ANTONIO DA SILVA,ROBERTO MAGALHÃES DE OLIVEIRA"/>
    <x v="27"/>
    <x v="30"/>
    <s v="Encerrada"/>
    <d v="2016-01-28T22:00:00"/>
    <d v="2016-01-29T05:30:00"/>
    <d v="2016-01-29T06:00:00"/>
    <x v="1"/>
    <x v="1"/>
    <s v="Muito impacto"/>
    <s v="Informe o nome do componente na rede."/>
    <s v="Informe o nome do componente na rede."/>
    <s v="Sim"/>
    <s v="Sim"/>
    <s v="Restaurar o backup do SGRC feito antes da aplicação da Release."/>
    <s v="Não"/>
    <s v="Não"/>
    <x v="0"/>
    <s v="CTXRJOED-57896"/>
    <x v="8"/>
  </r>
  <r>
    <n v="19235"/>
    <s v="Preventiva Energ sem carga do gerador Stemac 305 KVA - Site Alameda Santos."/>
    <x v="0"/>
    <d v="2016-01-26T18:01:18"/>
    <x v="0"/>
    <s v="Encerramento"/>
    <s v="LUIS FERNANDO COSTA NEVES"/>
    <s v="LUIS FERNANDO COSTA NEVES"/>
    <x v="6"/>
    <x v="7"/>
    <s v="Encerrada"/>
    <d v="2016-02-12T20:00:00"/>
    <d v="2016-02-13T04:00:00"/>
    <d v="2016-02-13T04:05: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0"/>
  </r>
  <r>
    <n v="19237"/>
    <s v="Dar andamento no projeto controle de chamadas da Oi."/>
    <x v="7"/>
    <d v="2016-01-27T08:34:37"/>
    <x v="0"/>
    <s v="Encerramento"/>
    <s v="FABIANA CARLA DE SOUZA DIAS"/>
    <s v="WILSON SHIGERU MIYAZAKI"/>
    <x v="7"/>
    <x v="1"/>
    <s v="Encerrada"/>
    <d v="2016-02-11T07:00:00"/>
    <d v="2016-02-11T11:00:00"/>
    <d v="2016-02-11T13:45:00"/>
    <x v="0"/>
    <x v="2"/>
    <s v="Sem impacto"/>
    <s v="dbsctx08spoda"/>
    <s v="dbsctx08spoda"/>
    <s v="Não"/>
    <s v="Não"/>
    <s v="Apontamento do DR3 para a versão do backup da tabela de roteamento da operação Fixo e Velox Apontamento da configuração no ICR para a URA_CANAL 31 utilizar as tabelas do backup"/>
    <m/>
    <m/>
    <x v="1"/>
    <s v="CTXRJOMA-77973"/>
    <x v="1"/>
  </r>
  <r>
    <n v="19239"/>
    <s v="Disponibilizar nova funcionalidade de cadastro automático para os usuários que estão utilizando o Perficall."/>
    <x v="2"/>
    <d v="2016-01-27T09:42:20"/>
    <x v="0"/>
    <s v="Encerramento"/>
    <s v="FLÁVIO ROBERTO DE FREITAS MIRANDA"/>
    <s v="DYEGO CAVALCANTE WANDERLEY SILVA"/>
    <x v="29"/>
    <x v="1"/>
    <s v="Encerrada"/>
    <d v="2016-02-11T21:30:00"/>
    <d v="2016-02-11T23:59:00"/>
    <d v="2016-02-12T00:15:00"/>
    <x v="0"/>
    <x v="0"/>
    <s v="Sem impacto"/>
    <s v="DBSCTX03RECSA"/>
    <s v="--"/>
    <s v="Sim"/>
    <s v="Não"/>
    <s v="Realizar restore da base Perfilador_CO na instancia 10.63.0.78. 1) Acessar instancia de bd 10.63.0.78; 2) Realizar restore da base Perfilador_CO; Restaurar o backup dos módulos de administração e perfilhamento do sistema Perfilador CO"/>
    <s v="Não"/>
    <s v="Não"/>
    <x v="0"/>
    <s v="N/A"/>
    <x v="5"/>
  </r>
  <r>
    <n v="19240"/>
    <s v="Atualização da aplicação o OiTV. A release 20160126 terá como foco principal as seguintes mudanças abaixo: ? FUO-637 - Aumento alíquota de ICMS"/>
    <x v="2"/>
    <d v="2016-01-27T09:49:59"/>
    <x v="0"/>
    <s v="Encerramento"/>
    <s v="DANIEL SCHONWANDT MENDES FERREIRA"/>
    <s v="LUIZ HENRIQUE OLIVEIRA DA SILVA"/>
    <x v="7"/>
    <x v="1"/>
    <s v="Encerrada"/>
    <d v="2016-01-26T22:00:00"/>
    <d v="2016-01-27T05:00:00"/>
    <d v="2016-01-27T06:00:00"/>
    <x v="2"/>
    <x v="1"/>
    <s v="Muito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s v="CTXSPOAP407-14952"/>
    <x v="1"/>
  </r>
  <r>
    <n v="19241"/>
    <s v="Atualizações das lincenças do sistema SAS"/>
    <x v="8"/>
    <d v="2016-01-27T10:34:40"/>
    <x v="0"/>
    <s v="Encerramento"/>
    <s v="FELIPE DE OLIVEIRA MOREIRA"/>
    <s v="DAWSONLEY DA SILVA MELO"/>
    <x v="5"/>
    <x v="0"/>
    <s v="Encerrada"/>
    <d v="2016-02-05T19:00:00"/>
    <d v="2016-02-05T22:00:00"/>
    <d v="2016-02-05T23:00:00"/>
    <x v="0"/>
    <x v="0"/>
    <s v="Muito impacto"/>
    <s v="APPCTX440SPODB"/>
    <s v="--"/>
    <s v="Sim"/>
    <s v="Não"/>
    <s v="Não existe uma solução para o retorno pois será uma atualização de linceças"/>
    <s v="Não"/>
    <s v="Não"/>
    <x v="0"/>
    <s v="--"/>
    <x v="0"/>
  </r>
  <r>
    <n v="19243"/>
    <s v="Atualização da aplicação Televendas. A release 20160203 terá como foco principal as seguintes mudanças abaixo: ? FUO-618 Clientes Controle Televendas ? FUO-703 Número tratado - chamada tem origem no 10331 Televendas"/>
    <x v="0"/>
    <d v="2016-01-27T14:50:37"/>
    <x v="0"/>
    <s v="Encerramento"/>
    <s v="DANIEL SCHONWANDT MENDES FERREIRA"/>
    <s v="LUIZ HENRIQUE OLIVEIRA DA SILVA"/>
    <x v="7"/>
    <x v="1"/>
    <s v="Encerrada"/>
    <d v="2016-02-03T22:00:00"/>
    <d v="2016-02-04T12:00:00"/>
    <d v="2016-02-04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245"/>
    <s v="Atualização da aplicação Corporativo. A release 20160203 terá como foco principal as seguintes mudanças abaixo: ? FUO-674 Captura Numero Reparo Corporativo"/>
    <x v="0"/>
    <d v="2016-01-27T15:12:37"/>
    <x v="0"/>
    <s v="Encerramento"/>
    <s v="DANIEL SCHONWANDT MENDES FERREIRA"/>
    <s v="LUIZ HENRIQUE OLIVEIRA DA SILVA"/>
    <x v="7"/>
    <x v="1"/>
    <s v="Encerrada"/>
    <d v="2016-02-03T22:00:00"/>
    <d v="2016-02-04T12:00:00"/>
    <d v="2016-02-04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246"/>
    <s v="Atualização da aplicação Empresarial. A release 20160203 terá como foco principal as seguintes mudanças abaixo: ? FUO-697 Rechamada Check List Velox Empresarial"/>
    <x v="0"/>
    <d v="2016-01-27T15:36:45"/>
    <x v="0"/>
    <s v="Encerramento"/>
    <s v="DANIEL SCHONWANDT MENDES FERREIRA"/>
    <s v="LUIZ HENRIQUE OLIVEIRA DA SILVA"/>
    <x v="7"/>
    <x v="1"/>
    <s v="Encerrada"/>
    <d v="2016-02-03T22:00:00"/>
    <d v="2016-02-04T12:00:00"/>
    <d v="2016-02-04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248"/>
    <s v="instalação do TOP nas posições da claro salvador."/>
    <x v="0"/>
    <d v="2016-01-27T15:47:30"/>
    <x v="0"/>
    <s v="Encerramento"/>
    <s v="MARCUS VINÍCIUS DE JESUS BARBOSA"/>
    <s v="MARCUS VINÍCIUS DE JESUS BARBOSA"/>
    <x v="8"/>
    <x v="11"/>
    <s v="Encerrada"/>
    <d v="2016-02-01T15:00:00"/>
    <d v="2016-02-01T18:00:00"/>
    <d v="2016-02-01T19:00:00"/>
    <x v="0"/>
    <x v="1"/>
    <s v="Os prejuízos ou dificuldades são impactantes"/>
    <s v="Informe o nome do componente na rede."/>
    <s v="--"/>
    <s v="Não"/>
    <s v="Não"/>
    <s v="Efetuar o rollback da versão 1.35 do TOP."/>
    <s v="Não"/>
    <s v="Não"/>
    <x v="0"/>
    <s v="n/a"/>
    <x v="0"/>
  </r>
  <r>
    <n v="19249"/>
    <s v="Atualização da aplicação OITV. A release 20160203 terá como foco principal as seguintes mudanças abaixo: ? FUO-675 Marcação de EDs ? FUO-701 Prompt - ClienteumaFatura.wav ? FUO-678 URA 10631 - FALHA DE PROMPT - ERRADO - ( OITV )"/>
    <x v="0"/>
    <d v="2016-01-27T15:55:27"/>
    <x v="0"/>
    <s v="Encerramento"/>
    <s v="DANIEL SCHONWANDT MENDES FERREIRA"/>
    <s v="LUIZ HENRIQUE OLIVEIRA DA SILVA"/>
    <x v="7"/>
    <x v="1"/>
    <s v="Encerrada"/>
    <d v="2016-02-03T22:00:00"/>
    <d v="2016-02-04T12:00:00"/>
    <d v="2016-02-04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251"/>
    <s v="Garantir a confiabilidade dos equipamentos."/>
    <x v="0"/>
    <d v="2016-01-27T16:22:58"/>
    <x v="0"/>
    <s v="Encerramento"/>
    <s v="GÊNESIS HENRIQUE DA SILVA"/>
    <s v="GÊNESIS HENRIQUE DA SILVA"/>
    <x v="11"/>
    <x v="21"/>
    <s v="Encerrada"/>
    <d v="2016-02-13T22:00:00"/>
    <d v="2016-02-14T05:00:00"/>
    <d v="2016-02-14T06:00:00"/>
    <x v="0"/>
    <x v="0"/>
    <s v="Pouco impacto"/>
    <s v="--"/>
    <s v="Geradores"/>
    <s v="Não"/>
    <s v="Não"/>
    <s v="Em caso de algum problema imprevisto, acionamos a energia da concessionária."/>
    <s v="Não"/>
    <s v="Não"/>
    <x v="0"/>
    <m/>
    <x v="7"/>
  </r>
  <r>
    <n v="19256"/>
    <s v="teste"/>
    <x v="9"/>
    <d v="2016-01-28T13:41:11"/>
    <x v="0"/>
    <s v="Encerramento"/>
    <s v="MARILICE DE OLIVEIRA"/>
    <s v="MARILICE DE OLIVEIRA"/>
    <x v="10"/>
    <x v="7"/>
    <s v="Encerrada"/>
    <d v="2016-01-28T19:00:00"/>
    <d v="2016-01-28T21:00:00"/>
    <d v="2016-01-28T22:00:00"/>
    <x v="3"/>
    <x v="1"/>
    <s v="Sem impacto"/>
    <m/>
    <m/>
    <s v="Sim"/>
    <s v="Sim"/>
    <s v="teste"/>
    <s v="Não"/>
    <s v="Não"/>
    <x v="2"/>
    <m/>
    <x v="0"/>
  </r>
  <r>
    <n v="19258"/>
    <s v="Aplicar os Procedimentos abaixo no sistema protheus: CTXSPOAP407-14992 - Criar Tabela Saída de NF - Filial 0221; CTXSPOAP407-15029 - Cálculo RPA - para Pessoa Física - Tabela IRRF; CTXSPOAP407-15063 - Correção da numeração automática no cadastro de produto."/>
    <x v="10"/>
    <d v="2016-01-28T15:45:39"/>
    <x v="0"/>
    <s v="Encerramento"/>
    <s v="MIGUEL ANGELO DO PATROCINIO"/>
    <s v="MIGUEL ANGELO DO PATROCINIO"/>
    <x v="5"/>
    <x v="0"/>
    <s v="Encerrada"/>
    <d v="2016-02-04T20:00:00"/>
    <d v="2016-02-04T23:59:00"/>
    <d v="2016-02-05T10:00:00"/>
    <x v="0"/>
    <x v="1"/>
    <s v="Muit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CTXSPOAP407-14992"/>
    <x v="0"/>
  </r>
  <r>
    <n v="19260"/>
    <s v="Corrigir o problema de gravação da Operação SOC localizada no Site Santo Amaro"/>
    <x v="11"/>
    <d v="2016-01-28T16:22:07"/>
    <x v="0"/>
    <s v="Encerramento"/>
    <s v="LUIZ WASHINGTON GIANEZZI"/>
    <s v="LEANDRO UCHOA DA SILVA"/>
    <x v="29"/>
    <x v="1"/>
    <s v="Encerrada"/>
    <d v="2016-02-02T22:00:00"/>
    <d v="2016-02-03T02:00:00"/>
    <d v="2016-02-03T03:00:00"/>
    <x v="0"/>
    <x v="2"/>
    <s v="Impacto"/>
    <s v="SWTVOIP001FORCP; SWTVOIP004FORCPD"/>
    <s v="SWTVOIP001FORCP; SWTVOIP004FORCPD"/>
    <s v="Não"/>
    <s v="Não"/>
    <s v="Retornar o cabeamento no extreme e retornar a configuração nos switches SWTVOIP001FORCPD e SWTVOIP003FORCPD;"/>
    <s v="Não"/>
    <s v="Não"/>
    <x v="0"/>
    <m/>
    <x v="1"/>
  </r>
  <r>
    <n v="19261"/>
    <s v="Implantação de melhoria e atualização da aplicação *144 Pós Pago."/>
    <x v="0"/>
    <d v="2016-01-28T16:26:00"/>
    <x v="0"/>
    <s v="Encerramento"/>
    <s v="FRANCIELE CARLA DE LIMA COSTA"/>
    <s v="LUIZ HENRIQUE OLIVEIRA DA SILVA"/>
    <x v="7"/>
    <x v="1"/>
    <s v="Encerrada"/>
    <d v="2016-02-04T22:00:00"/>
    <d v="2016-02-05T12:00:00"/>
    <d v="2016-02-05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2591 - Incentivo USSD Pós Pago"/>
    <x v="5"/>
  </r>
  <r>
    <n v="19262"/>
    <s v="Atender demanda da Oi de Controle de chamadas / migração do trafego logico das chamadas dos pop´s CTA e CPE"/>
    <x v="12"/>
    <d v="2016-01-28T16:27:27"/>
    <x v="0"/>
    <s v="Encerramento"/>
    <s v="FABIANA CARLA DE SOUZA DIAS"/>
    <s v="DANIEL DONAIRE"/>
    <x v="26"/>
    <x v="1"/>
    <s v="Encerrada"/>
    <d v="2016-01-29T14:00:00"/>
    <d v="2016-01-29T18:00:00"/>
    <d v="2016-01-29T21:00:00"/>
    <x v="1"/>
    <x v="2"/>
    <s v="Muito impacto"/>
    <m/>
    <s v="--"/>
    <s v="Não"/>
    <s v="Não"/>
    <s v="Mudança Logica. Voltar o trafego das chamadas para o ue encontra-se em produção atualmente."/>
    <s v="Não"/>
    <s v="Não"/>
    <x v="2"/>
    <m/>
    <x v="1"/>
  </r>
  <r>
    <n v="19265"/>
    <s v="Garantir a confiabilidade dos GMG´s quando solicitados."/>
    <x v="0"/>
    <d v="2016-01-28T16:50:29"/>
    <x v="0"/>
    <s v="Encerramento"/>
    <s v="GÊNESIS HENRIQUE DA SILVA"/>
    <s v="GÊNESIS HENRIQUE DA SILVA"/>
    <x v="29"/>
    <x v="31"/>
    <s v="Encerrada"/>
    <d v="2016-02-27T22:00:00"/>
    <d v="2016-02-28T05:00:00"/>
    <d v="2016-02-28T07:00:00"/>
    <x v="0"/>
    <x v="0"/>
    <s v="Impacto"/>
    <s v="--"/>
    <s v="10 Geradores FG Wilson 500kVA"/>
    <s v="Não"/>
    <s v="Não"/>
    <s v="Em caso de algum problema imprevisto,acionamos a energia da concessionária."/>
    <s v="Não"/>
    <s v="Não"/>
    <x v="0"/>
    <m/>
    <x v="18"/>
  </r>
  <r>
    <n v="19266"/>
    <s v="Ajustar as regras da Rotina de Carga do Arquivo de Ofertas Fixa/Móvel das operações de Cobrança da R1 , para que este insira as informações referentes ao Risco, mesmo que este não possua ofertas ou telefones de enriquecimentos."/>
    <x v="0"/>
    <d v="2016-01-28T16:51:15"/>
    <x v="0"/>
    <s v="Encerramento"/>
    <s v="GUSTAVO RODRIGUES DE ORNELAS SILVA"/>
    <s v="GUSTAVO RODRIGUES DE ORNELAS SILVA"/>
    <x v="3"/>
    <x v="1"/>
    <s v="Encerrada"/>
    <d v="2016-02-03T23:30:00"/>
    <d v="2016-02-04T02:30:00"/>
    <d v="2016-02-04T06:30:00"/>
    <x v="0"/>
    <x v="1"/>
    <s v="Impacto"/>
    <s v="cssqloivarejo"/>
    <s v="cssqloivarejo"/>
    <s v="Não"/>
    <s v="Não"/>
    <s v="PLANO DE RETORNO DA GMUD: -&gt; CONECTAR VIA TERMINAL SERVICE NO SERVIDOR 10.55.14.11 -&gt; ABRIR O SQL SQL Server Management Studio -&gt; Executar os comandos: ---&gt; DROP PROCEDURE ProcessBatchLoad_Oi_Movel_Ofertas ---&gt; DROP PROCEDURE ProcessBatchLoad_Oi_Fixa_Ofertas ---&gt; Sp_Rename ProcessBatchLoad_Oi_Fixa_Ofertas_20160203, ProcessBatchLoad_Oi_Fixa_Ofertas ---&gt; Sp_Rename ProcessBatchLoad_Oi_Movel_Ofertas_20160203, ProcessBatchLoad_Oi_Fixa_Ofertas"/>
    <s v="Não"/>
    <s v="Não"/>
    <x v="0"/>
    <s v="CTXBHZRI-97591"/>
    <x v="2"/>
  </r>
  <r>
    <n v="19267"/>
    <s v="Atualizar Patch críticos e de segurança nos servidores Windows e remover Symantec e instalar MacAfee"/>
    <x v="0"/>
    <d v="2016-01-28T16:54:04"/>
    <x v="0"/>
    <s v="Encerramento"/>
    <s v="WELLIGTON RODRIGUES MARINHO NASCIMENTO"/>
    <s v="JOSE GERALDO DA SILVA DOS SANTOS"/>
    <x v="21"/>
    <x v="0"/>
    <s v="Encerrada"/>
    <d v="2016-02-15T22:00:00"/>
    <d v="2016-02-20T15:00:00"/>
    <d v="2016-02-21T05:00:00"/>
    <x v="0"/>
    <x v="1"/>
    <s v="Impacto"/>
    <s v="; anexo na gmud"/>
    <s v="; anexo na gmud"/>
    <s v="Sim"/>
    <s v="Sim"/>
    <s v="Desinstalar os patchs atualizados na ultima execução"/>
    <m/>
    <m/>
    <x v="1"/>
    <s v="-"/>
    <x v="0"/>
  </r>
  <r>
    <n v="19268"/>
    <s v="Implantação de melhoria e atualização da aplicação OCTUNIFICADA."/>
    <x v="0"/>
    <d v="2016-01-28T17:02:00"/>
    <x v="0"/>
    <s v="Encerramento"/>
    <s v="FRANCIELE CARLA DE LIMA COSTA"/>
    <s v="LUIZ HENRIQUE OLIVEIRA DA SILVA"/>
    <x v="7"/>
    <x v="1"/>
    <s v="Encerrada"/>
    <d v="2016-02-04T22:00:00"/>
    <d v="2016-02-05T12:00:00"/>
    <d v="2016-02-05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259 - Incentivo USSD OCT"/>
    <x v="5"/>
  </r>
  <r>
    <n v="19269"/>
    <s v="Fazer a fusão de fibra optica para ativação do Link de dados da Operação Souza Cruz"/>
    <x v="13"/>
    <d v="2016-01-28T18:17:45"/>
    <x v="0"/>
    <s v="Encerramento"/>
    <s v="LUIZ WASHINGTON GIANEZZI"/>
    <s v="LEANDRO AMARAL SILVA"/>
    <x v="10"/>
    <x v="12"/>
    <s v="Encerrada"/>
    <d v="2016-02-03T10:00:00"/>
    <d v="2016-02-03T12:00:00"/>
    <d v="2016-02-03T15:00:00"/>
    <x v="0"/>
    <x v="2"/>
    <s v="Sem impacto"/>
    <s v="--"/>
    <s v="--"/>
    <s v="Não"/>
    <s v="Não"/>
    <s v="Desconectar a fibra"/>
    <s v="Não"/>
    <s v="Não"/>
    <x v="2"/>
    <m/>
    <x v="0"/>
  </r>
  <r>
    <n v="19270"/>
    <s v="Atualização de Patches de segurança e Restart no Sistema Operacional em servidores de produção com mais de 30 dias online"/>
    <x v="0"/>
    <d v="2016-01-28T18:28:18"/>
    <x v="0"/>
    <s v="Encerramento"/>
    <s v="JOÃO PEREIRA DE SOUZA JUNIOR"/>
    <s v="JOSE GERALDO DA SILVA DOS SANTOS,ROBERTO MAGALHÃES DE OLIVEIRA"/>
    <x v="3"/>
    <x v="1"/>
    <s v="Encerrada"/>
    <d v="2016-02-03T00:00:00"/>
    <d v="2016-02-03T05:00:00"/>
    <d v="2016-02-03T06:00:00"/>
    <x v="0"/>
    <x v="0"/>
    <s v="Sem impacto"/>
    <s v="DBSCTX07FORBM; DBSCTX11FORBM; DBSCTX15FORBM; DBSCTX17FORBM; DBSCTX28FORBM; DBSCTX34FORBM; DBSCTX44FORBM; DBSCTX47FORBM"/>
    <s v="DBSCTX07FORBM; DBSCTX11FORBM; DBSCTX15FORBM; DBSCTX17FORBM; DBSCTX28FORBM; DBSCTX34FORBM; DBSCTX44FORBM; DBSCTX47FORBM"/>
    <s v="Sim"/>
    <s v="Não"/>
    <s v="1 - Remover as atualizações aplicadas pelo Adicionar e Remover Programas do painel de controle; 2 - Reinicializar o servidor;"/>
    <s v="Não"/>
    <s v="Não"/>
    <x v="0"/>
    <m/>
    <x v="9"/>
  </r>
  <r>
    <n v="19271"/>
    <s v="Atualização de Patches de segurança e Restart no Sistema Operacional em servidores de produção com mais de 30 dias online"/>
    <x v="0"/>
    <d v="2016-01-28T18:37:44"/>
    <x v="0"/>
    <s v="Encerramento"/>
    <s v="JOÃO PEREIRA DE SOUZA JUNIOR"/>
    <s v="JOSE GERALDO DA SILVA DOS SANTOS,ROBERTO MAGALHÃES DE OLIVEIRA"/>
    <x v="3"/>
    <x v="32"/>
    <s v="Encerrada"/>
    <d v="2016-02-04T00:00:00"/>
    <d v="2016-02-04T05:00:00"/>
    <d v="2016-02-04T06:00:00"/>
    <x v="0"/>
    <x v="0"/>
    <s v="Sem impacto"/>
    <s v="DBSCTX02FORBM; DBSCTX10FORBM; DBSCTX14FORBM; DBSCTX20FORBM; DBSCTX23FORBM; DBSCTX25FORBM; DBSCTX27FORBM; DBSCTX32FORBM"/>
    <s v="DBSCTX02FORBM; DBSCTX10FORBM; DBSCTX14FORBM; DBSCTX20FORBM; DBSCTX23FORBM; DBSCTX25FORBM; DBSCTX27FORBM; DBSCTX32FORBM"/>
    <s v="Sim"/>
    <s v="Não"/>
    <s v="1 - Remover as atualizações aplicadas pelo Adicionar e Remover Programas do painel de controle; 2 - Reinicializar o servidor;"/>
    <s v="Não"/>
    <s v="Não"/>
    <x v="0"/>
    <m/>
    <x v="4"/>
  </r>
  <r>
    <n v="19272"/>
    <s v="Atualização de Patches de segurança e Restart no Sistema Operacional em servidores de produção com mais de 30 dias online"/>
    <x v="0"/>
    <d v="2016-01-28T18:46:31"/>
    <x v="0"/>
    <s v="Encerramento"/>
    <s v="JOÃO PEREIRA DE SOUZA JUNIOR"/>
    <s v="JOSE GERALDO DA SILVA DOS SANTOS,ROBERTO MAGALHÃES DE OLIVEIRA"/>
    <x v="3"/>
    <x v="1"/>
    <s v="Encerrada"/>
    <d v="2016-02-05T00:00:00"/>
    <d v="2016-02-05T05:00:00"/>
    <d v="2016-02-05T06:00:00"/>
    <x v="0"/>
    <x v="0"/>
    <s v="Sem impacto"/>
    <s v="APPCTX15FORBM; APPCTX16FORBM; APPTLM07FORBM; DBSCTX06FORBM; DBSCTX18FORBM; DBSCTX19FORBM; DBSCTX26FORBM; DBSCTX39FORBM"/>
    <s v="APPCTX15FORBM; APPCTX16FORBM; APPTLM07FORBM; DBSCTX06FORBM; DBSCTX18FORBM; DBSCTX19FORBM; DBSCTX26FORBM; DBSCTX39FORBM"/>
    <s v="Sim"/>
    <s v="Não"/>
    <s v="1 - Remover as atualizações aplicadas pelo Adicionar e Remover Programas do painel de controle; 2 - Reinicializar o servidor;"/>
    <s v="Não"/>
    <s v="Não"/>
    <x v="0"/>
    <m/>
    <x v="2"/>
  </r>
  <r>
    <n v="19275"/>
    <s v="Ativação circuito Embratel, MPLS Orbitall. DC Alegria"/>
    <x v="3"/>
    <d v="2016-01-29T08:25:30"/>
    <x v="0"/>
    <s v="Encerramento"/>
    <s v="JOSIMAR LOPES DE SANTANA"/>
    <s v="JOSIMAR LOPES DE SANTANA"/>
    <x v="5"/>
    <x v="5"/>
    <s v="Encerrada"/>
    <d v="2016-01-29T22:00:00"/>
    <d v="2016-01-29T23:30:00"/>
    <d v="2016-01-29T23:59:00"/>
    <x v="1"/>
    <x v="2"/>
    <s v="Muito impacto"/>
    <s v="N/A"/>
    <s v="N/A"/>
    <s v="Não"/>
    <s v="Não"/>
    <s v="Não há plano de retorno, pois trata-se de um novo circuito."/>
    <s v="Não"/>
    <s v="Não"/>
    <x v="0"/>
    <s v="N/A"/>
    <x v="19"/>
  </r>
  <r>
    <n v="19278"/>
    <s v="Objetivo; Upgrade do link MPLS da VIVO no DC Alphaville para 5GB. Descrição: Lançamento da fibra óptica redundante para que a operadora faça a troca do roteador posteriormente."/>
    <x v="14"/>
    <d v="2016-01-29T11:50:28"/>
    <x v="0"/>
    <s v="Encerramento"/>
    <s v="THIAGO SILVA FERREIRA"/>
    <s v="THIAGO SILVA FERREIRA"/>
    <x v="0"/>
    <x v="0"/>
    <s v="Encerrada"/>
    <d v="2016-02-04T22:00:00"/>
    <d v="2016-02-05T01:00:00"/>
    <d v="2016-02-05T02:00:00"/>
    <x v="0"/>
    <x v="2"/>
    <s v="Impacto"/>
    <s v="--"/>
    <s v="N/A"/>
    <s v="Não"/>
    <s v="Não"/>
    <s v="Retirada da fibra óptica."/>
    <s v="Não"/>
    <s v="Não"/>
    <x v="2"/>
    <m/>
    <x v="0"/>
  </r>
  <r>
    <n v="19279"/>
    <s v="“A atividade consiste em remover por completo, o elemento &quot;sip-manipulation log127&quot;, desassociá-lo do realm nice e obviamente 2 reboots (um para cada SBC, um por vez).”"/>
    <x v="0"/>
    <d v="2016-01-29T13:47:58"/>
    <x v="0"/>
    <s v="Encerramento"/>
    <s v="REGINALDO ALVES DE SOUZA"/>
    <s v="REGINALDO ALVES DE SOUZA"/>
    <x v="33"/>
    <x v="1"/>
    <s v="Encerrada"/>
    <d v="2016-02-03T01:00:00"/>
    <d v="2016-02-03T04:00:00"/>
    <d v="2016-02-03T05:00:00"/>
    <x v="1"/>
    <x v="1"/>
    <s v="Os prejuízos ou dificuldades são impactantes"/>
    <s v="--"/>
    <m/>
    <s v="Não"/>
    <s v="Não"/>
    <s v="Plano de Retorno Conforme documento anexo a GMUD: Plano de rollback &quot;restore-backup-config 20150128_antes.gz&quot;. Testar chamadas."/>
    <s v="Não"/>
    <s v="Não"/>
    <x v="0"/>
    <s v="N/A"/>
    <x v="1"/>
  </r>
  <r>
    <n v="19281"/>
    <s v="Conservar os equipamentos confiáveis, disponíveis e aptos para assumir carga ,quando solicitados."/>
    <x v="0"/>
    <d v="2016-01-29T15:07:10"/>
    <x v="0"/>
    <s v="Encerramento"/>
    <s v="GÊNESIS HENRIQUE DA SILVA"/>
    <s v="GÊNESIS HENRIQUE DA SILVA"/>
    <x v="11"/>
    <x v="21"/>
    <s v="Encerrada"/>
    <d v="2016-02-20T22:00:00"/>
    <d v="2016-02-21T05:00:00"/>
    <d v="2016-02-21T07:00:00"/>
    <x v="0"/>
    <x v="0"/>
    <s v="Impacto"/>
    <s v="--"/>
    <s v="Geradores"/>
    <s v="Não"/>
    <s v="Não"/>
    <s v="Em caso de algum problema imprevisto,acionamos a energia da concessionária."/>
    <s v="Não"/>
    <s v="Não"/>
    <x v="0"/>
    <m/>
    <x v="7"/>
  </r>
  <r>
    <n v="19282"/>
    <s v="Atualização de Service Pack 3 em Servidores de Banco com SQL Server 2008"/>
    <x v="0"/>
    <d v="2016-01-29T15:13:46"/>
    <x v="0"/>
    <s v="Encerramento"/>
    <s v="ANDERSON MOURA DE CARVALHO"/>
    <s v="ROBERTO MAGALHÃES DE OLIVEIRA"/>
    <x v="23"/>
    <x v="0"/>
    <s v="Encerrada"/>
    <d v="2016-02-04T00:00:00"/>
    <d v="2016-02-04T06:00:00"/>
    <d v="2016-02-04T07:00:00"/>
    <x v="0"/>
    <x v="0"/>
    <s v="Pouco impacto"/>
    <s v="DBSCTX14NITSP; DBSCTX72RJORP; SENCTX01RJORP; STLCTX01RJORP"/>
    <s v="DBSCTX14NITSP; DBSCTX72RJORP; SENCTX01RJORP; STLCTX01RJORP"/>
    <s v="Sim"/>
    <s v="Não"/>
    <s v="Desinstalar Service Pack 3 do SQL Server."/>
    <s v="Não"/>
    <s v="Não"/>
    <x v="0"/>
    <m/>
    <x v="0"/>
  </r>
  <r>
    <n v="19283"/>
    <s v="Implantação de release de novas demandas do MiltiProduto."/>
    <x v="0"/>
    <d v="2016-01-29T15:50:19"/>
    <x v="0"/>
    <s v="Encerramento"/>
    <s v="DANILO RODRIGUES DE JESUS"/>
    <s v="VITOR SILVA DELFINO"/>
    <x v="7"/>
    <x v="1"/>
    <s v="Encerrada"/>
    <d v="2016-02-10T14:00:00"/>
    <d v="2016-02-11T06:00:00"/>
    <d v="2016-02-11T06:00:00"/>
    <x v="0"/>
    <x v="0"/>
    <s v="Pouco impacto"/>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Fazer o deploy da versão anterior da aplicação."/>
    <s v="Não"/>
    <s v="Não"/>
    <x v="0"/>
    <s v="OI-12375"/>
    <x v="5"/>
  </r>
  <r>
    <n v="19284"/>
    <s v="Conservar os equipamentos confiáveis, disponíveis e aptos para assumir carga ,quando solicitados."/>
    <x v="0"/>
    <d v="2016-01-29T15:56:01"/>
    <x v="0"/>
    <s v="Encerramento"/>
    <s v="GÊNESIS HENRIQUE DA SILVA"/>
    <s v="GÊNESIS HENRIQUE DA SILVA"/>
    <x v="11"/>
    <x v="21"/>
    <s v="Encerrada"/>
    <d v="2016-02-19T22:00:00"/>
    <d v="2016-02-20T05:00:00"/>
    <d v="2016-02-20T07:00:00"/>
    <x v="0"/>
    <x v="0"/>
    <s v="Impacto"/>
    <s v="--"/>
    <s v="Nobreaks"/>
    <s v="Não"/>
    <s v="Não"/>
    <s v="Será emitido um relatório OS da empresa contratada durante e após o serviço de manutenção."/>
    <s v="Não"/>
    <s v="Não"/>
    <x v="0"/>
    <m/>
    <x v="7"/>
  </r>
  <r>
    <n v="19292"/>
    <s v="Ativação circuito Embratel, MPLS Orbitall. DC Alegria"/>
    <x v="3"/>
    <d v="2016-02-01T10:54:44"/>
    <x v="1"/>
    <s v="Encerramento"/>
    <s v="JOSIMAR LOPES DE SANTANA"/>
    <s v="JOSIMAR LOPES DE SANTANA"/>
    <x v="10"/>
    <x v="5"/>
    <s v="Encerrada"/>
    <d v="2016-02-03T22:00:00"/>
    <d v="2016-02-03T23:59:00"/>
    <d v="2016-02-03T23:59:00"/>
    <x v="1"/>
    <x v="2"/>
    <s v="Muito impacto"/>
    <s v="N/A"/>
    <s v="N/A"/>
    <s v="Não"/>
    <s v="Não"/>
    <s v="Não há plano de retorno, pois trata-se de um novo circuito."/>
    <s v="Não"/>
    <s v="Não"/>
    <x v="2"/>
    <s v="N/A"/>
    <x v="19"/>
  </r>
  <r>
    <n v="19293"/>
    <s v="Preventiva trimestral com desligamento do UPS GE 30 KVA - Singelo - Paulista 407"/>
    <x v="15"/>
    <d v="2016-02-01T11:45:25"/>
    <x v="1"/>
    <s v="Encerramento"/>
    <s v="JACQUES DOUGLAS NASCIMENTO DOS SANTOS"/>
    <s v="JACQUES DOUGLAS NASCIMENTO DOS SANTOS"/>
    <x v="34"/>
    <x v="0"/>
    <s v="Encerrada"/>
    <d v="2016-02-19T21:00:00"/>
    <d v="2016-02-19T23:00:00"/>
    <d v="2016-02-22T08:00:00"/>
    <x v="0"/>
    <x v="0"/>
    <s v="Sem impacto"/>
    <s v="--"/>
    <s v="No Break GE 30 KVA"/>
    <s v="Não"/>
    <s v="Não"/>
    <s v="Se houver algum imprevisto, o serviço será cancelado imediatamente,retornando a carga critica para a rde concessionária."/>
    <s v="Não"/>
    <s v="Não"/>
    <x v="0"/>
    <s v="N/A"/>
    <x v="0"/>
  </r>
  <r>
    <n v="19297"/>
    <s v="Permitir a identificação do cliente e produto via URA - STI 84860"/>
    <x v="16"/>
    <d v="2016-02-01T16:29:42"/>
    <x v="1"/>
    <s v="Encerramento"/>
    <s v="DANILO RODRIGUES DE JESUS"/>
    <s v="MARCOS SANTOS DO SACRAMENTO"/>
    <x v="7"/>
    <x v="1"/>
    <s v="Encerrada"/>
    <d v="2016-02-02T22:00:00"/>
    <d v="2016-02-03T06:00:00"/>
    <d v="2016-02-03T06:00:00"/>
    <x v="1"/>
    <x v="1"/>
    <s v="Muito impacto"/>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
    <s v="Não"/>
    <s v="Não"/>
    <s v="Undeploy da versão da máquina Application Server em questão e Deploy da nova versão utilizando o Tomcat Manager."/>
    <s v="Não"/>
    <s v="Não"/>
    <x v="0"/>
    <s v="CTXSPOAS-5544"/>
    <x v="2"/>
  </r>
  <r>
    <n v="19300"/>
    <s v="Esta mudança se faz necessária para que possa ser aplicada as configurações de IPSLA no router RTELE03 para que possa funcionar ambos links (contingencia e principal) de comunicação com a sede do cliente Elektro."/>
    <x v="9"/>
    <d v="2016-02-01T19:05:43"/>
    <x v="1"/>
    <s v="Encerramento"/>
    <s v="ERIAN DO NASCIMENTO ESTRAEICH"/>
    <s v="ERIAN DO NASCIMENTO ESTRAEICH,LUCAS ALBERTO DE MORAES"/>
    <x v="17"/>
    <x v="0"/>
    <s v="Encerrada"/>
    <d v="2016-02-02T01:00:00"/>
    <d v="2016-02-02T03:00:00"/>
    <d v="2016-02-02T03:00:00"/>
    <x v="3"/>
    <x v="0"/>
    <s v="Sem impacto"/>
    <s v="RTELE03"/>
    <s v="--"/>
    <s v="Sim"/>
    <s v="Não"/>
    <s v="Retornar para imagem antiga. rtele03(config)# boot system switch all flash:/img_antiga.bin Aplicar configurações e reiniciar o router. rtele03# wr rtele03# reload Verificar se assumiu a versão correta: rtele03#sh ver"/>
    <s v="Não"/>
    <s v="Não"/>
    <x v="0"/>
    <m/>
    <x v="0"/>
  </r>
  <r>
    <n v="19301"/>
    <s v="Atualização da aplicação Televendas. A release 2016/02/01 terá como foco principal as seguintes mudanças abaixo: ? FUO-638 Derivação Multiprodutos televendas"/>
    <x v="17"/>
    <d v="2016-02-02T08:21:39"/>
    <x v="1"/>
    <s v="Encerramento"/>
    <s v="DANIEL SCHONWANDT MENDES FERREIRA"/>
    <s v="LUIZ HENRIQUE OLIVEIRA DA SILVA"/>
    <x v="7"/>
    <x v="1"/>
    <s v="Encerrada"/>
    <d v="2016-02-15T22:00:00"/>
    <d v="2016-02-16T12:00:00"/>
    <d v="2016-02-16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303"/>
    <s v="Atualização da aplicação o OiTV. A release 20160201 terá como foco principal as seguintes mudanças abaixo: ? FUO-724 - OiTv parametros Fibra"/>
    <x v="9"/>
    <d v="2016-02-02T09:12:13"/>
    <x v="1"/>
    <s v="Encerramento"/>
    <s v="DANIEL SCHONWANDT MENDES FERREIRA"/>
    <s v="LUIZ HENRIQUE OLIVEIRA DA SILVA"/>
    <x v="7"/>
    <x v="1"/>
    <s v="Encerrada"/>
    <d v="2016-02-01T22:00:00"/>
    <d v="2016-02-02T12:00:00"/>
    <d v="2016-02-02T18:00:00"/>
    <x v="3"/>
    <x v="1"/>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s v="CTXRJOMA-77817"/>
    <x v="1"/>
  </r>
  <r>
    <n v="19304"/>
    <s v="GARANTIR A DISPONIBILIDADE DE CLIMATIZAÇÃO E MELHORIA NA QUALIDADE DO AR"/>
    <x v="0"/>
    <d v="2016-02-02T10:33:19"/>
    <x v="1"/>
    <s v="Encerramento"/>
    <s v="MARCELO BOSELLI"/>
    <s v="MARCELO BOSELLI"/>
    <x v="5"/>
    <x v="29"/>
    <s v="Encerrada"/>
    <d v="2016-02-13T08:00:00"/>
    <d v="2016-02-13T18:00:00"/>
    <d v="2016-02-15T17:00:00"/>
    <x v="0"/>
    <x v="0"/>
    <s v="Os prejuízos ou dificuldades são impactantes"/>
    <s v="DIAMONT"/>
    <s v="DIAMONT"/>
    <s v="Não"/>
    <s v="Não"/>
    <s v="CASO OCORRA ALGUM PROBLEMA AS ATIVIDADES SERÃO SUSPENSAS IMEDIATAMENTE E O EQUIPAMENTO EM SUA CONDIÇÃO DE FUNCIONAMENTO"/>
    <s v="Não"/>
    <s v="Não"/>
    <x v="0"/>
    <m/>
    <x v="15"/>
  </r>
  <r>
    <n v="19305"/>
    <s v="Essa manutenção, tem como objetivo manter a confiabilidade elétrica do Site, como também a conservação e desempenho do equipamento."/>
    <x v="0"/>
    <d v="2016-02-02T11:50:54"/>
    <x v="1"/>
    <s v="Encerramento"/>
    <s v="GENALDO GOMES FERREIRA"/>
    <s v="GENALDO GOMES FERREIRA"/>
    <x v="14"/>
    <x v="10"/>
    <s v="Encerrada"/>
    <d v="2016-02-28T00:01:00"/>
    <d v="2016-02-28T05:00:00"/>
    <d v="2016-02-28T06:00:00"/>
    <x v="0"/>
    <x v="0"/>
    <s v="Sem impacto"/>
    <s v="--"/>
    <s v="Gerador"/>
    <s v="Não"/>
    <s v="Não"/>
    <s v="Havendo necessidade de acionamento dos equipamentos os mesmos serão ativados."/>
    <s v="Não"/>
    <s v="Não"/>
    <x v="0"/>
    <m/>
    <x v="9"/>
  </r>
  <r>
    <n v="19306"/>
    <s v="Preventiva Energ sem carga do gerador Heimer 305 KVA - Site Paulista 407."/>
    <x v="0"/>
    <d v="2016-02-02T11:54:54"/>
    <x v="1"/>
    <s v="Encerramento"/>
    <s v="LUIS FERNANDO COSTA NEVES"/>
    <s v="JACQUES DOUGLAS NASCIMENTO DOS SANTOS"/>
    <x v="34"/>
    <x v="0"/>
    <s v="Encerrada"/>
    <d v="2016-02-12T20:00:00"/>
    <d v="2016-02-13T04:00:00"/>
    <d v="2016-02-13T04:20: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0"/>
  </r>
  <r>
    <n v="19310"/>
    <s v="Implantação de melhorias e atualizações na URA *144 Pré Pago."/>
    <x v="18"/>
    <d v="2016-02-03T08:07:34"/>
    <x v="1"/>
    <s v="Encerramento"/>
    <s v="FELIPE NASCIMENTO DE MENEZES TAVARES"/>
    <s v="LUIZ HENRIQUE OLIVEIRA DA SILVA"/>
    <x v="7"/>
    <x v="1"/>
    <s v="Encerrada"/>
    <d v="2016-02-15T22:00:00"/>
    <d v="2016-02-16T03:00:00"/>
    <d v="2016-02-16T18:00:00"/>
    <x v="0"/>
    <x v="2"/>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2720 / OI-12721 / OI-12533"/>
    <x v="5"/>
  </r>
  <r>
    <n v="19311"/>
    <s v="Garantir a confiabilidade dos No Break´s."/>
    <x v="0"/>
    <d v="2016-02-03T10:24:28"/>
    <x v="1"/>
    <s v="Encerramento"/>
    <s v="GÊNESIS HENRIQUE DA SILVA"/>
    <s v="GÊNESIS HENRIQUE DA SILVA"/>
    <x v="11"/>
    <x v="31"/>
    <s v="Encerrada"/>
    <d v="2016-03-02T22:00:00"/>
    <d v="2016-03-03T06:00:00"/>
    <d v="2016-03-03T07:00:00"/>
    <x v="0"/>
    <x v="0"/>
    <s v="Impacto"/>
    <s v="--"/>
    <s v="Nobreaks"/>
    <s v="Não"/>
    <s v="Não"/>
    <s v="Em caso de algum problema e imprevisto,acionamos os GMG´s ou energia da concessionária."/>
    <s v="Não"/>
    <s v="Não"/>
    <x v="0"/>
    <m/>
    <x v="20"/>
  </r>
  <r>
    <n v="19312"/>
    <s v="Troca dos alimentadores das máquinas de ar condicionado CPD (3 Selfs) e da sala de No-Break 9° operação (1 Self) atualmente da concessionaria para o Gerador de 500kva alugado."/>
    <x v="0"/>
    <d v="2016-02-03T11:43:34"/>
    <x v="1"/>
    <s v="Encerramento"/>
    <s v="RODRIGO CABRAL GOMES"/>
    <s v="RODRIGO CABRAL GOMES"/>
    <x v="22"/>
    <x v="1"/>
    <s v="Encerrada"/>
    <d v="2016-02-19T23:00:00"/>
    <d v="2016-02-20T04:00:00"/>
    <d v="2016-02-20T05:00:00"/>
    <x v="0"/>
    <x v="0"/>
    <s v="Impacto"/>
    <s v="--"/>
    <s v="QTA"/>
    <s v="Sim"/>
    <s v="Não"/>
    <s v="Cominucação com o coordenador"/>
    <s v="Não"/>
    <s v="Não"/>
    <x v="2"/>
    <m/>
    <x v="5"/>
  </r>
  <r>
    <n v="19314"/>
    <s v="CARACTERISTICAS DOS SERVIÇOS 3.1.1 Adequação das Instalações Elétricas do Site Alameda Santos assinalados em não conformidade na ultima vistoria e emissão de novo laudo em conformidade. - Levantamento dos itens descritos em laudo de instalações elétricas, onde o Site Alameda Santos teve avaliação denominada 2- RUIM em uma escala de 1 a 5 onde 1 é PESSIMO e 5 é EXCELENTE. - Caso seja comprovada a necessidade das adequações, deve-se seguir as normas vigentes para a categoria NR10, NBR 5410, SEP, para adequações das instalações. Obs.: Considerar atividades no período noturno durante semana - segunda à sexta, das 23 às 05 h, executando o trabalho por cubículo individualmente e final de semana para desligamento da concessionária com aviso prévio de 15 dias e prazo estimado da duração das atividades durante o período de desligamento. Caso houver atrasos superiores a 1 hora do planejado para o desligamento de execução das atividades, o fornecedor deve assumir o risco em fornecer diesel para manter o GMG atuando durante o atraso. 3.1.2 Instalações - Unificação de Quadro Elétrico denominado QLT e QLD para único QGBT; - Adequação de Entrada de Energia – Chaves, isolamento, cabeamento, proteções físicas, mecânicas e elétricas; - Adequação dos Quadros Elétricos de Luz, Força, Ar Condicionado, Normal, Emergência, Estabilizado; 3.1.3 Adequação das proteções Todos os quadros devem ter proteções: - Disjuntor geral - DPS; - DR; - Barramento de terra; - Barramento de neutro; - Aterramento do quadro; - Acrílico; - Limitador de acesso – qualquer (cadeado, trava, chave) 3.1.5 Fluxo das Instalações: - Entrada de Energia; - Alimentação QGBT; - Distribuição nos andares para os QDF, QIL, QAC"/>
    <x v="0"/>
    <d v="2016-02-03T14:37:22"/>
    <x v="1"/>
    <s v="Encerramento"/>
    <s v="LUIS FERNANDO COSTA NEVES"/>
    <s v="LUIS FERNANDO COSTA NEVES"/>
    <x v="6"/>
    <x v="7"/>
    <s v="Encerrada"/>
    <d v="2016-02-22T20:00:00"/>
    <d v="2016-04-08T08:00:00"/>
    <d v="2016-04-08T08:10:00"/>
    <x v="0"/>
    <x v="0"/>
    <s v="Pouco impacto"/>
    <s v="--"/>
    <s v="--"/>
    <s v="Sim"/>
    <s v="Não"/>
    <s v="As adequações elétricas do 12°, 11° e 10° andar serão realizadas seguindo procedimentos e medidas de controle, caso aja qualquer anomalia na execução iremos paralisar e retornar o processo do inicio, sempre sinalizando os interessados da atividade.; As adequações elétricas do 15°, 14° e 13° andar serão realizadas seguindo procedimentos e medidas de controle, caso aja qualquer anomalia na execução iremos paralisar e retornar o processo do inicio, sempre sinalizando os interessados da atividade.; As adequações elétricas do 3°, 2° e 1° andar serão realizadas seguindo procedimentos e medidas de controle, caso aja qualquer anomalia na execução iremos paralisar e retornar o processo do inicio, sempre sinalizando os interessados da atividade.; As adequações elétricas do 6°, 5° e 4° andar serão realizadas seguindo procedimentos e medidas de controle, caso aja qualquer anomalia na execução iremos paralisar e retornar o processo do inicio, sempre sinalizando os interessados da atividade.; As adequações elétricas do 9°, 8° e 7° andar serão realizadas seguindo procedimentos e medidas de controle, caso aja qualquer anomalia na execução iremos paralisar e retornar o processo do inicio, sempre sinalizando os interessados da atividade.; As adequações elétricas do Térreo e 1° Subsolo serão realizadas seguindo procedimentos e medidas de controle, caso aja qualquer anomalia na execução iremos paralisar e retornar o processo do inicio, sempre sinalizando os interessados da atividade."/>
    <m/>
    <m/>
    <x v="1"/>
    <m/>
    <x v="0"/>
  </r>
  <r>
    <n v="19315"/>
    <s v="Falha de sincronimo entre CMS x DAC, as ações executadas através do &quot; CMS Supervisor&quot; não eram acatadas pelo DAC. Seguindo orinetação da Avaya foi efetuado o reboot do servidor."/>
    <x v="9"/>
    <d v="2016-02-03T14:39:01"/>
    <x v="1"/>
    <s v="Encerramento"/>
    <s v="LUIS GUSTAVO BARROS ACIOLI"/>
    <s v="LUIS GUSTAVO BARROS ACIOLI"/>
    <x v="25"/>
    <x v="21"/>
    <s v="Encerrada"/>
    <d v="2016-02-02T00:00:00"/>
    <d v="2016-02-02T10:00:00"/>
    <d v="2016-02-02T18:00:00"/>
    <x v="3"/>
    <x v="1"/>
    <s v="Sem impacto"/>
    <s v="--"/>
    <m/>
    <s v="Sim"/>
    <s v="Não"/>
    <s v="Trata-se do reboot da maquina, caso ocorra algum problema na aplicação será restaurado o backup para correção."/>
    <s v="Não"/>
    <s v="Não"/>
    <x v="0"/>
    <s v="CTXPOARB-101377"/>
    <x v="7"/>
  </r>
  <r>
    <n v="19316"/>
    <s v="Oi-12745_Incentivo SVA - Fase 2. Oi-12749_Acerto na navegação das chamadas oriundas do 3000. Oi-12469_Criação de Tabela de Incentivos (novas variáveis)."/>
    <x v="19"/>
    <d v="2016-02-03T15:03:43"/>
    <x v="1"/>
    <s v="Encerramento"/>
    <s v="PABLO BARBOSA CANARIO"/>
    <s v="ALBERTO DE ARAUJO RODRIGUES"/>
    <x v="5"/>
    <x v="1"/>
    <s v="Encerrada"/>
    <d v="2016-02-15T22:00:00"/>
    <d v="2016-02-16T11:00:00"/>
    <d v="2016-02-16T13:00:00"/>
    <x v="0"/>
    <x v="1"/>
    <s v="Muito impacto"/>
    <s v="APPCTX14RJONT; APPCTX15RJOED; APPCTX16RJOED; APPCTX18RJOED; APPCTX19RJOED; APPOIM03SPOAL; APPOIM04SPOAL; DBSOIM01SPOAL; NMSIOM01SPOAL"/>
    <s v="APPCTX14RJONT; APPCTX15RJOED; APPCTX16RJOED; APPCTX18RJOED; APPCTX19RJOED; APPOIM03SPOAL; APPOIM04SPOAL; APPOIM04SPOLP; APPOIM05SPOLP; DBSOIM01SPOAL; NMSIOM01SPOAL; NMSOIM04SPOLP"/>
    <s v="Não"/>
    <s v="Não"/>
    <s v="Retorna os arquivos de backup. Refazer os Testes Técnicos e Funcionais."/>
    <m/>
    <m/>
    <x v="1"/>
    <s v="Oi-12745 | Oi-12749 | Oi-12469"/>
    <x v="5"/>
  </r>
  <r>
    <n v="19317"/>
    <s v="Realizar a desmobilização do Storage Dell MD3000 do Site Lapa"/>
    <x v="20"/>
    <d v="2016-02-03T16:39:56"/>
    <x v="1"/>
    <s v="Encerramento"/>
    <s v="MATHEUS MASCÁRA DA SILVA"/>
    <s v="EDUARDO KANASAWA MOTTA"/>
    <x v="19"/>
    <x v="0"/>
    <s v="Encerrada"/>
    <d v="2016-02-11T11:00:00"/>
    <d v="2016-02-11T12:00:00"/>
    <d v="2016-02-11T12:30:00"/>
    <x v="0"/>
    <x v="0"/>
    <s v="Sem impacto"/>
    <s v="STGCTX01SPOLP"/>
    <s v="NICESTORAGECENTER"/>
    <s v="Não"/>
    <s v="Não"/>
    <s v="1. Entrar no servidor 10.51.0.172 via Remote Desktop (mstsc); 2. Depois clicar em Start-&gt;All Programs-&gt;Storage Manager 10 Client-&gt;Storage Manager 10 Client; 3. Duplo Clique no Storage Subsystem NICESTORAGECENTER; 4. Clicar na Aba, Configury e depois na opção Create Host-to-Logical Drive Mappings 5. Expandir a opção Host Group NICESTORAGEI e selecionar Host NICESTORAGE e Next 6. Selecionar os drives logicos que haviam sido retirados (NICESTORAGECENTER e NICESTORAGEEXPANSION) e clique em FINISH 7. Entrar no servidor 10.51.0.74 via Remote Desktop 8. Com o botão direito, clicar em My Computer e selecionar a opção Manager 9. Clicar com o botão direito na opção Disk Management e selecionar a opção Rescan Disks 10. Nos volumes que apareceram a direita, clicar com o botão direito e selacionar a opção Initialize Disk e selecione os discos que apareceram e clique em OK."/>
    <s v="Não"/>
    <s v="Não"/>
    <x v="0"/>
    <m/>
    <x v="0"/>
  </r>
  <r>
    <n v="19319"/>
    <s v="Realizar teste de contingencia do link da Embratel entre Edificio Hicham e sede do cliente Elektro."/>
    <x v="9"/>
    <d v="2016-02-03T17:42:45"/>
    <x v="1"/>
    <s v="Encerramento"/>
    <s v="ERIAN DO NASCIMENTO ESTRAEICH"/>
    <s v="ERIAN DO NASCIMENTO ESTRAEICH,LUCAS ALBERTO DE MORAES"/>
    <x v="17"/>
    <x v="0"/>
    <s v="Encerrada"/>
    <d v="2016-02-04T01:00:00"/>
    <d v="2016-02-04T02:00:00"/>
    <d v="2016-02-04T02:00:00"/>
    <x v="3"/>
    <x v="0"/>
    <s v="Sem impacto"/>
    <s v="rteh03"/>
    <s v="rteh03"/>
    <s v="Sim"/>
    <s v="Sim"/>
    <s v="Logar no router 10.130.96.36 e executar o scritp abaixo: conf t int Gi0/14 no shut end"/>
    <s v="Não"/>
    <s v="Não"/>
    <x v="2"/>
    <m/>
    <x v="0"/>
  </r>
  <r>
    <n v="19323"/>
    <s v="Execução das demandas da OI10331Unificada"/>
    <x v="0"/>
    <d v="2016-02-04T11:23:46"/>
    <x v="1"/>
    <s v="Encerramento"/>
    <s v="PAULO VINÍCIUS DOS SANTOS PEREIRA"/>
    <s v="MARCOS SANTOS DO SACRAMENTO"/>
    <x v="7"/>
    <x v="1"/>
    <s v="Encerrada"/>
    <d v="2016-02-16T13:00:00"/>
    <d v="2016-02-17T06:00:00"/>
    <d v="2016-02-17T08:00:00"/>
    <x v="0"/>
    <x v="0"/>
    <s v="Muito impacto"/>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Undeploy da versão da máquina Application Server em questão e Deploy da nova versão utilizando o Tomcat Manager."/>
    <s v="Não"/>
    <s v="Não"/>
    <x v="0"/>
    <s v="OI-6289, OI-12468, OI-6757, OI-12257, OI-12062"/>
    <x v="2"/>
  </r>
  <r>
    <n v="19324"/>
    <s v="O servidor CM1 (Avaya_S8730_1) apresentou problemas com a fonte, acionado a AVAYA para efetuar a troca do Servidor."/>
    <x v="0"/>
    <d v="2016-02-04T11:30:12"/>
    <x v="1"/>
    <s v="Encerramento"/>
    <s v="RAFAEL DIAS CORREA"/>
    <s v="REGINALDO ALVES DE SOUZA"/>
    <x v="25"/>
    <x v="21"/>
    <s v="Encerrada"/>
    <d v="2016-02-12T00:01:00"/>
    <d v="2016-02-12T05:00:00"/>
    <d v="2016-02-12T06:00:00"/>
    <x v="0"/>
    <x v="1"/>
    <s v="Muito impacto"/>
    <m/>
    <m/>
    <s v="Não"/>
    <s v="Não"/>
    <s v="Caso ocorra falha no novo servidor, será realizado o Interchange para o servidor atual, deixando o como ativo."/>
    <s v="Não"/>
    <s v="Não"/>
    <x v="0"/>
    <s v="CTXPOARB-101049"/>
    <x v="7"/>
  </r>
  <r>
    <n v="19325"/>
    <s v="Atender projeto da Oi de Controle de Chamadas / Migração logica dos SBC´s CPE, CTA e POA"/>
    <x v="21"/>
    <d v="2016-02-04T11:37:38"/>
    <x v="1"/>
    <s v="Encerramento"/>
    <s v="FABIANA CARLA DE SOUZA DIAS"/>
    <s v="LUIS GUSTAVO BARROS ACIOLI"/>
    <x v="26"/>
    <x v="1"/>
    <s v="Encerrada"/>
    <d v="2016-02-11T15:00:00"/>
    <d v="2016-02-16T18:00:00"/>
    <d v="2016-02-19T21:00:00"/>
    <x v="0"/>
    <x v="2"/>
    <s v="Sem impacto"/>
    <m/>
    <s v="--"/>
    <s v="Não"/>
    <s v="Não"/>
    <s v="Mudança Logica. Voltar o trafego das chamadas para o agent encontra-se em produção atualmente."/>
    <s v="Não"/>
    <s v="Sim"/>
    <x v="2"/>
    <m/>
    <x v="1"/>
  </r>
  <r>
    <n v="19328"/>
    <s v="Realização de limpeza no piso elevado da sala pólo."/>
    <x v="0"/>
    <d v="2016-02-04T14:27:19"/>
    <x v="1"/>
    <s v="Encerramento"/>
    <s v="LEANDRO AMARAL SILVA"/>
    <s v="MARCELO BOSELLI"/>
    <x v="10"/>
    <x v="24"/>
    <s v="Encerrada"/>
    <d v="2016-02-11T14:30:00"/>
    <d v="2016-02-11T16:30:00"/>
    <d v="2016-02-11T18:00:00"/>
    <x v="0"/>
    <x v="0"/>
    <s v="Sem impacto"/>
    <s v="--"/>
    <s v="--"/>
    <s v="Não"/>
    <s v="Não"/>
    <s v="Interromper a limpeza."/>
    <s v="Não"/>
    <s v="Não"/>
    <x v="0"/>
    <m/>
    <x v="0"/>
  </r>
  <r>
    <n v="19329"/>
    <s v="Execução das demandas da OI10331Unificada"/>
    <x v="0"/>
    <d v="2016-02-04T14:46:19"/>
    <x v="1"/>
    <s v="Encerramento"/>
    <s v="PAULO VINÍCIUS DOS SANTOS PEREIRA"/>
    <s v="MARCOS SANTOS DO SACRAMENTO"/>
    <x v="7"/>
    <x v="1"/>
    <s v="Encerrada"/>
    <d v="2016-02-23T13:00:00"/>
    <d v="2016-02-23T22:00:00"/>
    <d v="2016-02-24T06:00:00"/>
    <x v="0"/>
    <x v="0"/>
    <s v="Muito impacto"/>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Undeploy da versão da máquina Application Server em questão e Deploy da nova versão utilizando o Tomcat Manager."/>
    <m/>
    <m/>
    <x v="1"/>
    <s v="OI-11431, OI-11434, OI-10500, OI-10235"/>
    <x v="2"/>
  </r>
  <r>
    <n v="19332"/>
    <s v="Manutenção corretiva do GMG 440KVA."/>
    <x v="0"/>
    <d v="2016-02-04T15:37:58"/>
    <x v="1"/>
    <s v="Encerramento"/>
    <s v="PAULO ROBERTO RIBEIRO DE LIMA"/>
    <s v="PAULO ROBERTO RIBEIRO DE LIMA"/>
    <x v="1"/>
    <x v="22"/>
    <s v="Encerrada"/>
    <d v="2016-02-27T22:00:00"/>
    <d v="2016-02-28T05:00:00"/>
    <d v="2016-02-28T06:00:00"/>
    <x v="0"/>
    <x v="1"/>
    <s v="Impacto"/>
    <s v="--"/>
    <m/>
    <s v="Não"/>
    <s v="Não"/>
    <s v="Após testes funcionais o técnico retorna todo sistema em modo automático e Se houver algum imprevisto será cancelado o serviço imediatamente."/>
    <s v="Não"/>
    <s v="Não"/>
    <x v="0"/>
    <s v="Manutenção Corretiva"/>
    <x v="13"/>
  </r>
  <r>
    <n v="19333"/>
    <s v="Objetivo: Release URA USSD Descrição: OI-12697 Piloto MP opção - Interatividade OI-12704 Melhoria Fluxo Cadastro Cartão OI-12707 Alterações informações Roaming Internacional OI-12613 Alteração mensagem e valor Oi Recado - Pré Pago"/>
    <x v="1"/>
    <d v="2016-02-04T15:51:07"/>
    <x v="1"/>
    <s v="Encerramento"/>
    <s v="PRISCILA LUCIA PEREIRA DE ALBUQUERQUE GALARANI"/>
    <s v="DANIEL SCHONWANDT MENDES FERREIRA"/>
    <x v="1"/>
    <x v="1"/>
    <s v="Encerrada"/>
    <d v="2016-02-14T22:00:00"/>
    <d v="2016-02-15T03:00:00"/>
    <d v="2016-02-15T09:00:00"/>
    <x v="0"/>
    <x v="0"/>
    <s v="Pouco impacto"/>
    <s v="APPCTX27RJOMK; APPCTX28RJOMK"/>
    <s v="APPCTX27RJOMK; APPCTX28RJOMK"/>
    <s v="Não"/>
    <s v="Não"/>
    <s v="Realizar o UNDEPLOY da versão nova através do JBoss Refazer os Testes Técnicos e Funcionais."/>
    <s v="Não"/>
    <s v="Não"/>
    <x v="0"/>
    <m/>
    <x v="1"/>
  </r>
  <r>
    <n v="19334"/>
    <s v="Execução de um script para correção de duplicidade na base FPW para realizar a virada de referência."/>
    <x v="9"/>
    <d v="2016-02-04T16:19:43"/>
    <x v="1"/>
    <s v="Encerramento"/>
    <s v="FELIPE DE OLIVEIRA MOREIRA"/>
    <s v="ANDERSON MOURA DE CARVALHO,FELIPE DE OLIVEIRA MOREIRA"/>
    <x v="5"/>
    <x v="0"/>
    <s v="Encerrada"/>
    <d v="2016-02-02T09:00:00"/>
    <d v="2016-02-03T23:00:00"/>
    <d v="2016-02-04T06:00:00"/>
    <x v="3"/>
    <x v="1"/>
    <s v="Sem impacto"/>
    <s v="DBSCTX127SPODB"/>
    <s v="DBSCTX127SPODB"/>
    <s v="Não"/>
    <s v="Não"/>
    <s v="Não se aplica, pois como a informação a ser atualizada está inconsistente, não haverá necessidade de estornar o valor original após realizar a atualização."/>
    <s v="Não"/>
    <s v="Não"/>
    <x v="0"/>
    <s v="Não se aplica"/>
    <x v="0"/>
  </r>
  <r>
    <n v="19335"/>
    <s v="Upgrade do link MPLS da VIVO no DC Alegria / Instalação de GBIC para subir o circuito."/>
    <x v="14"/>
    <d v="2016-02-05T10:48:14"/>
    <x v="1"/>
    <s v="Encerramento"/>
    <s v="THIAGO SILVA FERREIRA"/>
    <s v="THIAGO SILVA FERREIRA"/>
    <x v="10"/>
    <x v="7"/>
    <s v="Encerrada"/>
    <d v="2016-02-11T22:00:00"/>
    <d v="2016-02-12T01:00:00"/>
    <d v="2016-02-12T02:00:00"/>
    <x v="0"/>
    <x v="2"/>
    <s v="Pouco impacto"/>
    <s v="--"/>
    <s v="Desig: 32080077"/>
    <s v="Não"/>
    <s v="Não"/>
    <s v="Desativação do link MPLS de 5GB e desconexão de cabeamento."/>
    <s v="Não"/>
    <s v="Não"/>
    <x v="2"/>
    <m/>
    <x v="0"/>
  </r>
  <r>
    <n v="19336"/>
    <s v="Manutenção preventiva no Grupo de moto geradores do site Antartica"/>
    <x v="22"/>
    <d v="2016-02-05T11:41:38"/>
    <x v="1"/>
    <s v="Encerramento"/>
    <s v="MARCIO LUIS DE GODOI JUNIOR"/>
    <s v="MARCIO LUIS DE GODOI JUNIOR"/>
    <x v="24"/>
    <x v="33"/>
    <s v="Encerrada"/>
    <d v="2016-02-19T22:00:00"/>
    <d v="2016-02-20T06:00:00"/>
    <d v="2016-02-24T12:04:00"/>
    <x v="0"/>
    <x v="0"/>
    <s v="Sem impacto"/>
    <s v="GMG SITE ANTARTICA"/>
    <s v="GMG SITE ANTARTICA"/>
    <s v="Não"/>
    <s v="Não"/>
    <s v="Toda atividade será realizada seguindo procedimentos e medidas de controle caso aja qualquer anomalia na execução iremos paralisar e retornar o processo do inicio, sempre sinalizando os interessados da atividade"/>
    <s v="Não"/>
    <s v="Não"/>
    <x v="0"/>
    <n v="168499"/>
    <x v="21"/>
  </r>
  <r>
    <n v="19339"/>
    <s v="MANUTENÇÃO PREVENTIVA DOS NO BREAK`S DO CPD. Site Mackenzie."/>
    <x v="23"/>
    <d v="2016-02-05T13:26:17"/>
    <x v="1"/>
    <s v="Encerramento"/>
    <s v="PAULO ROBERTO RIBEIRO DE LIMA"/>
    <s v="PAULO ROBERTO RIBEIRO DE LIMA"/>
    <x v="1"/>
    <x v="22"/>
    <s v="Encerrada"/>
    <d v="2016-02-26T22:00:00"/>
    <d v="2016-02-27T06:00:00"/>
    <d v="2016-02-27T08:00:00"/>
    <x v="0"/>
    <x v="0"/>
    <s v="Impacto"/>
    <s v="--"/>
    <s v="Nobreak 40KVA"/>
    <s v="Sim"/>
    <s v="Não"/>
    <s v="As atividades de testes de tensão dos Nobreak`s que será executado por Técnicos especializados. Na execução de atividade caso ocorra qualquer problema cancelaremos a GMUD imediatamente."/>
    <s v="Não"/>
    <s v="Não"/>
    <x v="0"/>
    <s v="Não se aplica por ser atividade de manutenção preventiva"/>
    <x v="13"/>
  </r>
  <r>
    <n v="19341"/>
    <s v="Realização de manutenção preventiva das UPS Socomec, centrada na confiabilidade."/>
    <x v="24"/>
    <d v="2016-02-05T14:53:35"/>
    <x v="1"/>
    <s v="Encerramento"/>
    <s v="REGINALDO MIRANDA BISPO"/>
    <s v="REGINALDO MIRANDA BISPO"/>
    <x v="21"/>
    <x v="34"/>
    <s v="Encerrada"/>
    <d v="2016-02-20T23:00:00"/>
    <d v="2016-02-21T05:00:00"/>
    <d v="2016-02-21T06:00:00"/>
    <x v="0"/>
    <x v="0"/>
    <s v="Sem impacto"/>
    <s v="No-breaks"/>
    <s v="No-breaks"/>
    <s v="Não"/>
    <s v="Não"/>
    <s v="Em eventual falha reportaremos para a área de missão critica, coordenador do site e gerência de cidade, após ser aprovado o procedimento restabeleceremos a alimentação a carga critica do sistema."/>
    <s v="Não"/>
    <s v="Não"/>
    <x v="0"/>
    <s v="NA"/>
    <x v="1"/>
  </r>
  <r>
    <n v="19344"/>
    <s v="Aplicar os Procedimentos abaixo no sistema Protheus: CTXSPOAP407-14992 - Criar Tabela Saída de NF - Filial 0221."/>
    <x v="3"/>
    <d v="2016-02-05T15:44:54"/>
    <x v="1"/>
    <s v="Encerramento"/>
    <s v="MIGUEL ANGELO DO PATROCINIO"/>
    <s v="MIGUEL ANGELO DO PATROCINIO"/>
    <x v="5"/>
    <x v="0"/>
    <s v="Encerrada"/>
    <d v="2016-02-11T20:00:00"/>
    <d v="2016-02-11T23:59:00"/>
    <d v="2016-02-12T10:00:00"/>
    <x v="0"/>
    <x v="0"/>
    <s v="Pouc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CTXSPOAP407-14992"/>
    <x v="0"/>
  </r>
  <r>
    <n v="19346"/>
    <s v="Realizar configurações de correção do roteamento OSPF das redes da elektro para utilizar todos os links disponíveis, Embratel, Vivo e Algar."/>
    <x v="9"/>
    <d v="2016-02-05T16:51:37"/>
    <x v="1"/>
    <s v="Encerramento"/>
    <s v="ERIAN DO NASCIMENTO ESTRAEICH"/>
    <s v="ERIAN DO NASCIMENTO ESTRAEICH,LUCAS ALBERTO DE MORAES"/>
    <x v="28"/>
    <x v="0"/>
    <s v="Encerrada"/>
    <d v="2016-02-11T01:00:00"/>
    <d v="2016-02-11T04:30:00"/>
    <d v="2016-02-11T04:30:00"/>
    <x v="3"/>
    <x v="1"/>
    <s v="Sem impacto"/>
    <s v="rteh03; rteh04"/>
    <s v="rteh03; rteh04"/>
    <s v="Não"/>
    <s v="Não"/>
    <s v="#Ajustar conforme rteh04 # OSPF 190 - a prefix-list do route-map redistribute-ospf_dedic_to-ospf_elektro não está configurada Remover: ip prefix-list redes-enviadas-para-area-10 seq 5 permit 10.116.124.0/22 le 32 ip prefix-list redes-enviadas-para-area-10 seq 10 permit 10.130.0.0/17 le 32 ip prefix-list redes-enviadas-para-area-10 seq 15 permit 172.22.0.0/20 le 32 ip prefix-list redes-enviadas-para-area-10 seq 20 permit 172.25.0.0/19 le 32 ip prefix-list redes-enviadas-para-area-10 seq 25 permit 172.26.0.0/20 le 32 ip prefix-list redes-enviadas-para-area-10 seq 30 permit 172.28.0.0/20 le 32 ip prefix-list redes-enviadas-para-area-10 seq 35 permit 192.168.0.0/16 le 32 ip prefix-list redes-enviadas-para-area-10 seq 40 permit 172.23.0.0/19 le 32"/>
    <s v="Não"/>
    <s v="Não"/>
    <x v="0"/>
    <m/>
    <x v="0"/>
  </r>
  <r>
    <n v="19348"/>
    <s v="Garantir a total disponibilidade e confiabilidade do sistema de contingência de energia estabilizada do Site. Executar manutenção Preventiva Trimestral sem desligamento em 02(dois) no-breaks Eaton e 02(dois) no-breaks APC - que atendem as operações e CPD do Site Fortaleza CE"/>
    <x v="0"/>
    <d v="2016-02-05T17:04:27"/>
    <x v="1"/>
    <s v="Encerramento"/>
    <s v="SÁVIO MEIRELES CASTRO"/>
    <s v="SÁVIO MEIRELES CASTRO"/>
    <x v="3"/>
    <x v="2"/>
    <s v="Encerrada"/>
    <d v="2016-02-20T20:00:00"/>
    <d v="2016-02-21T06:00:00"/>
    <d v="2016-02-21T06:00:00"/>
    <x v="0"/>
    <x v="0"/>
    <s v="Sem impacto"/>
    <s v="--"/>
    <s v="--"/>
    <s v="Não"/>
    <s v="Não"/>
    <s v="Realizado testes técnicos, funcionais e leitura de parâmetros. Liberado equipamento para funcionamento normal."/>
    <s v="Não"/>
    <s v="Não"/>
    <x v="0"/>
    <m/>
    <x v="11"/>
  </r>
  <r>
    <n v="19349"/>
    <s v="Garantir a total disponibilidade e confiabilidade do sistema de contingência de energia estabilizada do Site. 1. Executar manutenção Preventiva Trimestral sem desligamento em 03(dois) no-breaks Eaton que atendem as operações e CPD do Site Nascente CE"/>
    <x v="0"/>
    <d v="2016-02-05T17:20:18"/>
    <x v="1"/>
    <s v="Encerramento"/>
    <s v="SÁVIO MEIRELES CASTRO"/>
    <s v="SÁVIO MEIRELES CASTRO"/>
    <x v="4"/>
    <x v="3"/>
    <s v="Encerrada"/>
    <d v="2016-02-20T20:00:00"/>
    <d v="2016-02-21T06:00:00"/>
    <d v="2016-02-21T06:00:00"/>
    <x v="0"/>
    <x v="0"/>
    <s v="Sem impacto"/>
    <s v="--"/>
    <s v="--"/>
    <s v="Não"/>
    <s v="Não"/>
    <s v="Realizado testes técnicos, funcionais e leitura de parâmetros. Liberado equipamento para funcionamento normal."/>
    <s v="Não"/>
    <s v="Não"/>
    <x v="0"/>
    <m/>
    <x v="4"/>
  </r>
  <r>
    <n v="19350"/>
    <s v="Execução de testes de Fail-Over dos links MPLS do Site Navegantes."/>
    <x v="14"/>
    <d v="2016-02-05T18:18:31"/>
    <x v="1"/>
    <s v="Encerramento"/>
    <s v="THIAGO SILVA FERREIRA"/>
    <s v="THIAGO SILVA FERREIRA"/>
    <x v="25"/>
    <x v="24"/>
    <s v="Encerrada"/>
    <d v="2016-02-11T23:30:00"/>
    <d v="2016-02-12T02:00:00"/>
    <d v="2016-02-12T02:30:00"/>
    <x v="0"/>
    <x v="2"/>
    <s v="Sem impacto"/>
    <s v="--"/>
    <s v="VIVO 00885088 / Algar 0030720"/>
    <s v="Sim"/>
    <s v="Não"/>
    <s v="Re-ativar em produção os 2 links MPLS do site"/>
    <s v="Não"/>
    <s v="Não"/>
    <x v="0"/>
    <m/>
    <x v="0"/>
  </r>
  <r>
    <n v="19351"/>
    <s v="Atualização de Service Pack 3 em Servidores de Banco com SQL Server 2008"/>
    <x v="0"/>
    <d v="2016-02-05T20:42:31"/>
    <x v="1"/>
    <s v="Encerramento"/>
    <s v="ANDERSON MOURA DE CARVALHO"/>
    <s v="ROBERTO MAGALHÃES DE OLIVEIRA"/>
    <x v="19"/>
    <x v="0"/>
    <s v="Encerrada"/>
    <d v="2016-02-11T00:00:00"/>
    <d v="2016-02-11T06:00:00"/>
    <d v="2016-02-11T07:00:00"/>
    <x v="0"/>
    <x v="0"/>
    <s v="Pouco impacto"/>
    <s v="APPCTX175RJOMK; SENCTX01SPOLP; UNFCTX01RJORP"/>
    <s v="APPCTX175RJOMK; SENCTX01SPOLP; UNFCTX01RJORP"/>
    <s v="Sim"/>
    <s v="Não"/>
    <s v="Desinstalar Service Pack 3 do SQL Server."/>
    <s v="Não"/>
    <s v="Não"/>
    <x v="0"/>
    <m/>
    <x v="0"/>
  </r>
  <r>
    <n v="19352"/>
    <s v="Manutenção preventiva no gerador"/>
    <x v="0"/>
    <d v="2016-02-08T10:53:55"/>
    <x v="1"/>
    <s v="Encerramento"/>
    <s v="LEVI CARDOSO"/>
    <s v="LEVI CARDOSO"/>
    <x v="9"/>
    <x v="19"/>
    <s v="Encerrada"/>
    <d v="2016-02-26T22:00:00"/>
    <d v="2016-02-26T23:00:00"/>
    <d v="2016-02-27T05:00:00"/>
    <x v="0"/>
    <x v="0"/>
    <s v="Impacto"/>
    <s v="--"/>
    <s v="Gerador"/>
    <s v="Não"/>
    <s v="Não"/>
    <s v="Caso no planejamento inicial do trabalho seja detectado alguma dificuldade o trabalho será cancelado antes do inicio do mesmo"/>
    <m/>
    <m/>
    <x v="1"/>
    <m/>
    <x v="12"/>
  </r>
  <r>
    <n v="19353"/>
    <s v="Manutenção preventiva dos NoBreaks"/>
    <x v="0"/>
    <d v="2016-02-08T13:26:58"/>
    <x v="1"/>
    <s v="Encerramento"/>
    <s v="LEVI CARDOSO"/>
    <s v="LEVI CARDOSO"/>
    <x v="9"/>
    <x v="35"/>
    <s v="Encerrada"/>
    <d v="2016-02-26T23:00:00"/>
    <d v="2016-02-27T03:00:00"/>
    <d v="2016-02-27T03:30:00"/>
    <x v="0"/>
    <x v="0"/>
    <s v="Pouco impacto"/>
    <s v="--"/>
    <s v="No-Breaks 80 e 160 KVA"/>
    <s v="Não"/>
    <s v="Não"/>
    <s v="Em caso de algum problema será cancelado a manutenção preventiva."/>
    <s v="Não"/>
    <s v="Não"/>
    <x v="0"/>
    <m/>
    <x v="12"/>
  </r>
  <r>
    <n v="19355"/>
    <s v="Implementar o response da M4U, na aplicação do RACO, para adequar o nosso código com os atributos solicitados pela mesma. Com isso os registros de clientes que cancelam devem ser voltar a ser gravados no DW. Após implantar a correção nos encaminhar evidência que a aplicação voltou a gravar os cancelamentos no DW."/>
    <x v="0"/>
    <d v="2016-02-08T13:45:28"/>
    <x v="1"/>
    <s v="Encerramento"/>
    <s v="JORGE FRANCISCO OLIVEIRA PATACO"/>
    <s v="LUIZ HENRIQUE OLIVEIRA DA SILVA"/>
    <x v="7"/>
    <x v="1"/>
    <s v="Encerrada"/>
    <d v="2016-02-15T22:00:00"/>
    <d v="2016-02-16T12:00:00"/>
    <d v="2016-02-16T18:00:00"/>
    <x v="0"/>
    <x v="0"/>
    <s v="Impacto"/>
    <s v="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2855"/>
    <x v="2"/>
  </r>
  <r>
    <n v="19356"/>
    <s v="Manutenção preventiva dos grupos geradores com transferência de carga."/>
    <x v="25"/>
    <d v="2016-02-08T17:42:24"/>
    <x v="1"/>
    <s v="Encerramento"/>
    <s v="REGINALDO MIRANDA BISPO"/>
    <s v="REGINALDO MIRANDA BISPO"/>
    <x v="21"/>
    <x v="34"/>
    <s v="Encerrada"/>
    <d v="2016-02-26T23:00:00"/>
    <d v="2016-02-27T05:00:00"/>
    <d v="2016-02-27T06:00:00"/>
    <x v="0"/>
    <x v="0"/>
    <s v="Sem impacto"/>
    <s v="GMG"/>
    <s v="GMG"/>
    <s v="Não"/>
    <s v="Não"/>
    <s v="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s v="Não"/>
    <s v="Não"/>
    <x v="0"/>
    <s v="NA"/>
    <x v="1"/>
  </r>
  <r>
    <n v="19357"/>
    <s v="No-break de 80kva, 80kva e 50Kva Operações do 2º pavimento."/>
    <x v="0"/>
    <d v="2016-02-10T11:35:39"/>
    <x v="1"/>
    <s v="Encerramento"/>
    <s v="PAULO ROBERTO RIBEIRO DE LIMA"/>
    <s v="PAULO ROBERTO RIBEIRO DE LIMA"/>
    <x v="1"/>
    <x v="22"/>
    <s v="Encerrada"/>
    <d v="2016-03-04T22:00:00"/>
    <d v="2016-03-05T05:00:00"/>
    <d v="2016-03-05T06:00:00"/>
    <x v="0"/>
    <x v="0"/>
    <s v="Pouco impacto"/>
    <s v="--"/>
    <s v="Nobreak´s de 80KVA, 80KVA e 50KVA."/>
    <s v="Não"/>
    <s v="Não"/>
    <s v="As atividades de testes de tensão dos Nobreak`s que será executado por Técnicos especializados. Na execução de atividade caso ocorra qualquer problema cancelaremos a GMUD imediatamente."/>
    <s v="Não"/>
    <s v="Não"/>
    <x v="0"/>
    <s v="manutenção preventiva"/>
    <x v="13"/>
  </r>
  <r>
    <n v="19359"/>
    <s v="Garantir a confiabilidade do sistema de geração de energia emergencial do Site Prado."/>
    <x v="0"/>
    <d v="2016-02-10T12:09:53"/>
    <x v="1"/>
    <s v="Encerramento"/>
    <s v="CRISTIANO COTA DIAS"/>
    <s v="CRISTIANO COTA DIAS"/>
    <x v="13"/>
    <x v="1"/>
    <s v="Encerrada"/>
    <d v="2016-02-26T21:00:00"/>
    <d v="2016-02-27T04:00:00"/>
    <d v="2016-02-27T05:00:00"/>
    <x v="0"/>
    <x v="0"/>
    <s v="Pouco impacto"/>
    <s v="--"/>
    <s v="Geradores"/>
    <s v="Sim"/>
    <s v="Não"/>
    <s v="Caso ocorra algum incidente os técnicos manterão contato com os gestores afim de definir o caminho ótimo para a solução do incidente."/>
    <s v="Não"/>
    <s v="Não"/>
    <x v="0"/>
    <m/>
    <x v="2"/>
  </r>
  <r>
    <n v="19360"/>
    <s v="Atualização da aplicação o OiTV. A release 20160211 terá como foco principal as seguintes mudanças abaixo: ? FUO-727 – Criação de parâmetros para ativação da Consulta Master OiTV"/>
    <x v="0"/>
    <d v="2016-02-10T13:07:15"/>
    <x v="1"/>
    <s v="Encerramento"/>
    <s v="DANIEL SCHONWANDT MENDES FERREIRA"/>
    <s v="LUIZ HENRIQUE OLIVEIRA DA SILVA"/>
    <x v="7"/>
    <x v="1"/>
    <s v="Encerrada"/>
    <d v="2016-02-11T22:00:00"/>
    <d v="2016-02-12T12:00:00"/>
    <d v="2016-02-12T18:00:00"/>
    <x v="1"/>
    <x v="1"/>
    <s v="Os prejuízos ou dificuldades são impactantes"/>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s v="N/A"/>
    <x v="1"/>
  </r>
  <r>
    <n v="19362"/>
    <s v="Garantir a confiabilidade do sistema de geração de energia emergencial."/>
    <x v="0"/>
    <d v="2016-02-10T14:25:43"/>
    <x v="1"/>
    <s v="Encerramento"/>
    <s v="CRISTIANO COTA DIAS"/>
    <s v="CRISTIANO COTA DIAS"/>
    <x v="2"/>
    <x v="1"/>
    <s v="Encerrada"/>
    <d v="2016-02-26T21:00:00"/>
    <d v="2016-02-27T04:00:00"/>
    <d v="2016-02-27T05:00:00"/>
    <x v="0"/>
    <x v="0"/>
    <s v="Pouco impacto"/>
    <s v="--"/>
    <s v="Geradores"/>
    <s v="Sim"/>
    <s v="Não"/>
    <s v="Caso ocorra algum incidente os técnicos manterão contato com os gestores afim de definir o caminho ótimo para a solução do incidente."/>
    <s v="Não"/>
    <s v="Não"/>
    <x v="0"/>
    <m/>
    <x v="2"/>
  </r>
  <r>
    <n v="19364"/>
    <s v="Manter a confiabilidade do sistema"/>
    <x v="0"/>
    <d v="2016-02-10T16:57:58"/>
    <x v="1"/>
    <s v="Encerramento"/>
    <s v="VANDERLEI CASTRO SOUZA LIMA"/>
    <s v="VANDERLEI CASTRO SOUZA LIMA"/>
    <x v="30"/>
    <x v="15"/>
    <s v="Encerrada"/>
    <d v="2016-02-19T22:00:00"/>
    <d v="2016-02-20T00:30:00"/>
    <d v="2016-02-20T01:00:00"/>
    <x v="0"/>
    <x v="0"/>
    <s v="Sem impacto"/>
    <s v="--"/>
    <s v="No Break"/>
    <s v="Não"/>
    <s v="Não"/>
    <s v="Não haverá plano de retorno, pois nenhum sistema será desligado. OBS: Após a execução dos serviços acima relacionados, será emitido laudo atestando a funcionalidade dos no-breaks."/>
    <s v="Não"/>
    <s v="Não"/>
    <x v="0"/>
    <m/>
    <x v="10"/>
  </r>
  <r>
    <n v="19366"/>
    <s v="Ativação circuito Embratel, MPLS Orbitall. DC Alegria"/>
    <x v="3"/>
    <d v="2016-02-11T10:55:45"/>
    <x v="1"/>
    <s v="Encerramento"/>
    <s v="JOSIMAR LOPES DE SANTANA"/>
    <s v="JOSIMAR LOPES DE SANTANA"/>
    <x v="10"/>
    <x v="5"/>
    <s v="Encerrada"/>
    <d v="2016-02-17T14:00:00"/>
    <d v="2016-02-17T18:00:00"/>
    <d v="2016-02-17T18:00:00"/>
    <x v="0"/>
    <x v="2"/>
    <s v="Sem impacto"/>
    <s v="N/A"/>
    <s v="N/A"/>
    <s v="Não"/>
    <s v="Não"/>
    <s v="Não há plano de retorno, pois trata-se de um novo circuito."/>
    <s v="Não"/>
    <s v="Não"/>
    <x v="0"/>
    <s v="N/A"/>
    <x v="19"/>
  </r>
  <r>
    <n v="19368"/>
    <s v="Manter a confiabilidade do sistema."/>
    <x v="0"/>
    <d v="2016-02-11T11:17:33"/>
    <x v="1"/>
    <s v="Encerramento"/>
    <s v="MARCELO BOSELLI"/>
    <s v="MARCELO BOSELLI"/>
    <x v="5"/>
    <x v="29"/>
    <s v="Encerrada"/>
    <d v="2016-02-27T08:00:00"/>
    <d v="2016-02-27T18:00:00"/>
    <d v="2016-02-29T12:00:00"/>
    <x v="0"/>
    <x v="0"/>
    <s v="Os prejuízos ou dificuldades são impactantes"/>
    <s v="GERADOR"/>
    <s v="GERADOR"/>
    <s v="Não"/>
    <s v="Não"/>
    <s v="Para retorno do equipamento a sua condição normal, após todos os testes, analise visual e limpeza, estaremos transferindo a carga para concessionária passando os geradores de manual para automático e estará apto para reconhecer uma falta de energia e atuar plenamente."/>
    <s v="Não"/>
    <s v="Não"/>
    <x v="0"/>
    <m/>
    <x v="15"/>
  </r>
  <r>
    <n v="19370"/>
    <s v="Realizar a manutenção preventiva trimestral dos NB's de Operações e do CPD"/>
    <x v="0"/>
    <d v="2016-02-11T13:44:47"/>
    <x v="1"/>
    <s v="Encerramento"/>
    <s v="ALEXANDRE PIRES DE JESUS"/>
    <s v="ALEXANDRE PIRES DE JESUS"/>
    <x v="25"/>
    <x v="21"/>
    <s v="Encerrada"/>
    <d v="2016-02-25T22:00:00"/>
    <d v="2016-02-28T05:00:00"/>
    <d v="2016-02-28T06:00:00"/>
    <x v="0"/>
    <x v="0"/>
    <s v="Sem impacto"/>
    <s v="No break's"/>
    <s v="No break's"/>
    <s v="Não"/>
    <s v="Não"/>
    <s v="CASO OCORRA ALGUM PROBLEMA DURANTE A MANUTENÇÃO AS ATIVIDADES SERÃO SUSPENSAS IMEDIATAMENTE"/>
    <s v="Não"/>
    <s v="Não"/>
    <x v="0"/>
    <m/>
    <x v="7"/>
  </r>
  <r>
    <n v="19371"/>
    <s v="Manutenção preventiva de gerador Leon Heimer"/>
    <x v="0"/>
    <d v="2016-02-11T14:00:10"/>
    <x v="1"/>
    <s v="Encerramento"/>
    <s v="CASSIO REIS LIMA"/>
    <s v="CASSIO REIS LIMA"/>
    <x v="20"/>
    <x v="36"/>
    <s v="Encerrada"/>
    <d v="2016-02-28T22:00:00"/>
    <d v="2016-02-29T00:00:00"/>
    <d v="2016-02-29T03:00:00"/>
    <x v="0"/>
    <x v="0"/>
    <s v="Sem impacto"/>
    <s v="--"/>
    <s v="--"/>
    <s v="Não"/>
    <s v="Não"/>
    <s v="Em eventual falha reportaremos para a área de missão critica, coordenador do site e gerência de cidade, após ser aprovado o procedimento restabeleceremos o sistema."/>
    <s v="Não"/>
    <s v="Não"/>
    <x v="0"/>
    <m/>
    <x v="17"/>
  </r>
  <r>
    <n v="19372"/>
    <s v="Manutenção Preventiva sem carga Gerador Smatec 310 KVA"/>
    <x v="0"/>
    <d v="2016-02-11T14:25:24"/>
    <x v="1"/>
    <s v="Encerramento"/>
    <s v="CASSIO REIS LIMA"/>
    <s v="CASSIO REIS LIMA"/>
    <x v="20"/>
    <x v="36"/>
    <s v="Encerrada"/>
    <d v="2016-02-29T00:01:00"/>
    <d v="2016-02-29T05:00:00"/>
    <d v="2016-11-29T06:00:00"/>
    <x v="0"/>
    <x v="0"/>
    <s v="Sem impacto"/>
    <s v="--"/>
    <s v="--"/>
    <s v="Não"/>
    <s v="Não"/>
    <s v="Em eventual falha reportaremos para a área de missão critica, coordenador do site e gerência de cidade, após ser aprovado o procedimento restabeleceremos o sistema."/>
    <s v="Não"/>
    <s v="Não"/>
    <x v="0"/>
    <m/>
    <x v="17"/>
  </r>
  <r>
    <n v="19373"/>
    <s v="Implantação da Release 20160216 OiTV"/>
    <x v="0"/>
    <d v="2016-02-11T14:39:50"/>
    <x v="1"/>
    <s v="Encerramento"/>
    <s v="LUIZ EDUARDO RAMOS FERREIRA"/>
    <s v="LUIZ HENRIQUE OLIVEIRA DA SILVA"/>
    <x v="7"/>
    <x v="1"/>
    <s v="Encerrada"/>
    <d v="2016-02-16T22:00:00"/>
    <d v="2016-02-17T12:00:00"/>
    <d v="2016-02-17T18:00:00"/>
    <x v="0"/>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m/>
    <m/>
    <x v="1"/>
    <m/>
    <x v="5"/>
  </r>
  <r>
    <n v="19375"/>
    <s v="Alteração da Tabela na aplicação Móvel Pré"/>
    <x v="26"/>
    <d v="2016-02-11T15:15:11"/>
    <x v="1"/>
    <s v="Encerramento"/>
    <s v="WILSON SHIGERU MIYAZAKI"/>
    <s v="WILSON SHIGERU MIYAZAKI"/>
    <x v="7"/>
    <x v="1"/>
    <s v="Encerrada"/>
    <d v="2016-02-15T08:00:00"/>
    <d v="2016-02-15T12:00:00"/>
    <d v="2016-02-15T15:21:00"/>
    <x v="1"/>
    <x v="2"/>
    <s v="Os prejuízos ou dificuldades são impactantes"/>
    <s v="dbsctx08spoda"/>
    <s v="dbsctx08spoda"/>
    <s v="Não"/>
    <s v="Não"/>
    <s v="Apontamento para a versão do backup da tabela de roteamento da operação Pré Apontamento da configuração no ICR para a URA_CANAL 05 utilizar as tabelas do backup DE MOVELPRE_NOVOMODELO PARA MOVELPRE_NOVOMODELO_V3"/>
    <s v="Não"/>
    <s v="Não"/>
    <x v="0"/>
    <s v="CTXMTZPB-1252"/>
    <x v="1"/>
  </r>
  <r>
    <n v="19376"/>
    <s v="Implantação de melhoria e atualização da aplicação *144 Pós Pago."/>
    <x v="0"/>
    <d v="2016-02-12T09:25:21"/>
    <x v="1"/>
    <s v="Encerramento"/>
    <s v="FRANCIELE CARLA DE LIMA COSTA"/>
    <s v="LUIZ HENRIQUE OLIVEIRA DA SILVA"/>
    <x v="7"/>
    <x v="1"/>
    <s v="Encerrada"/>
    <d v="2016-02-22T22:00:00"/>
    <d v="2016-02-23T12:00:00"/>
    <d v="2016-02-23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2734;OI-12736"/>
    <x v="5"/>
  </r>
  <r>
    <n v="19377"/>
    <s v="Manter a confiabilidade dos geradores do site João Pessoa"/>
    <x v="0"/>
    <d v="2016-02-12T09:40:44"/>
    <x v="1"/>
    <s v="Encerramento"/>
    <s v="FRANCISCO DE ASSIS GONDIM"/>
    <s v="FRANCISCO DE ASSIS GONDIM"/>
    <x v="35"/>
    <x v="37"/>
    <s v="Encerrada"/>
    <d v="2016-02-25T23:55:00"/>
    <d v="2016-02-26T03:00:00"/>
    <d v="2016-02-26T10:00:00"/>
    <x v="0"/>
    <x v="0"/>
    <s v="Impacto"/>
    <s v="--"/>
    <s v="Geradores"/>
    <s v="Não"/>
    <s v="Não"/>
    <s v="Acompanhar o Desligamento dos geradores e garantir modo automático; Fim dos testes; Será efetuada vistoria nos No Breaks do CPD e Operação; Verificado a climatização das salas dos No Breaks e CPD; Após a execução dos serviços acima relacionados, será emitido laudo atestando a funcionalidade dos geradores pela ENERG GERADORES."/>
    <s v="Não"/>
    <s v="Não"/>
    <x v="0"/>
    <m/>
    <x v="5"/>
  </r>
  <r>
    <n v="19378"/>
    <s v="Implantação de melhoria e atualização da aplicação OCTUNIFICADA."/>
    <x v="0"/>
    <d v="2016-02-12T10:04:46"/>
    <x v="1"/>
    <s v="Encerramento"/>
    <s v="FRANCIELE CARLA DE LIMA COSTA"/>
    <s v="LUIZ HENRIQUE OLIVEIRA DA SILVA"/>
    <x v="7"/>
    <x v="1"/>
    <s v="Encerrada"/>
    <d v="2016-02-22T22:00:00"/>
    <d v="2016-02-23T12:00:00"/>
    <d v="2016-02-23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2735"/>
    <x v="5"/>
  </r>
  <r>
    <n v="19380"/>
    <s v="Implantação de melhoria e atualização da aplicação RACO."/>
    <x v="0"/>
    <d v="2016-02-12T10:41:41"/>
    <x v="1"/>
    <s v="Encerramento"/>
    <s v="FRANCIELE CARLA DE LIMA COSTA"/>
    <s v="LUIZ HENRIQUE OLIVEIRA DA SILVA"/>
    <x v="7"/>
    <x v="1"/>
    <s v="Encerrada"/>
    <d v="2016-02-25T22:00:00"/>
    <d v="2016-02-26T12:00:00"/>
    <d v="2016-02-26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3036"/>
    <x v="2"/>
  </r>
  <r>
    <n v="19382"/>
    <s v="Rodar a aplicação APEA da Aspect para validar se os servidores destinados a implatação do Aspect são de acordo com os requisitos solicitados pela Aspect"/>
    <x v="27"/>
    <d v="2016-02-12T10:52:00"/>
    <x v="1"/>
    <s v="Encerramento"/>
    <s v="LUIZ WASHINGTON GIANEZZI"/>
    <s v="LUIZ WASHINGTON GIANEZZI"/>
    <x v="10"/>
    <x v="7"/>
    <s v="Encerrada"/>
    <d v="2016-02-15T22:00:00"/>
    <d v="2016-02-16T02:00:00"/>
    <d v="2016-02-16T04:00:00"/>
    <x v="1"/>
    <x v="2"/>
    <s v="Muito impacto"/>
    <s v="10.201.14.100; ALMCTX100SPODB"/>
    <s v="10.201.14.100; ALMCTX100SPODB"/>
    <s v="Sim"/>
    <s v="Não"/>
    <s v="Interromper a execução da aplicação."/>
    <s v="Não"/>
    <s v="Não"/>
    <x v="2"/>
    <m/>
    <x v="0"/>
  </r>
  <r>
    <n v="19383"/>
    <s v="Migração dos circuitos elétricos do PDU antigo (do Nobreak de 80KVA singelo) para os PDUs novos (dos Nobreaks de 275KVA paralelos e redundantes) para redundância de fontes dos equipamentos de TI do CPD."/>
    <x v="0"/>
    <d v="2016-02-12T11:21:18"/>
    <x v="1"/>
    <s v="Encerramento"/>
    <s v="ALEXANDRE GARCIA FULY"/>
    <s v="ALEXANDRE GARCIA FULY,MARCOS DA SILVA PINTO"/>
    <x v="12"/>
    <x v="38"/>
    <s v="Encerrada"/>
    <d v="2016-03-12T18:00:00"/>
    <d v="2016-03-13T06:00:00"/>
    <d v="2016-03-14T05:00:00"/>
    <x v="0"/>
    <x v="0"/>
    <s v="Impacto"/>
    <s v="; PDUs"/>
    <s v="; PDUs"/>
    <s v="Sim"/>
    <s v="Não"/>
    <s v="Durante a execução dos trabalhos, se algum imprevisto ocorrer com o serviço será cancelado e o CPD será ativado normalmente."/>
    <s v="Não"/>
    <s v="Não"/>
    <x v="0"/>
    <m/>
    <x v="8"/>
  </r>
  <r>
    <n v="19385"/>
    <s v="Migrar o gravador SOC para outro Extreme com objetivo de resolver o problema de gravação"/>
    <x v="28"/>
    <d v="2016-02-12T14:08:53"/>
    <x v="1"/>
    <s v="Encerramento"/>
    <s v="LUIZ WASHINGTON GIANEZZI"/>
    <s v="LEANDRO UCHOA DA SILVA"/>
    <x v="3"/>
    <x v="1"/>
    <s v="Encerrada"/>
    <d v="2016-02-17T22:00:00"/>
    <d v="2016-02-18T01:00:00"/>
    <d v="2016-02-18T03:00:00"/>
    <x v="0"/>
    <x v="2"/>
    <s v="Sem impacto"/>
    <m/>
    <m/>
    <s v="Não"/>
    <s v="Não"/>
    <s v="Voltar o cabeamento do servidor para Extreme antigo e voltar o backup da configuração do Extreme 10.16.97.5"/>
    <s v="Não"/>
    <s v="Não"/>
    <x v="0"/>
    <m/>
    <x v="5"/>
  </r>
  <r>
    <n v="19386"/>
    <s v="Realizar manutenção preventiva no GMG"/>
    <x v="29"/>
    <d v="2016-02-12T14:09:55"/>
    <x v="1"/>
    <s v="Encerramento"/>
    <s v="MARCIO LUIS DE GODOI JUNIOR"/>
    <s v="ROBERTO LOPES"/>
    <x v="0"/>
    <x v="1"/>
    <s v="Encerrada"/>
    <d v="2016-02-28T08:00:00"/>
    <d v="2016-02-28T13:00:00"/>
    <d v="2016-03-02T14:16:00"/>
    <x v="0"/>
    <x v="0"/>
    <s v="Sem impacto"/>
    <m/>
    <m/>
    <s v="Não"/>
    <s v="Não"/>
    <s v="Para retorno do equipamento a sua condição normal, após todos os testes, analise visual e limpeza, estaremos passando ogerador de manual para automático e estará apto para reconhecer uma falta de energia e atuar plenamente"/>
    <s v="Não"/>
    <s v="Não"/>
    <x v="0"/>
    <n v="168499"/>
    <x v="13"/>
  </r>
  <r>
    <n v="19387"/>
    <s v="Upgrade do link MPLS da VIVO no DC Alegria / Fusão e lançamento de nova fibra até a sala das operadoras."/>
    <x v="14"/>
    <d v="2016-02-12T14:23:26"/>
    <x v="1"/>
    <s v="Encerramento"/>
    <s v="THIAGO SILVA FERREIRA"/>
    <s v="THIAGO SILVA FERREIRA"/>
    <x v="10"/>
    <x v="7"/>
    <s v="Encerrada"/>
    <d v="2016-02-17T22:00:00"/>
    <d v="2016-02-18T02:00:00"/>
    <d v="2016-02-18T03:00:00"/>
    <x v="0"/>
    <x v="2"/>
    <s v="Sem impacto"/>
    <s v="--"/>
    <s v="Desig. 32080077"/>
    <s v="Não"/>
    <s v="Não"/>
    <s v="Retirada da fibra óptica lançada."/>
    <s v="Não"/>
    <s v="Não"/>
    <x v="0"/>
    <m/>
    <x v="0"/>
  </r>
  <r>
    <n v="19388"/>
    <s v="Implantação de release de novas demandas da MultiProduto"/>
    <x v="0"/>
    <d v="2016-02-12T14:30:08"/>
    <x v="1"/>
    <s v="Encerramento"/>
    <s v="UVERLANIO MAURICIO PEREIRA DA SILVA"/>
    <s v="MARCOS SANTOS DO SACRAMENTO"/>
    <x v="7"/>
    <x v="1"/>
    <s v="Encerrada"/>
    <d v="2016-02-16T12:00:00"/>
    <d v="2016-02-17T06:00:00"/>
    <d v="2016-02-17T06:30:00"/>
    <x v="1"/>
    <x v="1"/>
    <s v="Os prejuízos ou dificuldades são impactantes"/>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Não"/>
    <s v="Não"/>
    <s v="Fazer o deploy da versão anterior da aplicação"/>
    <s v="Não"/>
    <s v="Não"/>
    <x v="0"/>
    <s v="OI-12843"/>
    <x v="5"/>
  </r>
  <r>
    <n v="19389"/>
    <s v="Configuração dos UMS da plataforma Aspect"/>
    <x v="9"/>
    <d v="2016-02-12T17:44:51"/>
    <x v="1"/>
    <s v="Encerramento"/>
    <s v="LUIZ WASHINGTON GIANEZZI"/>
    <s v="LUIZ WASHINGTON GIANEZZI"/>
    <x v="10"/>
    <x v="7"/>
    <s v="Encerrada"/>
    <d v="2016-02-16T10:00:00"/>
    <d v="2016-02-16T16:00:00"/>
    <d v="2016-02-16T18:00:00"/>
    <x v="3"/>
    <x v="0"/>
    <s v="Sem impacto"/>
    <m/>
    <m/>
    <s v="Não"/>
    <s v="Não"/>
    <s v="Desligar os equipamentos"/>
    <s v="Não"/>
    <s v="Não"/>
    <x v="0"/>
    <m/>
    <x v="0"/>
  </r>
  <r>
    <n v="19390"/>
    <s v="Instalação duas URAS MPPs Avaya no Data Center Alegria"/>
    <x v="3"/>
    <d v="2016-02-12T18:08:00"/>
    <x v="1"/>
    <s v="Encerramento"/>
    <s v="JOSIMAR LOPES DE SANTANA"/>
    <s v="JOSIMAR LOPES DE SANTANA"/>
    <x v="10"/>
    <x v="5"/>
    <s v="Encerrada"/>
    <d v="2016-02-23T09:00:00"/>
    <d v="2016-02-23T17:00:00"/>
    <d v="2016-02-23T17:00:00"/>
    <x v="0"/>
    <x v="2"/>
    <s v="Sem impacto"/>
    <s v="MDSCTX101SPODB"/>
    <s v="MDSCTX101SPODB"/>
    <s v="Não"/>
    <s v="Não"/>
    <s v="Não existe plano de retorno, pois é uma implantação nova."/>
    <s v="Não"/>
    <s v="Não"/>
    <x v="0"/>
    <s v="N/A"/>
    <x v="19"/>
  </r>
  <r>
    <n v="19391"/>
    <s v="Baixar de todas as fatura que estão em cobrança com mais de 60 dias."/>
    <x v="0"/>
    <d v="2016-02-12T18:19:51"/>
    <x v="1"/>
    <s v="Encerramento"/>
    <s v="GUSTAVO RODRIGUES DE ORNELAS SILVA"/>
    <s v="GEOVANI JOSE DE RESENDE MOREIRA"/>
    <x v="3"/>
    <x v="1"/>
    <s v="Encerrada"/>
    <d v="2016-02-18T22:00:00"/>
    <d v="2016-02-19T02:00:00"/>
    <d v="2016-02-19T04:00:00"/>
    <x v="0"/>
    <x v="0"/>
    <s v="Pouco impacto"/>
    <s v="--"/>
    <s v="dbsctx07forbm"/>
    <s v="Não"/>
    <s v="Não"/>
    <s v="1 - conectar no servidor 10.16.1.131 pelo query analyzer 2 - executar update abaixo USE BRTEscob_Cobranca UPDATE DBO.REGISTROS_ITEM SET CD_STATUS_FTURA=1,DT_ALTERACAO='2012-09-30 22:00:00',CD_BAIXA = 'Aberta',ID_SITUACAO=0 WHERE CD_STATUS_FTURA IN (20) USE BRTEscob_GC UPDATE DBO.FATURA SET CD_STATUS_FTURA=1,DT_ALTAO='2012-09-30 22:00:00',CD_BAIXA = 'Aberta' WHERE CD_STATUS_FTURA IN (20)"/>
    <s v="Não"/>
    <s v="Não"/>
    <x v="0"/>
    <s v="CTXBHZRI-98080"/>
    <x v="2"/>
  </r>
  <r>
    <n v="19392"/>
    <s v="Aplicar os Procedimentos abaixo no sistema Protheus: CTXSPOAP407-15258 - Criar Tabela Saída de NF - Filial 0221."/>
    <x v="10"/>
    <d v="2016-02-12T18:36:26"/>
    <x v="1"/>
    <s v="Encerramento"/>
    <s v="MIGUEL ANGELO DO PATROCINIO"/>
    <s v="MIGUEL ANGELO DO PATROCINIO"/>
    <x v="5"/>
    <x v="0"/>
    <s v="Encerrada"/>
    <d v="2016-02-18T20:00:00"/>
    <d v="2016-02-18T23:59:00"/>
    <d v="2016-02-19T10:00:00"/>
    <x v="0"/>
    <x v="1"/>
    <s v="Pouc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19404"/>
    <s v="Realizar manutenção preventiva no sistema de Geradores que atendem ao site Lapa"/>
    <x v="30"/>
    <d v="2016-02-15T08:58:50"/>
    <x v="1"/>
    <s v="Encerramento"/>
    <s v="MARCIO LUIS DE GODOI JUNIOR"/>
    <s v="MARCIO LUIS DE GODOI JUNIOR"/>
    <x v="19"/>
    <x v="24"/>
    <s v="Encerrada"/>
    <d v="2016-02-26T09:00:00"/>
    <d v="2016-02-26T12:00:00"/>
    <d v="2016-03-02T12:00:00"/>
    <x v="0"/>
    <x v="0"/>
    <s v="Pouco impacto"/>
    <s v="--"/>
    <s v="--"/>
    <s v="Não"/>
    <s v="Não"/>
    <s v="Toda atividade será realizada seguindo procedimentos e medidas de controle caso aja qualquer anomalia na execução iremos paralisar e retornar o processo do inicio, sempre sinalizando os interessados da atividade."/>
    <s v="Não"/>
    <s v="Não"/>
    <x v="0"/>
    <n v="18386"/>
    <x v="0"/>
  </r>
  <r>
    <n v="19405"/>
    <s v="Atualização da aplicação Corporativo. A release 20160212 terá como foco principal as seguintes mudanças abaixo: -&gt; FUO-732 ENCAMINHADO PARA OPERAÇÃO ERRADA"/>
    <x v="9"/>
    <d v="2016-02-15T09:23:25"/>
    <x v="1"/>
    <s v="Encerramento"/>
    <s v="DANIEL SCHONWANDT MENDES FERREIRA"/>
    <s v="DANIEL SCHONWANDT MENDES FERREIRA"/>
    <x v="7"/>
    <x v="1"/>
    <s v="Encerrada"/>
    <d v="2016-02-12T22:00:00"/>
    <d v="2016-02-13T12:00:00"/>
    <d v="2016-02-13T18:00:00"/>
    <x v="3"/>
    <x v="1"/>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m/>
    <m/>
    <x v="1"/>
    <s v="CTXFORBM-356652"/>
    <x v="1"/>
  </r>
  <r>
    <n v="19407"/>
    <s v="Executar manutenção preventiva mensal em 01 (Um) Grupo Gerador de Energia FGWILSON -S500E1/Garantir total confiabilidade e disponibilidade do sistema de contingência de energia elétrica do Site."/>
    <x v="0"/>
    <d v="2016-02-15T10:13:32"/>
    <x v="1"/>
    <s v="Encerramento"/>
    <s v="SÁVIO MEIRELES CASTRO"/>
    <s v="SÁVIO MEIRELES CASTRO"/>
    <x v="4"/>
    <x v="39"/>
    <s v="Encerrada"/>
    <d v="2016-02-28T07:00:00"/>
    <d v="2016-02-28T15:00:00"/>
    <d v="2016-02-28T15:00:00"/>
    <x v="0"/>
    <x v="0"/>
    <s v="Sem impacto"/>
    <s v="--"/>
    <s v="--"/>
    <s v="Não"/>
    <s v="Não"/>
    <s v="Realizado testes técnicos, funcionais e leitura de parâmetros. Liberado equipamento para funcionamento normal."/>
    <s v="Não"/>
    <s v="Não"/>
    <x v="0"/>
    <m/>
    <x v="2"/>
  </r>
  <r>
    <n v="19408"/>
    <s v="Executar manutenção preventiva mensal em 05 (Cinco) grupos geradores de energia/Garantir total confiabilidade e disponibilidade do sistema de contingência de energia elétrica do Site"/>
    <x v="0"/>
    <d v="2016-02-15T10:17:36"/>
    <x v="1"/>
    <s v="Encerramento"/>
    <s v="SÁVIO MEIRELES CASTRO"/>
    <s v="SÁVIO MEIRELES CASTRO"/>
    <x v="3"/>
    <x v="2"/>
    <s v="Encerrada"/>
    <d v="2016-02-28T07:00:00"/>
    <d v="2016-02-28T15:00:00"/>
    <d v="2016-02-28T15:00:00"/>
    <x v="0"/>
    <x v="0"/>
    <s v="Sem impacto"/>
    <s v="--"/>
    <s v="--"/>
    <s v="Não"/>
    <s v="Não"/>
    <s v="Realizado testes técnicos, funcionais e leitura de parâmetros. Liberado equipamento para funcionamento normal."/>
    <s v="Não"/>
    <s v="Não"/>
    <x v="0"/>
    <m/>
    <x v="12"/>
  </r>
  <r>
    <n v="19409"/>
    <s v="Executar manutenção preventiva trimestral em 02 (Dois) Chillers centrífugos Carrier/Garantir total confiabilidade e disponibilidade do sistema de climatização do Site."/>
    <x v="0"/>
    <d v="2016-02-15T10:31:06"/>
    <x v="1"/>
    <s v="Encerramento"/>
    <s v="SÁVIO MEIRELES CASTRO"/>
    <s v="SÁVIO MEIRELES CASTRO"/>
    <x v="3"/>
    <x v="2"/>
    <s v="Encerrada"/>
    <d v="2016-02-27T07:00:00"/>
    <d v="2016-02-27T15:00:00"/>
    <d v="2016-02-27T15:00:00"/>
    <x v="0"/>
    <x v="0"/>
    <s v="Sem impacto"/>
    <s v="--"/>
    <s v="--"/>
    <s v="Não"/>
    <s v="Não"/>
    <s v="Realizado testes técnicos, funcionais e leitura de parâmetros. Liberado equipamento para funcionamento normal."/>
    <s v="Não"/>
    <s v="Não"/>
    <x v="0"/>
    <m/>
    <x v="3"/>
  </r>
  <r>
    <n v="19412"/>
    <s v="Upgrade do link MPLS da VIVO / Execução de configurações nos switches do site para atingir os 400MB."/>
    <x v="14"/>
    <d v="2016-02-15T14:23:23"/>
    <x v="1"/>
    <s v="Encerramento"/>
    <s v="THIAGO SILVA FERREIRA"/>
    <s v="THIAGO SILVA FERREIRA"/>
    <x v="25"/>
    <x v="21"/>
    <s v="Encerrada"/>
    <d v="2016-02-22T23:00:00"/>
    <d v="2016-02-23T00:00:00"/>
    <d v="2016-02-23T00:30:00"/>
    <x v="0"/>
    <x v="2"/>
    <s v="Pouco impacto"/>
    <s v="Desig. 00942702"/>
    <s v="--"/>
    <s v="Não"/>
    <s v="Não"/>
    <s v="Restaurar a configuração dos switches."/>
    <s v="Não"/>
    <s v="Não"/>
    <x v="2"/>
    <m/>
    <x v="7"/>
  </r>
  <r>
    <n v="19417"/>
    <s v="Manter a confiabilidade do sistema de contingência / Manutenção preventiva Anual com troca de peças."/>
    <x v="0"/>
    <d v="2016-02-15T17:22:09"/>
    <x v="1"/>
    <s v="Encerramento"/>
    <s v="VANDERLEI CASTRO SOUZA LIMA"/>
    <s v="VANDERLEI CASTRO SOUZA LIMA"/>
    <x v="30"/>
    <x v="15"/>
    <s v="Encerrada"/>
    <d v="2016-02-26T22:00:00"/>
    <d v="2016-02-27T05:00:00"/>
    <d v="2016-02-27T05:30:00"/>
    <x v="0"/>
    <x v="0"/>
    <s v="Pouco impacto"/>
    <s v="--"/>
    <s v="Geradores"/>
    <s v="Não"/>
    <s v="Não"/>
    <s v="Acompanhar o Desligamento dos geradores; Fim dos testes; Será efetuada vistoria nos No Breaks do CPD e Operação; Verificado a climatização das salas dos No Breaks e CPD; Após a execução dos serviços acima relacionados, será emitido laudo atestando a funcionalidade dos geradores."/>
    <s v="Não"/>
    <s v="Não"/>
    <x v="0"/>
    <m/>
    <x v="10"/>
  </r>
  <r>
    <n v="19418"/>
    <s v="Manutenção preventiva dos Geradores de 200kva e 450kva com troca de óleo, filtros e anéis de vedação."/>
    <x v="0"/>
    <d v="2016-02-16T09:48:51"/>
    <x v="1"/>
    <s v="Encerramento"/>
    <s v="RODRIGO CABRAL GOMES"/>
    <s v="RODRIGO CABRAL GOMES"/>
    <x v="22"/>
    <x v="1"/>
    <s v="Encerrada"/>
    <d v="2016-02-26T23:00:00"/>
    <d v="2016-02-27T05:00:00"/>
    <d v="2016-02-27T06:00:00"/>
    <x v="0"/>
    <x v="0"/>
    <s v="Pouco impacto"/>
    <s v="--"/>
    <s v="GMG"/>
    <s v="Não"/>
    <s v="Não"/>
    <s v="Comunicar as áreas responsaveis"/>
    <s v="Não"/>
    <s v="Não"/>
    <x v="0"/>
    <m/>
    <x v="5"/>
  </r>
  <r>
    <n v="19419"/>
    <s v="Realizar as atividades abaixo conforme pedido do CSE – Telecom 1-Sacar as placas TN755 Maintenance e a IPSI TN2312 (o gabinete será desligado) 2- Verificar a conexão do flat cable da placa TN755 Maintenance com a IPSI TN2312. 3- Voltar as placas ( o gabinete deverá subir) 4- Caso o alarme não desapareça substituir a placa TN755 junto com o falt cable Intervenção no gabinete 44ª do Prado C"/>
    <x v="3"/>
    <d v="2016-02-16T10:19:58"/>
    <x v="1"/>
    <s v="Encerramento"/>
    <s v="ROBSON DA SILVA"/>
    <s v="REGINALDO ALVES DE SOUZA"/>
    <x v="13"/>
    <x v="1"/>
    <s v="Encerrada"/>
    <d v="2016-02-26T22:00:00"/>
    <d v="2016-02-27T04:00:00"/>
    <d v="2016-02-27T05:00:00"/>
    <x v="0"/>
    <x v="1"/>
    <s v="Sem impacto"/>
    <s v="single-carrier-stack cab 44 Prado C"/>
    <s v="single-carrier-stack cab 44 Prado C"/>
    <s v="Sim"/>
    <s v="Não"/>
    <s v="Retornar as placas TN755 Maintenance e IPSI TN2312. originais de produção"/>
    <s v="Não"/>
    <s v="Não"/>
    <x v="0"/>
    <s v="CTXBHZRP-217563"/>
    <x v="4"/>
  </r>
  <r>
    <n v="19420"/>
    <s v="Atender projeto Controle de Chamada da Oi / Migração logica do trafego para os SBC´s da Oi - Curitiba, Campo Grande e Porto Alegre"/>
    <x v="12"/>
    <d v="2016-02-16T14:33:46"/>
    <x v="1"/>
    <s v="Encerramento"/>
    <s v="FABIANA CARLA DE SOUZA DIAS"/>
    <s v="DANIEL SOUZA PIMENTEL"/>
    <x v="26"/>
    <x v="1"/>
    <s v="Encerrada"/>
    <d v="2016-02-17T14:00:00"/>
    <d v="2016-02-19T18:00:00"/>
    <d v="2016-02-19T19:00:00"/>
    <x v="1"/>
    <x v="2"/>
    <s v="Muito impacto"/>
    <s v="--"/>
    <m/>
    <s v="Não"/>
    <s v="Não"/>
    <s v="Mudança Logica. Voltar o trafego das chamadas para o agent encontra-se em produção atualmente."/>
    <s v="Não"/>
    <s v="Sim"/>
    <x v="0"/>
    <m/>
    <x v="1"/>
  </r>
  <r>
    <n v="19422"/>
    <s v="Troca do modulo de bateria no servidor 10.16.0.14 para normalização do alarme"/>
    <x v="0"/>
    <d v="2016-02-16T15:43:36"/>
    <x v="1"/>
    <s v="Encerramento"/>
    <s v="JOÃO PEREIRA DE SOUZA JUNIOR"/>
    <s v="LEEWAN ALVES DE MENESES"/>
    <x v="3"/>
    <x v="1"/>
    <s v="Encerrada"/>
    <d v="2016-02-23T08:00:00"/>
    <d v="2016-02-23T12:00:00"/>
    <d v="2016-02-23T15:00:00"/>
    <x v="0"/>
    <x v="1"/>
    <s v="Sem impacto"/>
    <s v="SUSCTX02FORBM"/>
    <s v="SUSCTX02FORBM"/>
    <s v="Sim"/>
    <s v="Não"/>
    <s v="Desligar o servidor, retirar o modulo de bateria inserido e inserir o antigo modulo e ligar o servidor novamente."/>
    <s v="Não"/>
    <s v="Não"/>
    <x v="0"/>
    <s v="CTXFORBM-339006"/>
    <x v="13"/>
  </r>
  <r>
    <n v="19426"/>
    <s v="OI-13121 Concatenar Msg Inicial_Incentico Asterisco OI-13117 Mudança na validaçao do Parâmetro de Fraude da Migração Pre-Controle OI-13114 Melhorias Consulta WS ACM OI-13111 Atualização e Inclusão de serviços SVA"/>
    <x v="19"/>
    <d v="2016-02-17T07:18:21"/>
    <x v="1"/>
    <s v="Encerramento"/>
    <s v="DIOGO ANÍSIO DE FRANÇA"/>
    <s v="WILLIAN CAMPBELL VIANA"/>
    <x v="5"/>
    <x v="1"/>
    <s v="Encerrada"/>
    <d v="2016-02-25T22:00:00"/>
    <d v="2016-02-26T11:00:00"/>
    <d v="2016-02-26T13:00:00"/>
    <x v="0"/>
    <x v="1"/>
    <s v="Muito impacto"/>
    <s v="APPCTX14RJONT; APPCTX15RJOED; APPCTX16RJOED; APPCTX18RJOED; APPCTX19RJOED; APPOIM03SPOAL; APPOIM04SPOAL; DBSOIM01SPOAL; NMSIOM01SPOAL; NMSOIM04SPOLP"/>
    <s v="APPCTX14RJONT; APPCTX15RJOED; APPCTX16RJOED; APPCTX18RJOED; APPCTX19RJOED; APPOIM03SPOAL; APPOIM04SPOAL; APPOIM04SPOLP; APPOIM05SPOLP; DBSOIM01SPOAL; NMSIOM01SPOAL; NMSOIM04SPOLP"/>
    <s v="Não"/>
    <s v="Não"/>
    <s v="Retorna os arquivos de backup. Refazer os Testes Técnicos e Funcionais."/>
    <s v="Não"/>
    <s v="Não"/>
    <x v="0"/>
    <s v="OI-13121 OI-13117 OI-13114 OI-13111"/>
    <x v="5"/>
  </r>
  <r>
    <n v="19427"/>
    <s v="Release URA USSD. OI-13118 Incentivo a Recarga - USSD"/>
    <x v="1"/>
    <d v="2016-02-17T08:09:59"/>
    <x v="1"/>
    <s v="Encerramento"/>
    <s v="PRISCILA LUCIA PEREIRA DE ALBUQUERQUE GALARANI"/>
    <s v="DANIEL SCHONWANDT MENDES FERREIRA"/>
    <x v="1"/>
    <x v="1"/>
    <s v="Encerrada"/>
    <d v="2016-02-25T22:00:00"/>
    <d v="2016-02-26T03:00:00"/>
    <d v="2016-02-26T09:00:00"/>
    <x v="0"/>
    <x v="0"/>
    <s v="Pouco impacto"/>
    <s v="10.9.3.142; APPCTX27RJOMK"/>
    <s v="10.9.3.142; APPCTX27RJOMK"/>
    <s v="Não"/>
    <s v="Não"/>
    <s v="Realizar o UNDEPLOY da versão nova através do JBoss Refazer os Testes Técnicos e Funcionais."/>
    <s v="Não"/>
    <s v="Não"/>
    <x v="0"/>
    <m/>
    <x v="1"/>
  </r>
  <r>
    <n v="19429"/>
    <s v="Implantação de release de novas demandas da MultiProduto"/>
    <x v="0"/>
    <d v="2016-02-17T11:50:23"/>
    <x v="1"/>
    <s v="Encerramento"/>
    <s v="DANILO RODRIGUES DE JESUS"/>
    <s v="MARCOS SANTOS DO SACRAMENTO"/>
    <x v="7"/>
    <x v="1"/>
    <s v="Encerrada"/>
    <d v="2016-02-25T12:00:00"/>
    <d v="2016-02-26T05:30:00"/>
    <d v="2016-02-26T07:00:00"/>
    <x v="0"/>
    <x v="0"/>
    <s v="Sem impacto"/>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Não"/>
    <s v="Não"/>
    <s v="Fazer o deploy da versão anterior da aplicação; Fazer o deploy da versão anterior da aplicação."/>
    <s v="Não"/>
    <s v="Não"/>
    <x v="0"/>
    <s v="OI-12752 e OI-12751"/>
    <x v="5"/>
  </r>
  <r>
    <n v="19430"/>
    <s v="Atualização da aplicação Empresarial. A release 2016/02/23 terá como foco principal as seguintes mudanças abaixo: -&gt; FUO-534 Consulta Mailing Novo Portifólio -&gt; FUO-662 Informe de OS Aberta Fixo/Velox -&gt; FUO-663 Envio de SMS protocolo e cod de barras"/>
    <x v="0"/>
    <d v="2016-02-17T12:13:49"/>
    <x v="1"/>
    <s v="Encerramento"/>
    <s v="DANIEL SCHONWANDT MENDES FERREIRA"/>
    <s v="LUIZ HENRIQUE OLIVEIRA DA SILVA"/>
    <x v="7"/>
    <x v="1"/>
    <s v="Encerrada"/>
    <d v="2016-02-23T22:00:00"/>
    <d v="2016-02-24T12:00:00"/>
    <d v="2016-02-24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435"/>
    <s v="Executar a manutenção preventiva sem carga dos Geradores Stemac do site Boa Viagem, conforme abaixo: 3 Geradores de 642 KVA (operações e CPD – blocos 2,3 e 4) e 1 Gerador de 260 KVA (operação e adm bloco 1)"/>
    <x v="0"/>
    <d v="2016-02-17T15:16:56"/>
    <x v="1"/>
    <s v="Encerramento"/>
    <s v="CASSIO REIS LIMA"/>
    <s v="CASSIO REIS LIMA"/>
    <x v="8"/>
    <x v="4"/>
    <s v="Encerrada"/>
    <d v="2016-02-27T00:01:00"/>
    <d v="2016-02-27T05:00:00"/>
    <d v="2016-02-27T06:00:00"/>
    <x v="0"/>
    <x v="0"/>
    <s v="Sem impacto"/>
    <s v="--"/>
    <s v="--"/>
    <s v="Não"/>
    <s v="Não"/>
    <s v="Em eventual falha reportaremos para a área de missão critica, coordenador do site e gerência de cidade, após ser aprovado o procedimento restabeleceremos o sistema."/>
    <s v="Não"/>
    <s v="Não"/>
    <x v="0"/>
    <m/>
    <x v="1"/>
  </r>
  <r>
    <n v="19436"/>
    <s v="Preventiva trimestral com desligamento do UPS GE 30 KVA - Singelo - Paulista 407"/>
    <x v="15"/>
    <d v="2016-02-17T16:29:22"/>
    <x v="1"/>
    <s v="Encerramento"/>
    <s v="JACQUES DOUGLAS NASCIMENTO DOS SANTOS"/>
    <s v="JACQUES DOUGLAS NASCIMENTO DOS SANTOS"/>
    <x v="34"/>
    <x v="0"/>
    <s v="Encerrada"/>
    <d v="2016-03-23T23:00:00"/>
    <d v="2016-03-24T01:00:00"/>
    <d v="2016-03-24T08:00:00"/>
    <x v="0"/>
    <x v="0"/>
    <s v="Sem impacto"/>
    <s v="--"/>
    <s v="No break GE 30 KVA"/>
    <s v="Não"/>
    <s v="Não"/>
    <s v="Se houver algum imprevisto, o serviço será cancelado imediatamente,retornando a carga critica para a rde concessionária."/>
    <s v="Não"/>
    <s v="Não"/>
    <x v="0"/>
    <s v="N/A"/>
    <x v="0"/>
  </r>
  <r>
    <n v="19437"/>
    <s v="Corrigir erros encontrados em produção"/>
    <x v="9"/>
    <d v="2016-02-17T16:35:51"/>
    <x v="1"/>
    <s v="Encerramento"/>
    <s v="PAULO VINÍCIUS DOS SANTOS PEREIRA"/>
    <s v="PAULO VINÍCIUS DOS SANTOS PEREIRA"/>
    <x v="7"/>
    <x v="1"/>
    <s v="Encerrada"/>
    <d v="2016-02-17T17:30:00"/>
    <d v="2016-02-17T20:30:00"/>
    <d v="2016-02-18T00:00:00"/>
    <x v="3"/>
    <x v="1"/>
    <s v="Sem impacto"/>
    <s v="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
    <s v="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
    <s v="Não"/>
    <s v="Não"/>
    <s v="Fazer o deploy da versão anterior da aplicação."/>
    <s v="Não"/>
    <s v="Não"/>
    <x v="0"/>
    <s v="CTXMLTREG-6137"/>
    <x v="5"/>
  </r>
  <r>
    <n v="19438"/>
    <s v="• Nova versão de boleto. • Logs de rastreamento de chamadas. • Nova opção Gerenciamento Estratégico -&gt; Auto carregar questionários no pop de tela."/>
    <x v="0"/>
    <d v="2016-02-17T17:16:54"/>
    <x v="1"/>
    <s v="Encerramento"/>
    <s v="GUSTAVO RODRIGUES DE ORNELAS SILVA"/>
    <s v="ALEXANDRE BASTOS CORREA"/>
    <x v="2"/>
    <x v="1"/>
    <s v="Encerrada"/>
    <d v="2016-02-17T22:30:00"/>
    <d v="2016-02-17T23:30:00"/>
    <d v="2016-02-17T23:59:00"/>
    <x v="1"/>
    <x v="1"/>
    <s v="Os prejuízos ou dificuldades são impactantes"/>
    <s v="--"/>
    <m/>
    <s v="Não"/>
    <s v="Não"/>
    <s v="CD 1. Conectar no servidor 10.171.2.82 via terminas services. 6. Parar IIS 7. Apagar pasta de: C:\inetpub\wwwroot\WebTier 8. Copiar C:\inetpub\wwwroot\ WebTier_bkp17022016_antigo para Copiar C:\inetpub\wwwroot\ 9. Iniciar IIS Escob: 6. Conectar no servidor 10.171.2.76 via terminas services. 7. Parar IIS 8. Apagar pasta de: C:\inetpub\wwwroot\WebTier 9. Copiar C:\inetpub\wwwroot\ WebTier_bkp17022016_antigo para Copiar C:\inetpub\wwwroot\ 10. Iniciar IIS"/>
    <s v="Não"/>
    <s v="Não"/>
    <x v="0"/>
    <s v="CTXBHZRI-97704"/>
    <x v="2"/>
  </r>
  <r>
    <n v="19439"/>
    <s v="Instalação de 8 links de Voz E1"/>
    <x v="31"/>
    <d v="2016-02-17T18:10:25"/>
    <x v="1"/>
    <s v="Encerramento"/>
    <s v="EDSON PEREIRA DA SILVA"/>
    <s v="EDSON PEREIRA DA SILVA"/>
    <x v="5"/>
    <x v="5"/>
    <s v="Encerrada"/>
    <d v="2016-02-24T20:00:00"/>
    <d v="2016-02-26T06:00:00"/>
    <d v="2016-02-26T06:00:00"/>
    <x v="0"/>
    <x v="0"/>
    <s v="Sem impacto"/>
    <s v="NA"/>
    <s v="NA"/>
    <s v="Sim"/>
    <s v="Não"/>
    <s v="- Retornar as 4 placas E1s para o roteador atual."/>
    <s v="Não"/>
    <s v="Não"/>
    <x v="0"/>
    <s v="Na"/>
    <x v="2"/>
  </r>
  <r>
    <n v="19440"/>
    <s v="Incremento de informações para auditorias e segurança, além de melhora na performance no tSupervisor!."/>
    <x v="0"/>
    <d v="2016-02-17T20:26:05"/>
    <x v="1"/>
    <s v="Encerramento"/>
    <s v="FLÁVIO ROBERTO DE FREITAS MIRANDA"/>
    <s v="PAULO CESAR DE SOUZA,ROBERTO MAGALHÃES DE OLIVEIRA"/>
    <x v="10"/>
    <x v="40"/>
    <s v="Encerrada"/>
    <d v="2016-02-25T22:00:00"/>
    <d v="2016-02-26T02:10:00"/>
    <d v="2016-02-26T02:10:00"/>
    <x v="0"/>
    <x v="0"/>
    <s v="Impacto"/>
    <s v="appctx388spoda; appctx388spodb; appctx389spoda; appctx389spodb; clsctx101spoda; clsctx101spodb"/>
    <s v="appctx388spoda; appctx388spodb; appctx389spoda; appctx389spodb; clsctx101spoda; clsctx101spodb"/>
    <s v="Sim"/>
    <s v="Não"/>
    <s v="Parar o JBOSS da aplicação tSupervisor Acessar a pasta D:\Todo\jboss-eap-6.2-port-8180\standalone\deployments nos servidores 10.200.64.68, 10.200.64.69, 10.201.64.68 e 10.201.64.69 Excluir a aplicação atual tsupervisor.ear Renomear a aplicação tsupervisor.ear_DDMMYYYY_HHMM onde DDMMYYYY_HHMM será a data e hora no momento da aplicação para tsupervisor.ear Reiniciar o JBOSS Efetuar os testes tecnicos e teste funcionais"/>
    <s v="Não"/>
    <s v="Não"/>
    <x v="0"/>
    <m/>
    <x v="22"/>
  </r>
  <r>
    <n v="19442"/>
    <s v="Manutenção preventiva no gerador sem teste com carga"/>
    <x v="0"/>
    <d v="2016-02-18T11:43:57"/>
    <x v="1"/>
    <s v="Encerramento"/>
    <s v="EZEQUIEL FARIA FERREIRA"/>
    <s v="EZEQUIEL FARIA FERREIRA"/>
    <x v="27"/>
    <x v="41"/>
    <s v="Encerrada"/>
    <d v="2016-02-26T22:00:00"/>
    <d v="2016-02-27T05:00:00"/>
    <d v="2016-02-29T05:00:00"/>
    <x v="0"/>
    <x v="0"/>
    <s v="Pouco impacto"/>
    <s v="--"/>
    <s v="GERADOR"/>
    <s v="Não"/>
    <s v="Não"/>
    <s v="Se houver algum imprevisto será cancelado o serviço e o Gerador será colocado em automático."/>
    <s v="Não"/>
    <s v="Não"/>
    <x v="0"/>
    <m/>
    <x v="12"/>
  </r>
  <r>
    <n v="19449"/>
    <s v="Efetuar a substituição de ventiladores dos gabinetes 07A e 09A do DAC Mack A conforme orientação do CSE – Telecom Motivo: Gabinetes 07 e 09 do DAC B Mack alarmando"/>
    <x v="3"/>
    <d v="2016-02-18T15:07:45"/>
    <x v="1"/>
    <s v="Encerramento"/>
    <s v="MAEWE DO EGITO PEGADO"/>
    <s v="MAEWE DO EGITO PEGADO"/>
    <x v="1"/>
    <x v="1"/>
    <s v="Encerrada"/>
    <d v="2016-02-25T22:00:00"/>
    <d v="2016-02-26T04:30:00"/>
    <d v="2016-02-26T06:30:00"/>
    <x v="0"/>
    <x v="1"/>
    <s v="Impacto"/>
    <s v="--"/>
    <s v="MackenzieB"/>
    <s v="Não"/>
    <s v="Não"/>
    <s v="Instalar novamente os equipamentos que já estavam em operação,e se necessário realocar as placas para outros gabinetes."/>
    <s v="Não"/>
    <s v="Não"/>
    <x v="0"/>
    <s v="CTXRJOMK-126742"/>
    <x v="5"/>
  </r>
  <r>
    <n v="19451"/>
    <s v="Implantação de melhorias e atualizações de promoções na URA *144 Pré Pago"/>
    <x v="32"/>
    <d v="2016-02-18T16:05:27"/>
    <x v="1"/>
    <s v="Encerramento"/>
    <s v="FELIPE NASCIMENTO DE MENEZES TAVARES"/>
    <s v="LUIZ HENRIQUE OLIVEIRA DA SILVA"/>
    <x v="7"/>
    <x v="1"/>
    <s v="Encerrada"/>
    <d v="2016-02-25T22:00:00"/>
    <d v="2016-02-26T03:00:00"/>
    <d v="2016-02-26T18:00:00"/>
    <x v="0"/>
    <x v="2"/>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3115 / OI-13119"/>
    <x v="5"/>
  </r>
  <r>
    <n v="19453"/>
    <s v="melhor abrir pra 25/02 Ajustes e limpeza de configurações não utilizadas / Remoção de Agent da BTCC no SBC do POP PR"/>
    <x v="33"/>
    <d v="2016-02-18T16:56:24"/>
    <x v="1"/>
    <s v="Encerramento"/>
    <s v="FABIANA CARLA DE SOUZA DIAS"/>
    <s v="REGINALDO ALVES DE SOUZA"/>
    <x v="36"/>
    <x v="1"/>
    <s v="Encerrada"/>
    <d v="2016-02-24T01:00:00"/>
    <d v="2016-02-24T02:00:00"/>
    <d v="2016-02-24T03:00:00"/>
    <x v="0"/>
    <x v="2"/>
    <s v="Pouco impacto"/>
    <s v="--"/>
    <m/>
    <s v="Não"/>
    <s v="Não"/>
    <s v="Retornar as configurações restaurando o backup realizado no incio da atividade."/>
    <s v="Não"/>
    <s v="Não"/>
    <x v="0"/>
    <m/>
    <x v="1"/>
  </r>
  <r>
    <n v="19454"/>
    <s v="Execução das demandas da OI10331Unificada"/>
    <x v="0"/>
    <d v="2016-02-18T17:03:34"/>
    <x v="1"/>
    <s v="Encerramento"/>
    <s v="PAULO VINÍCIUS DOS SANTOS PEREIRA"/>
    <s v="MARCOS SANTOS DO SACRAMENTO"/>
    <x v="7"/>
    <x v="1"/>
    <s v="Encerrada"/>
    <d v="2016-02-29T13:00:00"/>
    <d v="2016-03-01T06:00:00"/>
    <d v="2016-03-01T08:00:00"/>
    <x v="0"/>
    <x v="0"/>
    <s v="Muito impacto"/>
    <s v="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Undeploy da versão da máquina Application Server em questão e Deploy da nova versão utilizando o Tomcat Manager."/>
    <s v="Não"/>
    <s v="Não"/>
    <x v="0"/>
    <s v="OI-10100, OI-11431, OI-11343"/>
    <x v="2"/>
  </r>
  <r>
    <n v="19456"/>
    <s v="Atender projeto da Oi de Controle de chamadas / Migração logica do SBC do POP Porto Alegre"/>
    <x v="21"/>
    <d v="2016-02-18T17:06:39"/>
    <x v="1"/>
    <s v="Encerramento"/>
    <s v="FABIANA CARLA DE SOUZA DIAS"/>
    <s v="DANIEL SOUZA PIMENTEL"/>
    <x v="37"/>
    <x v="1"/>
    <s v="Encerrada"/>
    <d v="2016-02-25T14:00:00"/>
    <d v="2016-02-26T18:00:00"/>
    <d v="2016-02-26T19:00:00"/>
    <x v="0"/>
    <x v="2"/>
    <s v="Pouco impacto"/>
    <s v="--"/>
    <m/>
    <s v="Não"/>
    <s v="Não"/>
    <s v="Mudança Logica. Voltar o trafego das chamadas para o agent encontra-se em produção atualmente."/>
    <s v="Não"/>
    <s v="Não"/>
    <x v="0"/>
    <m/>
    <x v="1"/>
  </r>
  <r>
    <n v="19457"/>
    <s v="Manter a confiabilidade do sistema de contingência na falta de energia."/>
    <x v="0"/>
    <d v="2016-02-18T17:52:48"/>
    <x v="1"/>
    <s v="Encerramento"/>
    <s v="ALEXANDRE GARCIA FULY"/>
    <s v="ALEXANDRE GARCIA FULY"/>
    <x v="12"/>
    <x v="9"/>
    <s v="Encerrada"/>
    <d v="2016-02-28T08:00:00"/>
    <d v="2016-02-28T13:00:00"/>
    <d v="2016-02-29T05:00:00"/>
    <x v="0"/>
    <x v="0"/>
    <s v="Sem impacto"/>
    <s v="--"/>
    <s v="GERADORES"/>
    <s v="Não"/>
    <s v="Não"/>
    <s v="Se houver algum imprevisto será cancelado o serviço e o Gerador será colocado em automático."/>
    <s v="Não"/>
    <s v="Não"/>
    <x v="0"/>
    <m/>
    <x v="8"/>
  </r>
  <r>
    <n v="19458"/>
    <s v="Manutenção preventiva dos NoBreaks"/>
    <x v="0"/>
    <d v="2016-02-18T18:48:50"/>
    <x v="1"/>
    <s v="Encerramento"/>
    <s v="EZEQUIEL FARIA FERREIRA"/>
    <s v="EZEQUIEL FARIA FERREIRA"/>
    <x v="27"/>
    <x v="41"/>
    <s v="Encerrada"/>
    <d v="2016-02-26T23:00:00"/>
    <d v="2016-02-27T05:00:00"/>
    <d v="2016-02-29T05:00:00"/>
    <x v="0"/>
    <x v="0"/>
    <s v="Pouco impacto"/>
    <s v="--"/>
    <s v="NOBREAKS"/>
    <s v="Não"/>
    <s v="Não"/>
    <s v="Não há plano de retorno pois caso ocorra algum imprevisto a atividade será suspensa imediatamente."/>
    <s v="Não"/>
    <s v="Não"/>
    <x v="2"/>
    <s v="N/A"/>
    <x v="12"/>
  </r>
  <r>
    <n v="19460"/>
    <s v="Aprimoramento do mecanismo de replicação do domínio abilitysp.local."/>
    <x v="0"/>
    <d v="2016-02-19T09:47:28"/>
    <x v="1"/>
    <s v="Encerramento"/>
    <s v="GERALDO DE ARAUJO FERNANDES JR."/>
    <s v="DAVID LOPES DA COSTA CHAVES"/>
    <x v="6"/>
    <x v="0"/>
    <s v="Encerrada"/>
    <d v="2016-03-03T10:00:00"/>
    <d v="2016-03-03T16:40:00"/>
    <d v="2016-03-03T18:00:00"/>
    <x v="0"/>
    <x v="0"/>
    <s v="Impacto"/>
    <s v="sdcabl01spoqs; sdcabl02spoqs; sdcabl03spoas; sdcabl04spoas; sdcctx02azdev; sdcctx06azprd; sdcctx07azprd; sdcctx134spoda; sdcctx134spodb; sdcctx135spoda; sdcctx135spodb"/>
    <s v="sdcabl01spoqs; sdcabl02spoqs; sdcabl03spoas; sdcabl04spoas; sdcctx02azdev; sdcctx06azprd; sdcctx07azprd; sdcctx134spoda; sdcctx134spodb; sdcctx135spoda; sdcctx135spodb"/>
    <s v="Não"/>
    <s v="Não"/>
    <s v="Não existe a possibilidade de retornar ao estado anterior ao inicio da GMUD."/>
    <s v="Não"/>
    <s v="Não"/>
    <x v="0"/>
    <m/>
    <x v="0"/>
  </r>
  <r>
    <n v="19465"/>
    <s v="Aplicar os Procedimentos abaixo no sistema Protheus: TSOJD0 - Correção do relatório Relação de Baixas no campo de totalizador de faturas a pagar; TTLRHY e TUBDCB - Correção na rotina de baixas automáticas a receber e na consulta de posição de títulos a receber; TTNRLJ - Correção na contabilização da rotina de Baixas Automáticas a Pagar; TTQOJS - Correção no desempenho da rotina de Reprocessamento de Saldos Contábeis; TUBCJ8 - Habilita impressão de parâmetros na geração dos relatórios no Protheus; TUCRVS - Correção na seleção de títulos da rotina Compensação de Contas a Receber."/>
    <x v="10"/>
    <d v="2016-02-19T14:20:12"/>
    <x v="1"/>
    <s v="Encerramento"/>
    <s v="MIGUEL ANGELO DO PATROCINIO"/>
    <s v="MIGUEL ANGELO DO PATROCINIO"/>
    <x v="5"/>
    <x v="0"/>
    <s v="Encerrada"/>
    <d v="2016-02-28T09:00:00"/>
    <d v="2016-02-28T15:00:00"/>
    <d v="2016-02-29T10:00:00"/>
    <x v="0"/>
    <x v="1"/>
    <s v="Pouc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19467"/>
    <s v="Upgrade do link MPLS da VIVO no DC Alegria / Instalação de GBIC e ativação do link de 5GB."/>
    <x v="14"/>
    <d v="2016-02-19T15:08:34"/>
    <x v="1"/>
    <s v="Encerramento"/>
    <s v="THIAGO SILVA FERREIRA"/>
    <s v="THIAGO SILVA FERREIRA"/>
    <x v="10"/>
    <x v="0"/>
    <s v="Encerrada"/>
    <d v="2016-02-24T22:00:00"/>
    <d v="2016-02-25T02:00:00"/>
    <d v="2016-02-25T03:00:00"/>
    <x v="0"/>
    <x v="2"/>
    <s v="Sem impacto"/>
    <s v="--"/>
    <s v="Desig. 32080077"/>
    <s v="Sim"/>
    <s v="Não"/>
    <s v="Re-ativação do link de 1GB e validações de funcionamento."/>
    <s v="Não"/>
    <s v="Não"/>
    <x v="2"/>
    <m/>
    <x v="0"/>
  </r>
  <r>
    <n v="19468"/>
    <s v="Atualização da aplicação Corporativo. A release 20160212 terá como foco principal as seguintes mudanças abaixo: -&gt; FUO-732 ENCAMINHADO PARA OPERAÇÃO ERRADA"/>
    <x v="9"/>
    <d v="2016-02-19T15:23:33"/>
    <x v="1"/>
    <s v="Encerramento"/>
    <s v="DANIEL SCHONWANDT MENDES FERREIRA"/>
    <s v="DANIEL SCHONWANDT MENDES FERREIRA"/>
    <x v="7"/>
    <x v="1"/>
    <s v="Encerrada"/>
    <d v="2016-02-17T22:00:00"/>
    <d v="2016-02-18T12:00:00"/>
    <d v="2016-02-18T18:00:00"/>
    <x v="3"/>
    <x v="1"/>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s v="FUO-732"/>
    <x v="1"/>
  </r>
  <r>
    <n v="19470"/>
    <s v="Manutenção Preventiva e Preditivas em Subestação."/>
    <x v="0"/>
    <d v="2016-02-19T16:11:19"/>
    <x v="1"/>
    <s v="Encerramento"/>
    <s v="RODRIGO CABRAL GOMES"/>
    <s v="RODRIGO CABRAL GOMES"/>
    <x v="22"/>
    <x v="1"/>
    <s v="Encerrada"/>
    <d v="2016-03-05T23:00:00"/>
    <d v="2016-03-06T05:00:00"/>
    <d v="2016-03-06T06:00:00"/>
    <x v="0"/>
    <x v="0"/>
    <s v="Impacto"/>
    <s v="--"/>
    <s v="Subestação"/>
    <s v="Sim"/>
    <s v="Não"/>
    <s v="Toda a ativida será monitorada pela de equipe se manutenção local in loco, com comunicação via rádio com a coordenação prédial e via rádio e sms com a equipe de missão crítica. Se tivermos qualquer eventualidade fora do plano de comunicação dentro da GMUD faremos o retorno de comunicação e cancelaremos a mudança."/>
    <s v="Não"/>
    <s v="Não"/>
    <x v="0"/>
    <m/>
    <x v="5"/>
  </r>
  <r>
    <n v="19471"/>
    <s v="Upgrade do link MPLS da VIVO no DC Alphaville / Fusão e lançamento de fibra óptica."/>
    <x v="14"/>
    <d v="2016-02-19T16:11:53"/>
    <x v="1"/>
    <s v="Encerramento"/>
    <s v="THIAGO SILVA FERREIRA"/>
    <s v="THIAGO SILVA FERREIRA"/>
    <x v="0"/>
    <x v="0"/>
    <s v="Encerrada"/>
    <d v="2016-02-25T22:00:00"/>
    <d v="2016-02-26T01:00:00"/>
    <d v="2016-02-26T02:00:00"/>
    <x v="0"/>
    <x v="2"/>
    <s v="Sem impacto"/>
    <s v="--"/>
    <s v="Desig. 00858479"/>
    <s v="Não"/>
    <s v="Não"/>
    <s v="Retirada da fibra lançada."/>
    <s v="Não"/>
    <s v="Não"/>
    <x v="0"/>
    <m/>
    <x v="0"/>
  </r>
  <r>
    <n v="19472"/>
    <s v="Migração das FSMO do domínio EXTN.dedic-br.dedic.corp para o servidor SDCCTX132SPODB localizado no Datacenter Alegria como parte do plano de recomendações do ambiente Dedic.corp"/>
    <x v="0"/>
    <d v="2016-02-19T16:17:10"/>
    <x v="1"/>
    <s v="Encerramento"/>
    <s v="CARLOS EDUARDO AZEVEDO PEREIRA"/>
    <s v="CARLOS EDUARDO AZEVEDO PEREIRA"/>
    <x v="10"/>
    <x v="0"/>
    <s v="Encerrada"/>
    <d v="2016-02-25T11:00:00"/>
    <d v="2016-02-25T14:00:00"/>
    <d v="2016-02-25T15:00:00"/>
    <x v="0"/>
    <x v="0"/>
    <s v="Sem impacto"/>
    <s v="BRSPOPL602; SDCCTX132SPODB"/>
    <s v="BRSPOPL602; SDCCTX132SPODB"/>
    <s v="Não"/>
    <s v="Não"/>
    <s v="Caso hajam problemas ou indisponibilidade do servidor SDCCTX132SPODA após receber as FSMO, efetuar o processo de seize retornando as FSMO para o servidor de origem."/>
    <s v="Não"/>
    <s v="Não"/>
    <x v="0"/>
    <m/>
    <x v="0"/>
  </r>
  <r>
    <n v="19477"/>
    <s v="Excluir, através de scripts, planos de assistência médica UNIMED associados indevidamente a dependentes – planos UNIMED BASICO e UNIMED ESPECIAL (CNU ESPECIAL APARTAMENTO), em um total de 33 casos."/>
    <x v="34"/>
    <d v="2016-02-22T15:49:35"/>
    <x v="1"/>
    <s v="Encerramento"/>
    <s v="FELIPE DE OLIVEIRA MOREIRA"/>
    <s v="ANDERSON MOURA DE CARVALHO,CLAYTON ROBERTO LEITE,FELIPE DE OLIVEIRA MOREIRA,MARINA SOLIS MARIANO,ROBERTO MAGALHÃES DE OLIVEIRA"/>
    <x v="5"/>
    <x v="0"/>
    <s v="Encerrada"/>
    <d v="2016-03-07T20:00:00"/>
    <d v="2016-03-07T22:00:00"/>
    <d v="2016-03-07T23:00:00"/>
    <x v="0"/>
    <x v="1"/>
    <s v="Pouco impacto"/>
    <s v="DBSCTX127SPODB"/>
    <s v="DBSCTX127SPODB"/>
    <s v="Sim"/>
    <s v="Sim"/>
    <s v="Não se aplica, pois como a informação a ser atualizada está inconsistente, não haverá necessidade de estornar o valor original após realizar a atualização."/>
    <s v="Não"/>
    <s v="Não"/>
    <x v="0"/>
    <s v="Não se aplica"/>
    <x v="0"/>
  </r>
  <r>
    <n v="19479"/>
    <s v="Preventiva Mensal Energ - Teste com carga do Gerador Heimer 305 KVA - Site Paulista 407"/>
    <x v="35"/>
    <d v="2016-02-22T16:44:20"/>
    <x v="1"/>
    <s v="Encerramento"/>
    <s v="JACQUES DOUGLAS NASCIMENTO DOS SANTOS"/>
    <s v="JACQUES DOUGLAS NASCIMENTO DOS SANTOS"/>
    <x v="34"/>
    <x v="0"/>
    <s v="Encerrada"/>
    <d v="2016-03-25T21:00:00"/>
    <d v="2016-03-25T23:00:00"/>
    <d v="2016-03-28T08:00:00"/>
    <x v="0"/>
    <x v="0"/>
    <s v="Pouco impacto"/>
    <s v="--"/>
    <s v="Gerador Heimer 305 KVA - Singelo"/>
    <s v="Não"/>
    <s v="Não"/>
    <s v="Toda atividade será realizada seguindo procedimentos e medidas de controle caso aja qualquer anomalia na execução iremos paralisar e retornar o processo do inicio, sempre sinalizando os interessados da atividade."/>
    <s v="Não"/>
    <s v="Não"/>
    <x v="0"/>
    <s v="N/A"/>
    <x v="0"/>
  </r>
  <r>
    <n v="19480"/>
    <s v="Substituição do hd espelho por defeito."/>
    <x v="3"/>
    <d v="2016-02-22T17:49:01"/>
    <x v="1"/>
    <s v="Encerramento"/>
    <s v="MARCIO CARDOSO MORTONI"/>
    <s v="MARCIO CARDOSO MORTONI"/>
    <x v="12"/>
    <x v="1"/>
    <s v="Encerrada"/>
    <d v="2016-03-01T15:30:00"/>
    <d v="2016-03-01T16:30:00"/>
    <d v="2016-03-01T17:30:00"/>
    <x v="0"/>
    <x v="1"/>
    <s v="Pouco impacto"/>
    <s v="--"/>
    <s v="wfmctx01rjomk"/>
    <s v="Não"/>
    <s v="Não"/>
    <s v="Caso o novo disco apresente defeito o fabricante fará a substituição (Big_Blue)"/>
    <s v="Não"/>
    <s v="Não"/>
    <x v="0"/>
    <s v="call 19193 - Big_Blue"/>
    <x v="13"/>
  </r>
  <r>
    <n v="19483"/>
    <s v="Alterar as vlans da operação divo do site João Pessoa apra autenticação nos DCs do Datacenter SPODB."/>
    <x v="9"/>
    <d v="2016-02-23T15:44:12"/>
    <x v="1"/>
    <s v="Encerramento"/>
    <s v="MARCOS DA SILVA PINTO"/>
    <s v="MARCOS DA SILVA PINTO"/>
    <x v="35"/>
    <x v="24"/>
    <s v="Encerrada"/>
    <d v="2016-02-26T12:00:00"/>
    <d v="2016-02-26T15:00:00"/>
    <d v="2016-02-26T16:00:00"/>
    <x v="3"/>
    <x v="0"/>
    <s v="Sem impacto"/>
    <s v="SDCCTX133SPODB.ngcc.dedic-br.dedic.corp"/>
    <s v="SDCCTX133SPODB.ngcc.dedic-br.dedic.corp"/>
    <s v="Não"/>
    <s v="Não"/>
    <s v="Acessar o Console Active Directory do domínio NGCC e expandir Subnets; Nas propriedades das vlans informadas, clicar com o botão direito, propriedades e alterar na lista suspensa Site de acordo com o que se segue: 10.130.118.0 - EH 10.130.121.0 - EH 10.139.126.0 - LA"/>
    <s v="Não"/>
    <s v="Não"/>
    <x v="0"/>
    <m/>
    <x v="0"/>
  </r>
  <r>
    <n v="19484"/>
    <s v="Homologação Wsus"/>
    <x v="36"/>
    <d v="2016-02-23T16:24:49"/>
    <x v="1"/>
    <s v="Encerramento"/>
    <s v="WELLIGTON RODRIGUES MARINHO NASCIMENTO"/>
    <s v="JOSE GERALDO DA SILVA DOS SANTOS"/>
    <x v="11"/>
    <x v="0"/>
    <s v="Encerrada"/>
    <d v="2016-03-01T01:00:00"/>
    <d v="2016-03-01T08:00:00"/>
    <d v="2016-03-01T09:00:00"/>
    <x v="0"/>
    <x v="1"/>
    <s v="Muito impacto"/>
    <s v="--"/>
    <s v="dbshsb01recau; DHCCTX02RECAU; HMLABN01RECAU; MONCTX01RECAU"/>
    <s v="Sim"/>
    <s v="Não"/>
    <s v="Ocorrendo erro na instalação ,será realizado rollback dos patch aplicados"/>
    <s v="Não"/>
    <s v="Não"/>
    <x v="2"/>
    <s v="."/>
    <x v="0"/>
  </r>
  <r>
    <n v="19485"/>
    <s v="Troca da fonte do Gabinete G650 numero 28 DAC A ceara, pois a fonte atual está com alarme."/>
    <x v="0"/>
    <d v="2016-02-23T16:30:00"/>
    <x v="1"/>
    <s v="Encerramento"/>
    <s v="JOÃO PEREIRA DE SOUZA JUNIOR"/>
    <s v="JOÃO PEREIRA DE SOUZA JUNIOR"/>
    <x v="3"/>
    <x v="1"/>
    <s v="Encerrada"/>
    <d v="2016-02-29T22:00:00"/>
    <d v="2016-03-01T01:00:00"/>
    <d v="2016-03-01T03:00:00"/>
    <x v="0"/>
    <x v="1"/>
    <s v="Sem impacto"/>
    <s v="Gabinete 28 DAC A"/>
    <s v="Gabinete 28 DAC A"/>
    <s v="Não"/>
    <s v="Não"/>
    <s v="1- Inserir a fonte antiga que estava que foi retirada 2- Retirar a nova fonte inserida no slot que estava livre. 3- Validar se a fonte foi reconhecida"/>
    <s v="Não"/>
    <s v="Sim"/>
    <x v="0"/>
    <s v="CTXFORBM-358396"/>
    <x v="1"/>
  </r>
  <r>
    <n v="19487"/>
    <s v="Ajustar a geração do arquivo raw para adequar as regras da EF pois foram evidenciadas inconsistências pela operação. Permitir que a data de vencimento seja atualizada no processo de baixa da R1 Móvel assim como já ocorre no processo de carga pois com a informação desatualizada os relatórios de acompanhamento da operação se tornam inconsistentes."/>
    <x v="3"/>
    <d v="2016-02-24T10:16:45"/>
    <x v="1"/>
    <s v="Encerramento"/>
    <s v="GUSTAVO RODRIGUES DE ORNELAS SILVA"/>
    <s v="GUSTAVO RODRIGUES DE ORNELAS SILVA"/>
    <x v="3"/>
    <x v="1"/>
    <s v="Encerrada"/>
    <d v="2016-02-29T22:45:00"/>
    <d v="2016-02-29T23:59:00"/>
    <d v="2016-03-01T02:59:00"/>
    <x v="0"/>
    <x v="1"/>
    <s v="Os prejuízos ou dificuldades são impactantes"/>
    <s v="cssqloivarejo"/>
    <s v="cssqloivarejo"/>
    <s v="Não"/>
    <s v="Não"/>
    <s v="PLANO DE RETORNO DA GMUD: -&gt; CONECTAR VIA TERMINAL SERVICE NO SERVIDOR 10.55.14.11 -&gt; ABRIR O SQL SQL Server Management Studio -&gt; Executar os comandos: ---&gt; DROP PROCEDURE ProcessStrategies ---&gt; DROP PROCEDURE ProcessBatchLoad_Oi_Varejo_Movel ---&gt; Sp_Rename ProcessStrategies_20160229, ProcessStrategies ---&gt; Sp_Rename ProcessBatchLoad_Oi_Varejo_Movel_20160229, ProcessBatchLoad_Oi_Varejo_Movel"/>
    <s v="Não"/>
    <s v="Não"/>
    <x v="0"/>
    <s v="N/A"/>
    <x v="2"/>
  </r>
  <r>
    <n v="19488"/>
    <s v="Manutenção preventiva Bianual da substação do site"/>
    <x v="0"/>
    <d v="2016-02-24T10:49:54"/>
    <x v="1"/>
    <s v="Encerramento"/>
    <s v="LEVI CARDOSO"/>
    <s v="LEVI CARDOSO"/>
    <x v="9"/>
    <x v="19"/>
    <s v="Encerrada"/>
    <d v="2016-03-13T08:00:00"/>
    <d v="2016-03-13T12:00:00"/>
    <d v="2016-03-13T18:00:00"/>
    <x v="0"/>
    <x v="0"/>
    <s v="Impacto"/>
    <s v="--"/>
    <s v="Gerador e No-Breaks 80 e 160 KVA"/>
    <s v="Sim"/>
    <s v="Não"/>
    <s v="Em caso de algum problema será cancelado a manutenção preventiva."/>
    <s v="Não"/>
    <s v="Não"/>
    <x v="0"/>
    <m/>
    <x v="12"/>
  </r>
  <r>
    <n v="19490"/>
    <s v="INSTALAR INFRA ELETRICA PARA RETIFICADOR DO SDH (OI) SITE ALEGRIA"/>
    <x v="37"/>
    <d v="2016-02-24T12:24:16"/>
    <x v="1"/>
    <s v="Encerramento"/>
    <s v="MARCELO BOSELLI"/>
    <s v="MARCELO BOSELLI"/>
    <x v="5"/>
    <x v="1"/>
    <s v="Encerrada"/>
    <d v="2016-02-24T21:00:00"/>
    <d v="2016-02-25T04:00:00"/>
    <d v="2016-02-25T08:20:00"/>
    <x v="1"/>
    <x v="1"/>
    <s v="Os prejuízos ou dificuldades são impactantes"/>
    <s v="PDU"/>
    <s v="PDU"/>
    <s v="Não"/>
    <s v="Não"/>
    <s v="CASO OCORRA ALGUM PROBLEMA DURANTE A ATIVIDADE SERÃO SUSPENSAS IMEDIATEMENTE"/>
    <s v="Não"/>
    <s v="Não"/>
    <x v="0"/>
    <s v="CTXMLTREG 6282 CPD ALEGRIA FALAHA SDH OI"/>
    <x v="5"/>
  </r>
  <r>
    <n v="19491"/>
    <s v="Manutenção corretiva com Substituir dos Capacitores do Nobreak 150KVA Operação 8º andar."/>
    <x v="0"/>
    <d v="2016-02-24T12:28:58"/>
    <x v="1"/>
    <s v="Encerramento"/>
    <s v="PAULO ROBERTO RIBEIRO DE LIMA"/>
    <s v="PAULO ROBERTO RIBEIRO DE LIMA"/>
    <x v="1"/>
    <x v="14"/>
    <s v="Encerrada"/>
    <d v="2016-03-18T22:00:00"/>
    <d v="2016-03-19T05:00:00"/>
    <d v="2016-03-19T06:00:00"/>
    <x v="0"/>
    <x v="1"/>
    <s v="Impacto"/>
    <s v="--"/>
    <s v="Nobreak´s 150KVA"/>
    <s v="Não"/>
    <s v="Não"/>
    <s v="Substituir o CapacitoresTeste de tensão do Nobreak que será executado por Técnicos especializados. Na execução de atividade caso ocorra qualquer problema cancelaremos a GMUD imediatamente."/>
    <s v="Não"/>
    <s v="Não"/>
    <x v="0"/>
    <s v="Manutenção Corretiva"/>
    <x v="5"/>
  </r>
  <r>
    <n v="19493"/>
    <s v="Realização de manutenção preventiva com parada da UPS Maxi-line de 120KVA"/>
    <x v="25"/>
    <d v="2016-02-24T15:08:04"/>
    <x v="1"/>
    <s v="Encerramento"/>
    <s v="REGINALDO MIRANDA BISPO"/>
    <s v="REGINALDO MIRANDA BISPO"/>
    <x v="21"/>
    <x v="34"/>
    <s v="Encerrada"/>
    <d v="2016-03-11T23:00:00"/>
    <d v="2016-03-12T05:00:00"/>
    <d v="2016-03-12T06:00:00"/>
    <x v="0"/>
    <x v="0"/>
    <s v="Sem impacto"/>
    <s v="No-breaks"/>
    <s v="No-breaks"/>
    <s v="Não"/>
    <s v="Não"/>
    <s v="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Gerador."/>
    <s v="Não"/>
    <s v="Não"/>
    <x v="0"/>
    <s v="NA"/>
    <x v="1"/>
  </r>
  <r>
    <n v="19495"/>
    <s v="Preventiva mensal dos geradores de 200kva e 450kva. Testes com e sem carga."/>
    <x v="0"/>
    <d v="2016-02-24T16:02:48"/>
    <x v="1"/>
    <s v="Encerramento"/>
    <s v="RODRIGO CABRAL GOMES"/>
    <s v="RODRIGO CABRAL GOMES"/>
    <x v="22"/>
    <x v="1"/>
    <s v="Encerrada"/>
    <d v="2016-03-04T23:00:00"/>
    <d v="2016-03-05T05:00:00"/>
    <d v="2016-03-05T06:00:00"/>
    <x v="0"/>
    <x v="0"/>
    <s v="Pouco impacto"/>
    <s v="--"/>
    <s v="GMG"/>
    <s v="Não"/>
    <s v="Não"/>
    <s v="Comunicação com missão critica e NOC"/>
    <s v="Sim"/>
    <s v="Não"/>
    <x v="0"/>
    <m/>
    <x v="5"/>
  </r>
  <r>
    <n v="19499"/>
    <s v="Atender demanda do projeto de Controle de Chamadas da Oi / Realizar migração de trafego para o SBC da Oi em Curitiba"/>
    <x v="21"/>
    <d v="2016-02-24T17:03:59"/>
    <x v="1"/>
    <s v="Encerramento"/>
    <s v="FABIANA CARLA DE SOUZA DIAS"/>
    <s v="DANIEL SOUZA PIMENTEL"/>
    <x v="36"/>
    <x v="1"/>
    <s v="Encerrada"/>
    <d v="2016-03-03T15:00:00"/>
    <d v="2016-03-03T19:00:00"/>
    <d v="2016-03-03T21:00:00"/>
    <x v="0"/>
    <x v="2"/>
    <s v="Pouco impacto"/>
    <s v="--"/>
    <m/>
    <s v="Não"/>
    <s v="Não"/>
    <s v="Mudança Logica. Voltar o trafego das chamadas para o agent encontra-se em produção atualmente."/>
    <s v="Não"/>
    <s v="Não"/>
    <x v="0"/>
    <m/>
    <x v="1"/>
  </r>
  <r>
    <n v="19501"/>
    <s v="OI-13273 - Recarga Ajuste - OCT"/>
    <x v="9"/>
    <d v="2016-02-24T19:42:57"/>
    <x v="1"/>
    <s v="Encerramento"/>
    <s v="LEANDRO GALVÃO OLIVEIRA"/>
    <s v="WILLIAN CAMPBELL VIANA"/>
    <x v="7"/>
    <x v="1"/>
    <s v="Encerrada"/>
    <d v="2016-02-24T23:00:00"/>
    <d v="2016-02-25T09:00:00"/>
    <d v="2016-02-25T17:00:00"/>
    <x v="3"/>
    <x v="1"/>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Sim"/>
    <s v="Retorna os arquivos de backup. Refazer os Testes Técnicos e Funcionais"/>
    <s v="Não"/>
    <s v="Não"/>
    <x v="0"/>
    <s v="OI-13273"/>
    <x v="5"/>
  </r>
  <r>
    <n v="19502"/>
    <s v="Atender projeto da Oi de Controle de Chamadas / Migração logica das chamadas para o SBC da Oi no POP Porto Alegre"/>
    <x v="33"/>
    <d v="2016-02-25T09:55:55"/>
    <x v="1"/>
    <s v="Encerramento"/>
    <s v="FABIANA CARLA DE SOUZA DIAS"/>
    <s v="DANIEL SOUZA PIMENTEL"/>
    <x v="37"/>
    <x v="1"/>
    <s v="Encerrada"/>
    <d v="2016-03-04T14:00:00"/>
    <d v="2016-03-04T19:00:00"/>
    <d v="2016-03-04T21:00:00"/>
    <x v="0"/>
    <x v="2"/>
    <s v="Pouco impacto"/>
    <s v="--"/>
    <m/>
    <s v="Não"/>
    <s v="Não"/>
    <s v="Mudança Logica. Voltar o trafego das chamadas para o agent encontra-se em produção atualmente."/>
    <s v="Não"/>
    <s v="Não"/>
    <x v="2"/>
    <m/>
    <x v="1"/>
  </r>
  <r>
    <n v="19503"/>
    <s v="Implantação de release de novas demandas da MultiProduto"/>
    <x v="0"/>
    <d v="2016-02-25T10:41:12"/>
    <x v="1"/>
    <s v="Encerramento"/>
    <s v="UVERLANIO MAURICIO PEREIRA DA SILVA"/>
    <s v="MARCOS SANTOS DO SACRAMENTO"/>
    <x v="7"/>
    <x v="1"/>
    <s v="Encerrada"/>
    <d v="2016-03-09T12:00:00"/>
    <d v="2016-03-10T06:30:00"/>
    <d v="2016-03-10T07:00:00"/>
    <x v="0"/>
    <x v="0"/>
    <s v="Os prejuízos ou dificuldades são impactantes"/>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Não"/>
    <s v="Não"/>
    <s v="Fazer o deploy da versão anterior da aplicação."/>
    <s v="Não"/>
    <s v="Sim"/>
    <x v="0"/>
    <s v="OI-12750"/>
    <x v="5"/>
  </r>
  <r>
    <n v="19504"/>
    <s v="Manutenção corretiva nas máquinas de ar condicionado: 02 e 04 CDP Prado I."/>
    <x v="38"/>
    <d v="2016-02-25T14:00:24"/>
    <x v="1"/>
    <s v="Encerramento"/>
    <s v="CRISTIANO COTA DIAS"/>
    <s v="CRISTIANO COTA DIAS"/>
    <x v="13"/>
    <x v="1"/>
    <s v="Encerrada"/>
    <d v="2016-02-25T18:00:00"/>
    <d v="2016-02-26T05:00:00"/>
    <d v="2016-02-26T06:00:00"/>
    <x v="1"/>
    <x v="1"/>
    <s v="Muito impacto"/>
    <s v="--"/>
    <s v="Ar condicionado"/>
    <s v="Sim"/>
    <s v="Não"/>
    <s v="Caso ocorra algum incidente os técnicos manterão contato com os gestores afim de definir o caminho ótimo para a solução do incidente."/>
    <s v="Não"/>
    <s v="Não"/>
    <x v="0"/>
    <s v="N/A"/>
    <x v="5"/>
  </r>
  <r>
    <n v="19505"/>
    <s v="Atualização da aplicação OiTv. A release 2016/03/01 terá como foco principal as seguintes mudanças abaixo: ? FUO-551 Diagnóstico do Projeto Clima Tempo &quot;Prezados, ? FUO-550 Diagnóstico do Projeto NID &quot;Prezados, ? FUO-720 Menu Fibra ? FUO-678 FUO-760 URA 10631 - FALHA DE PROMPT - ERRADO - ( OITV ) ? FUO-761 Problema Consulta BuscaDadosCliente ? FUO-764 Alteração tratamento 0 contratos"/>
    <x v="0"/>
    <d v="2016-02-25T14:43:43"/>
    <x v="1"/>
    <s v="Encerramento"/>
    <s v="DANIEL SCHONWANDT MENDES FERREIRA"/>
    <s v="LUIZ HENRIQUE OLIVEIRA DA SILVA"/>
    <x v="7"/>
    <x v="1"/>
    <s v="Encerrada"/>
    <d v="2016-03-01T22:00:00"/>
    <d v="2016-03-02T12:00:00"/>
    <d v="2016-03-02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506"/>
    <s v="Atualização da aplicação Corporativo. A release 2016/03/01 terá como foco principal as seguintes mudanças abaixo: ? FUO-710 Inclusão MSGs BD e evento no início da URA ? FUO-711 Implantar novo checklist de reparo Fixo e Velox"/>
    <x v="0"/>
    <d v="2016-02-25T15:18:43"/>
    <x v="1"/>
    <s v="Encerramento"/>
    <s v="DANIEL SCHONWANDT MENDES FERREIRA"/>
    <s v="LUIZ HENRIQUE OLIVEIRA DA SILVA"/>
    <x v="7"/>
    <x v="1"/>
    <s v="Encerrada"/>
    <d v="2016-03-01T22:00:00"/>
    <d v="2016-03-02T12:00:00"/>
    <d v="2016-03-02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507"/>
    <s v="Manutenção preventiva dos grupos geradores Stemac e FGW e realização de teste com carga."/>
    <x v="25"/>
    <d v="2016-02-25T15:56:38"/>
    <x v="1"/>
    <s v="Encerramento"/>
    <s v="REGINALDO MIRANDA BISPO"/>
    <s v="REGINALDO MIRANDA BISPO"/>
    <x v="21"/>
    <x v="34"/>
    <s v="Encerrada"/>
    <d v="2016-03-12T23:00:00"/>
    <d v="2016-03-13T05:00:00"/>
    <d v="2016-03-13T06:00:00"/>
    <x v="0"/>
    <x v="0"/>
    <s v="Sem impacto"/>
    <s v="GMG Stemac e FGGilson."/>
    <s v="GMG Stemac e FGGilson."/>
    <s v="Não"/>
    <s v="Não"/>
    <s v="Em eventual falha reportaremos para a área de missão critica, coordenador do site e gerência de cidade, após ser aprovado o procedimento restabeleceremos o sistema. OBS: A execução da manutenção será acompanhada pelo técnico de equipamentos do site Cabula"/>
    <s v="Não"/>
    <s v="Não"/>
    <x v="0"/>
    <s v="NA"/>
    <x v="1"/>
  </r>
  <r>
    <n v="19508"/>
    <s v="Atualização da aplicação Empresarial. A release 2016/03/01 terá como foco principal as seguintes mudanças abaixo: ? FUO-757 Piloto Vendas _ TLV Empresarial"/>
    <x v="0"/>
    <d v="2016-02-25T15:57:08"/>
    <x v="1"/>
    <s v="Encerramento"/>
    <s v="DANIEL SCHONWANDT MENDES FERREIRA"/>
    <s v="LUIZ HENRIQUE OLIVEIRA DA SILVA"/>
    <x v="7"/>
    <x v="1"/>
    <s v="Encerrada"/>
    <d v="2016-03-01T22:00:00"/>
    <d v="2016-03-02T12:00:00"/>
    <d v="2016-03-02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509"/>
    <s v="Garantir devida alimentação elétrica para equipamento Oi SDH. Troca da fonte alimentadora (Retificadora) atual (solução temporária) para retificadora definitiva. A GMUD será executada pelas equipes de transmissão e energia da Oi"/>
    <x v="0"/>
    <d v="2016-02-25T16:19:29"/>
    <x v="1"/>
    <s v="Encerramento"/>
    <s v="MARILICE DE OLIVEIRA"/>
    <s v="NOC,WELINTON DIVANI DA SILVA"/>
    <x v="5"/>
    <x v="42"/>
    <s v="Encerrada"/>
    <d v="2016-02-25T23:59:00"/>
    <d v="2016-02-26T04:00:00"/>
    <d v="2016-02-26T05:00:00"/>
    <x v="1"/>
    <x v="1"/>
    <s v="Os prejuízos ou dificuldades são impactantes"/>
    <m/>
    <s v="--"/>
    <s v="Sim"/>
    <s v="Não"/>
    <s v="Caso a alimentação nova do retificador não funcione, deve-se voltar para a contingência atual. Seguir os mesmos testes de validação descritos aqui."/>
    <s v="Não"/>
    <s v="Não"/>
    <x v="0"/>
    <s v="CTXMLTREG-6282"/>
    <x v="18"/>
  </r>
  <r>
    <n v="19510"/>
    <s v="Atualização da aplicação OiTv. A release 2016/02/25 terá como foco principal as seguintes mudanças abaixo: ? FUO - 766 Emergencial - Luta Anderson Silva"/>
    <x v="9"/>
    <d v="2016-02-25T16:49:14"/>
    <x v="1"/>
    <s v="Encerramento"/>
    <s v="DANIEL SCHONWANDT MENDES FERREIRA"/>
    <s v="DANIEL SCHONWANDT MENDES FERREIRA"/>
    <x v="7"/>
    <x v="1"/>
    <s v="Encerrada"/>
    <d v="2016-02-25T22:00:00"/>
    <d v="2016-02-26T12:00:00"/>
    <d v="2016-02-26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19513"/>
    <s v="Ajuste URA RACO."/>
    <x v="9"/>
    <d v="2016-02-26T11:49:32"/>
    <x v="1"/>
    <s v="Encerramento"/>
    <s v="FRANCIELE CARLA DE LIMA COSTA"/>
    <s v="RAFAEL BARBOSA DA SILVA"/>
    <x v="7"/>
    <x v="1"/>
    <s v="Encerrada"/>
    <d v="2016-02-26T14:00:00"/>
    <d v="2016-02-26T16:00:00"/>
    <d v="2016-02-26T19:00:00"/>
    <x v="3"/>
    <x v="1"/>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m/>
    <x v="2"/>
  </r>
  <r>
    <n v="19515"/>
    <s v="Evitar desligamento indevido do ativo apptctx04salas"/>
    <x v="0"/>
    <d v="2016-02-26T13:07:50"/>
    <x v="1"/>
    <s v="Encerramento"/>
    <s v="VINÍCIUS FERNANDES CHATEAUNEUF"/>
    <s v="RICARDO ADRYANO BEZERRA"/>
    <x v="20"/>
    <x v="1"/>
    <s v="Encerrada"/>
    <d v="2016-03-03T10:00:00"/>
    <d v="2016-03-03T14:00:00"/>
    <d v="2016-03-03T15:00:00"/>
    <x v="0"/>
    <x v="1"/>
    <s v="Pouco impacto"/>
    <s v="appctx04salas"/>
    <s v="appctx04salas"/>
    <s v="Não"/>
    <s v="Não"/>
    <s v="Caso ocorra falha no disco, o mesmo será removido do servidor e disco anterior inserido."/>
    <s v="Não"/>
    <s v="Não"/>
    <x v="0"/>
    <s v="CTXSALAS-163253"/>
    <x v="5"/>
  </r>
  <r>
    <n v="19517"/>
    <s v="Atualização da aplicação Empresarial. A release 2016/02/26 terá como foco principal as seguintes mudanças abaixo: ? FUO-325 - CapturaNumero TelevendasFUO-709 Captura Numero Empresarial ? FUO-662 Informe de OS Aberta Fixo/Velox"/>
    <x v="9"/>
    <d v="2016-02-26T13:59:36"/>
    <x v="1"/>
    <s v="Encerramento"/>
    <s v="DANIEL SCHONWANDT MENDES FERREIRA"/>
    <s v="DANIEL SCHONWANDT MENDES FERREIRA"/>
    <x v="7"/>
    <x v="1"/>
    <s v="Encerrada"/>
    <d v="2016-02-26T22:00:00"/>
    <d v="2016-02-27T12:00:00"/>
    <d v="2016-02-27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19518"/>
    <s v="Embratel irá instalar o roteador para ativiação do link de dados da Operação Souza Cruz"/>
    <x v="13"/>
    <d v="2016-02-26T15:50:44"/>
    <x v="1"/>
    <s v="Encerramento"/>
    <s v="LUIZ WASHINGTON GIANEZZI"/>
    <s v="LEANDRO AMARAL SILVA"/>
    <x v="10"/>
    <x v="12"/>
    <s v="Encerrada"/>
    <d v="2016-03-03T22:00:00"/>
    <d v="2016-03-04T02:00:00"/>
    <d v="2016-03-04T04:00:00"/>
    <x v="0"/>
    <x v="2"/>
    <s v="Sem impacto"/>
    <s v="Não tem"/>
    <s v="Não tem"/>
    <s v="Não"/>
    <s v="Não"/>
    <s v="Desligar o equipamento."/>
    <s v="Não"/>
    <s v="Não"/>
    <x v="0"/>
    <m/>
    <x v="0"/>
  </r>
  <r>
    <n v="19519"/>
    <s v="Implantar novo processo de baixa diária na Operação Varejo R2 Fixa."/>
    <x v="0"/>
    <d v="2016-02-26T16:42:39"/>
    <x v="1"/>
    <s v="Encerramento"/>
    <s v="GEOVANI JOSE DE RESENDE MOREIRA"/>
    <s v="GEOVANI JOSE DE RESENDE MOREIRA"/>
    <x v="2"/>
    <x v="1"/>
    <s v="Encerrada"/>
    <d v="2016-03-07T20:00:00"/>
    <d v="2016-03-07T23:00:00"/>
    <d v="2016-03-07T23:59:00"/>
    <x v="0"/>
    <x v="2"/>
    <s v="Sem impacto"/>
    <s v="--"/>
    <s v="10.55.14.13"/>
    <s v="Não"/>
    <s v="Não"/>
    <s v="1 - conectar no servidor 10.55.14.13 pelo query analyzer 2 - executar SQL ABAIXO: /****** Object: Table [dbo].[DataExchange_BatchLoad_Oi_Fixa_R2_Baixa_Diaria_Matrix] Script Date: 01/13/2015 14:34:46 ******/ IF EXISTS (SELECT * FROM sys.objects WHERE object_id = OBJECT_ID(N'[dbo].[DataExchange_BatchLoad_Oi_Fixa_R2_Baixa_Diaria_Matrix]') AND type in (N'U')) DROP TABLE [dbo].[DataExchange_BatchLoad_Oi_Fixa_R2_Baixa_Diaria_Matrix] GO /****** Object: Table [dbo].[DataExchange_BatchLoad_Oi_Fixa_R2_Baixa_Diaria_RawData] Script Date: 01/13/2015 14:34:57 ******/ IF EXISTS (SELECT * FROM sys.objects WHERE object_id = OBJECT_ID(N'[dbo].[DataExchange_BatchLoad_Oi_Fixa_R2_Baixa_Diaria_RawData]') AND type in (N'U')) DROP TABLE [dbo].[DataExchange_BatchLoad_Oi_Fixa_R2_Baixa_Diaria_RawData] GO /****** Object: StoredProcedure [dbo].[PrepareBatchLoadDataExchange_BatchLoad_Oi_Fixa_R2_Baixa_Diaria] Script Date: 26/02/2016 14:30:54 ******/ IF EXISTS (SELECT * FROM sys.objects WHERE object_id = OBJECT_ID(N'[dbo].[PrepareBatchLoadDataExchange_BatchLoad_Oi_Fixa_R2_Baixa_Diaria]') AND type in (N'P', N'PC')) DROP PROCEDURE [dbo].[PrepareBatchLoadDataExchange_BatchLoad_Oi_Fixa_R2_Baixa_Diaria] GO /****** Object: StoredProcedure [dbo].[SendMail_Baixa_Oi_Fixa_R2_Baixa_Diaria] Script Date: 01/13/2015 14:33:18 ******/ IF EXISTS (SELECT * FROM sys.objects WHERE object_id = OBJECT_ID(N'[dbo].[SendMail_Baixa_Oi_Fixa_R2_Baixa_Diaria]') AND type in (N'P', N'PC')) DROP PROCEDURE [dbo].[SendMail_Baixa_Oi_Fixa_R2_Baixa_Diaria] GO /****** Object: StoredProcedure [dbo].[ProcessBatchLoad__Oi_FixaR2BaixaDiaria] Script Date: 01/13/2015 14:33:56 ******/ IF EXISTS (SELECT * FROM sys.objects WHERE object_id = OBJECT_ID(N'[dbo].[ProcessBatchLoad__Oi_FixaR2BaixaDiaria]') AND type in (N'P', N'PC')) DROP PROCEDURE [dbo].[ProcessBatchLoad__Oi_FixaR2BaixaDiaria] GO /****** Object: StoredProcedure [dbo].[ParseDataExchange_BatchLoad_Oi_Fixa_R2_Baixa_Diaria] Script Date: 01/13/2015 14:34:13 ******/ IF EXISTS (SELECT * FROM sys.objects WHERE object_id = OBJECT_ID(N'[dbo].[ParseDataExchange_BatchLoad_Oi_Fixa_R2_Baixa_Diaria]') AND type in (N'P', N'PC')) DROP PROCEDURE [dbo].[ParseDataExchange_BatchLoad_Oi_Fixa_R2_Baixa_Diaria] GO"/>
    <s v="Não"/>
    <s v="Não"/>
    <x v="0"/>
    <m/>
    <x v="2"/>
  </r>
  <r>
    <n v="19521"/>
    <s v="Upgrade do link MPLS da VIVO no DC Alphaville / Fusão e lançamento da fibra de redundância da VIVO no DC Alphaville"/>
    <x v="14"/>
    <d v="2016-02-26T17:31:09"/>
    <x v="1"/>
    <s v="Encerramento"/>
    <s v="THIAGO SILVA FERREIRA"/>
    <s v="THIAGO SILVA FERREIRA"/>
    <x v="0"/>
    <x v="0"/>
    <s v="Encerrada"/>
    <d v="2016-03-02T22:00:00"/>
    <d v="2016-03-03T02:00:00"/>
    <d v="2016-03-03T03:00:00"/>
    <x v="0"/>
    <x v="2"/>
    <s v="Sem impacto"/>
    <s v="--"/>
    <m/>
    <s v="Não"/>
    <s v="Não"/>
    <s v="Retirar a fibra lançada."/>
    <s v="Não"/>
    <s v="Não"/>
    <x v="0"/>
    <m/>
    <x v="0"/>
  </r>
  <r>
    <n v="19522"/>
    <s v="Upgrade do link MPLS da VIVO no DC Alegria / Ativação do link de 5GB."/>
    <x v="14"/>
    <d v="2016-02-26T18:06:14"/>
    <x v="1"/>
    <s v="Encerramento"/>
    <s v="THIAGO SILVA FERREIRA"/>
    <s v="THIAGO SILVA FERREIRA"/>
    <x v="10"/>
    <x v="0"/>
    <s v="Encerrada"/>
    <d v="2016-03-03T22:00:00"/>
    <d v="2016-03-04T02:30:00"/>
    <d v="2016-03-04T03:00:00"/>
    <x v="0"/>
    <x v="2"/>
    <s v="Pouco impacto"/>
    <s v="--"/>
    <s v="Desig. 32080077"/>
    <s v="Sim"/>
    <s v="Não"/>
    <s v="Re-ativação do link MPLS de 1GB"/>
    <s v="Não"/>
    <s v="Não"/>
    <x v="0"/>
    <m/>
    <x v="0"/>
  </r>
  <r>
    <n v="19525"/>
    <s v="Atualização de Patches de segurança e Restart no Sistema Operacional em servidores de produção com mais de 30 dias online"/>
    <x v="0"/>
    <d v="2016-02-27T16:38:55"/>
    <x v="1"/>
    <s v="Encerramento"/>
    <s v="JOÃO PEREIRA DE SOUZA JUNIOR"/>
    <s v="JOSE GERALDO DA SILVA DOS SANTOS,ROBERTO MAGALHÃES DE OLIVEIRA"/>
    <x v="3"/>
    <x v="1"/>
    <s v="Encerrada"/>
    <d v="2016-03-03T23:30:00"/>
    <d v="2016-03-04T05:00:00"/>
    <d v="2016-03-04T06:00:00"/>
    <x v="0"/>
    <x v="0"/>
    <s v="Sem impacto"/>
    <s v="APPTLM10FORBM; DBSCTX07FORBM; DBSCTX08FORBM; DBSCTX11FORBM; DBSCTX16FORBM; GRVCTX23FORBM; GRVTLM11FORBM; WEBCTX01FORBM; WEBCTX02FORBM"/>
    <s v="APPTLM10FORBM; DBSCTX07FORBM; DBSCTX08FORBM; DBSCTX11FORBM; DBSCTX16FORBM; GRVCTX23FORBM; GRVTLM11FORBM; WEBCTX01FORBM; WEBCTX02FORBM"/>
    <s v="Sim"/>
    <s v="Não"/>
    <s v="1 - Remover as atualizações aplicadas pelo Adicionar e Remover Programas do painel de controle; 2 - Reinicializar o servidor;"/>
    <s v="Não"/>
    <s v="Não"/>
    <x v="0"/>
    <m/>
    <x v="9"/>
  </r>
  <r>
    <n v="19529"/>
    <s v="Atualizar o número de licenças contratadas pela Contax junto ao fornecedor LG. O licenciamento do FPw tem como base o número de colaboradores ativos. Nesta atualização está sendo feito um downgrade do número de licenças conforme listado abaixo: FPW Folha de Pagamento: de 83 mil para 66 mil My Way: de 83 mil para 66 mil. Esta redução se deve ao fato de redução no número de funcionários na Contax."/>
    <x v="9"/>
    <d v="2016-02-29T15:36:57"/>
    <x v="1"/>
    <s v="Encerramento"/>
    <s v="MIGUEL ANGELO DO PATROCINIO"/>
    <s v="MIGUEL ANGELO DO PATROCINIO"/>
    <x v="5"/>
    <x v="0"/>
    <s v="Encerrada"/>
    <d v="2016-02-29T17:00:00"/>
    <d v="2016-02-29T18:00:00"/>
    <d v="2016-02-29T23:00:00"/>
    <x v="3"/>
    <x v="1"/>
    <s v="Sem impacto"/>
    <s v="APPCTX114SPODB; APPCTX181SPODB"/>
    <s v="APPCTX114SPODB; APPCTX181SPODB"/>
    <s v="Não"/>
    <s v="Não"/>
    <s v="Não há, caso a atualização não seja feita com sucesso permanece o número de licenças anterior."/>
    <s v="Não"/>
    <s v="Não"/>
    <x v="0"/>
    <s v="n/a"/>
    <x v="0"/>
  </r>
  <r>
    <n v="19533"/>
    <s v="rollout dos projetos Preenchimento Automático de Senha do DataCenter e Inad45d"/>
    <x v="39"/>
    <d v="2016-03-01T10:09:57"/>
    <x v="2"/>
    <s v="Encerramento"/>
    <s v="MARIANA DE LIMA BOSCHIERO"/>
    <s v="MARIANA DE LIMA BOSCHIERO"/>
    <x v="11"/>
    <x v="21"/>
    <s v="Encerrada"/>
    <d v="2016-03-09T10:00:00"/>
    <d v="2016-03-18T18:00:00"/>
    <d v="2016-03-18T20:00:00"/>
    <x v="0"/>
    <x v="2"/>
    <s v="Pouco impacto"/>
    <s v="--"/>
    <s v="Aproximadamente 130 máquinas da operação NET; Aproximadamente 720 máquinas da operação NET"/>
    <s v="Não"/>
    <s v="Não"/>
    <s v="Voltar a solução ativa atualmente nos times de cada uma das operações NET com solução RTI - Acessar o servidor de RTI para a operação NET; - Associar a última versão aos times de cada operação - Acompanhar"/>
    <s v="Não"/>
    <s v="Não"/>
    <x v="0"/>
    <s v="CTXPOARB-95445, CTXPOARB-95468"/>
    <x v="7"/>
  </r>
  <r>
    <n v="19534"/>
    <s v="Realizar Manutenção Preventiva nas UPS que atendem ao CPD site Lapa"/>
    <x v="40"/>
    <d v="2016-03-01T11:17:47"/>
    <x v="2"/>
    <s v="Encerramento"/>
    <s v="MARCIO LUIS DE GODOI JUNIOR"/>
    <s v="MARCIO LUIS DE GODOI JUNIOR"/>
    <x v="19"/>
    <x v="43"/>
    <s v="Encerrada"/>
    <d v="2016-03-18T22:00:00"/>
    <d v="2016-03-19T06:00:00"/>
    <d v="2016-03-23T11:25:00"/>
    <x v="0"/>
    <x v="0"/>
    <s v="Sem impacto"/>
    <s v="--"/>
    <s v="--"/>
    <s v="Não"/>
    <s v="Não"/>
    <s v="Caso ocorra qualquer anomalia, iremos parar a ativade em imediato informar areas interessadas e voltar o processo do inicio"/>
    <s v="Não"/>
    <s v="Não"/>
    <x v="0"/>
    <n v="18336"/>
    <x v="8"/>
  </r>
  <r>
    <n v="19535"/>
    <s v="Garantir a confiabilidade do sistema de geração de energia emergencial."/>
    <x v="0"/>
    <d v="2016-03-01T12:01:00"/>
    <x v="2"/>
    <s v="Encerramento"/>
    <s v="CRISTIANO COTA DIAS"/>
    <s v="CRISTIANO COTA DIAS"/>
    <x v="2"/>
    <x v="1"/>
    <s v="Encerrada"/>
    <d v="2016-03-18T21:00:00"/>
    <d v="2016-03-19T04:00:00"/>
    <d v="2016-03-19T05:00:00"/>
    <x v="0"/>
    <x v="0"/>
    <s v="Pouco impacto"/>
    <s v="--"/>
    <s v="Geradores"/>
    <s v="Sim"/>
    <s v="Não"/>
    <s v="Caso ocorra algum incidente os técnicos manterão contato com os gestores afim de definir o caminho ótimo para a solução do incidente."/>
    <s v="Não"/>
    <s v="Não"/>
    <x v="0"/>
    <m/>
    <x v="2"/>
  </r>
  <r>
    <n v="19536"/>
    <s v="Garantir a confiabilidade do sistema de geração de energia emergencial do Site Prado."/>
    <x v="0"/>
    <d v="2016-03-01T12:23:01"/>
    <x v="2"/>
    <s v="Encerramento"/>
    <s v="CRISTIANO COTA DIAS"/>
    <s v="CRISTIANO COTA DIAS"/>
    <x v="13"/>
    <x v="1"/>
    <s v="Encerrada"/>
    <d v="2016-03-18T21:00:00"/>
    <d v="2016-03-19T04:00:00"/>
    <d v="2016-03-19T05:00:00"/>
    <x v="0"/>
    <x v="0"/>
    <s v="Pouco impacto"/>
    <s v="--"/>
    <s v="Geradores"/>
    <s v="Sim"/>
    <s v="Não"/>
    <s v="Caso ocorra algum incidente os técnicos manterão contato com os gestores afim de definir o caminho ótimo para a solução do incidente."/>
    <s v="Não"/>
    <s v="Não"/>
    <x v="0"/>
    <m/>
    <x v="2"/>
  </r>
  <r>
    <n v="19537"/>
    <s v="Atualização da aplicação Televendas. A release 2016/03/01 terá como foco principal as seguintes mudanças abaixo: -&gt; FUO-740 Confirmação de CNPJ em mãos"/>
    <x v="9"/>
    <d v="2016-03-01T14:31:37"/>
    <x v="2"/>
    <s v="Encerramento"/>
    <s v="DANIEL SCHONWANDT MENDES FERREIRA"/>
    <s v="DANIEL SCHONWANDT MENDES FERREIRA"/>
    <x v="7"/>
    <x v="1"/>
    <s v="Encerrada"/>
    <d v="2016-03-01T22:00:00"/>
    <d v="2016-03-02T12:00:00"/>
    <d v="2016-03-02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19538"/>
    <s v="Garantir a confiabilidade de energia estabilizada para as cargas do CPD."/>
    <x v="0"/>
    <d v="2016-03-01T14:36:52"/>
    <x v="2"/>
    <s v="Encerramento"/>
    <s v="CRISTIANO COTA DIAS"/>
    <s v="CRISTIANO COTA DIAS"/>
    <x v="13"/>
    <x v="1"/>
    <s v="Encerrada"/>
    <d v="2016-03-16T22:00:00"/>
    <d v="2016-03-17T04:00:00"/>
    <d v="2016-03-17T05:00:00"/>
    <x v="0"/>
    <x v="0"/>
    <s v="Pouco impacto"/>
    <s v="--"/>
    <s v="No-Break´s"/>
    <s v="Não"/>
    <s v="Não"/>
    <s v="Caso ocorra algum incidente os técnicos manterão contato com os gestores afim de definir o caminho ótimo para a solução do incidente."/>
    <s v="Não"/>
    <s v="Não"/>
    <x v="0"/>
    <m/>
    <x v="5"/>
  </r>
  <r>
    <n v="19539"/>
    <s v="Garantir a confiabilidade de energia estabilizada para as cargas do CPD."/>
    <x v="0"/>
    <d v="2016-03-01T15:18:05"/>
    <x v="2"/>
    <s v="Encerramento"/>
    <s v="CRISTIANO COTA DIAS"/>
    <s v="CRISTIANO COTA DIAS"/>
    <x v="2"/>
    <x v="1"/>
    <s v="Encerrada"/>
    <d v="2016-03-17T21:00:00"/>
    <d v="2016-03-19T04:00:00"/>
    <d v="2016-03-19T05:00:00"/>
    <x v="0"/>
    <x v="0"/>
    <s v="Pouco impacto"/>
    <s v="No-Break´s"/>
    <s v="No-Break´s"/>
    <s v="Sim"/>
    <s v="Não"/>
    <s v="Caso ocorra algum incidente os técnicos manterão contato com os gestores afim de definir o caminho ótimo para a solução do incidente."/>
    <s v="Sim"/>
    <s v="Não"/>
    <x v="0"/>
    <m/>
    <x v="2"/>
  </r>
  <r>
    <n v="19540"/>
    <s v="Garantir a confiabilidade de energia estabilizada para as cargas do CPD."/>
    <x v="0"/>
    <d v="2016-03-01T15:50:10"/>
    <x v="2"/>
    <s v="Encerramento"/>
    <s v="CRISTIANO COTA DIAS"/>
    <s v="CRISTIANO COTA DIAS"/>
    <x v="13"/>
    <x v="1"/>
    <s v="Encerrada"/>
    <d v="2016-03-18T21:00:00"/>
    <d v="2016-03-19T04:00:00"/>
    <d v="2016-03-19T05:00:00"/>
    <x v="0"/>
    <x v="0"/>
    <s v="Pouco impacto"/>
    <s v="No-Break's"/>
    <s v="No-Break's"/>
    <s v="Sim"/>
    <s v="Não"/>
    <s v="Caso ocorra algum incidente os técnicos manterão contato com os gestores afim de definir o caminho ótimo para a solução do incidente."/>
    <s v="Não"/>
    <s v="Não"/>
    <x v="0"/>
    <m/>
    <x v="5"/>
  </r>
  <r>
    <n v="19541"/>
    <s v="Remoção do Antivírus Symantec no servidor 10.16.1.159"/>
    <x v="41"/>
    <d v="2016-03-01T16:31:33"/>
    <x v="2"/>
    <s v="Encerramento"/>
    <s v="JÚLIO CÉSAR DOMINGOS MARQUES"/>
    <s v="JOAO BATISTA DE LIMA NETO"/>
    <x v="3"/>
    <x v="1"/>
    <s v="Encerrada"/>
    <d v="2016-03-03T22:00:00"/>
    <d v="2016-03-04T06:00:00"/>
    <d v="2016-03-04T06:00:00"/>
    <x v="1"/>
    <x v="1"/>
    <s v="Muito impacto"/>
    <s v="--"/>
    <s v="APPCTX05FORBM"/>
    <s v="Sim"/>
    <s v="Não"/>
    <s v="Restore de backup"/>
    <s v="Não"/>
    <s v="Não"/>
    <x v="0"/>
    <s v="CTXBHZRP-217742"/>
    <x v="5"/>
  </r>
  <r>
    <n v="19542"/>
    <s v="Garantir a confiabilidade do sistema de geração de energia emergencial do Site Prado. Troca da bomba d'água do GMG 03 (405KVA)"/>
    <x v="0"/>
    <d v="2016-03-01T17:17:55"/>
    <x v="2"/>
    <s v="Encerramento"/>
    <s v="CRISTIANO COTA DIAS"/>
    <s v="CRISTIANO COTA DIAS"/>
    <x v="13"/>
    <x v="1"/>
    <s v="Encerrada"/>
    <d v="2016-03-02T21:00:00"/>
    <d v="2016-03-03T04:00:00"/>
    <d v="2016-03-03T05:00:00"/>
    <x v="1"/>
    <x v="1"/>
    <s v="Muito impacto"/>
    <s v="--"/>
    <s v="Geradores"/>
    <s v="Sim"/>
    <s v="Não"/>
    <s v="Caso ocorra algum incidente os técnicos manterão contato com os gestores afim de definir o caminho ótimo para a solução do incidente."/>
    <s v="Não"/>
    <s v="Não"/>
    <x v="0"/>
    <s v="N/A"/>
    <x v="5"/>
  </r>
  <r>
    <n v="19545"/>
    <s v="Atualização da versão server para atender a restrição para as transferências do SAC Oi."/>
    <x v="6"/>
    <d v="2016-03-01T18:19:59"/>
    <x v="2"/>
    <s v="Encerramento"/>
    <s v="FLÁVIO ROBERTO DE FREITAS MIRANDA"/>
    <s v="PAULO CESAR DE SOUZA,ROBERTO MAGALHÃES DE OLIVEIRA"/>
    <x v="8"/>
    <x v="1"/>
    <s v="Encerrada"/>
    <d v="2016-03-29T22:00:00"/>
    <d v="2016-03-30T18:00:00"/>
    <d v="2016-03-30T19:00:00"/>
    <x v="0"/>
    <x v="2"/>
    <s v="Pouco impacto"/>
    <s v="FESCTX01SPODA; NGRFFACIL.oictx.contax.root"/>
    <s v="FESCTX01SPODA; NGRFFACIL.oictx.contax.root"/>
    <s v="Sim"/>
    <s v="Não"/>
    <s v="1 - Se conecta no servidor via mstsc; 2 - Para a aplicação; 3 - Exclui o arquivo que foi copiado na estapa de execução; 4 - Restaura o nome do arquivo que foi renomeado na etapa de execução; 5 - Inicia a aplicação; 6 - Segue para o próximo servidor;"/>
    <s v="Não"/>
    <s v="Não"/>
    <x v="0"/>
    <s v="CTXMTZPB-1118"/>
    <x v="17"/>
  </r>
  <r>
    <n v="19546"/>
    <s v="Incremento de informações para auditorias e segurança, além de melhora na performance no tSupervisor!."/>
    <x v="0"/>
    <d v="2016-03-01T18:30:29"/>
    <x v="2"/>
    <s v="Encerramento"/>
    <s v="FLÁVIO ROBERTO DE FREITAS MIRANDA"/>
    <s v="PAULO CESAR DE SOUZA,ROBERTO MAGALHÃES DE OLIVEIRA"/>
    <x v="10"/>
    <x v="40"/>
    <s v="Encerrada"/>
    <d v="2016-04-04T22:00:00"/>
    <d v="2016-04-05T02:10:00"/>
    <d v="2016-04-05T18:00:00"/>
    <x v="0"/>
    <x v="0"/>
    <s v="Sem impacto"/>
    <s v="APPCTX388SPODA; APPCTX388SPODB; APPCTX389SPODA; APPCTX389SPODB"/>
    <s v="APPCTX388SPODA; APPCTX388SPODB; APPCTX389SPODA; APPCTX389SPODB; CLSCTX101SPODA; CLSCTX101SPODB"/>
    <s v="Sim"/>
    <s v="Não"/>
    <s v="Parar o JBOSS da aplicação tSupervisor Acessar a pasta D:\Todo\jboss-eap-6.2-port-8180\standalone\deployments nos servidores 10.200.64.68, 10.200.64.69, 10.201.64.68 e 10.201.64.69 Excluir a aplicação atual tsupervisor.ear Renomear a aplicação tsupervisor.ear_DDMMYYYY_HHMM onde DDMMYYYY_HHMM será a data e hora no momento da aplicação para tsupervisor.ear Reiniciar o JBOSS Efetuar os testes tecnicos e teste funcionais"/>
    <s v="Não"/>
    <s v="Não"/>
    <x v="0"/>
    <m/>
    <x v="22"/>
  </r>
  <r>
    <n v="19552"/>
    <s v="Atualização da aplicação OiTv. A release 2016/03/02 terá como foco principal as seguintes mudanças abaixo: -&gt; FUO-720 Menu Fibra -&gt; FUO-760 URA 10631 - FALHA DE PROMPT - ERRADO - ( OITV ) -&gt; FUO-761 Problema Consulta BuscaDadosCliente -&gt; FUO-764 Alteração tratamento 0 contratos OiTV"/>
    <x v="9"/>
    <d v="2016-03-02T12:01:40"/>
    <x v="2"/>
    <s v="Encerramento"/>
    <s v="DANIEL SCHONWANDT MENDES FERREIRA"/>
    <s v="DANIEL SCHONWANDT MENDES FERREIRA"/>
    <x v="7"/>
    <x v="1"/>
    <s v="Encerrada"/>
    <d v="2016-03-02T22:00:00"/>
    <d v="2016-03-03T12:00:00"/>
    <d v="2016-03-03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19554"/>
    <s v="Preventiva Mensal Energ - Teste com carga do Gerador Heimer 305 KVA -"/>
    <x v="42"/>
    <d v="2016-03-02T13:21:48"/>
    <x v="2"/>
    <s v="Encerramento"/>
    <s v="JACQUES DOUGLAS NASCIMENTO DOS SANTOS"/>
    <s v="JACQUES DOUGLAS NASCIMENTO DOS SANTOS"/>
    <x v="34"/>
    <x v="0"/>
    <s v="Encerrada"/>
    <d v="2016-03-23T23:00:00"/>
    <d v="2016-03-24T01:00:00"/>
    <d v="2016-03-25T08:00:00"/>
    <x v="0"/>
    <x v="0"/>
    <s v="Pouco impacto"/>
    <s v="--"/>
    <s v="Gerador Heimer 305 KVA - Singelo"/>
    <s v="Não"/>
    <s v="Não"/>
    <s v="Toda atividade será realizada seguindo procedimentos e medidas de controle caso aja qualquer anomalia na execução iremos paralisar e retornar o processo do inicio, sempre sinalizando os interessados da atividade."/>
    <s v="Não"/>
    <s v="Não"/>
    <x v="0"/>
    <s v="N/A"/>
    <x v="0"/>
  </r>
  <r>
    <n v="19558"/>
    <s v="Manutenção preventiva anual dos geradores para manter a confiabilidade do sistema de contingência na falta de energia."/>
    <x v="0"/>
    <d v="2016-03-02T16:05:13"/>
    <x v="2"/>
    <s v="Encerramento"/>
    <s v="ALEXANDRE GARCIA FULY"/>
    <s v="ALEXANDRE GARCIA FULY"/>
    <x v="12"/>
    <x v="9"/>
    <s v="Encerrada"/>
    <d v="2016-03-12T20:00:00"/>
    <d v="2016-03-13T02:00:00"/>
    <d v="2016-03-14T05:00:00"/>
    <x v="0"/>
    <x v="0"/>
    <s v="Impacto"/>
    <s v="--"/>
    <s v="GERADORES"/>
    <s v="Não"/>
    <s v="Não"/>
    <s v="Se houver algum imprevisto será cancelado o serviço e o Gerador será colocado em automático."/>
    <s v="Sim"/>
    <s v="Sim"/>
    <x v="2"/>
    <m/>
    <x v="8"/>
  </r>
  <r>
    <n v="19560"/>
    <s v="Substituição de peça em garantia para equipamento de ar condicionado de Precisão na área da sala Pólo. Será substituido transdutor de alta pressão."/>
    <x v="0"/>
    <d v="2016-03-02T16:34:46"/>
    <x v="2"/>
    <s v="Encerramento"/>
    <s v="ARTHUR PRADO DE HOLANDA MOURA"/>
    <s v="ARTHUR PRADO DE HOLANDA MOURA"/>
    <x v="10"/>
    <x v="1"/>
    <s v="Encerrada"/>
    <d v="2016-03-17T00:01:00"/>
    <d v="2016-03-20T23:59:00"/>
    <d v="2016-03-21T06:00:00"/>
    <x v="0"/>
    <x v="2"/>
    <s v="Sem impacto"/>
    <m/>
    <m/>
    <s v="Não"/>
    <s v="Não"/>
    <s v="N/A."/>
    <s v="Não"/>
    <s v="Não"/>
    <x v="2"/>
    <m/>
    <x v="1"/>
  </r>
  <r>
    <n v="19563"/>
    <s v="Realizar manutenção preventiva mensal em gerador conforme cronograma anual contemplando teste sem carga."/>
    <x v="0"/>
    <d v="2016-03-02T16:56:08"/>
    <x v="2"/>
    <s v="Encerramento"/>
    <s v="ROBERTO LOPES"/>
    <s v="ROBERTO LOPES"/>
    <x v="0"/>
    <x v="1"/>
    <s v="Encerrada"/>
    <d v="2016-03-19T08:00:00"/>
    <d v="2016-03-19T13:00:00"/>
    <d v="2016-03-21T14:00:00"/>
    <x v="0"/>
    <x v="0"/>
    <s v="Sem impacto"/>
    <s v="GERADOR"/>
    <s v="GERADOR"/>
    <s v="Não"/>
    <s v="Não"/>
    <s v="Para retorno do equipamento a sua condição normal, após todos os testes, analise visual e limpeza, estaremos passando ogerador de manual para automático e estará apto para reconhecer uma falta de energia e atuar plenamente."/>
    <s v="Não"/>
    <s v="Não"/>
    <x v="0"/>
    <m/>
    <x v="13"/>
  </r>
  <r>
    <n v="19565"/>
    <s v="Alterar o banco &quot;tempdb&quot; para o novo disco que foi disponibilizado (&quot;T&quot;) e reiniciar o SqlServer"/>
    <x v="0"/>
    <d v="2016-03-03T01:46:45"/>
    <x v="2"/>
    <s v="Encerramento"/>
    <s v="ROBERTO MAGALHÃES DE OLIVEIRA"/>
    <s v="ROBERTO MAGALHÃES DE OLIVEIRA"/>
    <x v="0"/>
    <x v="0"/>
    <s v="Encerrada"/>
    <d v="2016-03-17T02:00:00"/>
    <d v="2016-03-17T06:00:00"/>
    <d v="2016-03-17T06:00:00"/>
    <x v="0"/>
    <x v="0"/>
    <s v="Pouco impacto"/>
    <s v="DBSCTX306SPODA"/>
    <s v="--"/>
    <s v="Não"/>
    <s v="Sim"/>
    <s v="Alterar a localização dos arquivos tempdb para a unidade D: ----- Segue comandos : use master go ALTER DATABASE tempdb MODIFY FILE (NAME = tempdev, FILENAME = 'D:\Program Files\Microsoft SQL Server\MSSQL10_50.MSSQLSERVER\MSSQL\DATA\tempdb.mdf'); GO ALTER DATABASE tempdb MODIFY FILE (NAME = templog, FILENAME = 'D:\Program Files\Microsoft SQL Server\MSSQL10_50.MSSQLSERVER\MSSQL\DATA\templog.ldf'); GO --- Reiniciar o SQLServer --- Validar o ambiente (logs)"/>
    <s v="Não"/>
    <s v="Não"/>
    <x v="0"/>
    <s v="CTXSPOAR-1195"/>
    <x v="0"/>
  </r>
  <r>
    <n v="19566"/>
    <s v="Preventiva Energ sem carga do gerador Stemac 305 KVA - Site Alameda Santos."/>
    <x v="0"/>
    <d v="2016-03-03T14:22:23"/>
    <x v="2"/>
    <s v="Encerramento"/>
    <s v="LUIS FERNANDO COSTA NEVES"/>
    <s v="LUIS FERNANDO COSTA NEVES"/>
    <x v="6"/>
    <x v="7"/>
    <s v="Encerrada"/>
    <d v="2016-03-23T20:00:00"/>
    <d v="2016-03-24T00:00:00"/>
    <d v="2016-03-24T00:30: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0"/>
  </r>
  <r>
    <n v="19567"/>
    <s v="Instalar o agente da aplicação de inventário OCS."/>
    <x v="9"/>
    <d v="2016-03-03T15:44:59"/>
    <x v="2"/>
    <s v="Encerramento"/>
    <s v="DAVID LOPES DA COSTA CHAVES"/>
    <s v="DAVID LOPES DA COSTA CHAVES,JOSE GERALDO DA SILVA DOS SANTOS"/>
    <x v="10"/>
    <x v="0"/>
    <s v="Encerrada"/>
    <d v="2016-03-03T22:00:00"/>
    <d v="2016-03-04T05:06:00"/>
    <d v="2016-03-04T06:00:00"/>
    <x v="3"/>
    <x v="0"/>
    <s v="Sem impacto"/>
    <s v="APPTDO101SPODB"/>
    <s v="APPTDO101SPODB"/>
    <s v="Não"/>
    <s v="Não"/>
    <s v="Não se aplica."/>
    <s v="Não"/>
    <s v="Não"/>
    <x v="0"/>
    <m/>
    <x v="0"/>
  </r>
  <r>
    <n v="19569"/>
    <s v="Atualização de melhorias do sistema Perficall, para a implantação da (Célula CRV) Operação CO."/>
    <x v="0"/>
    <d v="2016-03-04T09:03:30"/>
    <x v="2"/>
    <s v="Encerramento"/>
    <s v="TATIANA APARECIDA BARBOSA"/>
    <s v="DYEGO CAVALCANTE WANDERLEY SILVA"/>
    <x v="29"/>
    <x v="1"/>
    <s v="Encerrada"/>
    <d v="2016-03-16T21:00:00"/>
    <d v="2016-03-16T23:30:00"/>
    <d v="2016-03-16T23:40:00"/>
    <x v="0"/>
    <x v="2"/>
    <s v="Sem impacto"/>
    <s v="DBSCTX03RECSA"/>
    <s v="--"/>
    <s v="Sim"/>
    <s v="Não"/>
    <s v="Realizar restore da base Perfilador_CO na instancia 10.63.0.78. 1) Acessar instancia de bd 10.63.0.78; 2) Realizar restore da base Perfilador_CO; Restaurar o backup dos módulos de administração e perfilhamento do sistema Perfilador CO"/>
    <s v="Não"/>
    <s v="Não"/>
    <x v="0"/>
    <s v="CTXRECSA-407337"/>
    <x v="5"/>
  </r>
  <r>
    <n v="19570"/>
    <s v="Aplicar os Procedimentos abaixo no sistema Protheus: TUHVG8 - Correção da contabilização do IRRF para a rotina Documentos de Entrada; TUJHZP - Implementação das regras contábeis para baixas a receber c/ motivo “PER”."/>
    <x v="10"/>
    <d v="2016-03-04T11:12:33"/>
    <x v="2"/>
    <s v="Encerramento"/>
    <s v="MIGUEL ANGELO DO PATROCINIO"/>
    <s v="MIGUEL ANGELO DO PATROCINIO"/>
    <x v="5"/>
    <x v="0"/>
    <s v="Encerrada"/>
    <d v="2016-03-13T09:00:00"/>
    <d v="2016-03-13T15:00:00"/>
    <d v="2016-03-14T10:00:00"/>
    <x v="0"/>
    <x v="1"/>
    <s v="Sem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19573"/>
    <s v="Remoção do Antivírus Symantec e Instalação do McAfee"/>
    <x v="43"/>
    <d v="2016-03-04T11:54:26"/>
    <x v="2"/>
    <s v="Encerramento"/>
    <s v="EDUARDO SOARES PEREIRA"/>
    <s v="JOSE GERALDO DA SILVA DOS SANTOS"/>
    <x v="6"/>
    <x v="0"/>
    <s v="Encerrada"/>
    <d v="2016-03-14T22:00:00"/>
    <d v="2016-03-19T06:00:00"/>
    <d v="2016-03-19T07:00:00"/>
    <x v="0"/>
    <x v="1"/>
    <s v="Impacto"/>
    <s v="APPCTX02SALSM; APPCTX03SALSM; APPCTX04SALSM; APPCTX12BHZRP; appctx04bhzac; dbsctx04spoal; DBSCTX04SPOBF; DBSCTX14SPOBF; dbsctx05spolp; disctx07forbm; disctx11forbm; GRVCTX103SPODA; GRVCTX101SPODA; WEBCTX07BHZRP; WEBCTX08BHZRP"/>
    <s v="APPCTX02SALSM; APPCTX03SALSM; APPCTX04SALSM; APPCTX12BHZRP; appctx04bhzac; dbsctx04spoal; DBSCTX04SPOBF; DBSCTX14SPOBF; dbsctx05spolp; disctx07forbm; disctx11forbm; GRVCTX103SPODA; GRVCTX101SPODA; WEBCTX07BHZRP; WEBCTX08BHZRP"/>
    <s v="Sim"/>
    <s v="Sim"/>
    <s v="Desinstalar o antivírus McAfee."/>
    <s v="Não"/>
    <s v="Não"/>
    <x v="0"/>
    <s v="--"/>
    <x v="0"/>
  </r>
  <r>
    <n v="19574"/>
    <s v="Executar manutenção preventiva em (1) NO BREAK - ENGETRON de 80 KVA que supri a carga essencial do Site Alameda Santos."/>
    <x v="0"/>
    <d v="2016-03-04T12:26:03"/>
    <x v="2"/>
    <s v="Encerramento"/>
    <s v="LUIS FERNANDO COSTA NEVES"/>
    <s v="LUIS FERNANDO COSTA NEVES"/>
    <x v="6"/>
    <x v="7"/>
    <s v="Encerrada"/>
    <d v="2016-03-22T20:00:00"/>
    <d v="2016-03-23T02:00:00"/>
    <d v="2016-03-23T02:10: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0"/>
  </r>
  <r>
    <n v="19575"/>
    <s v="Remoção do Antivírus Symantec e Instalação do McAfee"/>
    <x v="44"/>
    <d v="2016-03-04T12:36:48"/>
    <x v="2"/>
    <s v="Encerramento"/>
    <s v="EDUARDO SOARES PEREIRA"/>
    <s v="JOSE GERALDO DA SILVA DOS SANTOS"/>
    <x v="10"/>
    <x v="0"/>
    <s v="Encerrada"/>
    <d v="2016-03-21T22:00:00"/>
    <d v="2016-03-26T07:00:00"/>
    <d v="2016-03-26T08:00:00"/>
    <x v="0"/>
    <x v="1"/>
    <s v="Impacto"/>
    <s v="APPCTX05FORBM; appctx06recsa; appctx07recsa; APPCTX12RECSA; APPCTX13RECSA; APPCTX19RECSA; dbsctx11forbm; dbsctx12forbm; dbsctx14forbm; dbsctx15forbm; dbsctx16forbm; dbsctx17forbm; dbsctx18forbm; dbsctx20forbm; dbsctx23forbm; dbsctx26forbm; disctx04bhzrp; disctx06bhzrp; disctx07bhzrp; GRVCTX06SPODB; GRVCTX10SPODA; GRVCTX23SPODB; webctx01forbm; webctx02forbm; webctx04forbm; webctx07forbm"/>
    <s v="APPCTX05FORBM; appctx06recsa; appctx07recsa; APPCTX12RECSA; APPCTX13RECSA; APPCTX19RECSA; dbsctx11forbm; dbsctx12forbm; dbsctx14forbm; dbsctx15forbm; dbsctx16forbm; dbsctx17forbm; dbsctx18forbm; dbsctx20forbm; dbsctx23forbm; dbsctx26forbm; disctx04bhzrp; disctx06bhzrp; disctx07bhzrp; GRVCTX06SPODB; GRVCTX10SPODA; GRVCTX23SPODB; webctx01forbm; webctx02forbm; webctx04forbm; webctx07forbm"/>
    <s v="Sim"/>
    <s v="Sim"/>
    <s v="O Objetivo do Plano de Retorno é desinstalar o Antivírus McAfee. O período previsto para um Plano de Retorno é de 2:00 horas (06:00 à 08:00 am)."/>
    <s v="Não"/>
    <s v="Não"/>
    <x v="0"/>
    <s v="--"/>
    <x v="0"/>
  </r>
  <r>
    <n v="19576"/>
    <s v="Executar manutenção preventiva trimestral sem desligamento em 02(dois) no-breaks Emerson , 02(dois) no-breaks APC e 01(um) no-break Leistung -que atendem as operações e Site Fortaleza CE/Garantir a total disponibilidade e confiabilidade do sistema de contingência de energia estabilizada do Site."/>
    <x v="0"/>
    <d v="2016-03-04T13:14:28"/>
    <x v="2"/>
    <s v="Encerramento"/>
    <s v="SÁVIO MEIRELES CASTRO"/>
    <s v="SÁVIO MEIRELES CASTRO"/>
    <x v="3"/>
    <x v="1"/>
    <s v="Encerrada"/>
    <d v="2016-03-19T22:00:00"/>
    <d v="2016-03-20T06:00:00"/>
    <d v="2016-03-20T06:00:00"/>
    <x v="0"/>
    <x v="0"/>
    <s v="Sem impacto"/>
    <s v="--"/>
    <s v="--"/>
    <s v="Não"/>
    <s v="Não"/>
    <s v="Realizado testes técnicos, funcionais e leitura de parâmetros. Liberado equipamento para funcionamento normal."/>
    <s v="Não"/>
    <s v="Não"/>
    <x v="0"/>
    <m/>
    <x v="13"/>
  </r>
  <r>
    <n v="19577"/>
    <s v="URA 144 Pré não está identificando e tratando corretamente os clientes com bloqueio de cadastro."/>
    <x v="9"/>
    <d v="2016-03-04T14:40:33"/>
    <x v="2"/>
    <s v="Encerramento"/>
    <s v="MONIQUE DE ALMEIDA AIRES"/>
    <s v="WILLIAN CAMPBELL VIANA"/>
    <x v="7"/>
    <x v="1"/>
    <s v="Encerrada"/>
    <d v="2016-03-06T22:00:00"/>
    <d v="2016-03-07T08:30:00"/>
    <d v="2016-03-07T18:00:00"/>
    <x v="3"/>
    <x v="1"/>
    <s v="Sem impacto"/>
    <s v="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3664"/>
    <x v="5"/>
  </r>
  <r>
    <n v="19578"/>
    <s v="Correções na Recarga do Pós Pago."/>
    <x v="9"/>
    <d v="2016-03-04T14:54:28"/>
    <x v="2"/>
    <s v="Encerramento"/>
    <s v="FRANCIELE CARLA DE LIMA COSTA"/>
    <s v="RAFAEL BARBOSA DA SILVA"/>
    <x v="7"/>
    <x v="1"/>
    <s v="Encerrada"/>
    <d v="2016-03-07T16:00:00"/>
    <d v="2016-03-07T21:00:00"/>
    <d v="2016-03-07T22:00:00"/>
    <x v="3"/>
    <x v="1"/>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m/>
    <x v="5"/>
  </r>
  <r>
    <n v="19579"/>
    <s v="Realizar a remoção do antivírus Symantec do servidor APPCTX04BHZAC - 10.48.15.43, pois nesse servidor o antivírus MCafee ja foi instalado, mas continua com o symantec."/>
    <x v="9"/>
    <d v="2016-03-04T14:55:22"/>
    <x v="2"/>
    <s v="Encerramento"/>
    <s v="RICARDO ADRYANO BEZERRA"/>
    <s v="JOSE GERALDO DA SILVA DOS SANTOS"/>
    <x v="13"/>
    <x v="1"/>
    <s v="Encerrada"/>
    <d v="2016-03-04T23:00:00"/>
    <d v="2016-03-05T03:00:00"/>
    <d v="2016-03-05T04:00:00"/>
    <x v="3"/>
    <x v="1"/>
    <s v="Sem impacto"/>
    <s v="--"/>
    <s v="--"/>
    <s v="Sim"/>
    <s v="Não"/>
    <s v="Não haverá plano de retorno, pois após a remoção do symantec ele não pode ser reinstalado, pois não há mais contrato com esse fornecedor e a reinstalação aumentaria o gap de licenças."/>
    <s v="Não"/>
    <s v="Não"/>
    <x v="0"/>
    <s v="CTXBHZRI-99032"/>
    <x v="5"/>
  </r>
  <r>
    <n v="19581"/>
    <s v="Manutenção preventiva do Gerador Stemac 310 KVA"/>
    <x v="0"/>
    <d v="2016-03-04T16:06:04"/>
    <x v="2"/>
    <s v="Encerramento"/>
    <s v="CASSIO REIS LIMA"/>
    <s v="CASSIO REIS LIMA"/>
    <x v="20"/>
    <x v="36"/>
    <s v="Encerrada"/>
    <d v="2016-03-11T22:00:00"/>
    <d v="2016-03-12T05:00:00"/>
    <d v="2016-03-12T06:00:00"/>
    <x v="0"/>
    <x v="0"/>
    <s v="Sem impacto"/>
    <s v="--"/>
    <s v="--"/>
    <s v="Não"/>
    <s v="Não"/>
    <s v="Em eventual falha reportaremos para a área de missão critica, coordenador do site e gerência de cidade, após ser aprovado o procedimento restabeleceremos o sistema."/>
    <s v="Não"/>
    <s v="Não"/>
    <x v="0"/>
    <m/>
    <x v="17"/>
  </r>
  <r>
    <n v="19583"/>
    <s v="Manutenção emergencial Banco de baterias e No break Leistung 3º AGV"/>
    <x v="0"/>
    <d v="2016-03-04T16:16:05"/>
    <x v="2"/>
    <s v="Encerramento"/>
    <s v="CASSIO REIS LIMA"/>
    <s v="CASSIO REIS LIMA"/>
    <x v="20"/>
    <x v="1"/>
    <s v="Encerrada"/>
    <d v="2016-03-04T18:30:00"/>
    <d v="2016-03-05T05:00:00"/>
    <d v="2016-03-05T08:00:00"/>
    <x v="1"/>
    <x v="1"/>
    <s v="Muito impacto"/>
    <s v="Banco de baterias e Nobreak"/>
    <s v="Banco de baterias e Nobreak"/>
    <s v="Sim"/>
    <s v="Não"/>
    <s v="Colocar gerador em manual ou deixar em automático caso o banco não segure após a retirada do by pass."/>
    <s v="Não"/>
    <s v="Não"/>
    <x v="0"/>
    <s v="CTXSALAS-163674"/>
    <x v="5"/>
  </r>
  <r>
    <n v="19584"/>
    <s v="Implantação de atualizações de promoções na URA *144 Pré Pago."/>
    <x v="45"/>
    <d v="2016-03-04T16:25:18"/>
    <x v="2"/>
    <s v="Encerramento"/>
    <s v="MARCELO GALDINO DA SILVA"/>
    <s v="WILLIAN CAMPBELL VIANA"/>
    <x v="7"/>
    <x v="1"/>
    <s v="Encerrada"/>
    <d v="2016-03-15T22:00:00"/>
    <d v="2016-03-16T03:00:00"/>
    <d v="2016-03-16T18:00:00"/>
    <x v="0"/>
    <x v="0"/>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N/A"/>
    <x v="5"/>
  </r>
  <r>
    <n v="19588"/>
    <s v="Executar a manutenção preventiva com carga dos Geradores Stemac do site Boa Viagem, conforme abaixo: 3 Geradores de 642 KVA (operações e CPD – blocos 2,3 e 4) e 1 Gerador de 260 KVA (operação e adm bloco 1)"/>
    <x v="0"/>
    <d v="2016-03-04T18:07:24"/>
    <x v="2"/>
    <s v="Encerramento"/>
    <s v="CASSIO REIS LIMA"/>
    <s v="CASSIO REIS LIMA"/>
    <x v="8"/>
    <x v="4"/>
    <s v="Encerrada"/>
    <d v="2016-03-13T00:01:00"/>
    <d v="2016-03-13T05:00:00"/>
    <d v="2016-03-13T06:00:00"/>
    <x v="0"/>
    <x v="0"/>
    <s v="Sem impacto"/>
    <s v="--"/>
    <s v="--"/>
    <s v="Não"/>
    <s v="Não"/>
    <s v="Em eventual falha reportaremos para a área de missão critica, coordenador do site e gerência de cidade, após ser aprovado o procedimento restabeleceremos o sistema."/>
    <s v="Não"/>
    <s v="Não"/>
    <x v="0"/>
    <m/>
    <x v="1"/>
  </r>
  <r>
    <n v="19589"/>
    <s v="Atualização de Patches de segurança e Restart no Sistema Operacional em servidores de produção com mais de 30 dias online"/>
    <x v="0"/>
    <d v="2016-03-04T18:08:22"/>
    <x v="2"/>
    <s v="Encerramento"/>
    <s v="JOÃO PEREIRA DE SOUZA JUNIOR"/>
    <s v="PAULO ROGERIO GOMES,ROBERTO MAGALHÃES DE OLIVEIRA"/>
    <x v="3"/>
    <x v="1"/>
    <s v="Encerrada"/>
    <d v="2016-03-10T22:00:00"/>
    <d v="2016-03-11T04:00:00"/>
    <d v="2016-03-11T06:00:00"/>
    <x v="0"/>
    <x v="1"/>
    <s v="Sem impacto"/>
    <s v="APPCTX01FORBM; APPCTX03FORBM; BKPCTX05FORBM; CTICTX03FORBM; DBSCTX07FORBM; DISCTX10FORBM; FSSCTX01FORBM; FSSCTX01FORNA; FSSCTX07FORBM; HMLCTX02FORBM"/>
    <s v="APPCTX01FORBM; APPCTX03FORBM; BKPCTX05FORBM; CTICTX03FORBM; DBSCTX07FORBM; DISCTX10FORBM; FSSCTX01FORBM; FSSCTX01FORNA; FSSCTX07FORBM; HMLCTX02FORBM"/>
    <s v="Sim"/>
    <s v="Não"/>
    <s v="1 - Remover as atualizações aplicadas pelo Adicionar e Remover Programas do painel de controle; 2 - Reinicializar o servidor;"/>
    <s v="Sim"/>
    <s v="Não"/>
    <x v="2"/>
    <s v="N/A"/>
    <x v="9"/>
  </r>
  <r>
    <n v="19591"/>
    <s v="Mapeamento dos circuitos da PDU2 e ligação dos circuitos na nova PDU2 Desenergizada"/>
    <x v="0"/>
    <d v="2016-03-07T10:34:27"/>
    <x v="2"/>
    <s v="Encerramento"/>
    <s v="RODRIGO CABRAL GOMES"/>
    <s v="RODRIGO CABRAL GOMES"/>
    <x v="22"/>
    <x v="1"/>
    <s v="Encerrada"/>
    <d v="2016-03-31T23:00:00"/>
    <d v="2016-04-02T04:00:00"/>
    <d v="2016-04-02T05:00:00"/>
    <x v="0"/>
    <x v="0"/>
    <s v="Pouco impacto"/>
    <s v="--"/>
    <s v="PDU2"/>
    <s v="Não"/>
    <s v="Não"/>
    <s v="Comunicação com missão critica e NOC"/>
    <s v="Não"/>
    <s v="Não"/>
    <x v="0"/>
    <m/>
    <x v="5"/>
  </r>
  <r>
    <n v="19594"/>
    <s v="Atualizar a versão do produto tClock Contax para contemplar: Reclassificações de registro de ponto  - informar no espelho de ponto; Trava de fechamento; Melhorar tela de filtro de relatório; Abono em Lote; Conteúdo informacional na tela inicial ; Afastamento que não Gera HE; Melhorias nas telas (Menu Controle de Acesso);"/>
    <x v="46"/>
    <d v="2016-03-07T14:04:59"/>
    <x v="2"/>
    <s v="Encerramento"/>
    <s v="VINICIUS ADELIR NYARI"/>
    <s v="VICENTE FRITZEN DA SILVA,VINICIUS ADELIR NYARI"/>
    <x v="10"/>
    <x v="0"/>
    <s v="Encerrada"/>
    <d v="2016-03-17T21:00:00"/>
    <d v="2016-03-18T05:05:00"/>
    <d v="2016-03-18T06:00:00"/>
    <x v="0"/>
    <x v="0"/>
    <s v="Pouco impacto"/>
    <s v="APPCTX245SPODB; APPCTX246SPODB; APPCTX247SPODB; APPCTX248SPODB; APPCTX249SPODB; APPCTX250SPODB; APPCTX251SPODB; APPCTX253SPODB; APPCTX254SPODB; DBSCTX123SPODB; DBSCTX125SPODB"/>
    <s v="APPCTX245SPODB; APPCTX246SPODB; APPCTX247SPODB; APPCTX248SPODB; APPCTX249SPODB; APPCTX250SPODB; APPCTX251SPODB; APPCTX253SPODB; APPCTX254SPODB; DBSCTX123SPODB; DBSCTX125SPODB"/>
    <s v="Não"/>
    <s v="Sim"/>
    <s v="Fazer o restore do backup e das aplicações"/>
    <s v="Não"/>
    <s v="Não"/>
    <x v="0"/>
    <m/>
    <x v="0"/>
  </r>
  <r>
    <n v="19598"/>
    <s v="Manter a confiabilidade do sistema de contingência de energia"/>
    <x v="0"/>
    <d v="2016-03-07T16:46:09"/>
    <x v="2"/>
    <s v="Encerramento"/>
    <s v="VANDERLEI CASTRO SOUZA LIMA"/>
    <s v="VANDERLEI CASTRO SOUZA LIMA"/>
    <x v="30"/>
    <x v="15"/>
    <s v="Encerrada"/>
    <d v="2016-03-18T22:00:00"/>
    <d v="2016-03-19T02:00:00"/>
    <d v="2016-03-19T02:30:00"/>
    <x v="0"/>
    <x v="0"/>
    <s v="Sem impacto"/>
    <s v="--"/>
    <s v="Geradores"/>
    <s v="Não"/>
    <s v="Não"/>
    <s v="Acompanhar o Desligamento dos geradores; Fim dos testes; Será efetuada vistoria nos No Breaks do CPD e Operação; Verificado a climatização das salas dos No Breaks e CPD; Após a execução dos serviços acima relacionados, será emitido laudo atestando a funcionalidade dos geradores."/>
    <s v="Não"/>
    <s v="Não"/>
    <x v="0"/>
    <m/>
    <x v="10"/>
  </r>
  <r>
    <n v="19599"/>
    <s v="Executar manutenção preventiva em (1) NO BREAK - EATON de 160 KVA que supri a carga essencial da operação do Site Augusta."/>
    <x v="0"/>
    <d v="2016-03-07T17:12:50"/>
    <x v="2"/>
    <s v="Encerramento"/>
    <s v="LUIS FERNANDO COSTA NEVES"/>
    <s v="LUIS FERNANDO COSTA NEVES"/>
    <x v="16"/>
    <x v="6"/>
    <s v="Encerrada"/>
    <d v="2016-03-28T20:00:00"/>
    <d v="2016-03-29T02:00:00"/>
    <d v="2016-03-29T02:10: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7"/>
  </r>
  <r>
    <n v="19600"/>
    <s v="Serviço de Manutenção Preventiva de Nobreak para manter a confiabilidade do sistema."/>
    <x v="0"/>
    <d v="2016-03-07T18:08:53"/>
    <x v="2"/>
    <s v="Encerramento"/>
    <s v="ALEXANDRE GARCIA FULY"/>
    <s v="ALEXANDRE GARCIA FULY"/>
    <x v="12"/>
    <x v="9"/>
    <s v="Encerrada"/>
    <d v="2016-03-12T20:00:00"/>
    <d v="2016-03-13T02:00:00"/>
    <d v="2016-03-14T05:00:00"/>
    <x v="0"/>
    <x v="0"/>
    <s v="Impacto"/>
    <s v="--"/>
    <m/>
    <s v="Não"/>
    <s v="Não"/>
    <s v="Não há plano de torno, pois nenhum sistema será desligado no caso o No Break. OBS: Após a execução dos serviços acima relacionados, será emitido laudo atestando a funcionalidade dos no-breaks."/>
    <s v="Não"/>
    <s v="Não"/>
    <x v="0"/>
    <m/>
    <x v="8"/>
  </r>
  <r>
    <n v="19607"/>
    <s v="OI 13483 Oferta Oi Controle retenção OI-13427 Inclusão de novos serviços SVA Oi-13492Inclusão de mensagem para retorno dos códigos de negócio SVA OI 13627 Correção Oi Conta Acesso pelo *3000 OI 13629 Inclusão ByPass Turn Around Recarga Novos Fluxos OI 13686 Validar recarga nas ultimas 24h quando só há uma opção disponível"/>
    <x v="19"/>
    <d v="2016-03-08T07:14:37"/>
    <x v="2"/>
    <s v="Encerramento"/>
    <s v="JANAÍNA SILVA LIMA"/>
    <s v="ALBERTO DE ARAUJO RODRIGUES"/>
    <x v="5"/>
    <x v="1"/>
    <s v="Encerrada"/>
    <d v="2016-03-15T22:00:00"/>
    <d v="2016-03-16T11:00:00"/>
    <d v="2016-03-16T13:00:00"/>
    <x v="0"/>
    <x v="1"/>
    <s v="Muito impacto"/>
    <s v="APPCTX14RJONT; APPCTX15RJOED; APPCTX16RJOED; APPCTX18RJOED; APPCTX19RJOED; APPOIM04SPOAL; DBSOIM01SPOAL; NMSIOM01SPOAL"/>
    <s v="APPCTX14RJONT; APPCTX15RJOED; APPCTX16RJOED; APPCTX18RJOED; APPCTX19RJOED; APPOIM04SPOAL; DBSOIM01SPOAL; NMSIOM01SPOAL"/>
    <s v="Não"/>
    <s v="Não"/>
    <s v="Retorna os arquivos de backup. Refazer os Testes Técnicos e Funcionais."/>
    <s v="Não"/>
    <s v="Não"/>
    <x v="0"/>
    <s v="OI 13483 OI-13427 Oi-13492 ,OI 13627,OI 13629 e OI 13686"/>
    <x v="5"/>
  </r>
  <r>
    <n v="19609"/>
    <s v="Preventiva STEMAC sem carga do gerador Stemac 305 KVA - Site Augusta."/>
    <x v="0"/>
    <d v="2016-03-08T09:11:31"/>
    <x v="2"/>
    <s v="Encerramento"/>
    <s v="LUIS FERNANDO COSTA NEVES"/>
    <s v="LUIS FERNANDO COSTA NEVES"/>
    <x v="16"/>
    <x v="6"/>
    <s v="Encerrada"/>
    <d v="2016-03-29T20:00:00"/>
    <d v="2016-03-29T22:00:00"/>
    <d v="2016-03-29T22:30: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7"/>
  </r>
  <r>
    <n v="19610"/>
    <s v="Garantir a realização de backup dos servidores do Site Fonte Nova BA."/>
    <x v="0"/>
    <d v="2016-03-08T09:29:24"/>
    <x v="2"/>
    <s v="Encerramento"/>
    <s v="VINÍCIUS FERNANDES CHATEAUNEUF"/>
    <s v="PAULO ROGERIO GOMES"/>
    <x v="20"/>
    <x v="1"/>
    <s v="Encerrada"/>
    <d v="2016-03-08T23:55:00"/>
    <d v="2016-03-09T05:00:00"/>
    <d v="2016-03-09T05:30:00"/>
    <x v="1"/>
    <x v="1"/>
    <s v="Os prejuízos ou dificuldades são impactantes"/>
    <s v="FSSCTX05SALAS"/>
    <s v="FSSCTX05SALAS"/>
    <s v="Sim"/>
    <s v="Não"/>
    <s v="Caso ocorra falha durante o processo de atualização, retornar a ferramenta CA ARCserve para a versão anterior e reiniciar o servidor. 1. Remover o software arcserve backup 16.5, através do “Control Panel\Programs\Programs and Features” 2. Clicar com o botão direito do mouse no “Ca ARCserve Backup” e clica com o botão esquerdo um “unistall”. Clique next para desintalar e ok para confirmando a desinstalação"/>
    <s v="Não"/>
    <s v="Não"/>
    <x v="0"/>
    <s v="CTXSALAS-163678"/>
    <x v="5"/>
  </r>
  <r>
    <n v="19611"/>
    <s v="Manutenção Preventiva em 02(dois) Grupo Gerador de 360KVA. Verificar ajustes e realizar testes necessários nas USCA/Geradores."/>
    <x v="0"/>
    <d v="2016-03-08T10:50:07"/>
    <x v="2"/>
    <s v="Encerramento"/>
    <s v="WILTON DOS ANJOS CARNEIRO"/>
    <s v="WILTON DOS ANJOS CARNEIRO"/>
    <x v="11"/>
    <x v="21"/>
    <s v="Encerrada"/>
    <d v="2016-03-26T22:00:00"/>
    <d v="2016-03-27T05:00:00"/>
    <d v="2016-03-27T05:00:00"/>
    <x v="0"/>
    <x v="0"/>
    <s v="Pouco impacto"/>
    <s v="--"/>
    <s v="02(dois) Grupo Gerador de 360KVA (cada)"/>
    <s v="Não"/>
    <s v="Não"/>
    <s v="Caso tenha algum problema com o gerador, será realizado by-pass para o fornecimento de energia da concessionária."/>
    <s v="Não"/>
    <s v="Não"/>
    <x v="0"/>
    <m/>
    <x v="7"/>
  </r>
  <r>
    <n v="19612"/>
    <s v="Validação e documentação de redundância dos links MPLS no site Aurora/Execução de testes de fail over e captura de evidências."/>
    <x v="14"/>
    <d v="2016-03-08T11:09:31"/>
    <x v="2"/>
    <s v="Encerramento"/>
    <s v="THIAGO SILVA FERREIRA"/>
    <s v="FRANCISCO ROSBERG DE CARVALHO SILVA,THIAGO SILVA FERREIRA"/>
    <x v="11"/>
    <x v="21"/>
    <s v="Encerrada"/>
    <d v="2016-03-16T23:00:00"/>
    <d v="2016-03-17T01:00:00"/>
    <d v="2016-03-17T02:00:00"/>
    <x v="0"/>
    <x v="2"/>
    <s v="Pouco impacto"/>
    <s v="--"/>
    <s v="Desig. 00838606 / RCE5388972"/>
    <s v="Sim"/>
    <s v="Não"/>
    <s v="Reativação dos links."/>
    <s v="Não"/>
    <s v="Não"/>
    <x v="0"/>
    <m/>
    <x v="7"/>
  </r>
  <r>
    <n v="19613"/>
    <s v="Para atender solicitação da concessionaria Light para execução de reparo na rede /transferência da Linha 1340 para 4920"/>
    <x v="0"/>
    <d v="2016-03-08T11:28:50"/>
    <x v="2"/>
    <s v="Encerramento"/>
    <s v="VANDERLEI CASTRO SOUZA LIMA"/>
    <s v="VANDERLEI CASTRO SOUZA LIMA"/>
    <x v="30"/>
    <x v="15"/>
    <s v="Encerrada"/>
    <d v="2016-03-11T23:10:00"/>
    <d v="2016-03-11T23:45:00"/>
    <d v="2016-03-11T23:59:00"/>
    <x v="1"/>
    <x v="1"/>
    <s v="Muito impacto"/>
    <s v="--"/>
    <s v="Subestação Primaria"/>
    <s v="Não"/>
    <s v="Não"/>
    <s v="PLANO DE RETORNO -Fechar a chaves (KS) da linha 4920; -Ao término do serviço será efetuado vistoria nos equipamentos e no CPD."/>
    <s v="Não"/>
    <s v="Não"/>
    <x v="0"/>
    <s v="N/A"/>
    <x v="10"/>
  </r>
  <r>
    <n v="19615"/>
    <s v="Manutenção preventiva em (1) NO BREAK - CHLORIDE de 40 KVA - Site Augusta. Teste sem desligamento e transferência de carga, porém com teste de descarga baterias."/>
    <x v="0"/>
    <d v="2016-03-08T12:29:43"/>
    <x v="2"/>
    <s v="Encerramento"/>
    <s v="LUIS FERNANDO COSTA NEVES"/>
    <s v="LUIS FERNANDO COSTA NEVES"/>
    <x v="16"/>
    <x v="6"/>
    <s v="Encerrada"/>
    <d v="2016-03-31T20:00:00"/>
    <d v="2016-04-01T02:00:00"/>
    <d v="2016-04-01T02:30: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7"/>
  </r>
  <r>
    <n v="19617"/>
    <s v="Adicionar o gravador 10.171.1.137 ao session recording do SBC de CDS"/>
    <x v="9"/>
    <d v="2016-03-08T17:46:14"/>
    <x v="2"/>
    <s v="Encerramento"/>
    <s v="LUIS GUSTAVO BARROS ACIOLI"/>
    <s v="LUIS GUSTAVO BARROS ACIOLI"/>
    <x v="38"/>
    <x v="1"/>
    <s v="Encerrada"/>
    <d v="2016-03-08T20:00:00"/>
    <d v="2016-03-08T20:40:00"/>
    <d v="2016-03-08T22:00:00"/>
    <x v="3"/>
    <x v="1"/>
    <s v="Sem impacto"/>
    <s v="--"/>
    <m/>
    <s v="Não"/>
    <s v="Não"/>
    <s v="Sera removido o servidor da configuração."/>
    <s v="Não"/>
    <s v="Não"/>
    <x v="0"/>
    <s v="CTXSPOAL-108973"/>
    <x v="1"/>
  </r>
  <r>
    <n v="19619"/>
    <s v="Criar uma instância para Operação Bradesco que irá utilizar o tGuidance!"/>
    <x v="47"/>
    <d v="2016-03-08T18:32:54"/>
    <x v="2"/>
    <s v="Encerramento"/>
    <s v="LUIZ WASHINGTON GIANEZZI"/>
    <s v="ROBERTO MAGALHÃES DE OLIVEIRA"/>
    <x v="10"/>
    <x v="20"/>
    <s v="Encerrada"/>
    <d v="2016-03-09T22:00:00"/>
    <d v="2016-03-09T23:00:00"/>
    <d v="2016-03-10T01:00:00"/>
    <x v="1"/>
    <x v="2"/>
    <s v="Muito impacto"/>
    <s v="DBSCTX105SPODA; DBSCTX21SPODA"/>
    <s v="DBSCTX105SPODA; DBSCTX21SPODA"/>
    <s v="Não"/>
    <s v="Não"/>
    <s v="1. Exclusão de Usuário na base de dados de destino 2. Exclusão de Profile na base de dados de destino 3. Exclusão de Tablespace na base de dados de destino"/>
    <s v="Não"/>
    <s v="Não"/>
    <x v="0"/>
    <m/>
    <x v="1"/>
  </r>
  <r>
    <n v="19621"/>
    <s v="Atualizar tabela ICR do com os serviços destinos para atender demanda de URA"/>
    <x v="48"/>
    <d v="2016-03-09T09:33:21"/>
    <x v="2"/>
    <s v="Encerramento"/>
    <s v="LUIS GUSTAVO BARROS ACIOLI"/>
    <s v="WILSON SHIGERU MIYAZAKI"/>
    <x v="7"/>
    <x v="1"/>
    <s v="Encerrada"/>
    <d v="2016-03-10T07:00:00"/>
    <d v="2016-03-10T10:38:00"/>
    <d v="2016-03-10T11:38:00"/>
    <x v="1"/>
    <x v="2"/>
    <s v="Os prejuízos ou dificuldades são impactantes"/>
    <s v="dbsctx08spoda"/>
    <s v="dbsctx08spoda"/>
    <s v="Não"/>
    <s v="Não"/>
    <s v="Voltar a tabela na versão antiga na base (MOVEL_NOVOMODELO_V1)"/>
    <s v="Não"/>
    <s v="Não"/>
    <x v="0"/>
    <s v="CTXRJOMA-78761"/>
    <x v="1"/>
  </r>
  <r>
    <n v="19624"/>
    <s v="Última etapa do projeto de migração do tSupervisor! versão 1.0 para a versão 2.0."/>
    <x v="49"/>
    <d v="2016-03-09T11:30:42"/>
    <x v="2"/>
    <s v="Encerramento"/>
    <s v="FLÁVIO ROBERTO DE FREITAS MIRANDA"/>
    <s v="PAULO CESAR DE SOUZA,ROBERTO MAGALHÃES DE OLIVEIRA"/>
    <x v="0"/>
    <x v="1"/>
    <s v="Encerrada"/>
    <d v="2016-03-28T23:00:00"/>
    <d v="2016-03-29T13:00:00"/>
    <d v="2016-03-29T13:00:00"/>
    <x v="0"/>
    <x v="2"/>
    <s v="Impacto"/>
    <s v="DBSCTX21SPODA; DBSCTX22SPODA; FESCTX01SPODA"/>
    <s v="DBSCTX21SPODA; DBSCTX22SPODA; FESCTX01SPODA"/>
    <s v="Sim"/>
    <s v="Sim"/>
    <s v="1) Se logar no servidor via mstsc 2) Parar o serviço da aplicação tsupervisor 3) excluir o arquivo TSUPERVISOR.EAR do diretório D:\Todo\jboss-eap-6.2-port-8180\standalone\deployments 4) Retornar o arquivo que foi renomeado na etapa de execução 5) Iniciar a aplicação novamente; Realizar o rollback da estrutura criada."/>
    <s v="Não"/>
    <s v="Não"/>
    <x v="2"/>
    <s v="CTXSPOAP407-10493"/>
    <x v="5"/>
  </r>
  <r>
    <n v="19626"/>
    <s v="Restart da plataforma Aspect / Corrigir falhas de quedas e travamentos"/>
    <x v="0"/>
    <d v="2016-03-09T13:10:00"/>
    <x v="2"/>
    <s v="Encerramento"/>
    <s v="JOÃO PEREIRA DE SOUZA JUNIOR"/>
    <s v="VINICIUS JOSE SOUZA DA CRUZ"/>
    <x v="3"/>
    <x v="1"/>
    <s v="Encerrada"/>
    <d v="2016-03-09T22:00:00"/>
    <d v="2016-03-10T04:00:00"/>
    <d v="2016-03-10T06:00:00"/>
    <x v="1"/>
    <x v="1"/>
    <s v="Muito impacto"/>
    <s v="acsctx01forbm; corctx01forbm; expctx01forbm; expctx02forbm; expctx03forbm; expctx04form; pdmctx01forbm; recctx01forbm; repctx01forbm"/>
    <s v="acsctx01forbm; corctx01forbm; expctx01forbm; expctx02forbm; expctx03forbm; expctx04form; pdmctx01forbm; recctx01forbm; repctx01forbm"/>
    <s v="Sim"/>
    <s v="Não"/>
    <s v="Realizar cópia do arquivo antes de alterá-lo, caso aconteça algum problema, o arquivo original é restaurado."/>
    <s v="Não"/>
    <s v="Não"/>
    <x v="2"/>
    <s v="CTXFORBM-364585"/>
    <x v="1"/>
  </r>
  <r>
    <n v="19627"/>
    <s v="Falha na identificação do bloqueio de cadastro."/>
    <x v="9"/>
    <d v="2016-03-09T15:06:05"/>
    <x v="2"/>
    <s v="Encerramento"/>
    <s v="MONIQUE DE ALMEIDA AIRES"/>
    <s v="WILLIAN CAMPBELL VIANA"/>
    <x v="7"/>
    <x v="1"/>
    <s v="Encerrada"/>
    <d v="2016-03-09T22:00:00"/>
    <d v="2016-03-10T08:30:00"/>
    <d v="2016-03-10T18:00:00"/>
    <x v="3"/>
    <x v="1"/>
    <s v="Sem impacto"/>
    <s v="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3835"/>
    <x v="5"/>
  </r>
  <r>
    <n v="19629"/>
    <s v="Ocorrerá uma release emergencial por pedido do cliente Oi. Subirá apenas uma demanda que envolve o ACM."/>
    <x v="0"/>
    <d v="2016-03-09T15:19:17"/>
    <x v="2"/>
    <s v="Encerramento"/>
    <s v="DOUGLAS ALVARES DO NASCIMENTO"/>
    <s v="ALBERTO DE ARAUJO RODRIGUES"/>
    <x v="5"/>
    <x v="1"/>
    <s v="Encerrada"/>
    <d v="2016-03-09T23:00:00"/>
    <d v="2016-03-10T12:00:00"/>
    <d v="2016-03-10T18:00:00"/>
    <x v="1"/>
    <x v="1"/>
    <s v="Os prejuízos ou dificuldades são impactantes"/>
    <s v="APPCTX14RJONT; APPCTX15RJOED; APPCTX16RJOED; APPCTX18RJOED; APPCTX19RJOED; APPOIM04SPOAL; APPOIM07SPOLP; DBSOIM01SPOAL; NMSIOM01SPOAL"/>
    <s v="APPCTX14RJONT; APPCTX15RJOED; APPCTX16RJOED; APPCTX18RJOED; APPCTX19RJOED; APPOIM04SPOAL; APPOIM07SPOLP; DBSOIM01SPOAL; NMSIOM01SPOAL"/>
    <s v="Não"/>
    <s v="Não"/>
    <s v="Retorna os arquivos de backup. Refazer os Testes Técnicos e Funcionais."/>
    <s v="Não"/>
    <s v="Não"/>
    <x v="0"/>
    <s v="OI-13805"/>
    <x v="5"/>
  </r>
  <r>
    <n v="19631"/>
    <s v="Release URA USSD OI-13620 Alteração mensagem fluxo: &quot; RealizaRecarga&quot; OI-13820 Disponibilizar menuContas cliente Oi Controle c/Fatura"/>
    <x v="1"/>
    <d v="2016-03-09T16:47:13"/>
    <x v="2"/>
    <s v="Encerramento"/>
    <s v="PRISCILA LUCIA PEREIRA DE ALBUQUERQUE GALARANI"/>
    <s v="DANIEL SCHONWANDT MENDES FERREIRA"/>
    <x v="1"/>
    <x v="1"/>
    <s v="Encerrada"/>
    <d v="2016-03-15T22:00:00"/>
    <d v="2016-03-16T03:00:00"/>
    <d v="2016-03-16T09:00:00"/>
    <x v="0"/>
    <x v="0"/>
    <s v="Pouco impacto"/>
    <s v="APPCTX27RJOMK; APPCTX28RJOMK"/>
    <s v="APPCTX27RJOMK; APPCTX28RJOMK"/>
    <s v="Não"/>
    <s v="Não"/>
    <s v="Realizar o UNDEPLOY da versão nova através do JBoss Refazer os Testes Técnicos e Funcionais."/>
    <s v="Não"/>
    <s v="Não"/>
    <x v="0"/>
    <m/>
    <x v="1"/>
  </r>
  <r>
    <n v="19637"/>
    <s v="Atualização de rotina de melhorias e correções no sistema."/>
    <x v="3"/>
    <d v="2016-03-10T12:59:07"/>
    <x v="2"/>
    <s v="Encerramento"/>
    <s v="FLÁVIO ROBERTO DE FREITAS MIRANDA"/>
    <s v="PAULO CESAR DE SOUZA,ROBERTO MAGALHÃES DE OLIVEIRA"/>
    <x v="0"/>
    <x v="24"/>
    <s v="Encerrada"/>
    <d v="2016-04-07T23:00:00"/>
    <d v="2016-04-08T18:00:00"/>
    <d v="2016-04-08T19:00:00"/>
    <x v="0"/>
    <x v="0"/>
    <s v="Pouco impacto"/>
    <s v="APPCTX304SPODA; APPCTX305SPODA; APPCTX306SPODA; APPCTX307SPODA; APPCTX308SPODA; APPCTX309SPODA; DBSCTX105SPODA; DBSCTX106SPODA"/>
    <s v="APPCTX304SPODA; APPCTX305SPODA; APPCTX306SPODA; APPCTX307SPODA; APPCTX308SPODA; APPCTX309SPODA; DBSCTX105SPODA; DBSCTX106SPODA"/>
    <s v="Sim"/>
    <s v="Não"/>
    <s v="1 - Se conecta no servidor via mstsc; 2 - Para a aplicação; 3 - Exclui o arquivo que foi copiado na estapa de execução; 4 - Restaura o nome do arquivo que foi renomeado na etapa de execução; 5 - Inicia a aplicação; 6 - Segue para o próximo servidor;"/>
    <s v="Não"/>
    <s v="Não"/>
    <x v="0"/>
    <s v="N/A"/>
    <x v="0"/>
  </r>
  <r>
    <n v="19638"/>
    <s v="Esta manutenção garantirá a confiabilidade dos GMG´s que alimentam as cargas do CPD, através Manutenção Preventiva dos dois GMG´s de 440 KVAs e um de 180 KVA cada do Site Hicham e um de 180 KVa do site Elektro."/>
    <x v="40"/>
    <d v="2016-03-10T13:15:14"/>
    <x v="2"/>
    <s v="Encerramento"/>
    <s v="VALTER DE CAMPOS NICOLAU"/>
    <s v="VALTER DE CAMPOS NICOLAU"/>
    <x v="17"/>
    <x v="0"/>
    <s v="Encerrada"/>
    <d v="2016-04-02T22:00:00"/>
    <d v="2016-04-03T07:00:00"/>
    <d v="2016-04-03T08:00:00"/>
    <x v="0"/>
    <x v="0"/>
    <s v="Sem impacto"/>
    <s v="Manutenção GMGs; Manutençãpo de GMGs"/>
    <s v="Manutenção GMGs; Manutençãpo de GMGs"/>
    <s v="Não"/>
    <s v="Não"/>
    <s v="Após testes funcional e técnico, o técnico da empresa contratada, retornará todo sistema em modo automático e elaborará o relatório final."/>
    <s v="Não"/>
    <s v="Não"/>
    <x v="0"/>
    <s v="NA"/>
    <x v="0"/>
  </r>
  <r>
    <n v="19639"/>
    <s v="Upgrade do link MPLS VIVO no DC Alphaville / Energização e configuração do DWDM."/>
    <x v="14"/>
    <d v="2016-03-10T15:07:08"/>
    <x v="2"/>
    <s v="Encerramento"/>
    <s v="THIAGO SILVA FERREIRA"/>
    <s v="THIAGO SILVA FERREIRA"/>
    <x v="0"/>
    <x v="0"/>
    <s v="Encerrada"/>
    <d v="2016-03-15T22:00:00"/>
    <d v="2016-03-16T18:00:00"/>
    <d v="2016-03-16T19:00:00"/>
    <x v="0"/>
    <x v="2"/>
    <s v="Pouco impacto"/>
    <s v="Desig. 00858479"/>
    <s v="--"/>
    <s v="Não"/>
    <s v="Não"/>
    <s v="Desligamento do DWDM e retificador."/>
    <s v="Não"/>
    <s v="Não"/>
    <x v="0"/>
    <m/>
    <x v="0"/>
  </r>
  <r>
    <n v="19643"/>
    <s v="Objetivo/Descrição: Atender demanda do projeto da Oi do Controle de Chamadas / Migrar trafego dos pop´s faltantes Projeto: Pre Routing da OI"/>
    <x v="50"/>
    <d v="2016-03-11T12:00:23"/>
    <x v="2"/>
    <s v="Encerramento"/>
    <s v="FABIANA CARLA DE SOUZA DIAS"/>
    <s v="DANIEL SOUZA PIMENTEL"/>
    <x v="36"/>
    <x v="1"/>
    <s v="Encerrada"/>
    <d v="2016-03-22T15:00:00"/>
    <d v="2016-03-22T19:00:00"/>
    <d v="2016-03-22T20:00:00"/>
    <x v="0"/>
    <x v="2"/>
    <s v="Pouco impacto"/>
    <s v="--"/>
    <s v="--"/>
    <s v="Não"/>
    <s v="Não"/>
    <s v="Mudança Logica. Voltar o trafego das chamadas para o agent encontra-se em produção atualmente."/>
    <s v="Não"/>
    <s v="Sim"/>
    <x v="2"/>
    <m/>
    <x v="1"/>
  </r>
  <r>
    <n v="19648"/>
    <s v="Realizar Upgrade de memoria no Servidor FSSCTX01FORBM"/>
    <x v="3"/>
    <d v="2016-03-11T17:14:25"/>
    <x v="2"/>
    <s v="Encerramento"/>
    <s v="JEFFERSON HONÓRIO FERREIRA"/>
    <s v="FILIPE ANTONIO MESQUITA BEZERRA,JOSE GERALDO DA SILVA DOS SANTOS,PAULO ROGERIO GOMES"/>
    <x v="3"/>
    <x v="1"/>
    <s v="Encerrada"/>
    <d v="2016-03-16T22:00:00"/>
    <d v="2016-03-17T02:00:00"/>
    <d v="2016-03-17T03:00:00"/>
    <x v="0"/>
    <x v="0"/>
    <s v="Pouco impacto"/>
    <s v="FSSCTX01FORBM"/>
    <s v="FSSCTX01FORBM"/>
    <s v="Sim"/>
    <s v="Não"/>
    <s v="Retirar as novas memorias inseridas e ligar o servidor apenas com as memorias ja existentes."/>
    <s v="Não"/>
    <s v="Não"/>
    <x v="0"/>
    <s v="N/A"/>
    <x v="17"/>
  </r>
  <r>
    <n v="19649"/>
    <s v="Upgrade do link MPLS da VIVO no DC Alphaville / Instalação do roteador e conexão da link no CORE."/>
    <x v="14"/>
    <d v="2016-03-11T17:33:28"/>
    <x v="2"/>
    <s v="Encerramento"/>
    <s v="THIAGO SILVA FERREIRA"/>
    <s v="LUCAS ALBERTO DE MORAES,THIAGO SILVA FERREIRA"/>
    <x v="0"/>
    <x v="0"/>
    <s v="Encerrada"/>
    <d v="2016-03-17T22:00:00"/>
    <d v="2016-03-18T01:00:00"/>
    <d v="2016-03-18T02:00:00"/>
    <x v="0"/>
    <x v="2"/>
    <s v="Pouco impacto"/>
    <s v="Desig. 00858479"/>
    <s v="--"/>
    <s v="Sim"/>
    <s v="Não"/>
    <s v="Reativar o link de 680MB."/>
    <s v="Não"/>
    <s v="Não"/>
    <x v="2"/>
    <m/>
    <x v="0"/>
  </r>
  <r>
    <n v="19650"/>
    <s v="Aplicar os Procedimentos abaixo no sistema Protheus: TURFML - Disponibilizar novo cadastro de espécie “Recibo” na inclusão de Documento de Entrada; TUHVH4 - Correção no relatório de Provisões/Faturamento para tratar exibição de pedidos duplicados; TURFB2 - Inclusão da lupa de busca do diretório na geração do arquivo de remessa CNAB."/>
    <x v="10"/>
    <d v="2016-03-13T07:22:36"/>
    <x v="2"/>
    <s v="Encerramento"/>
    <s v="MIGUEL ANGELO DO PATROCINIO"/>
    <s v="MIGUEL ANGELO DO PATROCINIO"/>
    <x v="5"/>
    <x v="0"/>
    <s v="Encerrada"/>
    <d v="2016-03-20T09:00:00"/>
    <d v="2016-03-20T15:00:00"/>
    <d v="2016-03-21T10:00:00"/>
    <x v="0"/>
    <x v="1"/>
    <s v="Sem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19652"/>
    <s v="Implantação de melhoria e atualização da aplicação *144 Pós Pago."/>
    <x v="0"/>
    <d v="2016-03-14T08:59:50"/>
    <x v="2"/>
    <s v="Encerramento"/>
    <s v="FRANCIELE CARLA DE LIMA COSTA"/>
    <s v="WILLIAN CAMPBELL VIANA"/>
    <x v="7"/>
    <x v="1"/>
    <s v="Encerrada"/>
    <d v="2016-03-21T22:00:00"/>
    <d v="2016-03-22T12:00:00"/>
    <d v="2016-03-22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m/>
    <x v="5"/>
  </r>
  <r>
    <n v="19654"/>
    <s v="Executar manutenção Preventiva Mensal em 05 (Cinco) Grupos Geradores de Energia. Garantir total confiabilidade e disponibilidade do sistema de contingência de energia elétrica do Site."/>
    <x v="0"/>
    <d v="2016-03-14T09:49:52"/>
    <x v="2"/>
    <s v="Encerramento"/>
    <s v="SÁVIO MEIRELES CASTRO"/>
    <s v="SÁVIO MEIRELES CASTRO"/>
    <x v="3"/>
    <x v="2"/>
    <s v="Encerrada"/>
    <d v="2016-03-27T07:00:00"/>
    <d v="2016-03-27T15:00:00"/>
    <d v="2016-03-27T15:00:00"/>
    <x v="0"/>
    <x v="0"/>
    <s v="Sem impacto"/>
    <s v="--"/>
    <s v="--"/>
    <s v="Não"/>
    <s v="Não"/>
    <s v="Realizado testes técnicos e funcionais a pois a execução da atividade liberação dos equipamentos para funcionamento normal."/>
    <s v="Não"/>
    <s v="Não"/>
    <x v="0"/>
    <m/>
    <x v="3"/>
  </r>
  <r>
    <n v="19656"/>
    <s v="Implantação de melhoria e atualização da aplicação OCTUNIFICADA."/>
    <x v="0"/>
    <d v="2016-03-14T12:16:20"/>
    <x v="2"/>
    <s v="Encerramento"/>
    <s v="FRANCIELE CARLA DE LIMA COSTA"/>
    <s v="WILLIAN CAMPBELL VIANA"/>
    <x v="7"/>
    <x v="1"/>
    <s v="Encerrada"/>
    <d v="2016-03-21T22:00:00"/>
    <d v="2016-03-22T12:00:00"/>
    <d v="2016-03-22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m/>
    <x v="5"/>
  </r>
  <r>
    <n v="19657"/>
    <s v="Testes dos equipamentos e de temperaturas do CPD com o novo sistema Climatização Fancoils. Garantir total confiabilidade e disponibilidade de climatização do CPD com diferentes tipos de contingência."/>
    <x v="0"/>
    <d v="2016-03-14T13:45:51"/>
    <x v="2"/>
    <s v="Encerramento"/>
    <s v="SÁVIO MEIRELES CASTRO"/>
    <s v="SÁVIO MEIRELES CASTRO"/>
    <x v="3"/>
    <x v="2"/>
    <s v="Encerrada"/>
    <d v="2016-03-27T07:00:00"/>
    <d v="2016-03-27T15:00:00"/>
    <d v="2016-03-27T15:00:00"/>
    <x v="0"/>
    <x v="0"/>
    <s v="Sem impacto"/>
    <s v="--"/>
    <s v="--"/>
    <s v="Não"/>
    <s v="Não"/>
    <s v="Será monitorado a temperatura caso aja um aumento da temperatura próximo a 25,5°C o teste será abortado será realizado todos os procedimentos necessários para retomar ao funcionamento normal."/>
    <s v="Não"/>
    <s v="Não"/>
    <x v="0"/>
    <m/>
    <x v="3"/>
  </r>
  <r>
    <n v="19658"/>
    <s v="Downgrande duas URAS MPPs Avaya no Data Center Alegria, Sistema operacional Linux."/>
    <x v="51"/>
    <d v="2016-03-14T15:36:01"/>
    <x v="2"/>
    <s v="Encerramento"/>
    <s v="JOSIMAR LOPES DE SANTANA"/>
    <s v="JOSIMAR LOPES DE SANTANA"/>
    <x v="10"/>
    <x v="5"/>
    <s v="Encerrada"/>
    <d v="2016-03-21T09:00:00"/>
    <d v="2016-03-21T15:00:00"/>
    <d v="2016-03-21T15:00:00"/>
    <x v="0"/>
    <x v="2"/>
    <s v="Muito impacto"/>
    <s v="MDSCTX101SPODB"/>
    <s v="MDSCTX101SPODB"/>
    <s v="Não"/>
    <s v="Não"/>
    <s v="Não existe plano de retorno, pois é uma implantação nova."/>
    <s v="Não"/>
    <s v="Sim"/>
    <x v="2"/>
    <s v="N/A"/>
    <x v="19"/>
  </r>
  <r>
    <n v="19660"/>
    <s v="Atualizar tabela ICR do com os serviços destinos para atender demanda de URA"/>
    <x v="48"/>
    <d v="2016-03-14T16:48:35"/>
    <x v="2"/>
    <s v="Encerramento"/>
    <s v="JOSE LADISLAU GONÇALVES JUNIOR"/>
    <s v="WILSON SHIGERU MIYAZAKI"/>
    <x v="7"/>
    <x v="1"/>
    <s v="Encerrada"/>
    <d v="2016-03-21T07:00:00"/>
    <d v="2016-03-21T11:00:00"/>
    <d v="2016-03-21T12:00:00"/>
    <x v="0"/>
    <x v="2"/>
    <s v="Os prejuízos ou dificuldades são impactantes"/>
    <s v="dbsctx08spoda"/>
    <s v="dbsctx08spoda"/>
    <s v="Não"/>
    <s v="Não"/>
    <s v="Voltar a tabela na versão antiga na base (MOVEL_NOVOMODELO_V1)"/>
    <s v="Não"/>
    <s v="Não"/>
    <x v="0"/>
    <s v="CTXMTZPB-1285"/>
    <x v="1"/>
  </r>
  <r>
    <n v="19661"/>
    <s v="Essa manutenção, tem como objetivo manter a confiabilidade elétrica do Site, como também a conservação e desempenho do equipamento."/>
    <x v="0"/>
    <d v="2016-03-14T16:59:03"/>
    <x v="2"/>
    <s v="Encerramento"/>
    <s v="GENALDO GOMES FERREIRA"/>
    <s v="GENALDO GOMES FERREIRA"/>
    <x v="14"/>
    <x v="10"/>
    <s v="Encerrada"/>
    <d v="2016-03-27T00:01:00"/>
    <d v="2016-03-27T05:00:00"/>
    <d v="2016-03-27T06:00:00"/>
    <x v="0"/>
    <x v="0"/>
    <s v="Pouco impacto"/>
    <s v="--"/>
    <s v="Gerador"/>
    <s v="Sim"/>
    <s v="Não"/>
    <s v="Havendo necessidade de acionamento dos equipamentos os mesmos serão ativados."/>
    <s v="Não"/>
    <s v="Não"/>
    <x v="0"/>
    <m/>
    <x v="9"/>
  </r>
  <r>
    <n v="19662"/>
    <s v="Correção de falha no CM de MCK_A."/>
    <x v="52"/>
    <d v="2016-03-14T17:03:05"/>
    <x v="2"/>
    <s v="Encerramento"/>
    <s v="WARLEI DIAS DE OLIVEIRA"/>
    <s v="EDERSON DA SILVA ROCHA"/>
    <x v="1"/>
    <x v="1"/>
    <s v="Encerrada"/>
    <d v="2016-03-24T00:00:00"/>
    <d v="2016-03-24T04:00:00"/>
    <d v="2016-03-24T08:00:00"/>
    <x v="0"/>
    <x v="1"/>
    <s v="Impacto"/>
    <s v="10.9.15.83"/>
    <s v="10.9.15.83"/>
    <s v="Não"/>
    <s v="Não"/>
    <s v="Realizar roolback para o SP anterior."/>
    <s v="Não"/>
    <s v="Não"/>
    <x v="0"/>
    <s v="CTXFORBM-348725"/>
    <x v="5"/>
  </r>
  <r>
    <n v="19665"/>
    <s v="Correção para consulta clientes InfoGeral R2, para Evento Vulto"/>
    <x v="9"/>
    <d v="2016-03-14T19:32:35"/>
    <x v="2"/>
    <s v="Encerramento"/>
    <s v="HUGO RAFAEL DE LIMA BRITO"/>
    <s v="HUGO RAFAEL DE LIMA BRITO,MARCOS SANTOS DO SACRAMENTO"/>
    <x v="7"/>
    <x v="1"/>
    <s v="Encerrada"/>
    <d v="2016-03-14T22:00:00"/>
    <d v="2016-03-15T06:00:00"/>
    <d v="2016-03-15T07:00:00"/>
    <x v="3"/>
    <x v="1"/>
    <s v="Sem impacto"/>
    <s v="URACTX04BSBPA / URACTX05BSBPA; URACTX04CGRPA / URACTX05CGRPA; URACTX04POAPA / URACTX05POAPA; URACTX05BHZPA / URACTX06BHZPA / URACTX07SALPA; URACTX05CTAPA / URACTX06CTAPA / URACTX07CTAPA; URACTX05SPOPA / URACTX06SPOPA / URACTX07SPOPA; URACTX06BHZPA / URACTX07BHZPA / URACTX08BHZPA; URACTX06RECPA / URACTX07RECPA / URACTX08RECPA; URACTX06RJOPA / URACTX07RJOPA / URACTX08RJOPA; URACTX06RJOPB / URACTX07RJOPB / URACTX08RJOPB; URACTX07FORPA / URACTX08FORPA / URACTX06FORPA"/>
    <s v="URACTX04BSBPA / URACTX05BSBPA; URACTX04CGRPA / URACTX05CGRPA; URACTX04POAPA / URACTX05POAPA; URACTX05BHZPA / URACTX06BHZPA / URACTX07SALPA; URACTX05CTAPA / URACTX06CTAPA / URACTX07CTAPA; URACTX05SPOPA / URACTX06SPOPA / URACTX07SPOPA; URACTX06BHZPA / URACTX07BHZPA / URACTX08BHZPA; URACTX06RECPA / URACTX07RECPA / URACTX08RECPA; URACTX06RJOPA / URACTX07RJOPA / URACTX08RJOPA; URACTX06RJOPB / URACTX07RJOPB / URACTX08RJOPB; URACTX07FORPA / URACTX08FORPA / URACTX06FORPA"/>
    <s v="Não"/>
    <s v="Não"/>
    <s v="Fazer o deploy da versão anterior da aplicação."/>
    <s v="Não"/>
    <s v="Não"/>
    <x v="2"/>
    <s v="CTXMLTREG-6670"/>
    <x v="5"/>
  </r>
  <r>
    <n v="19667"/>
    <s v="Implantação de release de novas demandas da Oi10331Unificada"/>
    <x v="53"/>
    <d v="2016-03-15T07:58:29"/>
    <x v="2"/>
    <s v="Encerramento"/>
    <s v="BRUNO AUGUSTO ABBADE OLIVEIRA"/>
    <s v="WILLIAN CAMPBELL VIANA"/>
    <x v="7"/>
    <x v="1"/>
    <s v="Encerrada"/>
    <d v="2016-03-21T22:00:00"/>
    <d v="2016-03-22T05:00:00"/>
    <d v="2016-03-22T12:00:00"/>
    <x v="0"/>
    <x v="0"/>
    <s v="Pouco impacto"/>
    <s v="--"/>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Fazer o deploy da versão anterior da aplicação."/>
    <s v="Não"/>
    <s v="Não"/>
    <x v="0"/>
    <s v="OI-13270"/>
    <x v="5"/>
  </r>
  <r>
    <n v="19669"/>
    <s v="MANUTENÇÃO PREVENTIVA DO GRUPO GERADOR SEM CARGA"/>
    <x v="0"/>
    <d v="2016-03-15T10:27:07"/>
    <x v="2"/>
    <s v="Encerramento"/>
    <s v="MARCELO BOSELLI"/>
    <s v="MARCELO BOSELLI"/>
    <x v="5"/>
    <x v="29"/>
    <s v="Encerrada"/>
    <d v="2016-03-26T08:00:00"/>
    <d v="2016-03-26T18:00:00"/>
    <d v="2016-03-28T10:30:00"/>
    <x v="0"/>
    <x v="0"/>
    <s v="Os prejuízos ou dificuldades são impactantes"/>
    <s v="--"/>
    <s v="--"/>
    <s v="Não"/>
    <s v="Não"/>
    <s v="CASO OCORRA ALGUM PROBLEMA DURANTE A MANUTENÇÃO AS ATIVIDADES SERÃO SUSPENSAS IMEDIATAMENTE"/>
    <s v="Não"/>
    <s v="Não"/>
    <x v="0"/>
    <m/>
    <x v="15"/>
  </r>
  <r>
    <n v="19672"/>
    <s v="Correção para consulta clientes InfoGeral R2, para Evento Vulto"/>
    <x v="9"/>
    <d v="2016-03-15T14:05:33"/>
    <x v="2"/>
    <s v="Encerramento"/>
    <s v="UVERLANIO MAURICIO PEREIRA DA SILVA"/>
    <s v="MARCOS SANTOS DO SACRAMENTO,UVERLANIO MAURICIO PEREIRA DA SILVA"/>
    <x v="7"/>
    <x v="1"/>
    <s v="Encerrada"/>
    <d v="2016-03-15T22:00:00"/>
    <d v="2016-03-16T06:00:00"/>
    <d v="2016-03-16T07:00:00"/>
    <x v="3"/>
    <x v="1"/>
    <s v="Sem impacto"/>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Fazer o deploy da versão anterior da aplicação."/>
    <s v="Não"/>
    <s v="Não"/>
    <x v="0"/>
    <m/>
    <x v="5"/>
  </r>
  <r>
    <n v="19675"/>
    <s v="Validação e documentação de redundância dos links MPLS no site João Pessoa/Execução de testes de fail over e captura de evidências."/>
    <x v="9"/>
    <d v="2016-03-15T16:35:57"/>
    <x v="2"/>
    <s v="Encerramento"/>
    <s v="THIAGO SILVA FERREIRA"/>
    <s v="FRANCISCO ROSBERG DE CARVALHO SILVA,THIAGO SILVA FERREIRA"/>
    <x v="35"/>
    <x v="24"/>
    <s v="Encerrada"/>
    <d v="2016-03-15T22:00:00"/>
    <d v="2016-03-16T01:00:00"/>
    <d v="2016-03-16T02:00:00"/>
    <x v="3"/>
    <x v="0"/>
    <s v="Sem impacto"/>
    <s v="JPA5144574 / JPA-301KOFAY"/>
    <s v="--"/>
    <s v="Sim"/>
    <s v="Não"/>
    <s v="Reativação dos 2 links do site."/>
    <s v="Não"/>
    <s v="Não"/>
    <x v="2"/>
    <m/>
    <x v="0"/>
  </r>
  <r>
    <n v="19677"/>
    <s v="Realizar atualização do Vmware Vcenter do site Alegria"/>
    <x v="54"/>
    <d v="2016-03-15T18:46:20"/>
    <x v="2"/>
    <s v="Encerramento"/>
    <s v="MATHEUS MASCÁRA DA SILVA"/>
    <s v="MATHEUS MASCÁRA DA SILVA"/>
    <x v="10"/>
    <x v="0"/>
    <s v="Encerrada"/>
    <d v="2016-03-17T00:01:00"/>
    <d v="2016-03-17T03:00:00"/>
    <d v="2016-03-17T05:00:00"/>
    <x v="1"/>
    <x v="2"/>
    <s v="Muito impacto"/>
    <s v="vctctx101spodb"/>
    <s v="vctctx101spodb"/>
    <s v="Sim"/>
    <s v="Não"/>
    <s v="1º Efetuar logon no host esxi que hospeda o servidor virtual do Vcenter(VCTCTX101SPODB); 2º Com o botão direito clicar no servidor virtual e escolher a opção SNAPSHOT/SNAPSHOT MANAGER; 3º Escolher a opção VCENTER GMUD 19655 e clicar em GO TO; 4º Clicar em Yes na mensagem que diz que irá utilizar o snapshot da maquina virtual; 5º Efetuar logon no host esxi que hospeda o servidor virtual do Banco de Dados Vcenter(VDBCTX101SPODB); 6º Com o botão direito clicar no servidor virtual e escolher a opção SNAPSHOT/SNAPSHOT MANAGER; 7º Escolher a opção VCENTER GMUD 19655 e clicar em GO TO; 8º Clicar em Yes na mensagem que diz que irá utilizar o snapshot da maquina virtual; 9º Ligar o servidor virtual de Banco de Dados do Vcenter (VDBCTX101SPODB); 10º Apos o servidor virtual de Banco de Dados estiver com todos os serviços funcionando, ligar o servidor virtual do VCENTER(VCTCTX101SPODB)"/>
    <s v="Não"/>
    <s v="Não"/>
    <x v="0"/>
    <m/>
    <x v="0"/>
  </r>
  <r>
    <n v="19679"/>
    <s v="Realizar a manutenção preventiva no GMG"/>
    <x v="0"/>
    <d v="2016-03-16T09:00:48"/>
    <x v="2"/>
    <s v="Encerramento"/>
    <s v="MARCIO LUIS DE GODOI JUNIOR"/>
    <s v="MARCIO LUIS DE GODOI JUNIOR"/>
    <x v="24"/>
    <x v="44"/>
    <s v="Encerrada"/>
    <d v="2016-03-24T22:00:00"/>
    <d v="2016-03-25T06:00:00"/>
    <d v="2016-03-29T12:00:00"/>
    <x v="0"/>
    <x v="0"/>
    <s v="Sem impacto"/>
    <s v="--"/>
    <s v="--"/>
    <s v="Não"/>
    <s v="Não"/>
    <s v="Iremos realizar a manutenção preventiva visando garantir o funcionamento pleno do equipamento, caso ocorra qualquer anomalia no momento da execução iremos paralizar a atividade e iniciar o processo."/>
    <s v="Não"/>
    <s v="Não"/>
    <x v="0"/>
    <m/>
    <x v="21"/>
  </r>
  <r>
    <n v="19683"/>
    <s v="Remoção de servidores desativados do CPD do Site Fonte Nova"/>
    <x v="0"/>
    <d v="2016-03-16T09:43:38"/>
    <x v="2"/>
    <s v="Encerramento"/>
    <s v="VINÍCIUS FERNANDES CHATEAUNEUF"/>
    <s v="VINÍCIUS FERNANDES CHATEAUNEUF"/>
    <x v="20"/>
    <x v="7"/>
    <s v="Encerrada"/>
    <d v="2016-03-23T23:30:00"/>
    <d v="2016-03-24T05:00:00"/>
    <d v="2016-03-24T06:00:00"/>
    <x v="0"/>
    <x v="0"/>
    <s v="Sem impacto"/>
    <s v="DBSCTX03SALAS; DEFINITY 1; DEFINITY 2; MESCTX01SALAS; SUSCTX02SALAS"/>
    <s v="DBSCTX03SALAS; DEFINITY 1; DEFINITY 2; MESCTX01SALAS; SUSCTX02SALAS"/>
    <s v="Não"/>
    <s v="Não"/>
    <s v="Não há plano de retorno a ser executado. Todos os servidores já encontram-se fora de produção e desligados."/>
    <s v="Não"/>
    <s v="Não"/>
    <x v="0"/>
    <m/>
    <x v="0"/>
  </r>
  <r>
    <n v="19688"/>
    <s v="• PROJETO: POP 1 DESMOBILIZAÇÃO DO CPD SITE PRADO 1"/>
    <x v="0"/>
    <d v="2016-03-16T14:52:21"/>
    <x v="2"/>
    <s v="Encerramento"/>
    <s v="EDSON ANTONIO DA SILVA DIAS"/>
    <s v="RAFAEL SIMPLES"/>
    <x v="13"/>
    <x v="1"/>
    <s v="Encerrada"/>
    <d v="2016-03-16T22:00:00"/>
    <d v="2016-03-17T05:00:00"/>
    <d v="2016-03-17T06:00:00"/>
    <x v="1"/>
    <x v="2"/>
    <s v="Os prejuízos ou dificuldades são impactantes"/>
    <s v="--"/>
    <m/>
    <s v="Não"/>
    <s v="Não"/>
    <s v="Caso ocorra alguma falha, efetuar o Restore do backup"/>
    <s v="Não"/>
    <s v="Não"/>
    <x v="0"/>
    <m/>
    <x v="5"/>
  </r>
  <r>
    <n v="19690"/>
    <s v="Upgrade de 2 hosts esxi para versão 5.5 (VMWARE)"/>
    <x v="55"/>
    <d v="2016-03-16T15:21:29"/>
    <x v="2"/>
    <s v="Encerramento"/>
    <s v="MATHEUS MASCÁRA DA SILVA"/>
    <s v="MATHEUS MASCÁRA DA SILVA"/>
    <x v="10"/>
    <x v="0"/>
    <s v="Encerrada"/>
    <d v="2016-03-18T00:01:00"/>
    <d v="2016-03-18T03:00:00"/>
    <d v="2016-03-18T05:00:00"/>
    <x v="1"/>
    <x v="2"/>
    <s v="Os prejuízos ou dificuldades são impactantes"/>
    <s v="DBSCTX117SPODB; DBSCTX143SPODB; DBSCTX304SPODB; GRVCTX109SPODB; vshctx115spodb, vshctx102spodb"/>
    <s v="vshctx115spodb, vshctx102spodb"/>
    <s v="Não"/>
    <s v="Não"/>
    <s v="Não existe rollback para a atualização do esxi.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
    <s v="Não"/>
    <s v="Não"/>
    <x v="0"/>
    <m/>
    <x v="0"/>
  </r>
  <r>
    <n v="19692"/>
    <s v="Restart FULL Plataforma Aspect Polo PE - STOP/START dos serviços UIP, restart dos servidores com S.O Windows. Tem como objetivo prevenir paradas no ambiente e atendendo a recomendações de restart mensal do sistema."/>
    <x v="3"/>
    <d v="2016-03-16T16:22:38"/>
    <x v="2"/>
    <s v="Encerramento"/>
    <s v="LEANDRO ROCHA GONÇALVES"/>
    <s v="LEANDRO ROCHA GONÇALVES"/>
    <x v="29"/>
    <x v="45"/>
    <s v="Encerrada"/>
    <d v="2016-03-24T22:00:00"/>
    <d v="2016-03-25T05:00:00"/>
    <d v="2016-03-25T06:00:00"/>
    <x v="0"/>
    <x v="0"/>
    <s v="Sem impacto"/>
    <s v="CORCTX01RECSA; EXPCTX01RECSA; EXPCTX02RECSA; PDMCTX01RECSA; RECCTX01RECSA; REPCTX01RECSA"/>
    <s v="--"/>
    <s v="Sim"/>
    <s v="Não"/>
    <s v="Não possui plano de retorno, pois o ambiente não irá sofrer alterações na estrutura."/>
    <s v="Não"/>
    <s v="Não"/>
    <x v="0"/>
    <s v="N/A"/>
    <x v="17"/>
  </r>
  <r>
    <n v="19699"/>
    <s v="Instalação de roteador e posterior ativação do Link de Voz para operação Souza Curz"/>
    <x v="9"/>
    <d v="2016-03-17T10:44:16"/>
    <x v="2"/>
    <s v="Encerramento"/>
    <s v="LUIZ WASHINGTON GIANEZZI"/>
    <s v="LUIZ WASHINGTON GIANEZZI"/>
    <x v="0"/>
    <x v="12"/>
    <s v="Encerrada"/>
    <d v="2016-03-17T22:00:00"/>
    <d v="2016-03-18T00:00:00"/>
    <d v="2016-03-18T02:00:00"/>
    <x v="3"/>
    <x v="0"/>
    <s v="Sem impacto"/>
    <m/>
    <m/>
    <s v="Não"/>
    <s v="Não"/>
    <s v="Desligar o equipamento."/>
    <s v="Não"/>
    <s v="Não"/>
    <x v="0"/>
    <m/>
    <x v="0"/>
  </r>
  <r>
    <n v="19703"/>
    <s v="Manutenção corretiva emergência No Break 1° AGV"/>
    <x v="0"/>
    <d v="2016-03-17T15:29:40"/>
    <x v="2"/>
    <s v="Encerramento"/>
    <s v="CASSIO REIS LIMA"/>
    <s v="CASSIO REIS LIMA"/>
    <x v="20"/>
    <x v="36"/>
    <s v="Encerrada"/>
    <d v="2016-03-17T20:00:00"/>
    <d v="2016-03-18T05:00:00"/>
    <d v="2016-03-18T06:00:00"/>
    <x v="1"/>
    <x v="1"/>
    <s v="Muito impacto"/>
    <s v="--"/>
    <s v="--"/>
    <s v="Sim"/>
    <s v="Sim"/>
    <s v="Em eventual falha reportaremos para a área de missão critica, coordenador do site e gerência de cidade, após ser aprovado o procedimento restabeleceremos o sistema."/>
    <s v="Não"/>
    <s v="Não"/>
    <x v="0"/>
    <s v="CTXSALAS - 163760"/>
    <x v="17"/>
  </r>
  <r>
    <n v="19705"/>
    <s v="Atualização do ambiente / remoção o restante de configuração do SBC do POP Paraná."/>
    <x v="56"/>
    <d v="2016-03-17T15:50:11"/>
    <x v="2"/>
    <s v="Encerramento"/>
    <s v="FABIANA CARLA DE SOUZA DIAS"/>
    <s v="EDERSON DA SILVA ROCHA"/>
    <x v="36"/>
    <x v="1"/>
    <s v="Encerrada"/>
    <d v="2016-04-01T01:00:00"/>
    <d v="2016-04-01T03:00:00"/>
    <d v="2016-04-01T04:00:00"/>
    <x v="0"/>
    <x v="0"/>
    <s v="Pouco impacto"/>
    <s v="--"/>
    <m/>
    <s v="Não"/>
    <s v="Não"/>
    <s v="Realizar o restore do backup realizado no incio da mudança (Conforme plano de ação)."/>
    <s v="Não"/>
    <s v="Não"/>
    <x v="0"/>
    <m/>
    <x v="1"/>
  </r>
  <r>
    <n v="19706"/>
    <s v="Executar manutenção Preventiva Mensal em 01 (Um) Grupo Gerador de Energia. Garantir total confiabilidade e disponibilidade do sistema de contingência de energia elétrica do Site."/>
    <x v="0"/>
    <d v="2016-03-17T15:56:27"/>
    <x v="2"/>
    <s v="Encerramento"/>
    <s v="SÁVIO MEIRELES CASTRO"/>
    <s v="SÁVIO MEIRELES CASTRO"/>
    <x v="4"/>
    <x v="3"/>
    <s v="Encerrada"/>
    <d v="2016-03-27T07:00:00"/>
    <d v="2016-03-27T15:00:00"/>
    <d v="2016-03-27T15:00:00"/>
    <x v="0"/>
    <x v="0"/>
    <s v="Sem impacto"/>
    <s v="--"/>
    <s v="--"/>
    <s v="Não"/>
    <s v="Não"/>
    <s v="Realizado testes técnicos e funcionais a pois a execução da atividade liberação dos equipamentos para funcionamento normal."/>
    <s v="Não"/>
    <s v="Não"/>
    <x v="0"/>
    <m/>
    <x v="9"/>
  </r>
  <r>
    <n v="19708"/>
    <s v="Ajuste na regra de bloqueio Antifraude."/>
    <x v="9"/>
    <d v="2016-03-17T17:18:26"/>
    <x v="2"/>
    <s v="Encerramento"/>
    <s v="MONIQUE DE ALMEIDA AIRES"/>
    <s v="ALBERTO DE ARAUJO RODRIGUES"/>
    <x v="7"/>
    <x v="1"/>
    <s v="Encerrada"/>
    <d v="2016-03-20T22:00:00"/>
    <d v="2016-03-21T08:30:00"/>
    <d v="2016-03-21T18:00:00"/>
    <x v="3"/>
    <x v="1"/>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
    <s v="Não"/>
    <s v="Não"/>
    <s v="Realizar o UNDEPLOY da versão nova através do Tomcat Manager Refazer os Testes Técnicos e Funcionais."/>
    <s v="Não"/>
    <s v="Não"/>
    <x v="0"/>
    <s v="OI-14097"/>
    <x v="5"/>
  </r>
  <r>
    <n v="19709"/>
    <s v="Restart da plataforma Aspect / Corrigir falhas de quedas e travamentos"/>
    <x v="0"/>
    <d v="2016-03-17T17:49:24"/>
    <x v="2"/>
    <s v="Encerramento"/>
    <s v="JOÃO PEREIRA DE SOUZA JUNIOR"/>
    <s v="JOÃO PAULO MACIEL FILHO"/>
    <x v="3"/>
    <x v="1"/>
    <s v="Encerrada"/>
    <d v="2016-03-29T22:00:00"/>
    <d v="2016-03-30T04:00:00"/>
    <d v="2016-03-30T06:00:00"/>
    <x v="0"/>
    <x v="0"/>
    <s v="Pouco impacto"/>
    <s v="acsctx01forbm; corctx01forbm; expctx01forbm; expctx02forbm; expctx03forbm; expctx04form; pdmctx01forbm; recctx01forbm; repctx01forbm"/>
    <s v="acsctx01forbm; corctx01forbm; expctx01forbm; expctx02forbm; expctx03forbm; expctx04form; pdmctx01forbm; recctx01forbm; repctx01forbm"/>
    <s v="Sim"/>
    <s v="Não"/>
    <s v="Realizar cópia do arquivo antes de alterá-lo, caso aconteça algum problema, o arquivo original é restaurado."/>
    <s v="Não"/>
    <s v="Não"/>
    <x v="0"/>
    <m/>
    <x v="1"/>
  </r>
  <r>
    <n v="19710"/>
    <s v="Manutenção preventiva no Aspect Polo BHZRP."/>
    <x v="0"/>
    <d v="2016-03-18T09:05:57"/>
    <x v="2"/>
    <s v="Encerramento"/>
    <s v="VINICIUS JOSE SOUZA DA CRUZ"/>
    <s v="VINICIUS JOSE SOUZA DA CRUZ"/>
    <x v="13"/>
    <x v="1"/>
    <s v="Encerrada"/>
    <d v="2016-03-23T22:00:00"/>
    <d v="2016-03-24T06:00:00"/>
    <d v="2016-03-24T06:30:00"/>
    <x v="0"/>
    <x v="0"/>
    <s v="Pouco impacto"/>
    <s v="corctx01bhzrp; EXPCTX01BHZRP; EXPCTX02BHZRP; EXPCTX03BHZRP; EXPCTX04BHZRP; PDMCTX01BHZRP; REPCTX01BHZRP"/>
    <s v="corctx01bhzrp; EXPCTX01BHZRP; EXPCTX02BHZRP; EXPCTX03BHZRP; EXPCTX04BHZRP; PDMCTX01BHZRP; REPCTX01BHZRP"/>
    <s v="Não"/>
    <s v="Não"/>
    <s v="Nao contempla plano de retorno"/>
    <s v="Não"/>
    <s v="Não"/>
    <x v="0"/>
    <s v="N/A"/>
    <x v="2"/>
  </r>
  <r>
    <n v="19711"/>
    <s v="Manutenção preventiva trimestral de No-break, tem como objetivo manter a confiabilidade elétrica do Site, como também a conservação e desempenho do equipamento."/>
    <x v="0"/>
    <d v="2016-03-18T10:07:38"/>
    <x v="2"/>
    <s v="Encerramento"/>
    <s v="GENALDO GOMES FERREIRA"/>
    <s v="GENALDO GOMES FERREIRA"/>
    <x v="14"/>
    <x v="10"/>
    <s v="Encerrada"/>
    <d v="2016-03-27T00:01:00"/>
    <d v="2016-03-27T05:00:00"/>
    <d v="2016-03-27T06:00:00"/>
    <x v="0"/>
    <x v="0"/>
    <s v="Pouco impacto"/>
    <s v="--"/>
    <s v="No-break"/>
    <s v="Não"/>
    <s v="Não"/>
    <s v="Havendo necessidade de acionamento dos equipamentos os mesmos serão ativados."/>
    <s v="Não"/>
    <s v="Sim"/>
    <x v="0"/>
    <m/>
    <x v="9"/>
  </r>
  <r>
    <n v="19712"/>
    <s v="Substituição de memória e processador do servidor CT_102_01"/>
    <x v="0"/>
    <d v="2016-03-18T10:33:20"/>
    <x v="2"/>
    <s v="Encerramento"/>
    <s v="VINÍCIUS FERNANDES CHATEAUNEUF"/>
    <s v="VINÍCIUS FERNANDES CHATEAUNEUF"/>
    <x v="20"/>
    <x v="1"/>
    <s v="Encerrada"/>
    <d v="2016-03-24T23:50:00"/>
    <d v="2016-03-25T05:00:00"/>
    <d v="2016-03-25T05:50:00"/>
    <x v="0"/>
    <x v="1"/>
    <s v="Sem impacto"/>
    <s v="CT_102_01"/>
    <s v="CT_102_01"/>
    <s v="Sim"/>
    <s v="Não"/>
    <s v="Não há plano de retorno. No momento, o servidor já encontra-se fora de produção devido a falha em processador e memória."/>
    <s v="Não"/>
    <s v="Não"/>
    <x v="0"/>
    <s v="CTXSALAS-163252"/>
    <x v="5"/>
  </r>
  <r>
    <n v="19714"/>
    <s v="Validação e documentação de redundância dos links MPLS no site João Pessoa/Execução de testes de fail over e captura de evidências."/>
    <x v="9"/>
    <d v="2016-03-18T11:03:05"/>
    <x v="2"/>
    <s v="Encerramento"/>
    <s v="THIAGO SILVA FERREIRA"/>
    <s v="FRANCISCO ROSBERG DE CARVALHO SILVA,THIAGO SILVA FERREIRA"/>
    <x v="35"/>
    <x v="0"/>
    <s v="Encerrada"/>
    <d v="2016-03-18T22:00:00"/>
    <d v="2016-03-19T01:00:00"/>
    <d v="2016-03-19T02:00:00"/>
    <x v="3"/>
    <x v="0"/>
    <s v="Sem impacto"/>
    <s v="Desig. JPA5144574/JPA-301KOFAY"/>
    <s v="--"/>
    <s v="Sim"/>
    <s v="Não"/>
    <s v="Reativação dos links."/>
    <s v="Não"/>
    <s v="Sim"/>
    <x v="2"/>
    <m/>
    <x v="0"/>
  </r>
  <r>
    <n v="19715"/>
    <s v="Aplicar os Procedimentos abaixo no sistema Protheus: TURFD6 - Habilitar relatório que exibe permissões de acessos dos usuários; TURZRO - Disponibilizar cadastros das espécies “NFF” e “ND” na inclusão de Documento de Entrada; TUTIRQ - Liberação de arquivos de licenças;"/>
    <x v="10"/>
    <d v="2016-03-18T11:19:15"/>
    <x v="2"/>
    <s v="Encerramento"/>
    <s v="MIGUEL ANGELO DO PATROCINIO"/>
    <s v="MIGUEL ANGELO DO PATROCINIO"/>
    <x v="5"/>
    <x v="0"/>
    <s v="Encerrada"/>
    <d v="2016-03-27T09:00:00"/>
    <d v="2016-03-27T15:00:00"/>
    <d v="2016-03-28T10:00:00"/>
    <x v="0"/>
    <x v="1"/>
    <s v="Pouc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19717"/>
    <s v="Atualização da aplicação Televendas. A release 20160322 terá como foco principal as seguintes mudanças: -&gt; FUO-791 URA TELEVENDAS - FALHA DE PROMPT - ERRADO -&gt; FUO-790 Trata Erro Televendas Empresarial -&gt; FUO-781 Lançamento Oi Total Televendas Varejo"/>
    <x v="0"/>
    <d v="2016-03-18T13:29:22"/>
    <x v="2"/>
    <s v="Encerramento"/>
    <s v="DANIEL SCHONWANDT MENDES FERREIRA"/>
    <s v="WILLIAN CAMPBELL VIANA"/>
    <x v="7"/>
    <x v="1"/>
    <s v="Encerrada"/>
    <d v="2016-03-22T22:00:00"/>
    <d v="2016-03-23T12:00:00"/>
    <d v="2016-03-23T18:00:00"/>
    <x v="1"/>
    <x v="1"/>
    <s v="Muito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s v="FUO-781, FUO-790 e FUO-791"/>
    <x v="1"/>
  </r>
  <r>
    <n v="19721"/>
    <s v="Atualizar tabela ICR do com os serviços destinos para atender demanda de URA"/>
    <x v="48"/>
    <d v="2016-03-18T15:31:50"/>
    <x v="2"/>
    <s v="Encerramento"/>
    <s v="JOSE LADISLAU GONÇALVES JUNIOR"/>
    <s v="WILSON SHIGERU MIYAZAKI"/>
    <x v="7"/>
    <x v="1"/>
    <s v="Encerrada"/>
    <d v="2016-03-23T07:00:00"/>
    <d v="2016-03-23T10:00:00"/>
    <d v="2016-03-23T11:00:00"/>
    <x v="0"/>
    <x v="1"/>
    <s v="Os prejuízos ou dificuldades são impactantes"/>
    <s v="dbsctx08spoda"/>
    <s v="dbsctx08spoda"/>
    <s v="Não"/>
    <s v="Não"/>
    <s v="Voltar a tabela na versão antiga na base (Multiproduto)"/>
    <s v="Não"/>
    <s v="Não"/>
    <x v="0"/>
    <s v="CTXRJOMA-79188"/>
    <x v="1"/>
  </r>
  <r>
    <n v="19723"/>
    <s v="OI-14096_Ajuste regra de bloqueio oi controle"/>
    <x v="9"/>
    <d v="2016-03-18T15:52:44"/>
    <x v="2"/>
    <s v="Encerramento"/>
    <s v="DIOGO ANÍSIO DE FRANÇA"/>
    <s v="WILLIAN CAMPBELL VIANA"/>
    <x v="5"/>
    <x v="1"/>
    <s v="Encerrada"/>
    <d v="2016-03-20T22:00:00"/>
    <d v="2016-03-21T11:00:00"/>
    <d v="2016-03-21T13:00:00"/>
    <x v="3"/>
    <x v="1"/>
    <s v="Sem impacto"/>
    <s v="APPCTX14RJONT; APPCTX15RJOED; APPCTX16RJOED; APPCTX18RJOED; APPCTX19RJOED; APPOIM03SPOAL; APPOIM04SPOLP; DBSOIM01SPOAL; NMSIOM01SPOAL; NMSOIM04SPOLP"/>
    <s v="; APPCTX14RJONT; APPCTX15RJOED; APPCTX16RJOED; APPCTX18RJOED; APPCTX19RJOED; APPOIM03SPOAL; APPOIM04SPOAL; APPOIM04SPOLP; DBSOIM01SPOAL; NMSIOM01SPOAL; NMSOIM04SPOLP"/>
    <s v="Não"/>
    <s v="Não"/>
    <s v="Retorna os arquivos de backup. Refazer os Testes Técnicos e Funcionais."/>
    <s v="Não"/>
    <s v="Não"/>
    <x v="0"/>
    <s v="OI-14096"/>
    <x v="5"/>
  </r>
  <r>
    <n v="19724"/>
    <s v="Upgrade do link MPLS da VIVO no DC Alphaville / Instalação do roteador e conexão da link no CORE."/>
    <x v="14"/>
    <d v="2016-03-18T17:20:32"/>
    <x v="2"/>
    <s v="Encerramento"/>
    <s v="THIAGO SILVA FERREIRA"/>
    <s v="MARCUS VINÍCIUS RUSTIGUER,THIAGO SILVA FERREIRA"/>
    <x v="0"/>
    <x v="0"/>
    <s v="Encerrada"/>
    <d v="2016-03-23T22:00:00"/>
    <d v="2016-03-24T02:00:00"/>
    <d v="2016-03-24T03:00:00"/>
    <x v="0"/>
    <x v="2"/>
    <s v="Sem impacto"/>
    <s v="Desig. 00858479"/>
    <s v="--"/>
    <s v="Sim"/>
    <s v="Não"/>
    <s v="Reativação do link de 680MB e restore do tráfego por esse link."/>
    <s v="Não"/>
    <s v="Não"/>
    <x v="0"/>
    <m/>
    <x v="0"/>
  </r>
  <r>
    <n v="19725"/>
    <s v="Desligamento e desmontagem de No-break, banco de bateria e quadro de by-pass no 2º AVG"/>
    <x v="57"/>
    <d v="2016-03-18T17:23:28"/>
    <x v="2"/>
    <s v="Encerramento"/>
    <s v="GENALDO GOMES FERREIRA"/>
    <s v="CASSIO REIS LIMA"/>
    <x v="20"/>
    <x v="0"/>
    <s v="Encerrada"/>
    <d v="2016-03-26T22:00:00"/>
    <d v="2016-03-27T06:00:00"/>
    <d v="2016-03-27T07:00:00"/>
    <x v="0"/>
    <x v="2"/>
    <s v="Pouco impacto"/>
    <s v="--"/>
    <s v="No-break"/>
    <s v="Sim"/>
    <s v="Não"/>
    <s v="Não há necessidade,pois o equipamento será desmobilizado."/>
    <s v="Não"/>
    <s v="Não"/>
    <x v="0"/>
    <m/>
    <x v="0"/>
  </r>
  <r>
    <n v="19727"/>
    <s v="Manter a confiabilidade do sistema/repor No break GE 160 de Operação em Carga"/>
    <x v="0"/>
    <d v="2016-03-18T20:55:14"/>
    <x v="2"/>
    <s v="Encerramento"/>
    <s v="VANDERLEI CASTRO SOUZA LIMA"/>
    <s v="VANDERLEI CASTRO SOUZA LIMA"/>
    <x v="30"/>
    <x v="23"/>
    <s v="Encerrada"/>
    <d v="2016-04-01T23:00:00"/>
    <d v="2016-04-02T05:00:00"/>
    <d v="2016-04-02T05:30:00"/>
    <x v="0"/>
    <x v="0"/>
    <s v="Pouco impacto"/>
    <s v="--"/>
    <s v="No Break"/>
    <s v="Sim"/>
    <s v="Sim"/>
    <s v="Após todos os testes; Acionar a equipe de TI para que sejam ligadas as salas de telemáticas do 4º, 5º e 6º andar; Acompanhar a equipe de TI para verificar juntamente se está normal; Estando tudo normal será informado ao Coordenador do Site a finalização do serviço;"/>
    <s v="Não"/>
    <s v="Não"/>
    <x v="0"/>
    <m/>
    <x v="1"/>
  </r>
  <r>
    <n v="19729"/>
    <s v="• PROJETO: POP 1 DESMOBILIZAÇÃO DO CPD SITE PRADO 1"/>
    <x v="0"/>
    <d v="2016-03-21T08:14:21"/>
    <x v="2"/>
    <s v="Encerramento"/>
    <s v="EDSON ANTONIO DA SILVA DIAS"/>
    <s v="RAFAEL SIMPLES"/>
    <x v="13"/>
    <x v="1"/>
    <s v="Encerrada"/>
    <d v="2016-03-22T22:00:00"/>
    <d v="2016-03-23T05:00:00"/>
    <d v="2016-03-23T06:00:00"/>
    <x v="1"/>
    <x v="2"/>
    <s v="Os prejuízos ou dificuldades são impactantes"/>
    <s v="--"/>
    <s v="10.48.0.121; 10.48.0.141; 10.48.0.15; 10.48.0.150; 10.48.0.151; 10.48.0.160; 10.48.0.188; 10.48.0.220; 10.48.0.27; 10.48.0.71; 10.48.0.75"/>
    <s v="Não"/>
    <s v="Não"/>
    <s v="Restore do backup. Segue anexo o e-mail do responsável em anexo"/>
    <s v="Não"/>
    <s v="Não"/>
    <x v="0"/>
    <m/>
    <x v="5"/>
  </r>
  <r>
    <n v="19732"/>
    <s v="Implantação de release de novas demandas da MultiProduto"/>
    <x v="0"/>
    <d v="2016-03-21T14:35:34"/>
    <x v="2"/>
    <s v="Encerramento"/>
    <s v="UVERLANIO MAURICIO PEREIRA DA SILVA"/>
    <s v="MARCOS SANTOS DO SACRAMENTO"/>
    <x v="7"/>
    <x v="1"/>
    <s v="Encerrada"/>
    <d v="2016-03-29T22:00:00"/>
    <d v="2016-03-30T12:00:00"/>
    <d v="2016-03-30T12:00:00"/>
    <x v="0"/>
    <x v="0"/>
    <s v="Os prejuízos ou dificuldades são impactantes"/>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Não"/>
    <s v="Não"/>
    <s v="Fazer o deploy da versão anterior da aplicação."/>
    <s v="Não"/>
    <s v="Sim"/>
    <x v="2"/>
    <s v="OI-13617,OI-13415, OI-12750 e OI-13414"/>
    <x v="5"/>
  </r>
  <r>
    <n v="19734"/>
    <s v="Manutenção preventiva da fonte -48VCC"/>
    <x v="0"/>
    <d v="2016-03-21T15:34:47"/>
    <x v="2"/>
    <s v="Encerramento"/>
    <s v="LEVI CARDOSO"/>
    <s v="LEVI CARDOSO"/>
    <x v="9"/>
    <x v="19"/>
    <s v="Encerrada"/>
    <d v="2016-04-01T22:00:00"/>
    <d v="2016-04-02T00:00:00"/>
    <d v="2016-04-02T05:00:00"/>
    <x v="0"/>
    <x v="0"/>
    <s v="Pouco impacto"/>
    <s v="--"/>
    <s v="Fonte -48Vcc"/>
    <s v="Não"/>
    <s v="Não"/>
    <s v="Em caso de algum problema será cancelado a manutenção preventiva."/>
    <s v="Não"/>
    <s v="Não"/>
    <x v="0"/>
    <m/>
    <x v="12"/>
  </r>
  <r>
    <n v="19738"/>
    <s v="Realizar troca do Switch pertencente a Operação Itaú. O mesmo esta desconectando."/>
    <x v="3"/>
    <d v="2016-03-21T16:50:01"/>
    <x v="2"/>
    <s v="Encerramento"/>
    <s v="AROLDO DE FARIAS ACIOLY NETO"/>
    <s v="FELIPE LINS DA SILVA"/>
    <x v="29"/>
    <x v="18"/>
    <s v="Encerrada"/>
    <d v="2016-03-22T00:00:00"/>
    <d v="2016-03-22T01:00:00"/>
    <d v="2016-03-22T02:00:00"/>
    <x v="1"/>
    <x v="1"/>
    <s v="Muito impacto"/>
    <s v="SWTACE45STATC02-1"/>
    <s v="SWTACE45STATC02-1"/>
    <s v="Não"/>
    <s v="Não"/>
    <s v="Não Possui plano de retorno."/>
    <s v="Não"/>
    <s v="Não"/>
    <x v="0"/>
    <s v="N/A"/>
    <x v="19"/>
  </r>
  <r>
    <n v="19742"/>
    <s v="Instalação de Novo DHCP para correção de Ips operação BBMpfre."/>
    <x v="9"/>
    <d v="2016-03-21T18:14:19"/>
    <x v="2"/>
    <s v="Encerramento"/>
    <s v="DANIEL DONAIRE"/>
    <s v="DANIEL DONAIRE"/>
    <x v="12"/>
    <x v="0"/>
    <s v="Encerrada"/>
    <d v="2016-03-22T20:00:00"/>
    <d v="2016-03-22T23:50:00"/>
    <d v="2016-03-23T01:00:00"/>
    <x v="3"/>
    <x v="1"/>
    <s v="Sem impacto"/>
    <s v="--"/>
    <s v="--"/>
    <s v="Não"/>
    <s v="Não"/>
    <s v="Retornar ips para modo manual em caso de falha na execução da GMUD."/>
    <s v="Não"/>
    <s v="Não"/>
    <x v="0"/>
    <s v="CTXRJOSC-15707"/>
    <x v="0"/>
  </r>
  <r>
    <n v="19743"/>
    <s v="Implantação de atualizações e melhorias na URA *144 Pré Pago"/>
    <x v="58"/>
    <d v="2016-03-22T10:45:41"/>
    <x v="2"/>
    <s v="Encerramento"/>
    <s v="FELIPE NASCIMENTO DE MENEZES TAVARES"/>
    <s v="WILLIAN CAMPBELL VIANA"/>
    <x v="7"/>
    <x v="1"/>
    <s v="Encerrada"/>
    <d v="2016-03-29T22:00:00"/>
    <d v="2016-03-30T03:00:00"/>
    <d v="2016-03-30T18:00:00"/>
    <x v="0"/>
    <x v="2"/>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quot;Realizar o UNDEPLOY da versão nova através do Tomcat Manager Refazer os Testes Técnicos e Funcionais.&quot;"/>
    <s v="Não"/>
    <s v="Não"/>
    <x v="2"/>
    <s v="OI-13918 / OI-13952 / OI-13955"/>
    <x v="5"/>
  </r>
  <r>
    <n v="19746"/>
    <s v="Gerar postagem para novo lote de boletos da Campanha MÃES 2016"/>
    <x v="59"/>
    <d v="2016-03-22T11:21:54"/>
    <x v="2"/>
    <s v="Encerramento"/>
    <s v="FREDERICO BEDETTE COSTA"/>
    <s v="FREDERICO BEDETTE COSTA"/>
    <x v="2"/>
    <x v="1"/>
    <s v="Encerrada"/>
    <d v="2016-03-27T08:00:00"/>
    <d v="2016-03-27T16:00:00"/>
    <d v="2016-03-27T19:00:00"/>
    <x v="0"/>
    <x v="1"/>
    <s v="Muito impacto"/>
    <s v="NA"/>
    <s v="NA"/>
    <s v="Sim"/>
    <s v="Não"/>
    <s v="O plano de retorno deve ser executado por CSE-Aplicações. Efetuar Restory da base de dados Oi_Campanha_Financeiro, atraves da Query descrita abaixo.. Obs: Rotina de backup validada pela área de BACKUP/RESTORE através do chamado CTXFORBM-359831."/>
    <s v="Não"/>
    <s v="Não"/>
    <x v="0"/>
    <s v="NA"/>
    <x v="2"/>
  </r>
  <r>
    <n v="19747"/>
    <s v="Remoção do Antivírus Symantec e Instalação do McAfee."/>
    <x v="44"/>
    <d v="2016-03-22T11:28:44"/>
    <x v="2"/>
    <s v="Encerramento"/>
    <s v="FELIPE SANTOS BARBOSA DELGADO"/>
    <s v="JOSE GERALDO DA SILVA DOS SANTOS"/>
    <x v="6"/>
    <x v="0"/>
    <s v="Encerrada"/>
    <d v="2016-03-28T22:00:00"/>
    <d v="2016-04-02T07:00:00"/>
    <d v="2016-04-02T08:00:00"/>
    <x v="0"/>
    <x v="1"/>
    <s v="Impacto"/>
    <s v="APPCTX04BHZRP; appctx04recau; APPCTX07BHZRP; APPCTX08BHZRP; APPCTX13RJOED; APPCTX14RJOED; appctx24bhzrp; apptlm06bhzrp; DBSCTX01BHZRI; DBSCTX02BHZRI; DBSCTX05BHZRI; DBSCTX06BHZRI; DBSCTX27FORBM; dbsctx28forbm; dbsctx32forbm; dbsctx39forbm; DBSCTX44FORBM; DBSTLM02BHZRP; fssctx01recsa; FSSORB01RECSA; FSSUBB02RECSA; GRVCTX109SPODB; GRVCTX110SPODB; GRVCTX27SPODA; HMLCTX04SPOAL; webctx02bhzrp; webctx02recau"/>
    <s v="APPCTX04BHZRP; appctx04recau; APPCTX07BHZRP; APPCTX08BHZRP; APPCTX13RJOED; APPCTX14RJOED; appctx24bhzrp; apptlm06bhzrp; DBSCTX01BHZRI; DBSCTX02BHZRI; DBSCTX05BHZRI; DBSCTX06BHZRI; DBSCTX27FORBM; dbsctx28forbm; dbsctx32forbm; dbsctx39forbm; DBSCTX44FORBM; DBSTLM02BHZRP; fssctx01recsa; FSSORB01RECSA; FSSUBB02RECSA; GRVCTX109SPODB; GRVCTX110SPODB; GRVCTX27SPODA; HMLCTX04SPOAL; webctx02bhzrp; webctx02recau"/>
    <s v="Sim"/>
    <s v="Sim"/>
    <s v="O Objetivo do Plano de Retorno é desinstalar o Antivírus McAfee. O período previsto para um Plano de Retorno é de 1:00 hora."/>
    <s v="Não"/>
    <s v="Não"/>
    <x v="0"/>
    <s v="--"/>
    <x v="0"/>
  </r>
  <r>
    <n v="19748"/>
    <s v="Realizar troca de disco com alarme dos servidores abaixo: AESCTX07FORBM DBSCTX25FORBM DBSCTX21FORBM DBSCTX06FORBM"/>
    <x v="3"/>
    <d v="2016-03-22T12:28:09"/>
    <x v="2"/>
    <s v="Encerramento"/>
    <s v="JEFFERSON HONÓRIO FERREIRA"/>
    <s v="FILIPE ANTONIO MESQUITA BEZERRA"/>
    <x v="3"/>
    <x v="32"/>
    <s v="Encerrada"/>
    <d v="2016-04-19T22:00:00"/>
    <d v="2016-04-20T05:00:00"/>
    <d v="2016-04-20T06:00:00"/>
    <x v="0"/>
    <x v="1"/>
    <s v="Pouco impacto"/>
    <s v="AESCTX07FORBM; DBSCTX06FORBM; DBSCTX25FORBM"/>
    <s v="AESCTX07FORBM; DBSCTX06FORBM; DBSCTX25FORBM"/>
    <s v="Não"/>
    <s v="Não"/>
    <s v="Voltar o disco anterior seguindo o processo de execução da troca. OBs: Essa ação deve ser aplicada em cada ação, seguindo o cronograma do plano de Ação, já que se trata de três servidores diferentes. AESCTX07FORBM - Data Inicio 19/04/2016 23:00:00 | Data Fim 19/04/2016 23:40:00 DBSCTX25FORBM - Data Inicio 20/04/2016 01:10:00 | Data Fim 20/04/2016 02:00:00 DBSCTX06FORBM - Data Inicio 20/04/2016 03:30:00 | Data Fim 20/04/2016 04:20:00"/>
    <s v="Não"/>
    <s v="Não"/>
    <x v="0"/>
    <s v="CTXFORBM-346076 / CTXFORBM-334295 / CTXFORBM-346563"/>
    <x v="9"/>
  </r>
  <r>
    <n v="19751"/>
    <s v="Ativação dos troncos de voz da Operação Souza Cruz"/>
    <x v="13"/>
    <d v="2016-03-22T15:35:32"/>
    <x v="2"/>
    <s v="Encerramento"/>
    <s v="LUIZ WASHINGTON GIANEZZI"/>
    <s v="LUIZ WASHINGTON GIANEZZI"/>
    <x v="0"/>
    <x v="12"/>
    <s v="Encerrada"/>
    <d v="2016-03-23T22:00:00"/>
    <d v="2016-03-24T02:00:00"/>
    <d v="2016-03-24T04:00:00"/>
    <x v="1"/>
    <x v="2"/>
    <s v="Os prejuízos ou dificuldades são impactantes"/>
    <m/>
    <m/>
    <s v="Não"/>
    <s v="Não"/>
    <s v="Desconectar os cabos do DID da Contax"/>
    <s v="Não"/>
    <s v="Não"/>
    <x v="2"/>
    <m/>
    <x v="0"/>
  </r>
  <r>
    <n v="19752"/>
    <s v="Realizar a troca dos discos com falha, dos servidores abaixo: DBSCTX10FORBM DBSCTX20FORBM DBSCTX07FORBM"/>
    <x v="3"/>
    <d v="2016-03-22T15:35:39"/>
    <x v="2"/>
    <s v="Encerramento"/>
    <s v="JEFFERSON HONÓRIO FERREIRA"/>
    <s v="FILIPE ANTONIO MESQUITA BEZERRA"/>
    <x v="3"/>
    <x v="32"/>
    <s v="Encerrada"/>
    <d v="2016-04-07T22:00:00"/>
    <d v="2016-04-08T05:00:00"/>
    <d v="2016-04-08T06:00:00"/>
    <x v="0"/>
    <x v="1"/>
    <s v="Sem impacto"/>
    <s v="DBSCTX07FORBM; DBSCTX10FORBM; DBSCTX20FORBM"/>
    <s v="DBSCTX07FORBM; DBSCTX10FORBM; DBSCTX20FORBM"/>
    <s v="Não"/>
    <s v="Não"/>
    <s v="Voltar o disco anterior seguindo o processo de execução da troca. OBs: Essa ação deve ser aplicada em cada ação, seguindo o cronograma do plano de Ação, já que se trata de três servidores diferentes. DBSCTX10FORBM - Data Inicio 07/04/2016 23:30:00 | Data Fim 08/04/2016 00:30:00 DBSCTX20FORBM - Data Inicio 08/04/2016 01:00:00 | Data Fim 08/04/2016 02:30:00 DBSCTX07FORBM - Data Inicio 08/04/2016 03:30:00 | Data Fim 08/04/2016 05:00:00"/>
    <s v="Não"/>
    <s v="Não"/>
    <x v="0"/>
    <s v="CTXFORBM-346246 | CTXFORBM-334258 | CTXFORBM-334265"/>
    <x v="2"/>
  </r>
  <r>
    <n v="19753"/>
    <s v="Ajustar a configuração de duas CLAN´s e duas Prowlers do DAC Mackenzie_C."/>
    <x v="9"/>
    <d v="2016-03-22T16:24:16"/>
    <x v="2"/>
    <s v="Encerramento"/>
    <s v="DANIEL SOUZA PIMENTEL"/>
    <s v="DANIEL SOUZA PIMENTEL"/>
    <x v="30"/>
    <x v="1"/>
    <s v="Encerrada"/>
    <d v="2016-03-22T22:00:00"/>
    <d v="2016-03-22T23:00:00"/>
    <d v="2016-03-22T23:30:00"/>
    <x v="3"/>
    <x v="0"/>
    <s v="Sem impacto"/>
    <s v="--"/>
    <m/>
    <s v="Sim"/>
    <s v="Não"/>
    <s v="Acessar o DAC Mackenzie_C e alterar o campo Network-Region nas placas abaixo para utilizar a NR 1: CLAN 23A10 23A11 Media-Processo (Prowler) 23A14 24A14"/>
    <s v="Não"/>
    <s v="Não"/>
    <x v="0"/>
    <s v="CTXRJOMK-137740"/>
    <x v="1"/>
  </r>
  <r>
    <n v="19754"/>
    <s v="Release URA USSD OI-14077 Atualização template financeira e Serviços SVA"/>
    <x v="1"/>
    <d v="2016-03-22T18:35:18"/>
    <x v="2"/>
    <s v="Encerramento"/>
    <s v="PRISCILA LUCIA PEREIRA DE ALBUQUERQUE GALARANI"/>
    <s v="DANIEL SCHONWANDT MENDES FERREIRA"/>
    <x v="1"/>
    <x v="1"/>
    <s v="Encerrada"/>
    <d v="2016-03-29T22:00:00"/>
    <d v="2016-03-30T03:00:00"/>
    <d v="2016-03-30T09:00:00"/>
    <x v="0"/>
    <x v="0"/>
    <s v="Pouco impacto"/>
    <s v="APPCTX27RJOMK; APPCTX28RJOMK"/>
    <s v="APPCTX27RJOMK; APPCTX28RJOMK"/>
    <s v="Não"/>
    <s v="Não"/>
    <s v="Realizar o UNDEPLOY da versão nova através do JBoss Refazer os Testes Técnicos e Funcionais."/>
    <s v="Não"/>
    <s v="Não"/>
    <x v="2"/>
    <m/>
    <x v="1"/>
  </r>
  <r>
    <n v="19757"/>
    <s v="• PROJETO: POP 1 DESMOBILIZAÇÃO DO CPD SITE PRADO 1"/>
    <x v="0"/>
    <d v="2016-03-23T12:34:56"/>
    <x v="2"/>
    <s v="Encerramento"/>
    <s v="RAFAEL SIMPLES"/>
    <s v="RAFAEL SIMPLES"/>
    <x v="13"/>
    <x v="1"/>
    <s v="Encerrada"/>
    <d v="2016-03-23T22:00:00"/>
    <d v="2016-03-24T05:00:00"/>
    <d v="2016-03-24T06:00:00"/>
    <x v="1"/>
    <x v="2"/>
    <s v="Os prejuízos ou dificuldades são impactantes"/>
    <s v="--"/>
    <s v="10.48.0.80; 10.50.13.40"/>
    <s v="Não"/>
    <s v="Não"/>
    <s v="Restore do backup"/>
    <s v="Não"/>
    <s v="Não"/>
    <x v="0"/>
    <m/>
    <x v="5"/>
  </r>
  <r>
    <n v="19759"/>
    <s v="Alteração do acesso do site Comércio para a RI CC e sites NGR, pois ambos são acessados via link metro do Fonte Nova."/>
    <x v="60"/>
    <d v="2016-03-23T14:07:38"/>
    <x v="2"/>
    <s v="Encerramento"/>
    <s v="THIAGO SILVA FERREIRA"/>
    <s v="ERIAN DO NASCIMENTO ESTRAEICH,THIAGO SILVA FERREIRA"/>
    <x v="14"/>
    <x v="1"/>
    <s v="Encerrada"/>
    <d v="2016-03-24T22:00:00"/>
    <d v="2016-03-24T23:30:00"/>
    <d v="2016-03-24T23:59:00"/>
    <x v="1"/>
    <x v="2"/>
    <s v="Muito impacto"/>
    <s v="; De: SDR5876792 Para: SDR5948399"/>
    <s v="--"/>
    <s v="Sim"/>
    <s v="Não"/>
    <s v="Rollback da atividade alterando o tráfego para o link metroethernet."/>
    <s v="Não"/>
    <s v="Não"/>
    <x v="0"/>
    <m/>
    <x v="1"/>
  </r>
  <r>
    <n v="19762"/>
    <s v="Implantação de projeto na aplicação RACO."/>
    <x v="61"/>
    <d v="2016-03-23T14:49:42"/>
    <x v="2"/>
    <s v="Encerramento"/>
    <s v="FRANCIELE CARLA DE LIMA COSTA"/>
    <s v="WILLIAN CAMPBELL VIANA"/>
    <x v="7"/>
    <x v="1"/>
    <s v="Encerrada"/>
    <d v="2016-03-29T22:00:00"/>
    <d v="2016-03-30T12:00:00"/>
    <d v="2016-03-30T18:00:00"/>
    <x v="0"/>
    <x v="2"/>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Sim"/>
    <x v="2"/>
    <m/>
    <x v="2"/>
  </r>
  <r>
    <n v="19763"/>
    <s v="Objetivo/Descrição: Atender demanda do projeto da Oi do Controle de Chamadas / Migrar trafego dos pop´s faltantes Projeto: Pre Routing da OI"/>
    <x v="21"/>
    <d v="2016-03-23T15:19:11"/>
    <x v="2"/>
    <s v="Encerramento"/>
    <s v="FABIANA CARLA DE SOUZA DIAS"/>
    <s v="DANIEL SOUZA PIMENTEL"/>
    <x v="36"/>
    <x v="1"/>
    <s v="Encerrada"/>
    <d v="2016-03-29T15:00:00"/>
    <d v="2016-03-29T18:00:00"/>
    <d v="2016-03-29T19:00:00"/>
    <x v="0"/>
    <x v="2"/>
    <s v="Pouco impacto"/>
    <m/>
    <s v="--"/>
    <s v="Não"/>
    <s v="Não"/>
    <s v="Mudança Logica. Voltar o trafego das chamadas para o agent encontra-se em produção atualmente."/>
    <s v="Não"/>
    <s v="Não"/>
    <x v="0"/>
    <m/>
    <x v="1"/>
  </r>
  <r>
    <n v="19766"/>
    <s v="Inclusão dos ativos no pool de backup."/>
    <x v="0"/>
    <d v="2016-03-23T17:49:43"/>
    <x v="2"/>
    <s v="Encerramento"/>
    <s v="FELIPE SANTOS BARBOSA DELGADO"/>
    <s v="ISAIAS DA SILVA SANTOS,JOSE GERALDO DA SILVA DOS SANTOS"/>
    <x v="30"/>
    <x v="0"/>
    <s v="Encerrada"/>
    <d v="2016-03-29T22:00:00"/>
    <d v="2016-03-31T06:00:00"/>
    <d v="2016-03-31T08:00:00"/>
    <x v="0"/>
    <x v="1"/>
    <s v="Os prejuízos ou dificuldades são impactantes"/>
    <s v="APPCTX01RJOMA; APPCTX06RJONT; APPCTX08RJONT; APPCTX09NITSP; BKPCTX06RJONT; BKPCTX07RJONT; BKPCTX09RJONT; BKPCTX11RJONT; BKPCTX17RJONT; CLSCTX01NITSP; DBSCTX01NITSP; DBSCTX07NITSP; DBSCTX39RJOMA; DHCCTX01RJOMA; FSSCTX04RJOMA; FSSCTX06RJOMA; FSSCTX07RJOMA"/>
    <s v="APPCTX01RJOMA; APPCTX06RJONT; APPCTX08RJONT; APPCTX09NITSP; BKPCTX06RJONT; BKPCTX07RJONT; BKPCTX09RJONT; BKPCTX11RJONT; BKPCTX17RJONT; CLSCTX01NITSP; DBSCTX01NITSP; DBSCTX07NITSP; DBSCTX39RJOMA; DHCCTX01RJOMA; FSSCTX04RJOMA; FSSCTX06RJOMA; FSSCTX07RJOMA"/>
    <s v="Sim"/>
    <s v="Sim"/>
    <s v="O Objetivo do Plano de Retorno é Reiniciar os Servidores nos dias 30/03 e 31/03."/>
    <s v="Não"/>
    <s v="Não"/>
    <x v="0"/>
    <s v="--"/>
    <x v="0"/>
  </r>
  <r>
    <n v="19767"/>
    <s v="Atualização crítica a ser aplicada em servidores listados como vulneráveis pela Segurança da Informação Contax, de acordo com o boletim MS15-034-MS14-066."/>
    <x v="0"/>
    <d v="2016-03-24T03:38:00"/>
    <x v="2"/>
    <s v="Encerramento"/>
    <s v="PAULO ROGERIO GOMES"/>
    <s v="PAULO ROGERIO GOMES"/>
    <x v="5"/>
    <x v="0"/>
    <s v="Encerrada"/>
    <d v="2016-03-30T22:00:00"/>
    <d v="2016-03-31T06:00:00"/>
    <d v="2016-03-31T07:00:00"/>
    <x v="0"/>
    <x v="0"/>
    <s v="Sem impacto"/>
    <s v="AVSCTX01SPOAL; BKPCTX03SPOAL; DBSCTX29SPOAL; DBSNPC02SPOAL; HMLCTX51SPOAL; HMLCTX52SPOAL; SDCTDO01SPOAL; SDCTDO02SPOAL"/>
    <s v="AVSCTX01SPOAL; BKPCTX03SPOAL; DBSCTX29SPOAL; DBSNPC02SPOAL; HMLCTX51SPOAL; HMLCTX52SPOAL; SDCTDO01SPOAL; SDCTDO02SPOAL"/>
    <s v="Sim"/>
    <s v="Não"/>
    <s v="1-Remover patches instalados."/>
    <s v="Não"/>
    <s v="Não"/>
    <x v="0"/>
    <s v="CTXSPOAL-110264"/>
    <x v="0"/>
  </r>
  <r>
    <n v="19769"/>
    <s v="Ajustar as configurações do Servidor de Aplicação do Sistema Carbon para que o tráfego de dados seja feito pela MPLS da Oi"/>
    <x v="62"/>
    <d v="2016-03-24T11:01:45"/>
    <x v="2"/>
    <s v="Encerramento"/>
    <s v="LUIZ WASHINGTON GIANEZZI"/>
    <s v="PAULO ROGERIO GOMES"/>
    <x v="10"/>
    <x v="1"/>
    <s v="Encerrada"/>
    <d v="2016-03-24T22:00:00"/>
    <d v="2016-03-25T01:00:00"/>
    <d v="2016-03-25T03:00:00"/>
    <x v="1"/>
    <x v="2"/>
    <s v="Muito impacto"/>
    <m/>
    <m/>
    <s v="Sim"/>
    <s v="Não"/>
    <s v="Alteração do IP do Seridor de Aplicação de 10.171.2.120 para 10.201.2.106 e alterar o domínio de oictx.contax.root para contax-br. O fornecedor deve retornar as configurações anteriores Efetuar testes de TELNET e testar a aplicação"/>
    <s v="Não"/>
    <s v="Não"/>
    <x v="0"/>
    <m/>
    <x v="1"/>
  </r>
  <r>
    <n v="19770"/>
    <s v="Movimentar discador Aspect DCP1 para novo rack com objetivo de estruturar/organizar o cabeamento"/>
    <x v="0"/>
    <d v="2016-03-24T11:11:58"/>
    <x v="2"/>
    <s v="Encerramento"/>
    <s v="JOÃO PEREIRA DE SOUZA JUNIOR"/>
    <s v="JOÃO PEREIRA DE SOUZA JUNIOR"/>
    <x v="3"/>
    <x v="1"/>
    <s v="Encerrada"/>
    <d v="2016-04-02T22:00:00"/>
    <d v="2016-04-03T06:00:00"/>
    <d v="2016-04-03T07:00:00"/>
    <x v="0"/>
    <x v="0"/>
    <s v="Sem impacto"/>
    <s v="DCP1"/>
    <s v="DCP1"/>
    <s v="Sim"/>
    <s v="Não"/>
    <s v="Caso apresente algum problema no novo hack, o discador sera retornado para o hack de origem e o cabeamento ligado."/>
    <s v="Não"/>
    <s v="Não"/>
    <x v="0"/>
    <m/>
    <x v="1"/>
  </r>
  <r>
    <n v="19774"/>
    <s v="Aplicar os Procedimentos abaixo no sistema Protheus: TUQRAY - Correção para considerar a cumulatividade diária do IR e PCC em notas fiscais de entrada; TUSCBN - Configuração para geração do SPED EFD ICMS-IPI;"/>
    <x v="10"/>
    <d v="2016-03-24T14:24:02"/>
    <x v="2"/>
    <s v="Encerramento"/>
    <s v="MIGUEL ANGELO DO PATROCINIO"/>
    <s v="MIGUEL ANGELO DO PATROCINIO"/>
    <x v="5"/>
    <x v="0"/>
    <s v="Encerrada"/>
    <d v="2016-04-03T09:00:00"/>
    <d v="2016-04-03T15:00:00"/>
    <d v="2016-04-04T10:00:00"/>
    <x v="0"/>
    <x v="1"/>
    <s v="Pouc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19776"/>
    <s v="Manutenção preventiva no Aspect Polo SP"/>
    <x v="3"/>
    <d v="2016-03-24T15:51:08"/>
    <x v="2"/>
    <s v="Encerramento"/>
    <s v="ALEX BRUM BARBOSA DE FARIAS"/>
    <s v="ALEX BRUM BARBOSA DE FARIAS"/>
    <x v="5"/>
    <x v="8"/>
    <s v="Encerrada"/>
    <d v="2016-03-30T22:00:00"/>
    <d v="2016-03-31T05:00:00"/>
    <d v="2016-03-31T06:00:00"/>
    <x v="0"/>
    <x v="0"/>
    <s v="Os prejuízos ou dificuldades são impactantes"/>
    <s v="corctx01spoal; EXPCTX01SPOAL; EXPCTX02SPOAL; EXPCTX03SPOAL; EXPCTX04SPOAL; PDMCTX01SPOAL; REPCTX01SPOAL"/>
    <s v="corctx01spoal; EXPCTX01SPOAL; EXPCTX02SPOAL; EXPCTX03SPOAL; EXPCTX04SPOAL; PDMCTX01SPOAL; REPCTX01SPOAL"/>
    <s v="Sim"/>
    <s v="Não"/>
    <s v="Nao contempla plano de retorno"/>
    <s v="Não"/>
    <s v="Não"/>
    <x v="0"/>
    <s v="n/a"/>
    <x v="2"/>
  </r>
  <r>
    <n v="19777"/>
    <s v="Retirar a consulta da recarga programa do inicio da URA *880"/>
    <x v="9"/>
    <d v="2016-03-24T16:11:24"/>
    <x v="2"/>
    <s v="Encerramento"/>
    <s v="DIOGO ANÍSIO DE FRANÇA"/>
    <s v="WILLIAN CAMPBELL VIANA"/>
    <x v="5"/>
    <x v="1"/>
    <s v="Encerrada"/>
    <d v="2016-03-24T22:00:00"/>
    <d v="2016-03-25T11:00:00"/>
    <d v="2016-03-25T13:00:00"/>
    <x v="3"/>
    <x v="1"/>
    <s v="Sem impacto"/>
    <s v="; APPCTX14RJONT; APPCTX15RJOED; APPCTX16RJOED; APPCTX18RJOED; APPCTX19RJOED; APPOIM03SPOAL; DBSOIM01SPOAL; NMSIOM01SPOAL; NMSOIM04SPOLP"/>
    <s v="; APPCTX14RJONT; APPCTX15RJOED; APPCTX16RJOED; APPCTX18RJOED; APPCTX19RJOED; APPOIM03SPOAL; APPOIM04SPOAL; APPOIM04SPOLP; DBSOIM01SPOAL; NMSIOM01SPOAL; NMSOIM04SPOLP"/>
    <s v="Não"/>
    <s v="Não"/>
    <s v="Retorna os arquivos de backup. Refazer os Testes Técnicos e Funcionais."/>
    <s v="Não"/>
    <s v="Não"/>
    <x v="0"/>
    <s v="N/A"/>
    <x v="5"/>
  </r>
  <r>
    <n v="19780"/>
    <s v="Upgrade do link MPLS da VIVO no DC Alphaville."/>
    <x v="14"/>
    <d v="2016-03-24T17:05:08"/>
    <x v="2"/>
    <s v="Encerramento"/>
    <s v="THIAGO SILVA FERREIRA"/>
    <s v="LUCAS ALBERTO DE MORAES,THIAGO SILVA FERREIRA"/>
    <x v="0"/>
    <x v="0"/>
    <s v="Encerrada"/>
    <d v="2016-03-29T22:00:00"/>
    <d v="2016-03-29T23:30:00"/>
    <d v="2016-03-29T23:59:00"/>
    <x v="0"/>
    <x v="2"/>
    <s v="Pouco impacto"/>
    <s v="Desig. 00858479"/>
    <s v="--"/>
    <s v="Não"/>
    <s v="Não"/>
    <s v="Re ativação do tráfego via link atual."/>
    <s v="Não"/>
    <s v="Não"/>
    <x v="0"/>
    <m/>
    <x v="0"/>
  </r>
  <r>
    <n v="19782"/>
    <s v="Última etapa do projeto de migração do tSupervisor! versão 1.0 para a versão 2.0."/>
    <x v="49"/>
    <d v="2016-03-24T17:41:02"/>
    <x v="2"/>
    <s v="Encerramento"/>
    <s v="FLÁVIO ROBERTO DE FREITAS MIRANDA"/>
    <s v="PAULO CESAR DE SOUZA,ROBERTO MAGALHÃES DE OLIVEIRA"/>
    <x v="8"/>
    <x v="1"/>
    <s v="Encerrada"/>
    <d v="2016-04-06T23:00:00"/>
    <d v="2016-04-07T14:00:00"/>
    <d v="2016-04-07T14:00:00"/>
    <x v="0"/>
    <x v="2"/>
    <s v="Pouco impacto"/>
    <s v="DBSCTX21SPODA; DBSCTX22SPODA; FESCTX01SPODA"/>
    <s v="DBSCTX21SPODA; DBSCTX22SPODA; FESCTX01SPODA"/>
    <s v="Sim"/>
    <s v="Sim"/>
    <s v="1) Se logar no servidor via mstsc 2) Parar o serviço da aplicação tsupervisor 3) excluir o arquivo TSUPERVISOR.EAR do diretório D:\Todo\jboss-eap-6.2-port-8180\standalone\deployments 4) Retornar o arquivo que foi renomeado na etapa de execução 5) Iniciar a aplicação novamente; Realizar o rollback da estrutura criada."/>
    <s v="Não"/>
    <s v="Não"/>
    <x v="0"/>
    <s v="CTXSPOAP407-10493"/>
    <x v="5"/>
  </r>
  <r>
    <n v="19786"/>
    <s v="Continuação da implantação do projeto na aplicação RACO [GMUD - 19762]."/>
    <x v="61"/>
    <d v="2016-03-28T11:34:15"/>
    <x v="2"/>
    <s v="Encerramento"/>
    <s v="FRANCIELE CARLA DE LIMA COSTA"/>
    <s v="WILLIAN CAMPBELL VIANA"/>
    <x v="39"/>
    <x v="1"/>
    <s v="Encerrada"/>
    <d v="2016-04-04T22:00:00"/>
    <d v="2016-04-05T12:00:00"/>
    <d v="2016-04-05T18:00:00"/>
    <x v="0"/>
    <x v="2"/>
    <s v="Impacto"/>
    <s v="URACTX04BSBPA; URACTX05BSBPA; URACTX04POAPA; URACTX05POAPA; URACTX05CTAPA; URACTX06CTAPA; URACTX07CTAPA; URACTX05SALPA; URACTX06SALPA; URACTX07SALPA; URACTX06RECPA; URACTX07RECPA; URACTX08RECPA"/>
    <s v="URACTX04BSBPA; URACTX05BSBPA; URACTX04POAPA; URACTX05POAPA; URACTX05CTAPA; URACTX06CTAPA; URACTX07CTAPA; URACTX05SALPA; URACTX06SALPA; URACTX07SALPA; URACTX06RECPA; URACTX07RECPA; URACTX08RECPA"/>
    <s v="Não"/>
    <s v="Não"/>
    <s v="Realizar o UNDEPLOY da versão nova através do Tomcat Manager Refazer os Testes Técnicos e Funcionais."/>
    <s v="Não"/>
    <s v="Não"/>
    <x v="0"/>
    <m/>
    <x v="2"/>
  </r>
  <r>
    <n v="19787"/>
    <s v="Alteração da porta (5555 para 9555) do tSupervisor! utilizada nos servidores"/>
    <x v="9"/>
    <d v="2016-03-28T12:07:18"/>
    <x v="2"/>
    <s v="Encerramento"/>
    <s v="FLÁVIO ROBERTO DE FREITAS MIRANDA"/>
    <s v="PAULO CESAR DE SOUZA"/>
    <x v="10"/>
    <x v="12"/>
    <s v="Encerrada"/>
    <d v="2016-03-28T23:00:00"/>
    <d v="2016-03-28T23:59:00"/>
    <d v="2016-03-29T02:00:00"/>
    <x v="3"/>
    <x v="1"/>
    <s v="Sem impacto"/>
    <s v="APPCTX472SPODA; APPCTX472SPODB; APPCTX473SPODA; APPCTX473SPODB"/>
    <s v="APPCTX472SPODA; APPCTX472SPODB; APPCTX473SPODA; APPCTX473SPODB"/>
    <s v="Sim"/>
    <s v="Não"/>
    <s v="1 - Parar serviço do JBOSS da aplicação tSupervisor! 2 - Voltar o backup do arquivo de configuração feito no item de execução 3 - Iniciar novamente o serviço do JBOSS 4 - Efetuar testes técnicos e teste funcionais novamente"/>
    <s v="Não"/>
    <s v="Não"/>
    <x v="0"/>
    <m/>
    <x v="0"/>
  </r>
  <r>
    <n v="19788"/>
    <s v="Agilizar correção de falhas nas plataformas de gravações / Implantar ferramenta de monitoração dos ambientes de gravações"/>
    <x v="63"/>
    <d v="2016-03-28T12:19:36"/>
    <x v="2"/>
    <s v="Encerramento"/>
    <s v="FABIANA CARLA DE SOUZA DIAS"/>
    <s v="MARCELO AIRTON YAMASHITA"/>
    <x v="5"/>
    <x v="46"/>
    <s v="Encerrada"/>
    <d v="2016-04-11T11:00:00"/>
    <d v="2016-04-11T13:10:00"/>
    <d v="2016-04-11T14:10:00"/>
    <x v="0"/>
    <x v="2"/>
    <s v="Pouco impacto"/>
    <s v="APPCTX05AZPRD"/>
    <s v="APPCTX05AZPRD"/>
    <s v="Não"/>
    <s v="Não"/>
    <s v="Não há plano de retorno para essa atividade, pois é a instalação de uma nova aplicação."/>
    <s v="Não"/>
    <s v="Não"/>
    <x v="2"/>
    <m/>
    <x v="23"/>
  </r>
  <r>
    <n v="19790"/>
    <s v="OI 13943 Tabela de Incentivos fase 3 OI 13821 Alteração de mensagem de erro OI 13894 Inclusão de Timer nas consultas da URA 880 (legados, M4U e etc...) OI 13944 Melhorias Na Vocalização do Prompts do ACM OI 14028 Ajuste ACM Campanha ID 0001 OI 14046 Melhorias Recarga Programada OI 13615 Interatividade para clientes que vieram do *3000"/>
    <x v="9"/>
    <d v="2016-03-28T17:51:37"/>
    <x v="2"/>
    <s v="Encerramento"/>
    <s v="DIOGO ANÍSIO DE FRANÇA"/>
    <s v="ALBERTO DE ARAUJO RODRIGUES"/>
    <x v="5"/>
    <x v="1"/>
    <s v="Encerrada"/>
    <d v="2016-03-29T22:00:00"/>
    <d v="2016-03-30T11:00:00"/>
    <d v="2016-03-30T13:00:00"/>
    <x v="3"/>
    <x v="0"/>
    <s v="Sem impacto"/>
    <s v="APPCTX15RJOED; APPCTX16RJOED; APPCTX18RJOED; APPCTX19RJOED; DBSOIM01SPOAL; NMSIOM01SPOAL"/>
    <s v="APPCTX15RJOED; APPCTX16RJOED; APPCTX18RJOED; APPCTX19RJOED; DBSOIM01SPOAL; NMSIOM01SPOAL"/>
    <s v="Não"/>
    <s v="Não"/>
    <s v="Retorna os arquivos de backup. Refazer os Testes Técnicos e Funcionais."/>
    <s v="Não"/>
    <s v="Não"/>
    <x v="0"/>
    <s v="OI 13943 Tabela de Incentivos fase 3 OI 13821, OI 13894 OI 13944 ,OI 14028 , OI 14046, OI 13615"/>
    <x v="5"/>
  </r>
  <r>
    <n v="19791"/>
    <s v="Reiniciar os servidores Domain Controllers que estão ocasionando em erro de replicação no domínio contax-br."/>
    <x v="9"/>
    <d v="2016-03-28T19:05:28"/>
    <x v="2"/>
    <s v="Encerramento"/>
    <s v="JOAO BATISTA DE LIMA NETO"/>
    <s v="JOAO BATISTA DE LIMA NETO"/>
    <x v="24"/>
    <x v="7"/>
    <s v="Encerrada"/>
    <d v="2016-04-04T22:00:00"/>
    <d v="2016-04-05T02:00:00"/>
    <d v="2016-04-05T05:00:00"/>
    <x v="3"/>
    <x v="1"/>
    <s v="Sem impacto"/>
    <s v="SDCCTX01NITSP; sdcctx01sallm; sdcctx02nitsp; SDCCTX03RJOED; SDCCTX03SPOBF; SDCCTX04NITSP; SDCCTX04RECSA; sdcctx04rjoed; sdcctx04rjoma; sdcctx05recau; SDCCTX05RJOMK; sdcctx07salas; SDCCTX08SALAS; sdcctx103spodb"/>
    <s v="SDCCTX01NITSP; sdcctx01sallm; sdcctx02nitsp; SDCCTX03RJOED; SDCCTX03SPOBF; SDCCTX04NITSP; SDCCTX04RECSA; sdcctx04rjoed; sdcctx04rjoma; sdcctx05recau; SDCCTX05RJOMK; sdcctx07salas; SDCCTX08SALAS; sdcctx103spodb"/>
    <s v="Sim"/>
    <s v="Não"/>
    <s v="Não existe Plano de Retorno."/>
    <s v="Não"/>
    <s v="Não"/>
    <x v="0"/>
    <m/>
    <x v="0"/>
  </r>
  <r>
    <n v="19794"/>
    <s v="Implantação de melhoria e atualização da aplicação *144 Pós Pago."/>
    <x v="0"/>
    <d v="2016-03-29T08:48:57"/>
    <x v="2"/>
    <s v="Encerramento"/>
    <s v="FRANCIELE CARLA DE LIMA COSTA"/>
    <s v="WILLIAN CAMPBELL VIANA"/>
    <x v="7"/>
    <x v="1"/>
    <s v="Encerrada"/>
    <d v="2016-04-05T22:00:00"/>
    <d v="2016-04-06T12:00:00"/>
    <d v="2016-04-06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m/>
    <x v="5"/>
  </r>
  <r>
    <n v="19795"/>
    <s v="Implantação de melhoria e atualização da aplicação OCTUNIFICADA."/>
    <x v="0"/>
    <d v="2016-03-29T09:18:07"/>
    <x v="2"/>
    <s v="Encerramento"/>
    <s v="FRANCIELE CARLA DE LIMA COSTA"/>
    <s v="WILLIAN CAMPBELL VIANA"/>
    <x v="7"/>
    <x v="1"/>
    <s v="Encerrada"/>
    <d v="2016-04-05T22:00:00"/>
    <d v="2016-04-06T12:00:00"/>
    <d v="2016-04-06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m/>
    <x v="5"/>
  </r>
  <r>
    <n v="19796"/>
    <s v="Corrigir falhas de replicação do sysvol no servidor SDCCTX104SPODB"/>
    <x v="0"/>
    <d v="2016-03-29T09:18:10"/>
    <x v="2"/>
    <s v="Encerramento"/>
    <s v="CARLOS EDUARDO AZEVEDO PEREIRA"/>
    <s v="CARLOS EDUARDO AZEVEDO PEREIRA"/>
    <x v="10"/>
    <x v="0"/>
    <s v="Encerrada"/>
    <d v="2016-04-06T11:00:00"/>
    <d v="2016-04-06T16:00:00"/>
    <d v="2016-04-06T17:00:00"/>
    <x v="0"/>
    <x v="0"/>
    <s v="Sem impacto"/>
    <s v="SDCCTX104SPODB"/>
    <s v="SDCCTX104SPODB"/>
    <s v="Sim"/>
    <s v="Não"/>
    <s v="Efetuar rollback na promoção do DC."/>
    <s v="Não"/>
    <s v="Não"/>
    <x v="0"/>
    <m/>
    <x v="0"/>
  </r>
  <r>
    <n v="19798"/>
    <s v="instalação do TOP (programa robô da claro) nas posições da claro salvador e Acre"/>
    <x v="0"/>
    <d v="2016-03-29T11:10:37"/>
    <x v="2"/>
    <s v="Encerramento"/>
    <s v="MARCUS VINÍCIUS DE JESUS BARBOSA"/>
    <s v="MARCUS VINÍCIUS DE JESUS BARBOSA"/>
    <x v="8"/>
    <x v="11"/>
    <s v="Encerrada"/>
    <d v="2016-04-05T07:00:00"/>
    <d v="2016-04-05T13:00:00"/>
    <d v="2016-04-05T15:00:00"/>
    <x v="0"/>
    <x v="1"/>
    <s v="Os prejuízos ou dificuldades são impactantes"/>
    <m/>
    <m/>
    <s v="Não"/>
    <s v="Não"/>
    <s v="Efetuar o rollback da versão anterior do TOP."/>
    <s v="Não"/>
    <s v="Não"/>
    <x v="0"/>
    <s v="n/a"/>
    <x v="0"/>
  </r>
  <r>
    <n v="19800"/>
    <s v="Ativação dos Links de Voz da Operação Souza Cruz"/>
    <x v="9"/>
    <d v="2016-03-29T14:57:36"/>
    <x v="2"/>
    <s v="Encerramento"/>
    <s v="LUIZ WASHINGTON GIANEZZI"/>
    <s v="LUIZ WASHINGTON GIANEZZI"/>
    <x v="0"/>
    <x v="12"/>
    <s v="Encerrada"/>
    <d v="2016-03-31T22:00:00"/>
    <d v="2016-04-01T02:00:00"/>
    <d v="2016-04-01T04:00:00"/>
    <x v="3"/>
    <x v="0"/>
    <s v="Sem impacto"/>
    <m/>
    <m/>
    <s v="Não"/>
    <s v="Não"/>
    <s v="Desconectar os cabos do did das Operadoras"/>
    <s v="Sim"/>
    <s v="Não"/>
    <x v="0"/>
    <m/>
    <x v="0"/>
  </r>
  <r>
    <n v="19803"/>
    <s v="Manutenção preventiva nos resfriadores de líquidos, integrantes do sistema de ar condicionado do site Rio Branco AC."/>
    <x v="0"/>
    <d v="2016-03-29T15:51:21"/>
    <x v="2"/>
    <s v="Encerramento"/>
    <s v="KAEZER CORREIA SILVA"/>
    <s v="KAEZER CORREIA SILVA"/>
    <x v="15"/>
    <x v="11"/>
    <s v="Encerrada"/>
    <d v="2016-04-12T08:00:00"/>
    <d v="2016-04-13T17:48:00"/>
    <d v="2016-04-13T18:48:00"/>
    <x v="0"/>
    <x v="0"/>
    <s v="Impacto"/>
    <s v="--"/>
    <s v="Chillers"/>
    <s v="Sim"/>
    <s v="Não"/>
    <s v="Caso ocorra algum incidente os técnicos manterão contato com os gestores afim de definir o caminho correto para a solução do incidente."/>
    <s v="Não"/>
    <s v="Não"/>
    <x v="0"/>
    <m/>
    <x v="0"/>
  </r>
  <r>
    <n v="19806"/>
    <s v="Atualização crítica a ser aplicada em servidores listados como vulneráveis pela Segurança da Informação Contax, de acordo com o boletim MS14-066. ."/>
    <x v="0"/>
    <d v="2016-03-29T23:15:25"/>
    <x v="2"/>
    <s v="Encerramento"/>
    <s v="PAULO ROGERIO GOMES"/>
    <s v="PAULO ROGERIO GOMES"/>
    <x v="5"/>
    <x v="0"/>
    <s v="Encerrada"/>
    <d v="2016-04-05T22:30:00"/>
    <d v="2016-04-06T06:00:00"/>
    <d v="2016-04-06T07:00:00"/>
    <x v="0"/>
    <x v="0"/>
    <s v="Sem impacto"/>
    <s v="APPCTX50SPOAL.contax-br.contax.root; CSSQL02SPOAL.contax-br.contax.root; DBSCTX18SPOAL.contax-br.contax.root; DBSCTX19SPOAL.contax-br.contax.root; DBSCTX25SPOAL.contax-br.contax.root; DBSCTX26SPOAL.contax-br.contax.root; DBSCTX29SPOAL.contax-br.contax.root; DBSCTX39SPOAL.contax-br.contax.root; DBSCTX42SPOAL.contax-br.contax.root; SVCCTX02SPOAL.contax-br.contax.root"/>
    <s v="APPCTX50SPOAL.contax-br.contax.root; CSSQL02SPOAL.contax-br.contax.root; DBSCTX18SPOAL.contax-br.contax.root; DBSCTX19SPOAL.contax-br.contax.root; DBSCTX25SPOAL.contax-br.contax.root; DBSCTX26SPOAL.contax-br.contax.root; DBSCTX29SPOAL.contax-br.contax.root; DBSCTX39SPOAL.contax-br.contax.root; DBSCTX42SPOAL.contax-br.contax.root; SVCCTX02SPOAL.contax-br.contax.root"/>
    <s v="Sim"/>
    <s v="Não"/>
    <s v="1-Remover patches instalados."/>
    <s v="Não"/>
    <s v="Não"/>
    <x v="0"/>
    <s v="CTXSPOAL-109394"/>
    <x v="0"/>
  </r>
  <r>
    <n v="19807"/>
    <s v="Atualização crítica a ser aplicada em servidores listados como vulneráveis pela Segurança da Informação Contax, de acordo com o boletim MS14-066."/>
    <x v="0"/>
    <d v="2016-03-30T00:40:46"/>
    <x v="2"/>
    <s v="Encerramento"/>
    <s v="PAULO ROGERIO GOMES"/>
    <s v="PAULO ROGERIO GOMES"/>
    <x v="5"/>
    <x v="0"/>
    <s v="Encerrada"/>
    <d v="2016-04-06T22:30:00"/>
    <d v="2016-04-07T05:00:00"/>
    <d v="2016-04-07T06:00:00"/>
    <x v="0"/>
    <x v="0"/>
    <s v="Sem impacto"/>
    <s v="DBSCTX10SPOAL.contax-br.contax.root; DBSCTX30SPOAL.contax-br.contax.root; DBSCTX32SPOAL.contax-br.contax.root; DBSCTX34SPOAL.contax-br.contax.root; DBSCTX35SPOAL.contax-br.contax.root; DBSCTX36SPOAL.contax-br.contax.root; DBSCTX37SPOAL.contax-br.contax.root; DBSCTX38SPOAL.contax-br.contax.root; DBSCTX44SPOAL.contax-br.contax.root; DBSCTX46SPOAL.contax-br.contax.root; DBSCTX48SPOAL.contax-br.contax.root; DBSNPC02SPOAL.contax-br.contax.root"/>
    <s v="DBSCTX10SPOAL.contax-br.contax.root; DBSCTX30SPOAL.contax-br.contax.root; DBSCTX32SPOAL.contax-br.contax.root; DBSCTX34SPOAL.contax-br.contax.root; DBSCTX35SPOAL.contax-br.contax.root; DBSCTX36SPOAL.contax-br.contax.root; DBSCTX37SPOAL.contax-br.contax.root; DBSCTX38SPOAL.contax-br.contax.root; DBSCTX44SPOAL.contax-br.contax.root; DBSCTX46SPOAL.contax-br.contax.root; DBSCTX48SPOAL.contax-br.contax.root; DBSNPC02SPOAL.contax-br.contax.root"/>
    <s v="Sim"/>
    <s v="Não"/>
    <s v="1-Remover patches instalados."/>
    <s v="Não"/>
    <s v="Não"/>
    <x v="0"/>
    <s v="CTXSPOAL-109618"/>
    <x v="0"/>
  </r>
  <r>
    <n v="19808"/>
    <s v="Validação e documentação de redundância dos links MPLS no site Paulista 407/Execução de testes de fail over e captura de evidências."/>
    <x v="9"/>
    <d v="2016-03-30T09:45:41"/>
    <x v="2"/>
    <s v="Encerramento"/>
    <s v="THIAGO SILVA FERREIRA"/>
    <s v="FRANCISCO ROSBERG DE CARVALHO SILVA,THIAGO SILVA FERREIRA"/>
    <x v="34"/>
    <x v="0"/>
    <s v="Encerrada"/>
    <d v="2016-03-31T19:00:00"/>
    <d v="2016-03-31T20:00:00"/>
    <d v="2016-03-31T20:30:00"/>
    <x v="3"/>
    <x v="0"/>
    <s v="Sem impacto"/>
    <s v="Desig. 32845717 VIVO / 00028433 Algar"/>
    <s v="--"/>
    <s v="Sim"/>
    <s v="Não"/>
    <s v="Reativação dos links."/>
    <s v="Não"/>
    <s v="Não"/>
    <x v="0"/>
    <m/>
    <x v="0"/>
  </r>
  <r>
    <n v="19809"/>
    <s v="Implantação de release de novas demandas da MultiProduto"/>
    <x v="0"/>
    <d v="2016-03-30T09:45:46"/>
    <x v="2"/>
    <s v="Encerramento"/>
    <s v="HUGO RAFAEL DE LIMA BRITO"/>
    <s v="MARCOS SANTOS DO SACRAMENTO"/>
    <x v="7"/>
    <x v="1"/>
    <s v="Encerrada"/>
    <d v="2016-04-05T14:00:00"/>
    <d v="2016-04-06T12:00:00"/>
    <d v="2016-04-06T12:00:00"/>
    <x v="0"/>
    <x v="2"/>
    <s v="Os prejuízos ou dificuldades são impactantes"/>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Fazer o deploy da versão anterior da aplicação.; Piloto: Fazer o deploy da versão anterior da aplicação."/>
    <s v="Não"/>
    <s v="Não"/>
    <x v="2"/>
    <s v="OI-13618"/>
    <x v="5"/>
  </r>
  <r>
    <n v="19810"/>
    <s v="Remoção do Antivírus Symantec e Instalação do McAfee."/>
    <x v="44"/>
    <d v="2016-03-30T09:58:27"/>
    <x v="2"/>
    <s v="Encerramento"/>
    <s v="FELIPE SANTOS BARBOSA DELGADO"/>
    <s v="JOSE GERALDO DA SILVA DOS SANTOS"/>
    <x v="6"/>
    <x v="0"/>
    <s v="Encerrada"/>
    <d v="2016-04-04T22:00:00"/>
    <d v="2016-04-09T06:00:00"/>
    <d v="2016-04-09T08:00:00"/>
    <x v="0"/>
    <x v="1"/>
    <s v="Impacto"/>
    <s v="APPCTX04BHZRP; APPCTX04RECSA; appctx06recsa; APPCTX06SALAS; appctx07recsa; APPCTX08RECSA; APPCTX08SALAS; APPCTX10RECSA; APPCTX10SALAS; APPCTX12RECSA; APPCTX13RECSA; APPCTX14SALAS; APPCTX16RECSA; APPCTX18FORBM; APPCTX19RECSA; dbsctx02spobf; DBSCTX05BHZRI; DBSCTX39FORBM; DBSTDO04SPOAS; DBSTDO12SPOAS; DBSTDO18SPOAS; grvctx23forbm; GRVSAV01RJONT; grvtlm04salas; GRVTLM05SALAS; grvtlm06forbm; grvtlm11forbm; grvtlm13forbm; URACTX16RJONT; URACTX17RJONT; URACTX18RJONT; URACTX19RJONT; URACTX25NITSP"/>
    <s v="APPCTX04BHZRP; APPCTX04RECSA; appctx06recsa; APPCTX06SALAS; appctx07recsa; APPCTX08RECSA; APPCTX08SALAS; APPCTX10RECSA; APPCTX10SALAS; APPCTX12RECSA; APPCTX13RECSA; APPCTX14SALAS; APPCTX16RECSA; APPCTX18FORBM; APPCTX19RECSA; dbsctx02spobf; DBSCTX05BHZRI; DBSCTX39FORBM; DBSTDO04SPOAS; DBSTDO12SPOAS; DBSTDO18SPOAS; grvctx23forbm; GRVSAV01RJONT; grvtlm04salas; GRVTLM05SALAS; grvtlm06forbm; grvtlm11forbm; grvtlm13forbm; URACTX16RJONT; URACTX17RJONT; URACTX18RJONT; URACTX19RJONT; URACTX25NITSP"/>
    <s v="Sim"/>
    <s v="Sim"/>
    <s v="O Objetivo do Plano de Retorno é desinstalar o Antivírus McAfee. O período previsto para um Plano de Retorno é de 1:00 hora."/>
    <s v="Não"/>
    <s v="Não"/>
    <x v="0"/>
    <s v="--"/>
    <x v="0"/>
  </r>
  <r>
    <n v="19811"/>
    <s v="Validação e documentação de redundância dos links MPLS no site Alameda Santos/Execução de testes de fail over e captura de evidências."/>
    <x v="9"/>
    <d v="2016-03-30T10:13:41"/>
    <x v="2"/>
    <s v="Encerramento"/>
    <s v="THIAGO SILVA FERREIRA"/>
    <s v="FRANCISCO ROSBERG DE CARVALHO SILVA,THIAGO SILVA FERREIRA"/>
    <x v="6"/>
    <x v="0"/>
    <s v="Encerrada"/>
    <d v="2016-03-31T20:00:00"/>
    <d v="2016-03-31T21:00:00"/>
    <d v="2016-03-31T21:30:00"/>
    <x v="3"/>
    <x v="0"/>
    <s v="Sem impacto"/>
    <s v="Desig. 32840566 VIVO / 00028622 Algar"/>
    <s v="--"/>
    <s v="Sim"/>
    <s v="Não"/>
    <s v="Reativação dos links."/>
    <s v="Não"/>
    <s v="Não"/>
    <x v="0"/>
    <m/>
    <x v="0"/>
  </r>
  <r>
    <n v="19814"/>
    <s v="Alteração de rede Metro para rede MPLS da operação Bradesco, mantendo a mesma rota entre saída e entrada"/>
    <x v="9"/>
    <d v="2016-03-30T14:56:57"/>
    <x v="2"/>
    <s v="Encerramento"/>
    <s v="ANDRÉ MENDES DA COSTA"/>
    <s v="ANDRÉ MENDES DA COSTA"/>
    <x v="19"/>
    <x v="20"/>
    <s v="Encerrada"/>
    <d v="2016-03-30T22:00:00"/>
    <d v="2016-03-30T23:00:00"/>
    <d v="2016-03-31T00:00:00"/>
    <x v="3"/>
    <x v="1"/>
    <s v="Sem impacto"/>
    <s v="--"/>
    <s v="SWTCOR125LPACPD"/>
    <s v="Não"/>
    <s v="Não"/>
    <s v="Negar regras inseridas 10.51.4.125 no ip prefix-list I-BGP-Algar seq 575 permit 10.63.0.0/16 no ip prefix-list I-BGP-Vivo seq 575 permit 10.63.0.0/16"/>
    <s v="Não"/>
    <s v="Não"/>
    <x v="0"/>
    <s v="N/A"/>
    <x v="1"/>
  </r>
  <r>
    <n v="19816"/>
    <s v="Implantar novo processo de enriquecimento Operação Varejo R2 Fixa."/>
    <x v="0"/>
    <d v="2016-03-30T16:11:49"/>
    <x v="2"/>
    <s v="Encerramento"/>
    <s v="GEOVANI JOSE DE RESENDE MOREIRA"/>
    <s v="GEOVANI JOSE DE RESENDE MOREIRA"/>
    <x v="2"/>
    <x v="1"/>
    <s v="Encerrada"/>
    <d v="2016-04-06T22:00:00"/>
    <d v="2016-04-06T22:30:00"/>
    <d v="2016-04-06T23:59:00"/>
    <x v="0"/>
    <x v="0"/>
    <s v="Sem impacto"/>
    <s v="--"/>
    <s v="10.55.14.13"/>
    <s v="Não"/>
    <s v="Não"/>
    <s v="1 - conectar no servidor 10.55.14.13 pelo query analyzer 2 - executar SQL ABAIXO: /****** Object: Table [dbo].[DataExchange_BatchLoad_Oi_Fixa_R2_Baixa_Diaria_Matrix] Script Date: 01/13/2015 14:34:46 ******/ IF EXISTS (SELECT * FROM sys.objects WHERE object_id = OBJECT_ID(N'[dbo].[DataExchange_BatchLoad_Oi_Velox_RawData]') AND type in (N'U')) DROP TABLE [dbo].DataExchange_BatchLoad_Oi_Velox_RawData GO /****** Object: StoredProcedure [dbo].[PrepareBatchLoadDataExchange_BatchLoad_Oi_Fixa_R2_Baixa_Diaria] Script Date: 26/02/2016 14:30:54 ******/ IF EXISTS (SELECT * FROM sys.objects WHERE object_id = OBJECT_ID(N'[dbo].[ParseDataExchange_BatchLoad_Oi_Velox]') AND type in (N'P', N'PC')) DROP PROCEDURE [dbo].ParseDataExchange_BatchLoad_Oi_Velox GO /****** Object: StoredProcedure [dbo].[SendMail_Baixa_Oi_Fixa_R2_Baixa_Diaria] Script Date: 01/13/2015 14:33:18 ******/ IF EXISTS (SELECT * FROM sys.objects WHERE object_id = OBJECT_ID(N'[dbo].[FormatDataExchange_BatchLoad_Oi_Velox]') AND type in (N'P', N'PC')) DROP PROCEDURE [dbo].FormatDataExchange_BatchLoad_Oi_Velox GO /****** Object: StoredProcedure [dbo].[ProcessBatchLoad__Oi_FixaR2BaixaDiaria] Script Date: 01/13/2015 14:33:56 ******/ IF EXISTS (SELECT * FROM sys.objects WHERE object_id = OBJECT_ID(N'[dbo].[ProcessBatchLoad_Oi_Velox]') AND type in (N'P', N'PC')) DROP PROCEDURE [dbo].ProcessBatchLoad_Oi_Velox GO"/>
    <s v="Não"/>
    <s v="Não"/>
    <x v="0"/>
    <m/>
    <x v="2"/>
  </r>
  <r>
    <n v="19817"/>
    <s v="Upgrade do link MPLS no site Santo Amaro/Operadora irá reconfigurar a estação para entregar um link de 400MB"/>
    <x v="0"/>
    <d v="2016-03-30T16:24:59"/>
    <x v="2"/>
    <s v="Encerramento"/>
    <s v="THIAGO SILVA FERREIRA"/>
    <s v="THIAGO SILVA FERREIRA"/>
    <x v="29"/>
    <x v="1"/>
    <s v="Encerrada"/>
    <d v="2016-04-04T22:00:00"/>
    <d v="2016-04-05T03:00:00"/>
    <d v="2016-04-05T04:00:00"/>
    <x v="0"/>
    <x v="2"/>
    <s v="Impacto"/>
    <s v="Desig. 00838575"/>
    <s v="--"/>
    <s v="Sim"/>
    <s v="Não"/>
    <s v="Reativação do link de 150MB."/>
    <s v="Não"/>
    <s v="Não"/>
    <x v="0"/>
    <m/>
    <x v="1"/>
  </r>
  <r>
    <n v="19818"/>
    <s v="Aplicar os Procedimentos abaixo no sistema Protheus: TUVNZY - Disponibilização das séries de notas fiscais de saída da filial 0257 (Acre)."/>
    <x v="10"/>
    <d v="2016-03-30T16:34:59"/>
    <x v="2"/>
    <s v="Encerramento"/>
    <s v="MIGUEL ANGELO DO PATROCINIO"/>
    <s v="MIGUEL ANGELO DO PATROCINIO"/>
    <x v="5"/>
    <x v="0"/>
    <s v="Encerrada"/>
    <d v="2016-03-30T20:00:00"/>
    <d v="2016-03-30T23:00:00"/>
    <d v="2016-03-31T10:00:00"/>
    <x v="1"/>
    <x v="1"/>
    <s v="Muit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19819"/>
    <s v="OI-14352 Atualização de áudio SVA - Clube Oi OI-14046 Correção"/>
    <x v="9"/>
    <d v="2016-03-30T17:22:29"/>
    <x v="2"/>
    <s v="Encerramento"/>
    <s v="JANAÍNA SILVA LIMA"/>
    <s v="ALBERTO DE ARAUJO RODRIGUES"/>
    <x v="5"/>
    <x v="1"/>
    <s v="Encerrada"/>
    <d v="2016-03-30T22:00:00"/>
    <d v="2016-03-31T11:00:00"/>
    <d v="2016-03-31T13:00:00"/>
    <x v="3"/>
    <x v="0"/>
    <s v="Sem impacto"/>
    <s v="APPCTX15RJOED; APPCTX16RJOED; APPCTX18RJOED; APPCTX19RJOED; DBSOIM01SPOAL; NMSIOM01SPOAL"/>
    <s v="APPCTX15RJOED; APPCTX16RJOED; APPCTX18RJOED; APPCTX19RJOED; DBSOIM01SPOAL; NMSIOM01SPOAL"/>
    <s v="Não"/>
    <s v="Não"/>
    <s v="Retorna os arquivos de backup. Refazer os Testes Técnicos e Funcionais."/>
    <s v="Não"/>
    <s v="Não"/>
    <x v="0"/>
    <s v="OI-14352 Atualização de áudio SVA - Clube Oi, OI-14046 Correção"/>
    <x v="5"/>
  </r>
  <r>
    <n v="19822"/>
    <s v="Realizar manutenção preventiva em No-break's DC Alphaville conforme cronograma anual sem desligamento."/>
    <x v="0"/>
    <d v="2016-03-31T11:22:41"/>
    <x v="2"/>
    <s v="Encerramento"/>
    <s v="ROBERTO LOPES"/>
    <s v="ROBERTO LOPES"/>
    <x v="0"/>
    <x v="1"/>
    <s v="Encerrada"/>
    <d v="2016-04-15T23:00:00"/>
    <d v="2016-04-16T06:00:00"/>
    <d v="2016-04-18T14:00:00"/>
    <x v="0"/>
    <x v="0"/>
    <s v="Sem impacto"/>
    <s v="NO-BREAK´S"/>
    <s v="NO-BREAK´S"/>
    <s v="Não"/>
    <s v="Não"/>
    <s v="NÃO TEM. CASO OCORRA ALGUM PROBLEMA DURANTE A MANUTENÇÃO AS ATIVIDADES SERÃO SUSPENSAS IMEDIATAMENTE."/>
    <s v="Não"/>
    <s v="Não"/>
    <x v="0"/>
    <m/>
    <x v="13"/>
  </r>
  <r>
    <n v="19824"/>
    <s v="Alteração da Tabela na aplicação OI FIXA ( URA CANAL 31)"/>
    <x v="64"/>
    <d v="2016-03-31T14:51:53"/>
    <x v="2"/>
    <s v="Encerramento"/>
    <s v="DANIEL SOUZA PIMENTEL"/>
    <s v="WILSON SHIGERU MIYAZAKI"/>
    <x v="7"/>
    <x v="1"/>
    <s v="Encerrada"/>
    <d v="2016-04-05T07:00:00"/>
    <d v="2016-04-05T10:00:00"/>
    <d v="2016-04-05T11:00:00"/>
    <x v="0"/>
    <x v="2"/>
    <s v="Os prejuízos ou dificuldades são impactantes"/>
    <s v="dbsctx08spoda"/>
    <s v="dbsctx08spoda"/>
    <s v="Não"/>
    <s v="Não"/>
    <s v="Voltar a tabela antiga de acordo com o Produto"/>
    <s v="Não"/>
    <s v="Não"/>
    <x v="0"/>
    <s v="CTXMTZPB-1311"/>
    <x v="1"/>
  </r>
  <r>
    <n v="19826"/>
    <s v="Reativar membro do Virtual Chassis do Core Júniper do POP Recife."/>
    <x v="0"/>
    <d v="2016-03-31T15:25:53"/>
    <x v="2"/>
    <s v="Encerramento"/>
    <s v="CLAUDEMIR BEZERRA VICTOR DA SILVA"/>
    <s v="ANDRÉ MENDES DA COSTA,CLAUDEMIR BEZERRA VICTOR DA SILVA,LEO GOMES DA LUZ,LUCAS ALBERTO DE MORAES,MARCUS VINÍCIUS RUSTIGUER"/>
    <x v="40"/>
    <x v="1"/>
    <s v="Encerrada"/>
    <d v="2016-04-01T00:00:00"/>
    <d v="2016-04-01T04:30:00"/>
    <d v="2016-04-01T05:00:00"/>
    <x v="1"/>
    <x v="1"/>
    <s v="Muito impacto"/>
    <s v="SWCPCTXRECPA001"/>
    <s v="SWCPCTXRECPA001"/>
    <s v="Não"/>
    <s v="Não"/>
    <s v="- Desligar o novo switch. - Desconectar todo cabeamento."/>
    <s v="Não"/>
    <s v="Não"/>
    <x v="0"/>
    <s v="CTXRECSA-477438"/>
    <x v="1"/>
  </r>
  <r>
    <n v="19830"/>
    <s v="Implantação da Release 20160406 OiTv"/>
    <x v="65"/>
    <d v="2016-03-31T18:00:56"/>
    <x v="2"/>
    <s v="Encerramento"/>
    <s v="LUIZ HENRIQUE OLIVEIRA DA SILVA"/>
    <s v="WILLIAN CAMPBELL VIANA"/>
    <x v="7"/>
    <x v="1"/>
    <s v="Encerrada"/>
    <d v="2016-04-06T22:00:00"/>
    <d v="2016-04-07T12:00:00"/>
    <d v="2016-04-07T18:00:00"/>
    <x v="0"/>
    <x v="0"/>
    <s v="Os prejuízos ou dificuldades são impactantes"/>
    <s v="--"/>
    <s v="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19831"/>
    <s v="Atualização da aplicação Corporativo. A release 2016/04/06 terá como foco principal as seguintes mudanças abaixo: ? FUO-713 Incluir MSGs Contigenciais de Ferramenta Versátil ? FUO- 801 Opção Circuito Valida DDD"/>
    <x v="66"/>
    <d v="2016-03-31T18:09:38"/>
    <x v="2"/>
    <s v="Encerramento"/>
    <s v="DALVO ANDRE GERONIMO RAMOS"/>
    <s v="WILLIAN CAMPBELL VIANA"/>
    <x v="7"/>
    <x v="1"/>
    <s v="Encerrada"/>
    <d v="2016-04-06T22:00:00"/>
    <d v="2016-04-07T12:00:00"/>
    <d v="2016-04-07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s v="FUO-713 - FUO- 801"/>
    <x v="1"/>
  </r>
  <r>
    <n v="19832"/>
    <s v="Atualização crítica a ser aplicada em servidores listados como vulneráveis pela Segurança da Informação Contax, de acordo com o boletim MS14-066."/>
    <x v="0"/>
    <d v="2016-04-01T05:17:10"/>
    <x v="3"/>
    <s v="Encerramento"/>
    <s v="PAULO ROGERIO GOMES"/>
    <s v="PAULO ROGERIO GOMES"/>
    <x v="5"/>
    <x v="0"/>
    <s v="Encerrada"/>
    <d v="2016-04-07T22:30:00"/>
    <d v="2016-04-08T05:00:00"/>
    <d v="2016-04-08T06:00:00"/>
    <x v="0"/>
    <x v="0"/>
    <s v="Sem impacto"/>
    <s v="BKPCTX02SPOAL.contax-br.contax.root; BRSPOAL001.dedic-br.dedic.corp; BRSPOAL003.dedic.corp; BRSPOAL004.dedic.corp; BRSPOAL401.ngcc.dedic-br.dedic.corp; BRSPOAL402.ngcc.dedic-br.dedic.corp; WTSCTX09SPOAL.contax-br.contax.root; WTSCTX29SPOAL.contax-br.contax.root"/>
    <s v="BKPCTX02SPOAL.contax-br.contax.root; BRSPOAL001.dedic-br.dedic.corp; BRSPOAL003.dedic.corp; BRSPOAL004.dedic.corp; BRSPOAL401.ngcc.dedic-br.dedic.corp; BRSPOAL402.ngcc.dedic-br.dedic.corp; WTSCTX09SPOAL.contax-br.contax.root; WTSCTX29SPOAL.contax-br.contax.root"/>
    <s v="Sim"/>
    <s v="Não"/>
    <s v="1-Remover patches instalados."/>
    <s v="Não"/>
    <s v="Não"/>
    <x v="0"/>
    <s v="CTXSPOAL-110571"/>
    <x v="0"/>
  </r>
  <r>
    <n v="19833"/>
    <s v="Atualização crítica a ser aplicada em servidores listados como vulneráveis pela Segurança da Informação Contax, de acordo com o boletim MS14-066."/>
    <x v="0"/>
    <d v="2016-04-01T06:09:17"/>
    <x v="3"/>
    <s v="Encerramento"/>
    <s v="PAULO ROGERIO GOMES"/>
    <s v="PAULO ROGERIO GOMES"/>
    <x v="5"/>
    <x v="0"/>
    <s v="Encerrada"/>
    <d v="2016-04-08T22:30:00"/>
    <d v="2016-04-09T05:00:00"/>
    <d v="2016-04-09T06:00:00"/>
    <x v="0"/>
    <x v="0"/>
    <s v="Sem impacto"/>
    <s v="APPCTX15SPOAL.contax-br.contax.root; APPCTX16SPOAL.contax-br.contax.root; APPCTX84SPOAL.contax-br.contax.root; DBSBRA01SPOAP.contax-br.contax.root; HMLCTX52SPOAL.contax-br.contax.root; MONCTX03SPOAL.contax-br.contax.root; SCACTX01SPOAL.contax-br.contax.root; URACTX08SPOAL.contax-br.contax.root; WDSCTX01SPOAL.contax-br.contax.root"/>
    <s v="APPCTX15SPOAL.contax-br.contax.root; APPCTX16SPOAL.contax-br.contax.root; APPCTX84SPOAL.contax-br.contax.root; DBSBRA01SPOAP.contax-br.contax.root; HMLCTX52SPOAL.contax-br.contax.root; MONCTX03SPOAL.contax-br.contax.root; SCACTX01SPOAL.contax-br.contax.root; URACTX08SPOAL.contax-br.contax.root; WDSCTX01SPOAL.contax-br.contax.root"/>
    <s v="Sim"/>
    <s v="Não"/>
    <s v="1-Remover patches instalados."/>
    <s v="Não"/>
    <s v="Não"/>
    <x v="0"/>
    <s v="CTXSPOAL-110572"/>
    <x v="0"/>
  </r>
  <r>
    <n v="19834"/>
    <s v="Projeto Programa Otimização de Sites POP 3 - Migrações OI Fonte Nova/Comércio. Instalação de disjuntor para alimentação de no-break novo no QGEG 1."/>
    <x v="67"/>
    <d v="2016-04-01T08:47:22"/>
    <x v="3"/>
    <s v="Encerramento"/>
    <s v="GENALDO GOMES FERREIRA"/>
    <s v="GENALDO GOMES FERREIRA"/>
    <x v="14"/>
    <x v="10"/>
    <s v="Encerrada"/>
    <d v="2016-04-10T23:00:00"/>
    <d v="2016-04-11T06:00:00"/>
    <d v="2016-04-11T07:00:00"/>
    <x v="0"/>
    <x v="2"/>
    <s v="Impacto"/>
    <s v="--"/>
    <s v="No-break"/>
    <s v="Sim"/>
    <s v="Não"/>
    <s v="Havendo necessidade de acionamento dos equipamentos os mesmos serão ativados."/>
    <s v="Não"/>
    <s v="Não"/>
    <x v="0"/>
    <m/>
    <x v="9"/>
  </r>
  <r>
    <n v="19836"/>
    <s v="Alterar apontamento de área de armazenamento de arquivos para aplicação G!neration."/>
    <x v="3"/>
    <d v="2016-04-01T14:06:51"/>
    <x v="3"/>
    <s v="Encerramento"/>
    <s v="MARCIO ROBERTO ALVES NAKAYA"/>
    <s v="MARCIO ROBERTO ALVES NAKAYA"/>
    <x v="24"/>
    <x v="20"/>
    <s v="Encerrada"/>
    <d v="2016-04-10T09:00:00"/>
    <d v="2016-04-10T20:00:00"/>
    <d v="2016-04-10T23:00:00"/>
    <x v="0"/>
    <x v="0"/>
    <s v="Impacto"/>
    <s v="appctx15spolp"/>
    <s v="appctx15spolp"/>
    <s v="Sim"/>
    <s v="Não"/>
    <s v="1 - parar serviço da aplicação G!neration. 2 - alterar apontamento do diretório de compartilhamento atual onde são gerados os arquivos conforme DE X PARA abaixo : DE : &quot;E:\anexos&quot; PARA : &quot;D:\anexos&quot; 3 - iniciar serviço da aplicação G!neration."/>
    <s v="Não"/>
    <s v="Não"/>
    <x v="0"/>
    <s v="CTXSPOLP-117469"/>
    <x v="8"/>
  </r>
  <r>
    <n v="19838"/>
    <s v="Manutenção corretiva na Storage do Polo Aspect MG, com substituição de 1 HD de 1TB na encloused do ambiente de gravação"/>
    <x v="0"/>
    <d v="2016-04-01T14:47:56"/>
    <x v="3"/>
    <s v="Encerramento"/>
    <s v="JÚLIO CÉSAR DOMINGOS MARQUES"/>
    <s v="LEANDRO ROCHA GONÇALVES,MARCELO LUIS DE BARROS"/>
    <x v="13"/>
    <x v="1"/>
    <s v="Encerrada"/>
    <d v="2016-04-07T22:00:00"/>
    <d v="2016-04-08T05:00:00"/>
    <d v="2016-04-08T05:00:00"/>
    <x v="0"/>
    <x v="0"/>
    <s v="Impacto"/>
    <s v="--"/>
    <s v="STGCTX02BHZRP"/>
    <s v="Não"/>
    <s v="Não"/>
    <s v="Informar em caso de problemas qual ação será tomada para retornar o ambiente ao estado inicial da mudança."/>
    <s v="Não"/>
    <s v="Não"/>
    <x v="0"/>
    <s v="CTXBHZRP-218006"/>
    <x v="2"/>
  </r>
  <r>
    <n v="19840"/>
    <s v="Aplicar os Procedimentos abaixo no sistema Protheus: TUSO38 - Disponibilização do relatório de Auditoria de LOG para lançamentos contábeis; TUVECJ - Configuração da contabilização de baixas a pagar com motivo FAP."/>
    <x v="10"/>
    <d v="2016-04-01T15:20:11"/>
    <x v="3"/>
    <s v="Encerramento"/>
    <s v="MIGUEL ANGELO DO PATROCINIO"/>
    <s v="MIGUEL ANGELO DO PATROCINIO"/>
    <x v="5"/>
    <x v="0"/>
    <s v="Encerrada"/>
    <d v="2016-04-10T09:00:00"/>
    <d v="2016-04-10T15:00:00"/>
    <d v="2016-04-11T10:00:00"/>
    <x v="0"/>
    <x v="1"/>
    <s v="Pouc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19841"/>
    <s v="Manutenção preventiva anual dos geradores de 325KVA para manter a continuidade de energia em falta pela Concessionária."/>
    <x v="0"/>
    <d v="2016-04-01T16:42:44"/>
    <x v="3"/>
    <s v="Encerramento"/>
    <s v="ALEXANDRE GARCIA FULY"/>
    <s v="ALEXANDRE GARCIA FULY"/>
    <x v="12"/>
    <x v="9"/>
    <s v="Encerrada"/>
    <d v="2016-04-24T08:00:00"/>
    <d v="2016-04-24T14:00:00"/>
    <d v="2016-04-25T05:00:00"/>
    <x v="0"/>
    <x v="0"/>
    <s v="Pouco impacto"/>
    <s v="GERADORES"/>
    <s v="GERADORES"/>
    <s v="Sim"/>
    <s v="Não"/>
    <s v="Se houver algum imprevisto será cancelado o serviço e o Gerador será colocado em automático."/>
    <s v="Não"/>
    <s v="Não"/>
    <x v="0"/>
    <m/>
    <x v="8"/>
  </r>
  <r>
    <n v="19842"/>
    <s v="Criar filtro especifico para operação R1 e R2 Varejo PJ"/>
    <x v="0"/>
    <d v="2016-04-01T17:23:11"/>
    <x v="3"/>
    <s v="Encerramento"/>
    <s v="GEOVANI JOSE DE RESENDE MOREIRA"/>
    <s v="GEOVANI JOSE DE RESENDE MOREIRA"/>
    <x v="2"/>
    <x v="1"/>
    <s v="Encerrada"/>
    <d v="2016-04-07T22:00:00"/>
    <d v="2016-04-07T23:00:00"/>
    <d v="2016-04-07T23:30:00"/>
    <x v="0"/>
    <x v="0"/>
    <s v="Pouco impacto"/>
    <s v="--"/>
    <s v="10.55.14.11; 10.55.14.13"/>
    <s v="Não"/>
    <s v="Não"/>
    <s v="1 - conectar no servidor 10.55.14.13 e 10.55.14.11 pelo query analyzer 2 - executar SQL ABAIXO: drop table [DataExchange_FilterCriteriaOiFaturasSemPromessas] drop procedure [FilterCriteriaOiFaturasSemPromessas"/>
    <s v="Não"/>
    <s v="Não"/>
    <x v="0"/>
    <m/>
    <x v="2"/>
  </r>
  <r>
    <n v="19843"/>
    <s v="Atualização crítica a ser aplicada em servidores listados como vulneráveis pela Segurança da Informação Contax, de acordo com o boletim MS14-066."/>
    <x v="0"/>
    <d v="2016-04-02T04:11:04"/>
    <x v="3"/>
    <s v="Encerramento"/>
    <s v="PAULO ROGERIO GOMES"/>
    <s v="PAULO ROGERIO GOMES"/>
    <x v="5"/>
    <x v="0"/>
    <s v="Encerrada"/>
    <d v="2016-04-11T22:30:00"/>
    <d v="2016-04-12T06:00:00"/>
    <d v="2016-04-12T07:00:00"/>
    <x v="0"/>
    <x v="0"/>
    <s v="Sem impacto"/>
    <s v="APPOIM06SPOAL.contax-br.contax.root; APPOIM08SPOAL.contax-br.contax.root; DBSOIM01SPOAL.contax-br.contax.root; GRVOIM11SPOAL.contax-br.contax.root; GRVOIM13SPOAL.contax-br.contax.root; QRFOIM01SPOAL.contax-br.contax.root; QRFOIM05SPOAL.contax-br.contax.root"/>
    <s v="APPOIM06SPOAL.contax-br.contax.root; APPOIM08SPOAL.contax-br.contax.root; DBSOIM01SPOAL.contax-br.contax.root; GRVOIM11SPOAL.contax-br.contax.root; GRVOIM13SPOAL.contax-br.contax.root; QRFOIM01SPOAL.contax-br.contax.root; QRFOIM05SPOAL.contax-br.contax.root"/>
    <s v="Sim"/>
    <s v="Não"/>
    <s v="1-Remover patches instalados."/>
    <s v="Não"/>
    <s v="Não"/>
    <x v="0"/>
    <m/>
    <x v="0"/>
  </r>
  <r>
    <n v="19844"/>
    <s v="Implantação de release de novas demandas da MultiProduto"/>
    <x v="0"/>
    <d v="2016-04-04T08:54:34"/>
    <x v="3"/>
    <s v="Encerramento"/>
    <s v="UVERLANIO MAURICIO PEREIRA DA SILVA"/>
    <s v="MARCOS SANTOS DO SACRAMENTO"/>
    <x v="7"/>
    <x v="1"/>
    <s v="Encerrada"/>
    <d v="2016-04-13T22:00:00"/>
    <d v="2016-04-14T12:00:00"/>
    <d v="2016-04-14T12:00:00"/>
    <x v="0"/>
    <x v="0"/>
    <s v="Os prejuízos ou dificuldades são impactantes"/>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Não"/>
    <s v="Não"/>
    <s v="Fazer o deploy da versão anterior da aplicação."/>
    <m/>
    <m/>
    <x v="1"/>
    <s v="OI-14237"/>
    <x v="5"/>
  </r>
  <r>
    <n v="19846"/>
    <s v="Garantir a confiabilidade dos GMG´s quando solicitados."/>
    <x v="0"/>
    <d v="2016-04-04T11:18:13"/>
    <x v="3"/>
    <s v="Encerramento"/>
    <s v="GÊNESIS HENRIQUE DA SILVA"/>
    <s v="GÊNESIS HENRIQUE DA SILVA"/>
    <x v="29"/>
    <x v="31"/>
    <s v="Encerrada"/>
    <d v="2016-04-30T22:00:00"/>
    <d v="2016-05-01T06:00:00"/>
    <d v="2016-05-01T06:01:00"/>
    <x v="0"/>
    <x v="0"/>
    <s v="Impacto"/>
    <s v="--"/>
    <s v="10 Geradores FG Wilson 500kVA"/>
    <s v="Não"/>
    <s v="Não"/>
    <s v="Em caso de algum problema e imprevisto, desligaremos os Geradores e retornaremos pela Concessionaria."/>
    <s v="Não"/>
    <s v="Não"/>
    <x v="0"/>
    <m/>
    <x v="18"/>
  </r>
  <r>
    <n v="19849"/>
    <s v="Release URA USSD OI-14077 Atualização template financeira e Serviços SVA OI-11982 Adesão e informações de Ofertas"/>
    <x v="9"/>
    <d v="2016-04-04T15:10:56"/>
    <x v="3"/>
    <s v="Encerramento"/>
    <s v="PRISCILA LUCIA PEREIRA DE ALBUQUERQUE GALARANI"/>
    <s v="PRISCILA LUCIA PEREIRA DE ALBUQUERQUE GALARANI"/>
    <x v="1"/>
    <x v="1"/>
    <s v="Encerrada"/>
    <d v="2016-04-05T22:00:00"/>
    <d v="2016-04-06T03:00:00"/>
    <d v="2016-04-06T09:00:00"/>
    <x v="3"/>
    <x v="0"/>
    <s v="Sem impacto"/>
    <s v="APPCTX27RJOMK; APPCTX28RJOMK"/>
    <s v="APPCTX27RJOMK; APPCTX28RJOMK"/>
    <s v="Não"/>
    <s v="Não"/>
    <s v="Realizar o UNDEPLOY da versão nova através do JBoss Refazer os Testes Técnicos e Funcionais."/>
    <s v="Não"/>
    <s v="Não"/>
    <x v="2"/>
    <m/>
    <x v="1"/>
  </r>
  <r>
    <n v="19850"/>
    <s v="Manutenção preventiva centrada na confiabilidade, com parada e transferência de carga dos Grupos geradores Stemac e FG Wilson."/>
    <x v="68"/>
    <d v="2016-04-04T15:53:56"/>
    <x v="3"/>
    <s v="Encerramento"/>
    <s v="REGINALDO MIRANDA BISPO"/>
    <s v="REGINALDO MIRANDA BISPO"/>
    <x v="21"/>
    <x v="34"/>
    <s v="Encerrada"/>
    <d v="2016-04-16T23:00:00"/>
    <d v="2016-04-17T05:00:00"/>
    <d v="2016-04-17T05:30:00"/>
    <x v="0"/>
    <x v="0"/>
    <s v="Sem impacto"/>
    <s v="GMG"/>
    <s v="GMG"/>
    <s v="Não"/>
    <s v="Não"/>
    <s v="Plano de Retorno: Em eventual falha reportaremos para a área de missão critica coordenador do site e gerência de cidade, após ser aprovado o procedimento restabeleceremos o sistema. OBS: A execução da manutenção será acompanhada pelo técnico de equipamentos do site Cabula."/>
    <s v="Não"/>
    <s v="Não"/>
    <x v="0"/>
    <s v="NA"/>
    <x v="1"/>
  </r>
  <r>
    <n v="19851"/>
    <s v="Preventiva Energ sem carga do gerador Heimer 305 KVA - Site Paulista 407."/>
    <x v="69"/>
    <d v="2016-04-04T16:06:55"/>
    <x v="3"/>
    <s v="Encerramento"/>
    <s v="JACQUES DOUGLAS NASCIMENTO DOS SANTOS"/>
    <s v="JACQUES DOUGLAS NASCIMENTO DOS SANTOS"/>
    <x v="34"/>
    <x v="0"/>
    <s v="Encerrada"/>
    <d v="2016-04-14T20:00:00"/>
    <d v="2016-04-14T22:00:00"/>
    <d v="2016-04-15T08:00:00"/>
    <x v="0"/>
    <x v="0"/>
    <s v="Sem impacto"/>
    <s v="--"/>
    <s v="Gerador Heimer 305 KVA"/>
    <s v="Não"/>
    <s v="Não"/>
    <s v="Toda atividade será realizada seguindo procedimentos e medidas de controle caso aja qualquer anomalia na execução iremos paralisar e retornar o processo do inicio, sempre sinalizando os interessados da atividade."/>
    <s v="Não"/>
    <s v="Não"/>
    <x v="0"/>
    <s v="N/A"/>
    <x v="0"/>
  </r>
  <r>
    <n v="19852"/>
    <s v="Devido a quedas constantes que vem ocorrendo nos servidor de CM do Site Navegantes, foi aberto chamado junto a AVAYA SR 1-11497212662 (15/03/2016) para que seja realizada a troca de Servidores"/>
    <x v="70"/>
    <d v="2016-04-04T17:49:11"/>
    <x v="3"/>
    <s v="Encerramento"/>
    <s v="RAFAEL DIAS CORREA"/>
    <s v="REGINALDO ALVES DE SOUZA"/>
    <x v="11"/>
    <x v="21"/>
    <s v="Encerrada"/>
    <d v="2016-04-19T23:00:00"/>
    <d v="2016-04-20T05:00:00"/>
    <d v="2016-04-20T06:00:00"/>
    <x v="0"/>
    <x v="1"/>
    <s v="Muito impacto"/>
    <s v="--"/>
    <s v="--"/>
    <s v="Não"/>
    <s v="Não"/>
    <s v="Voltar a utilizar os servidores anteriores a mudança, seguindo o mesmo procedimento do plano de ação."/>
    <s v="Não"/>
    <s v="Não"/>
    <x v="0"/>
    <s v="CTXPOARB-104039"/>
    <x v="7"/>
  </r>
  <r>
    <n v="19853"/>
    <s v="Atualização crítica a ser aplicada em servidores listados como vulneráveis pela Segurança da Informação Contax, de acordo com o boletim MS12-020."/>
    <x v="0"/>
    <d v="2016-04-05T01:46:56"/>
    <x v="3"/>
    <s v="Encerramento"/>
    <s v="PAULO ROGERIO GOMES"/>
    <s v="PAULO ROGERIO GOMES"/>
    <x v="5"/>
    <x v="0"/>
    <s v="Encerrada"/>
    <d v="2016-04-12T22:30:00"/>
    <d v="2016-04-13T06:00:00"/>
    <d v="2016-04-13T07:00:00"/>
    <x v="0"/>
    <x v="0"/>
    <s v="Sem impacto"/>
    <s v="DBSCTX10SPOAL.contax-br.contax.root; DBSCTX13SPOAL.contax-br.contax.root; DBSCTX48SPOAL.contax-br.contax.root; DBSNPC02SPOAL.contax-br.contax.root; RECOIM01SPOAL.contax-br.contax.root; URAOIM03SPOAL.contax-br.contax.root; URAOIM06SPOAL.contax-br.contax.root; URAOIM08SPOAL.contax-br.contax.root; URAOIM11SPOAL.contax-br.contax.root; URAOIM12SPOAL.contax-br.contax.root"/>
    <s v="DBSCTX10SPOAL.contax-br.contax.root; DBSCTX13SPOAL.contax-br.contax.root; DBSCTX48SPOAL.contax-br.contax.root; DBSNPC02SPOAL.contax-br.contax.root; RECOIM01SPOAL.contax-br.contax.root; URAOIM03SPOAL.contax-br.contax.root; URAOIM06SPOAL.contax-br.contax.root; URAOIM08SPOAL.contax-br.contax.root; URAOIM11SPOAL.contax-br.contax.root; URAOIM12SPOAL.contax-br.contax.root"/>
    <s v="Sim"/>
    <s v="Não"/>
    <s v="1-Remover patches instalados."/>
    <s v="Não"/>
    <s v="Não"/>
    <x v="0"/>
    <s v="CTXSPOAL-110573"/>
    <x v="0"/>
  </r>
  <r>
    <n v="19854"/>
    <s v="Atualização crítica a ser aplicada em servidores listados como vulneráveis pela Segurança da Informação Contax, de acordo com o boletim MS12-020."/>
    <x v="0"/>
    <d v="2016-04-05T06:07:36"/>
    <x v="3"/>
    <s v="Encerramento"/>
    <s v="PAULO ROGERIO GOMES"/>
    <s v="PAULO ROGERIO GOMES"/>
    <x v="5"/>
    <x v="0"/>
    <s v="Encerrada"/>
    <d v="2016-04-13T22:30:00"/>
    <d v="2016-04-14T06:00:00"/>
    <d v="2016-04-14T07:00:00"/>
    <x v="0"/>
    <x v="0"/>
    <s v="Sem impacto"/>
    <s v="DBSCTX01SPOAL.contax-br.contax.root; DBSCTX02SPOAL.contax-br.contax.root; INTCTX01SPOAL.contax-br.contax.root; INTCTX02SPOAL.contax-br.contax.root; LOGCTX01SPOAL.contax-br.contax.root; LOGCTX02SPOAL.contax-br.contax.root; LOGCTX03SPOAL.contax-br.contax.root; STGCTX03SPOAL.contax-br.contax.root; STGCTX04SPOAL.contax-br.contax.root; STGCTX05SPOAL.contax-br.contax.root"/>
    <s v="DBSCTX01SPOAL.contax-br.contax.root; DBSCTX02SPOAL.contax-br.contax.root; INTCTX01SPOAL.contax-br.contax.root; INTCTX02SPOAL.contax-br.contax.root; LOGCTX01SPOAL.contax-br.contax.root; LOGCTX02SPOAL.contax-br.contax.root; LOGCTX03SPOAL.contax-br.contax.root; STGCTX03SPOAL.contax-br.contax.root; STGCTX04SPOAL.contax-br.contax.root; STGCTX05SPOAL.contax-br.contax.root"/>
    <s v="Sim"/>
    <s v="Não"/>
    <s v="1-Remover patches instalados."/>
    <s v="Não"/>
    <s v="Não"/>
    <x v="0"/>
    <s v="CTXSPOAL-110575"/>
    <x v="0"/>
  </r>
  <r>
    <n v="19856"/>
    <s v="Downgrande duas URAS MPPs Avaya no Data Center Alegria, Sistema operacional Linux."/>
    <x v="51"/>
    <d v="2016-04-05T09:00:48"/>
    <x v="3"/>
    <s v="Encerramento"/>
    <s v="JOSIMAR LOPES DE SANTANA"/>
    <s v="JOSIMAR LOPES DE SANTANA"/>
    <x v="10"/>
    <x v="5"/>
    <s v="Encerrada"/>
    <d v="2016-04-11T09:00:00"/>
    <d v="2016-04-11T16:00:00"/>
    <d v="2016-04-11T16:00:00"/>
    <x v="0"/>
    <x v="2"/>
    <s v="Sem impacto"/>
    <s v="MDSCTX101SPODB"/>
    <s v="MDSCTX101SPODB"/>
    <s v="Não"/>
    <s v="Não"/>
    <s v="Não existe plano de retorno, pois é uma implantação nova."/>
    <s v="Não"/>
    <s v="Não"/>
    <x v="0"/>
    <s v="N/A"/>
    <x v="19"/>
  </r>
  <r>
    <n v="19863"/>
    <s v="OI 13888 Promoção OI Indica Oferta Mães; OI 13896 Piloto Recarga Sem CVV OI 13944 Melhorias Na Vocalização do Prompts do ACM OI 14047 Inserir opção de Recarga no SubMenu OICSF OI 14211 Retentativas Digitar Dados do cartão - Fluxo Registra; OI 14382 Rentabilização da recarga programada."/>
    <x v="71"/>
    <d v="2016-04-05T11:18:50"/>
    <x v="3"/>
    <s v="Encerramento"/>
    <s v="DIOGO ANÍSIO DE FRANÇA"/>
    <s v="ALBERTO DE ARAUJO RODRIGUES"/>
    <x v="5"/>
    <x v="1"/>
    <s v="Encerrada"/>
    <d v="2016-04-13T22:00:00"/>
    <d v="2016-04-14T11:00:00"/>
    <d v="2016-04-14T13:00:00"/>
    <x v="0"/>
    <x v="1"/>
    <s v="Muito impacto"/>
    <s v="APPCTX14RJONT; APPCTX15RJOED; APPCTX16RJOED; APPCTX18RJOED; APPCTX19RJOED; APPOIM03SPOAL; APPOIM04SPOAL; DBSOIM01SPOAL; NMSIOM01SPOAL; NMSOIM04SPOLP"/>
    <s v="APPCTX14RJONT; APPCTX15RJOED; APPCTX16RJOED; APPCTX18RJOED; APPCTX19RJOED; APPOIM03SPOAL; APPOIM04SPOAL; APPOIM04SPOLP; APPOIM05SPOLP; DBSOIM01SPOAL; NMSIOM01SPOAL; NMSOIM04SPOLP"/>
    <s v="Não"/>
    <s v="Não"/>
    <s v="Retorna os arquivos de backup. Refazer os Testes Técnicos e Funcionais."/>
    <s v="Não"/>
    <s v="Não"/>
    <x v="0"/>
    <s v="OI 13888 OI 13896 OI 13944 OI 14382 OI 14211"/>
    <x v="5"/>
  </r>
  <r>
    <n v="19864"/>
    <s v="Manter o sistema de energia estabilizada em funcionamento. Manutenção preventiva de No-breaks de Operação com desligamento."/>
    <x v="0"/>
    <d v="2016-04-05T12:14:32"/>
    <x v="3"/>
    <s v="Encerramento"/>
    <s v="ALEXANDRE GARCIA FULY"/>
    <s v="PAULO ROBERTO RIBEIRO DE LIMA"/>
    <x v="1"/>
    <x v="22"/>
    <s v="Encerrada"/>
    <d v="2016-04-14T20:00:00"/>
    <d v="2016-04-15T05:00:00"/>
    <d v="2016-04-18T05:00:00"/>
    <x v="0"/>
    <x v="0"/>
    <s v="Impacto"/>
    <s v="--"/>
    <s v="Nobreak´s de 80KVA, 80KVA e 50KVA."/>
    <s v="Sim"/>
    <s v="Não"/>
    <s v="As atividades de testes de tensão dos Nobreak`s que será executado por Técnicos especializados. Na execução de atividade caso ocorra qualquer problema cancelaremos a GMUD imediatamente."/>
    <s v="Não"/>
    <s v="Não"/>
    <x v="0"/>
    <m/>
    <x v="13"/>
  </r>
  <r>
    <n v="19867"/>
    <s v="Execução de manutenção corretiva com desligamento para substituição do ventilador que parou por final de vida útil em no-breaks Emerson 90NET que atendem as operações do 3º andar do Site Fortaleza CE"/>
    <x v="0"/>
    <d v="2016-04-05T15:38:19"/>
    <x v="3"/>
    <s v="Encerramento"/>
    <s v="SÁVIO MEIRELES CASTRO"/>
    <s v="SÁVIO MEIRELES CASTRO"/>
    <x v="3"/>
    <x v="1"/>
    <s v="Encerrada"/>
    <d v="2016-04-06T20:00:00"/>
    <d v="2016-04-07T06:00:00"/>
    <d v="2016-04-07T06:00:00"/>
    <x v="1"/>
    <x v="1"/>
    <s v="Os prejuízos ou dificuldades são impactantes"/>
    <s v="--"/>
    <s v="--"/>
    <s v="Sim"/>
    <s v="Não"/>
    <s v="Se houver algum imprevisto, o serviço será cancelado imediatamente e será realizar todas as intervenções possível para retomar ao sistema normal."/>
    <s v="Sim"/>
    <s v="Não"/>
    <x v="0"/>
    <n v="0"/>
    <x v="9"/>
  </r>
  <r>
    <n v="19868"/>
    <s v="Manutenção Preventiva em 02(dois) Grupo Gerador de 360KVA (cada). Verificar ajustes e realizar testes necessários nas USCA/Geradores"/>
    <x v="0"/>
    <d v="2016-04-05T16:14:27"/>
    <x v="3"/>
    <s v="Encerramento"/>
    <s v="WILTON DOS ANJOS CARNEIRO"/>
    <s v="WILTON DOS ANJOS CARNEIRO"/>
    <x v="11"/>
    <x v="21"/>
    <s v="Encerrada"/>
    <d v="2016-04-23T22:00:00"/>
    <d v="2016-04-24T05:00:00"/>
    <d v="2016-04-24T05:00:00"/>
    <x v="0"/>
    <x v="0"/>
    <s v="Sem impacto"/>
    <s v="--"/>
    <s v="02(dois) Grupos Geradores de 360KVA (cada)"/>
    <s v="Não"/>
    <s v="Não"/>
    <s v="Caso tenha algum problema com o gerador, será realizado by-pass para o fornecimento de energia da concessionária."/>
    <s v="Não"/>
    <s v="Não"/>
    <x v="0"/>
    <m/>
    <x v="7"/>
  </r>
  <r>
    <n v="19870"/>
    <s v="Devido a um problema com relatórios automáticos do sistema GNeration, faz-se necessário realizar uma edição no registro e realizar o restart lógico dos servidores que atendem a esse sistema."/>
    <x v="9"/>
    <d v="2016-04-05T17:09:02"/>
    <x v="3"/>
    <s v="Encerramento"/>
    <s v="VICTOR GARCIA LAHR"/>
    <s v="JOÃO CARLOS FADUL VILAS BÔAS,JOSE GERALDO DA SILVA DOS SANTOS,VICTOR GARCIA LAHR"/>
    <x v="30"/>
    <x v="47"/>
    <s v="Encerrada"/>
    <d v="2016-04-06T23:00:00"/>
    <d v="2016-04-07T05:00:00"/>
    <d v="2016-04-07T06:00:00"/>
    <x v="3"/>
    <x v="1"/>
    <s v="Sem impacto"/>
    <s v="appctx84rjorp"/>
    <s v="appctx84rjorp"/>
    <s v="Sim"/>
    <s v="Não"/>
    <s v="Efetuar restore do Backup do servidor e homologar a ferramenta Gneration."/>
    <s v="Não"/>
    <s v="Não"/>
    <x v="0"/>
    <m/>
    <x v="8"/>
  </r>
  <r>
    <n v="19873"/>
    <s v="Realizar mix nos links da rotas de discagem do Aspect Fortaleza, afim de identificar se o problema de Run Time gerado no TLV, tem relação com links de voz"/>
    <x v="9"/>
    <d v="2016-04-05T19:35:24"/>
    <x v="3"/>
    <s v="Encerramento"/>
    <s v="LEANDRO ROCHA GONÇALVES"/>
    <s v="LEANDRO ROCHA GONÇALVES"/>
    <x v="8"/>
    <x v="1"/>
    <s v="Encerrada"/>
    <d v="2016-04-05T22:00:00"/>
    <d v="2016-04-05T23:00:00"/>
    <d v="2016-04-06T06:00:00"/>
    <x v="3"/>
    <x v="0"/>
    <s v="Sem impacto"/>
    <s v="CORCTX01FORBM"/>
    <s v="CORCTX01FORBM"/>
    <s v="Não"/>
    <s v="Não"/>
    <s v="Caso apresente falha na discagem da operação Pronpenso R1, será retirado as associações de rotas no acesso de encaminhamento."/>
    <s v="Não"/>
    <s v="Não"/>
    <x v="0"/>
    <m/>
    <x v="17"/>
  </r>
  <r>
    <n v="19874"/>
    <s v="Mapeamento dos circuitos da PDU2 e ligação dos circuitos na nova PDU2 Desenergizada"/>
    <x v="0"/>
    <d v="2016-04-06T09:26:52"/>
    <x v="3"/>
    <s v="Encerramento"/>
    <s v="RODRIGO CABRAL GOMES"/>
    <s v="RODRIGO CABRAL GOMES"/>
    <x v="22"/>
    <x v="1"/>
    <s v="Encerrada"/>
    <d v="2016-04-15T23:00:00"/>
    <d v="2016-04-16T05:00:00"/>
    <d v="2016-04-16T06:00:00"/>
    <x v="0"/>
    <x v="0"/>
    <s v="Pouco impacto"/>
    <s v="--"/>
    <s v="PDU2"/>
    <s v="Não"/>
    <s v="Não"/>
    <s v="Comunicação com missão critica e NOC"/>
    <s v="Não"/>
    <s v="Não"/>
    <x v="0"/>
    <m/>
    <x v="5"/>
  </r>
  <r>
    <n v="19876"/>
    <s v="Release URA USSD OI-14077 Atualização template financeira e Serviços SVA OI-11982 Adesão e informações de Ofertas"/>
    <x v="9"/>
    <d v="2016-04-06T11:09:59"/>
    <x v="3"/>
    <s v="Encerramento"/>
    <s v="PRISCILA LUCIA PEREIRA DE ALBUQUERQUE GALARANI"/>
    <s v="PRISCILA LUCIA PEREIRA DE ALBUQUERQUE GALARANI"/>
    <x v="1"/>
    <x v="1"/>
    <s v="Encerrada"/>
    <d v="2016-04-06T22:00:00"/>
    <d v="2016-04-07T03:00:00"/>
    <d v="2016-04-07T09:00:00"/>
    <x v="3"/>
    <x v="0"/>
    <s v="Sem impacto"/>
    <s v="APPCTX27RJOMK; APPCTX28RJOMK"/>
    <s v="APPCTX27RJOMK; APPCTX28RJOMK"/>
    <s v="Não"/>
    <s v="Não"/>
    <s v="Realizar o UNDEPLOY da versão nova através do JBoss Refazer os Testes Técnicos e Funcionais."/>
    <s v="Não"/>
    <s v="Não"/>
    <x v="2"/>
    <m/>
    <x v="1"/>
  </r>
  <r>
    <n v="19877"/>
    <s v="Reiniciar os servidores Domain Controllers que estão ocasionando em erro de replicação no domínio contax-br."/>
    <x v="9"/>
    <d v="2016-04-06T14:00:39"/>
    <x v="3"/>
    <s v="Encerramento"/>
    <s v="JOAO BATISTA DE LIMA NETO"/>
    <s v="JOAO BATISTA DE LIMA NETO"/>
    <x v="5"/>
    <x v="7"/>
    <s v="Encerrada"/>
    <d v="2016-04-12T22:00:00"/>
    <d v="2016-04-13T01:00:00"/>
    <d v="2016-04-13T02:00:00"/>
    <x v="3"/>
    <x v="0"/>
    <s v="Sem impacto"/>
    <s v="SDCCTX01NITSP; sdcctx01sallm; sdcctx02nitsp; SDCCTX03RJOED; SDCCTX03SPOBF; SDCCTX04NITSP; SDCCTX04RECSA; sdcctx04rjoed; sdcctx04rjoma; sdcctx05recau"/>
    <s v="SDCCTX01NITSP; sdcctx01sallm; sdcctx02nitsp; SDCCTX03RJOED; SDCCTX03SPOBF; SDCCTX04NITSP; SDCCTX04RECSA; sdcctx04rjoed; sdcctx04rjoma; sdcctx05recau"/>
    <s v="Sim"/>
    <s v="Não"/>
    <s v="Não existe Plano de Retorno."/>
    <m/>
    <m/>
    <x v="1"/>
    <m/>
    <x v="0"/>
  </r>
  <r>
    <n v="19878"/>
    <s v="Release-OI-13618 - Menu Rentabilização (Criar uma estrutura para direcionar chamadas para a operação de rentabilização)"/>
    <x v="0"/>
    <d v="2016-04-06T14:04:11"/>
    <x v="3"/>
    <s v="Encerramento"/>
    <s v="HUGO RAFAEL DE LIMA BRITO"/>
    <s v="MARCOS SANTOS DO SACRAMENTO"/>
    <x v="7"/>
    <x v="1"/>
    <s v="Encerrada"/>
    <d v="2016-04-06T22:00:00"/>
    <d v="2016-04-07T12:00:00"/>
    <d v="2016-04-07T12:00:00"/>
    <x v="1"/>
    <x v="1"/>
    <s v="Os prejuízos ou dificuldades são impactantes"/>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Fazer o deploy da versão anterior da aplicação."/>
    <s v="Não"/>
    <s v="Não"/>
    <x v="0"/>
    <s v="OI-13618"/>
    <x v="5"/>
  </r>
  <r>
    <n v="19879"/>
    <s v="Blindagem de acesso nos usuários da operação Retenção Invol TV, Móvel e Fixa. Usuários Ex: 598416 596328 596358 OU: contax-br.contax.root/Contax/FORBM/Usuarios/Operacoes_/OI/RETENCAO/RETENÇÃO-INVOL/OPERADORES/"/>
    <x v="3"/>
    <d v="2016-04-06T15:16:00"/>
    <x v="3"/>
    <s v="Encerramento"/>
    <s v="JEFFERSON HONÓRIO FERREIRA"/>
    <s v="JOAO BATISTA DE LIMA NETO"/>
    <x v="3"/>
    <x v="1"/>
    <s v="Encerrada"/>
    <d v="2016-04-12T23:00:00"/>
    <d v="2016-04-13T01:00:00"/>
    <d v="2016-04-13T01:30:00"/>
    <x v="0"/>
    <x v="1"/>
    <s v="Sem impacto"/>
    <s v="SDCCTX02FORBM"/>
    <s v="SDCCTX02FORBM"/>
    <s v="Não"/>
    <s v="Não"/>
    <s v="1- Incluir os usuários novamente nos grupos _ADM Workstation - FORBM e ADM_LOCAL_PA_FORBM. 2- Retirar a GPO &quot;WKS_FORBM_OPER_BLOCK_ADMINTOOLS&quot; da OU &quot;contax-br.contax.root/Computadores/FORBM/Operacoes/OI/OI Retenção - Invol/&quot;"/>
    <s v="Não"/>
    <s v="Não"/>
    <x v="0"/>
    <s v="N/A"/>
    <x v="4"/>
  </r>
  <r>
    <n v="19880"/>
    <s v="Realizar manutenção preventiva em gerador Site DC Alphaville contemplando teste com carga."/>
    <x v="0"/>
    <d v="2016-04-06T15:57:32"/>
    <x v="3"/>
    <s v="Encerramento"/>
    <s v="ROBERTO LOPES"/>
    <s v="ROBERTO LOPES"/>
    <x v="0"/>
    <x v="1"/>
    <s v="Encerrada"/>
    <d v="2016-04-23T08:00:00"/>
    <d v="2016-04-23T13:00:00"/>
    <d v="2016-04-25T14:00:00"/>
    <x v="0"/>
    <x v="0"/>
    <s v="Sem impacto"/>
    <s v="GERADOR"/>
    <s v="GERADOR"/>
    <s v="Não"/>
    <s v="Não"/>
    <s v="Para retorno do equipamento a sua condição normal, após todos os testes, analise visual e limpeza, estaremos transferindo a carga para concessionária passando ogerador de manual para automático e estará apto para reconhecer uma falta de energia e atuar plenamente."/>
    <s v="Não"/>
    <s v="Não"/>
    <x v="0"/>
    <m/>
    <x v="13"/>
  </r>
  <r>
    <n v="19881"/>
    <s v="Remoção do Antivírus Symantec e Instalação do McAfee."/>
    <x v="44"/>
    <d v="2016-04-06T17:00:50"/>
    <x v="3"/>
    <s v="Encerramento"/>
    <s v="FELIPE SANTOS BARBOSA DELGADO"/>
    <s v="JOSE GERALDO DA SILVA DOS SANTOS"/>
    <x v="6"/>
    <x v="0"/>
    <s v="Encerrada"/>
    <d v="2016-04-11T22:00:00"/>
    <d v="2016-04-15T07:00:00"/>
    <d v="2016-04-15T07:30:00"/>
    <x v="0"/>
    <x v="1"/>
    <s v="Impacto"/>
    <s v="appctx01rjoma; appctx02rjoma; APPCTX04RJOMA; APPCTX09BHZRI; APPCTX15RJONT; appctx19forbm; appctx23rjoed; APPCTX23RJOMK; APPCTX25RJOMK; APPCTX26RJOMK; DBSCTX03RJOED; DBSCTX05BHZRI; DBSCTX05RJOED; DBSCTX06RJOED; DBSCTX06SALSM; DBSCTX12RJOED; DBSCTX13RJOED; DBSCTX22RJOED; DBSCTX23RJOED; DBSCTX25RJOED; FESCTX10RJOPF; FESCTX11RJOPF; FSSCTX06RJOMA; GRVCTX09SPODA; GRVCTX111SPODB; GRVCTX113SPODB; grvoim11spoal; GRVOIM13SPOAL; HMLCTX03RJOMK; HMLCTX04RJOMK; HMLCTX81RJOMK; URACTX10RJOED; URACTX30RJOMK; URACTX31RJOMK; URAHML13NITSP; VLOGCTX05RECSA; VLOGCTX06RECSA; VLOGCTX07RECSA; WEBCTX04BHZRI"/>
    <s v="appctx01rjoma; appctx02rjoma; APPCTX04RJOMA; APPCTX09BHZRI; APPCTX15RJONT; appctx19forbm; appctx23rjoed; APPCTX23RJOMK; APPCTX25RJOMK; APPCTX26RJOMK; DBSCTX03RJOED; DBSCTX05BHZRI; DBSCTX05RJOED; DBSCTX06RJOED; DBSCTX06SALSM; DBSCTX12RJOED; DBSCTX13RJOED; DBSCTX22RJOED; DBSCTX23RJOED; DBSCTX25RJOED; FESCTX10RJOPF; FESCTX11RJOPF; FSSCTX06RJOMA; GRVCTX09SPODA; GRVCTX111SPODB; GRVCTX113SPODB; grvoim11spoal; GRVOIM13SPOAL; HMLCTX03RJOMK; HMLCTX04RJOMK; HMLCTX81RJOMK; URACTX10RJOED; URACTX30RJOMK; URACTX31RJOMK; URAHML13NITSP; VLOGCTX05RECSA; VLOGCTX06RECSA; VLOGCTX07RECSA; WEBCTX04BHZRI"/>
    <s v="Sim"/>
    <s v="Sim"/>
    <s v="O Objetivo do Plano de Retorno é desinstalar o Antivírus McAfee. O período previsto para um Plano de Retorno é de 1:00 hora."/>
    <s v="Não"/>
    <s v="Não"/>
    <x v="0"/>
    <s v="--"/>
    <x v="0"/>
  </r>
  <r>
    <n v="19882"/>
    <s v="Evoluir a ferramenta com as necessidades do cliente."/>
    <x v="72"/>
    <d v="2016-04-06T17:03:36"/>
    <x v="3"/>
    <s v="Encerramento"/>
    <s v="FLÁVIO ROBERTO DE FREITAS MIRANDA"/>
    <s v="RODRIGO SANTOS DE CAMPOS"/>
    <x v="25"/>
    <x v="12"/>
    <s v="Encerrada"/>
    <d v="2016-04-15T23:00:00"/>
    <d v="2016-04-16T19:30:00"/>
    <d v="2016-04-16T19:30:00"/>
    <x v="0"/>
    <x v="2"/>
    <s v="Impacto"/>
    <s v="APPCTX473SPODA; racngrctx.contax-br.contax.root"/>
    <s v="APPCTX473SPODA; racngrctx.contax-br.contax.root"/>
    <s v="Sim"/>
    <s v="Não"/>
    <s v="1 - Efetuar o retorno do backup do banco de dados; 2 - Se conectar no servidor via mstsc; 3 - Parar o serviço DISCA FACIL; 4 - Apagar a nova versão (1.3.0.1660.zip) no caminho da aplicação C:/discafacil/versoes/ 5 - Apontar para a versão anterior 6 - Iniciar o serviço DISCA FACIL; 7 - Acompanhar os log da aplicação garantindo que a mesma está executando com sucesso. 8 - Executar testes técnicos e testes funcionais"/>
    <s v="Não"/>
    <s v="Não"/>
    <x v="2"/>
    <s v="CTXPOARB-91679"/>
    <x v="0"/>
  </r>
  <r>
    <n v="19883"/>
    <s v="Manutenção preventiva com desligamento dos No-breaks chloride ,UPS ( No-breaks Chloride uma de 120 e duas de 40 KVA )do site Cabula, sem previsão de interrupção da carga critica."/>
    <x v="73"/>
    <d v="2016-04-07T08:26:07"/>
    <x v="3"/>
    <s v="Encerramento"/>
    <s v="REGINALDO MIRANDA BISPO"/>
    <s v="REGINALDO MIRANDA BISPO"/>
    <x v="21"/>
    <x v="34"/>
    <s v="Encerrada"/>
    <d v="2016-04-23T23:00:00"/>
    <d v="2016-04-24T05:00:00"/>
    <d v="2016-04-24T06:00:00"/>
    <x v="0"/>
    <x v="0"/>
    <s v="Sem impacto"/>
    <s v="No-breaks"/>
    <s v="No-breaks"/>
    <s v="Não"/>
    <s v="Não"/>
    <s v="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rede."/>
    <s v="Não"/>
    <s v="Não"/>
    <x v="0"/>
    <s v="NA"/>
    <x v="1"/>
  </r>
  <r>
    <n v="19886"/>
    <s v="Garantir a confiabilidade do sistema de geração de energia emergencial do Site Prado."/>
    <x v="0"/>
    <d v="2016-04-07T11:10:14"/>
    <x v="3"/>
    <s v="Encerramento"/>
    <s v="CRISTIANO COTA DIAS"/>
    <s v="CRISTIANO COTA DIAS"/>
    <x v="13"/>
    <x v="1"/>
    <s v="Encerrada"/>
    <d v="2016-04-29T21:00:00"/>
    <d v="2016-04-30T04:00:00"/>
    <d v="2016-04-30T05:00:00"/>
    <x v="0"/>
    <x v="0"/>
    <s v="Pouco impacto"/>
    <s v="--"/>
    <s v="Geradores"/>
    <s v="Sim"/>
    <s v="Não"/>
    <s v="Caso ocorra algum incidente os técnicos manterão contato com os gestores afim de definir o caminho ótimo para a solução do incidente."/>
    <s v="Não"/>
    <s v="Não"/>
    <x v="0"/>
    <m/>
    <x v="2"/>
  </r>
  <r>
    <n v="19887"/>
    <s v="Garantir a confiabilidade do sistema de geração de energia emergencial."/>
    <x v="0"/>
    <d v="2016-04-07T11:39:06"/>
    <x v="3"/>
    <s v="Encerramento"/>
    <s v="CRISTIANO COTA DIAS"/>
    <s v="CRISTIANO COTA DIAS"/>
    <x v="13"/>
    <x v="1"/>
    <s v="Encerrada"/>
    <d v="2016-04-29T22:00:00"/>
    <d v="2016-04-30T04:00:00"/>
    <d v="2016-04-30T05:00:00"/>
    <x v="0"/>
    <x v="0"/>
    <s v="Pouco impacto"/>
    <s v="--"/>
    <s v="Geradores"/>
    <s v="Sim"/>
    <s v="Não"/>
    <s v="Caso ocorra algum incidente os técnicos manterão contato com os gestores afim de definir o caminho ótimo para a solução do incidente."/>
    <s v="Não"/>
    <s v="Não"/>
    <x v="0"/>
    <m/>
    <x v="2"/>
  </r>
  <r>
    <n v="19888"/>
    <s v="Inserção de scripts para abertura de chamados com severidade: Muito Alta e Crítica"/>
    <x v="74"/>
    <d v="2016-04-07T12:03:34"/>
    <x v="3"/>
    <s v="Encerramento"/>
    <s v="FLÁVIO ROBERTO DE FREITAS MIRANDA"/>
    <s v="JAIME FROILAN DE SOUZA ALOSILLA"/>
    <x v="1"/>
    <x v="0"/>
    <s v="Encerrada"/>
    <d v="2016-04-13T23:00:00"/>
    <d v="2016-04-14T01:00:00"/>
    <d v="2016-04-14T02:00:00"/>
    <x v="0"/>
    <x v="2"/>
    <s v="Sem impacto"/>
    <s v="JIRA02"/>
    <s v="JIRA02"/>
    <s v="Não"/>
    <s v="Não"/>
    <s v="1) Voltar o script original no campo (Velocity Incidentes Create Screen) 2) Voltar o texto em (Descrição) no campo (Severidade) 3) Alterar novamente a ordem dos campos 4) Executar os testes tecnicos e funcionais novamente"/>
    <s v="Não"/>
    <s v="Não"/>
    <x v="0"/>
    <s v="CTXSPOAL-109513"/>
    <x v="0"/>
  </r>
  <r>
    <n v="19889"/>
    <s v="Realizar upgrade da Firmware dos switches Avaya devido ao bug relatado pelo fabricante no arquivo em anexo."/>
    <x v="9"/>
    <d v="2016-04-07T14:43:52"/>
    <x v="3"/>
    <s v="Encerramento"/>
    <s v="WESLEY DE OLIVEIRA SANTANA"/>
    <s v="WESLEY DE OLIVEIRA SANTANA"/>
    <x v="8"/>
    <x v="1"/>
    <s v="Encerrada"/>
    <d v="2016-04-10T00:15:00"/>
    <d v="2016-04-10T05:00:00"/>
    <d v="2016-04-10T06:00:00"/>
    <x v="3"/>
    <x v="0"/>
    <s v="Sem impacto"/>
    <s v="SWTACE025PBOI-TC04B"/>
    <s v="SWTACE025PBOI-TC04B"/>
    <s v="Sim"/>
    <s v="Não"/>
    <s v="Retornar com a firmware antiga."/>
    <s v="Não"/>
    <s v="Não"/>
    <x v="0"/>
    <m/>
    <x v="1"/>
  </r>
  <r>
    <n v="19890"/>
    <s v="Release URA USSD OI-14077 Atualização template financeira e Serviços SVA OI-11982 Adesão e informações de Ofertas"/>
    <x v="9"/>
    <d v="2016-04-07T14:44:43"/>
    <x v="3"/>
    <s v="Encerramento"/>
    <s v="PRISCILA LUCIA PEREIRA DE ALBUQUERQUE GALARANI"/>
    <s v="PRISCILA LUCIA PEREIRA DE ALBUQUERQUE GALARANI"/>
    <x v="1"/>
    <x v="1"/>
    <s v="Encerrada"/>
    <d v="2016-04-07T22:00:00"/>
    <d v="2016-04-08T03:00:00"/>
    <d v="2016-04-08T09:00:00"/>
    <x v="3"/>
    <x v="0"/>
    <s v="Sem impacto"/>
    <s v="APPCTX27RJOMK; APPCTX28RJOMK"/>
    <s v="APPCTX27RJOMK; APPCTX28RJOMK"/>
    <s v="Não"/>
    <s v="Não"/>
    <s v="Realizar o UNDEPLOY da versão nova através do JBoss Refazer os Testes Técnicos e Funcionais."/>
    <s v="Não"/>
    <s v="Não"/>
    <x v="0"/>
    <m/>
    <x v="1"/>
  </r>
  <r>
    <n v="19893"/>
    <s v="GARANTIR A DISPONIBILIDADE DE ENERGIA E MELHORIA NA QUALIDADE DO AR"/>
    <x v="30"/>
    <d v="2016-04-07T15:50:48"/>
    <x v="3"/>
    <s v="Encerramento"/>
    <s v="MARCIO LUIS DE GODOI JUNIOR"/>
    <s v="MARCIO LUIS DE GODOI JUNIOR"/>
    <x v="24"/>
    <x v="48"/>
    <s v="Encerrada"/>
    <d v="2016-04-22T22:00:00"/>
    <d v="2016-04-23T06:00:00"/>
    <d v="2016-04-27T15:59: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23"/>
  </r>
  <r>
    <n v="19895"/>
    <s v="Alteração da Tabela na aplicação OI FIXA ( URA CANAL 31)"/>
    <x v="48"/>
    <d v="2016-04-07T16:15:10"/>
    <x v="3"/>
    <s v="Encerramento"/>
    <s v="WILSON SHIGERU MIYAZAKI"/>
    <s v="WILSON SHIGERU MIYAZAKI"/>
    <x v="7"/>
    <x v="1"/>
    <s v="Encerrada"/>
    <d v="2016-04-13T07:00:00"/>
    <d v="2016-04-13T09:00:00"/>
    <d v="2016-04-13T10:00:00"/>
    <x v="0"/>
    <x v="0"/>
    <s v="Sem impacto"/>
    <s v="dbsctx08spoda"/>
    <s v="dbsctx08spoda"/>
    <s v="Não"/>
    <s v="Não"/>
    <s v="Voltar a tabela antiga de acordo com o Produto"/>
    <s v="Não"/>
    <s v="Não"/>
    <x v="0"/>
    <s v="CTXRJOMA-79723"/>
    <x v="1"/>
  </r>
  <r>
    <n v="19896"/>
    <s v="MANTER A DISPONIBILIDADE DE ENERGIA NO SITE, EM CASO DE FALTA DE FORNECIMENTO."/>
    <x v="0"/>
    <d v="2016-04-07T16:21:59"/>
    <x v="3"/>
    <s v="Encerramento"/>
    <s v="MARCIO LUIS DE GODOI JUNIOR"/>
    <s v="MARCIO LUIS DE GODOI JUNIOR"/>
    <x v="19"/>
    <x v="43"/>
    <s v="Encerrada"/>
    <d v="2016-04-15T22:00:00"/>
    <d v="2016-04-16T06:00:00"/>
    <d v="2016-04-20T16:37: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2"/>
    <m/>
    <x v="8"/>
  </r>
  <r>
    <n v="19901"/>
    <s v="Desativação do Link Metro entre os Sites Engenho de Dentro e Mackenzie"/>
    <x v="75"/>
    <d v="2016-04-08T10:03:34"/>
    <x v="3"/>
    <s v="Encerramento"/>
    <s v="LUIZ WASHINGTON GIANEZZI"/>
    <s v="MARCUS VINÍCIUS RUSTIGUER"/>
    <x v="27"/>
    <x v="7"/>
    <s v="Encerrada"/>
    <d v="2016-04-14T22:00:00"/>
    <d v="2016-04-15T02:00:00"/>
    <d v="2016-04-15T04:00:00"/>
    <x v="0"/>
    <x v="2"/>
    <s v="Impacto"/>
    <s v="SWTCOR001MCKCPD; SWTCOR253ENDCPD; SWTCOR254ENDCPD; SWTCORP027MCKCPD; SWTCORP028ENDCPD"/>
    <s v="SWTCOR001MCKCPD; SWTCOR253ENDCPD; SWTCOR254ENDCPD; SWTCORP027MCKCPD; SWTCORP028ENDCPD"/>
    <s v="Não"/>
    <s v="Não"/>
    <s v="Executar as configurações conforme descrito no plano ação em anexo"/>
    <m/>
    <m/>
    <x v="1"/>
    <m/>
    <x v="0"/>
  </r>
  <r>
    <n v="19902"/>
    <s v="Release URA USSD OI14635 - Melhoria Informe de pagamento - USSD Pós"/>
    <x v="9"/>
    <d v="2016-04-08T11:39:54"/>
    <x v="3"/>
    <s v="Encerramento"/>
    <s v="PRISCILA LUCIA PEREIRA DE ALBUQUERQUE GALARANI"/>
    <s v="PRISCILA LUCIA PEREIRA DE ALBUQUERQUE GALARANI"/>
    <x v="1"/>
    <x v="1"/>
    <s v="Encerrada"/>
    <d v="2016-04-08T22:00:00"/>
    <d v="2016-04-09T03:00:00"/>
    <d v="2016-04-09T09:00:00"/>
    <x v="3"/>
    <x v="0"/>
    <s v="Sem impacto"/>
    <s v="APPCTX27RJOMK; APPCTX28RJOMK"/>
    <s v="APPCTX27RJOMK; APPCTX28RJOMK"/>
    <s v="Não"/>
    <s v="Não"/>
    <s v="Realizar o UNDEPLOY da versão nova através do JBoss Refazer os Testes Técnicos e Funcionais."/>
    <s v="Não"/>
    <s v="Não"/>
    <x v="2"/>
    <m/>
    <x v="1"/>
  </r>
  <r>
    <n v="19903"/>
    <s v="Corrigir problemas na base de dados do Active Directory do servidor SDCCIT01RJOMA."/>
    <x v="0"/>
    <d v="2016-04-08T13:27:17"/>
    <x v="3"/>
    <s v="Encerramento"/>
    <s v="DAVID LOPES DA COSTA CHAVES"/>
    <s v="DAVID LOPES DA COSTA CHAVES"/>
    <x v="30"/>
    <x v="23"/>
    <s v="Encerrada"/>
    <d v="2016-04-15T22:00:00"/>
    <d v="2016-04-16T02:00:00"/>
    <d v="2016-04-16T03:00:00"/>
    <x v="0"/>
    <x v="0"/>
    <s v="Impacto"/>
    <s v="SDCCIT01RJOMA"/>
    <s v="SDCCIT01RJOMA"/>
    <s v="Sim"/>
    <s v="Sim"/>
    <s v="Como o servidor será despromovido e sua base atual se encontra comprometida, não existe a possibilidade de ser realizado o plano de retorno."/>
    <m/>
    <m/>
    <x v="1"/>
    <m/>
    <x v="9"/>
  </r>
  <r>
    <n v="19904"/>
    <s v="Manutenção preventiva trimestral de No-break Chloride e tem como objetivo manter a confiabilidade elétrica do Site, como também a conservação e desempenho do equipamento."/>
    <x v="0"/>
    <d v="2016-04-08T13:53:13"/>
    <x v="3"/>
    <s v="Encerramento"/>
    <s v="GENALDO GOMES FERREIRA"/>
    <s v="GENALDO GOMES FERREIRA"/>
    <x v="14"/>
    <x v="10"/>
    <s v="Encerrada"/>
    <d v="2016-04-24T00:01:00"/>
    <d v="2016-04-24T06:00:00"/>
    <d v="2016-04-24T07:00:00"/>
    <x v="0"/>
    <x v="0"/>
    <s v="Pouco impacto"/>
    <s v="--"/>
    <s v="No-break"/>
    <s v="Não"/>
    <s v="Não"/>
    <s v="Havendo necessidade de acionamento dos equipamentos os mesmos serão ativados."/>
    <s v="Não"/>
    <s v="Não"/>
    <x v="0"/>
    <m/>
    <x v="9"/>
  </r>
  <r>
    <n v="19905"/>
    <s v="Serviço de passagem de 6 novos circuitos retirados do PDU nº4 para serem as novas alimentações dos DACs que ficarão contingenciados pelos dois no-breaks Eatons paralelos redundantes e pelo gerador Leo Heimer."/>
    <x v="0"/>
    <d v="2016-04-08T13:53:41"/>
    <x v="3"/>
    <s v="Encerramento"/>
    <s v="SÁVIO MEIRELES CASTRO"/>
    <s v="SÁVIO MEIRELES CASTRO"/>
    <x v="3"/>
    <x v="2"/>
    <s v="Encerrada"/>
    <d v="2016-04-09T22:00:00"/>
    <d v="2016-04-10T04:00:00"/>
    <d v="2016-04-10T04:00:00"/>
    <x v="1"/>
    <x v="1"/>
    <s v="Os prejuízos ou dificuldades são impactantes"/>
    <s v="--"/>
    <s v="--"/>
    <s v="Não"/>
    <s v="Não"/>
    <s v="Se houver algum imprevisto, o serviço será cancelado imediatamente. Não haverá indisponibilidade, visto que o serviço será realizado em horário fora do funcionamento das operações os servidores serão ligados pela equipe de TI em uma nova GMUD"/>
    <s v="Não"/>
    <s v="Não"/>
    <x v="0"/>
    <n v="0"/>
    <x v="3"/>
  </r>
  <r>
    <n v="19906"/>
    <s v="Inclusão de novos campos: *Andar *Posição PA *Torre / Bloco Quando tiver como seleção no campo: Serviço afetado / Tipo Estação de Trabalho: • Computador • Mouse • Monitor • Teclado • Headset • SMPA • Telefone • Acesso a Rede • Pacote Office • Impressora"/>
    <x v="76"/>
    <d v="2016-04-08T14:30:29"/>
    <x v="3"/>
    <s v="Encerramento"/>
    <s v="FLÁVIO ROBERTO DE FREITAS MIRANDA"/>
    <s v="DIOGO DO NASCIMENTO"/>
    <x v="1"/>
    <x v="0"/>
    <s v="Encerrada"/>
    <d v="2016-04-14T23:00:00"/>
    <d v="2016-04-15T01:00:00"/>
    <d v="2016-04-15T02:00:00"/>
    <x v="0"/>
    <x v="2"/>
    <s v="Sem impacto"/>
    <s v="JIRA02"/>
    <s v="JIRA02"/>
    <s v="Não"/>
    <s v="Não"/>
    <s v="- Retirar os campos da tela de criação Incidentes, Iniciar Chamado (11) e View . Andar . Posição PA . Torre / Bloco . Número da URA - Voltar backup da pasta conditional-fields no servidor da aplicação. - Voltar backup do Workflow de Incidentes - Efetuar testes tecnicos e testes funcionais"/>
    <s v="Não"/>
    <s v="Não"/>
    <x v="0"/>
    <s v="CTXSPOAL-111360"/>
    <x v="0"/>
  </r>
  <r>
    <n v="19907"/>
    <s v="Criação de um site no tProcess com SLA diferenciado para que sejam aberto chamados para a equipe NTTDATA (Oi). Especificações: Nome do Site: ClIOI (Cliente Oi) SLA: Consta em Anexo."/>
    <x v="77"/>
    <d v="2016-04-08T14:34:24"/>
    <x v="3"/>
    <s v="Encerramento"/>
    <s v="FLÁVIO ROBERTO DE FREITAS MIRANDA"/>
    <s v="EDUARDO YUKIO CASTILLO"/>
    <x v="1"/>
    <x v="0"/>
    <s v="Encerrada"/>
    <d v="2016-04-20T23:00:00"/>
    <d v="2016-04-21T03:10:00"/>
    <d v="2016-04-21T04:10:00"/>
    <x v="0"/>
    <x v="2"/>
    <s v="Sem impacto"/>
    <s v="DBSTDO01RJORP; JIRA02"/>
    <s v="DBSTDO01RJORP; JIRA02"/>
    <s v="Não"/>
    <s v="Não"/>
    <s v="1 - Configurar a Permission Scheme do projeto criado para (Disabled Permission Scheme). 2 - Efetuar testes tecnicos e testes funcionais"/>
    <s v="Não"/>
    <s v="Não"/>
    <x v="0"/>
    <s v="CTXSPOAL-101712"/>
    <x v="0"/>
  </r>
  <r>
    <n v="19908"/>
    <s v="Vincular o campo Cliente/Operação apenas à Elektro/ Elektro, quando o usuário estiver abrindo chamado para o local CTX - Elektro - CASEK."/>
    <x v="78"/>
    <d v="2016-04-08T14:37:40"/>
    <x v="3"/>
    <s v="Encerramento"/>
    <s v="FLÁVIO ROBERTO DE FREITAS MIRANDA"/>
    <s v="EDUARDO YUKIO CASTILLO"/>
    <x v="1"/>
    <x v="0"/>
    <s v="Encerrada"/>
    <d v="2016-04-25T23:00:00"/>
    <d v="2016-04-26T01:10:00"/>
    <d v="2016-04-26T02:10:00"/>
    <x v="0"/>
    <x v="2"/>
    <s v="Sem impacto"/>
    <s v="DBSTDO01RJORP; JIRA02"/>
    <s v="DBSTDO01RJORP; JIRA02"/>
    <s v="Não"/>
    <s v="Não"/>
    <s v="1 - Execucar o script abaixo: update todo_cliente_operacao set local = replace(local,'DESCASEK','CTXCASEK') where local like '%DESCASEK%' and cliente 'ELEKTRO' 2 - Efetuar testes tecnicos e testes funcionais"/>
    <s v="Não"/>
    <s v="Não"/>
    <x v="0"/>
    <s v="CTXCASEK-1790"/>
    <x v="0"/>
  </r>
  <r>
    <n v="19910"/>
    <s v="EFETUAR TROCA DE DISCO"/>
    <x v="0"/>
    <d v="2016-04-08T15:36:36"/>
    <x v="3"/>
    <s v="Encerramento"/>
    <s v="MARCELO LUIS DE BARROS"/>
    <s v="MARCELO LUIS DE BARROS"/>
    <x v="33"/>
    <x v="1"/>
    <s v="Encerrada"/>
    <d v="2016-04-14T22:00:00"/>
    <d v="2016-04-15T05:00:00"/>
    <d v="2016-04-15T05:00:00"/>
    <x v="0"/>
    <x v="0"/>
    <s v="Sem impacto"/>
    <s v="--"/>
    <s v="URACTX02BHZPA"/>
    <s v="Não"/>
    <s v="Não"/>
    <s v="Caso o disco não funcione será necessário providenciar outro junto a equipe de controle de ativo."/>
    <s v="Não"/>
    <s v="Não"/>
    <x v="0"/>
    <s v="CTXBHZRI-99496"/>
    <x v="1"/>
  </r>
  <r>
    <n v="19912"/>
    <s v="Ao Criar estratégia TCollect apresenta erro:&quot;Parameter count does not match Parameter Value count&quot; Aplicar correção de Procedure nas operações OI Fixa R1 e R2."/>
    <x v="0"/>
    <d v="2016-04-08T17:00:55"/>
    <x v="3"/>
    <s v="Encerramento"/>
    <s v="GEOVANI JOSE DE RESENDE MOREIRA"/>
    <s v="GEOVANI JOSE DE RESENDE MOREIRA"/>
    <x v="13"/>
    <x v="1"/>
    <s v="Encerrada"/>
    <d v="2016-04-19T22:00:00"/>
    <d v="2016-04-19T22:50:00"/>
    <d v="2016-04-19T23:59:00"/>
    <x v="0"/>
    <x v="0"/>
    <s v="Sem impacto"/>
    <s v="--"/>
    <s v="10.55.14.11; 10.55.14.13"/>
    <s v="Não"/>
    <s v="Não"/>
    <s v="1 - conectar no servidor 10.55.14.13 pelo query analyzer 2 - executar SQL ABAIXO: ALTER PROCEDURE [dbo].[GetStrategy] ( @StrategyID INT, @UserSID INT ) AS BEGIN SET NOCOUNT ON DECLARE @LanguageAlias VARCHAR(10) SELECT @LanguageAlias = FTFoundation.dbo.GetUserLanguage (@UserSID) SELECT S.StrategyID, S.Name AS StrategyName, S.GroupNumber AS StrategyGroupNumber, S.FilterID, F.Name AS FilterName, S.StartDate, S.EndDate, S.Skill, S.StrategyTargetID, FTFoundation.dbo.GetResourceCaption('StrategyTargets', ST.TargetAlias, @LanguageAlias ) AS TargetName, S.Enabled, S.DataVersion, ISNULL(S.SurveyWebLink,'') AS SurveyWebLink, ISNULL(S.StrategyTargetGroupID,0) AS StrategyTargetGroupID, runSunday,runMonday, runTuesday,runWednesday, runThursday,runFriday,runSaturday, PhoneTypeForStrategie, SurveyAutoLoad FROM Strategies AS S INNER JOIN StrategyTargets AS ST ON S.StrategyTargetID = ST.StrategyTargetID INNER JOIN Filters AS F ON S.FilterID = F.FilterID WHERE S.StrategyID = @StrategyID AND ( NOT EXISTS ( SELECT * FROM FTFoundation.dbo.RetrieveUserSiteGroups (@UserSID) ) OR S.CreationUserSID = @UserSID ) -- If its a Site User, it should only see its own Strategies END"/>
    <m/>
    <m/>
    <x v="1"/>
    <m/>
    <x v="2"/>
  </r>
  <r>
    <n v="19913"/>
    <s v="Realizar o desvinculação das PAs do tSupervisor desacoplados x tSupervisor acoplado. Solucionar lentidão na interface do tSupervisor."/>
    <x v="9"/>
    <d v="2016-04-08T17:13:01"/>
    <x v="3"/>
    <s v="Encerramento"/>
    <s v="FLÁVIO ROBERTO DE FREITAS MIRANDA"/>
    <s v="PAULO CESAR DE SOUZA"/>
    <x v="8"/>
    <x v="1"/>
    <s v="Encerrada"/>
    <d v="2016-04-08T18:00:00"/>
    <d v="2016-04-08T19:00:00"/>
    <d v="2016-04-08T20:00:00"/>
    <x v="3"/>
    <x v="1"/>
    <s v="Sem impacto"/>
    <s v="FESCTX01SPODA"/>
    <s v="FESCTX01SPODA"/>
    <s v="Sim"/>
    <s v="Sim"/>
    <s v="1) Se logar no servidor via mstsc 2) Parar o serviço da aplicação tsupervisor 3) excluir o arquivo TSUPERVISOR.EAR do diretório D:\Todo\jboss-eap-6.2-port-8180\standalone\deployments 4) Retornar o arquivo que foi renomeado na etapa de execução 5) Iniciar a aplicação novamente"/>
    <s v="Não"/>
    <s v="Não"/>
    <x v="0"/>
    <s v="CTXRECSA-481422"/>
    <x v="5"/>
  </r>
  <r>
    <n v="19916"/>
    <s v="MANUTENÇÃO PREVENTIVA SEM CARGA DO GRUPO GERADOR"/>
    <x v="0"/>
    <d v="2016-04-11T09:45:08"/>
    <x v="3"/>
    <s v="Encerramento"/>
    <s v="MARCELO BOSELLI"/>
    <s v="MARCELO BOSELLI"/>
    <x v="5"/>
    <x v="29"/>
    <s v="Encerrada"/>
    <d v="2016-04-30T08:00:00"/>
    <d v="2016-04-30T18:00:00"/>
    <d v="2016-05-02T09:47:00"/>
    <x v="0"/>
    <x v="0"/>
    <s v="Os prejuízos ou dificuldades são impactantes"/>
    <s v="GERADOR"/>
    <s v="GERADOR"/>
    <s v="Não"/>
    <s v="Não"/>
    <s v="CASO OCORRA ALGUM PROBLEMA DURANTE A MANUTENÇÃO AS ATIVIDADES SERÃO SUSPENSAS IMEDIATAMENTE"/>
    <s v="Não"/>
    <s v="Não"/>
    <x v="2"/>
    <m/>
    <x v="15"/>
  </r>
  <r>
    <n v="19917"/>
    <s v="Manutenção corretiva do GMG 440KVA."/>
    <x v="79"/>
    <d v="2016-04-11T10:38:42"/>
    <x v="3"/>
    <s v="Encerramento"/>
    <s v="PAULO ROBERTO RIBEIRO DE LIMA"/>
    <s v="PAULO ROBERTO RIBEIRO DE LIMA"/>
    <x v="1"/>
    <x v="22"/>
    <s v="Encerrada"/>
    <d v="2016-04-22T22:00:00"/>
    <d v="2016-04-23T05:00:00"/>
    <d v="2016-04-23T06:00:00"/>
    <x v="0"/>
    <x v="1"/>
    <s v="Pouco impacto"/>
    <s v="--"/>
    <s v="N/A"/>
    <s v="Não"/>
    <s v="Não"/>
    <s v="Após testes funcionais o técnico retorna todo sistema em modo automático e Se houver algum imprevisto será cancelado o serviço imediatamente."/>
    <s v="Sim"/>
    <s v="Não"/>
    <x v="0"/>
    <s v="N/A"/>
    <x v="13"/>
  </r>
  <r>
    <n v="19918"/>
    <s v="Aplicar os Procedimentos abaixo no sistema Protheus:"/>
    <x v="10"/>
    <d v="2016-04-11T10:54:24"/>
    <x v="3"/>
    <s v="Encerramento"/>
    <s v="WILSON DE OLIVEIRA BRITO JUNIOR"/>
    <s v="WILSON DE OLIVEIRA BRITO JUNIOR"/>
    <x v="5"/>
    <x v="0"/>
    <s v="Encerrada"/>
    <d v="2016-04-17T09:00:00"/>
    <d v="2016-04-17T18:00:00"/>
    <d v="2016-04-17T19:00:00"/>
    <x v="0"/>
    <x v="1"/>
    <s v="Pouc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19919"/>
    <s v="Atualização da aplicação Empresarial. A release 2016/04/12 terá como foco principal as seguintes mudanças abaixo: ? FUO-782 URA LIGHT 1 - Mensagem de Vulto e BD ? FUO-783 URA Light 2 - Menu Empresarial Fixo e Móvel excluir Opções ? FUO-778 Retenção Móvel atendimento aos Sábados ? FUO-787 URA Light 4 - Solicitação de Reparo Velox ? FUO-793 Rentabilização na URA Empresarial"/>
    <x v="9"/>
    <d v="2016-04-11T11:20:32"/>
    <x v="3"/>
    <s v="Encerramento"/>
    <s v="DANIEL SCHONWANDT MENDES FERREIRA"/>
    <s v="DANIEL SCHONWANDT MENDES FERREIRA"/>
    <x v="7"/>
    <x v="1"/>
    <s v="Encerrada"/>
    <d v="2016-04-12T22:00:00"/>
    <d v="2016-04-13T12:00:00"/>
    <d v="2016-04-13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19920"/>
    <s v="Atualização da aplicação Televendas. A release 2016/04/12 terá como foco principal as seguintes mudanças abaixo: ? FUO-727 Reestruturação do Início Televendas ? FUO-813 Variável msgOiTotal = “True”"/>
    <x v="9"/>
    <d v="2016-04-11T11:49:22"/>
    <x v="3"/>
    <s v="Encerramento"/>
    <s v="DANIEL SCHONWANDT MENDES FERREIRA"/>
    <s v="DANIEL SCHONWANDT MENDES FERREIRA"/>
    <x v="7"/>
    <x v="1"/>
    <s v="Encerrada"/>
    <d v="2016-04-12T22:00:00"/>
    <d v="2016-04-13T12:00:00"/>
    <d v="2016-04-13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Sim"/>
    <x v="2"/>
    <m/>
    <x v="1"/>
  </r>
  <r>
    <n v="19921"/>
    <s v="MANUTENÇÃO PREVENTIVA DOS NOBREAKS DO SITE ALEGRIA SEM PARADA"/>
    <x v="0"/>
    <d v="2016-04-11T12:24:19"/>
    <x v="3"/>
    <s v="Encerramento"/>
    <s v="MARCELO BOSELLI"/>
    <s v="MARCELO BOSELLI"/>
    <x v="5"/>
    <x v="29"/>
    <s v="Encerrada"/>
    <d v="2016-04-28T22:00:00"/>
    <d v="2016-04-30T06:00:00"/>
    <d v="2016-05-02T12:26:00"/>
    <x v="0"/>
    <x v="0"/>
    <s v="Os prejuízos ou dificuldades são impactantes"/>
    <s v="NOBREAK"/>
    <s v="NOBREAK"/>
    <s v="Não"/>
    <s v="Não"/>
    <s v="CASO OCORRA ALGUM PROBLEMA DURANTE A MANUTENÇÃO AS ATIVIDADES SERÃO SUSPENSAS IMEDIATAMENTE"/>
    <s v="Não"/>
    <s v="Não"/>
    <x v="0"/>
    <m/>
    <x v="15"/>
  </r>
  <r>
    <n v="19922"/>
    <s v="Manutenção preventiva trimestral sem desligamento em 3 (Três) no-breaks Siemens com a empresa Powercom e 2 (Dois) no-breaks APC com a empresa APC by Schneider Electric que atende as operações do T,1º,4º e 7º andar."/>
    <x v="0"/>
    <d v="2016-04-11T12:41:00"/>
    <x v="3"/>
    <s v="Encerramento"/>
    <s v="SÁVIO MEIRELES CASTRO"/>
    <s v="SÁVIO MEIRELES CASTRO"/>
    <x v="3"/>
    <x v="1"/>
    <s v="Encerrada"/>
    <d v="2016-04-16T22:00:00"/>
    <d v="2016-04-17T06:00:00"/>
    <d v="2016-04-17T06:00:00"/>
    <x v="0"/>
    <x v="0"/>
    <s v="Pouco impacto"/>
    <s v="--"/>
    <s v="--"/>
    <s v="Não"/>
    <s v="Não"/>
    <s v="Se houver algum imprevisto, o serviço será cancelado imediatamente."/>
    <s v="Não"/>
    <s v="Não"/>
    <x v="0"/>
    <n v="0"/>
    <x v="13"/>
  </r>
  <r>
    <n v="19924"/>
    <s v="Release URA USSD OI-14635 Melhoria Informe de pagamento - USSD Pós"/>
    <x v="9"/>
    <d v="2016-04-11T14:58:09"/>
    <x v="3"/>
    <s v="Encerramento"/>
    <s v="PRISCILA LUCIA PEREIRA DE ALBUQUERQUE GALARANI"/>
    <s v="PRISCILA LUCIA PEREIRA DE ALBUQUERQUE GALARANI"/>
    <x v="1"/>
    <x v="1"/>
    <s v="Encerrada"/>
    <d v="2016-04-11T22:00:00"/>
    <d v="2016-04-12T03:00:00"/>
    <d v="2016-04-12T09:00:00"/>
    <x v="3"/>
    <x v="0"/>
    <s v="Sem impacto"/>
    <s v="APPCTX27RJOMK"/>
    <s v="APPCTX27RJOMK"/>
    <s v="Não"/>
    <s v="Não"/>
    <s v="Realizar o UNDEPLOY da versão nova através do JBoss Refazer os Testes Técnicos e Funcionais."/>
    <s v="Não"/>
    <s v="Não"/>
    <x v="0"/>
    <m/>
    <x v="1"/>
  </r>
  <r>
    <n v="19925"/>
    <s v="Ativação da abordagem de contingência do link MPLS da VIVO no DC Alphaville."/>
    <x v="14"/>
    <d v="2016-04-11T15:21:34"/>
    <x v="3"/>
    <s v="Encerramento"/>
    <s v="THIAGO SILVA FERREIRA"/>
    <s v="MÁRCIO JOSÉ DA SILVA,THIAGO SILVA FERREIRA"/>
    <x v="0"/>
    <x v="0"/>
    <s v="Encerrada"/>
    <d v="2016-04-12T22:00:00"/>
    <d v="2016-04-13T02:00:00"/>
    <d v="2016-04-13T03:00:00"/>
    <x v="1"/>
    <x v="2"/>
    <s v="Muito impacto"/>
    <s v="SPOPD-41911666/SPOVM-41912429"/>
    <s v="--"/>
    <s v="Não"/>
    <s v="Não"/>
    <s v="Derrubar a segunda abordagem da VIVO no DC Alphaville."/>
    <s v="Não"/>
    <s v="Não"/>
    <x v="0"/>
    <m/>
    <x v="0"/>
  </r>
  <r>
    <n v="19926"/>
    <s v="Manutenção preventiva de Gerador com o objetivo de manter a confiabilidade elétrica do Site, como também a conservação e desempenho do equipamento."/>
    <x v="0"/>
    <d v="2016-04-11T15:22:19"/>
    <x v="3"/>
    <s v="Encerramento"/>
    <s v="GENALDO GOMES FERREIRA"/>
    <s v="GENALDO GOMES FERREIRA"/>
    <x v="14"/>
    <x v="10"/>
    <s v="Encerrada"/>
    <d v="2016-04-24T00:01:00"/>
    <d v="2016-04-24T06:00:00"/>
    <d v="2016-04-24T07:00:00"/>
    <x v="0"/>
    <x v="0"/>
    <s v="Impacto"/>
    <s v="--"/>
    <s v="Gerador"/>
    <s v="Sim"/>
    <s v="Não"/>
    <s v="Havendo necessidade de acionamento dos equipamentos os mesmos serão ativados."/>
    <s v="Não"/>
    <s v="Não"/>
    <x v="0"/>
    <m/>
    <x v="9"/>
  </r>
  <r>
    <n v="19928"/>
    <s v="Realizar a construção de gradil metálico para isolamento de área de segurança da subestação 69kV do site Santo Amaro."/>
    <x v="80"/>
    <d v="2016-04-11T16:19:43"/>
    <x v="3"/>
    <s v="Encerramento"/>
    <s v="GÊNESIS HENRIQUE DA SILVA"/>
    <s v="GÊNESIS HENRIQUE DA SILVA"/>
    <x v="29"/>
    <x v="31"/>
    <s v="Encerrada"/>
    <d v="2016-05-15T08:00:00"/>
    <d v="2016-06-05T17:00:00"/>
    <d v="2016-06-05T18:00:00"/>
    <x v="0"/>
    <x v="0"/>
    <s v="Impacto"/>
    <s v="--"/>
    <s v="--"/>
    <s v="Não"/>
    <s v="Não"/>
    <s v="O Plano de Retorno,se for necessário,será no dia 15/05/16,se houver algum imprevisto, no momento das manobras descritas no Plano de Ação,retornaremos imediatamente para a Concessionária. O Coordenador de infra e técnico realizarão as manobras de retorno presentes no plano de ação anexo a GMUD. Atividades x Data/Tempo - GMUD 19928 – Reconstrução do Gradil da Subestação 69KV de 15/05/16  até  05/06/16 - Site Santo Amaro     Domingo, 15/05/16 das 08:00h ás 17:00h   INSTALAÇÃO DE TAPUME PARA ISOLAMENTO DE ÁREA A SER TRABALHADA;   Segunda-feira, 16/05/16 das 08:00h ás 17:00h   REMOÇÃO DE TODO GRADIL DANIFICADO;   De Terça-feira, 17/05/16 das 08:00h  até  Sábado,21/05/16 ás 17:00h   CONSTRUÇÃO DO GRADIL DANIFICADO EM TODO PERÍMETRO DA SUBESTAÇÃO, HAVENDO REUTILIZAÇÃO/READEQUAÇÃO ESTRUTURAL PAINÉIS METÁLICOS;   De Segunda-feira, 23/05/16 das 08:00h até  Sábado,28/05/16 ás 17:00h   CONSTRUÇÃO DE PAREDE EM ELEMENTO VAZADO, HAVENDO AMARRAÇÃO E CONTENÇÃO DO SISTEMA EM COLUNAS E VIGAS DE CONCRETO ARMADO ESTRUTURAL;   De Segunda-feira, 30/05/16 das 08:00h até Quinta-feira,02/06/16 ás 17:00h   CONSTRUÇÃO DE PORTÃO METÁLICO COM TELA;   De Sexta-feira , 03/06/16 das 08:00h até  Sábado,04/06/16 ás 17:00h PINTURA EM ESMALTE SINTÉTICO DE GRADIL METÁLICO EXISTENTE (subestação 69kV)   Domingo, 05/06/16 das 08:00h ás 17:00h LIMPEZA E REMOÇÃO DE ENTULHOS"/>
    <s v="Não"/>
    <s v="Não"/>
    <x v="0"/>
    <m/>
    <x v="24"/>
  </r>
  <r>
    <n v="19929"/>
    <s v="Migrar Servidores DAC A Ceara para circuito Elétrico ligado ao PDU (Nobreaks)."/>
    <x v="0"/>
    <d v="2016-04-11T18:17:42"/>
    <x v="3"/>
    <s v="Encerramento"/>
    <s v="GLAUDIENE PAULA FREIRE DE ANDRADE"/>
    <s v="EDERSON DA SILVA ROCHA,JOÃO PEREIRA DE SOUZA JUNIOR"/>
    <x v="3"/>
    <x v="1"/>
    <s v="Encerrada"/>
    <d v="2016-04-16T23:00:00"/>
    <d v="2016-04-17T03:00:00"/>
    <d v="2016-04-17T05:00:00"/>
    <x v="0"/>
    <x v="1"/>
    <s v="Pouco impacto"/>
    <s v="DAC A CM1; DAC A CM2; DAC C CM1; DAC C CM2"/>
    <s v="DAC A CM1; DAC A CM2; DAC C CM1; DAC C CM2"/>
    <s v="Sim"/>
    <s v="Não"/>
    <s v="DAC A possui dois servidores ativos, se nao subir o principal o de standby assumira automaticamente. Nao haverá retorno para o circuito eletrico ligado diretamente na rede publica."/>
    <s v="Não"/>
    <s v="Não"/>
    <x v="0"/>
    <s v="N/A"/>
    <x v="17"/>
  </r>
  <r>
    <n v="19930"/>
    <s v="Upgrade de versão SWITCH CORE site João Pessoa. 10.183.0.2 - SWTCORE002JPASACPD 10.183.0.3 - SWTCORE003JPASACPD"/>
    <x v="0"/>
    <d v="2016-04-11T19:24:29"/>
    <x v="3"/>
    <s v="Encerramento"/>
    <s v="ERIAN DO NASCIMENTO ESTRAEICH"/>
    <s v="ERIAN DO NASCIMENTO ESTRAEICH"/>
    <x v="35"/>
    <x v="49"/>
    <s v="Encerrada"/>
    <d v="2016-04-11T23:45:00"/>
    <d v="2016-04-12T05:00:00"/>
    <d v="2016-04-12T05:00:00"/>
    <x v="1"/>
    <x v="1"/>
    <s v="Muito impacto"/>
    <s v="SWTCORE002JPASACPD; SWTCORE003JPASACPD"/>
    <s v="SWTCORE002JPASACPD; SWTCORE003JPASACPD"/>
    <s v="Sim"/>
    <s v="Não"/>
    <s v="Executar rollback da versão instalada."/>
    <s v="Não"/>
    <s v="Não"/>
    <x v="2"/>
    <s v="CTXJPASA-7015"/>
    <x v="25"/>
  </r>
  <r>
    <n v="19931"/>
    <s v="Atualização de Service Pack 3 em Servidores de Banco com SQL Server 2008"/>
    <x v="81"/>
    <d v="2016-04-12T09:23:44"/>
    <x v="3"/>
    <s v="Encerramento"/>
    <s v="CLAYTON ROBERTO LEITE"/>
    <s v="ROBERTO MAGALHÃES DE OLIVEIRA"/>
    <x v="5"/>
    <x v="0"/>
    <s v="Encerrada"/>
    <d v="2016-04-27T00:00:00"/>
    <d v="2016-04-27T07:10:00"/>
    <d v="2016-04-27T07:10:00"/>
    <x v="0"/>
    <x v="0"/>
    <s v="Pouco impacto"/>
    <s v="DBSCTX145SPODB; DBSCTX251SPODB; DEVCTX102SPODB; HOMCTX102SPODB"/>
    <s v="DBSCTX145SPODB; DBSCTX251SPODB; DEVCTX102SPODB; HOMCTX102SPODB"/>
    <s v="Sim"/>
    <s v="Não"/>
    <s v="Desinstalar Service Pack 3 do SQL Server."/>
    <s v="Não"/>
    <s v="Não"/>
    <x v="0"/>
    <s v="CTXSPOAL-109464 - Validação do Backup"/>
    <x v="0"/>
  </r>
  <r>
    <n v="19932"/>
    <s v="Alterar o arquivo PAC para funcionamento do site M4U."/>
    <x v="9"/>
    <d v="2016-04-12T10:02:16"/>
    <x v="3"/>
    <s v="Encerramento"/>
    <s v="FELIPE LINS DA SILVA"/>
    <s v="FELIPE LINS DA SILVA,JOAO BATISTA DE LIMA NETO"/>
    <x v="29"/>
    <x v="1"/>
    <s v="Encerrada"/>
    <d v="2016-04-12T13:00:00"/>
    <d v="2016-04-12T14:00:00"/>
    <d v="2016-04-12T15:00:00"/>
    <x v="3"/>
    <x v="1"/>
    <s v="Sem impacto"/>
    <s v="--"/>
    <m/>
    <s v="Não"/>
    <s v="Não"/>
    <s v="Realizar cópia do arquivo antes de alterá-lo, caso aconteça algum problema, o arquivo original é restaurado."/>
    <s v="Não"/>
    <s v="Não"/>
    <x v="0"/>
    <s v="CTXRECSA-475872"/>
    <x v="5"/>
  </r>
  <r>
    <n v="19933"/>
    <s v="Manter a confiabilidade do sistema de energia/Manutenção Preventiva Trimestral No Breaks de Operação e CPD"/>
    <x v="0"/>
    <d v="2016-04-12T10:17:35"/>
    <x v="3"/>
    <s v="Encerramento"/>
    <s v="VANDERLEI CASTRO SOUZA LIMA"/>
    <s v="VANDERLEI CASTRO SOUZA LIMA"/>
    <x v="18"/>
    <x v="15"/>
    <s v="Encerrada"/>
    <d v="2016-04-22T22:00:00"/>
    <d v="2016-04-23T03:00:00"/>
    <d v="2016-04-23T03:30:00"/>
    <x v="0"/>
    <x v="0"/>
    <s v="Sem impacto"/>
    <s v="--"/>
    <s v="No Break"/>
    <s v="Não"/>
    <s v="Não"/>
    <s v="Ligar No Break; Transferir as cargas para o No Break; Desligar os geradores; Vistoria final em todos os equipamentos após o término; Vistoria no CPD;"/>
    <s v="Não"/>
    <s v="Sim"/>
    <x v="0"/>
    <m/>
    <x v="10"/>
  </r>
  <r>
    <n v="19934"/>
    <s v="Melhoria no ambiente de autenticação AD do site RJOMK, substituindo o DC virtual SDCCTX03RJOMK pelo servidor físico SDCCTX06RJOMK."/>
    <x v="0"/>
    <d v="2016-04-12T10:37:12"/>
    <x v="3"/>
    <s v="Encerramento"/>
    <s v="DAVID LOPES DA COSTA CHAVES"/>
    <s v="DAVID LOPES DA COSTA CHAVES"/>
    <x v="1"/>
    <x v="0"/>
    <s v="Encerrada"/>
    <d v="2016-04-27T22:00:00"/>
    <d v="2016-04-28T02:00:00"/>
    <d v="2016-04-28T03:00:00"/>
    <x v="0"/>
    <x v="1"/>
    <s v="Impacto"/>
    <s v="SDCCTX03RJOMK; SDCCTX06RJOMK"/>
    <s v="SDCCTX03RJOMK; SDCCTX06RJOMK"/>
    <s v="Sim"/>
    <s v="Sim"/>
    <s v="1) trocar o IP do servidor SDCCTX06RJOMK para 10.9.3.8 2) Ligar o servidor SDCCTX03RJOMK 3) Promover o servidor novamente a controlador de domínio 4) Executar testes de replicação"/>
    <s v="Não"/>
    <s v="Não"/>
    <x v="0"/>
    <n v="0"/>
    <x v="0"/>
  </r>
  <r>
    <n v="19935"/>
    <s v="Desativação do Link metro entre os Sites Prado 2 e Prado 1 - designação BHE-5692675"/>
    <x v="82"/>
    <d v="2016-04-12T10:42:59"/>
    <x v="3"/>
    <s v="Encerramento"/>
    <s v="LUIZ WASHINGTON GIANEZZI"/>
    <s v="MARCUS VINÍCIUS RUSTIGUER"/>
    <x v="13"/>
    <x v="7"/>
    <s v="Encerrada"/>
    <d v="2016-04-18T22:00:00"/>
    <d v="2016-04-19T02:00:00"/>
    <d v="2016-04-19T04:00:00"/>
    <x v="0"/>
    <x v="2"/>
    <s v="Sem impacto"/>
    <s v="SWTCOR002BHECPD; SWTCOR007BHECPD; SWTCORE02BHZRICPD; SWTCORE03BHZRICPD; SWTCORP008BHECPD; SWTCORP028BHECPD; SWTCORP27BHZRICPD; SWTCORP28BHZRICPD"/>
    <s v="SWTCOR002BHECPD; SWTCOR007BHECPD; SWTCORE02BHZRICPD; SWTCORE03BHZRICPD; SWTCORP008BHECPD; SWTCORP028BHECPD; SWTCORP27BHZRICPD; SWTCORP28BHZRICPD"/>
    <s v="Não"/>
    <s v="Não"/>
    <s v="Executar os comandos de configuração informados no documento em anexo."/>
    <s v="Não"/>
    <s v="Não"/>
    <x v="0"/>
    <m/>
    <x v="0"/>
  </r>
  <r>
    <n v="19936"/>
    <s v="Desativação do Link metro entre os Sites Prado 1 e Niterói"/>
    <x v="83"/>
    <d v="2016-04-12T11:47:33"/>
    <x v="3"/>
    <s v="Encerramento"/>
    <s v="LUIZ WASHINGTON GIANEZZI"/>
    <s v="MARCUS VINÍCIUS RUSTIGUER"/>
    <x v="22"/>
    <x v="1"/>
    <s v="Encerrada"/>
    <d v="2016-04-19T22:00:00"/>
    <d v="2016-04-20T02:00:00"/>
    <d v="2016-04-20T04:00:00"/>
    <x v="0"/>
    <x v="2"/>
    <s v="Sem impacto"/>
    <s v="SWTCOR002BHECPD; SWTCOR007BHECPD; SWTMETRO5NITSPCPD; SWTMETRO6NITSPCPD"/>
    <s v="SWTCOR002BHECPD; SWTCOR007BHECPD; SWTMETRO5NITSPCPD; SWTMETRO6NITSPCPD"/>
    <s v="Não"/>
    <s v="Não"/>
    <s v="Implementar as configurações nos switches informadas no documento em anexo - tópico plano de retorno"/>
    <s v="Não"/>
    <s v="Não"/>
    <x v="2"/>
    <m/>
    <x v="2"/>
  </r>
  <r>
    <n v="19937"/>
    <s v="Implementar novas tabulações para operação."/>
    <x v="3"/>
    <d v="2016-04-12T11:54:00"/>
    <x v="3"/>
    <s v="Encerramento"/>
    <s v="MARCIO ROBERTO ALVES NAKAYA"/>
    <s v="MARCIO ROBERTO ALVES NAKAYA"/>
    <x v="19"/>
    <x v="16"/>
    <s v="Encerrada"/>
    <d v="2016-04-30T13:30:00"/>
    <d v="2016-04-30T16:30:00"/>
    <d v="2016-04-30T17:30:00"/>
    <x v="0"/>
    <x v="0"/>
    <s v="Impacto"/>
    <s v="DBSCTX47SPOLP"/>
    <s v="DBSCTX47SPOLP"/>
    <s v="Sim"/>
    <s v="Não"/>
    <s v="1 - voltar backup dos objetos de banco de dados."/>
    <m/>
    <m/>
    <x v="1"/>
    <s v="N/A"/>
    <x v="1"/>
  </r>
  <r>
    <n v="19938"/>
    <s v="Correção problema de clientes que não são carregados ou que são carregados sem telefone no arquivo .raw."/>
    <x v="3"/>
    <d v="2016-04-12T11:55:32"/>
    <x v="3"/>
    <s v="Encerramento"/>
    <s v="MARCIO ROBERTO ALVES NAKAYA"/>
    <s v="MARCIO ROBERTO ALVES NAKAYA"/>
    <x v="24"/>
    <x v="26"/>
    <s v="Encerrada"/>
    <d v="2016-04-20T00:01:00"/>
    <d v="2016-04-20T04:00:00"/>
    <d v="2016-04-20T05:00:00"/>
    <x v="0"/>
    <x v="0"/>
    <s v="Impacto"/>
    <s v="dbsctx12spobf"/>
    <s v="dbsctx12spobf"/>
    <s v="Não"/>
    <s v="Não"/>
    <s v="Retornar backup das procedures."/>
    <s v="Sim"/>
    <s v="Não"/>
    <x v="0"/>
    <s v="CTXSPOBF-139684"/>
    <x v="2"/>
  </r>
  <r>
    <n v="19939"/>
    <s v="Implementar melhoria de pesquisar cliente dentro do CRM utilizando campo chave."/>
    <x v="3"/>
    <d v="2016-04-12T11:57:55"/>
    <x v="3"/>
    <s v="Encerramento"/>
    <s v="MARCIO ROBERTO ALVES NAKAYA"/>
    <s v="MARCIO ROBERTO ALVES NAKAYA"/>
    <x v="19"/>
    <x v="16"/>
    <s v="Encerrada"/>
    <d v="2016-05-27T18:00:00"/>
    <d v="2016-05-27T20:00:00"/>
    <d v="2016-05-27T21:00:00"/>
    <x v="0"/>
    <x v="0"/>
    <s v="Impacto"/>
    <s v="appctx47spolp; DBSCTX47SPOLP"/>
    <s v="appctx47spolp; DBSCTX47SPOLP"/>
    <s v="Sim"/>
    <s v="Não"/>
    <s v="Retirar os novos arquivos de configuração aplicados e deletar novos objetos que foram criados no banco de dados."/>
    <s v="Não"/>
    <s v="Não"/>
    <x v="0"/>
    <s v="N/A"/>
    <x v="1"/>
  </r>
  <r>
    <n v="19940"/>
    <s v="Implementar melhoria de pesquisar cliente dentro do CRM utilizando campo chave."/>
    <x v="3"/>
    <d v="2016-04-12T12:00:03"/>
    <x v="3"/>
    <s v="Encerramento"/>
    <s v="MARCIO ROBERTO ALVES NAKAYA"/>
    <s v="MARCIO ROBERTO ALVES NAKAYA"/>
    <x v="19"/>
    <x v="16"/>
    <s v="Encerrada"/>
    <d v="2016-05-09T18:00:00"/>
    <d v="2016-05-09T20:00:00"/>
    <d v="2016-05-09T21:00:00"/>
    <x v="0"/>
    <x v="0"/>
    <s v="Impacto"/>
    <s v="appctx47spolp; DBSCTX47SPOLP"/>
    <s v="appctx47spolp; DBSCTX47SPOLP"/>
    <s v="Sim"/>
    <s v="Não"/>
    <s v="Retirar os novos arquivos de configuração aplicados e deletar novos objetos que foram criados no banco de dados. Objetos de banco de dados : SPR_CRM_QUERY_MAILING APPLICATION_DISCAGEM_EXTERNA RETIRAR ARQUIVOS DE CONFIGURAÇÃO QUE ESTÃO NO DIRETORIO: \\10.51.0.202\c$\inetpub\wwwroot\Ayty\AppCtxCielo\AYTYCRMCieloDynamicWCF\v6.5 \\10.51.0.202\Contax\Aytycrm\AppCtxCielo\AYTYCRMCieloDynamicFrontEndDesktop\Application Files\v6.5"/>
    <m/>
    <m/>
    <x v="1"/>
    <s v="N/A"/>
    <x v="1"/>
  </r>
  <r>
    <n v="19941"/>
    <s v="Implementar pacote com correções enviadas pelo fornecedor para processo de enriquecimento."/>
    <x v="3"/>
    <d v="2016-04-12T12:01:50"/>
    <x v="3"/>
    <s v="Encerramento"/>
    <s v="MARCIO ROBERTO ALVES NAKAYA"/>
    <s v="MARCIO ROBERTO ALVES NAKAYA"/>
    <x v="19"/>
    <x v="16"/>
    <s v="Encerrada"/>
    <d v="2016-04-27T00:01:00"/>
    <d v="2016-04-27T03:00:00"/>
    <d v="2016-04-27T04:00:00"/>
    <x v="0"/>
    <x v="1"/>
    <s v="Impacto"/>
    <s v="DBSCTX47SPOLP"/>
    <s v="DBSCTX47SPOLP"/>
    <s v="Não"/>
    <s v="Não"/>
    <s v="1 - executar script de rollback para desfazer alterações."/>
    <s v="Não"/>
    <s v="Não"/>
    <x v="0"/>
    <s v="N/A"/>
    <x v="1"/>
  </r>
  <r>
    <n v="19943"/>
    <s v="Manutenção preventiva no gerador"/>
    <x v="0"/>
    <d v="2016-04-12T15:37:04"/>
    <x v="3"/>
    <s v="Encerramento"/>
    <s v="LEVI CARDOSO"/>
    <s v="LEVI CARDOSO"/>
    <x v="9"/>
    <x v="19"/>
    <s v="Encerrada"/>
    <d v="2016-04-29T22:30:00"/>
    <d v="2016-04-29T23:30:00"/>
    <d v="2016-04-30T05:00:00"/>
    <x v="0"/>
    <x v="0"/>
    <s v="Impacto"/>
    <s v="--"/>
    <s v="Gerador"/>
    <s v="Não"/>
    <s v="Não"/>
    <s v="Caso no planejamento inicial do trabalho seja detectado alguma dificuldade o trabalho será cancelado antes do inicio do mesmo"/>
    <s v="Não"/>
    <s v="Não"/>
    <x v="0"/>
    <m/>
    <x v="12"/>
  </r>
  <r>
    <n v="19945"/>
    <s v="Necessário efetuar Donwgrade no link de dados da Embratel no Data Center Alegria"/>
    <x v="51"/>
    <d v="2016-04-12T16:12:14"/>
    <x v="3"/>
    <s v="Encerramento"/>
    <s v="JOSIMAR LOPES DE SANTANA"/>
    <s v="JOSIMAR LOPES DE SANTANA"/>
    <x v="10"/>
    <x v="5"/>
    <s v="Encerrada"/>
    <d v="2016-04-19T22:00:00"/>
    <d v="2016-04-19T23:59:00"/>
    <d v="2016-04-19T23:59:00"/>
    <x v="0"/>
    <x v="2"/>
    <s v="Sem impacto"/>
    <m/>
    <m/>
    <s v="Não"/>
    <s v="Não"/>
    <s v="Voltar o link para operar em 300MB"/>
    <s v="Não"/>
    <s v="Não"/>
    <x v="0"/>
    <s v="N/A"/>
    <x v="19"/>
  </r>
  <r>
    <n v="19946"/>
    <s v="Substituir Core 01 com defeito, no Site João Pessoa."/>
    <x v="0"/>
    <d v="2016-04-12T16:56:27"/>
    <x v="3"/>
    <s v="Encerramento"/>
    <s v="CLAUDEMIR BEZERRA VICTOR DA SILVA"/>
    <s v="CLAUDEMIR BEZERRA VICTOR DA SILVA,ERIAN DO NASCIMENTO ESTRAEICH,LUCAS ALBERTO DE MORAES,WESLEY DE OLIVEIRA SANTANA"/>
    <x v="35"/>
    <x v="49"/>
    <s v="Encerrada"/>
    <d v="2016-04-16T23:45:00"/>
    <d v="2016-04-17T05:00:00"/>
    <d v="2016-04-17T05:30:00"/>
    <x v="1"/>
    <x v="1"/>
    <s v="Muito impacto"/>
    <s v="SWTCORE002JPASACPD; SWTCORE003JPASACPD"/>
    <s v="SWTCORE002JPASACPD"/>
    <s v="Não"/>
    <s v="Não"/>
    <s v="- Deixar o novo core desligado em caso de falha."/>
    <s v="Não"/>
    <s v="Não"/>
    <x v="0"/>
    <s v="CTXJPASA-7015"/>
    <x v="25"/>
  </r>
  <r>
    <n v="19948"/>
    <s v="Preventiva Energ sem carga do gerador Stemac 305 KVA - Site Alameda Santos."/>
    <x v="0"/>
    <d v="2016-04-12T17:49:15"/>
    <x v="3"/>
    <s v="Encerramento"/>
    <s v="LUIS FERNANDO COSTA NEVES"/>
    <s v="LUIS FERNANDO COSTA NEVES"/>
    <x v="6"/>
    <x v="7"/>
    <s v="Encerrada"/>
    <d v="2016-04-27T20:00:00"/>
    <d v="2016-04-28T00:00:00"/>
    <d v="2016-04-28T00:30: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0"/>
  </r>
  <r>
    <n v="19949"/>
    <s v="Garantir a total disponibilidade e confiabilidade do sistema de contingência de energia estabilizada do Site./Manutenção preventiva com desligamento em 1 (Um) nobreaks Siemens Modelo S52100 Nº Serie AJ80845500006 que atende as operações do 2º andar o mesmo esta apresentando constantemente alarmes de falha da rede (Alarme nº2)/ operando via bateria (Alarme nº9),onde o mesmo é o único a apresentar tal alarme em uma eventual oscilação da rede, é necessário realizar uma manutenção preventiva com desligamento para uma revisão geral dos componentes deste equipamento."/>
    <x v="0"/>
    <d v="2016-04-12T18:09:03"/>
    <x v="3"/>
    <s v="Encerramento"/>
    <s v="SÁVIO MEIRELES CASTRO"/>
    <s v="SÁVIO MEIRELES CASTRO"/>
    <x v="3"/>
    <x v="1"/>
    <s v="Encerrada"/>
    <d v="2016-04-16T22:00:00"/>
    <d v="2016-04-17T06:00:00"/>
    <d v="2016-04-17T06:00:00"/>
    <x v="1"/>
    <x v="1"/>
    <s v="Muito impacto"/>
    <s v="--"/>
    <s v="--"/>
    <s v="Não"/>
    <s v="Não"/>
    <s v="Se houver algum imprevisto, o serviço será cancelado imediatamente e realizado todo o procedimento para restabelecer o sistema."/>
    <s v="Não"/>
    <s v="Não"/>
    <x v="0"/>
    <n v="0"/>
    <x v="17"/>
  </r>
  <r>
    <n v="19950"/>
    <s v="Release URA USSD OI-14281 Incentivo Oi Indica - Oferta Maes OI-14589 Atualização de URL Query intentiva - Oi Pontos"/>
    <x v="9"/>
    <d v="2016-04-13T11:23:57"/>
    <x v="3"/>
    <s v="Encerramento"/>
    <s v="PRISCILA LUCIA PEREIRA DE ALBUQUERQUE GALARANI"/>
    <s v="PRISCILA LUCIA PEREIRA DE ALBUQUERQUE GALARANI"/>
    <x v="1"/>
    <x v="1"/>
    <s v="Encerrada"/>
    <d v="2016-04-13T22:00:00"/>
    <d v="2016-04-14T03:00:00"/>
    <d v="2016-04-14T09:00:00"/>
    <x v="3"/>
    <x v="0"/>
    <s v="Sem impacto"/>
    <s v="APPCTX27RJOMK; APPCTX28RJOMK"/>
    <s v="APPCTX27RJOMK; APPCTX28RJOMK"/>
    <s v="Não"/>
    <s v="Não"/>
    <s v="Realizar o UNDEPLOY da versão nova através do JBoss Refazer os Testes Técnicos e Funcionais."/>
    <s v="Não"/>
    <s v="Não"/>
    <x v="0"/>
    <m/>
    <x v="1"/>
  </r>
  <r>
    <n v="19951"/>
    <s v="Melhoria na monitoria da plataforma de gravação / Implantar novas funcionalidades de monitoração por ramal no Painel"/>
    <x v="63"/>
    <d v="2016-04-13T11:45:46"/>
    <x v="3"/>
    <s v="Encerramento"/>
    <s v="FABIANA CARLA DE SOUZA DIAS"/>
    <s v="MARCELO AIRTON YAMASHITA"/>
    <x v="6"/>
    <x v="1"/>
    <s v="Encerrada"/>
    <d v="2016-04-18T17:30:00"/>
    <d v="2016-04-18T20:40:00"/>
    <d v="2016-04-18T21:10:00"/>
    <x v="0"/>
    <x v="0"/>
    <s v="Sem impacto"/>
    <s v="APPCTX05AZPRD"/>
    <s v="APPCTX05AZPRD"/>
    <s v="Não"/>
    <s v="Não"/>
    <s v="1 - Parar o serviço do JBOSS do servidor 2 - Acessar a pasta F:\Todo\jboss-eap-6.2\standalone\deployments 2.1 - Apagar o arquivo atual da aplicação painel.ear 2.2 - Renomear a aplicação painel_DDMMYYYY.ear de backup feita no passo de Execução, para painel.ear 3 - Iniciar novamente o serviço do JBOSS do servidor 4 - Executar os testes tecnicos e testes funcionais"/>
    <s v="Não"/>
    <s v="Não"/>
    <x v="0"/>
    <m/>
    <x v="1"/>
  </r>
  <r>
    <n v="19952"/>
    <s v="Atender projeto da Oi de Controle de Chamadas / Migração logica de trafego para o SBC da Oi no POP SP"/>
    <x v="33"/>
    <d v="2016-04-13T11:52:24"/>
    <x v="3"/>
    <s v="Encerramento"/>
    <s v="FABIANA CARLA DE SOUZA DIAS"/>
    <s v="DANIEL SOUZA PIMENTEL"/>
    <x v="31"/>
    <x v="1"/>
    <s v="Encerrada"/>
    <d v="2016-04-18T15:00:00"/>
    <d v="2016-04-18T18:00:00"/>
    <d v="2016-04-18T19:00:00"/>
    <x v="0"/>
    <x v="2"/>
    <s v="Pouco impacto"/>
    <m/>
    <s v="--"/>
    <s v="Não"/>
    <s v="Não"/>
    <s v="Mudança Logica. Voltar o trafego das chamadas para o agent encontra-se em produção atualmente."/>
    <s v="Não"/>
    <s v="Não"/>
    <x v="0"/>
    <m/>
    <x v="1"/>
  </r>
  <r>
    <n v="19953"/>
    <s v="Implantação de atualizações de promoções na URA *144 Pré Pago."/>
    <x v="84"/>
    <d v="2016-04-13T13:09:32"/>
    <x v="3"/>
    <s v="Encerramento"/>
    <s v="MARCELO GALDINO DA SILVA"/>
    <s v="WILLIAN CAMPBELL VIANA"/>
    <x v="7"/>
    <x v="1"/>
    <s v="Encerrada"/>
    <d v="2016-04-27T22:00:00"/>
    <d v="2016-04-28T12:00:00"/>
    <d v="2016-04-28T18:00:00"/>
    <x v="0"/>
    <x v="0"/>
    <s v="Sem impacto"/>
    <s v="URACTX04BSBPA; URACTX05BSBPA; URACTX04CGRPA; URACTX05CGR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4896; OI-14872; OI-14402;"/>
    <x v="5"/>
  </r>
  <r>
    <n v="19956"/>
    <s v="Atualização da aplicação Televendas. A release 2016/04/13 terá como foco principal as seguintes mudanças abaixo: ? FUO-727 Reestruturação do Inicio Televendas"/>
    <x v="9"/>
    <d v="2016-04-13T16:49:42"/>
    <x v="3"/>
    <s v="Encerramento"/>
    <s v="DANIEL SCHONWANDT MENDES FERREIRA"/>
    <s v="DANIEL SCHONWANDT MENDES FERREIRA"/>
    <x v="7"/>
    <x v="1"/>
    <s v="Encerrada"/>
    <d v="2016-04-13T22:00:00"/>
    <d v="2016-04-14T12:00:00"/>
    <d v="2016-04-14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19957"/>
    <s v="Criar filtro especifico para operação R1 Escob com universo de clientes que não possuem endereços validos para postagem via correios."/>
    <x v="0"/>
    <d v="2016-04-13T16:50:29"/>
    <x v="3"/>
    <s v="Encerramento"/>
    <s v="GEOVANI JOSE DE RESENDE MOREIRA"/>
    <s v="GEOVANI JOSE DE RESENDE MOREIRA"/>
    <x v="2"/>
    <x v="1"/>
    <s v="Encerrada"/>
    <d v="2016-05-09T22:00:00"/>
    <d v="2016-05-09T22:40:00"/>
    <d v="2016-05-09T23:00:00"/>
    <x v="0"/>
    <x v="0"/>
    <s v="Pouco impacto"/>
    <s v="--"/>
    <s v="10.171.2.76"/>
    <s v="Não"/>
    <s v="Não"/>
    <s v="1 - conectar no servidor 10.171.2.76 pelo query analyzer 2 - executar SQL ABAIXO: drop table [DataExchange_FilterCriteriaOiClientesEnderecosInvalidosPostagem] drop procedure [GenerateFilterCriteriaOiClientesEnderecosInvalidosPostagem]"/>
    <m/>
    <m/>
    <x v="1"/>
    <m/>
    <x v="2"/>
  </r>
  <r>
    <n v="19958"/>
    <s v="Remoção do Antivírus Symantec e Instalação do McAfee."/>
    <x v="44"/>
    <d v="2016-04-13T17:38:59"/>
    <x v="3"/>
    <s v="Encerramento"/>
    <s v="FELIPE SANTOS BARBOSA DELGADO"/>
    <s v="JOSE GERALDO DA SILVA DOS SANTOS"/>
    <x v="5"/>
    <x v="0"/>
    <s v="Encerrada"/>
    <d v="2016-04-18T22:00:00"/>
    <d v="2016-04-22T07:00:00"/>
    <d v="2016-04-22T07:30:00"/>
    <x v="0"/>
    <x v="1"/>
    <s v="Impacto"/>
    <s v="APPCTX01RJONT; APPCTX05RJOMK; APPCTX05RJONT; APPCTX07RJOMK; APPCTX11NITSP; APPCTX12NITSP; APPCTX12RJONT; APPCTX13RJOMK; APPCTX15NITSP; appctx16rjont; appctx17rjont; appctx18rjont; APPCTX19RJOMK; APPCTX19RJONT; APPCTX20RJOMK; APPCTX21RJOMK; APPCTX222RJOMK; APPCTX90RJOMK; DBSABN02RECAU; dbsctx01recau; dbsctx02forbm; DBSCTX03RECSA; DBSCTX04RECSA; dbsctx07forbm; DBSCTX08FORBM; DBSCTX13RJOPF; DBSCTX36RJORP; DBSCTX47FORBM; DBSORB04RECSA; DBSRED01RECSA; GRVBOA01RJOPF; GRVCTX104SPODA; GRVCTX105SPODA; GRVCTX106SPODA; GRVCTX107SPODA; GRVCTX108SPODA; GRVCTX109SPODA; GRVCTX111SPODA; GRVCTX113SPODA; GRVCTX115SPODA; GRVOIM07SPOAL; HMLCRS01SPOBF; HMLCTX11SPOLP; hmlctx15spolp; HMLCTX214SPODB; HMLCTX87RJORP; HMLOIM01SPOLP; MONCTX02RJOPF; URABV04SPOLP; URACIE01SPOLP; URACIE02SPOLP; URACTX32RJOMK; URACTX33RJOMK"/>
    <s v="APPCTX01RJONT; APPCTX05RJOMK; APPCTX05RJONT; APPCTX07RJOMK; APPCTX11NITSP; APPCTX12NITSP; APPCTX12RJONT; APPCTX13RJOMK; APPCTX15NITSP; appctx16rjont; appctx17rjont; appctx18rjont; APPCTX19RJOMK; APPCTX19RJONT; APPCTX20RJOMK; APPCTX21RJOMK; APPCTX222RJOMK; APPCTX90RJOMK; DBSABN02RECAU; dbsctx01recau; dbsctx02forbm; DBSCTX03RECSA; DBSCTX04RECSA; dbsctx07forbm; DBSCTX08FORBM; DBSCTX13RJOPF; DBSCTX36RJORP; DBSCTX47FORBM; DBSORB04RECSA; DBSRED01RECSA; GRVBOA01RJOPF; GRVCTX104SPODA; GRVCTX105SPODA; GRVCTX106SPODA; GRVCTX107SPODA; GRVCTX108SPODA; GRVCTX109SPODA; GRVCTX111SPODA; GRVCTX113SPODA; GRVCTX115SPODA; GRVOIM07SPOAL; HMLCRS01SPOBF; HMLCTX11SPOLP; hmlctx15spolp; HMLCTX214SPODB; HMLCTX87RJORP; HMLOIM01SPOLP; MONCTX02RJOPF; URABV04SPOLP; URACIE01SPOLP; URACIE02SPOLP; URACTX32RJOMK; URACTX33RJOMK"/>
    <s v="Sim"/>
    <s v="Sim"/>
    <s v="O Objetivo do Plano de Retorno é desinstalar o Antivírus McAfee. O período previsto para um Plano de Retorno é de 1:00 hora."/>
    <s v="Não"/>
    <s v="Não"/>
    <x v="0"/>
    <s v="--"/>
    <x v="0"/>
  </r>
  <r>
    <n v="19959"/>
    <s v="Ação para auxiliar no desempenho, pois em varios momentos o banco apresenta ao processamento e servidores de aplicação também."/>
    <x v="9"/>
    <d v="2016-04-13T18:01:11"/>
    <x v="3"/>
    <s v="Encerramento"/>
    <s v="FLÁVIO ROBERTO DE FREITAS MIRANDA"/>
    <s v="ROBERTO MAGALHÃES DE OLIVEIRA"/>
    <x v="0"/>
    <x v="1"/>
    <s v="Encerrada"/>
    <d v="2016-04-13T23:59:00"/>
    <d v="2016-04-14T02:00:00"/>
    <d v="2016-04-14T04:00:00"/>
    <x v="3"/>
    <x v="0"/>
    <s v="Sem impacto"/>
    <s v="NGRFFACIL.OICTX.CONTAX.ROOT"/>
    <s v="NGRFFACIL.OICTX.CONTAX.ROOT"/>
    <s v="Não"/>
    <s v="Não"/>
    <s v="Não há plano de retorno para essa GMUD pois é a criação de uma nova tabela."/>
    <s v="Não"/>
    <s v="Não"/>
    <x v="0"/>
    <s v="CTXSPOAL-111330"/>
    <x v="4"/>
  </r>
  <r>
    <n v="19960"/>
    <s v="OI-14403 - Alterar Horário de Atendimento TLV Controle; OI-14402 - Registrar o Tempo das Consultas aos Legados; OI-14427 - Alterar Fraseologia Oi Total; OI-14426 - Direcionar Chamadas Venda Controle de MG para BTCC; OI-14449 - Projeto Migrados BRT-Oi Corporativo; OI-13953 - Promoção Oi Indica e Oferta Mães 2016;"/>
    <x v="9"/>
    <d v="2016-04-13T18:24:10"/>
    <x v="3"/>
    <s v="Encerramento"/>
    <s v="MARCELO GALDINO DA SILVA"/>
    <s v="MARCELO GALDINO DA SILVA,WILLIAN CAMPBELL VIANA"/>
    <x v="7"/>
    <x v="1"/>
    <s v="Encerrada"/>
    <d v="2016-04-13T22:00:00"/>
    <d v="2016-04-14T12:00:00"/>
    <d v="2016-04-14T18:00:00"/>
    <x v="3"/>
    <x v="0"/>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4403; OI-14402; OI-14427; OI-14426; OI-14449; OI-13953."/>
    <x v="5"/>
  </r>
  <r>
    <n v="19961"/>
    <s v="Atualizado o SCOS do sistema de SSN 22333/ 22334 da versão 06.05.30 para 6.7 ."/>
    <x v="0"/>
    <d v="2016-04-13T22:46:46"/>
    <x v="3"/>
    <s v="Encerramento"/>
    <s v="PAULO ROGERIO GOMES"/>
    <s v="PAULO ROGERIO GOMES"/>
    <x v="10"/>
    <x v="0"/>
    <s v="Encerrada"/>
    <d v="2016-04-21T22:30:00"/>
    <d v="2016-04-23T07:00:00"/>
    <d v="2016-04-23T18:00:00"/>
    <x v="0"/>
    <x v="0"/>
    <s v="Pouco impacto"/>
    <s v="STMCTX101SPODA; STMCTX101SPODB"/>
    <s v="STMCTX101SPODA; STMCTX101SPODB"/>
    <s v="Não"/>
    <s v="Não"/>
    <s v="1-Remover firmware instalado."/>
    <s v="Não"/>
    <s v="Não"/>
    <x v="2"/>
    <m/>
    <x v="0"/>
  </r>
  <r>
    <n v="19962"/>
    <s v="Realizar manutenção preventiva em Ar condicionado de precisão do Site DC Alphaville conforme cronograma."/>
    <x v="0"/>
    <d v="2016-04-14T12:18:52"/>
    <x v="3"/>
    <s v="Encerramento"/>
    <s v="ROBERTO LOPES"/>
    <s v="ROBERTO LOPES"/>
    <x v="0"/>
    <x v="1"/>
    <s v="Encerrada"/>
    <d v="2016-04-30T08:00:00"/>
    <d v="2016-04-30T18:00:00"/>
    <d v="2016-05-02T14:00:00"/>
    <x v="0"/>
    <x v="0"/>
    <s v="Sem impacto"/>
    <s v="AR CONDICIONADO"/>
    <s v="AR CONDICIONADO"/>
    <s v="Não"/>
    <s v="Não"/>
    <s v="Para retorno do equipamento a sua condição normal, após todos os testes, analise visual e limpeza, estaremos transferindo de manual para automático e estará apto para atuar plenamente."/>
    <s v="Não"/>
    <s v="Não"/>
    <x v="0"/>
    <m/>
    <x v="13"/>
  </r>
  <r>
    <n v="19963"/>
    <s v="Sistema Credibilidade - Correção de duplicidades na dimensão funcionários. Foi identificado duplicidades na dimensão de funcionários que acabou causando duplicidade em outras tabelas. Este problema não causa impacto nos dados demonstrado, mas causa um forte impacto no processamento dos dados causando atraso na entrega dos dados."/>
    <x v="85"/>
    <d v="2016-04-14T12:48:33"/>
    <x v="3"/>
    <s v="Encerramento"/>
    <s v="CARLOS CESAR CRUZ"/>
    <s v="CARLOS CESAR CRUZ"/>
    <x v="6"/>
    <x v="1"/>
    <s v="Encerrada"/>
    <d v="2016-04-18T07:00:00"/>
    <d v="2016-04-18T14:10:00"/>
    <d v="2016-04-18T14:10:00"/>
    <x v="1"/>
    <x v="1"/>
    <s v="Os prejuízos ou dificuldades são impactantes"/>
    <s v="DBSCTX130SPODB; DBSCTX131SPODB"/>
    <s v="DBSCTX130SPODB; DBSCTX131SPODB"/>
    <s v="Sim"/>
    <s v="Não"/>
    <s v="Voltar backup caso necessário executando o restore."/>
    <s v="Não"/>
    <s v="Não"/>
    <x v="0"/>
    <s v="CTXSPOAP407-16457"/>
    <x v="13"/>
  </r>
  <r>
    <n v="19964"/>
    <s v="Atualizar página de perfilação do módulo de atendimento."/>
    <x v="9"/>
    <d v="2016-04-14T16:59:32"/>
    <x v="3"/>
    <s v="Encerramento"/>
    <s v="DYEGO CAVALCANTE WANDERLEY SILVA"/>
    <s v="DYEGO CAVALCANTE WANDERLEY SILVA"/>
    <x v="29"/>
    <x v="1"/>
    <s v="Encerrada"/>
    <d v="2016-04-15T21:00:00"/>
    <d v="2016-04-15T22:00:00"/>
    <d v="2016-04-15T22:00:00"/>
    <x v="3"/>
    <x v="1"/>
    <s v="Sem impacto"/>
    <s v="DBSCTX03RECSA"/>
    <s v="--"/>
    <s v="Não"/>
    <s v="Não"/>
    <s v="Realizar rollback do backup dos arquivos do sistema."/>
    <s v="Não"/>
    <s v="Não"/>
    <x v="0"/>
    <s v="CTXRECSA-483845"/>
    <x v="5"/>
  </r>
  <r>
    <n v="19967"/>
    <s v="Implantação da Release 20160414 Televendas FUO-727 Reestruturação do Inicio Televendas"/>
    <x v="9"/>
    <d v="2016-04-14T18:57:30"/>
    <x v="3"/>
    <s v="Encerramento"/>
    <s v="LUIZ HENRIQUE OLIVEIRA DA SILVA"/>
    <s v="WILLIAN CAMPBELL VIANA"/>
    <x v="7"/>
    <x v="1"/>
    <s v="Encerrada"/>
    <d v="2016-04-14T22:00:00"/>
    <d v="2016-04-15T12:00:00"/>
    <d v="2016-04-15T15: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19969"/>
    <s v="Atualização da aplicação Corporativo. A release 2016/04/18 terá como foco principal as seguintes mudanças abaixo: ? FUO-711 Implantar novo checklist de reparo Fixo e Velox ? FUO-713 Incluir MSGs Contingenciais da Ferramenta Versátil"/>
    <x v="9"/>
    <d v="2016-04-15T10:22:13"/>
    <x v="3"/>
    <s v="Encerramento"/>
    <s v="DANIEL SCHONWANDT MENDES FERREIRA"/>
    <s v="DANIEL SCHONWANDT MENDES FERREIRA"/>
    <x v="7"/>
    <x v="1"/>
    <s v="Encerrada"/>
    <d v="2016-04-18T22:00:00"/>
    <d v="2016-04-19T12:00:00"/>
    <d v="2016-04-19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19970"/>
    <s v="Atualizar tabela ICR do com os serviços destinos para atender demanda de URA aplicação Móvel Pré URA CANAL 5"/>
    <x v="48"/>
    <d v="2016-04-15T10:35:39"/>
    <x v="3"/>
    <s v="Encerramento"/>
    <s v="WILSON SHIGERU MIYAZAKI"/>
    <s v="WILSON SHIGERU MIYAZAKI"/>
    <x v="7"/>
    <x v="1"/>
    <s v="Encerrada"/>
    <d v="2016-04-20T07:00:00"/>
    <d v="2016-04-20T09:00:00"/>
    <d v="2016-04-20T10:00:00"/>
    <x v="0"/>
    <x v="0"/>
    <s v="Sem impacto"/>
    <s v="dbsctx08spoda"/>
    <s v="dbsctx08spoda"/>
    <s v="Não"/>
    <s v="Não"/>
    <s v="Voltar a tabela antiga de acordo com o Produto"/>
    <s v="Não"/>
    <s v="Não"/>
    <x v="0"/>
    <s v="CTXMTZPB-1339"/>
    <x v="1"/>
  </r>
  <r>
    <n v="19971"/>
    <s v="Atualização da aplicação OiTv. A release 2016/04/18 terá como foco principal as seguintes mudanças abaixo: ? FUO-745 Protocolo OiTv/Fibra"/>
    <x v="9"/>
    <d v="2016-04-15T10:41:04"/>
    <x v="3"/>
    <s v="Encerramento"/>
    <s v="DANIEL SCHONWANDT MENDES FERREIRA"/>
    <s v="DANIEL SCHONWANDT MENDES FERREIRA"/>
    <x v="7"/>
    <x v="1"/>
    <s v="Encerrada"/>
    <d v="2016-04-18T22:00:00"/>
    <d v="2016-04-19T12:00:00"/>
    <d v="2016-04-19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19972"/>
    <s v="EFETUAR TROCA DE DISCO"/>
    <x v="0"/>
    <d v="2016-04-15T12:59:28"/>
    <x v="3"/>
    <s v="Encerramento"/>
    <s v="MARCELO LUIS DE BARROS"/>
    <s v="MARCELO LUIS DE BARROS"/>
    <x v="36"/>
    <x v="1"/>
    <s v="Encerrada"/>
    <d v="2016-04-22T22:00:00"/>
    <d v="2016-04-23T05:00:00"/>
    <d v="2016-04-23T05:00:00"/>
    <x v="0"/>
    <x v="0"/>
    <s v="Sem impacto"/>
    <s v="--"/>
    <s v="URACTX04CTAPA"/>
    <s v="Não"/>
    <s v="Não"/>
    <s v="Caso o disco não funcione será necessário providenciar outro junto a equipe de controle de ativo. Caso ocorra alguma falha no sistema operacional que impossibilite a sua inicialização será efetuado restore de backup."/>
    <s v="Não"/>
    <s v="Não"/>
    <x v="0"/>
    <s v="CTXMLTREG-6017"/>
    <x v="1"/>
  </r>
  <r>
    <n v="19973"/>
    <s v="Movimentar os arquivos de dados e logs do DBSCTX37SPOLP para as novas unidades de disco e reconfigurar storage GRP-CONTAX. Manutenção necessária para mitigar possível falha total do servidor decorrente das falhas múltiplas de hardware do storage adjacente."/>
    <x v="9"/>
    <d v="2016-04-15T16:09:09"/>
    <x v="3"/>
    <s v="Encerramento"/>
    <s v="EDUARDO KANASAWA MOTTA"/>
    <s v="EDUARDO KANASAWA MOTTA,RICARDO DE OLIVEIRA FLORES"/>
    <x v="19"/>
    <x v="0"/>
    <s v="Encerrada"/>
    <d v="2016-04-16T00:00:00"/>
    <d v="2016-04-19T05:00:00"/>
    <d v="2016-04-19T06:00:00"/>
    <x v="3"/>
    <x v="1"/>
    <s v="Sem impacto"/>
    <s v="STOCTX01SPOLP; STOCTX02SPOLP; STOCTX04SPOLP"/>
    <s v="DBSCTX37SPOLP; STOCTX01SPOLP; STOCTX02SPOLP; STOCTX03SPOLP; STOCTX04SPOLP"/>
    <s v="Sim"/>
    <s v="Não"/>
    <s v="1 Acessar o storage via browser http://192.168.130.100, aguardar o carregamento do aplicativo JAVA. Utilizar o usuário grpadmin/n9v.; 2 Em volumes do EQUALLOGIC storage manager colocar em on-line o volume SQL-DATA; 3 Via Windows Disk Management colocar em online o “Disk 1” (9,7 TB); 4 Inverter letras das unidades M com G; 5 Inverter letras das unidades N com H; 6 Iniciar serviço do MS SQL: SQL Server (MSSQLSERVER) 7 Solicitar a validação pela equipe de Aplicações; Não se aplica porque é troca de peça defeituosa já fora de operação. E desligamento de storage sem função após ação do primeiro 1."/>
    <s v="Não"/>
    <s v="Não"/>
    <x v="0"/>
    <s v="CTXSPOLP-117506"/>
    <x v="0"/>
  </r>
  <r>
    <n v="19975"/>
    <s v="Garantir total confiabilidade e disponibilidade do sistema de contingência de energia elétrica do Site./Executar manutenção preventiva mensal sem transferência de carga em 01 (Um) grupo gerador de energia que atende as cargas das operações e CPD no Site Nascente."/>
    <x v="0"/>
    <d v="2016-04-18T08:18:32"/>
    <x v="3"/>
    <s v="Encerramento"/>
    <s v="SÁVIO MEIRELES CASTRO"/>
    <s v="SÁVIO MEIRELES CASTRO"/>
    <x v="4"/>
    <x v="39"/>
    <s v="Encerrada"/>
    <d v="2016-04-24T07:00:00"/>
    <d v="2016-04-24T15:00:00"/>
    <d v="2016-04-24T15:00:00"/>
    <x v="0"/>
    <x v="0"/>
    <s v="Sem impacto"/>
    <s v="--"/>
    <s v="--"/>
    <s v="Não"/>
    <s v="Não"/>
    <s v="Não haverá indisponibilidade, visto que o serviço será realizado sem transferência de cargas e/ou desligamento do grupo gerador de energia, em horário de menor fluxo das operações e durante a execução, teremos a contingência de energia da concessionária e No-breaks. Caso aja algum imprevisto o serviço será cancelado."/>
    <s v="Não"/>
    <s v="Não"/>
    <x v="0"/>
    <n v="0"/>
    <x v="9"/>
  </r>
  <r>
    <n v="19976"/>
    <s v="Garantir total confiabilidade e disponibilidade do sistema de contingência de energia elétrica do Site./Execução de manutenção preventiva mensal sem transferência de cargas em 04 (Quatro) grupos geradores de energia que atende as cargas das operações, CPD,Iluminação essencial e elevadores do Site Fortaleza."/>
    <x v="0"/>
    <d v="2016-04-18T08:27:28"/>
    <x v="3"/>
    <s v="Encerramento"/>
    <s v="SÁVIO MEIRELES CASTRO"/>
    <s v="SÁVIO MEIRELES CASTRO"/>
    <x v="3"/>
    <x v="2"/>
    <s v="Encerrada"/>
    <d v="2016-04-24T07:00:00"/>
    <d v="2016-04-24T15:00:00"/>
    <d v="2016-04-24T15:00:00"/>
    <x v="0"/>
    <x v="0"/>
    <s v="Sem impacto"/>
    <s v="--"/>
    <s v="--"/>
    <s v="Não"/>
    <s v="Não"/>
    <s v="Não haverá indisponibilidade, visto que o serviço será realizado sem transferência de cargas e/ou desligamento do grupo gerador de energia, em horário de menor fluxo das operações e durante a execução, teremos a contingência de energia da concessionária e No-breaks. Caso aja algum imprevisto o serviço será cancelado."/>
    <s v="Não"/>
    <s v="Não"/>
    <x v="0"/>
    <n v="0"/>
    <x v="3"/>
  </r>
  <r>
    <n v="19977"/>
    <s v="Garantir total confiabilidade e disponibilidade do sistema de contingência de energia elétrica do Site/Execução de manutenção preventiva/corretiva mensal com transferência de carga em 01 (Um) grupo gerador de energia Stemac 340Kva. Ao realizar todos os testes, verificações e medições serão transferidas as cargas da concessionária para o gerador."/>
    <x v="0"/>
    <d v="2016-04-18T09:22:10"/>
    <x v="3"/>
    <s v="Encerramento"/>
    <s v="SÁVIO MEIRELES CASTRO"/>
    <s v="SÁVIO MEIRELES CASTRO"/>
    <x v="3"/>
    <x v="2"/>
    <s v="Encerrada"/>
    <d v="2016-04-24T07:00:00"/>
    <d v="2016-04-24T15:00:00"/>
    <d v="2016-04-24T15:00:00"/>
    <x v="0"/>
    <x v="0"/>
    <s v="Pouco impacto"/>
    <s v="--"/>
    <s v="--"/>
    <s v="Não"/>
    <s v="Não"/>
    <s v="Não haverá indisponibilidade, visto que o serviço será realizado sem transferência de cargas e/ou desligamento do grupo gerador de energia, em horário de menor fluxo das operações e durante a execução, teremos a contingência de energia da concessionária e No-breaks. Caso aja algum imprevisto o serviço será cancelado."/>
    <s v="Não"/>
    <s v="Não"/>
    <x v="0"/>
    <n v="0"/>
    <x v="3"/>
  </r>
  <r>
    <n v="19979"/>
    <s v="Atualizar a versão do produto tClock Contax para contemplar: Funcionalidade de Acordos (Termo de aceite da assinatura digital) - Nosso Número: Release_119. Oriundo dos chamados: tProcess: (CTXMLTREG-7073) - Demandas: (DEMANDAS-4502)"/>
    <x v="86"/>
    <d v="2016-04-18T10:17:04"/>
    <x v="3"/>
    <s v="Encerramento"/>
    <s v="VINICIUS ADELIR NYARI"/>
    <s v="VICENTE FRITZEN DA SILVA,VINICIUS ADELIR NYARI"/>
    <x v="5"/>
    <x v="0"/>
    <s v="Encerrada"/>
    <d v="2016-04-27T21:00:00"/>
    <d v="2016-04-28T04:20:00"/>
    <d v="2016-04-28T07:20:00"/>
    <x v="0"/>
    <x v="2"/>
    <s v="Pouco impacto"/>
    <s v="APPCTX245SPODB; APPCTX246SPODB; APPCTX247SPODB; APPCTX248SPODB; APPCTX249SPODB; APPCTX250SPODB; APPCTX251SPODB; APPCTX253SPODB; APPCTX254SPODB; DBSCTX123SPODB; DBSCTX125SPODB"/>
    <s v="APPCTX245SPODB; APPCTX246SPODB; APPCTX247SPODB; APPCTX248SPODB; APPCTX249SPODB; APPCTX250SPODB; APPCTX251SPODB; APPCTX253SPODB; APPCTX254SPODB; DBSCTX123SPODB; DBSCTX125SPODB"/>
    <s v="Não"/>
    <s v="Sim"/>
    <s v="Fazer o restore do backup e das aplicações"/>
    <s v="Não"/>
    <s v="Não"/>
    <x v="0"/>
    <s v="tProcess: (CTXMLTREG-7073) - Demandas: (DEMANDAS-4502)"/>
    <x v="0"/>
  </r>
  <r>
    <n v="19980"/>
    <s v="ADIÇÃO DE INIBIDOR DE CORROSÃO E CAVITAÇÃO DO SISTEMA CENTRAL DE ÁGUA GELADA."/>
    <x v="87"/>
    <d v="2016-04-18T10:52:07"/>
    <x v="3"/>
    <s v="Encerramento"/>
    <s v="ROGÉRIO VINÍCIUS VALE GONÇALVES"/>
    <s v="ROGÉRIO VINÍCIUS VALE GONÇALVES"/>
    <x v="15"/>
    <x v="11"/>
    <s v="Encerrada"/>
    <d v="2016-04-26T08:00:00"/>
    <d v="2016-04-26T18:00:00"/>
    <d v="2016-04-26T19:00:00"/>
    <x v="0"/>
    <x v="0"/>
    <s v="Sem impacto"/>
    <s v="--"/>
    <s v="CHILLER"/>
    <s v="Não"/>
    <s v="Não"/>
    <s v="CASO OCORRA ALGUM INCIDENTE OS TÉCNICOS MANTERÃO CONTATO COM OS GESTORES AFIM DE DEFINIR O CAMINHO IDEAL PARA A SOLUÇÃO DO INCIDENTE"/>
    <s v="Não"/>
    <s v="Não"/>
    <x v="0"/>
    <s v="N/A"/>
    <x v="0"/>
  </r>
  <r>
    <n v="19982"/>
    <s v="Release URA USSD OI-14699 Novas Melhorias Projeto Integração Template OI-14710 Acrescentar novos campos de serviço Interatividade (SVA)"/>
    <x v="1"/>
    <d v="2016-04-18T15:14:00"/>
    <x v="3"/>
    <s v="Encerramento"/>
    <s v="PRISCILA LUCIA PEREIRA DE ALBUQUERQUE GALARANI"/>
    <s v="DANIEL SCHONWANDT MENDES FERREIRA"/>
    <x v="1"/>
    <x v="1"/>
    <s v="Encerrada"/>
    <d v="2016-04-27T22:00:00"/>
    <d v="2016-04-28T03:00:00"/>
    <d v="2016-04-28T09:00:00"/>
    <x v="0"/>
    <x v="0"/>
    <s v="Pouco impacto"/>
    <s v="APPCTX27RJOMK; APPCTX28RJOMK"/>
    <s v="APPCTX27RJOMK; APPCTX28RJOMK"/>
    <s v="Não"/>
    <s v="Não"/>
    <s v="Realizar o UNDEPLOY da versão nova através do JBoss Refazer os Testes Técnicos e Funcionais."/>
    <s v="Não"/>
    <s v="Não"/>
    <x v="0"/>
    <m/>
    <x v="1"/>
  </r>
  <r>
    <n v="19984"/>
    <s v="Cadastramento de Estados de diálogos Registrar o Tempo das Consultas aos Legados Criar Contingência para Consulta ao Legado Inclusão de variáveis no contexto"/>
    <x v="0"/>
    <d v="2016-04-18T15:29:35"/>
    <x v="3"/>
    <s v="Encerramento"/>
    <s v="UVERLANIO MAURICIO PEREIRA DA SILVA"/>
    <s v="MARCOS SANTOS DO SACRAMENTO"/>
    <x v="7"/>
    <x v="1"/>
    <s v="Encerrada"/>
    <d v="2016-04-27T22:00:00"/>
    <d v="2016-04-28T12:00:00"/>
    <d v="2016-04-28T12:00:00"/>
    <x v="0"/>
    <x v="0"/>
    <s v="Os prejuízos ou dificuldades são impactantes"/>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Não"/>
    <s v="Não"/>
    <s v="Fazer o deploy da versão anterior da aplicação."/>
    <s v="Não"/>
    <s v="Não"/>
    <x v="0"/>
    <s v="OI-14237, OI-14594, OI-14357 e OI-12753"/>
    <x v="5"/>
  </r>
  <r>
    <n v="19986"/>
    <s v="Validação e documentação de redundância dos links MPLS no site São Cristovão/Execução de testes de fail over e captura de evidências."/>
    <x v="9"/>
    <d v="2016-04-18T16:14:50"/>
    <x v="3"/>
    <s v="Encerramento"/>
    <s v="THIAGO SILVA FERREIRA"/>
    <s v="FRANCISCO ROSBERG DE CARVALHO SILVA,THIAGO SILVA FERREIRA"/>
    <x v="12"/>
    <x v="0"/>
    <s v="Encerrada"/>
    <d v="2016-04-19T23:00:00"/>
    <d v="2016-04-20T01:00:00"/>
    <d v="2016-04-20T01:30:00"/>
    <x v="3"/>
    <x v="0"/>
    <s v="Sem impacto"/>
    <s v="VIVO 00869928 / Oi RJO8613815"/>
    <s v="--"/>
    <s v="Sim"/>
    <s v="Não"/>
    <s v="Reativação dos links."/>
    <s v="Não"/>
    <s v="Não"/>
    <x v="2"/>
    <m/>
    <x v="0"/>
  </r>
  <r>
    <n v="19988"/>
    <s v="Ação para auxiliar no desempenho, pois em varios momentos o banco apresenta ao processamento e servidores de aplicação também."/>
    <x v="9"/>
    <d v="2016-04-18T17:26:56"/>
    <x v="3"/>
    <s v="Encerramento"/>
    <s v="FLÁVIO ROBERTO DE FREITAS MIRANDA"/>
    <s v="ROBERTO MAGALHÃES DE OLIVEIRA"/>
    <x v="0"/>
    <x v="1"/>
    <s v="Encerrada"/>
    <d v="2016-04-18T23:59:00"/>
    <d v="2016-04-19T02:00:00"/>
    <d v="2016-04-19T04:00:00"/>
    <x v="3"/>
    <x v="0"/>
    <s v="Sem impacto"/>
    <s v="NGRFFACIL.OICTX.CONTAX.ROOT"/>
    <s v="NGRFFACIL.OICTX.CONTAX.ROOT"/>
    <s v="Não"/>
    <s v="Não"/>
    <s v="Não há plano de retorno para essa GMUD pois é a criação de uma nova tabela e novos indices."/>
    <s v="Não"/>
    <s v="Não"/>
    <x v="0"/>
    <s v="CTXSPOAL-111330"/>
    <x v="4"/>
  </r>
  <r>
    <n v="19989"/>
    <s v="OI 14211 Retentativas Digitar Dados do cartão - Fluxo Registra OI 13632 Limpeza de Fluxo - Fase II OI 13947 Não permitir que o cliente oriundo do 3000 navegue na URA OI 13615 Interatividade para clientes que vieram do *3000 OI 14709 Posição dos áudios SVA"/>
    <x v="71"/>
    <d v="2016-04-19T08:08:39"/>
    <x v="3"/>
    <s v="Encerramento"/>
    <s v="JANAÍNA SILVA LIMA"/>
    <s v="ALBERTO DE ARAUJO RODRIGUES"/>
    <x v="5"/>
    <x v="1"/>
    <s v="Encerrada"/>
    <d v="2016-04-27T22:00:00"/>
    <d v="2016-04-28T11:00:00"/>
    <d v="2016-04-28T13:00:00"/>
    <x v="0"/>
    <x v="1"/>
    <s v="Muito impacto"/>
    <s v="APPCTX14RJONT; APPCTX15RJOED; APPCTX16RJOED; APPCTX18RJOED; APPCTX19RJOED; DBSOIM01SPOAL; NMSIOM01SPOAL"/>
    <s v="APPCTX14RJONT; APPCTX15RJOED; APPCTX16RJOED; APPCTX18RJOED; APPCTX19RJOED; DBSOIM01SPOAL; NMSIOM01SPOAL"/>
    <s v="Não"/>
    <s v="Não"/>
    <s v="Retorna os arquivos de backup. Refazer os Testes Técnicos e Funcionais."/>
    <s v="Não"/>
    <s v="Não"/>
    <x v="0"/>
    <s v="OI 14211 OI 13632 OI 13947 OI 13615 OI 14709"/>
    <x v="5"/>
  </r>
  <r>
    <n v="19991"/>
    <s v="A operação de cobrança Escob R1 e CD R1 deseja enviar sms para clientes que estão em débito com a OI. Criar novo processo de exportação de clientes para envio de SMS."/>
    <x v="0"/>
    <d v="2016-04-19T10:43:26"/>
    <x v="3"/>
    <s v="Encerramento"/>
    <s v="GEOVANI JOSE DE RESENDE MOREIRA"/>
    <s v="GEOVANI JOSE DE RESENDE MOREIRA"/>
    <x v="2"/>
    <x v="1"/>
    <s v="Encerrada"/>
    <d v="2016-04-28T22:00:00"/>
    <d v="2016-04-28T23:30:00"/>
    <d v="2016-04-28T23:59:00"/>
    <x v="0"/>
    <x v="2"/>
    <s v="Sem impacto"/>
    <s v="--"/>
    <s v="10.171.2.76; 10.171.2.82"/>
    <s v="Não"/>
    <s v="Não"/>
    <s v="Apagar procedure do banco criado no plano de ação. 1 - conectar no servidor 10.171.2.76 pelo query analyzer 2 - executar SQL ABAIXO: drop procedure [SubmitFilterResultToComunika] e apertar F1, validando criação do objeto. 1 - conectar no servidor 10.171.2.82 pelo query analyzer 2 - executar SQL abaixo: drop procedure [SubmitFilterResultToComunika]"/>
    <s v="Não"/>
    <s v="Não"/>
    <x v="0"/>
    <m/>
    <x v="2"/>
  </r>
  <r>
    <n v="19992"/>
    <s v="Preventiva Stemac sem carga do gerador Stemac 305 KVA - Site Augusta."/>
    <x v="0"/>
    <d v="2016-04-19T11:03:41"/>
    <x v="3"/>
    <s v="Encerramento"/>
    <s v="LUIS FERNANDO COSTA NEVES"/>
    <s v="LUIS FERNANDO COSTA NEVES"/>
    <x v="16"/>
    <x v="6"/>
    <s v="Encerrada"/>
    <d v="2016-04-28T20:00:00"/>
    <d v="2016-04-29T02:00:00"/>
    <d v="2016-04-29T02:30: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7"/>
  </r>
  <r>
    <n v="19993"/>
    <s v="Substituição de peça em garantia para equipamento de ar condicionado de Precisão na área da sala Pólo. Será substituido transdutor de alta pressão."/>
    <x v="0"/>
    <d v="2016-04-19T11:42:51"/>
    <x v="3"/>
    <s v="Encerramento"/>
    <s v="ARTHUR PRADO DE HOLANDA MOURA"/>
    <s v="ARTHUR PRADO DE HOLANDA MOURA"/>
    <x v="5"/>
    <x v="1"/>
    <s v="Encerrada"/>
    <d v="2016-05-09T00:00:00"/>
    <d v="2016-05-09T23:59:00"/>
    <d v="2016-05-10T06:00:00"/>
    <x v="0"/>
    <x v="2"/>
    <s v="Sem impacto"/>
    <m/>
    <m/>
    <s v="Não"/>
    <s v="Não"/>
    <s v="Não há"/>
    <s v="Não"/>
    <s v="Não"/>
    <x v="2"/>
    <m/>
    <x v="1"/>
  </r>
  <r>
    <n v="19994"/>
    <s v="Preventiva mensal dos geradores de 200kva e 450kva. Testes com e sem carga."/>
    <x v="0"/>
    <d v="2016-04-19T11:54:29"/>
    <x v="3"/>
    <s v="Encerramento"/>
    <s v="RODRIGO CABRAL GOMES"/>
    <s v="RODRIGO CABRAL GOMES"/>
    <x v="22"/>
    <x v="1"/>
    <s v="Encerrada"/>
    <d v="2016-04-28T23:00:00"/>
    <d v="2016-04-29T05:00:00"/>
    <d v="2016-04-29T06:00:00"/>
    <x v="0"/>
    <x v="0"/>
    <s v="Pouco impacto"/>
    <s v="--"/>
    <s v="GMG"/>
    <s v="Não"/>
    <s v="Não"/>
    <s v="Comunicação com missão critica e NOC"/>
    <s v="Não"/>
    <s v="Não"/>
    <x v="0"/>
    <m/>
    <x v="5"/>
  </r>
  <r>
    <n v="19995"/>
    <s v="Implantação de release de novas demandas da URA Oi10331Unificada. **Criar um menu dinâmico para contingência inteligente com consulta à um CRM off line **Utilizar o mailing 95 - MailingMensagemInicio para cliente Fixo-Velox com cobrança errada **Incluir desambiguação para opção 9 do Menu OCT R2 **Registro de BD na URA Unificada para clientes R1"/>
    <x v="81"/>
    <d v="2016-04-19T14:38:09"/>
    <x v="3"/>
    <s v="Encerramento"/>
    <s v="PAULO VINÍCIUS DOS SANTOS PEREIRA"/>
    <s v="MARCOS SANTOS DO SACRAMENTO"/>
    <x v="7"/>
    <x v="1"/>
    <s v="Encerrada"/>
    <d v="2016-04-20T22:00:00"/>
    <d v="2016-04-21T12:00:00"/>
    <d v="2016-04-21T14:00:00"/>
    <x v="1"/>
    <x v="1"/>
    <s v="Os prejuízos ou dificuldades são impactantes"/>
    <s v="URACTX04BSBPA / URACTX05BSBPA; URACTX04CGRPA /URACTX05CGRPA; URACTX04POAPA / URACTX05POAPA; URACTX05BHZPA / URACTX06BHZPA /URACTX07SALPA; URACTX05CTAPA /URACTX06CTAPA /URACTX07CTA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6BHZPA /URACTX07BHZPA /URACTX08BHZPA; URACTX06RECPA /URACTX07RECPA /URACTX08RECPA; URACTX06RJOPA /URACTX07RJOPA /URACTX08RJOPA; URACTX06RJOPB / URACTX07RJOPB /URACTX08RJOPB; URACTX07FORPA /URACTX08FORPA /URACTX06FORPA"/>
    <s v="Não"/>
    <s v="Não"/>
    <s v="Fazer o deploy da versão anterior da aplicação."/>
    <s v="Não"/>
    <s v="Não"/>
    <x v="0"/>
    <s v="Número do chamado e Texto copiado da descrição do chamado ou projeto que originou a GMUD"/>
    <x v="2"/>
  </r>
  <r>
    <n v="19996"/>
    <s v="Validação e documentação de redundância dos links MPLS no site Engenho de Dentro/Execução de testes de fail over e captura de evidências."/>
    <x v="9"/>
    <d v="2016-04-19T14:48:31"/>
    <x v="3"/>
    <s v="Encerramento"/>
    <s v="THIAGO SILVA FERREIRA"/>
    <s v="FRANCISCO ROSBERG DE CARVALHO SILVA,THIAGO SILVA FERREIRA"/>
    <x v="27"/>
    <x v="0"/>
    <s v="Encerrada"/>
    <d v="2016-04-20T23:00:00"/>
    <d v="2016-04-21T01:00:00"/>
    <d v="2016-04-21T01:30:00"/>
    <x v="3"/>
    <x v="0"/>
    <s v="Sem impacto"/>
    <s v="VIVO 00838602 / Oi RJO8523019"/>
    <s v="--"/>
    <s v="Sim"/>
    <s v="Não"/>
    <s v="Reativação dos links."/>
    <s v="Não"/>
    <s v="Não"/>
    <x v="2"/>
    <m/>
    <x v="0"/>
  </r>
  <r>
    <n v="19997"/>
    <s v="Manutenção preventiva nos Nobreaks 36kva"/>
    <x v="0"/>
    <d v="2016-04-19T14:52:54"/>
    <x v="3"/>
    <s v="Encerramento"/>
    <s v="RODRIGO CABRAL GOMES"/>
    <s v="RODRIGO CABRAL GOMES"/>
    <x v="22"/>
    <x v="1"/>
    <s v="Encerrada"/>
    <d v="2016-04-28T23:00:00"/>
    <d v="2016-04-29T05:00:00"/>
    <d v="2016-04-29T06:00:00"/>
    <x v="0"/>
    <x v="0"/>
    <s v="Pouco impacto"/>
    <s v="--"/>
    <s v="UPS"/>
    <s v="Não"/>
    <s v="Não"/>
    <s v="Informações da GMUD"/>
    <s v="Não"/>
    <s v="Não"/>
    <x v="0"/>
    <m/>
    <x v="5"/>
  </r>
  <r>
    <n v="19998"/>
    <s v="Remoção do Antivírus Symantec e Instalação do McAfee."/>
    <x v="44"/>
    <d v="2016-04-19T15:28:26"/>
    <x v="3"/>
    <s v="Encerramento"/>
    <s v="EDUARDO SOARES PEREIRA"/>
    <s v="JOSE GERALDO DA SILVA DOS SANTOS"/>
    <x v="6"/>
    <x v="0"/>
    <s v="Encerrada"/>
    <d v="2016-04-25T22:00:00"/>
    <d v="2016-04-29T07:00:00"/>
    <d v="2016-04-29T07:30:00"/>
    <x v="0"/>
    <x v="1"/>
    <s v="Impacto"/>
    <s v="10.49.10.51; APPCTX05RJOMK; APPCTX07RJOMK; APPCTX13RJOMK; APPCTX19RJOMK; APPCTX20RJOMK; APPCTX21RJOMK; APPCTX22RJOMK; APPCTX90RJOMK; DBSCTX02RJOPF; DBSCTX04SALSM; DBSCTX06RJOPF; DBSCTX07RJOPF; DBSCTX08RJOMK; dbsctx10rjomk; DBSCTX11RJOPF; DBSCTX120RJOMK; DBSCTX13RJOPF; DBSCTX199RJOMK; dbsctx20rjopf; DBSCTX36RJORP; DBSTLM01RECAM; dbstlm07bhzrp; DBSTLM10BHZRP; DBSTLM18BHZRP; DBSTLM20BHZRP; dbstlm21bhzrp; FSSCTX05RJOMA; FSSCTX07RJORP; GRVBOA01RJOPF; GRVOIM08SPOAL; HMLCTX05SPOAL; HMLCTX87RJORP; HMLTDO05SPOAS; HMLTDO10SPOAS; HMLTDO11SPOAS; HMLTDO12SPOAS; HMLTDO16SPOAS; IDMCTX10RJORP; IDMCTX11RJORP; IDMCTX12RJORP; IDMCTX13RJORP; IDMCTX14RJORP; IDMCTX15RJORP; IDMCTX16RJORP; IDMCTX17RJORP; MONCTX02RJOPF; URACTX03RJOPF; uraoim10spoal; uraoim11spoal"/>
    <s v="10.49.10.51; APPCTX05RJOMK; APPCTX07RJOMK; APPCTX13RJOMK; APPCTX19RJOMK; APPCTX20RJOMK; APPCTX21RJOMK; APPCTX22RJOMK; APPCTX90RJOMK; DBSCTX02RJOPF; DBSCTX04SALSM; DBSCTX06RJOPF; DBSCTX07RJOPF; DBSCTX08RJOMK; dbsctx10rjomk; DBSCTX11RJOPF; DBSCTX120RJOMK; DBSCTX13RJOPF; DBSCTX199RJOMK; dbsctx20rjopf; DBSCTX36RJORP; DBSTLM01RECAM; dbstlm07bhzrp; DBSTLM10BHZRP; DBSTLM18BHZRP; DBSTLM20BHZRP; dbstlm21bhzrp; FSSCTX05RJOMA; FSSCTX07RJORP; GRVBOA01RJOPF; GRVOIM08SPOAL; HMLCTX05SPOAL; HMLCTX87RJORP; HMLTDO05SPOAS; HMLTDO10SPOAS; HMLTDO11SPOAS; HMLTDO12SPOAS; HMLTDO16SPOAS; IDMCTX10RJORP; IDMCTX11RJORP; IDMCTX12RJORP; IDMCTX13RJORP; IDMCTX14RJORP; IDMCTX15RJORP; IDMCTX16RJORP; IDMCTX17RJORP; MONCTX02RJOPF; URACTX03RJOPF; uraoim10spoal; uraoim11spoal"/>
    <s v="Sim"/>
    <s v="Sim"/>
    <s v="O Objetivo do Plano de Retorno é desinstalar o Antivírus McAfee. O período previsto para um Plano de Retorno é de 1:00 hora."/>
    <s v="Não"/>
    <s v="Não"/>
    <x v="0"/>
    <s v="--"/>
    <x v="0"/>
  </r>
  <r>
    <n v="20000"/>
    <s v="Realizar manutenção preventiva no sistema de No break site antartica"/>
    <x v="0"/>
    <d v="2016-04-19T16:31:19"/>
    <x v="3"/>
    <s v="Encerramento"/>
    <s v="MARCIO LUIS DE GODOI JUNIOR"/>
    <s v="MARCIO LUIS DE GODOI JUNIOR"/>
    <x v="24"/>
    <x v="50"/>
    <s v="Encerrada"/>
    <d v="2016-04-25T22:00:00"/>
    <d v="2016-04-26T06:00:00"/>
    <d v="2016-04-28T16:39:00"/>
    <x v="0"/>
    <x v="0"/>
    <s v="Pouco impacto"/>
    <s v="--"/>
    <s v="--"/>
    <s v="Não"/>
    <s v="Não"/>
    <s v="Toda atividade será realizada seguindo procedimentos e medidas de controle caso aja qualquer anomalia na execução iremos paralisar e retornar o processo do inicio, sempre sinalizando os interessados da atividade"/>
    <s v="Não"/>
    <s v="Não"/>
    <x v="2"/>
    <m/>
    <x v="21"/>
  </r>
  <r>
    <n v="20001"/>
    <s v="Ação para auxiliar no desempenho, pois em vários momentos o banco apresenta alto processamento e servidores de aplicação também. Na atividade será renomeada uma tabela existente e criada uma nova tabela exatamente igual com os mesmo campos e nome. Não havendo nenhum impacto para o sistema. O objetivo é melhorar a perfomace do sistema."/>
    <x v="9"/>
    <d v="2016-04-19T17:04:05"/>
    <x v="3"/>
    <s v="Encerramento"/>
    <s v="FLÁVIO ROBERTO DE FREITAS MIRANDA"/>
    <s v="ROBERTO MAGALHÃES DE OLIVEIRA"/>
    <x v="0"/>
    <x v="1"/>
    <s v="Encerrada"/>
    <d v="2016-04-19T23:59:00"/>
    <d v="2016-04-20T02:00:00"/>
    <d v="2016-04-20T04:00:00"/>
    <x v="3"/>
    <x v="0"/>
    <s v="Sem impacto"/>
    <s v="NGRFFACIL.OICTX.CONTAX.ROOT"/>
    <s v="NGRFFACIL.OICTX.CONTAX.ROOT"/>
    <s v="Não"/>
    <s v="Não"/>
    <s v="Para essa GMUD não haverá necessidade de Plano de Retorno, pois na atividade será renomeada uma tabela existente e criada uma nova tabela exatamente igual com os mesmo campos e nome. Não havendo nenhum impacto para o sistema. O objetivo é ter uma tabela vazia para melhorar a perfomace do sistema."/>
    <s v="Não"/>
    <s v="Não"/>
    <x v="0"/>
    <s v="CTXSPOAL-111330"/>
    <x v="4"/>
  </r>
  <r>
    <n v="20003"/>
    <s v="Evoluir a ferramenta com as necessidades do cliente. Criação de modo receptivo / Agendamento; Criação de busca de contato (receptivo); Inclusão novo contato (receptivo); Edição de contato; Carregado de mailing; Criação de tela e gerenciamento de campos customizáveis para edição; Gerenciamento Ofertas de Venda customizáveis; Gerenciamento Campos de Ofertas de Venda; Gerenciamento de questionarios customizáveis; Métodos integração Disca Fácil com Tguidance + Aspect; Métodos integração Disca Fácil com Avaya; Aba Diversos para o operador; Inclusão de opção para tranferência de ligação;"/>
    <x v="72"/>
    <d v="2016-04-19T17:49:50"/>
    <x v="3"/>
    <s v="Encerramento"/>
    <s v="FLÁVIO ROBERTO DE FREITAS MIRANDA"/>
    <s v="ROBERTO MAGALHÃES DE OLIVEIRA,RODRIGO SANTOS DE CAMPOS"/>
    <x v="25"/>
    <x v="12"/>
    <s v="Encerrada"/>
    <d v="2016-04-29T23:00:00"/>
    <d v="2016-04-30T19:30:00"/>
    <d v="2016-04-30T19:30:00"/>
    <x v="0"/>
    <x v="2"/>
    <s v="Impacto"/>
    <s v="APPCTX473SPODA; racngrctx.contax-br.contax.root"/>
    <s v="APPCTX473SPODA; racngrctx.contax-br.contax.root"/>
    <s v="Sim"/>
    <s v="Não"/>
    <s v="1 - Se conectar no servidor via mstsc; 2 - Parar o serviço DISCA FACIL; 3 - Apagar a nova versão (1.3.0.1660.zip) no caminho da aplicação C:/discafacil/versoes/ 4 - Apontar para a versão anterior 5 - Iniciar o serviço DISCA FACIL; 6 - Acompanhar os log da aplicação garantindo que a mesma está executando com sucesso. 7 - Executar testes técnicos e testes funcionais; ATENÇÃO: Essa atividade deverá ser executada apenas quando a equipe de NGR - Aplicações solicitar a sua execução por parte da equipe CSE - DBA 1 - Efetuar o retorno do backup do banco de dados;"/>
    <s v="Não"/>
    <s v="Não"/>
    <x v="0"/>
    <s v="CTXPOARB-91679"/>
    <x v="0"/>
  </r>
  <r>
    <n v="20004"/>
    <s v="Evoluir a ferramenta (outros clientes já estão com a versão mais atualizada da plataforma) e correção apresentado pelo cliente."/>
    <x v="0"/>
    <d v="2016-04-19T17:51:38"/>
    <x v="3"/>
    <s v="Encerramento"/>
    <s v="FLÁVIO ROBERTO DE FREITAS MIRANDA"/>
    <s v="PAULO CESAR DE SOUZA,ROBERTO MAGALHÃES DE OLIVEIRA"/>
    <x v="41"/>
    <x v="5"/>
    <s v="Encerrada"/>
    <d v="2016-05-02T23:59:00"/>
    <d v="2016-05-03T18:00:00"/>
    <d v="2016-05-03T19:00:00"/>
    <x v="0"/>
    <x v="1"/>
    <s v="Impacto"/>
    <s v="APPCTX106SPODB; APPCTX107SPODA; APPCTX107SPODB; APPCTX108SPODA; APPCTX108SPODB; APPCTX109SPODA; APPCTX109SPODB; APPCTX110SPODA; APPCTX110SPODB; APPCTX111SPODA; APPCTX111SPODB; APPCTX112SPODA; APPCTX112SPODB; APPCTX113SPODA; DBSCTX101SPODB; DBSCTX104SPODA"/>
    <s v="APPCTX106SPODB; APPCTX107SPODA; APPCTX107SPODB; APPCTX108SPODA; APPCTX108SPODB; APPCTX109SPODA; APPCTX109SPODB; APPCTX110SPODA; APPCTX110SPODB; APPCTX111SPODA; APPCTX111SPODB; APPCTX112SPODA; APPCTX112SPODB; APPCTX113SPODA; DBSCTX101SPODB; DBSCTX104SPODA"/>
    <s v="Sim"/>
    <s v="Não"/>
    <s v="ATENÇÃO: Essa atividade deverá ser executada apenas quando a equipe de NGR - Aplicações solicitar a sua execução por parte da equipe CSE - DBA 1 - Efetuar o retorno do backup do banco de dados;; EXECUÇÃO NGR: #EXECUCAO TGUIDANCE 1 - Se conectar no servidor via mstsc; 2 - Parar o serviço TGUIDANCE; 3 - Apagar o arquivo atual do TGuidance-EAR.ear 4 - Renomear o arquivo TGuidance-EAR.ear_DDMMYYYY_HHMM de backup para TGuidance-EAR.ear no diretorio (Diretório C:\Todo\jboss-6.0.0.Final\server\default\deploy); 5 - Iniciar o serviço TGUIDANCE; 6 - Acompanhar os logs de execução para verificar se está executando com sucesso. #EXECUCAO TSUPERVISOR 1 - Parar o JBOSS da aplicação tSupervisor 2 - Acessar a pasta C:\Todo\jboss-eap-6.2-port-8180\standalone\deployments 3 - Apagar o arquivo tsupervisor.ear no caminho C:\Todo\jboss-eap-6.2-port-8180\standalone\deployments 4 - Renomear tsupervisor.ear_DDMMYYYY_HHMM armazenado de backup, para tsupervisor.ear 5 - Iniciar o serviço do TSUPERVISOR #EXECUCAO TSYSTEMMANAGER 1 - Parar o JBOSS da aplicação tSystemManager 2 - Acessar a pasta C:\Todo\jboss-eap-6.2-port-8180\standalone\deployments 3 - Apagar o arquivo tsystemmanager.ear no caminho C:\Todo\jboss-eap-6.2-port-8180\standalone\deployments 4 - Renomear tsystemmanager.ear_DDMMYYYY_HHMM armazenado de backup, para tsystemmanager.ear 5 - Iniciar o serviço do TSYSTEMMANAGER 6 - Reiniciar o JBOSS Efetuar os testes tecnicos e teste funcionais"/>
    <s v="Não"/>
    <s v="Não"/>
    <x v="0"/>
    <s v="CLIORBSAN-165"/>
    <x v="2"/>
  </r>
  <r>
    <n v="20007"/>
    <s v="Implementar processo de Carga de Score Operação URC ESCOB R2 e CDR2"/>
    <x v="3"/>
    <d v="2016-04-20T08:24:32"/>
    <x v="3"/>
    <s v="Encerramento"/>
    <s v="GUSTAVO RODRIGUES DE ORNELAS SILVA"/>
    <s v="GUSTAVO RODRIGUES DE ORNELAS SILVA"/>
    <x v="3"/>
    <x v="1"/>
    <s v="Encerrada"/>
    <d v="2016-04-27T22:30:00"/>
    <d v="2016-04-27T23:40:00"/>
    <d v="2016-04-27T23:59:00"/>
    <x v="0"/>
    <x v="2"/>
    <s v="Sem impacto"/>
    <s v="dbsctx07forbm; dbsctx44forbm"/>
    <s v="dbsctx07forbm; dbsctx44forbm"/>
    <s v="Não"/>
    <s v="Não"/>
    <s v="PLANO DE RETORNO DA GMUD: -&gt; CONECTAR VIA TERMINAL SERVICE NO SERVIDOR 10.16.1.131 -&gt; ABRIR O SQL SQL QUERY ANALYZER -&gt; EXECUTAR OS COMANDOS NA SEQUENCIA: ---&gt; DROP PROCEDURE RetornaColunaScore ---&gt; DROP PROCEDURE SCORE -&gt; CONECTAR VIA TERMINAL SERVICE NO SERVIDOR 10.16.1.237 -&gt; ABRIR O SQL SQL QUERY ANALYZER -&gt; EXECUTAR OS COMANDOS NA SEQUENCIA: ---&gt; DROP PROCEDURE RetornaColunaScore ---&gt; DROP PROCEDURE SCORE"/>
    <s v="Não"/>
    <s v="Não"/>
    <x v="0"/>
    <s v="CTXBHZRI-100401"/>
    <x v="2"/>
  </r>
  <r>
    <n v="20008"/>
    <s v="Gerar postagem para novo lote de boletos da Campanha MÃES 2016"/>
    <x v="59"/>
    <d v="2016-04-20T09:10:43"/>
    <x v="3"/>
    <s v="Encerramento"/>
    <s v="FREDERICO BEDETTE COSTA"/>
    <s v="FREDERICO BEDETTE COSTA"/>
    <x v="2"/>
    <x v="1"/>
    <s v="Encerrada"/>
    <d v="2016-04-24T08:00:00"/>
    <d v="2016-04-24T18:00:00"/>
    <d v="2016-04-24T19:00:00"/>
    <x v="1"/>
    <x v="1"/>
    <s v="Muito impacto"/>
    <s v="NA"/>
    <s v="NA"/>
    <s v="Sim"/>
    <s v="Não"/>
    <s v="O plano de retorno deve ser executado por CSE-Aplicações. Efetuar Restory da base de dados Oi_Campanha_Financeiro, atraves da Query descrita abaixo.. Obs: Rotina de backup validada pela área de BACKUP/RESTORE através do chamado CTXFORBM-359831."/>
    <s v="Não"/>
    <s v="Não"/>
    <x v="0"/>
    <s v="NA"/>
    <x v="2"/>
  </r>
  <r>
    <n v="20011"/>
    <s v="Atualização de service pack do Avaya Aura Comunication Manager 6.2"/>
    <x v="88"/>
    <d v="2016-04-20T14:35:40"/>
    <x v="3"/>
    <s v="Encerramento"/>
    <s v="WARLEI DIAS DE OLIVEIRA"/>
    <s v="REGINALDO ALVES DE SOUZA"/>
    <x v="3"/>
    <x v="1"/>
    <s v="Encerrada"/>
    <d v="2016-04-29T01:00:00"/>
    <d v="2016-04-29T04:00:00"/>
    <d v="2016-04-29T07:00:00"/>
    <x v="0"/>
    <x v="0"/>
    <s v="Impacto"/>
    <s v="--"/>
    <s v="--"/>
    <s v="Não"/>
    <s v="Não"/>
    <s v="Realizar roolback para o Service Pack anterior, este estará salvo no próprio servidor."/>
    <s v="Não"/>
    <s v="Não"/>
    <x v="0"/>
    <s v="CTXFORBM-348725"/>
    <x v="17"/>
  </r>
  <r>
    <n v="20013"/>
    <s v="Atualização de service pack do Avaya Aura Comunication Manager 6.2"/>
    <x v="88"/>
    <d v="2016-04-20T14:44:01"/>
    <x v="3"/>
    <s v="Encerramento"/>
    <s v="WARLEI DIAS DE OLIVEIRA"/>
    <s v="REGINALDO ALVES DE SOUZA"/>
    <x v="42"/>
    <x v="1"/>
    <s v="Encerrada"/>
    <d v="2016-05-24T01:00:00"/>
    <d v="2016-05-24T04:00:00"/>
    <d v="2016-05-24T09:00:00"/>
    <x v="0"/>
    <x v="0"/>
    <s v="Pouco impacto"/>
    <s v="10.48.28.55"/>
    <s v="10.48.28.55"/>
    <s v="Não"/>
    <s v="Não"/>
    <s v="Realizar roolback para o Service Pack anterior, pois este arquivo estará salvo no próprio servidor."/>
    <s v="Não"/>
    <s v="Não"/>
    <x v="0"/>
    <s v="CTXFORBM-348725"/>
    <x v="17"/>
  </r>
  <r>
    <n v="20014"/>
    <s v="Acessar o servidor brcaseh006 e excluir o servidor virtual brcaseh402."/>
    <x v="9"/>
    <d v="2016-04-20T14:49:07"/>
    <x v="3"/>
    <s v="Encerramento"/>
    <s v="JOAO BATISTA DE LIMA NETO"/>
    <s v="JOAO BATISTA DE LIMA NETO"/>
    <x v="28"/>
    <x v="7"/>
    <s v="Encerrada"/>
    <d v="2016-04-27T14:00:00"/>
    <d v="2016-04-27T15:00:00"/>
    <d v="2016-04-27T16:00:00"/>
    <x v="3"/>
    <x v="0"/>
    <s v="Sem impacto"/>
    <s v="--"/>
    <s v="--"/>
    <s v="Não"/>
    <s v="Não"/>
    <s v="Não existe plano de retorno."/>
    <s v="Não"/>
    <s v="Não"/>
    <x v="0"/>
    <m/>
    <x v="0"/>
  </r>
  <r>
    <n v="20015"/>
    <s v="Atualização de service pack do Avaya Aura Comunication Manager 6.2"/>
    <x v="88"/>
    <d v="2016-04-20T14:53:55"/>
    <x v="3"/>
    <s v="Encerramento"/>
    <s v="WARLEI DIAS DE OLIVEIRA"/>
    <s v="REGINALDO ALVES DE SOUZA"/>
    <x v="42"/>
    <x v="1"/>
    <s v="Encerrada"/>
    <d v="2016-05-26T01:00:00"/>
    <d v="2016-05-26T04:00:00"/>
    <d v="2016-05-26T09:00:00"/>
    <x v="0"/>
    <x v="0"/>
    <s v="Pouco impacto"/>
    <s v="10.48.28.102"/>
    <s v="10.48.28.102"/>
    <s v="Não"/>
    <s v="Não"/>
    <s v="Realizar roolback para o Service Pack anterior, pois este arquivo estará salvo no próprio servidor."/>
    <s v="Não"/>
    <s v="Não"/>
    <x v="0"/>
    <s v="CTXFORBM-348725"/>
    <x v="17"/>
  </r>
  <r>
    <n v="20019"/>
    <s v="Cadastrar SLA para o site CTXMLTREG"/>
    <x v="0"/>
    <d v="2016-04-20T15:52:08"/>
    <x v="3"/>
    <s v="Encerramento"/>
    <s v="JULIANA MORETTI ROVARIS GALVÃO PAES"/>
    <s v="EDUARDO YUKIO CASTILLO"/>
    <x v="1"/>
    <x v="0"/>
    <s v="Encerrada"/>
    <d v="2016-04-27T23:00:00"/>
    <d v="2016-04-28T01:10:00"/>
    <d v="2016-04-28T02:10:00"/>
    <x v="0"/>
    <x v="0"/>
    <s v="Sem impacto"/>
    <s v="DBSTDO01RJORP; JIRA02"/>
    <s v="DBSTDO01RJORP; JIRA02"/>
    <s v="Não"/>
    <s v="Não"/>
    <s v="Caso houver necessidade de reverter a alteração, só será preciso trocar a configuração no próprio tProcess Executar teste técnico/funcional novamente."/>
    <s v="Não"/>
    <s v="Não"/>
    <x v="0"/>
    <s v="CTXMLTREG-6986"/>
    <x v="0"/>
  </r>
  <r>
    <n v="20020"/>
    <s v="Atualizar os campos de Incidentes para os clientes OI Blindagem, OI Fixo, OI Móvel, OI Televendas, OI TV e OI SAV."/>
    <x v="0"/>
    <d v="2016-04-20T15:55:04"/>
    <x v="3"/>
    <s v="Encerramento"/>
    <s v="JULIANA MORETTI ROVARIS GALVÃO PAES"/>
    <s v="EDUARDO YUKIO CASTILLO"/>
    <x v="1"/>
    <x v="0"/>
    <s v="Encerrada"/>
    <d v="2016-04-28T23:00:00"/>
    <d v="2016-04-29T01:10:00"/>
    <d v="2016-04-29T02:10:00"/>
    <x v="0"/>
    <x v="0"/>
    <s v="Sem impacto"/>
    <s v="DBSTDO01RJORP; JIRA02"/>
    <s v="DBSTDO01RJORP; JIRA02"/>
    <s v="Não"/>
    <s v="Não"/>
    <s v="Caso houver necessidade de reverter a alteração, só será preciso trocar a configuração no próprio tProcess Executar teste técnico/funcional novamente."/>
    <s v="Não"/>
    <s v="Não"/>
    <x v="0"/>
    <s v="CTXSPOAL-112161"/>
    <x v="0"/>
  </r>
  <r>
    <n v="20022"/>
    <s v="Criar um novo site Golden Cross, tendo como base o site criado Tem Assist e com opções específicas para esse site"/>
    <x v="0"/>
    <d v="2016-04-20T15:57:07"/>
    <x v="3"/>
    <s v="Encerramento"/>
    <s v="JULIANA MORETTI ROVARIS GALVÃO PAES"/>
    <s v="JAIME FROILAN DE SOUZA ALOSILLA"/>
    <x v="1"/>
    <x v="0"/>
    <s v="Encerrada"/>
    <d v="2016-05-02T23:00:00"/>
    <d v="2016-05-03T01:10:00"/>
    <d v="2016-05-03T02:10:00"/>
    <x v="0"/>
    <x v="0"/>
    <s v="Sem impacto"/>
    <s v="JIRA02"/>
    <s v="JIRA02"/>
    <s v="Não"/>
    <s v="Não"/>
    <s v="1) Desconfigurar o site na aplicação 2) renomear o conditional-fields 3) Desabilitar o cliente/operação cadastrado. 4) Desconfigurar o SLA Executar teste técnico/funcional novamente."/>
    <s v="Não"/>
    <s v="Não"/>
    <x v="0"/>
    <s v="CTXSPOAL-110593"/>
    <x v="0"/>
  </r>
  <r>
    <n v="20023"/>
    <s v="Desativar os links Metro entre os Sites Santo Amaro, Niterói e Lapa"/>
    <x v="89"/>
    <d v="2016-04-20T16:03:55"/>
    <x v="3"/>
    <s v="Encerramento"/>
    <s v="LUIZ WASHINGTON GIANEZZI"/>
    <s v="ERIAN DO NASCIMENTO ESTRAEICH"/>
    <x v="19"/>
    <x v="1"/>
    <s v="Encerrada"/>
    <d v="2016-04-25T21:00:00"/>
    <d v="2016-04-26T02:00:00"/>
    <d v="2016-04-26T04:00:00"/>
    <x v="0"/>
    <x v="2"/>
    <s v="Sem impacto"/>
    <s v="SWTCORE001STACPD; SWTCORP27STACPD; SWTCORP28STACPD; SWTMETRO122LPACPD; SWTMETRO5NITSPCPD; SWTMETRO6NITSPCPD"/>
    <s v="SWTCORE001STACPD; SWTCORP27STACPD; SWTCORP28STACPD; SWTMETRO122LPACPD; SWTMETRO5NITSPCPD; SWTMETRO6NITSPCPD"/>
    <s v="Não"/>
    <s v="Não"/>
    <s v="Efetuar as configurações conforme as orientações do documento em anexo"/>
    <s v="Sim"/>
    <s v="Não"/>
    <x v="0"/>
    <m/>
    <x v="5"/>
  </r>
  <r>
    <n v="20024"/>
    <s v="Implantação de atualizações e promoções OI. Alteração de mensagem para ofertas de bônus semanal e alteração de benefícios para clientes cadastrado nas ofertas semanais."/>
    <x v="9"/>
    <d v="2016-04-20T16:08:39"/>
    <x v="3"/>
    <s v="Encerramento"/>
    <s v="FELIPE NASCIMENTO DE MENEZES TAVARES"/>
    <s v="WILLIAN CAMPBELL VIANA"/>
    <x v="7"/>
    <x v="1"/>
    <s v="Encerrada"/>
    <d v="2016-04-22T22:00:00"/>
    <d v="2016-04-23T03:00:00"/>
    <d v="2016-04-23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quot;Realizar o UNDEPLOY da versão nova através do Tomcat Manager Refazer os Testes Técnicos e Funcionais.&quot;"/>
    <s v="Não"/>
    <s v="Não"/>
    <x v="0"/>
    <s v="OI-14872 / OI-14951"/>
    <x v="5"/>
  </r>
  <r>
    <n v="20025"/>
    <s v="Realizar manutenção preventiva GMG site Lapa"/>
    <x v="0"/>
    <d v="2016-04-20T16:13:16"/>
    <x v="3"/>
    <s v="Encerramento"/>
    <s v="MARCIO LUIS DE GODOI JUNIOR"/>
    <s v="MARCIO LUIS DE GODOI JUNIOR"/>
    <x v="19"/>
    <x v="24"/>
    <s v="Encerrada"/>
    <d v="2016-04-29T22:00:00"/>
    <d v="2016-04-30T06:00:00"/>
    <d v="2017-05-04T16:16: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0"/>
  </r>
  <r>
    <n v="20026"/>
    <s v="Polo Aspect Alegria - restart padrão do storage Dell Equallogic para recuperação da interface de gestão, essencial para monitoração e análise de falhas."/>
    <x v="9"/>
    <d v="2016-04-20T16:28:24"/>
    <x v="3"/>
    <s v="Encerramento"/>
    <s v="EDUARDO KANASAWA MOTTA"/>
    <s v="ALEX BRUM BARBOSA DE FARIAS,EDUARDO KANASAWA MOTTA,PAULO ROGERIO GOMES"/>
    <x v="5"/>
    <x v="0"/>
    <s v="Encerrada"/>
    <d v="2016-04-20T22:00:00"/>
    <d v="2016-04-21T06:00:00"/>
    <d v="2016-04-21T06:00:00"/>
    <x v="3"/>
    <x v="1"/>
    <s v="Sem impacto"/>
    <s v="STOCTX01SPOAP; STOCTX02SPOAP; STOCTX03SPOAP; STOCTX04SPOAP"/>
    <s v="STOCTX01SPOAP; STOCTX02SPOAP; STOCTX03SPOAP; STOCTX04SPOAP"/>
    <s v="Sim"/>
    <s v="Não"/>
    <s v="Não se aplica devido a natureza da operação."/>
    <s v="Não"/>
    <s v="Não"/>
    <x v="0"/>
    <s v="CTXSPOAL-114539"/>
    <x v="0"/>
  </r>
  <r>
    <n v="20028"/>
    <s v="Deesativação do Link Metro entre os Sites Antaártica e Lapa"/>
    <x v="90"/>
    <d v="2016-04-20T17:42:13"/>
    <x v="3"/>
    <s v="Encerramento"/>
    <s v="LUIZ WASHINGTON GIANEZZI"/>
    <s v="ERIAN DO NASCIMENTO ESTRAEICH"/>
    <x v="24"/>
    <x v="20"/>
    <s v="Encerrada"/>
    <d v="2016-04-26T21:00:00"/>
    <d v="2016-04-27T01:00:00"/>
    <d v="2016-04-27T03:00:00"/>
    <x v="0"/>
    <x v="2"/>
    <s v="Sem impacto"/>
    <s v="SWTCOR002SPOBFCPD; SWTCOR003SPOBFCPD; SWTCRP027SPOBFCPD; SWTMETRO123LPACPD"/>
    <s v="SWTCOR002SPOBFCPD; SWTCOR003SPOBFCPD; SWTCRP027SPOBFCPD; SWTMETRO123LPACPD"/>
    <s v="Não"/>
    <s v="Não"/>
    <s v="executar as configurações informadas no documento em anexo"/>
    <s v="Não"/>
    <s v="Não"/>
    <x v="0"/>
    <m/>
    <x v="1"/>
  </r>
  <r>
    <n v="20029"/>
    <s v="Manutenção preventiva geradores Boa Viagem"/>
    <x v="0"/>
    <d v="2016-04-20T18:21:13"/>
    <x v="3"/>
    <s v="Encerramento"/>
    <s v="CASSIO REIS LIMA"/>
    <s v="CASSIO REIS LIMA"/>
    <x v="8"/>
    <x v="4"/>
    <s v="Encerrada"/>
    <d v="2016-04-30T22:00:00"/>
    <d v="2016-05-01T05:00:00"/>
    <d v="2016-05-01T06:00:00"/>
    <x v="0"/>
    <x v="0"/>
    <s v="Sem impacto"/>
    <s v="Geradores Stemac"/>
    <s v="Geradores Stemac"/>
    <s v="Não"/>
    <s v="Não"/>
    <s v="Em eventual falha reportaremos para a área de missão critica, coordenador do site e gerência de cidade, após ser aprovado o procedimento restabeleceremos o sistema."/>
    <s v="Não"/>
    <s v="Não"/>
    <x v="0"/>
    <m/>
    <x v="17"/>
  </r>
  <r>
    <n v="20030"/>
    <s v="Remover o site Mck da rede metroethernet, provendo toda sua comunicação via MPLS NGR e MPLS Contax."/>
    <x v="91"/>
    <d v="2016-04-20T18:27:38"/>
    <x v="3"/>
    <s v="Encerramento"/>
    <s v="LUIZ WASHINGTON GIANEZZI"/>
    <s v="ERIAN DO NASCIMENTO ESTRAEICH"/>
    <x v="1"/>
    <x v="1"/>
    <s v="Encerrada"/>
    <d v="2016-04-27T21:00:00"/>
    <d v="2016-04-28T02:00:00"/>
    <d v="2016-04-28T03:00:00"/>
    <x v="0"/>
    <x v="2"/>
    <s v="Sem impacto"/>
    <s v="SWTCORP027MCKCPD; SWTMETRO5NITSPCPD"/>
    <s v="SWTCORP027MCKCPD; SWTMETRO5NITSPCPD"/>
    <s v="Não"/>
    <s v="Não"/>
    <s v="Executar as configurações conforme documento em anexo."/>
    <s v="Não"/>
    <s v="Não"/>
    <x v="0"/>
    <m/>
    <x v="1"/>
  </r>
  <r>
    <n v="20032"/>
    <s v="Atualização do Firmware da controladora do servidor APPCTX04RECAU [10.62.0.23] ; Atualização dos patches pendentes."/>
    <x v="9"/>
    <d v="2016-04-22T14:22:56"/>
    <x v="3"/>
    <s v="Encerramento"/>
    <s v="MARCOS DA SILVA PINTO"/>
    <s v="JOSE GERALDO DA SILVA DOS SANTOS"/>
    <x v="11"/>
    <x v="1"/>
    <s v="Encerrada"/>
    <d v="2016-04-25T23:00:00"/>
    <d v="2016-04-26T04:00:00"/>
    <d v="2016-04-26T06:00:00"/>
    <x v="3"/>
    <x v="0"/>
    <s v="Sem impacto"/>
    <s v="APPCTX04RECAU"/>
    <s v="APPCTX04RECAU"/>
    <s v="Sim"/>
    <s v="Não"/>
    <s v="Através do painel de controle remover todas as atualizações instaladas entre os dias 22 e 23/04/2016. Reiniciar o servidor após as desinstalações."/>
    <s v="Não"/>
    <s v="Não"/>
    <x v="0"/>
    <m/>
    <x v="5"/>
  </r>
  <r>
    <n v="20033"/>
    <s v="Atualização da aplicação Empresarial. A release 2016/04/26 terá como foco principal as seguintes mudanças abaixo: ? FUO- 787 URA Light 4 - Solicitação de Reparo Velox ? FUO- 784 URA Light 3 - Exclusão de mensagens Pós Menu ? FUO- 786 URA Light 5 - Solicitação de Reparo Móvel ? FUO- 785 URA Light 6 - Desambiguação da opção Atendente (Menu empresarial FIXO) ? FUO- 816 Ajustes referentes à demanda FUO-663 ? FUO- 822 Retirada de mensagens cliente VIP"/>
    <x v="9"/>
    <d v="2016-04-25T09:20:24"/>
    <x v="3"/>
    <s v="Encerramento"/>
    <s v="DANIEL SCHONWANDT MENDES FERREIRA"/>
    <s v="DANIEL SCHONWANDT MENDES FERREIRA"/>
    <x v="7"/>
    <x v="1"/>
    <s v="Encerrada"/>
    <d v="2016-04-26T22:00:00"/>
    <d v="2016-04-27T12:00:00"/>
    <d v="2016-04-27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20034"/>
    <s v="Atualização da aplicação Televendas. A release 2016/04/26 terá como foco principal as seguintes mudanças abaixo: -&gt; FUO-811 Levantamento e documentação dos Parâmetros na URA -&gt; FUO-823 Captura Numero Televendas DDD iniciado com &quot;zero&quot;"/>
    <x v="9"/>
    <d v="2016-04-25T09:39:28"/>
    <x v="3"/>
    <s v="Encerramento"/>
    <s v="DANIEL SCHONWANDT MENDES FERREIRA"/>
    <s v="DANIEL SCHONWANDT MENDES FERREIRA"/>
    <x v="7"/>
    <x v="1"/>
    <s v="Encerrada"/>
    <d v="2016-04-26T22:00:00"/>
    <d v="2016-04-27T12:00:00"/>
    <d v="2016-04-27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20036"/>
    <s v="Copiar as estrutura, indices, procedures do banco de dados Disca_facil para o novo banco discafácil da Operação Cielo"/>
    <x v="9"/>
    <d v="2016-04-25T10:52:01"/>
    <x v="3"/>
    <s v="Encerramento"/>
    <s v="LUIZ WASHINGTON GIANEZZI"/>
    <s v="ROBERTO MAGALHÃES DE OLIVEIRA"/>
    <x v="0"/>
    <x v="16"/>
    <s v="Encerrada"/>
    <d v="2016-04-26T22:00:00"/>
    <d v="2016-04-26T23:00:00"/>
    <d v="2016-04-27T01:00:00"/>
    <x v="3"/>
    <x v="0"/>
    <s v="Sem impacto"/>
    <s v="DBSCTX105SPODA; DBSCTX105SPODB; DBSCTX106SPODA; DBSCTX106SPODB"/>
    <s v="DBSCTX105SPODA; DBSCTX105SPODB; DBSCTX106SPODA; DBSCTX106SPODB"/>
    <s v="Não"/>
    <s v="Não"/>
    <s v="Apargar o banco cielo_discafacil criado nos servidores DBSCTX105SPODA, DBSCTX106SPODA, DBSCTX105SPODB e DBSCTX106SPODB"/>
    <s v="Não"/>
    <s v="Não"/>
    <x v="2"/>
    <m/>
    <x v="1"/>
  </r>
  <r>
    <n v="20037"/>
    <s v="Criação de regras na URA para roteamento de chamadas diretamente para a AeC Retirar decisão ‘Possui Bloqueio OU Evento Vulto Fixo ou BD (Fixo ou Velox) ativo?&quot;"/>
    <x v="9"/>
    <d v="2016-04-25T11:24:58"/>
    <x v="3"/>
    <s v="Encerramento"/>
    <s v="PAULO VINÍCIUS DOS SANTOS PEREIRA"/>
    <s v="PAULO VINÍCIUS DOS SANTOS PEREIRA"/>
    <x v="7"/>
    <x v="1"/>
    <s v="Encerrada"/>
    <d v="2016-04-25T22:00:00"/>
    <d v="2016-04-26T01:00:00"/>
    <d v="2016-04-26T03:00:00"/>
    <x v="3"/>
    <x v="0"/>
    <s v="Sem impacto"/>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Procedimentos2: GMUD 1- Executar a GMUD, às 22: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quot;Item de configuração&quot;. 4- Executar o deploy da aplicação em um servidor de cada vez da nova versão do pacote em produção. 5-Ao término da Implantação, buscar o log da chamada via NGR Monitor, apurando se não há nenhuma falha registrada, seja ela de Aplicação, Telefonia, Legado ou Context"/>
    <s v="Não"/>
    <s v="Não"/>
    <x v="0"/>
    <m/>
    <x v="2"/>
  </r>
  <r>
    <n v="20039"/>
    <s v="Substituição de cabeamento óptico da operadora Algar."/>
    <x v="3"/>
    <d v="2016-04-25T11:40:03"/>
    <x v="3"/>
    <s v="Encerramento"/>
    <s v="LEANDRO AMARAL SILVA"/>
    <s v="LEANDRO AMARAL SILVA"/>
    <x v="10"/>
    <x v="51"/>
    <s v="Encerrada"/>
    <d v="2016-05-03T22:00:00"/>
    <d v="2016-05-04T05:00:00"/>
    <d v="2016-05-04T06:00:00"/>
    <x v="0"/>
    <x v="1"/>
    <s v="Os prejuízos ou dificuldades são impactantes"/>
    <s v="Não Informado"/>
    <s v="Não Informado"/>
    <s v="Sim"/>
    <s v="Não"/>
    <s v="Refazer a fusão no cabeamento provisório"/>
    <s v="Não"/>
    <s v="Não"/>
    <x v="2"/>
    <s v="N/A"/>
    <x v="16"/>
  </r>
  <r>
    <n v="20045"/>
    <s v="FPw - Transferência de funcionários da empresa 62-Contax para empresa 4-Ability,"/>
    <x v="9"/>
    <d v="2016-04-25T13:30:31"/>
    <x v="3"/>
    <s v="Encerramento"/>
    <s v="MYRIAM WANDERLEY DA NOBREGA SANTOS"/>
    <s v="CLAYTON ROBERTO LEITE"/>
    <x v="5"/>
    <x v="0"/>
    <s v="Encerrada"/>
    <d v="2016-04-25T14:00:00"/>
    <d v="2016-04-25T23:30:00"/>
    <d v="2016-04-26T14:00:00"/>
    <x v="3"/>
    <x v="1"/>
    <s v="Sem impacto"/>
    <s v="DBSCTX127SPODB"/>
    <s v="DBSCTX127SPODB"/>
    <s v="Não"/>
    <s v="Não"/>
    <s v="A princípio não haverá necessidade de um rollback total da base. Caso seja necessário estornar a transferência de um ou mais funcionários, as atualizações realizadas através de scripts serão revertidas a partir de novos scripts, a serem elaborados pelo analista da LG, para voltar os valores originais, usando como base os backups de tabelas realizadas como primeira ação da GMUD. As ações executadas na aplicação serão estornadas através da mesma."/>
    <s v="Não"/>
    <s v="Não"/>
    <x v="0"/>
    <s v="N/A"/>
    <x v="0"/>
  </r>
  <r>
    <n v="20047"/>
    <s v="Realizar um restart no Big Ip ADCPCTXFORPA002 do POP FORPA"/>
    <x v="9"/>
    <d v="2016-04-25T14:53:16"/>
    <x v="3"/>
    <s v="Encerramento"/>
    <s v="RICARDO ADRYANO BEZERRA"/>
    <s v="RICARDO ADRYANO BEZERRA"/>
    <x v="43"/>
    <x v="1"/>
    <s v="Encerrada"/>
    <d v="2016-04-26T08:30:00"/>
    <d v="2016-04-26T10:00:00"/>
    <d v="2016-04-26T10:30:00"/>
    <x v="3"/>
    <x v="0"/>
    <s v="Sem impacto"/>
    <s v="--"/>
    <s v="--"/>
    <s v="Não"/>
    <s v="Não"/>
    <s v="Não há plano de retorno, pois se trata de um restart em um equipamento que possui contingência."/>
    <s v="Não"/>
    <s v="Não"/>
    <x v="0"/>
    <s v="CTXFORBM-376367"/>
    <x v="5"/>
  </r>
  <r>
    <n v="20049"/>
    <s v="Desativar o Link Metro entre os Sites Lapa e Niteroi."/>
    <x v="92"/>
    <d v="2016-04-26T11:31:39"/>
    <x v="3"/>
    <s v="Encerramento"/>
    <s v="LUIZ WASHINGTON GIANEZZI"/>
    <s v="ERIAN DO NASCIMENTO ESTRAEICH"/>
    <x v="19"/>
    <x v="7"/>
    <s v="Encerrada"/>
    <d v="2016-04-28T21:00:00"/>
    <d v="2016-04-28T23:00:00"/>
    <d v="2016-04-29T01:00:00"/>
    <x v="1"/>
    <x v="2"/>
    <s v="Os prejuízos ou dificuldades são impactantes"/>
    <s v="FWCPCTXSPODA001; FWCPCTXSPODB001; SWTMETRO123LPACPD; SWTMETRO5NITSPCPD; SWTMETRO6NITSPCPD"/>
    <s v="FWCPCTXSPODA001; FWCPCTXSPODB001; SWTMETRO123LPACPD; SWTMETRO5NITSPCPD; SWTMETRO6NITSPCPD"/>
    <s v="Não"/>
    <s v="Não"/>
    <s v="Executar as configurações conforme documento em anexo."/>
    <s v="Sim"/>
    <s v="Sim"/>
    <x v="2"/>
    <m/>
    <x v="0"/>
  </r>
  <r>
    <n v="20053"/>
    <s v="Reinicializar os Domain controllers dos domínios callcorp.contax.root e contax-br.contax.root para correção de problemas de replicação."/>
    <x v="9"/>
    <d v="2016-04-26T12:55:40"/>
    <x v="3"/>
    <s v="Encerramento"/>
    <s v="DAVID LOPES DA COSTA CHAVES"/>
    <s v="JOSE GERALDO DA SILVA DOS SANTOS"/>
    <x v="24"/>
    <x v="0"/>
    <s v="Encerrada"/>
    <d v="2016-04-26T22:00:00"/>
    <d v="2016-04-27T04:00:00"/>
    <d v="2016-04-27T05:00:00"/>
    <x v="3"/>
    <x v="1"/>
    <s v="Sem impacto"/>
    <s v="sdcctx03spobf; sdcctx04spobf; sdcorb01spobf; sdcorb02spobf"/>
    <s v="sdcctx03spobf; sdcctx04spobf; sdcorb01spobf; sdcorb02spobf"/>
    <s v="Sim"/>
    <s v="Sim"/>
    <s v="1) Realizar o restart do servidor e checar se o mesmo vai retornar. 2) Caso o servidor não retorne deve ser avaliado com apoio do site a reinstalação do ativo."/>
    <s v="Não"/>
    <s v="Não"/>
    <x v="0"/>
    <m/>
    <x v="0"/>
  </r>
  <r>
    <n v="20055"/>
    <s v="Implementar as demandas OI-14278 : Alterar conteúdo da mensagem TrataReparoBloqueioTP-LC_05 OI-14098: Criar um menu dinâmico para contingência inteligente com consulta à um CRM off line OI-14714: Inclusao variavel Cobrança no Contexto para o Pre Routing"/>
    <x v="0"/>
    <d v="2016-04-26T14:39:29"/>
    <x v="3"/>
    <s v="Encerramento"/>
    <s v="PAULO VINÍCIUS DOS SANTOS PEREIRA"/>
    <s v="MARCOS SANTOS DO SACRAMENTO"/>
    <x v="7"/>
    <x v="1"/>
    <s v="Encerrada"/>
    <d v="2016-05-03T15:00:00"/>
    <d v="2016-05-04T12:00:00"/>
    <d v="2016-05-04T12:00:00"/>
    <x v="0"/>
    <x v="0"/>
    <s v="Pouco impacto"/>
    <s v="URACTX04BSBPA / URACTX05BSBPA; URACTX04CGRPA /URACTX05CGRPA; URACTX04POAPA / URACTX05POAPA; URACTX05BHZPA / URACTX06BHZPA /URACTX07SALPA; URACTX05CTAPA /URACTX06CTAPA /URACTX07CTA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6BHZPA /URACTX07BHZPA /URACTX08BHZPA; URACTX06RECPA /URACTX07RECPA /URACTX08RECPA; URACTX06RJOPA /URACTX07RJOPA /URACTX08RJOPA; URACTX06RJOPB / URACTX07RJOPB /URACTX08RJOPB; URACTX07FORPA /URACTX08FORPA /URACTX06FORPA"/>
    <s v="Não"/>
    <s v="Não"/>
    <s v="Fazer o deploy da versão anterior da aplicação."/>
    <s v="Não"/>
    <s v="Não"/>
    <x v="0"/>
    <s v="OI-14278, OI-14098 e OI-14714"/>
    <x v="2"/>
  </r>
  <r>
    <n v="20059"/>
    <s v="Permitir que somente os usuários do grupo CSC - Service Desk possa delegar os chamados pertencentes a esse grupo."/>
    <x v="0"/>
    <d v="2016-04-27T13:44:23"/>
    <x v="3"/>
    <s v="Encerramento"/>
    <s v="JULIANA MORETTI ROVARIS GALVÃO PAES"/>
    <s v="DIOGO DO NASCIMENTO"/>
    <x v="1"/>
    <x v="0"/>
    <s v="Encerrada"/>
    <d v="2016-05-09T23:00:00"/>
    <d v="2016-05-10T00:01:00"/>
    <d v="2016-05-10T01:00:00"/>
    <x v="0"/>
    <x v="0"/>
    <s v="Pouco impacto"/>
    <s v="Jira02"/>
    <s v="Jira02"/>
    <s v="Sim"/>
    <s v="Sim"/>
    <s v="Plano de Retorno - Voltar backup do arquivo todo-jira4-plugins-1.0.jar no servidor da aplicação com a aplicação fora. - Executar testes tecnicos/funcionais novamente."/>
    <s v="Não"/>
    <s v="Não"/>
    <x v="0"/>
    <s v="CTXSPOAL-111761"/>
    <x v="0"/>
  </r>
  <r>
    <n v="20062"/>
    <s v="Criar a instância do Discafácil para Operação Cielo através da cópia das estrutura, índice e procedures da instância discafacil da Souza Cruz"/>
    <x v="9"/>
    <d v="2016-04-27T15:17:50"/>
    <x v="3"/>
    <s v="Encerramento"/>
    <s v="LUIZ WASHINGTON GIANEZZI"/>
    <s v="LUIZ WASHINGTON GIANEZZI,ROBERTO MAGALHÃES DE OLIVEIRA"/>
    <x v="10"/>
    <x v="16"/>
    <s v="Encerrada"/>
    <d v="2016-04-28T22:00:00"/>
    <d v="2016-04-28T23:00:00"/>
    <d v="2016-04-29T01:00:00"/>
    <x v="3"/>
    <x v="0"/>
    <s v="Sem impacto"/>
    <s v="DBSCTX105SPODA"/>
    <s v="DBSCTX105SPODA"/>
    <s v="Não"/>
    <s v="Não"/>
    <s v="Apagar o Schema criado"/>
    <s v="Não"/>
    <s v="Não"/>
    <x v="0"/>
    <m/>
    <x v="1"/>
  </r>
  <r>
    <n v="20063"/>
    <s v="Atualização de patches nos controladores de domínio da floresta contax.root"/>
    <x v="0"/>
    <d v="2016-04-27T16:04:17"/>
    <x v="3"/>
    <s v="Encerramento"/>
    <s v="DAVID LOPES DA COSTA CHAVES"/>
    <s v="JOSE GERALDO DA SILVA DOS SANTOS"/>
    <x v="8"/>
    <x v="0"/>
    <s v="Encerrada"/>
    <d v="2016-05-11T22:00:00"/>
    <d v="2016-05-12T04:00:00"/>
    <d v="2016-05-12T05:00:00"/>
    <x v="0"/>
    <x v="0"/>
    <s v="Impacto"/>
    <s v="sdcctx01salpb; sdcctx02salpb; sdcctx07salas; sdcctx08salas"/>
    <s v="sdcctx01salpb; sdcctx02salpb; sdcctx07salas; sdcctx08salas"/>
    <s v="Sim"/>
    <s v="Sim"/>
    <s v="1) Remover as atualizações 2) Reiniciar o servidor 3) Validar o status dos serviços pelo mmc do Windows 4) Caso tenhamos falhas lógicas/físicas deve se contatar o site para apoio local"/>
    <s v="Não"/>
    <s v="Não"/>
    <x v="0"/>
    <m/>
    <x v="0"/>
  </r>
  <r>
    <n v="20067"/>
    <s v="Remoção do Antivírus Symantec e Instalação do McAfee."/>
    <x v="44"/>
    <d v="2016-04-28T09:08:38"/>
    <x v="3"/>
    <s v="Encerramento"/>
    <s v="FELIPE SANTOS BARBOSA DELGADO"/>
    <s v="JOSE GERALDO DA SILVA DOS SANTOS"/>
    <x v="5"/>
    <x v="0"/>
    <s v="Encerrada"/>
    <d v="2016-05-09T22:00:00"/>
    <d v="2016-05-14T07:00:00"/>
    <d v="2016-05-14T07:30:00"/>
    <x v="0"/>
    <x v="1"/>
    <s v="Impacto"/>
    <s v="APPCTX01RJONT; APPCTX01RJORI; APPCTX01SPOBF; APPCTX02SPOBF; APPCTX04POARB; APPCTX04RJORP; APPCTX05RJONT; APPCTX11NITSP; APPCTX12NITSP; APPCTX12RJONT; APPCTX13SPOBF; APPCTX15NITSP; appctx16rjont; APPCTX16SPOAL; appctx17rjont; appctx18rjont; APPCTX19RJONT; appctx22spolp; APPCTX30RJORP; APPCTX33SPOLP; APPCTX62SPOAL; BKPCTX03NITSP; BRLDALA152; BRLDALA154; BRLDALA401; DBSCTX01POARB; DBSCTX02POARB; DBSCTX04SPODA; DBSCTX04SPOLP; DBSCTX06SPODA; DBSCTX06SPOLP; DBSCTX07SPOLP; DBSCTX08SPODA; DBSCTX105SPOLP; DBSCTX114SPODB; DBSCTX122SPODB; DBSCTX128SPODB; dbsctx13spolp; dbsctx14spolp; DBSCTX150SPODB; DBSCTX17SPODB; DBSCTX20SPODA; DBSCTX34SPOLP; DBSCTX47SPOLP; dbsctx51spolp; DBSCTX55SPOLP; DEVCTX101SPODB; DEVCTX103SPODB; DEVCTX104SPODB; DEVCTX105SPODB; HMLCRS01SPOBF; HMLCTX11SPOLP; hmlctx15spolp; HMLCTX214SPODB; HMLOIM01SPOLP; MONCTX01SPOBF; SDCCTX02POARB; SDCORB02SPOBF; URABV04SPOLP; URACIE01SPOLP; URACIE02SPOLP; URACTX32RJOMK; URACTX33RJOMK; WEBCTX01RJORP; WEBCTX03RJORP"/>
    <s v="APPCTX01RJONT; APPCTX01RJORI; APPCTX01SPOBF; APPCTX02SPOBF; APPCTX04POARB; APPCTX04RJORP; APPCTX05RJONT; APPCTX11NITSP; APPCTX12NITSP; APPCTX12RJONT; APPCTX13SPOBF; APPCTX15NITSP; appctx16rjont; APPCTX16SPOAL; appctx17rjont; appctx18rjont; APPCTX19RJONT; appctx22spolp; APPCTX30RJORP; APPCTX33SPOLP; APPCTX62SPOAL; BKPCTX03NITSP; BRLDALA152; BRLDALA154; BRLDALA401; DBSCTX01POARB; DBSCTX02POARB; DBSCTX04SPODA; DBSCTX04SPOLP; DBSCTX06SPODA; DBSCTX06SPOLP; DBSCTX07SPOLP; DBSCTX08SPODA; DBSCTX105SPOLP; DBSCTX114SPODB; DBSCTX122SPODB; DBSCTX128SPODB; dbsctx13spolp; dbsctx14spolp; DBSCTX150SPODB; DBSCTX17SPODB; DBSCTX20SPODA; DBSCTX34SPOLP; DBSCTX47SPOLP; dbsctx51spolp; DBSCTX55SPOLP; DEVCTX101SPODB; DEVCTX103SPODB; DEVCTX104SPODB; DEVCTX105SPODB; HMLCRS01SPOBF; HMLCTX11SPOLP; hmlctx15spolp; HMLCTX214SPODB; HMLOIM01SPOLP; MONCTX01SPOBF; SDCCTX02POARB; SDCORB02SPOBF; URABV04SPOLP; URACIE01SPOLP; URACIE02SPOLP; URACTX32RJOMK; URACTX33RJOMK; WEBCTX01RJORP; WEBCTX03RJORP"/>
    <s v="Sim"/>
    <s v="Sim"/>
    <s v="O Objetivo do Plano de Retorno é desinstalar o Antivírus McAfee. O período previsto para um Plano de Retorno é de 1:00 hora."/>
    <s v="Não"/>
    <s v="Não"/>
    <x v="0"/>
    <s v="--"/>
    <x v="0"/>
  </r>
  <r>
    <n v="20068"/>
    <s v="Atualização de patches nos controladores de domínio da floresta contax.root e bbctx.contax"/>
    <x v="0"/>
    <d v="2016-04-28T09:49:19"/>
    <x v="3"/>
    <s v="Encerramento"/>
    <s v="DAVID LOPES DA COSTA CHAVES"/>
    <s v="JOSE GERALDO DA SILVA DOS SANTOS"/>
    <x v="21"/>
    <x v="0"/>
    <s v="Encerrada"/>
    <d v="2016-05-12T22:00:00"/>
    <d v="2016-05-13T04:00:00"/>
    <d v="2016-05-13T05:00:00"/>
    <x v="0"/>
    <x v="0"/>
    <s v="Impacto"/>
    <s v="sdcctx01sallm; sdcctx01salsm; sdcctx02salsm; sdcctx03sallm; sdcctx201sallm; sdcctx202sallm; sdcorb01salsm; sdcorb02salsm"/>
    <s v="sdcctx01sallm; sdcctx01salsm; sdcctx02salsm; sdcctx03sallm; sdcctx201sallm; sdcctx202sallm; sdcorb01salsm; sdcorb02salsm"/>
    <s v="Sim"/>
    <s v="Sim"/>
    <s v="1) Remover as atualizações 2) Reiniciar o servidor 3) Validar o status dos serviços pelo mmc do Windows 4) Caso tenhamos falhas lógicas/físicas deve se contatar o site para apoio local"/>
    <s v="Não"/>
    <s v="Não"/>
    <x v="0"/>
    <m/>
    <x v="0"/>
  </r>
  <r>
    <n v="20070"/>
    <s v="Atualização da aplicação Televendas. A release 2016/04/26 terá como foco principal as seguintes mudanças abaixo: Configurar a entrada da URA para receber os códigos de entrada do novo 0800 do Televendas empresarial. A Ura devera receber a chamada e encaminhar para o fluxo do Televendas Empresarial. ( 0800 282 3131)."/>
    <x v="9"/>
    <d v="2016-04-28T12:15:35"/>
    <x v="3"/>
    <s v="Encerramento"/>
    <s v="DANIEL SCHONWANDT MENDES FERREIRA"/>
    <s v="DANIEL SCHONWANDT MENDES FERREIRA"/>
    <x v="7"/>
    <x v="1"/>
    <s v="Encerrada"/>
    <d v="2016-04-28T22:00:00"/>
    <d v="2016-04-29T12:00:00"/>
    <d v="2016-04-29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20071"/>
    <s v="Correção da Recarga One Click, que está com o volume de transações muito baixo. Correção da rotina que controla a quantidade de ligações One Click em 24 horas."/>
    <x v="9"/>
    <d v="2016-04-28T15:14:20"/>
    <x v="3"/>
    <s v="Encerramento"/>
    <s v="FRANCIELE CARLA DE LIMA COSTA"/>
    <s v="WILLIAN CAMPBELL VIANA"/>
    <x v="7"/>
    <x v="1"/>
    <s v="Encerrada"/>
    <d v="2016-04-28T22:00:00"/>
    <d v="2016-04-29T12:00:00"/>
    <d v="2016-04-29T18:00:00"/>
    <x v="3"/>
    <x v="1"/>
    <s v="Sem impacto"/>
    <s v="URACTX04BSBPA; URACTX05BSB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N/A"/>
    <x v="5"/>
  </r>
  <r>
    <n v="20072"/>
    <s v="Atualização da aplicação Corporativo. A release 2016/05/04 terá como foco principal as seguintes mudanças abaixo: -&gt; FUO-815 Validação cliente Voice Net no Menu Reparo -&gt; FUO-713 Incluir MSGs Contingenciais da Ferramenta Versátil"/>
    <x v="0"/>
    <d v="2016-04-28T16:07:12"/>
    <x v="3"/>
    <s v="Encerramento"/>
    <s v="DANIEL SCHONWANDT MENDES FERREIRA"/>
    <s v="WILLIAN CAMPBELL VIANA"/>
    <x v="7"/>
    <x v="1"/>
    <s v="Encerrada"/>
    <d v="2016-05-04T22:00:00"/>
    <d v="2016-05-05T12:00:00"/>
    <d v="2016-05-05T18:00:00"/>
    <x v="0"/>
    <x v="0"/>
    <s v="Impacto"/>
    <s v="--"/>
    <s v="Atualização da versão da aplicação; 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20073"/>
    <s v="Atualização da aplicação OiTv. A release 2016/05/04 terá como foco principal as seguintes mudanças abaixo: -&gt; FUO- 767 Servidor de Contexto Oi -&gt; FUO- 796 ID Zerados"/>
    <x v="0"/>
    <d v="2016-04-28T16:28:40"/>
    <x v="3"/>
    <s v="Encerramento"/>
    <s v="DANIEL SCHONWANDT MENDES FERREIRA"/>
    <s v="WILLIAN CAMPBELL VIANA"/>
    <x v="7"/>
    <x v="1"/>
    <s v="Encerrada"/>
    <d v="2016-05-04T22:00:00"/>
    <d v="2016-05-05T12:00:00"/>
    <d v="2016-05-05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20074"/>
    <s v="Realizar o desligamento do servidor DEVCTX08RJOMA"/>
    <x v="9"/>
    <d v="2016-04-28T17:27:08"/>
    <x v="3"/>
    <s v="Encerramento"/>
    <s v="MATHEUS MASCÁRA DA SILVA"/>
    <s v="MATHEUS MASCÁRA DA SILVA"/>
    <x v="30"/>
    <x v="7"/>
    <s v="Encerrada"/>
    <d v="2016-05-19T10:00:00"/>
    <d v="2016-05-19T10:30:00"/>
    <d v="2016-05-19T11:00:00"/>
    <x v="3"/>
    <x v="0"/>
    <s v="Sem impacto"/>
    <s v="devctx08rjoma"/>
    <s v="devctx08rjoma"/>
    <s v="Sim"/>
    <s v="Não"/>
    <s v="Sinalizar ao analista Local, que o servidor deverá ser religado. Ao ligar o equipamento, realizar a validação dos serviços de sistema operacional. Contatar o analista que pediu para religar, para o mesmo realizar testes da sua aplicação."/>
    <s v="Não"/>
    <s v="Não"/>
    <x v="0"/>
    <m/>
    <x v="0"/>
  </r>
  <r>
    <n v="20077"/>
    <s v="Substituir a solução de DNS Nixu do datacenter Alegria, pela solução de DNS Microsoft."/>
    <x v="0"/>
    <d v="2016-04-29T09:41:53"/>
    <x v="3"/>
    <s v="Encerramento"/>
    <s v="DAVID LOPES DA COSTA CHAVES"/>
    <s v="JOSE GERALDO DA SILVA DOS SANTOS,MARCUS VINÍCIUS RUSTIGUER"/>
    <x v="10"/>
    <x v="0"/>
    <s v="Encerrada"/>
    <d v="2016-05-10T22:00:00"/>
    <d v="2016-05-11T03:00:00"/>
    <d v="2016-05-11T05:00:00"/>
    <x v="0"/>
    <x v="0"/>
    <s v="Impacto"/>
    <s v="DNSCTX01SPODB; NMSCTX01SPODB"/>
    <s v="DNSCTX01SPODB; NMSCTX01SPODB"/>
    <s v="Sim"/>
    <s v="Sim"/>
    <s v="1) Desativar as interfaces de rede do servidor DNSCTX01SPODB 2) Solicitar ao time de redes que ative as portas do servidor NMSCTX01SPODB: - Acessar o switch 10.171.207.146 e desativar as portas: Gi1/0/8 Gi2/0/8 Gi3/0/8 Po8 - Acessar o switch 10.171.207.147 e desativar as portas: Gi0/8 3) Validar ambiente e fechar a GMUD"/>
    <s v="Não"/>
    <s v="Não"/>
    <x v="0"/>
    <m/>
    <x v="0"/>
  </r>
  <r>
    <n v="20080"/>
    <s v="Realizar a manutenção preventiva trimestral dos NB's de Operações e do CPD"/>
    <x v="0"/>
    <d v="2016-04-29T10:28:04"/>
    <x v="3"/>
    <s v="Encerramento"/>
    <s v="ALEXANDRE PIRES DE JESUS"/>
    <s v="ALEXANDRE PIRES DE JESUS"/>
    <x v="25"/>
    <x v="21"/>
    <s v="Encerrada"/>
    <d v="2016-05-13T22:00:00"/>
    <d v="2016-05-15T05:00:00"/>
    <d v="2016-05-15T06:00:00"/>
    <x v="0"/>
    <x v="0"/>
    <s v="Sem impacto"/>
    <s v="No break's"/>
    <s v="No break's"/>
    <s v="Não"/>
    <s v="Não"/>
    <s v="CASO OCORRA ALGUM PROBLEMA DURANTE A MANUTENÇÃO AS ATIVIDADES SERÃO SUSPENSAS IMEDIATAMENTE"/>
    <s v="Não"/>
    <s v="Não"/>
    <x v="0"/>
    <m/>
    <x v="7"/>
  </r>
  <r>
    <n v="20081"/>
    <s v="Expurgo de dados tClock (Record)"/>
    <x v="0"/>
    <d v="2016-04-29T11:24:42"/>
    <x v="3"/>
    <s v="Encerramento"/>
    <s v="VINICIUS ADELIR NYARI"/>
    <s v="MARCELO TAKESHI INOUE GERENT"/>
    <x v="5"/>
    <x v="0"/>
    <s v="Encerrada"/>
    <d v="2016-05-22T10:00:00"/>
    <d v="2016-05-23T03:46:00"/>
    <d v="2016-05-23T03:46:00"/>
    <x v="0"/>
    <x v="0"/>
    <s v="Pouco impacto"/>
    <s v="APPCTX245SPODB; APPCTX246SPODB; APPCTX247SPODB; APPCTX248SPODB; APPCTX249SPODB; APPCTX250SPODB; APPCTX251SPODB; APPCTX253SPODB; APPCTX254SPODB; DBSCTX123SPODB"/>
    <s v="DBSCTX123SPODB"/>
    <s v="Sim"/>
    <s v="Sim"/>
    <s v="Fazer o restore do backup e das aplicações"/>
    <s v="Não"/>
    <s v="Não"/>
    <x v="0"/>
    <m/>
    <x v="0"/>
  </r>
  <r>
    <n v="20082"/>
    <s v="Manutenção preventiva anual dos geradores de 325KVA para manter a continuidade de energia em falta pela Concessionária."/>
    <x v="0"/>
    <d v="2016-04-29T12:21:04"/>
    <x v="3"/>
    <s v="Encerramento"/>
    <s v="ALEXANDRE GARCIA FULY"/>
    <s v="ALEXANDRE GARCIA FULY"/>
    <x v="12"/>
    <x v="52"/>
    <s v="Encerrada"/>
    <d v="2016-05-22T08:00:00"/>
    <d v="2016-05-22T14:00:00"/>
    <d v="2016-05-23T05:00:00"/>
    <x v="0"/>
    <x v="0"/>
    <s v="Pouco impacto"/>
    <s v="GERADORES"/>
    <s v="GERADORES"/>
    <s v="Sim"/>
    <s v="Não"/>
    <s v="Se houver algum imprevisto será cancelado o serviço e o Gerador será colocado em automático."/>
    <s v="Não"/>
    <s v="Não"/>
    <x v="0"/>
    <m/>
    <x v="1"/>
  </r>
  <r>
    <n v="20083"/>
    <s v="Atualização do FW da controladora , atualização do Driver dos Discos e atualização de Patchs do S.O. - Servidor : 10.49.12.23"/>
    <x v="9"/>
    <d v="2016-04-29T12:22:07"/>
    <x v="3"/>
    <s v="Encerramento"/>
    <s v="RICARDO DE OLIVEIRA FLORES"/>
    <s v="RICARDO DE OLIVEIRA FLORES"/>
    <x v="5"/>
    <x v="0"/>
    <s v="Encerrada"/>
    <d v="2016-04-30T12:00:00"/>
    <d v="2016-04-30T17:30:00"/>
    <d v="2016-04-30T23:00:00"/>
    <x v="3"/>
    <x v="0"/>
    <s v="Sem impacto"/>
    <s v="--"/>
    <s v="--"/>
    <s v="Sim"/>
    <s v="Não"/>
    <s v="1 - Remover a atualização do drive dos discos (Caminho do arquivo : C:\Dell\SAS-Drive_Firmware_41N5D_WN32_FM0A_A05.exe) 2 - Efetuar o restart do servidor 3 - Remover a atualização do FW da controladora (Caminho do arquivo :C:\Dell\SAS-RAID_Firmware_9FVJ2_WN64_12.10.7-0001_A13.exe) 4 - Efetuar o restart do servidor 5 - Remover a atualização de Patchs efetuadas na data da execução da GMUD 6 - Efetuar o restart do servidor 7 - Verificar mensagens de erro no eventviewer 8 - Verificar quais serviços do SQL estão com status &quot;Started&quot; 9 - Acessar unidades D: e E: 10 - Validar as bases montadas utilizando o SQL Server Manager Studio"/>
    <s v="Não"/>
    <s v="Não"/>
    <x v="2"/>
    <s v="CTXSPOAP407-15761"/>
    <x v="0"/>
  </r>
  <r>
    <n v="20085"/>
    <s v="AUMENTAR A CONFIABILIDADE DO SISTEMA DE ÁGUA POTÁVEL GARANTINDO O FORNECIMENTO NOS BEBEDOUROS E TORNEIRAS, MODIFICANDO A LINHA DE ÁGUA POTÁVEL E O POSICIONAMENTO DAS BOMBAS."/>
    <x v="93"/>
    <d v="2016-04-29T12:44:48"/>
    <x v="3"/>
    <s v="Encerramento"/>
    <s v="ROGÉRIO VINÍCIUS VALE GONÇALVES"/>
    <s v="ROGÉRIO VINÍCIUS VALE GONÇALVES"/>
    <x v="15"/>
    <x v="11"/>
    <s v="Encerrada"/>
    <d v="2016-05-15T06:00:00"/>
    <d v="2016-05-15T20:00:00"/>
    <d v="2016-05-16T00:00:00"/>
    <x v="0"/>
    <x v="0"/>
    <s v="Sem impacto"/>
    <s v="--"/>
    <m/>
    <s v="Sim"/>
    <s v="Não"/>
    <s v="CASO OCORRA ALGUM INCIDENTE OS TÉCNICOS MANTERÃO CONTATO COM OS GESTORES AFIM DE DEFINIR O CAMINHO IDEAL PARA A SOLUÇÃO DO INCIDENTE"/>
    <s v="Não"/>
    <s v="Não"/>
    <x v="0"/>
    <m/>
    <x v="0"/>
  </r>
  <r>
    <n v="20090"/>
    <s v="Realizar manutenção corretiva nos NB's do CPD do Site Luigi amortese"/>
    <x v="0"/>
    <d v="2016-04-29T16:52:54"/>
    <x v="3"/>
    <s v="Encerramento"/>
    <s v="ALEXANDRE PIRES DE JESUS"/>
    <s v="ALEXANDRE PIRES DE JESUS"/>
    <x v="44"/>
    <x v="24"/>
    <s v="Encerrada"/>
    <d v="2016-04-29T23:30:00"/>
    <d v="2016-04-30T06:00:00"/>
    <d v="2016-04-30T07:00:00"/>
    <x v="1"/>
    <x v="1"/>
    <s v="Os prejuízos ou dificuldades são impactantes"/>
    <s v="NB's"/>
    <s v="NB's"/>
    <s v="Sim"/>
    <s v="Não"/>
    <s v="Não Há, visto que os equipamentos já se encontram com falha"/>
    <s v="Não"/>
    <s v="Não"/>
    <x v="0"/>
    <s v="Atendimento emergencial"/>
    <x v="0"/>
  </r>
  <r>
    <n v="20092"/>
    <s v="Aplicar os Procedimentos abaixo no sistema Protheus: TURNH9 - Correção na configuração do TSS para não haver necessidade de reinicio dos serviços constantemente; TUVR60 - Eliminação automática de resíduos das Solicitações de Compras de Salvador não integradas com o Fluig;"/>
    <x v="10"/>
    <d v="2016-04-29T17:00:04"/>
    <x v="3"/>
    <s v="Encerramento"/>
    <s v="MIGUEL ANGELO DO PATROCINIO"/>
    <s v="MIGUEL ANGELO DO PATROCINIO"/>
    <x v="5"/>
    <x v="0"/>
    <s v="Encerrada"/>
    <d v="2016-05-15T09:00:00"/>
    <d v="2016-05-15T15:00:00"/>
    <d v="2016-05-16T10:00:00"/>
    <x v="0"/>
    <x v="1"/>
    <s v="Sem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20097"/>
    <s v="Remoção do Antivírus Symantec e Instalação do McAfee."/>
    <x v="44"/>
    <d v="2016-05-02T10:01:10"/>
    <x v="4"/>
    <s v="Encerramento"/>
    <s v="FELIPE SANTOS BARBOSA DELGADO"/>
    <s v="JOSE GERALDO DA SILVA DOS SANTOS"/>
    <x v="5"/>
    <x v="0"/>
    <s v="Encerrada"/>
    <d v="2016-05-16T22:00:00"/>
    <d v="2016-05-21T07:00:00"/>
    <d v="2016-05-21T07:30:00"/>
    <x v="0"/>
    <x v="1"/>
    <s v="Impacto"/>
    <s v="APPCTX108SPOLP; APPCTX119SPODB; APPCTX11SPODA; APPCTX12SPODA; appctx13spolp; APPCTX149SPODB; APPCTX14SPOBF; APPCTX15SPOLP; appctx16spobf; APPCTX310SPODA; APPCTX31SPOLP; appctx32spobf; APPCTX39SPOAL; APPCTX40SPOAL; APPCTX41SPOAL; APPCTX41SPOBF; APPCTX42SPOAL; APPCTX88SPOBF; AUTCTX01RECAU; AVSCTX01RECAU; BKPCTX01RECAU; BKPCTX01RECSA; BKPCTX03RECSA; BRCASQC130; BRCASQC131; BRCASQC134; BRCASQC139; ctitlm01salas; DBSCTX06NITSP; dbsctx07bhzri; DBSCTX09NITSP; DBSCTX18NITSP; dbsctx20spobf; DBSCTX23NITSP; DBSCTX25SPOBF; DBSCTX26NITSP; dbsctx26spobf; DBSCTX71NITSP; dhcctx01recsa; FESCTX01SPODA; FESCTX02SPODA; FESCTX04SPODA; FESCTX05SPODA; FESCTX06SPODA; FESCTX08SPODA; FESCTX09SPODA; FESCTX10SPODA; FESCTX11SPODA; FESCTX13SPODA; FESCTX15SPODA; FSSCTX07RJORP2; FSSORB01SPOBF; GSCCTX01RECAU; MONCTX01RECAU; ZENORB03SALSM"/>
    <s v="APPCTX108SPOLP; APPCTX119SPODB; APPCTX11SPODA; APPCTX12SPODA; appctx13spolp; APPCTX149SPODB; APPCTX14SPOBF; APPCTX15SPOLP; appctx16spobf; APPCTX310SPODA; APPCTX31SPOLP; appctx32spobf; APPCTX39SPOAL; APPCTX40SPOAL; APPCTX41SPOAL; APPCTX41SPOBF; APPCTX42SPOAL; APPCTX88SPOBF; AUTCTX01RECAU; AVSCTX01RECAU; BKPCTX01RECAU; BKPCTX01RECSA; BKPCTX03RECSA; BRCASQC130; BRCASQC131; BRCASQC134; BRCASQC139; ctitlm01salas; DBSCTX06NITSP; dbsctx07bhzri; DBSCTX09NITSP; DBSCTX18NITSP; dbsctx20spobf; DBSCTX23NITSP; DBSCTX25SPOBF; DBSCTX26NITSP; dbsctx26spobf; DBSCTX71NITSP; dhcctx01recsa; FESCTX01SPODA; FESCTX02SPODA; FESCTX04SPODA; FESCTX05SPODA; FESCTX06SPODA; FESCTX08SPODA; FESCTX09SPODA; FESCTX10SPODA; FESCTX11SPODA; FESCTX13SPODA; FESCTX15SPODA; FSSCTX07RJORP2; FSSORB01SPOBF; GSCCTX01RECAU; MONCTX01RECAU; ZENORB03SALSM"/>
    <s v="Sim"/>
    <s v="Sim"/>
    <s v="O Objetivo do Plano de Retorno é desinstalar o Antivírus McAfee. O período previsto para um Plano de Retorno é de 1:00 hora."/>
    <s v="Não"/>
    <s v="Não"/>
    <x v="0"/>
    <s v="--"/>
    <x v="0"/>
  </r>
  <r>
    <n v="20098"/>
    <s v="Simular desligamento do equipamento para execução de manutenção preventiva/Execução de teste de funcionamento do sistema de climatização operado apenas com um chiller."/>
    <x v="0"/>
    <d v="2016-05-02T10:32:52"/>
    <x v="4"/>
    <s v="Encerramento"/>
    <s v="SÁVIO MEIRELES CASTRO"/>
    <s v="SÁVIO MEIRELES CASTRO"/>
    <x v="3"/>
    <x v="2"/>
    <s v="Encerrada"/>
    <d v="2016-05-15T06:00:00"/>
    <d v="2016-05-15T12:00:00"/>
    <d v="2016-05-15T12:00:00"/>
    <x v="0"/>
    <x v="0"/>
    <s v="Pouco impacto"/>
    <s v="--"/>
    <s v="--"/>
    <s v="Não"/>
    <s v="Não"/>
    <s v="Caso um único chiller não consiga suportar a carga térmica por 6h ou haja algum imprevisto o outro chiller será religado."/>
    <s v="Não"/>
    <s v="Não"/>
    <x v="0"/>
    <n v="0"/>
    <x v="3"/>
  </r>
  <r>
    <n v="20099"/>
    <s v="Manutenção preventiva no Aspect Polo BHZRP."/>
    <x v="0"/>
    <d v="2016-05-02T10:51:12"/>
    <x v="4"/>
    <s v="Encerramento"/>
    <s v="VINICIUS JOSE SOUZA DA CRUZ"/>
    <s v="VINICIUS JOSE SOUZA DA CRUZ"/>
    <x v="13"/>
    <x v="1"/>
    <s v="Encerrada"/>
    <d v="2016-05-12T22:00:00"/>
    <d v="2016-05-13T05:00:00"/>
    <d v="2016-05-13T06:00:00"/>
    <x v="0"/>
    <x v="0"/>
    <s v="Pouco impacto"/>
    <s v="corctx01bhzrp; EXPCTX01BHZRP; EXPCTX02BHZRP; EXPCTX03BHZRP; EXPCTX04BHZRP; PDMCTX01BHZRP; REPCTX01BHZRP"/>
    <s v="corctx01bhzrp; EXPCTX01BHZRP; EXPCTX02BHZRP; EXPCTX03BHZRP; EXPCTX04BHZRP; PDMCTX01BHZRP; REPCTX01BHZRP"/>
    <s v="Sim"/>
    <s v="Não"/>
    <s v="Nao contempla plano de retorno"/>
    <s v="Não"/>
    <s v="Não"/>
    <x v="0"/>
    <m/>
    <x v="2"/>
  </r>
  <r>
    <n v="20101"/>
    <s v="Preventiva mensal teste em vazio do gerador heimer 305 KVA"/>
    <x v="94"/>
    <d v="2016-05-02T11:54:38"/>
    <x v="4"/>
    <s v="Encerramento"/>
    <s v="JACQUES DOUGLAS NASCIMENTO DOS SANTOS"/>
    <s v="JACQUES DOUGLAS NASCIMENTO DOS SANTOS"/>
    <x v="34"/>
    <x v="0"/>
    <s v="Encerrada"/>
    <d v="2016-05-25T21:00:00"/>
    <d v="2016-05-25T23:00:00"/>
    <d v="2016-05-27T08:00:00"/>
    <x v="0"/>
    <x v="0"/>
    <s v="Sem impacto"/>
    <s v="--"/>
    <s v="Gerador Heimer 305 KVA"/>
    <s v="Não"/>
    <s v="Não"/>
    <s v="Caso ocorra anormalidades com equipamento será abortada a atividade, com procedimentos e medidas de controle sinalizando os interessados da atividade."/>
    <s v="Não"/>
    <s v="Não"/>
    <x v="0"/>
    <s v="N/A"/>
    <x v="0"/>
  </r>
  <r>
    <n v="20102"/>
    <s v="STOP/START Full Plataforma Aspect PE - Manutenlçao preventiva na plataforma Aspect 6.6 PE, com intuito de minizar instabilidades e indisponibilidades no sistema."/>
    <x v="3"/>
    <d v="2016-05-02T13:46:10"/>
    <x v="4"/>
    <s v="Encerramento"/>
    <s v="LEANDRO ROCHA GONÇALVES"/>
    <s v="LEANDRO ROCHA GONÇALVES"/>
    <x v="29"/>
    <x v="1"/>
    <s v="Encerrada"/>
    <d v="2016-05-11T22:00:00"/>
    <d v="2016-05-12T05:00:00"/>
    <d v="2016-05-12T07:00:00"/>
    <x v="0"/>
    <x v="0"/>
    <s v="Sem impacto"/>
    <s v="CORCTX01RECSA; EXPCTX01RECSA; EXPCTX02RECSA; PDMCTX01RECSA; RECCTX01RECSA; REPCTX01RECSA"/>
    <s v="--"/>
    <s v="Sim"/>
    <s v="Não"/>
    <s v="Não possui plano de retorno, pois o ambiente não irá sofrer alterações na estrutura."/>
    <s v="Não"/>
    <s v="Não"/>
    <x v="0"/>
    <s v="N/A"/>
    <x v="5"/>
  </r>
  <r>
    <n v="20103"/>
    <s v="Integração com servidor de contexto Oi. Envio de todas as variáveis para o servidor de contexto da Oi, as quais são usadas para roteamento."/>
    <x v="95"/>
    <d v="2016-05-02T16:27:37"/>
    <x v="4"/>
    <s v="Encerramento"/>
    <s v="FRANCIELE CARLA DE LIMA COSTA"/>
    <s v="WILLIAN CAMPBELL VIANA"/>
    <x v="7"/>
    <x v="1"/>
    <s v="Encerrada"/>
    <d v="2016-05-03T22:00:00"/>
    <d v="2016-05-04T12:00:00"/>
    <d v="2016-05-04T18:00:00"/>
    <x v="1"/>
    <x v="2"/>
    <s v="Os prejuízos ou dificuldades são impactantes"/>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m/>
    <x v="5"/>
  </r>
  <r>
    <n v="20106"/>
    <s v="Publicação no ambiente de produção do sistema EGMUD com a notificação de freezing do dia das mães."/>
    <x v="9"/>
    <d v="2016-05-02T17:04:47"/>
    <x v="4"/>
    <s v="Encerramento"/>
    <s v="GABRIEL SACRAMENTO DO AMARAL"/>
    <s v="GABRIEL SACRAMENTO DO AMARAL"/>
    <x v="5"/>
    <x v="0"/>
    <s v="Encerrada"/>
    <d v="2016-05-03T14:00:00"/>
    <d v="2016-05-03T15:00:00"/>
    <d v="2016-05-03T16:00:00"/>
    <x v="3"/>
    <x v="0"/>
    <s v="Sem impacto"/>
    <s v="--"/>
    <s v="DBSCTX36SPOAL"/>
    <s v="Não"/>
    <s v="Não"/>
    <s v="Retornar o arquivo original para o servidor em caso de falha."/>
    <s v="Não"/>
    <s v="Não"/>
    <x v="0"/>
    <m/>
    <x v="0"/>
  </r>
  <r>
    <n v="20108"/>
    <s v="Controlar execução do checklist de sites / implantar nova funcionalidade de dashbord no checklist"/>
    <x v="96"/>
    <d v="2016-05-03T09:25:01"/>
    <x v="4"/>
    <s v="Encerramento"/>
    <s v="FABIANA CARLA DE SOUZA DIAS"/>
    <s v="MARCELO AIRTON YAMASHITA"/>
    <x v="6"/>
    <x v="1"/>
    <s v="Encerrada"/>
    <d v="2016-05-09T18:00:00"/>
    <d v="2016-05-09T19:30:00"/>
    <d v="2016-05-09T19:30:00"/>
    <x v="0"/>
    <x v="0"/>
    <s v="Sem impacto"/>
    <s v="APPCTX05AZPRD"/>
    <s v="APPCTX05AZPRD"/>
    <s v="Sim"/>
    <s v="Sim"/>
    <s v="1 - Parar o serviço do JBOSS do servidor 2 - Acessar a pasta F:\Todo\jboss-eap-6.2\standalone\deployments 2.1 - Apagar o arquivo atual da aplicação checklistsite.ear 2.2 - Renomear a aplicação checklistsite_DDMMYYYY.ear de backup feita no passo de Execução, para checklistsite.ear 3 - Iniciar novamente o serviço do JBOSS do servidor 4 - Executar os testes tecnicos e testes funcionais"/>
    <s v="Não"/>
    <s v="Não"/>
    <x v="0"/>
    <m/>
    <x v="1"/>
  </r>
  <r>
    <n v="20110"/>
    <s v="Realizar manutenção preventiva mensal em gerador do Site DC Alphaville conforme cronograma contemplando teste sem carga."/>
    <x v="0"/>
    <d v="2016-05-03T11:03:06"/>
    <x v="4"/>
    <s v="Encerramento"/>
    <s v="ROBERTO LOPES"/>
    <s v="ROBERTO LOPES"/>
    <x v="0"/>
    <x v="1"/>
    <s v="Encerrada"/>
    <d v="2016-05-21T08:00:00"/>
    <d v="2016-05-21T12:00:00"/>
    <d v="2016-05-23T14:00:00"/>
    <x v="0"/>
    <x v="0"/>
    <s v="Sem impacto"/>
    <s v="GERADOR"/>
    <s v="GERADOR"/>
    <s v="Não"/>
    <s v="Não"/>
    <s v="Para retorno do equipamento a sua condição normal, após todos os testes, analise visual e limpeza, estaremos passando o gerador de manual para automático e estará apto para reconhecer uma falta de energia e atuar plenamente"/>
    <s v="Não"/>
    <s v="Não"/>
    <x v="0"/>
    <m/>
    <x v="13"/>
  </r>
  <r>
    <n v="20111"/>
    <s v="Implantação de melhoria e atualização da aplicação RACO. Registrar o tempo de consultas dos legados."/>
    <x v="0"/>
    <d v="2016-05-03T11:08:56"/>
    <x v="4"/>
    <s v="Encerramento"/>
    <s v="FRANCIELE CARLA DE LIMA COSTA"/>
    <s v="WILLIAN CAMPBELL VIANA"/>
    <x v="7"/>
    <x v="1"/>
    <s v="Encerrada"/>
    <d v="2016-05-11T22:00:00"/>
    <d v="2016-05-12T12:00:00"/>
    <d v="2016-05-12T18:00:00"/>
    <x v="0"/>
    <x v="0"/>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m/>
    <m/>
    <x v="1"/>
    <s v="OI-14648"/>
    <x v="2"/>
  </r>
  <r>
    <n v="20112"/>
    <s v="Manter a confiabilidade do sistema de energia/Manutenção Preventiva Trimestral No Breaks de Operação e CPD"/>
    <x v="0"/>
    <d v="2016-05-03T11:09:46"/>
    <x v="4"/>
    <s v="Encerramento"/>
    <s v="VANDERLEI CASTRO SOUZA LIMA"/>
    <s v="VANDERLEI CASTRO SOUZA LIMA"/>
    <x v="18"/>
    <x v="15"/>
    <s v="Encerrada"/>
    <d v="2016-05-20T22:00:00"/>
    <d v="2016-05-21T01:00:00"/>
    <d v="2016-05-21T01:30:00"/>
    <x v="0"/>
    <x v="0"/>
    <s v="Sem impacto"/>
    <s v="--"/>
    <s v="NO BREAK"/>
    <s v="Não"/>
    <s v="Não"/>
    <s v="Ligar No Break; Transferir as cargas para o No Break; Desligar os geradores; Vistoria final em todos os equipamentos após o término; Vistoria no CPD;"/>
    <s v="Não"/>
    <s v="Não"/>
    <x v="0"/>
    <m/>
    <x v="10"/>
  </r>
  <r>
    <n v="20113"/>
    <s v="Manutenção preventiva dos Nobreak`s de 150KVA e 80KVA"/>
    <x v="0"/>
    <d v="2016-05-03T11:38:38"/>
    <x v="4"/>
    <s v="Encerramento"/>
    <s v="PAULO ROBERTO RIBEIRO DE LIMA"/>
    <s v="PAULO ROBERTO RIBEIRO DE LIMA"/>
    <x v="1"/>
    <x v="22"/>
    <s v="Encerrada"/>
    <d v="2016-05-13T22:00:00"/>
    <d v="2016-05-14T05:00:00"/>
    <d v="2016-05-14T06:00:00"/>
    <x v="0"/>
    <x v="0"/>
    <s v="Pouco impacto"/>
    <s v="--"/>
    <s v="Nobreak´s 150KVA e 80KVA"/>
    <s v="Não"/>
    <s v="Não"/>
    <s v="As atividades de testes de tensão dos Nobreak`s que será executado por Técnicos especializados. Na execução de atividade caso ocorra qualquer problema cancelaremos a GMUD imediatamente."/>
    <s v="Não"/>
    <s v="Não"/>
    <x v="0"/>
    <s v="Manutenção Preventiva"/>
    <x v="13"/>
  </r>
  <r>
    <n v="20114"/>
    <s v="Implantar uma página para acesso dos serviços mais procurados pelo colaborador com o nome contaxfacil nos quiosques próximos ao ACI em todos os sites"/>
    <x v="97"/>
    <d v="2016-05-03T11:49:33"/>
    <x v="4"/>
    <s v="Encerramento"/>
    <s v="WILSON DE OLIVEIRA BRITO JUNIOR"/>
    <s v="WILSON DE OLIVEIRA BRITO JUNIOR"/>
    <x v="5"/>
    <x v="0"/>
    <s v="Encerrada"/>
    <d v="2016-05-10T18:00:00"/>
    <d v="2016-05-10T19:00:00"/>
    <d v="2016-05-10T20:00:00"/>
    <x v="0"/>
    <x v="2"/>
    <s v="Sem impacto"/>
    <s v="APPCTX181SPODB; APPCTX182SPODB; APPCTX184SPODB; APPCTX185SPODB"/>
    <s v="APPCTX181SPODB; APPCTX182SPODB; APPCTX184SPODB; APPCTX185SPODB"/>
    <s v="Não"/>
    <s v="Não"/>
    <s v="Remover a aplicação conforme plano de retorno em anexo"/>
    <s v="Não"/>
    <s v="Sim"/>
    <x v="0"/>
    <s v="n/a"/>
    <x v="0"/>
  </r>
  <r>
    <n v="20115"/>
    <s v="Atualização de service pack do Avaya Aura Comunication Manager 6.2"/>
    <x v="88"/>
    <d v="2016-05-03T12:21:23"/>
    <x v="4"/>
    <s v="Encerramento"/>
    <s v="WARLEI DIAS DE OLIVEIRA"/>
    <s v="REGINALDO ALVES DE SOUZA"/>
    <x v="21"/>
    <x v="1"/>
    <s v="Encerrada"/>
    <d v="2016-05-31T01:00:00"/>
    <d v="2016-05-31T04:00:00"/>
    <d v="2016-05-31T09:00:00"/>
    <x v="0"/>
    <x v="0"/>
    <s v="Pouco impacto"/>
    <s v="10.65.29.14"/>
    <s v="10.65.29.14"/>
    <s v="Não"/>
    <s v="Não"/>
    <s v="Realizar roolback para o Service Pack anterior, pois este arquivo estará salvo no próprio servidor."/>
    <s v="Não"/>
    <s v="Não"/>
    <x v="0"/>
    <s v="CTXFORBM-348725"/>
    <x v="17"/>
  </r>
  <r>
    <n v="20117"/>
    <s v="Conservar os equipamentos confiáveis, disponíveis e aptos para assumir carga ,quando solicitados."/>
    <x v="0"/>
    <d v="2016-05-03T13:58:04"/>
    <x v="4"/>
    <s v="Encerramento"/>
    <s v="GÊNESIS HENRIQUE DA SILVA"/>
    <s v="GÊNESIS HENRIQUE DA SILVA"/>
    <x v="29"/>
    <x v="31"/>
    <s v="Encerrada"/>
    <d v="2016-05-21T22:00:00"/>
    <d v="2016-05-22T05:00:00"/>
    <d v="2016-05-22T06:00:00"/>
    <x v="0"/>
    <x v="0"/>
    <s v="Impacto"/>
    <s v="--"/>
    <s v="Nobreaks"/>
    <s v="Não"/>
    <s v="Não"/>
    <s v="Em caso de algum problema imprevisto, acionamos a energia da concessionaria;"/>
    <s v="Não"/>
    <s v="Não"/>
    <x v="0"/>
    <m/>
    <x v="18"/>
  </r>
  <r>
    <n v="20120"/>
    <s v="Manutenção preventiva de grupo gerador, essa manobra , tem como objetivo manter a confiabilidade elétrica do Site, como também a conservação e desempenho do equipamento."/>
    <x v="0"/>
    <d v="2016-05-03T14:37:26"/>
    <x v="4"/>
    <s v="Encerramento"/>
    <s v="GENALDO GOMES FERREIRA"/>
    <s v="GENALDO GOMES FERREIRA"/>
    <x v="14"/>
    <x v="10"/>
    <s v="Encerrada"/>
    <d v="2016-05-21T00:01:00"/>
    <d v="2016-05-22T06:00:00"/>
    <d v="2016-05-22T07:00:00"/>
    <x v="0"/>
    <x v="0"/>
    <s v="Pouco impacto"/>
    <s v="--"/>
    <s v="Grupo gerador"/>
    <s v="Sim"/>
    <s v="Não"/>
    <s v="Havendo necessidade de acionamento dos equipamentos os mesmos serão ativados."/>
    <s v="Não"/>
    <s v="Não"/>
    <x v="0"/>
    <m/>
    <x v="9"/>
  </r>
  <r>
    <n v="20122"/>
    <s v="Executar manutenção corretiva emergencial no banco de baterias do (1) NO BREAK - ENGETRON de 80 KVA que supri a carga essencial ( CPD ) do Site Alameda Santos."/>
    <x v="0"/>
    <d v="2016-05-03T17:08:42"/>
    <x v="4"/>
    <s v="Encerramento"/>
    <s v="LUIS FERNANDO COSTA NEVES"/>
    <s v="LUIS FERNANDO COSTA NEVES"/>
    <x v="6"/>
    <x v="7"/>
    <s v="Encerrada"/>
    <d v="2016-05-04T20:00:00"/>
    <d v="2016-05-05T09:00:00"/>
    <d v="2016-05-05T10:00:00"/>
    <x v="1"/>
    <x v="1"/>
    <s v="Muito impacto"/>
    <s v="--"/>
    <s v="--"/>
    <s v="Sim"/>
    <s v="Não"/>
    <s v="Toda atividade será realizada seguindo procedimentos e medidas de controle caso haja qualquer anomalia na execução iremos paralisar e retornar o processo do inicio, sempre sinalizando os interessados da atividade."/>
    <s v="Não"/>
    <s v="Não"/>
    <x v="0"/>
    <s v="sem chamado"/>
    <x v="0"/>
  </r>
  <r>
    <n v="20127"/>
    <s v="Atualização da aplicação Empresarial. A release 2016/05/04 terá como foco principal as seguintes mudanças abaixo: ? FUO-833 - Correção RP derivação cliente voice net (Consiste em realizar o ajuste do código para atender o Tipo de Produto DVI ou RVI(Campo8 SVIF21) e ReparoFixo = True no fluxo MenuReparo)"/>
    <x v="9"/>
    <d v="2016-05-04T14:18:14"/>
    <x v="4"/>
    <s v="Encerramento"/>
    <s v="DANIEL SCHONWANDT MENDES FERREIRA"/>
    <s v="DANIEL SCHONWANDT MENDES FERREIRA"/>
    <x v="7"/>
    <x v="1"/>
    <s v="Encerrada"/>
    <d v="2016-05-04T22:00:00"/>
    <d v="2016-05-05T12:00:00"/>
    <d v="2016-05-05T18:00:00"/>
    <x v="3"/>
    <x v="0"/>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Undeploy da versão da máquina Application Server em questão e Deploy da nova versão utilizando o Tomcat Manager.da."/>
    <s v="Não"/>
    <s v="Não"/>
    <x v="0"/>
    <m/>
    <x v="1"/>
  </r>
  <r>
    <n v="20129"/>
    <s v="Garantir a confiabilidade do sistema de geração de energia emergencial."/>
    <x v="0"/>
    <d v="2016-05-04T15:05:48"/>
    <x v="4"/>
    <s v="Encerramento"/>
    <s v="CRISTIANO COTA DIAS"/>
    <s v="CRISTIANO COTA DIAS"/>
    <x v="2"/>
    <x v="1"/>
    <s v="Encerrada"/>
    <d v="2016-05-20T21:00:00"/>
    <d v="2016-05-21T04:00:00"/>
    <d v="2016-05-21T05:00:00"/>
    <x v="0"/>
    <x v="0"/>
    <s v="Pouco impacto"/>
    <s v="--"/>
    <s v="Geradores"/>
    <s v="Sim"/>
    <s v="Não"/>
    <s v="Caso ocorra algum incidente os técnicos manterão contato com os gestores afim de definir o caminho ótimo para a solução do incidente."/>
    <s v="Não"/>
    <s v="Não"/>
    <x v="0"/>
    <m/>
    <x v="2"/>
  </r>
  <r>
    <n v="20130"/>
    <s v="Garantir a confiabilidade do sistema de geração de energia emergencial do Site Prado."/>
    <x v="0"/>
    <d v="2016-05-04T15:29:35"/>
    <x v="4"/>
    <s v="Encerramento"/>
    <s v="CRISTIANO COTA DIAS"/>
    <s v="CRISTIANO COTA DIAS"/>
    <x v="13"/>
    <x v="1"/>
    <s v="Encerrada"/>
    <d v="2016-05-20T21:00:00"/>
    <d v="2016-05-21T04:00:00"/>
    <d v="2016-05-21T05:00:00"/>
    <x v="0"/>
    <x v="0"/>
    <s v="Pouco impacto"/>
    <s v="--"/>
    <s v="Geradores"/>
    <s v="Sim"/>
    <s v="Não"/>
    <s v="Caso ocorra algum incidente os técnicos manterão contato com os gestores afim de definir o caminho ótimo para a solução do incidente."/>
    <s v="Não"/>
    <s v="Não"/>
    <x v="0"/>
    <m/>
    <x v="2"/>
  </r>
  <r>
    <n v="20131"/>
    <s v="Manutenção Preventiva em 02(dois) Grupo Gerador de 360KVA (cada). Verificar ajustes e realizar testes necessários nas USCA/Geradores"/>
    <x v="0"/>
    <d v="2016-05-04T16:10:47"/>
    <x v="4"/>
    <s v="Encerramento"/>
    <s v="WILTON DOS ANJOS CARNEIRO"/>
    <s v="WILTON DOS ANJOS CARNEIRO"/>
    <x v="11"/>
    <x v="21"/>
    <s v="Encerrada"/>
    <d v="2016-05-28T22:00:00"/>
    <d v="2016-05-29T05:00:00"/>
    <d v="2016-05-29T05:00:00"/>
    <x v="0"/>
    <x v="0"/>
    <s v="Sem impacto"/>
    <s v="--"/>
    <s v="02(dois) Grupo Gerador de 360KVA (cada)"/>
    <s v="Não"/>
    <s v="Não"/>
    <s v="Caso tenha algum problema com o gerador, será realizado by-pass para o fornecimento de energia da concessionária."/>
    <s v="Não"/>
    <s v="Não"/>
    <x v="0"/>
    <m/>
    <x v="7"/>
  </r>
  <r>
    <n v="20132"/>
    <s v="Movimentação de um ponto de hidrante no térreo e rebaixar um ponto de sprinkler. Necessário atividade, devido a implantação do novo espaço do ACI na área onde estão os itens hoje."/>
    <x v="0"/>
    <d v="2016-05-04T16:12:11"/>
    <x v="4"/>
    <s v="Encerramento"/>
    <s v="ARTHUR PRADO DE HOLANDA MOURA"/>
    <s v="ARTHUR PRADO DE HOLANDA MOURA"/>
    <x v="5"/>
    <x v="8"/>
    <s v="Encerrada"/>
    <d v="2016-05-14T08:00:00"/>
    <d v="2016-05-14T23:59:00"/>
    <d v="2016-05-15T06:00:00"/>
    <x v="0"/>
    <x v="2"/>
    <s v="Sem impacto"/>
    <m/>
    <m/>
    <s v="Não"/>
    <s v="Não"/>
    <s v="Não há"/>
    <s v="Não"/>
    <s v="Não"/>
    <x v="0"/>
    <m/>
    <x v="2"/>
  </r>
  <r>
    <n v="20133"/>
    <s v="Manutenção Preventiva em 02(dois) No-break de 60KVA do CPD e 02(dois) No-break de 160KVA da Operação .Verificar ajustes e realizar testes necessários nos equipamentos."/>
    <x v="0"/>
    <d v="2016-05-04T16:33:56"/>
    <x v="4"/>
    <s v="Encerramento"/>
    <s v="WILTON DOS ANJOS CARNEIRO"/>
    <s v="WILTON DOS ANJOS CARNEIRO"/>
    <x v="11"/>
    <x v="21"/>
    <s v="Encerrada"/>
    <d v="2016-05-19T22:00:00"/>
    <d v="2016-05-20T05:00:00"/>
    <d v="2016-05-20T05:00:00"/>
    <x v="0"/>
    <x v="0"/>
    <s v="Sem impacto"/>
    <s v="--"/>
    <s v="02(dois) No-break de 60KVA do CPD e 02(dois) No-br"/>
    <s v="Não"/>
    <s v="Não"/>
    <s v="Caso tenha algum problema com o no-break , será realizada by-pass para alimentação das cargas através da energia elétrica fornecida pela concessionária."/>
    <s v="Não"/>
    <s v="Não"/>
    <x v="0"/>
    <m/>
    <x v="7"/>
  </r>
  <r>
    <n v="20134"/>
    <s v="Manutenção dos Nobreak do CPD. Sem Desligamento"/>
    <x v="0"/>
    <d v="2016-05-04T18:08:44"/>
    <x v="4"/>
    <s v="Encerramento"/>
    <s v="PAULO ROBERTO RIBEIRO DE LIMA"/>
    <s v="PAULO ROBERTO RIBEIRO DE LIMA"/>
    <x v="1"/>
    <x v="22"/>
    <s v="Encerrada"/>
    <d v="2016-05-13T22:00:00"/>
    <d v="2016-05-14T05:00:00"/>
    <d v="2016-05-14T06:00:00"/>
    <x v="0"/>
    <x v="0"/>
    <s v="Pouco impacto"/>
    <s v="--"/>
    <s v="UPS 40KVA"/>
    <s v="Não"/>
    <s v="Não"/>
    <s v="As atividades de testes de tensão dos Nobreak`s que será executado por Técnicos especializados. Na execução de atividade caso ocorra qualquer problema cancelaremos a GMUD imediatamente."/>
    <s v="Não"/>
    <s v="Não"/>
    <x v="0"/>
    <s v="Manutenção Preventiva"/>
    <x v="13"/>
  </r>
  <r>
    <n v="20135"/>
    <s v="FPw - Atualização da versão 2015.2 do FPw, abrangendo todos os módulos e customizados, com melhorias e correções."/>
    <x v="98"/>
    <d v="2016-05-04T18:36:09"/>
    <x v="4"/>
    <s v="Encerramento"/>
    <s v="MYRIAM WANDERLEY DA NOBREGA SANTOS"/>
    <s v="ANDERSON MOURA DE CARVALHO,CLAYTON ROBERTO LEITE,FELIPE DE OLIVEIRA MOREIRA,JOÃO CARLOS FADUL VILAS BÔAS,LUIZ GONZAGA DOS REIS,MIGUEL ANGELO DO PATROCINIO,MYRIAM WANDERLEY DA NOBREGA SANTOS,ROBERTO MAGALHÃES DE OLIVEIRA"/>
    <x v="5"/>
    <x v="0"/>
    <s v="Encerrada"/>
    <d v="2016-05-12T14:00:00"/>
    <d v="2016-05-16T10:00:00"/>
    <d v="2016-05-16T12:00:00"/>
    <x v="0"/>
    <x v="0"/>
    <s v="Impacto"/>
    <s v="APPCTX113SPODB; APPCTX114SPODB; APPCTX115SPODB; APPCTX117SPODB; APPCTX118SPODB; APPCTX119SPODB; APPCTX181SPODB; APPCTX182SPODB; APPCTX184SPODB; APPCTX185SPODB; APPCTX264SPODB; BRSPOPL032; DBSCTX127SPODB"/>
    <s v="APPCTX113SPODB; APPCTX114SPODB; APPCTX115SPODB; APPCTX117SPODB; APPCTX118SPODB; APPCTX119SPODB; APPCTX181SPODB; APPCTX182SPODB; APPCTX184SPODB; APPCTX185SPODB; APPCTX264SPODB; BRSPOPL032; DBSCTX127SPODB"/>
    <s v="Sim"/>
    <s v="Sim"/>
    <s v="Plano de Retorno - passos: a) Restaurar a base de dados a partir do backup salvo no item 1, nos servidores de BD 10.201.34.141 / DBSCTX127SPODB b) Desinstalar a aplicação, removendo os aplicativos através do Painel de Controle / Adicionar/Remover Programas nos servidores de aplicação. c) Desinstalar a aplicação, removendo os produtos atualizados nesta versão através do Painel de Controle / Adicionar/Remover Programas nos servidores de aplicação - FPw Folha de Pagamento Servidor e Cliente, Benefícios e Portal MyWay. Observação: ao desinstalar o Fpw Folha de Pagamento serão removidos os módulos de Folha e RH: Cadastros e Cálculos, Emissões, Autorizações, Interface Contábil, Vale Transporte, Tabelas Genéricas, Cargos e Salários e Treinamento. d) Reinstalar a versão anterior da versão do FPw - servidor e cliente, através dos instaladores da versão anterior, seguindo o mesmo procedimento de atualização descrito neste plano. Local dos instaladores da versão anterior: \\10.49.10.14\c$\FPw_Atualizacoes_Produtos_LG\Instaladores_mais_recentes_2014.2."/>
    <s v="Não"/>
    <s v="Não"/>
    <x v="0"/>
    <s v="N/A"/>
    <x v="0"/>
  </r>
  <r>
    <n v="20136"/>
    <s v="Manter o sistema de energia de telefonia em perfeito funcionamento. Manutenção Preventiva da Fonte -48V"/>
    <x v="0"/>
    <d v="2016-05-04T18:38:28"/>
    <x v="4"/>
    <s v="Encerramento"/>
    <s v="ALEXANDRE GARCIA FULY"/>
    <s v="ALEXANDRE GARCIA FULY"/>
    <x v="12"/>
    <x v="9"/>
    <s v="Encerrada"/>
    <d v="2016-05-14T22:00:00"/>
    <d v="2016-05-15T05:00:00"/>
    <d v="2016-05-16T05:00:00"/>
    <x v="0"/>
    <x v="0"/>
    <s v="Impacto"/>
    <m/>
    <m/>
    <s v="Sim"/>
    <s v="Não"/>
    <s v="Não há plano de torno, pois nenhum sistema será desligado no caso o No Break. OBS: Após a execução dos serviços acima relacionados, será emitido laudo atestando a funcionalidade dos no-breaks."/>
    <s v="Não"/>
    <s v="Não"/>
    <x v="0"/>
    <m/>
    <x v="8"/>
  </r>
  <r>
    <n v="20138"/>
    <s v="Executar manutenção preventiva dos grupos geradores FGW e Stemac com realização de testes com carga."/>
    <x v="25"/>
    <d v="2016-05-05T09:50:45"/>
    <x v="4"/>
    <s v="Encerramento"/>
    <s v="REGINALDO MIRANDA BISPO"/>
    <s v="REGINALDO MIRANDA BISPO"/>
    <x v="21"/>
    <x v="34"/>
    <s v="Encerrada"/>
    <d v="2016-05-21T23:00:00"/>
    <d v="2016-05-22T05:00:00"/>
    <d v="2016-05-22T06:00:00"/>
    <x v="0"/>
    <x v="0"/>
    <s v="Sem impacto"/>
    <s v="Geradores"/>
    <s v="Geradores"/>
    <s v="Não"/>
    <s v="Não"/>
    <s v="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Gerador."/>
    <s v="Não"/>
    <s v="Não"/>
    <x v="0"/>
    <s v="NA"/>
    <x v="1"/>
  </r>
  <r>
    <n v="20139"/>
    <s v="Correção de erro técnico, para garantir integração com servidor de contexto Oi. Envio de todas as variáveis para o servidor de contexto da Oi, as quais são usadas para roteamento."/>
    <x v="9"/>
    <d v="2016-05-05T09:56:21"/>
    <x v="4"/>
    <s v="Encerramento"/>
    <s v="FELIPE NASCIMENTO DE MENEZES TAVARES"/>
    <s v="WILLIAN CAMPBELL VIANA"/>
    <x v="7"/>
    <x v="1"/>
    <s v="Encerrada"/>
    <d v="2016-05-05T22:00:00"/>
    <d v="2016-05-06T14:00:00"/>
    <d v="2016-05-06T18:00:00"/>
    <x v="3"/>
    <x v="1"/>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0561"/>
    <x v="5"/>
  </r>
  <r>
    <n v="20143"/>
    <s v="Despromoção do DC SDCCIT01RJOMA que se encontra com problemas na base de dados do Active Directory e ativação do DC SDCCIT03RJOMA."/>
    <x v="0"/>
    <d v="2016-05-05T13:05:25"/>
    <x v="4"/>
    <s v="Encerramento"/>
    <s v="DAVID LOPES DA COSTA CHAVES"/>
    <s v="JOSE GERALDO DA SILVA DOS SANTOS"/>
    <x v="30"/>
    <x v="0"/>
    <s v="Encerrada"/>
    <d v="2016-05-11T22:00:00"/>
    <d v="2016-05-12T03:00:00"/>
    <d v="2016-05-12T04:00:00"/>
    <x v="0"/>
    <x v="0"/>
    <s v="Impacto"/>
    <s v="SDCCIT01RJOMA; SDCCIT03RJOMA"/>
    <s v="SDCCIT01RJOMA; SDCCIT03RJOMA"/>
    <s v="Sim"/>
    <s v="Sim"/>
    <s v="1) Acessar o controlador de domínio sdccit03rjoma.citicontax.root via RDP 2) Trocar o IP do servidor para 10.8.29.196 3) Executar os comandos abaixo nos servidores sdccit02rjoma.citicontax.root e sdccit03rjoma.citicontax.root: ipconfig /flushdns ipconfig /registerdns net stop netlogon net start netlogon 4) Acessar o controlador de domínio sdccit01rjoma.citicontax.root via RDP 5) Trocar o IP do servidor para 10.8.29.205 6) Promover o servidor novamente a controlador de domínio e validar o share SYSVOL/NETLGON"/>
    <s v="Não"/>
    <s v="Não"/>
    <x v="0"/>
    <m/>
    <x v="0"/>
  </r>
  <r>
    <n v="20144"/>
    <s v="Atualização da aplicação Televendas. A release 2016/05/10 terá como foco principal as seguintes mudanças abaixo: -&gt; FUO-792 Novo Cliente Controle -&gt; FUO-828 Novo Canal de Televendas Empresarial"/>
    <x v="0"/>
    <d v="2016-05-05T13:50:56"/>
    <x v="4"/>
    <s v="Encerramento"/>
    <s v="DANIEL SCHONWANDT MENDES FERREIRA"/>
    <s v="WILLIAN CAMPBELL VIANA"/>
    <x v="7"/>
    <x v="1"/>
    <s v="Encerrada"/>
    <d v="2016-05-10T22:00:00"/>
    <d v="2016-05-11T12:00:00"/>
    <d v="2016-05-11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20146"/>
    <s v="Implantar melhorias e atualizações na URA"/>
    <x v="99"/>
    <d v="2016-05-05T14:08:59"/>
    <x v="4"/>
    <s v="Encerramento"/>
    <s v="MARCELO GALDINO DA SILVA"/>
    <s v="WILLIAN CAMPBELL VIANA"/>
    <x v="6"/>
    <x v="1"/>
    <s v="Encerrada"/>
    <d v="2016-05-17T22:00:00"/>
    <d v="2016-05-18T05:00:00"/>
    <d v="2016-05-18T18:00:00"/>
    <x v="0"/>
    <x v="2"/>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quot;Realizar o UNDEPLOY da versão nova através do Tomcat Manager Refazer os Testes Técnicos e Funcionais.&quot;"/>
    <s v="Não"/>
    <s v="Não"/>
    <x v="0"/>
    <s v="OI-14568; OI-14811"/>
    <x v="5"/>
  </r>
  <r>
    <n v="20147"/>
    <s v="Atualização da aplicação Empresarial. A release 2016/05/10 terá como foco principal as seguintes mudanças abaixo: -&gt; FUO-770 Envio de Protocolo por SMS -&gt; FUO-814 Mensagem Clientes Migrados -&gt; FUO-804 Migração Pré BRT_CHIP OI -&gt; FUO-825 PILOTO DE VENDAS EMPRESARIAL NAS LOJAS"/>
    <x v="0"/>
    <d v="2016-05-05T14:17:27"/>
    <x v="4"/>
    <s v="Encerramento"/>
    <s v="DANIEL SCHONWANDT MENDES FERREIRA"/>
    <s v="WILLIAN CAMPBELL VIANA"/>
    <x v="7"/>
    <x v="1"/>
    <s v="Encerrada"/>
    <d v="2016-05-10T22:00:00"/>
    <d v="2016-05-11T12:00:00"/>
    <d v="2016-05-11T18:00:00"/>
    <x v="0"/>
    <x v="0"/>
    <s v="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20149"/>
    <s v="Atualizar os campos de Incidentes para os clientes Itaú e Redecard."/>
    <x v="0"/>
    <d v="2016-05-05T15:24:31"/>
    <x v="4"/>
    <s v="Encerramento"/>
    <s v="JULIANA MORETTI ROVARIS GALVÃO PAES"/>
    <s v="EDUARDO YUKIO CASTILLO"/>
    <x v="1"/>
    <x v="0"/>
    <s v="Encerrada"/>
    <d v="2016-05-12T23:00:00"/>
    <d v="2016-05-13T01:00:00"/>
    <d v="2016-05-13T02:00:00"/>
    <x v="0"/>
    <x v="0"/>
    <s v="Pouco impacto"/>
    <s v="Jira02"/>
    <s v="Jira02"/>
    <s v="Não"/>
    <s v="Não"/>
    <s v="Desativar as options da tabela cliente/operação que foram cadastradas. Executar testes técnicos/funcionais novamente."/>
    <s v="Não"/>
    <s v="Não"/>
    <x v="0"/>
    <s v="CTXSPOAL-113133"/>
    <x v="0"/>
  </r>
  <r>
    <n v="20155"/>
    <s v="Release URA USSD OI 14873 Exclusão check &quot;Limite Recarga programada&quot; Custome OI 15111 Exclusão retentiva fluxo &quot;CadastraPromo“ OI 15088 Atualização serviço SVA planilha serviços / tabela financeira OI 15199 Atualização fraseologias Sorte na Palma da mão"/>
    <x v="1"/>
    <d v="2016-05-06T09:32:58"/>
    <x v="4"/>
    <s v="Encerramento"/>
    <s v="PRISCILA LUCIA PEREIRA DE ALBUQUERQUE GALARANI"/>
    <s v="DANIEL SCHONWANDT MENDES FERREIRA"/>
    <x v="1"/>
    <x v="1"/>
    <s v="Encerrada"/>
    <d v="2016-05-16T22:00:00"/>
    <d v="2016-05-17T03:00:00"/>
    <d v="2016-05-17T09:00:00"/>
    <x v="0"/>
    <x v="0"/>
    <s v="Pouco impacto"/>
    <s v="APPCTX27RJOMK; APPCTX28RJOMK"/>
    <s v="APPCTX27RJOMK; APPCTX28RJOMK"/>
    <s v="Não"/>
    <s v="Não"/>
    <s v="Realizar o UNDEPLOY da versão nova através do JBoss Refazer os Testes Técnicos e Funcionais."/>
    <s v="Não"/>
    <s v="Não"/>
    <x v="0"/>
    <m/>
    <x v="1"/>
  </r>
  <r>
    <n v="20156"/>
    <s v="Alterar configuração de tempo de sessão do IIS nos servidores 10.55.14.5 e 10.55.14.6, com o objetivo de reduzir o indice de incidentes relacionados a desconexão do tCollect nas operações de Retenção Invol no site Borges de Melo -CE"/>
    <x v="0"/>
    <d v="2016-05-06T10:07:28"/>
    <x v="4"/>
    <s v="Encerramento"/>
    <s v="LEEWAN ALVES DE MENESES"/>
    <s v="ALEXANDRE BASTOS CORREA"/>
    <x v="3"/>
    <x v="1"/>
    <s v="Encerrada"/>
    <d v="2016-05-11T22:00:00"/>
    <d v="2016-05-12T00:00:00"/>
    <d v="2016-05-12T01:00:00"/>
    <x v="0"/>
    <x v="1"/>
    <s v="Pouco impacto"/>
    <s v="appctx03bhzri; appctx04bhzri"/>
    <s v="appctx03bhzri; appctx04bhzri"/>
    <s v="Não"/>
    <s v="Não"/>
    <s v=".Conectar via Terminal Service no servidor 10.55.14.5 .Abrir O Internet Information Services .Clicar com o Botão direito no Servidor &quot;APPCTX03BHZRI&quot;, do Console Tree, selecionar a opção &quot;All Tasks&quot;, e em seguida &quot;Restart IIS...&quot; .Selecionar a opção &quot;Stop Internet Services on APPCTX03BHZRI&quot; e clicar no Botão &quot;OK&quot;. .Selecionar a pasta &quot;Web Sites&quot; do Console Tree, e em seguida, &quot;Default Web Site&quot;. -- ..Selecionar &quot;tCollectNBA&quot; clicando com o botão direito sobre. ..Na tela de propiedades exibida, clicar no botão &quot;Configuração&quot; ..Selecionar a aba &quot;Options&quot; ..Na opção &quot;Enable session state&quot; alterar o valor para '20', em seguida, clicar no botão &quot;Ok&quot; para confirmar. ..Clicar no botão &quot;Ok&quot; para retornar ao menu do Console Tree. -- ..Selecionar &quot;tCollect&quot; clicando com o botão direito sobre. ..Na tela de propiedades exibida, clicar no botão &quot;Configuração&quot; ..Selecionar a aba &quot;Options&quot; ..Na opção &quot;Enable session state&quot; alterar o valor para '20', em seguida, clicar no botão &quot;Ok&quot; para confirmar. ..Clicar no botão &quot;Ok&quot; para retornar ao menu do Console Tree. -- ..Selecionar &quot;tCollecttv&quot; clicando com o botão direito sobre. ..Na tela de propiedades exibida, clicar no botão &quot;Configuração&quot; ..Selecionar a aba &quot;Options&quot; ..Na opção &quot;Enable session state&quot; alterar o valor para '20', em seguida, clicar no botão &quot;Ok&quot; para confirmar. ..Clicar no botão &quot;Ok&quot; para retornar ao menu do Console Tree. .Clicar com o Botão direito no Servidor &quot;APPCTX03BHZRI&quot;, do Console Tree, selecionar a opção &quot;All Tasks&quot;, e em seguida &quot;Restart IIS...&quot; .Selecionar a opção &quot;Star Internet Services on APPCTX03BHZRI&quot; e clicar no Botão &quot;OK&quot;. .Conectar via Terminal Service no servidor 10.55.14.6 .Abrir O Internet Information Services .Clicar com o Botão direito no Servidor &quot;APPCTX04BHZRI&quot;, do Console Tree, selecionar a opção &quot;All Tasks&quot;, e em seguida &quot;Restart IIS...&quot; .Selecionar a opção &quot;Stop Internet Services on APPCTX04BHZRI&quot; e clicar no Botão &quot;OK&quot;. .Selecionar a pasta &quot;Web Sites&quot; do Console Tree, e em seguida, &quot;Default Web Site&quot;. -- ..Selecionar &quot;tCollectNBA&quot; clicando com o botão direito sobre. ..Na tela de propiedades exibida, clicar no botão &quot;Configuração&quot; ..Selecionar a aba &quot;Options&quot; ..Na opção &quot;Enable session state&quot; alterar o valor para '20', em seguida, clicar no botão &quot;Ok&quot; para confirmar. ..Clicar no botão &quot;Ok&quot; para retornar ao menu do Console Tree. -- ..Selecionar &quot;tCollect&quot; clicando com o botão direito sobre. ..Na tela de propiedades exibida, clicar no botão &quot;Configuração&quot; ..Selecionar a aba &quot;Options&quot; ..Na opção &quot;Enable session state&quot; alterar o valor para '20', em seguida, clicar no botão &quot;Ok&quot; para confirmar. ..Clicar no botão &quot;Ok&quot; para retornar ao menu do Console Tree. -- ..Selecionar &quot;tCollecttv&quot; clicando com o botão direito sobre. ..Na tela de propiedades exibida, clicar no botão &quot;Configuração&quot; ..Selecionar a aba &quot;Options&quot; ..Na opção &quot;Enable session state&quot; alterar o valor para '20', em seguida, clicar no botão &quot;Ok&quot; para confirmar. ..Clicar no botão &quot;Ok&quot; para retornar ao menu do Console Tree. .Clicar com o Botão direito no Servidor &quot;APPCTX04BHZRI&quot;, do Console Tree, selecionar a opção &quot;All Tasks&quot;, e em seguida &quot;Restart IIS...&quot; .Selecionar a opção &quot;Star Internet Services on APPCTX04BHZRI&quot; e clicar no Botão &quot;OK&quot;."/>
    <s v="Não"/>
    <s v="Não"/>
    <x v="0"/>
    <s v="CTXFORBM-371727"/>
    <x v="1"/>
  </r>
  <r>
    <n v="20160"/>
    <s v="Realização de manutenção preventiva sem desligamento das UPS Socomec site Cabula."/>
    <x v="25"/>
    <d v="2016-05-06T11:33:59"/>
    <x v="4"/>
    <s v="Encerramento"/>
    <s v="REGINALDO MIRANDA BISPO"/>
    <s v="REGINALDO MIRANDA BISPO"/>
    <x v="21"/>
    <x v="34"/>
    <s v="Encerrada"/>
    <d v="2016-05-21T22:00:00"/>
    <d v="2016-05-22T05:00:00"/>
    <d v="2016-05-22T05:30:00"/>
    <x v="0"/>
    <x v="0"/>
    <s v="Sem impacto"/>
    <s v="No-breaks"/>
    <s v="No-breaks"/>
    <s v="Não"/>
    <s v="Não"/>
    <s v="Plano de retorno 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s v="Não"/>
    <s v="Não"/>
    <x v="0"/>
    <s v="NA"/>
    <x v="1"/>
  </r>
  <r>
    <n v="20161"/>
    <s v="Adequar o layout do arquivo de carga das operações Cobrança Escob R1, Cobrança CD Fixa R1 e Varejo R1. Serão incluídos no layout atual os campos 33, 34, 35, 36, 37 e 39."/>
    <x v="100"/>
    <d v="2016-05-06T12:08:25"/>
    <x v="4"/>
    <s v="Encerramento"/>
    <s v="GEOVANI JOSE DE RESENDE MOREIRA"/>
    <s v="GEOVANI JOSE DE RESENDE MOREIRA"/>
    <x v="3"/>
    <x v="1"/>
    <s v="Encerrada"/>
    <d v="2016-05-16T20:00:00"/>
    <d v="2016-05-16T23:59:00"/>
    <d v="2016-05-17T05:00:00"/>
    <x v="0"/>
    <x v="2"/>
    <s v="Sem impacto"/>
    <s v="--"/>
    <s v="10.171.2.76; 10.171.2.82; 10.55.14.11"/>
    <s v="Não"/>
    <s v="Não"/>
    <s v="1 - conectar no servidor 10.171.2.76 pelo query analyzer 2 - conectar no servidor 10.171.2.82 pelo query analyzer 3 - conectar no servidor 10.55.14.11 pelo query analyzer 4 - executar SQL abaixo: CREATE PROCEDURE [dbo].[GetCalculatedCustomerExtensions] ( @DebtID INT , @UserID INT ) AS BEGIN SET NOCOUNT ON -- Begin block customer risk (DebtDeals version) DECLARE @CustomerRisk VARCHAR(100) SELECT TOP 1 @CustomerRisk = DD.DebtDealComplement FROM FTCRM..DebtDeals DD INNER JOIN FTCRM..Bindings B ON DD.DebtID = B.DebtID WHERE B.CustomerID = (SELECT MAX(CustomerID) FROM FTCRM..Bindings WHERE DebtID = @DebtID) ORDER BY ISNULL(DD.LastModificationDate,DD.CreationDate) DESC -- End block customer risk SELECT (CASE WHEN CE.CustomerString5 IS NOT NULL THEN 'Filial: '+CE.CustomerString5+'' ELSE '' END) + (CASE WHEN CE.PortfolioID = 1--Oi Fixa THEN CASE WHEN CE.CustomerString4 IS NOT NULL THEN ' - Seg. de Consumo:  '+CE.CustomerString4+'' ELSE '' END ELSE '' -- CASE WHEN CE.CustomerString4 IS NOT NULL THEN ' - Cenário Cobrança:  '+CE.CustomerString4+'' ELSE '' END END) + (CASE WHEN CE.CustomerCode1 is not NULL THEN ' - Anatel' ELSE '' END) + (CASE WHEN CE.CustomerString1 is not NULL THEN ' - Alavancado' ELSE '' END) + ' - Risco do Cliente: ' + (CASE WHEN @CustomerRisk = 'ALTO' THEN 'ALTO' WHEN @CustomerRisk = 'BAIXO' THEN 'BAIXO' WHEN @CustomerRisk IS NOT NULL AND @CustomerRisk '' THEN @CustomerRisk ELSE 'INDEFINIDO' END) + '' + ( CASE WHEN CE.CustomerNumber2 IS NULL THEN '' ELSE ' - Velox: ' + CASE WHEN CE.CustomerNumber2 = 1 THEN 'Sim' ELSE 'Não' END END) + ' - Cluster: ' + (CASE WHEN (CE.CustomerCode2 = 1 and CE.CustomerCode4 = 1) THEN ' NOVO CLIENTE - Alto Risco' WHEN (CE.CustomerCode2 = 2 and CE.CustomerCode4 = 2) THEN ' LEAL - Baixo Risco' WHEN (CE.CustomerCode2 = 3 and CE.CustomerCode4 = 1) THEN ' BAIXA DÍVIDA 1 - Alto Risco' WHEN (CE.CustomerCode2 = 4 and CE.CustomerCode4 = 2) THEN ' TROUBLE - Baixo Risco' WHEN (CE.CustomerCode2 = 5 and CE.CustomerCode4 = 1) THEN ' BAIXA DÍVIDA 2 - Alto Risco' WHEN (CE.CustomerCode2 = 1 and CE.CustomerCode4 = 2) THEN ' NOVO CLIENTE - Baixo Risco' WHEN (CE.CustomerCode2 = 2 and CE.CustomerCode4 = 1) THEN ' LEAL - Alto Risco' WHEN (CE.CustomerCode2 = 3 and CE.CustomerCode4 = 2) THEN ' BAIXA DÍVIDA 1 - Baixo Risco' WHEN (CE.CustomerCode2 = 4 and CE.CustomerCode4 = 1) THEN ' TROUBLE - Alto Risco' WHEN (CE.CustomerCode2 = 5 and CE.CustomerCode4 = 2) THEN ' BAIXA DÍVIDA 2 - Baixo Risco' ELSE 'Não definido' END) as value FROM Bindings B INNER JOIN Customers C on C.CustomerID = B.CustomerID LEFT JOIN CustomerExtensions CE on B.CustomerID = CE.CustomerID LEFT JOIN DebtCustomExtensions DB ON B.DebtID = DB"/>
    <s v="Não"/>
    <s v="Não"/>
    <x v="0"/>
    <m/>
    <x v="2"/>
  </r>
  <r>
    <n v="20163"/>
    <s v="Identificado a necessidade de criação de: Produto tGuidance! - Tabela / Indece / Procedure / Job"/>
    <x v="9"/>
    <d v="2016-05-06T13:00:28"/>
    <x v="4"/>
    <s v="Encerramento"/>
    <s v="FLÁVIO ROBERTO DE FREITAS MIRANDA"/>
    <s v="FLÁVIO ROBERTO DE FREITAS MIRANDA,PAULO CESAR DE SOUZA,ROBERTO MAGALHÃES DE OLIVEIRA"/>
    <x v="41"/>
    <x v="5"/>
    <s v="Encerrada"/>
    <d v="2016-05-09T22:00:00"/>
    <d v="2016-05-09T23:00:00"/>
    <d v="2016-05-09T23:59:00"/>
    <x v="3"/>
    <x v="1"/>
    <s v="Sem impacto"/>
    <s v="DBSCTX101SPODB; DBSCTX104SPODA"/>
    <s v="DBSCTX101SPODB; DBSCTX104SPODA"/>
    <s v="Não"/>
    <s v="Não"/>
    <s v="ATENÇÃO: Essa atividade deverá ser executada apenas quando a equipe de NGR - Aplicações solicitar a sua execução por parte da equipe CSE - DBA 1 - Efetuar a execução do script (Script tGuidance Orbitall - rollback);"/>
    <s v="Não"/>
    <s v="Não"/>
    <x v="0"/>
    <s v="CLIORBSAN-165"/>
    <x v="6"/>
  </r>
  <r>
    <n v="20164"/>
    <s v="Alteração Fraseologia rentabilização"/>
    <x v="0"/>
    <d v="2016-05-06T14:03:40"/>
    <x v="4"/>
    <s v="Encerramento"/>
    <s v="PAULO VINÍCIUS DOS SANTOS PEREIRA"/>
    <s v="PAULO VINÍCIUS DOS SANTOS PEREIRA"/>
    <x v="7"/>
    <x v="1"/>
    <s v="Encerrada"/>
    <d v="2016-05-12T22:00:00"/>
    <d v="2016-05-13T12:00:00"/>
    <d v="2016-05-13T12:00:00"/>
    <x v="0"/>
    <x v="0"/>
    <s v="Os prejuízos ou dificuldades são impactantes"/>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
    <s v="Não"/>
    <s v="Não"/>
    <s v="Fazer o deploy da versão anterior da aplicação."/>
    <s v="Não"/>
    <s v="Não"/>
    <x v="0"/>
    <s v="OI-15134"/>
    <x v="5"/>
  </r>
  <r>
    <n v="20165"/>
    <s v="Modificar o tempo de SLA para os chamados do site Alegria"/>
    <x v="101"/>
    <d v="2016-05-06T14:08:29"/>
    <x v="4"/>
    <s v="Encerramento"/>
    <s v="JULIANA MORETTI ROVARIS GALVÃO PAES"/>
    <s v="MAIKEL JOEL DE SOUZA"/>
    <x v="1"/>
    <x v="0"/>
    <s v="Encerrada"/>
    <d v="2016-05-16T23:00:00"/>
    <d v="2016-05-16T23:40:00"/>
    <d v="2016-05-17T00:40:00"/>
    <x v="0"/>
    <x v="0"/>
    <s v="Sem impacto"/>
    <s v="Jira02"/>
    <s v="Jira02"/>
    <s v="Não"/>
    <s v="Não"/>
    <s v="Realizar o update nos registros do bkp feito anteriormente. Executar testes técnicos/funcionais novamente."/>
    <s v="Não"/>
    <s v="Não"/>
    <x v="0"/>
    <s v="CTXSPOAL-112992"/>
    <x v="0"/>
  </r>
  <r>
    <n v="20166"/>
    <s v="Manutenção preventiva trimestral no Nobreak 80kva, localizado 9°andar"/>
    <x v="0"/>
    <d v="2016-05-06T14:43:51"/>
    <x v="4"/>
    <s v="Encerramento"/>
    <s v="RODRIGO CABRAL GOMES"/>
    <s v="RODRIGO CABRAL GOMES"/>
    <x v="22"/>
    <x v="1"/>
    <s v="Encerrada"/>
    <d v="2016-05-13T22:00:00"/>
    <d v="2016-05-14T05:00:00"/>
    <d v="2016-05-14T06:00:00"/>
    <x v="0"/>
    <x v="0"/>
    <s v="Pouco impacto"/>
    <s v="--"/>
    <s v="UPS"/>
    <s v="Sim"/>
    <s v="Não"/>
    <s v="Informações da GMUD"/>
    <s v="Não"/>
    <s v="Não"/>
    <x v="0"/>
    <m/>
    <x v="5"/>
  </r>
  <r>
    <n v="20167"/>
    <s v="Criação do cliente Banco do Brasil"/>
    <x v="102"/>
    <d v="2016-05-06T15:20:20"/>
    <x v="4"/>
    <s v="Encerramento"/>
    <s v="JULIANA MORETTI ROVARIS GALVÃO PAES"/>
    <s v="MAIKEL JOEL DE SOUZA"/>
    <x v="1"/>
    <x v="0"/>
    <s v="Encerrada"/>
    <d v="2016-05-17T23:00:00"/>
    <d v="2016-05-17T23:40:00"/>
    <d v="2016-05-18T00:40:00"/>
    <x v="0"/>
    <x v="2"/>
    <s v="Sem impacto"/>
    <s v="Jira02"/>
    <s v="Jira02"/>
    <s v="Não"/>
    <s v="Não"/>
    <s v="• Desabilitar as opções do cliente Banco do Brasil na tabela todo_cliente_operacao, coluna habilitado • Desabilitar as opções: o Aplicativo Contax do Banco do Brasil o Cliente Contax do Banco do Brasil • Substituir o velocity pela cópia gerada no passo anterior a substituição na seção procedimento que foi executado • Executar testes técnicos/funcionais novamente"/>
    <s v="Não"/>
    <s v="Não"/>
    <x v="0"/>
    <s v="CTXSPOAL-113142"/>
    <x v="0"/>
  </r>
  <r>
    <n v="20168"/>
    <s v="Ajustar o WS responsável pela integração tCollect x NBA para identificar, através da validação do campo Regiao , se o registro encaminhado pelo NBA pertence a operação R1 ou R2 e assim direcionar a informação para o BD relacionado a cada uma das operaçoes respectivamente"/>
    <x v="0"/>
    <d v="2016-05-06T15:56:54"/>
    <x v="4"/>
    <s v="Encerramento"/>
    <s v="GEOVANI JOSE DE RESENDE MOREIRA"/>
    <s v="FABIANA HORA PAIXAO"/>
    <x v="3"/>
    <x v="1"/>
    <s v="Encerrada"/>
    <d v="2016-05-12T07:00:00"/>
    <d v="2016-05-12T08:00:00"/>
    <d v="2016-05-12T14:00:00"/>
    <x v="0"/>
    <x v="0"/>
    <s v="Sem impacto"/>
    <s v="--"/>
    <m/>
    <s v="Não"/>
    <s v="Não"/>
    <s v="- Entrar nos servidores (10.170.61.60 / 10.171.61.60 / 10.170.61.78 / 10.171.61.78) testar acessos e validar acesso aos bds (10.55.14.11 / 10.171.2.103 / porta 1433), tirar evidências. - Estando tudo ok, seguir os passos abaixo: - parar o servidor Jboss 6.2 - Apagar arquivo \\10.170.61.60\c$\Todo\jboss-eap-6.2-port-8180\standalone\data\wsdl\barramento-nba-tcollect.war\service\log-chamada - renomear arquivo: de:\\10.170.61.60\c$\Todo\jboss-eap-6.2-port-8180\standalone\data\wsdl\barramento-nba-tcollect.war\service\log-chamada_retorno para: \\10.170.61.60\c$\Todo\jboss-eap-6.2-port-8180\standalone\data\wsdl\barramento-nba-tcollect.war\service\log-chamada"/>
    <s v="Não"/>
    <s v="Não"/>
    <x v="0"/>
    <m/>
    <x v="2"/>
  </r>
  <r>
    <n v="20170"/>
    <s v="OI 13947 Não permitir que o cliente oriundo do 3000 navegue na URA OI 13615 Interatividade para clientes que vieram do *3000 OI 15113 Cliente sem saldo disponível na M4u (3107), rentabilizar recarga programada. OI 15115 Novos bônus de internet para recarga"/>
    <x v="71"/>
    <d v="2016-05-06T16:21:32"/>
    <x v="4"/>
    <s v="Encerramento"/>
    <s v="JANAÍNA SILVA LIMA"/>
    <s v="ALBERTO DE ARAUJO RODRIGUES"/>
    <x v="5"/>
    <x v="1"/>
    <s v="Encerrada"/>
    <d v="2016-05-16T22:00:00"/>
    <d v="2016-05-17T11:00:00"/>
    <d v="2016-05-17T13:00:00"/>
    <x v="0"/>
    <x v="1"/>
    <s v="Muito impacto"/>
    <s v="APPCTX14RJONT; APPCTX15RJOED; APPCTX16RJOED; APPCTX18RJOED; APPCTX19RJOED; DBSOIM01SPOAL; NMSIOM01SPOAL"/>
    <s v="APPCTX14RJONT; APPCTX15RJOED; APPCTX16RJOED; APPCTX18RJOED; APPCTX19RJOED; DBSOIM01SPOAL; NMSIOM01SPOAL"/>
    <s v="Não"/>
    <s v="Não"/>
    <s v="Retorna os arquivos de backup. Refazer os Testes Técnicos e Funcionais."/>
    <s v="Não"/>
    <s v="Não"/>
    <x v="0"/>
    <s v="OI 13947 , 13615 ,OI 15113 e OI 15115"/>
    <x v="5"/>
  </r>
  <r>
    <n v="20173"/>
    <s v="Inserção da Operação &quot;Dir. Engenharia e Produção TI&quot; para o Cliente Contax"/>
    <x v="103"/>
    <d v="2016-05-06T17:22:19"/>
    <x v="4"/>
    <s v="Encerramento"/>
    <s v="JULIANA MORETTI ROVARIS GALVÃO PAES"/>
    <s v="MAIKEL JOEL DE SOUZA"/>
    <x v="1"/>
    <x v="0"/>
    <s v="Encerrada"/>
    <d v="2016-05-11T23:00:00"/>
    <d v="2016-05-12T00:30:00"/>
    <d v="2016-05-12T01:30:00"/>
    <x v="0"/>
    <x v="2"/>
    <s v="Pouco impacto"/>
    <s v="Jira02"/>
    <s v="Jira02"/>
    <s v="Não"/>
    <s v="Não"/>
    <s v="Desabilitar a opção Dir. Engenharia e Produção TI do cliente contax na tabela todo_cliente_operacao, coluna habilitado Desabilitar as opções: Egmud, Ecadop, VDNSKILL e GICS do campo sistema/categoria/subcategoria • Associar os usuários ao grupo Sistemas Corporativos – Soluções para o grupo Dev-Soluções • Desassociar os usuários do grupo Sistemas Corporativos – Soluções • Associar os usuários ao grupo Sistemas Corporativos para o grupo Dev-Zoom • Desassociar os usuários do grupo Sistemas Corporativos • Associar os usuários ao grupo Dev-BI, conforme print realizado no passo de procedimentos executados. • Substituir o velocity Velocity Requisição de Serviços Create Screen pela cópia feita no passo de procedimentos executados. • Substituir o script ScritpDistribuicaoRequisicaoDeServico.js pela cópia feita no passo de procedimentos executados. • Substituir o script ScritpDistribuicaoIncidentes.js pela cópia feita no passo de procedimentos executados. • Renomear a pasta conditional-fields para conditional-fields_NOVO • Renomear a pasta conditional-fields_YYYYMMDD para conditional-fields Executar testes técnicos/funcionais novamente"/>
    <s v="Não"/>
    <s v="Não"/>
    <x v="0"/>
    <s v="CTXSPOAS-6122"/>
    <x v="0"/>
  </r>
  <r>
    <n v="20174"/>
    <s v="Criação de um novo local de trabalho no tprocess. Nome: CTXFORBTC - Contax Fortaleza Brasil Treine Center Este novo local só deve ter permissão para abertura de chamados como requisição de serviço e deve ser direcionado automaticamente para site-suporte campo. Este é um local de trabalho alocado fora da Contax (site treinamento)."/>
    <x v="104"/>
    <d v="2016-05-06T17:40:59"/>
    <x v="4"/>
    <s v="Encerramento"/>
    <s v="JULIANA MORETTI ROVARIS GALVÃO PAES"/>
    <s v="DIOGO DO NASCIMENTO"/>
    <x v="1"/>
    <x v="0"/>
    <s v="Encerrada"/>
    <d v="2016-05-18T23:00:00"/>
    <d v="2016-05-19T01:15:00"/>
    <d v="2016-05-19T02:15:00"/>
    <x v="0"/>
    <x v="2"/>
    <s v="Sem impacto"/>
    <s v="Jira02"/>
    <s v="Jira02"/>
    <s v="Não"/>
    <s v="Não"/>
    <s v="Excluir Local Criado e pastas criadas. Executar testes técnicos/funcionais novamente."/>
    <s v="Não"/>
    <s v="Não"/>
    <x v="0"/>
    <s v="CTXSPOAL-114797"/>
    <x v="0"/>
  </r>
  <r>
    <n v="20175"/>
    <s v="Atualização do Java no servidor EPM (URA Orbitall) IP 10.180.67.16"/>
    <x v="51"/>
    <d v="2016-05-06T17:44:12"/>
    <x v="4"/>
    <s v="Encerramento"/>
    <s v="JOSIMAR LOPES DE SANTANA"/>
    <s v="JOSIMAR LOPES DE SANTANA"/>
    <x v="0"/>
    <x v="5"/>
    <s v="Encerrada"/>
    <d v="2016-05-12T22:00:00"/>
    <d v="2016-05-13T05:00:00"/>
    <d v="2016-05-13T05:00:00"/>
    <x v="0"/>
    <x v="1"/>
    <s v="Sem impacto"/>
    <s v="EPMCTX101SPODA"/>
    <s v="EPMCTX101SPODA"/>
    <s v="Não"/>
    <s v="Não"/>
    <s v="Retornar as variáveis de ambiente Retornar o arquivo profile original"/>
    <s v="Não"/>
    <s v="Não"/>
    <x v="0"/>
    <s v="N/A"/>
    <x v="19"/>
  </r>
  <r>
    <n v="20178"/>
    <s v="Migrar 2 VLANs do Site Alegria para o Site João Pessoa - Operação TAM"/>
    <x v="9"/>
    <d v="2016-05-06T18:33:11"/>
    <x v="4"/>
    <s v="Encerramento"/>
    <s v="LUIZ WASHINGTON GIANEZZI"/>
    <s v="LUIZ WASHINGTON GIANEZZI,MARCUS VINÍCIUS RUSTIGUER"/>
    <x v="5"/>
    <x v="6"/>
    <s v="Encerrada"/>
    <d v="2016-05-10T01:00:00"/>
    <d v="2016-05-10T02:00:00"/>
    <d v="2016-05-10T03:00:00"/>
    <x v="3"/>
    <x v="0"/>
    <s v="Sem impacto"/>
    <s v="FWCCCTXSPODB001; FWDCTX01SPOAL; RTGRETAM001JPASACPD; RTGRETAM002JPASACPD; SWTCOR253ALG; SWTCOR254ALG; SWTCORE001JPASACPD; SWTCORE002JPASACPD; SWTCORE003JPASACPD; SWTDIS002ALGTC8; SWTDIS003ALGTC8; SWTDIS162ALGTC5; SWTDIS163ALGTC5"/>
    <s v="FWCCCTXSPODB001; FWDCTX01SPOAL; RTGRETAM001JPASACPD; RTGRETAM002JPASACPD; SWTCOR253ALG; SWTCOR254ALG; SWTCORE001JPASACPD; SWTCORE002JPASACPD; SWTCORE003JPASACPD; SWTDIS002ALGTC8; SWTDIS003ALGTC8; SWTDIS162ALGTC5; SWTDIS163ALGTC5"/>
    <s v="Não"/>
    <s v="Não"/>
    <s v="Executar os comandos descritos no documento em anexo."/>
    <s v="Não"/>
    <s v="Sim"/>
    <x v="2"/>
    <m/>
    <x v="7"/>
  </r>
  <r>
    <n v="20181"/>
    <s v="Implantação de melhorias e atualizações na URA *144 Pré Pago. Implantação de demandas para alteração de mensagem de erro e cadastros de cartão de crédito para recargas, ajustes em fluxos da aplicação *144 Pré Pago, alteração de ofertas e melhorias na derivação de chamadas."/>
    <x v="105"/>
    <d v="2016-05-09T09:47:57"/>
    <x v="4"/>
    <s v="Encerramento"/>
    <s v="FELIPE NASCIMENTO DE MENEZES TAVARES"/>
    <s v="WILLIAN CAMPBELL VIANA"/>
    <x v="7"/>
    <x v="1"/>
    <s v="Encerrada"/>
    <d v="2016-05-16T22:00:00"/>
    <d v="2016-05-17T03:00:00"/>
    <d v="2016-05-17T18:00:00"/>
    <x v="0"/>
    <x v="2"/>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quot;Realizar o UNDEPLOY da versão nova através do Tomcat Manager Refazer os Testes Técnicos e Funcionais.&quot;"/>
    <s v="Não"/>
    <s v="Não"/>
    <x v="0"/>
    <s v="OI-14887 / OI-15176 / OI-15200 / OI-15233"/>
    <x v="5"/>
  </r>
  <r>
    <n v="20184"/>
    <s v="Viabilizar alimentação elétrica para atender os computadores da nova área de R&amp;S no térreo do Alegria."/>
    <x v="0"/>
    <d v="2016-05-09T10:02:48"/>
    <x v="4"/>
    <s v="Encerramento"/>
    <s v="ARTHUR PRADO DE HOLANDA MOURA"/>
    <s v="ARTHUR PRADO DE HOLANDA MOURA"/>
    <x v="5"/>
    <x v="8"/>
    <s v="Encerrada"/>
    <d v="2016-05-15T00:01:00"/>
    <d v="2016-05-22T23:59:00"/>
    <d v="2016-05-23T06:00:00"/>
    <x v="0"/>
    <x v="2"/>
    <s v="Sem impacto"/>
    <m/>
    <m/>
    <s v="Não"/>
    <s v="Não"/>
    <s v="As atividades serão imediatamente paralisadas se houver algum problema, e retomadas somente com solução do problema resolvido."/>
    <s v="Não"/>
    <s v="Não"/>
    <x v="0"/>
    <m/>
    <x v="2"/>
  </r>
  <r>
    <n v="20185"/>
    <s v="Preventiva Energ sem carga do gerador Stemac 305 KVA - Site Alameda Santos."/>
    <x v="0"/>
    <d v="2016-05-09T11:45:21"/>
    <x v="4"/>
    <s v="Encerramento"/>
    <s v="LUIS FERNANDO COSTA NEVES"/>
    <s v="LUIS FERNANDO COSTA NEVES"/>
    <x v="6"/>
    <x v="7"/>
    <s v="Encerrada"/>
    <d v="2016-05-25T20:00:00"/>
    <d v="2016-05-26T02:00:00"/>
    <d v="2016-05-26T02:30: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0"/>
  </r>
  <r>
    <n v="20186"/>
    <s v="Realizar upgrade da Firmware dos switches Avaya devido ao bug relatado pelo fabricante no arquivo em anexo."/>
    <x v="9"/>
    <d v="2016-05-09T12:42:12"/>
    <x v="4"/>
    <s v="Encerramento"/>
    <s v="WESLEY DE OLIVEIRA SANTANA"/>
    <s v="WESLEY DE OLIVEIRA SANTANA"/>
    <x v="8"/>
    <x v="1"/>
    <s v="Encerrada"/>
    <d v="2016-05-15T00:15:00"/>
    <d v="2016-05-15T05:00:00"/>
    <d v="2016-05-15T06:00:00"/>
    <x v="3"/>
    <x v="0"/>
    <s v="Sem impacto"/>
    <s v="SWTACE016PBOI-TC01A"/>
    <s v="SWTACE016PBOI-TC01A"/>
    <s v="Sim"/>
    <s v="Não"/>
    <s v="Retornar com a firmware antiga."/>
    <s v="Não"/>
    <s v="Não"/>
    <x v="0"/>
    <m/>
    <x v="1"/>
  </r>
  <r>
    <n v="20187"/>
    <s v="Realizar upgrade da Firmware dos switches Avaya devido ao bug relatado pelo fabricante no arquivo em anexo."/>
    <x v="9"/>
    <d v="2016-05-09T12:47:15"/>
    <x v="4"/>
    <s v="Encerramento"/>
    <s v="WESLEY DE OLIVEIRA SANTANA"/>
    <s v="WESLEY DE OLIVEIRA SANTANA"/>
    <x v="8"/>
    <x v="1"/>
    <s v="Encerrada"/>
    <d v="2016-05-29T00:15:00"/>
    <d v="2016-05-29T05:00:00"/>
    <d v="2016-05-29T06:00:00"/>
    <x v="3"/>
    <x v="0"/>
    <s v="Sem impacto"/>
    <s v="SWTACE016PBOI-TC01A"/>
    <s v="SWTACE016PBOI-TC01A"/>
    <s v="Sim"/>
    <s v="Não"/>
    <s v="Retornar com a firmware antiga."/>
    <s v="Não"/>
    <s v="Não"/>
    <x v="2"/>
    <m/>
    <x v="1"/>
  </r>
  <r>
    <n v="20191"/>
    <s v="Atualização de Service Pack 3 em Servidores de Banco com SQL Server 2008"/>
    <x v="0"/>
    <d v="2016-05-09T13:34:53"/>
    <x v="4"/>
    <s v="Encerramento"/>
    <s v="CLAYTON ROBERTO LEITE"/>
    <s v="ROBERTO MAGALHÃES DE OLIVEIRA"/>
    <x v="5"/>
    <x v="0"/>
    <s v="Encerrada"/>
    <d v="2016-05-19T00:00:00"/>
    <d v="2016-05-19T07:10:00"/>
    <d v="2016-05-19T07:10:00"/>
    <x v="0"/>
    <x v="0"/>
    <s v="Pouco impacto"/>
    <s v="APPCTX105SPODB; DBSCTX09SPODB; DBSCTX102SPODB; DBSCTX103SPODB"/>
    <s v="APPCTX105SPODB; DBSCTX09SPODB; DBSCTX102SPODB; DBSCTX103SPODB"/>
    <s v="Sim"/>
    <s v="Não"/>
    <s v="Desinstalar Service Pack 3 do SQL Server."/>
    <s v="Não"/>
    <s v="Não"/>
    <x v="0"/>
    <m/>
    <x v="0"/>
  </r>
  <r>
    <n v="20192"/>
    <s v="Realizar manutenção preventiva e corretiva no CHILLER que atende ao site LAPA."/>
    <x v="0"/>
    <d v="2016-05-09T13:36:34"/>
    <x v="4"/>
    <s v="Encerramento"/>
    <s v="MARCIO LUIS DE GODOI JUNIOR"/>
    <s v="MARCIO LUIS DE GODOI JUNIOR"/>
    <x v="19"/>
    <x v="24"/>
    <s v="Encerrada"/>
    <d v="2016-05-14T07:00:00"/>
    <d v="2016-05-15T18:00:00"/>
    <d v="2016-05-18T13:41: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0"/>
  </r>
  <r>
    <n v="20193"/>
    <s v="Validação e documentação de redundância dos links MPLS no site Luigi Amorese (João Pessoa e Antártica)/Execução de testes de fail over e captura de evidências."/>
    <x v="9"/>
    <d v="2016-05-09T15:01:07"/>
    <x v="4"/>
    <s v="Encerramento"/>
    <s v="THIAGO SILVA FERREIRA"/>
    <s v="FRANCISCO ROSBERG DE CARVALHO SILVA,THIAGO SILVA FERREIRA"/>
    <x v="24"/>
    <x v="0"/>
    <s v="Encerrada"/>
    <d v="2016-05-10T23:00:00"/>
    <d v="2016-05-11T01:30:00"/>
    <d v="2016-05-11T02:00:00"/>
    <x v="3"/>
    <x v="0"/>
    <s v="Sem impacto"/>
    <s v="VIVO 00869930/ Algar 00028672"/>
    <s v="--"/>
    <s v="Sim"/>
    <s v="Não"/>
    <s v="Reativação dos links."/>
    <s v="Não"/>
    <s v="Não"/>
    <x v="0"/>
    <m/>
    <x v="0"/>
  </r>
  <r>
    <n v="20194"/>
    <s v="Movimentar discador Aspect DCP2 para novo rack com objetivo de estruturar/organizar o cabeamento"/>
    <x v="0"/>
    <d v="2016-05-09T15:07:09"/>
    <x v="4"/>
    <s v="Encerramento"/>
    <s v="JOÃO PEREIRA DE SOUZA JUNIOR"/>
    <s v="JOÃO PEREIRA DE SOUZA JUNIOR,LEANDRO ROCHA GONÇALVES"/>
    <x v="3"/>
    <x v="1"/>
    <s v="Encerrada"/>
    <d v="2016-05-14T22:00:00"/>
    <d v="2016-05-15T05:00:00"/>
    <d v="2016-05-15T07:00:00"/>
    <x v="0"/>
    <x v="0"/>
    <s v="Sem impacto"/>
    <s v="DCP2"/>
    <s v="DCP2"/>
    <s v="Sim"/>
    <s v="Não"/>
    <s v="Caso apresente algum problema no novo hack, o discador sera retornado para o hack de origem e o cabeamento ligado."/>
    <s v="Não"/>
    <s v="Não"/>
    <x v="0"/>
    <m/>
    <x v="1"/>
  </r>
  <r>
    <n v="20195"/>
    <s v="Identificamos que alguns relatórios da OI e OI CO não estão sendo atualizados desde 07/05/2016. Para analise do problema é necessário para o serviço do analisys Services (CUBO) do servidor DBSCTX23SPODB. A principio, o simples fato de parar e iniciar o serviço ja é o suficiente para solucionar o problema."/>
    <x v="9"/>
    <d v="2016-05-09T15:28:43"/>
    <x v="4"/>
    <s v="Encerramento"/>
    <s v="CARLOS CESAR CRUZ"/>
    <s v="CARLOS CESAR CRUZ"/>
    <x v="5"/>
    <x v="1"/>
    <s v="Encerrada"/>
    <d v="2016-05-10T07:00:00"/>
    <d v="2016-05-10T09:50:00"/>
    <d v="2016-05-10T09:50:00"/>
    <x v="3"/>
    <x v="1"/>
    <s v="Sem impacto"/>
    <s v="--"/>
    <s v="DBSCTX23SPODB"/>
    <s v="Sim"/>
    <s v="Sim"/>
    <s v="Para este problema , não existe plano de retorno. Caso ocorra qualquer tipo de problema na hora de subir o serviço teremos que acionar o analista Microsoft para desistalar e instalar novamento o serviços analisys services."/>
    <s v="Não"/>
    <s v="Não"/>
    <x v="0"/>
    <s v="CTXMLTREG-7546"/>
    <x v="13"/>
  </r>
  <r>
    <n v="20196"/>
    <s v="Atualização de Service Pack no servidor CM 2 10.54.17.38 do último SP 02.1.016.4-21656 e Kernel e Sys-Plat. Por padrão é instalado o load do CM, SP e configurações do servidor. Tanto o Kernel quanto o Sys-Plat não são requeridos para o funcionamento do sistema, apenas recomendado e talvez por esse motivo um dos fields não tenha atentado a necessidade de aplicar uma vez que o outro servidor tinha sido instalado, ou seja, falha na execução."/>
    <x v="0"/>
    <d v="2016-05-09T15:58:59"/>
    <x v="4"/>
    <s v="Encerramento"/>
    <s v="RAFAEL DIAS CORREA"/>
    <s v="REGINALDO ALVES DE SOUZA"/>
    <x v="11"/>
    <x v="21"/>
    <s v="Encerrada"/>
    <d v="2016-05-25T23:00:00"/>
    <d v="2016-05-26T05:00:00"/>
    <d v="2016-05-26T06:00:00"/>
    <x v="0"/>
    <x v="1"/>
    <s v="Pouco impacto"/>
    <s v="--"/>
    <s v="--"/>
    <s v="Não"/>
    <s v="Não"/>
    <s v="Conforme plano de ação inserido na mudança."/>
    <s v="Não"/>
    <s v="Não"/>
    <x v="0"/>
    <s v="CTXPOARB-104039"/>
    <x v="7"/>
  </r>
  <r>
    <n v="20197"/>
    <s v="Manutenção preventiva do GMG 440KVA com carga."/>
    <x v="0"/>
    <d v="2016-05-09T17:32:02"/>
    <x v="4"/>
    <s v="Encerramento"/>
    <s v="PAULO ROBERTO RIBEIRO DE LIMA"/>
    <s v="PAULO ROBERTO RIBEIRO DE LIMA"/>
    <x v="1"/>
    <x v="22"/>
    <s v="Encerrada"/>
    <d v="2016-05-20T22:00:00"/>
    <d v="2016-05-23T05:00:00"/>
    <d v="2016-05-23T06:00:00"/>
    <x v="0"/>
    <x v="0"/>
    <s v="Impacto"/>
    <s v="--"/>
    <s v="N/A"/>
    <s v="Não"/>
    <s v="Não"/>
    <s v="Após testes funcionais o técnico retorna todo sistema em modo automático e Se houver algum imprevisto será cancelado o serviço imediatamente."/>
    <s v="Não"/>
    <s v="Não"/>
    <x v="0"/>
    <s v="Manutenção Preventiva"/>
    <x v="13"/>
  </r>
  <r>
    <n v="20198"/>
    <s v="Manutenção preventiva no gerador"/>
    <x v="0"/>
    <d v="2016-05-09T19:54:09"/>
    <x v="4"/>
    <s v="Encerramento"/>
    <s v="EZEQUIEL FARIA FERREIRA"/>
    <s v="EZEQUIEL FARIA FERREIRA"/>
    <x v="27"/>
    <x v="41"/>
    <s v="Encerrada"/>
    <d v="2016-05-27T22:00:00"/>
    <d v="2016-05-27T23:59:00"/>
    <d v="2016-05-28T05:00:00"/>
    <x v="0"/>
    <x v="0"/>
    <s v="Impacto"/>
    <s v="--"/>
    <s v="Gerador"/>
    <s v="Não"/>
    <s v="Não"/>
    <s v="Caso no planejamento inicial do trabalho seja detectado alguma dificuldade o trabalho será cancelado antes do inicio do mesmo"/>
    <s v="Não"/>
    <s v="Não"/>
    <x v="0"/>
    <m/>
    <x v="12"/>
  </r>
  <r>
    <n v="20199"/>
    <s v="Atualização crítica a ser aplicada em servidores listados como vulneráveis pela Segurança da Informação Contax, de acordo com o boletim MS14-066 e MS12-020."/>
    <x v="0"/>
    <d v="2016-05-09T23:59:37"/>
    <x v="4"/>
    <s v="Encerramento"/>
    <s v="PAULO ROGERIO GOMES"/>
    <s v="PAULO ROGERIO GOMES"/>
    <x v="5"/>
    <x v="0"/>
    <s v="Encerrada"/>
    <d v="2016-05-17T22:30:00"/>
    <d v="2016-05-18T06:00:00"/>
    <d v="2016-05-18T07:00:00"/>
    <x v="0"/>
    <x v="0"/>
    <s v="Sem impacto"/>
    <s v="APPCTX77SPOAL.contax-br.contax.root; APPCTX78SPOAL.contax-br.contax.root; URACTX02SPOAL.contax-br.contax.root; URACTX03SPOAL.contax-br.contax.root; URACTX04SPOAL.contax-br.contax.root"/>
    <s v="APPCTX77SPOAL.contax-br.contax.root; APPCTX78SPOAL.contax-br.contax.root; URACTX02SPOAL.contax-br.contax.root; URACTX03SPOAL.contax-br.contax.root; URACTX04SPOAL.contax-br.contax.root"/>
    <s v="Sim"/>
    <s v="Não"/>
    <s v="1-Remover patches instalados."/>
    <s v="Sim"/>
    <s v="Não"/>
    <x v="2"/>
    <s v="CTXSPOAL-110577"/>
    <x v="0"/>
  </r>
  <r>
    <n v="20201"/>
    <s v="Atualização crítica a ser aplicada em servidores listados como vulneráveis pela Segurança da Informação Contax, de acordo com o boletim MS14-066 e MS12-020."/>
    <x v="0"/>
    <d v="2016-05-10T02:50:17"/>
    <x v="4"/>
    <s v="Encerramento"/>
    <s v="PAULO ROGERIO GOMES"/>
    <s v="PAULO ROGERIO GOMES"/>
    <x v="5"/>
    <x v="0"/>
    <s v="Encerrada"/>
    <d v="2016-05-19T22:30:00"/>
    <d v="2016-05-20T06:00:00"/>
    <d v="2016-05-20T07:00:00"/>
    <x v="0"/>
    <x v="0"/>
    <s v="Sem impacto"/>
    <s v="BRSPOAL001.dedic-br.dedic.corp; brspoal003.dedic.corp; BRSPOAL401.ngcc.dedic-br.dedic.corp"/>
    <s v="BRSPOAL001.dedic-br.dedic.corp; brspoal003.dedic.corp; BRSPOAL401.ngcc.dedic-br.dedic.corp"/>
    <s v="Sim"/>
    <s v="Não"/>
    <s v="1-Remover patches instalados."/>
    <s v="Não"/>
    <s v="Não"/>
    <x v="2"/>
    <s v="CTXSPOAL-113355"/>
    <x v="0"/>
  </r>
  <r>
    <n v="20202"/>
    <s v="Atualização crítica a ser aplicada em servidores listados como vulneráveis pela Segurança da Informação Contax, de acordo com o boletim MS11-058."/>
    <x v="0"/>
    <d v="2016-05-10T03:39:05"/>
    <x v="4"/>
    <s v="Encerramento"/>
    <s v="PAULO ROGERIO GOMES"/>
    <s v="PAULO ROGERIO GOMES"/>
    <x v="6"/>
    <x v="0"/>
    <s v="Encerrada"/>
    <d v="2016-05-20T22:30:00"/>
    <d v="2016-05-21T06:00:00"/>
    <d v="2016-05-21T07:00:00"/>
    <x v="0"/>
    <x v="0"/>
    <s v="Sem impacto"/>
    <s v="BRSPOAL001.dedic-br.dedic.corp; BRSPOAL003.dedic.corp; BRSPOAL401.ngcc.dedic-br.dedic.corp; SDCCTX03SPOAL.contax-br.contax.root; SDCCTX05SPOAL.contax-br.contax.root; SDCTDO01SPOAL.todo.root; SDCTDO02SPOAL.todo.root; SDCTDO03SPOAL.todocorp.todo.root; SDCTDO04SPOAL.todocorp.todo.root; SDCTDO05SPOAL.todocorp.todo.root"/>
    <s v="BRSPOAL001.dedic-br.dedic.corp; BRSPOAL003.dedic.corp; BRSPOAL401.ngcc.dedic-br.dedic.corp; SDCCTX03SPOAL.contax-br.contax.root; SDCCTX05SPOAL.contax-br.contax.root; SDCTDO01SPOAL.todo.root; SDCTDO02SPOAL.todo.root; SDCTDO03SPOAL.todocorp.todo.root; SDCTDO04SPOAL.todocorp.todo.root; SDCTDO05SPOAL.todocorp.todo.root"/>
    <s v="Sim"/>
    <s v="Não"/>
    <s v="1-Remover patches instalados."/>
    <s v="Não"/>
    <s v="Não"/>
    <x v="0"/>
    <m/>
    <x v="0"/>
  </r>
  <r>
    <n v="20204"/>
    <s v="Validação e documentação de redundância dos links MPLS no site Engenho de Dentro/Execução de testes de fail over e captura de evidências."/>
    <x v="9"/>
    <d v="2016-05-10T09:55:55"/>
    <x v="4"/>
    <s v="Encerramento"/>
    <s v="THIAGO SILVA FERREIRA"/>
    <s v="FRANCISCO ROSBERG DE CARVALHO SILVA,THIAGO SILVA FERREIRA"/>
    <x v="27"/>
    <x v="0"/>
    <s v="Encerrada"/>
    <d v="2016-05-12T23:00:00"/>
    <d v="2016-05-12T23:00:00"/>
    <d v="2016-05-13T00:30:00"/>
    <x v="3"/>
    <x v="0"/>
    <s v="Sem impacto"/>
    <s v="VIVO 00838602 / Oi RJO8523019"/>
    <s v="--"/>
    <s v="Sim"/>
    <s v="Não"/>
    <s v="Reativação dos links."/>
    <s v="Não"/>
    <s v="Não"/>
    <x v="0"/>
    <m/>
    <x v="0"/>
  </r>
  <r>
    <n v="20205"/>
    <s v="Atualização de patches nos controladores de domínio da floresta contax.root"/>
    <x v="0"/>
    <d v="2016-05-10T10:43:19"/>
    <x v="4"/>
    <s v="Encerramento"/>
    <s v="DAVID LOPES DA COSTA CHAVES"/>
    <s v="JOSE GERALDO DA SILVA DOS SANTOS"/>
    <x v="3"/>
    <x v="0"/>
    <s v="Encerrada"/>
    <d v="2016-05-18T22:00:00"/>
    <d v="2016-05-19T04:00:00"/>
    <d v="2016-05-19T05:00:00"/>
    <x v="0"/>
    <x v="0"/>
    <s v="Impacto"/>
    <s v="sdcctx01forbm; sdcctx01forna; sdcctx02forbm; sdcctx02forna"/>
    <s v="sdcctx01forbm; sdcctx01forna; sdcctx02forbm; sdcctx02forna"/>
    <s v="Sim"/>
    <s v="Sim"/>
    <s v="1) Remover as atualizações 2) Reiniciar o servidor 3) Validar o status dos serviços pelo mmc do Windows 4) Caso tenhamos falhas lógicas/físicas deve se contatar o site para apoio local"/>
    <s v="Não"/>
    <s v="Não"/>
    <x v="0"/>
    <m/>
    <x v="0"/>
  </r>
  <r>
    <n v="20207"/>
    <s v="Limpeza de objetos de computador obsoletos nos domínios contax-br, callcorp, itau-ubb, ngcc e dedic-br"/>
    <x v="0"/>
    <d v="2016-05-10T11:32:40"/>
    <x v="4"/>
    <s v="Encerramento"/>
    <s v="CARLOS EDUARDO AZEVEDO PEREIRA"/>
    <s v="CARLOS EDUARDO AZEVEDO PEREIRA"/>
    <x v="6"/>
    <x v="0"/>
    <s v="Encerrada"/>
    <d v="2016-05-10T16:00:00"/>
    <d v="2016-05-12T15:00:00"/>
    <d v="2016-05-12T16:00:00"/>
    <x v="1"/>
    <x v="1"/>
    <s v="Os prejuízos ou dificuldades são impactantes"/>
    <s v="--"/>
    <s v="--"/>
    <s v="Não"/>
    <s v="Não"/>
    <s v="Habilitar novamente objetos que ao longo do processo tenham apresentado a necessidade de estarem ativos."/>
    <s v="Não"/>
    <s v="Não"/>
    <x v="0"/>
    <s v="-"/>
    <x v="0"/>
  </r>
  <r>
    <n v="20208"/>
    <s v="• OI-15232 CTXMLTREG-7522 - INVESTIGATIVO - FIXA (10331) Falha na entrega de Variavel &quot;URA_MAILING_R2&quot; para APP PreRouting • OI-15251 TRNIDs incorretos"/>
    <x v="9"/>
    <d v="2016-05-10T12:30:38"/>
    <x v="4"/>
    <s v="Encerramento"/>
    <s v="PAULO VINÍCIUS DOS SANTOS PEREIRA"/>
    <s v="PAULO VINÍCIUS DOS SANTOS PEREIRA"/>
    <x v="7"/>
    <x v="1"/>
    <s v="Encerrada"/>
    <d v="2016-05-10T22:00:00"/>
    <d v="2016-05-11T02:00:00"/>
    <d v="2016-05-11T04:00:00"/>
    <x v="3"/>
    <x v="0"/>
    <s v="Sem impacto"/>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
    <s v="Não"/>
    <s v="Não"/>
    <s v="1- Executar a GMUD, às 16: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quot;Item de configuração&quot;. 4- Executar o deploy da aplicação em um servidor de cada vez da nova versão do pacote em produção. 5-Ao término da Implantação, buscar o log da chamada via NGR Monitor, apurando se não há nenhuma falha registrada, seja ela de Aplicação, Telefonia, Legado ou Context"/>
    <s v="Não"/>
    <s v="Não"/>
    <x v="0"/>
    <s v="CTXMLTREG-7522"/>
    <x v="2"/>
  </r>
  <r>
    <n v="20209"/>
    <s v="Disponibilizar melhorias no sistema Perficall."/>
    <x v="0"/>
    <d v="2016-05-10T14:54:23"/>
    <x v="4"/>
    <s v="Encerramento"/>
    <s v="TATIANA APARECIDA BARBOSA"/>
    <s v="DYEGO CAVALCANTE WANDERLEY SILVA"/>
    <x v="29"/>
    <x v="1"/>
    <s v="Encerrada"/>
    <d v="2016-05-24T21:30:00"/>
    <d v="2016-05-24T23:59:00"/>
    <d v="2016-05-25T00:15:00"/>
    <x v="0"/>
    <x v="0"/>
    <s v="Sem impacto"/>
    <s v="DBSCTX03RECSA"/>
    <s v="--"/>
    <s v="Sim"/>
    <s v="Não"/>
    <s v="Realizar restore da base Perfilador_CO na instancia 10.63.0.78. 1) Acessar instancia de bd 10.63.0.78; 2) Realizar restore da base Perfilador_CO; Restaurar o backup dos módulos de administração e perfilhamento do sistema Perfilador CO"/>
    <s v="Não"/>
    <s v="Não"/>
    <x v="0"/>
    <s v="CTXRECSA-476612"/>
    <x v="5"/>
  </r>
  <r>
    <n v="20210"/>
    <s v="Preventiva Energ sem carga do gerador Stemac 305 KVA - Site Augusta."/>
    <x v="0"/>
    <d v="2016-05-10T15:10:26"/>
    <x v="4"/>
    <s v="Encerramento"/>
    <s v="LUIS FERNANDO COSTA NEVES"/>
    <s v="LUIS FERNANDO COSTA NEVES"/>
    <x v="16"/>
    <x v="6"/>
    <s v="Encerrada"/>
    <d v="2016-05-30T20:00:00"/>
    <d v="2016-05-31T02:00:00"/>
    <d v="2016-05-31T02:30:00"/>
    <x v="0"/>
    <x v="0"/>
    <s v="Pouco impacto"/>
    <s v="--"/>
    <s v="--"/>
    <s v="Não"/>
    <s v="Não"/>
    <s v="Toda atividade será realizada seguindo procedimentos e medidas de controle caso aja qualquer anomalia na execução iremos paralisar e retornar o processo do inicio, sempre sinalizando os interessados da atividade."/>
    <s v="Não"/>
    <s v="Não"/>
    <x v="0"/>
    <m/>
    <x v="7"/>
  </r>
  <r>
    <n v="20211"/>
    <s v="CORRIGIR PROBLEMA DE CONVERSÃO DE TELEFONES NEXTEL."/>
    <x v="3"/>
    <d v="2016-05-10T15:42:37"/>
    <x v="4"/>
    <s v="Encerramento"/>
    <s v="MARCIO ROBERTO ALVES NAKAYA"/>
    <s v="MARCIO ROBERTO ALVES NAKAYA"/>
    <x v="24"/>
    <x v="26"/>
    <s v="Encerrada"/>
    <d v="2016-05-18T00:01:00"/>
    <d v="2016-05-18T03:01:00"/>
    <d v="2016-05-18T04:01:00"/>
    <x v="0"/>
    <x v="1"/>
    <s v="Impacto"/>
    <s v="dbsctx12spobf"/>
    <s v="dbsctx12spobf"/>
    <s v="Sim"/>
    <s v="Não"/>
    <s v="Retornar backup das procedures."/>
    <s v="Não"/>
    <s v="Não"/>
    <x v="0"/>
    <s v="N/A"/>
    <x v="2"/>
  </r>
  <r>
    <n v="20212"/>
    <s v="Garantir a confiabilidade dos GMG´s quando solicitados."/>
    <x v="0"/>
    <d v="2016-05-11T08:25:18"/>
    <x v="4"/>
    <s v="Encerramento"/>
    <s v="GÊNESIS HENRIQUE DA SILVA"/>
    <s v="GÊNESIS HENRIQUE DA SILVA"/>
    <x v="29"/>
    <x v="31"/>
    <s v="Encerrada"/>
    <d v="2016-05-27T08:35:00"/>
    <d v="2016-05-27T17:35:00"/>
    <d v="2016-05-27T18:00:00"/>
    <x v="0"/>
    <x v="0"/>
    <s v="Impacto"/>
    <s v="--"/>
    <s v="10 Geradores FG Wilson 500kVA"/>
    <s v="Não"/>
    <s v="Não"/>
    <s v="Em caso de algum problema e imprevisto, desligaremos os Geradores e retornaremos pela Concessionaria."/>
    <s v="Não"/>
    <s v="Não"/>
    <x v="0"/>
    <m/>
    <x v="20"/>
  </r>
  <r>
    <n v="20213"/>
    <s v="Atualizar os campos de Incidentes para o cliente Leader Magazine."/>
    <x v="106"/>
    <d v="2016-05-11T09:28:50"/>
    <x v="4"/>
    <s v="Encerramento"/>
    <s v="JULIANA MORETTI ROVARIS GALVÃO PAES"/>
    <s v="EDUARDO YUKIO CASTILLO"/>
    <x v="1"/>
    <x v="0"/>
    <s v="Encerrada"/>
    <d v="2016-05-19T23:00:00"/>
    <d v="2016-05-20T01:15:00"/>
    <d v="2016-05-20T02:15:00"/>
    <x v="0"/>
    <x v="0"/>
    <s v="Pouco impacto"/>
    <s v="Jira02"/>
    <s v="Jira02"/>
    <s v="Não"/>
    <s v="Não"/>
    <s v="- Desabilitar as options na tabela todo cliente_operacao - Executar testes técnicos/funcionais novamente."/>
    <s v="Não"/>
    <s v="Não"/>
    <x v="0"/>
    <s v="CTXSPOAL-113165"/>
    <x v="0"/>
  </r>
  <r>
    <n v="20214"/>
    <s v="Atualizar os campos de Incidentes para o cliente Citibank."/>
    <x v="107"/>
    <d v="2016-05-11T09:46:15"/>
    <x v="4"/>
    <s v="Encerramento"/>
    <s v="JULIANA MORETTI ROVARIS GALVÃO PAES"/>
    <s v="EDUARDO YUKIO CASTILLO"/>
    <x v="1"/>
    <x v="0"/>
    <s v="Encerrada"/>
    <d v="2016-05-23T23:00:00"/>
    <d v="2016-05-24T00:15:00"/>
    <d v="2016-05-24T01:15:00"/>
    <x v="0"/>
    <x v="0"/>
    <s v="Pouco impacto"/>
    <s v="Jira02"/>
    <s v="Jira02"/>
    <s v="Não"/>
    <s v="Não"/>
    <s v="Desativar options criadas na tabela todo_cliente_operacao. Executar testes técnicos/funcionais novamente."/>
    <s v="Não"/>
    <s v="Não"/>
    <x v="0"/>
    <s v="CTXSPOAL-113149"/>
    <x v="0"/>
  </r>
  <r>
    <n v="20215"/>
    <s v="Implantação de projeto e melhoria na aplicação RACO. Projeto: Objetivo da Solução: Permitir opção de cancelamento via URA RACO para atender a nova Regulamentação da Anatel (RGC). Melhoria: mensurar o tempo de consulta à todas as interfaces que a aplicação do RACO realiza. O Objetivo é saber quanto tempo durou cada consulta para podermos solicitar melhorias nas interfaces."/>
    <x v="108"/>
    <d v="2016-05-11T09:52:29"/>
    <x v="4"/>
    <s v="Encerramento"/>
    <s v="LUCIANA MARTINS CARVALHO"/>
    <s v="RAPHAEL GONCALVES COUTO"/>
    <x v="7"/>
    <x v="1"/>
    <s v="Encerrada"/>
    <d v="2016-05-21T22:00:00"/>
    <d v="2016-05-22T12:00:00"/>
    <d v="2016-05-22T18:00:00"/>
    <x v="0"/>
    <x v="2"/>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4648"/>
    <x v="2"/>
  </r>
  <r>
    <n v="20216"/>
    <s v="Adicionar os clientes abaixo no campo Cliente/Operação e adicionar novos opções no campo Serviço afetado de acordo com os clientes - Lafê - Globo - Prefeitura do RJ - Fundação Atlantico - NET - Souza Cruz - Claro"/>
    <x v="109"/>
    <d v="2016-05-11T10:01:11"/>
    <x v="4"/>
    <s v="Encerramento"/>
    <s v="JULIANA MORETTI ROVARIS GALVÃO PAES"/>
    <s v="DIOGO DO NASCIMENTO"/>
    <x v="1"/>
    <x v="0"/>
    <s v="Encerrada"/>
    <d v="2016-05-24T23:00:00"/>
    <d v="2016-05-25T01:20:00"/>
    <d v="2016-05-25T02:20:00"/>
    <x v="0"/>
    <x v="2"/>
    <s v="Pouco impacto"/>
    <s v="Jira02"/>
    <s v="Jira02"/>
    <s v="Não"/>
    <s v="Não"/>
    <s v="- Desabilitar via banco de dados os Clientes criados - Excluir do campo Serviço Afetado / Tipo / Sintoma as opções criadas - Voltar o backup do Velocity Incidentes Create Screen - Voltar backup do Workflow de Incidentes - Executar testes técnicos/funcionais novamente."/>
    <s v="Não"/>
    <s v="Não"/>
    <x v="0"/>
    <s v="CTXSPOAL-113158 e CTXSPOAL-113169"/>
    <x v="0"/>
  </r>
  <r>
    <n v="20217"/>
    <s v="Implantação de melhoria e atualização da aplicação OCTUNIFICADA Projeto: 9º Dígito - Inclusão DDDs 6x"/>
    <x v="110"/>
    <d v="2016-05-11T10:38:08"/>
    <x v="4"/>
    <s v="Encerramento"/>
    <s v="LUCIANA MARTINS CARVALHO"/>
    <s v="DALVO ANDRE GERONIMO RAMOS"/>
    <x v="7"/>
    <x v="1"/>
    <s v="Encerrada"/>
    <d v="2016-05-28T22:00:00"/>
    <d v="2016-05-29T12:00:00"/>
    <d v="2016-05-29T18:00:00"/>
    <x v="0"/>
    <x v="2"/>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m/>
    <x v="5"/>
  </r>
  <r>
    <n v="20219"/>
    <s v="Manter a confiabilidade do sistema de contingência de energia"/>
    <x v="0"/>
    <d v="2016-05-11T10:48:58"/>
    <x v="4"/>
    <s v="Encerramento"/>
    <s v="VANDERLEI CASTRO SOUZA LIMA"/>
    <s v="VANDERLEI CASTRO SOUZA LIMA"/>
    <x v="18"/>
    <x v="15"/>
    <s v="Encerrada"/>
    <d v="2016-05-27T22:00:00"/>
    <d v="2016-05-28T01:00:00"/>
    <d v="2016-05-28T10:51:00"/>
    <x v="0"/>
    <x v="0"/>
    <s v="Sem impacto"/>
    <s v="--"/>
    <s v="Geradores"/>
    <s v="Não"/>
    <s v="Não"/>
    <s v="Acompanhar o Desligamento dos geradores; Fim dos testes; Será efetuada vistoria nos No Breaks do CPD e Operação; Verificado a climatização das salas dos No Breaks e CPD; Após a execução dos serviços acima relacionados, será emitido laudo atestando a funcionalidade dos geradores."/>
    <s v="Sim"/>
    <s v="Não"/>
    <x v="0"/>
    <m/>
    <x v="10"/>
  </r>
  <r>
    <n v="20220"/>
    <s v="Remoção do Antivírus Symantec e Instalação do McAfee."/>
    <x v="44"/>
    <d v="2016-05-11T10:59:40"/>
    <x v="4"/>
    <s v="Encerramento"/>
    <s v="FELIPE SANTOS BARBOSA DELGADO"/>
    <s v="JOSE GERALDO DA SILVA DOS SANTOS"/>
    <x v="6"/>
    <x v="0"/>
    <s v="Encerrada"/>
    <d v="2016-05-23T22:00:00"/>
    <d v="2016-05-28T07:00:00"/>
    <d v="2016-05-28T07:30:00"/>
    <x v="0"/>
    <x v="1"/>
    <s v="Impacto"/>
    <s v="appctx04forbm; appctx08spobf; APPCTX185SPODB; appctx22rjomk; APPCTX250SPODB; APPCTX254SPODB; APPCTX265SPODB; APPCTX43SPOAL; APPCTX441SPODB; APPCTX44SPOAL; APPCTX45SPOAL; APPCTX53SPOAL; APPCTX59SPOAL; appoim99spoal; apptdo05spoas; apptlm03forbm; BKPCTX01RJOED; CTMCTX101SPODB; dbsctx00spobf; DBSCTX09SPOBF; DBSCTX121SPODB; DBSCTX125SPODB; DBSCTX132SPODB; DBSCTX133SPODB; DBSCTX139SPODB; DBSCTX140SPODB; DBSCTX141SPODB; DBSCTX145SPODB; DBSCTX150SPODB; DBSCTX22NITSP; DBSCTX25NITSP; DBSCTX27NITSP; DBSCTX27SPODB; DBSTDO19SPOAS; DBSTDO26SPOAS; DBSTDO27SPOAS; DBSTDO71SPOAS; DBSTDO72SPOAS; DEVCTX01SPOAL; DEVCTX102SPODB; DEVCTX107SPODB; DEVCTX201SPODB; DEVCTX202SPODB; DHCCTX102SPODB; DHCCTX103SPODB; ECHCTX02SPODB; FAXCTX03SPOBF; fesctx01nitsp; HOMCTX102SPODB; LOGCTX04RECAU; MONCTX01SPODB; MONCTX02SPODB; uratlm11forbm; WEBCTX204SPODB"/>
    <s v="appctx04forbm; appctx08spobf; APPCTX185SPODB; appctx22rjomk; APPCTX250SPODB; APPCTX254SPODB; APPCTX265SPODB; APPCTX43SPOAL; APPCTX441SPODB; APPCTX44SPOAL; APPCTX45SPOAL; APPCTX53SPOAL; APPCTX59SPOAL; appoim99spoal; apptdo05spoas; apptlm03forbm; BKPCTX01RJOED; CTMCTX101SPODB; dbsctx00spobf; DBSCTX09SPOBF; DBSCTX121SPODB; DBSCTX125SPODB; DBSCTX132SPODB; DBSCTX133SPODB; DBSCTX139SPODB; DBSCTX140SPODB; DBSCTX141SPODB; DBSCTX145SPODB; DBSCTX150SPODB; DBSCTX22NITSP; DBSCTX25NITSP; DBSCTX27NITSP; DBSCTX27SPODB; DBSTDO19SPOAS; DBSTDO26SPOAS; DBSTDO27SPOAS; DBSTDO71SPOAS; DBSTDO72SPOAS; DEVCTX01SPOAL; DEVCTX102SPODB; DEVCTX107SPODB; DEVCTX201SPODB; DEVCTX202SPODB; DHCCTX102SPODB; DHCCTX103SPODB; ECHCTX02SPODB; FAXCTX03SPOBF; fesctx01nitsp; HOMCTX102SPODB; LOGCTX04RECAU; MONCTX01SPODB; MONCTX02SPODB; uratlm11forbm; WEBCTX204SPODB"/>
    <s v="Sim"/>
    <s v="Sim"/>
    <s v="O Objetivo do Plano de Retorno é desinstalar o Antivírus McAfee. O período previsto para um Plano de Retorno é de 1:00 hora."/>
    <s v="Não"/>
    <s v="Não"/>
    <x v="0"/>
    <s v="--"/>
    <x v="0"/>
  </r>
  <r>
    <n v="20221"/>
    <s v="Implantação de melhoria e atualização da aplicação *144 Pós Pago. Projeto: Projeto 9º Dígito - Inclusão DDDs 6x"/>
    <x v="110"/>
    <d v="2016-05-11T11:08:05"/>
    <x v="4"/>
    <s v="Encerramento"/>
    <s v="LUCIANA MARTINS CARVALHO"/>
    <s v="DALVO ANDRE GERONIMO RAMOS"/>
    <x v="7"/>
    <x v="1"/>
    <s v="Encerrada"/>
    <d v="2016-05-28T22:00:00"/>
    <d v="2016-05-29T12:00:00"/>
    <d v="2016-05-29T18:00:00"/>
    <x v="0"/>
    <x v="2"/>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m/>
    <m/>
    <x v="1"/>
    <m/>
    <x v="5"/>
  </r>
  <r>
    <n v="20222"/>
    <s v="Validação e documentação de redundância dos links MPLS no site São Cristovão/Execução de testes de fail over e captura de evidências."/>
    <x v="9"/>
    <d v="2016-05-11T15:21:36"/>
    <x v="4"/>
    <s v="Encerramento"/>
    <s v="THIAGO SILVA FERREIRA"/>
    <s v="FRANCISCO ROSBERG DE CARVALHO SILVA,THIAGO SILVA FERREIRA"/>
    <x v="12"/>
    <x v="0"/>
    <s v="Encerrada"/>
    <d v="2016-05-12T20:40:00"/>
    <d v="2016-05-12T22:40:00"/>
    <d v="2016-05-12T23:00:00"/>
    <x v="3"/>
    <x v="0"/>
    <s v="Sem impacto"/>
    <s v="VIVO 00869928 / RJO8613815"/>
    <s v="--"/>
    <s v="Sim"/>
    <s v="Não"/>
    <s v="Reativação dos links."/>
    <s v="Não"/>
    <s v="Não"/>
    <x v="0"/>
    <m/>
    <x v="0"/>
  </r>
  <r>
    <n v="20225"/>
    <s v="Manutenção preventiva com carga geradores Stemac Boa Viagem."/>
    <x v="0"/>
    <d v="2016-05-11T18:22:30"/>
    <x v="4"/>
    <s v="Encerramento"/>
    <s v="CASSIO REIS LIMA"/>
    <s v="CASSIO REIS LIMA"/>
    <x v="8"/>
    <x v="4"/>
    <s v="Encerrada"/>
    <d v="2016-05-22T22:00:00"/>
    <d v="2016-05-23T05:00:00"/>
    <d v="2016-05-23T06:00:00"/>
    <x v="0"/>
    <x v="0"/>
    <s v="Impacto"/>
    <s v="Geradores Stemac Boa Viagem"/>
    <s v="Geradores Stemac Boa Viagem"/>
    <s v="Não"/>
    <s v="Não"/>
    <s v="Em eventual falha reportaremos para a área de missão critica, coordenador do site e gerência de cidade, após ser aprovado o procedimento restabeleceremos o sistema."/>
    <s v="Não"/>
    <s v="Não"/>
    <x v="2"/>
    <m/>
    <x v="17"/>
  </r>
  <r>
    <n v="20227"/>
    <s v="Alteração de layout do arquivo raw gerado pelo CRM Gestão."/>
    <x v="111"/>
    <d v="2016-05-12T12:02:57"/>
    <x v="4"/>
    <s v="Encerramento"/>
    <s v="MARCIO ROBERTO ALVES NAKAYA"/>
    <s v="MARCIO ROBERTO ALVES NAKAYA"/>
    <x v="24"/>
    <x v="26"/>
    <s v="Encerrada"/>
    <d v="2016-05-19T23:30:00"/>
    <d v="2016-05-20T03:30:00"/>
    <d v="2016-05-20T04:30:00"/>
    <x v="0"/>
    <x v="2"/>
    <s v="Impacto"/>
    <s v="dbsctx12spobf"/>
    <s v="dbsctx12spobf"/>
    <s v="Sim"/>
    <s v="Não"/>
    <s v="Retornar backup efetuados."/>
    <s v="Não"/>
    <s v="Não"/>
    <x v="0"/>
    <s v="CTXMLTREG-7410"/>
    <x v="2"/>
  </r>
  <r>
    <n v="20228"/>
    <s v="Manutenção corretiva, Transporte vertical, substituição de 01 Compressor e 02 Serpentinas do Chiller 01 de 100TR localizados na cobertura 69"/>
    <x v="0"/>
    <d v="2016-05-12T13:14:30"/>
    <x v="4"/>
    <s v="Encerramento"/>
    <s v="PAULO ROBERTO RIBEIRO DE LIMA"/>
    <s v="PAULO ROBERTO RIBEIRO DE LIMA"/>
    <x v="1"/>
    <x v="22"/>
    <s v="Encerrada"/>
    <d v="2016-05-21T07:00:00"/>
    <d v="2016-05-30T19:00:00"/>
    <d v="2016-05-30T20:00:00"/>
    <x v="0"/>
    <x v="1"/>
    <s v="Impacto"/>
    <s v="--"/>
    <s v="Chiller Hitachi 100TR"/>
    <s v="Não"/>
    <s v="Não"/>
    <s v="Após testes funcionais o técnico retorna todo sistema e Se houver algum imprevisto será cancelado o serviço imediatamente."/>
    <s v="Não"/>
    <s v="Não"/>
    <x v="0"/>
    <s v="Manutenção Corretiva"/>
    <x v="13"/>
  </r>
  <r>
    <n v="20229"/>
    <s v="Mapeamento dos circuitos da PDU2 e ligação dos circuitos na nova PDU2 Desenergizada"/>
    <x v="0"/>
    <d v="2016-05-12T13:25:15"/>
    <x v="4"/>
    <s v="Encerramento"/>
    <s v="RODRIGO CABRAL GOMES"/>
    <s v="RODRIGO CABRAL GOMES"/>
    <x v="22"/>
    <x v="1"/>
    <s v="Encerrada"/>
    <d v="2016-05-19T22:00:00"/>
    <d v="2016-05-20T05:00:00"/>
    <d v="2016-05-20T06:00:00"/>
    <x v="0"/>
    <x v="0"/>
    <s v="Pouco impacto"/>
    <s v="--"/>
    <s v="PDU2"/>
    <s v="Não"/>
    <s v="Não"/>
    <s v="Comunicação com missão critica e NOC"/>
    <s v="Não"/>
    <s v="Não"/>
    <x v="2"/>
    <m/>
    <x v="5"/>
  </r>
  <r>
    <n v="20231"/>
    <s v="Garantir funcionalidade dos circuitos que alimentam Telemática das operações Santander e Bradesco"/>
    <x v="0"/>
    <d v="2016-05-12T20:37:44"/>
    <x v="4"/>
    <s v="Encerramento"/>
    <s v="PAULO ROBERTO RIBEIRO DE LIMA"/>
    <s v="FELIPE RUBINATO DA HORA,PAULO ROBERTO RIBEIRO DE LIMA"/>
    <x v="1"/>
    <x v="22"/>
    <s v="Encerrada"/>
    <d v="2016-05-14T20:00:00"/>
    <d v="2016-05-15T05:00:00"/>
    <d v="2016-05-15T06:00:00"/>
    <x v="1"/>
    <x v="1"/>
    <s v="Os prejuízos ou dificuldades são impactantes"/>
    <s v="--"/>
    <s v="N/A"/>
    <s v="Não"/>
    <s v="Não"/>
    <s v="Se houver algum imprevisto, o serviço será cancelado imediatamente."/>
    <s v="Não"/>
    <s v="Não"/>
    <x v="0"/>
    <s v="Manutenção Corretiva"/>
    <x v="13"/>
  </r>
  <r>
    <n v="20232"/>
    <s v="Garantir a total disponibilidade e confiabilidade do sistema de contingência de energia estabilizada do Site/Executar manutenção preventiva trimestral sem desligamento em 02(dois) no-breaks Eaton que atende o CPD do Site Fortaleza CE;"/>
    <x v="0"/>
    <d v="2016-05-13T08:37:27"/>
    <x v="4"/>
    <s v="Encerramento"/>
    <s v="SÁVIO MEIRELES CASTRO"/>
    <s v="SÁVIO MEIRELES CASTRO"/>
    <x v="3"/>
    <x v="2"/>
    <s v="Encerrada"/>
    <d v="2016-05-21T20:00:00"/>
    <d v="2016-05-22T06:00:00"/>
    <d v="2016-05-22T06:00:00"/>
    <x v="0"/>
    <x v="0"/>
    <s v="Pouco impacto"/>
    <s v="--"/>
    <s v="--"/>
    <s v="Não"/>
    <s v="Não"/>
    <s v="Se houver algum imprevisto, o serviço será cancelado imediatamente."/>
    <s v="Não"/>
    <s v="Não"/>
    <x v="0"/>
    <m/>
    <x v="11"/>
  </r>
  <r>
    <n v="20233"/>
    <s v="Garantir a total disponibilidade e confiabilidade do sistema de contingência de energia estabilizada do Site/Executar manutenção Preventiva Trimestral sem desligamento em 03(dois) no-breaks Eaton que atendem as operações e CPD do Site Nascente CE;"/>
    <x v="0"/>
    <d v="2016-05-13T08:41:13"/>
    <x v="4"/>
    <s v="Encerramento"/>
    <s v="SÁVIO MEIRELES CASTRO"/>
    <s v="SÁVIO MEIRELES CASTRO"/>
    <x v="4"/>
    <x v="3"/>
    <s v="Encerrada"/>
    <d v="2016-05-21T20:00:00"/>
    <d v="2016-05-22T06:00:00"/>
    <d v="2016-05-22T06:00:00"/>
    <x v="0"/>
    <x v="0"/>
    <s v="Sem impacto"/>
    <s v="--"/>
    <s v="--"/>
    <s v="Não"/>
    <s v="Não"/>
    <s v="Se houver algum imprevisto, o serviço será cancelado imediatamente."/>
    <s v="Não"/>
    <s v="Não"/>
    <x v="0"/>
    <m/>
    <x v="9"/>
  </r>
  <r>
    <n v="20234"/>
    <s v="Garantir total confiabilidade e disponibilidade do sistema de contingência de energia elétrica do Site/Executar manutenção Preventiva Mensal em 05 (Cinco) Grupos Geradores de Energia."/>
    <x v="0"/>
    <d v="2016-05-13T08:48:20"/>
    <x v="4"/>
    <s v="Encerramento"/>
    <s v="SÁVIO MEIRELES CASTRO"/>
    <s v="SÁVIO MEIRELES CASTRO"/>
    <x v="3"/>
    <x v="2"/>
    <s v="Encerrada"/>
    <d v="2016-05-29T07:00:00"/>
    <d v="2016-05-29T15:00:00"/>
    <d v="2016-05-29T15:00:00"/>
    <x v="0"/>
    <x v="0"/>
    <s v="Pouco impacto"/>
    <s v="--"/>
    <s v="--"/>
    <s v="Não"/>
    <s v="Não"/>
    <s v="Se houver algum imprevisto, o serviço será cancelado imediatamente."/>
    <s v="Não"/>
    <s v="Sim"/>
    <x v="0"/>
    <m/>
    <x v="11"/>
  </r>
  <r>
    <n v="20236"/>
    <s v="Garantir total confiabilidade e disponibilidade do sistema de contingência de energia elétrica do Site/Executar manutenção Preventiva Mensal em 01 (Um) Grupo Gerador de Energia."/>
    <x v="0"/>
    <d v="2016-05-13T09:00:33"/>
    <x v="4"/>
    <s v="Encerramento"/>
    <s v="SÁVIO MEIRELES CASTRO"/>
    <s v="SÁVIO MEIRELES CASTRO"/>
    <x v="4"/>
    <x v="39"/>
    <s v="Encerrada"/>
    <d v="2016-05-29T07:00:00"/>
    <d v="2016-05-29T15:00:00"/>
    <d v="2016-05-29T15:00:00"/>
    <x v="0"/>
    <x v="0"/>
    <s v="Pouco impacto"/>
    <s v="--"/>
    <s v="--"/>
    <s v="Não"/>
    <s v="Não"/>
    <s v="Se houver algum imprevisto, o serviço será cancelado imediatamente."/>
    <s v="Não"/>
    <s v="Não"/>
    <x v="0"/>
    <m/>
    <x v="9"/>
  </r>
  <r>
    <n v="20237"/>
    <s v="Manutenção preventiva nos Nobreaks 120kva (Com parada) e 150kva localizados no prédio anexo, 3x50kva DPA localizado no 2°andar principal atende CPD e 30kva localizado no 8°andar principal."/>
    <x v="0"/>
    <d v="2016-05-13T09:27:06"/>
    <x v="4"/>
    <s v="Encerramento"/>
    <s v="RODRIGO CABRAL GOMES"/>
    <s v="RODRIGO CABRAL GOMES"/>
    <x v="22"/>
    <x v="1"/>
    <s v="Encerrada"/>
    <d v="2016-05-20T22:00:00"/>
    <d v="2016-05-21T05:00:00"/>
    <d v="2016-05-21T06:00:00"/>
    <x v="0"/>
    <x v="0"/>
    <s v="Sem impacto"/>
    <s v="--"/>
    <s v="UPS"/>
    <s v="Não"/>
    <s v="Não"/>
    <s v="Informações da GMUD"/>
    <s v="Não"/>
    <s v="Não"/>
    <x v="0"/>
    <m/>
    <x v="5"/>
  </r>
  <r>
    <n v="20266"/>
    <s v="Atualizar versão do tClock todo! da Release 115 para a Release 119. Release 115: Assinatura Digital (com itens de homologação exceto Data limite para aprovação ); Log de alteração de senha pelo totem (item da segurança da informação);Limitar a tentativa de logins por senha incorreta (item da segurança da informação – ESTARÁ DESABILITADA);Limitação de relatórios (mostrar mensagem e limitar os casos que foram eleitos como ofensores); Release 116: Mensagem para perfil com acesso apenas de Leitura; Bloqueio de ponto sem saída para período travado; Tela de Conceder Liberação (MVC); Trava de Fechamento (MVC); Gerenciar Motivo (MVC); Feriado (MVC); Cadastro de tempo de pausa (MVC); Justificativa de Marcação - Retirada dos valores default; Release 117: Tela de Parâmetros; Tela de Gerenciar Pausa; Exportação por Período; Release 118: Reclassificações de registro de ponto; Trava de Fechamento; Melhorar tela de filtro de relatório; Abono em Lote; Mensagem na tela de login &quot;Aviso&quot;; Afastamento que não Gera HE; Controle de Acesso aos Menus - Melhoria MVC; Tela de Filtro de Relatórios; Release 119: Gerenciamento de Acordos (Termo de Aceite);Relatório de Aceites aos Acordos; Aceitando Acordos (Termos de Aceite);Espelho de Ponto em HTML"/>
    <x v="0"/>
    <d v="2016-05-13T16:02:31"/>
    <x v="4"/>
    <s v="Encerramento"/>
    <s v="VINICIUS ADELIR NYARI"/>
    <s v="VICENTE FRITZEN DA SILVA,VINICIUS ADELIR NYARI"/>
    <x v="5"/>
    <x v="7"/>
    <s v="Encerrada"/>
    <d v="2016-05-24T20:00:00"/>
    <d v="2016-05-25T02:20:00"/>
    <d v="2016-05-25T02:20:00"/>
    <x v="0"/>
    <x v="0"/>
    <s v="Pouco impacto"/>
    <s v="APPTDO01SPODB; APPTDO02SPODB; DBSTDO01SPODB"/>
    <s v="APPTDO01SPODB; APPTDO02SPODB; DBSTDO01SPODB"/>
    <s v="Não"/>
    <s v="Sim"/>
    <s v="Fazer o restore do backup e das aplicações"/>
    <s v="Não"/>
    <s v="Não"/>
    <x v="0"/>
    <m/>
    <x v="0"/>
  </r>
  <r>
    <n v="20267"/>
    <s v="Manutenção preventiva GMG site Antartica."/>
    <x v="0"/>
    <d v="2016-05-13T17:05:26"/>
    <x v="4"/>
    <s v="Encerramento"/>
    <s v="MARCIO LUIS DE GODOI JUNIOR"/>
    <s v="MARCIO LUIS DE GODOI JUNIOR"/>
    <x v="24"/>
    <x v="53"/>
    <s v="Encerrada"/>
    <d v="2016-05-20T22:00:00"/>
    <d v="2016-05-21T04:00:00"/>
    <d v="2016-05-24T17:11:00"/>
    <x v="0"/>
    <x v="0"/>
    <s v="Sem impacto"/>
    <s v="--"/>
    <s v="--"/>
    <s v="Não"/>
    <s v="Não"/>
    <s v="Iremos realizar a manutenção preventiva visando garantir o funcionamento pleno do equipamento, caso ocorra qualquer anomalia no momento da execução iremos paralizar a atividade e iniciar o processo."/>
    <s v="Não"/>
    <s v="Não"/>
    <x v="0"/>
    <m/>
    <x v="11"/>
  </r>
  <r>
    <n v="20269"/>
    <s v="Substituição de peça em garantia para equipamento de ar condicionado de Precisão na área da sala Pólo. Será substituido transdutor de alta pressão."/>
    <x v="0"/>
    <d v="2016-05-13T17:48:26"/>
    <x v="4"/>
    <s v="Encerramento"/>
    <s v="ARTHUR PRADO DE HOLANDA MOURA"/>
    <s v="ARTHUR PRADO DE HOLANDA MOURA"/>
    <x v="5"/>
    <x v="8"/>
    <s v="Encerrada"/>
    <d v="2016-05-23T08:00:00"/>
    <d v="2016-05-23T23:59:00"/>
    <d v="2016-05-24T06:00:00"/>
    <x v="0"/>
    <x v="2"/>
    <s v="Impacto"/>
    <m/>
    <m/>
    <s v="Não"/>
    <s v="Não"/>
    <s v="Não há"/>
    <s v="Não"/>
    <s v="Não"/>
    <x v="0"/>
    <m/>
    <x v="1"/>
  </r>
  <r>
    <n v="20270"/>
    <s v="STOP/START Full Plataforma Aspect CE - Manutenlçao preventiva na plataforma Aspect 6.7 CE, com intuito de minizar instabilidades e indisponibilidades no sistema."/>
    <x v="9"/>
    <d v="2016-05-13T18:22:20"/>
    <x v="4"/>
    <s v="Encerramento"/>
    <s v="LEANDRO ROCHA GONÇALVES"/>
    <s v="LEANDRO ROCHA GONÇALVES"/>
    <x v="3"/>
    <x v="1"/>
    <s v="Encerrada"/>
    <d v="2016-05-14T22:00:00"/>
    <d v="2016-05-15T06:00:00"/>
    <d v="2016-05-15T08:00:00"/>
    <x v="3"/>
    <x v="0"/>
    <s v="Sem impacto"/>
    <s v="CORCTX01FOR|BM; EXPCTX01FORBM; EXPCTX02FORBM; EXPCTX03FORBM; EXPCTX04FORBM; PDMCTX01FORBM; RECCTX01FORBM"/>
    <s v="CORCTX01FOR|BM; EXPCTX01FORBM; EXPCTX02FORBM; EXPCTX03FORBM; EXPCTX04FORBM; PDMCTX01FORBM; RECCTX01FORBM"/>
    <s v="Sim"/>
    <s v="Sim"/>
    <s v="Não possui plano de retorno, pois o ambiente não irá sofrer alterações na estrutura."/>
    <s v="Não"/>
    <s v="Não"/>
    <x v="0"/>
    <s v="N/A"/>
    <x v="5"/>
  </r>
  <r>
    <n v="20271"/>
    <s v="Inclusão do score_pgt espontâneo no arquivo raw da operação PJ R2, inclusão de novo campa para RAW que é carregado no discador."/>
    <x v="0"/>
    <d v="2016-05-13T18:28:04"/>
    <x v="4"/>
    <s v="Encerramento"/>
    <s v="GEOVANI JOSE DE RESENDE MOREIRA"/>
    <s v="ALEXANDRE BASTOS CORREA"/>
    <x v="13"/>
    <x v="1"/>
    <s v="Encerrada"/>
    <d v="2016-05-18T22:00:00"/>
    <d v="2016-05-18T22:30:00"/>
    <d v="2016-05-18T23:00:00"/>
    <x v="0"/>
    <x v="0"/>
    <s v="Sem impacto"/>
    <s v="--"/>
    <s v="10.55.14.13"/>
    <s v="Não"/>
    <s v="Não"/>
    <s v="1 - conectar no servidor 10.55.14.13 pelo query analyzer 2 -Executar script USE [FTStage] GO /****** Object: StoredProcedure [dbo].[FormatDataExchange_DialingUnifiedIPExport] Script Date: 04/25/2012 10:19:19 ******/ SET ANSI_NULLS ON GO SET QUOTED_IDENTIFIER ON GO ALTER PROCEDURE [dbo].[FormatDataExchange_DialingUnifiedIPExport](@BatchID INT) AS BEGIN SET NOCOUNT ON DECLARE @ReferenceDate SMALLDATETIME SELECT @ReferenceDate = GETDATE() --&gt; File Details IF NOT EXISTS ( SELECT top 1 * FROM dbo.DataExchange_DialingUnifiedIPExport_RawData AS CM WHERE CM.BatchID = @BatchID ) BEGIN INSERT DataExchange_DialingUnifiedIPExport_RawData (BatchID, LoadSequenceKey, RecordCode, RawData) SELECT @BatchID AS BatchID, M.LoadSequenceKey, 1 AS RecordCode, dbo.NumPad(M.StrategyItemID, 10) + dbo.NumPad(M.StrategyID, 10) + dbo.NumPad(M.BindingID, 10) + dbo.CharPad(IsNull(m.Name,''), 160) + dbo.NumPad(M.CPFIdentityNumber, 15) + dbo.NumPad(IsNull(m.CustomerId, 0), 10) + CASE WHEN M.PhoneNumber1 0 THEN dbo.NumPad(M.PhoneArea1, 2) + dbo.CharPad(M.PhoneNumber1, 9) ELSE REPLICATE(' ', 11) END + CASE WHEN M.PhoneNumber2 0 THEN dbo.NumPad(M.PhoneArea2, 2) + dbo.CharPad(M.PhoneNumber2, 9) ELSE REPLICATE(' ', 11) END + CASE WHEN M.PhoneNumber3 0 THEN dbo.NumPad(M.PhoneArea3, 2) + dbo.CharPad(M.PhoneNumber3, 9) ELSE REPLICATE(' ', 11) END + CASE WHEN M.PhoneNumber4 0 THEN dbo.NumPad(M.PhoneArea4, 2) + dbo.CharPad(M.PhoneNumber4, 9) ELSE REPLICATE(' ', 11) END + CASE WHEN M.PhoneNumber5 0 THEN dbo.NumPad(M.PhoneArea5, 2) + dbo.CharPad(M.PhoneNumber5, 9) ELSE REPLICATE(' ', 11) END + CASE WHEN M.PhoneNumber6 0 THEN dbo.NumPad(M.PhoneArea6, 2) + dbo.CharPad(M.PhoneNumber6, 9) ELSE REPLICATE(' ', 11) END + CASE WHEN M.PhoneNumber7 0 THEN dbo.NumPad(M.PhoneArea7, 2) + dbo.CharPad(M.PhoneNumber7, 9) ELSE REPLICATE(' ', 11) END + CASE WHEN M.PhoneNumber8 0 THEN dbo.NumPad(M.PhoneArea8, 2) + dbo.CharPad(M.PhoneNumber8, 9) ELSE REPLICATE(' ', 11) END + CASE WHEN M.PhoneNumber9 0 THEN dbo.NumPad(M.PhoneArea9, 2) + dbo.CharPad(M.PhoneNumber9, 9) ELSE REPLICATE(' ', 11) END + CASE WHEN M.PhoneNumber10 0 THEN dbo.NumPad(M.PhoneArea10, 2) + dbo.CharPad(M.PhoneNumber10, 9) ELSE REPLICATE(' ', 11) END + dbo.CharPad(IsNull(m.Branch, ''), 20) --+ dbo.NumPad(IsNull(m.Segment, 0), 10) + dbo.CharPad(IsNull(m.Segment, ''), 50) + dbo.CharPad(IsNull(m.Leveraged, ''), 1) + dbo.NumPad(IsNull(m.Age, 0), 10) + dbo.NumPad(IsNull(m.Time, 0), 10) + dbo.CharPad(IsNull(m.Beha, ''), 20) + dbo.NumPad(IsNull(m.Dcpf, 0), 1) + dbo.NumPad(IsNull(m.DebtTotalBalance, 0) * 100, 12) + dbo.CharPad(IsNull(m.ExpenditureSegment, ''), 20) + dbo.NumPad(IsNull(m.BuiltinClaim, 0), 2) + dbo.CharPad(IsNull(m.CompanyName, ''), 11) + case when m.CbTime is null then replicate(' ', 19) else Convert(varchar(19), m.cbTime, 20) end + dbo.NumPad(IsNull(m.CampaignId, ''), 10) + case when m.LastTrackingModificationDate is null then replicate(' ', 19) else Convert(varchar(19), m.LastTrackingModificationDate, 20) end + dbo.CharPad(IsNull(m.SpontaneousPaymentScore, 0), 16) + case when m.LastRightPersonContactDate is null then replicate(' ', 19) else Convert(varchar(19), m.LastRightPersonContactDate, 20) end + case when m.LastEffectiveContactDate is null then replicate(' ', 19) else Convert(varchar(19), m.LastEffectiveContactDate, 20) end + dbo.CharPad(ISNULL(M.Cluster, '')"/>
    <s v="Não"/>
    <s v="Não"/>
    <x v="0"/>
    <m/>
    <x v="2"/>
  </r>
  <r>
    <n v="20272"/>
    <s v="Implantação de melhorias e atualizações na URA *144 Pré Pago. Implantação de demandas para ajustes de código da M4U para ajuste na recarga programada e criação de novos pontos de derivação para clientes fone OI."/>
    <x v="112"/>
    <d v="2016-05-16T09:23:01"/>
    <x v="4"/>
    <s v="Encerramento"/>
    <s v="FELIPE NASCIMENTO DE MENEZES TAVARES"/>
    <s v="WILLIAN CAMPBELL VIANA"/>
    <x v="7"/>
    <x v="1"/>
    <s v="Encerrada"/>
    <d v="2016-05-24T22:00:00"/>
    <d v="2016-05-25T03:00:00"/>
    <d v="2016-05-25T18:00:00"/>
    <x v="0"/>
    <x v="2"/>
    <s v="Sem impacto"/>
    <s v="--"/>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quot;Realizar o UNDEPLOY da versão nova através do Tomcat Manager Refazer os Testes Técnicos e Funcionais.&quot;"/>
    <s v="Não"/>
    <s v="Não"/>
    <x v="0"/>
    <s v="OI-15178/OI-15248"/>
    <x v="5"/>
  </r>
  <r>
    <n v="20278"/>
    <s v="Movimentação de um ponto de hidrante no térreo e rebaixar um ponto de sprinkler. Necessário atividade, devido a implantação do novo espaço do ACI na área onde estão os itens hoje."/>
    <x v="0"/>
    <d v="2016-05-16T14:21:45"/>
    <x v="4"/>
    <s v="Encerramento"/>
    <s v="ARTHUR PRADO DE HOLANDA MOURA"/>
    <s v="ARTHUR PRADO DE HOLANDA MOURA"/>
    <x v="5"/>
    <x v="8"/>
    <s v="Encerrada"/>
    <d v="2016-05-21T06:00:00"/>
    <d v="2016-05-22T23:59:00"/>
    <d v="2016-05-23T06:00:00"/>
    <x v="0"/>
    <x v="2"/>
    <s v="Impacto"/>
    <m/>
    <m/>
    <s v="Não"/>
    <s v="Não"/>
    <s v="Não há."/>
    <s v="Não"/>
    <s v="Não"/>
    <x v="0"/>
    <m/>
    <x v="1"/>
  </r>
  <r>
    <n v="20279"/>
    <s v="DESENTUPIMENTO DE DRENO DA MÁQUINA DE PRECISÃO DIAMONT DO CPD"/>
    <x v="0"/>
    <d v="2016-05-16T15:14:39"/>
    <x v="4"/>
    <s v="Encerramento"/>
    <s v="ROGÉRIO VINÍCIUS VALE GONÇALVES"/>
    <s v="ROGÉRIO VINÍCIUS VALE GONÇALVES"/>
    <x v="15"/>
    <x v="11"/>
    <s v="Encerrada"/>
    <d v="2016-05-16T16:00:00"/>
    <d v="2016-05-16T20:00:00"/>
    <d v="2016-05-17T18:00:00"/>
    <x v="1"/>
    <x v="1"/>
    <s v="Os prejuízos ou dificuldades são impactantes"/>
    <s v="--"/>
    <m/>
    <s v="Não"/>
    <s v="Não"/>
    <s v="- VOLTAR COM A OPERAÇÃO DA MÁQUINA COM MANGUEIRA NO DRENO."/>
    <s v="Não"/>
    <s v="Não"/>
    <x v="0"/>
    <n v="0"/>
    <x v="0"/>
  </r>
  <r>
    <n v="20283"/>
    <s v="Release URA USSD OI 14873 Exclusão check &quot;Limite Recarga programada&quot; Customer OI 15309 Acrescentar campos aos logs USSD OI 15088 Atualização serviço SVA planilha serviços / tabela financeira OI 15302 Incentivo a recarga através de bônus de internet"/>
    <x v="1"/>
    <d v="2016-05-16T17:32:10"/>
    <x v="4"/>
    <s v="Encerramento"/>
    <s v="PRISCILA LUCIA PEREIRA DE ALBUQUERQUE GALARANI"/>
    <s v="DANIEL SCHONWANDT MENDES FERREIRA"/>
    <x v="1"/>
    <x v="1"/>
    <s v="Encerrada"/>
    <d v="2016-05-24T22:00:00"/>
    <d v="2016-05-25T03:00:00"/>
    <d v="2016-05-25T09:00:00"/>
    <x v="0"/>
    <x v="0"/>
    <s v="Pouco impacto"/>
    <s v="APPCTX27RJOMK; APPCTX28RJOMK"/>
    <s v="APPCTX27RJOMK; APPCTX28RJOMK"/>
    <s v="Não"/>
    <s v="Não"/>
    <s v="Realizar o UNDEPLOY da versão nova através do JBoss Refazer os Testes Técnicos e Funcionais."/>
    <s v="Não"/>
    <s v="Não"/>
    <x v="0"/>
    <m/>
    <x v="1"/>
  </r>
  <r>
    <n v="20285"/>
    <s v="Reinicialização de Servidor DC para sanar erros de replicação."/>
    <x v="9"/>
    <d v="2016-05-16T18:23:35"/>
    <x v="4"/>
    <s v="Encerramento"/>
    <s v="JOAO BATISTA DE LIMA NETO"/>
    <s v="JOAO BATISTA DE LIMA NETO"/>
    <x v="5"/>
    <x v="7"/>
    <s v="Encerrada"/>
    <d v="2016-05-16T21:00:00"/>
    <d v="2016-05-16T21:30:00"/>
    <d v="2016-05-16T22:00:00"/>
    <x v="3"/>
    <x v="1"/>
    <s v="Sem impacto"/>
    <s v="SDCCTX01SPOAS; SDCCTX106SPODB"/>
    <s v="SDCCTX01SPOAS; SDCCTX106SPODB"/>
    <s v="Sim"/>
    <s v="Não"/>
    <s v="Não existe plano de retorno."/>
    <s v="Não"/>
    <s v="Não"/>
    <x v="0"/>
    <m/>
    <x v="0"/>
  </r>
  <r>
    <n v="20286"/>
    <s v="OI MÓVEL - Postagem da Campanha Mães 2016, cancelamento em massa e renegociação das negociações visões boleto."/>
    <x v="9"/>
    <d v="2016-05-16T19:10:23"/>
    <x v="4"/>
    <s v="Encerramento"/>
    <s v="RAPHAEL ANDRÉ MARCANDIER GONÇALVES"/>
    <s v="FREDERICO BEDETTE COSTA"/>
    <x v="2"/>
    <x v="1"/>
    <s v="Encerrada"/>
    <d v="2016-05-18T22:00:00"/>
    <d v="2016-05-19T06:30:00"/>
    <d v="2016-05-19T07:00:00"/>
    <x v="3"/>
    <x v="0"/>
    <s v="Sem impacto"/>
    <m/>
    <m/>
    <s v="Não"/>
    <s v="Não"/>
    <s v="O plano de retorno deve ser executado por CSE-Aplicações. Efetuar Restory da base de dados Oi_Campanha_Financeiro, atraves da Query descrita abaixo.. Obs: Rotina de backup validada pela área de BACKUP/RESTORE através do chamado CTXFORBM-359831."/>
    <s v="Não"/>
    <s v="Não"/>
    <x v="0"/>
    <m/>
    <x v="2"/>
  </r>
  <r>
    <n v="20287"/>
    <s v="Restart dos loggers NGR com mais de 300 dias sem restart"/>
    <x v="9"/>
    <d v="2016-05-17T06:18:07"/>
    <x v="4"/>
    <s v="Encerramento"/>
    <s v="JOÃO LUCAS ZEATO DE MELO GUSMÃO"/>
    <s v="JOÃO LUCAS ZEATO DE MELO GUSMÃO"/>
    <x v="7"/>
    <x v="1"/>
    <s v="Encerrada"/>
    <d v="2016-05-18T01:00:00"/>
    <d v="2016-05-18T06:00:00"/>
    <d v="2016-05-18T07:00:00"/>
    <x v="3"/>
    <x v="0"/>
    <s v="Sem impacto"/>
    <s v="grvctx02bsbpa; grvctx02poapa; grvctx03forpa; grvctx03poapa; grvctx04rjopb; GRVCTX05BHZPA; grvctx05rjopb; GRVCTX05SPOPA; grvctx06rjopb; GRVCTX07RJOPA"/>
    <s v="grvctx02bsbpa; grvctx02poapa; grvctx03forpa; grvctx03poapa; grvctx04rjopb; GRVCTX05BHZPA; grvctx05rjopb; GRVCTX05SPOPA; grvctx06rjopb; GRVCTX07RJOPA"/>
    <s v="Sim"/>
    <s v="Não"/>
    <s v="Não existe"/>
    <s v="Não"/>
    <s v="Não"/>
    <x v="2"/>
    <m/>
    <x v="1"/>
  </r>
  <r>
    <n v="20288"/>
    <s v="Implantação de melhoria e atualização da aplicação URA10331UNIFICADA Projeto: 9º Dígito - Inclusão DDDs 6x"/>
    <x v="110"/>
    <d v="2016-05-17T09:38:27"/>
    <x v="4"/>
    <s v="Encerramento"/>
    <s v="LUCIANA MARTINS CARVALHO"/>
    <s v="DALVO ANDRE GERONIMO RAMOS"/>
    <x v="7"/>
    <x v="1"/>
    <s v="Encerrada"/>
    <d v="2016-05-28T22:00:00"/>
    <d v="2016-05-29T12:00:00"/>
    <d v="2016-05-29T18:00:00"/>
    <x v="0"/>
    <x v="2"/>
    <s v="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m/>
    <x v="5"/>
  </r>
  <r>
    <n v="20289"/>
    <s v="Ativar Links BGP com a ALMAVIVA (TAM)"/>
    <x v="9"/>
    <d v="2016-05-17T11:53:36"/>
    <x v="4"/>
    <s v="Encerramento"/>
    <s v="CLAUDEMIR BEZERRA VICTOR DA SILVA"/>
    <s v="CLAUDEMIR BEZERRA VICTOR DA SILVA"/>
    <x v="35"/>
    <x v="6"/>
    <s v="Encerrada"/>
    <d v="2016-05-17T23:40:00"/>
    <d v="2016-05-18T02:00:00"/>
    <d v="2016-05-18T02:30:00"/>
    <x v="3"/>
    <x v="0"/>
    <s v="Sem impacto"/>
    <s v="FWCCCTXSPODB001"/>
    <s v="FWCCCTXSPODB001"/>
    <s v="Não"/>
    <s v="Não"/>
    <s v="- FWCCCTXSPODB001 - 10.171.207.100 rollback X (Verificar último rollback válido)"/>
    <s v="Não"/>
    <s v="Não"/>
    <x v="0"/>
    <m/>
    <x v="7"/>
  </r>
  <r>
    <n v="20292"/>
    <s v="Manutenção do banco de dados 10.67.150.95 - Reindex de 69 índices com alto nível de fragmentação."/>
    <x v="9"/>
    <d v="2016-05-17T13:40:56"/>
    <x v="4"/>
    <s v="Encerramento"/>
    <s v="PYTTER SANTIAGO DE ANDRADE"/>
    <s v="JOSE GERALDO DA SILVA DOS SANTOS,ROBERTO MAGALHÃES DE OLIVEIRA"/>
    <x v="8"/>
    <x v="18"/>
    <s v="Encerrada"/>
    <d v="2016-05-17T22:30:00"/>
    <d v="2016-05-18T04:30:00"/>
    <d v="2016-05-18T05:00:00"/>
    <x v="3"/>
    <x v="1"/>
    <s v="Sem impacto"/>
    <s v="dbsctx01salpb"/>
    <s v="dbsctx01salpb"/>
    <s v="Sim"/>
    <s v="Não"/>
    <s v="Caso haja a necessidade de rollback, haverá disponível o backup no diretório &quot;E:\Backup_Bases_de_Dados&quot; do servidor de banco de dados 10.67.150.95."/>
    <s v="Não"/>
    <s v="Não"/>
    <x v="0"/>
    <s v="CTXSALPB-66352"/>
    <x v="1"/>
  </r>
  <r>
    <n v="20293"/>
    <s v="Validação e documentação de redundância dos links MPLS no site Luigi Amorese/Joao Pessoa Execução de testes de fail over e captura de evidências."/>
    <x v="9"/>
    <d v="2016-05-17T14:08:53"/>
    <x v="4"/>
    <s v="Encerramento"/>
    <s v="THIAGO SILVA FERREIRA"/>
    <s v="FRANCISCO ROSBERG DE CARVALHO SILVA,THIAGO SILVA FERREIRA"/>
    <x v="35"/>
    <x v="0"/>
    <s v="Encerrada"/>
    <d v="2016-05-17T23:30:00"/>
    <d v="2016-05-18T01:30:00"/>
    <d v="2016-05-18T02:00:00"/>
    <x v="3"/>
    <x v="0"/>
    <s v="Sem impacto"/>
    <s v="VIVO 00869930 / Algar 00028672"/>
    <s v="--"/>
    <s v="Sim"/>
    <s v="Não"/>
    <s v="Reativação dos links."/>
    <s v="Não"/>
    <s v="Não"/>
    <x v="0"/>
    <m/>
    <x v="0"/>
  </r>
  <r>
    <n v="20294"/>
    <s v="Atividade parar inicio da implantação projeto de eficiência energética para o site Alegria, iniciando com a instalação de analisador de rede e analisadores de aterramento."/>
    <x v="113"/>
    <d v="2016-05-17T14:23:03"/>
    <x v="4"/>
    <s v="Encerramento"/>
    <s v="ARTHUR PRADO DE HOLANDA MOURA"/>
    <s v="ARTHUR PRADO DE HOLANDA MOURA"/>
    <x v="5"/>
    <x v="54"/>
    <s v="Encerrada"/>
    <d v="2016-05-23T08:00:00"/>
    <d v="2016-05-31T23:59:00"/>
    <d v="2016-06-01T08:00:00"/>
    <x v="0"/>
    <x v="2"/>
    <s v="Impacto"/>
    <m/>
    <m/>
    <s v="Não"/>
    <s v="Não"/>
    <s v="Não há"/>
    <s v="Não"/>
    <s v="Não"/>
    <x v="0"/>
    <m/>
    <x v="26"/>
  </r>
  <r>
    <n v="20296"/>
    <s v="Atualizar tabela das aplicações de roteamento na base de dados do ICR - ALPHAVILLE (Escopo das Aplicações Empresarial Móvel e Fixa)"/>
    <x v="0"/>
    <d v="2016-05-17T14:49:38"/>
    <x v="4"/>
    <s v="Encerramento"/>
    <s v="WILSON SHIGERU MIYAZAKI"/>
    <s v="WILSON SHIGERU MIYAZAKI"/>
    <x v="7"/>
    <x v="1"/>
    <s v="Encerrada"/>
    <d v="2016-05-23T07:00:00"/>
    <d v="2016-05-23T09:00:00"/>
    <d v="2016-05-23T10:00:00"/>
    <x v="0"/>
    <x v="0"/>
    <s v="Sem impacto"/>
    <s v="dbsctx08spoda"/>
    <s v="dbsctx08spoda"/>
    <s v="Não"/>
    <s v="Não"/>
    <s v="Voltar a tabela antiga de acordo com o Produto"/>
    <s v="Não"/>
    <s v="Não"/>
    <x v="0"/>
    <s v="• CTXRJOMK-143161 • CTXRJOMK-143160"/>
    <x v="1"/>
  </r>
  <r>
    <n v="20298"/>
    <s v="Manter a confiabilidade dos sitema /CPD do Site Mauá será desligado para implatação do projeto"/>
    <x v="0"/>
    <d v="2016-05-17T15:15:11"/>
    <x v="4"/>
    <s v="Encerramento"/>
    <s v="VANDERLEI CASTRO SOUZA LIMA"/>
    <s v="VANDERLEI CASTRO SOUZA LIMA"/>
    <x v="12"/>
    <x v="9"/>
    <s v="Encerrada"/>
    <d v="2016-05-17T22:00:00"/>
    <d v="2016-05-18T05:00:00"/>
    <d v="2016-05-18T05:30:00"/>
    <x v="1"/>
    <x v="1"/>
    <s v="Os prejuízos ou dificuldades são impactantes"/>
    <s v="--"/>
    <s v="Quadros eletrico"/>
    <s v="Não"/>
    <s v="Não"/>
    <s v="Equipe de TI religando os equipamentos do CPD"/>
    <s v="Não"/>
    <s v="Não"/>
    <x v="0"/>
    <s v="N/A"/>
    <x v="8"/>
  </r>
  <r>
    <n v="20300"/>
    <s v="Manutenção preventiva UPS"/>
    <x v="0"/>
    <d v="2016-05-17T15:24:54"/>
    <x v="4"/>
    <s v="Encerramento"/>
    <s v="MARCIO LUIS DE GODOI JUNIOR"/>
    <s v="MARCIO LUIS DE GODOI JUNIOR"/>
    <x v="24"/>
    <x v="55"/>
    <s v="Encerrada"/>
    <d v="2016-05-27T22:00:00"/>
    <d v="2016-05-28T04:00:00"/>
    <d v="2016-05-31T15:37:00"/>
    <x v="0"/>
    <x v="0"/>
    <s v="Sem impacto"/>
    <s v="--"/>
    <s v="--"/>
    <s v="Não"/>
    <s v="Não"/>
    <s v="Toda atividade será realizada seguindo procedimentos e medidas de controle caso aja qualquer anomalia na execução iremos paralisar e retornar o processo do inicio, sempre sinalizando os interessados da atividade"/>
    <s v="Não"/>
    <s v="Não"/>
    <x v="0"/>
    <m/>
    <x v="15"/>
  </r>
  <r>
    <n v="20301"/>
    <s v="Manutenção preventiva sem carga gerador Stemac 210 KVA"/>
    <x v="0"/>
    <d v="2016-05-17T16:16:13"/>
    <x v="4"/>
    <s v="Encerramento"/>
    <s v="CASSIO REIS LIMA"/>
    <s v="CASSIO REIS LIMA"/>
    <x v="20"/>
    <x v="1"/>
    <s v="Encerrada"/>
    <d v="2016-05-27T22:00:00"/>
    <d v="2016-05-28T03:00:00"/>
    <d v="2016-05-28T05:00:00"/>
    <x v="0"/>
    <x v="0"/>
    <s v="Pouco impacto"/>
    <s v="Gerador Stemac Fonte Nova"/>
    <s v="Gerador Stemac Fonte Nova"/>
    <s v="Não"/>
    <s v="Não"/>
    <s v="Em eventual falha reportaremos para a área de missão critica, coordenador do site e gerência de cidade, após ser aprovado o procedimento restabeleceremos o sistema."/>
    <s v="Não"/>
    <s v="Não"/>
    <x v="0"/>
    <m/>
    <x v="5"/>
  </r>
  <r>
    <n v="20302"/>
    <s v="Manutenção preventiva gerador Leon Heimer 210 KVA Fonte Nova"/>
    <x v="0"/>
    <d v="2016-05-17T17:27:58"/>
    <x v="4"/>
    <s v="Encerramento"/>
    <s v="CASSIO REIS LIMA"/>
    <s v="CASSIO REIS LIMA"/>
    <x v="20"/>
    <x v="1"/>
    <s v="Encerrada"/>
    <d v="2016-05-28T01:00:00"/>
    <d v="2016-05-28T03:00:00"/>
    <d v="2016-05-28T05:00:00"/>
    <x v="0"/>
    <x v="0"/>
    <s v="Sem impacto"/>
    <s v="Gerador Leon Heimer"/>
    <s v="Gerador Leon Heimer"/>
    <s v="Não"/>
    <s v="Não"/>
    <s v="Em eventual falha reportaremos para a área de missão critica, coordenador do site e gerência de cidade, após ser aprovado o procedimento restabeleceremos o sistema."/>
    <s v="Não"/>
    <s v="Não"/>
    <x v="0"/>
    <m/>
    <x v="5"/>
  </r>
  <r>
    <n v="20303"/>
    <s v="Realizar manutenção corretiva com troca de exaustor do no break 2 que atende as operações da torre I"/>
    <x v="114"/>
    <d v="2016-05-17T17:53:36"/>
    <x v="4"/>
    <s v="Encerramento"/>
    <s v="GÊNESIS HENRIQUE DA SILVA"/>
    <s v="GÊNESIS HENRIQUE DA SILVA"/>
    <x v="29"/>
    <x v="56"/>
    <s v="Encerrada"/>
    <d v="2016-05-18T22:00:00"/>
    <d v="2016-05-19T01:00:00"/>
    <d v="2016-05-19T01:00:00"/>
    <x v="1"/>
    <x v="1"/>
    <s v="Muito impacto"/>
    <s v="No break"/>
    <s v="--"/>
    <s v="Sim"/>
    <s v="Não"/>
    <s v="Caso haja qualquer imprevisto realizaremos as manobras de retorno para normalização dos equipamentos."/>
    <s v="Não"/>
    <s v="Não"/>
    <x v="0"/>
    <s v="Manutenção corretiva"/>
    <x v="27"/>
  </r>
  <r>
    <n v="20306"/>
    <s v="Realizar a limpeza de dois tanques aéreos de diesel que alimentam os geradores do sie Santo Amaro."/>
    <x v="115"/>
    <d v="2016-05-18T11:31:17"/>
    <x v="4"/>
    <s v="Encerramento"/>
    <s v="GÊNESIS HENRIQUE DA SILVA"/>
    <s v="GÊNESIS HENRIQUE DA SILVA"/>
    <x v="29"/>
    <x v="31"/>
    <s v="Encerrada"/>
    <d v="2016-05-19T09:00:00"/>
    <d v="2016-05-19T14:00:00"/>
    <d v="2016-05-19T14:00:00"/>
    <x v="1"/>
    <x v="1"/>
    <s v="Os prejuízos ou dificuldades são impactantes"/>
    <s v="--"/>
    <s v="--"/>
    <s v="Não"/>
    <s v="Não"/>
    <s v="Caso haja algum problema realizaremos o abastecimento externo dos tanques."/>
    <s v="Não"/>
    <s v="Não"/>
    <x v="0"/>
    <s v="Limpeza de tanques de diesel"/>
    <x v="28"/>
  </r>
  <r>
    <n v="20307"/>
    <s v="Upgrade do host esxi vshctx101spodb para versão 5.5 (VMWARE)"/>
    <x v="9"/>
    <d v="2016-05-18T12:46:14"/>
    <x v="4"/>
    <s v="Encerramento"/>
    <s v="MATHEUS MASCÁRA DA SILVA"/>
    <s v="MATHEUS MASCÁRA DA SILVA"/>
    <x v="10"/>
    <x v="0"/>
    <s v="Encerrada"/>
    <d v="2016-05-26T01:00:00"/>
    <d v="2016-05-26T03:00:00"/>
    <d v="2016-05-26T05:00:00"/>
    <x v="3"/>
    <x v="0"/>
    <s v="Sem impacto"/>
    <s v="grvctx101spodb; grvctx115spodb"/>
    <s v="vshctx101spodb"/>
    <s v="Sim"/>
    <s v="Não"/>
    <s v="Caso a instalação da atualização venha a dar problemas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
    <s v="Não"/>
    <s v="Não"/>
    <x v="2"/>
    <m/>
    <x v="0"/>
  </r>
  <r>
    <n v="20308"/>
    <s v="Executar a substituição dos retificadores de tensão 48Vcc que apresentam falhas."/>
    <x v="0"/>
    <d v="2016-05-18T12:53:19"/>
    <x v="4"/>
    <s v="Encerramento"/>
    <s v="ALEXANDRE PIRES DE JESUS"/>
    <s v="ALEXANDRE PIRES DE JESUS"/>
    <x v="44"/>
    <x v="24"/>
    <s v="Encerrada"/>
    <d v="2016-05-18T22:00:00"/>
    <d v="2016-05-19T05:00:00"/>
    <d v="2016-05-19T06:00:00"/>
    <x v="1"/>
    <x v="1"/>
    <s v="Os prejuízos ou dificuldades são impactantes"/>
    <m/>
    <m/>
    <s v="Não"/>
    <s v="Não"/>
    <s v="Não Há, visto que os equipamentos já se encontram com falha"/>
    <s v="Não"/>
    <s v="Não"/>
    <x v="0"/>
    <s v="Corretiva"/>
    <x v="0"/>
  </r>
  <r>
    <n v="20310"/>
    <s v="Janela de manutenção de um especialista de campo Avaya para o POP ARCOS para execuções de rotinas de diagnósticos no hw SBCPCTXRJOPA001 para eventos de Switch Over."/>
    <x v="9"/>
    <d v="2016-05-18T14:31:47"/>
    <x v="4"/>
    <s v="Encerramento"/>
    <s v="WILSON SHIGERU MIYAZAKI"/>
    <s v="LEANDRO RIBEIRO ALCOFORADO"/>
    <x v="7"/>
    <x v="1"/>
    <s v="Encerrada"/>
    <d v="2016-05-18T22:00:00"/>
    <d v="2016-05-18T22:30:00"/>
    <d v="2016-05-18T23:59:00"/>
    <x v="3"/>
    <x v="0"/>
    <s v="Sem impacto"/>
    <s v="SBCPCTXRJOPA001"/>
    <s v="SBCPCTXRJOPA001"/>
    <s v="Não"/>
    <s v="Não"/>
    <s v="Não haverá necessidade de Rollback pois ocorrerá somente ace..."/>
    <s v="Não"/>
    <s v="Não"/>
    <x v="0"/>
    <s v=": ***AVAYA*** 1-11908123822 / Switchover pop Arcos"/>
    <x v="1"/>
  </r>
  <r>
    <n v="20311"/>
    <s v="desativação da placa de rede dos servidores que serão futuramente desligados do CPD da Al. Santos. Esses servidores devem ficar com a placa desativada até 16/06/2016 para depois passar pelo processo de desativação total."/>
    <x v="116"/>
    <d v="2016-05-18T14:52:57"/>
    <x v="4"/>
    <s v="Encerramento"/>
    <s v="FELIPE SANTOS BARBOSA DELGADO"/>
    <s v="EDER LUIZ HERRERO,JOSE GERALDO DA SILVA DOS SANTOS"/>
    <x v="6"/>
    <x v="0"/>
    <s v="Encerrada"/>
    <d v="2016-05-19T22:00:00"/>
    <d v="2016-05-20T07:00:00"/>
    <d v="2016-05-20T07:30:00"/>
    <x v="1"/>
    <x v="1"/>
    <s v="Os prejuízos ou dificuldades são impactantes"/>
    <s v="APPTDO02SPOAS; APPTDO04SPOAS; APPTDO05SPOAS; APPTDO13SPOAS; APPTDO14SPOAS; APPTDO27SPOAS; APPTDO28SPOAS; APPTDO30SPOAS; APPTDO32SPOAS; APPTDO33SPOAS; APPTDO35SPOAS; APPTDO36SPOAS; APPTDO37SPOAS; APPTDO38SPOAS; APPTDO39SPOAS; APPTDO42SPOAS; APPTDO48SPOAS; APPTDO49SPOAS; CISCOLMS; DBSTDO12SPOAS; DBSTDO17SPOAS; DBSTDO19SPOAS; DBSTDO20SPOAS; DBSTDO26SPOAS; DBSTDO27SPOAS; DESTDO01SPOAS; EASTDO01FLNJC; EASTDO02FLNJC; EXCTDO01SPOAS; HML001-AD-LAB; HML002-APP3; HML003-TMG; HML004-APP1; HML005-APP2; HML006-Template 2k3; HML007-APP4; HMLTDO01SPOAS; HMLTDO02SPOAS; HMLTDO05SPOAS; HMLTDO06SPOAS; HMLTDO07SPOAS; HMLTDO08SPOAS; HMLTDO09SPOAS; HMLTDO10SPOAS; HMLTDO11SPOAS; HMLTDO12SPOAS; HMLTDO13SPOAS; HMLTDO14SPOAS; HMLTDO15SP; HMLTDO15SPOAS; HMLTDO16SP; HMLTDO16SPOAS; HMLTDO17SPOAS; HMTDO18SPOAS; HMTDO19SPOAS; HOMOLOGANICE; SAOLX062; SAOW3CABOXI01; SAOW3CASDDB02; SAOW3DBDS01; SAOW3PFS02; SAOW3RPT01; SPOAPTDPVE79319-WORKSTATION; Talentos; TSTARC01TD; VPNTDO01SPOAS; VSSTDO01SPOAS; WDSTDO01SPOAS; XP-PRO"/>
    <s v="APPTDO02SPOAS; APPTDO04SPOAS; APPTDO05SPOAS; APPTDO13SPOAS; APPTDO14SPOAS; APPTDO27SPOAS; APPTDO28SPOAS; APPTDO30SPOAS; APPTDO32SPOAS; APPTDO33SPOAS; APPTDO35SPOAS; APPTDO36SPOAS; APPTDO37SPOAS; APPTDO38SPOAS; APPTDO39SPOAS; APPTDO42SPOAS; APPTDO48SPOAS; APPTDO49SPOAS; CISCOLMS; DBSTDO12SPOAS; DBSTDO17SPOAS; DBSTDO19SPOAS; DBSTDO20SPOAS; DBSTDO26SPOAS; DBSTDO27SPOAS; DESTDO01SPOAS; EASTDO01FLNJC; EASTDO02FLNJC; EXCTDO01SPOAS; HML001-AD-LAB; HML002-APP3; HML003-TMG; HML004-APP1; HML005-APP2; HML006-Template 2k3; HML007-APP4; HMLTDO01SPOAS; HMLTDO02SPOAS; HMLTDO05SPOAS; HMLTDO06SPOAS; HMLTDO07SPOAS; HMLTDO08SPOAS; HMLTDO09SPOAS; HMLTDO10SPOAS; HMLTDO11SPOAS; HMLTDO12SPOAS; HMLTDO13SPOAS; HMLTDO14SPOAS; HMLTDO15SP; HMLTDO15SPOAS; HMLTDO16SP; HMLTDO16SPOAS; HMLTDO17SPOAS; HMTDO18SPOAS; HMTDO19SPOAS; HOMOLOGANICE; SAOLX062; SAOW3CABOXI01; SAOW3CASDDB02; SAOW3DBDS01; SAOW3PFS02; SAOW3RPT01; SPOAPTDPVE79319-WORKSTATION; Talentos; TSTARC01TD; VPNTDO01SPOAS; VSSTDO01SPOAS; WDSTDO01SPOAS; XP-PRO"/>
    <s v="Sim"/>
    <s v="Sim"/>
    <s v="Em caso de necessidade da reativação de alguma máquina virtual especifica podemos reestabelecer a conexão com o seguinte procedimento também listado no Anexo da Gmud na etapa 3. Plano de Rollback."/>
    <s v="Não"/>
    <s v="Não"/>
    <x v="0"/>
    <s v="--"/>
    <x v="0"/>
  </r>
  <r>
    <n v="20313"/>
    <s v="Efetuar a troca do disco 7 no servidor que apresenta falha"/>
    <x v="9"/>
    <d v="2016-05-18T15:49:58"/>
    <x v="4"/>
    <s v="Encerramento"/>
    <s v="FERNANDO SOUZA DOS REIS"/>
    <s v="DANIEL DE LIMA PEREIRA,FERNANDO SOUZA DOS REIS"/>
    <x v="19"/>
    <x v="24"/>
    <s v="Encerrada"/>
    <d v="2016-05-19T09:00:00"/>
    <d v="2016-05-19T11:00:00"/>
    <d v="2016-05-19T12:00:00"/>
    <x v="3"/>
    <x v="1"/>
    <s v="Sem impacto"/>
    <s v="BRSPOLP013"/>
    <s v="BRSPOLP013"/>
    <s v="Não"/>
    <s v="Não"/>
    <s v="Não se aplica pois o disco com falha está inutilizado"/>
    <s v="Não"/>
    <s v="Não"/>
    <x v="0"/>
    <s v="CTXSPOLP-117637"/>
    <x v="0"/>
  </r>
  <r>
    <n v="20314"/>
    <s v="manutenção preventiva sem desligamento NO- BREAKS LESTUNG, site Boa Viagem."/>
    <x v="0"/>
    <d v="2016-05-18T16:15:39"/>
    <x v="4"/>
    <s v="Encerramento"/>
    <s v="CASSIO REIS LIMA"/>
    <s v="CASSIO REIS LIMA"/>
    <x v="8"/>
    <x v="4"/>
    <s v="Encerrada"/>
    <d v="2016-05-28T20:00:00"/>
    <d v="2016-05-30T05:00:00"/>
    <d v="2016-05-30T06:00:00"/>
    <x v="0"/>
    <x v="0"/>
    <s v="Sem impacto"/>
    <s v="NO BREAKS LEISTUNG"/>
    <s v="NO BREAKS LEISTUNG"/>
    <s v="Não"/>
    <s v="Não"/>
    <s v="O equipamento já estará em modo automático apto para segurar as cargas numa falta de energia."/>
    <s v="Não"/>
    <s v="Não"/>
    <x v="0"/>
    <m/>
    <x v="13"/>
  </r>
  <r>
    <n v="20315"/>
    <s v="Manutenção preventiva com carga geradores Stemac Boa Viagem."/>
    <x v="0"/>
    <d v="2016-05-18T17:43:58"/>
    <x v="4"/>
    <s v="Encerramento"/>
    <s v="CASSIO REIS LIMA"/>
    <s v="CASSIO REIS LIMA"/>
    <x v="8"/>
    <x v="4"/>
    <s v="Encerrada"/>
    <d v="2016-05-29T22:00:00"/>
    <d v="2016-05-30T05:00:00"/>
    <d v="2016-05-30T06:00:00"/>
    <x v="0"/>
    <x v="0"/>
    <s v="Impacto"/>
    <s v="Gerado Stemac"/>
    <s v="Gerado Stemac"/>
    <s v="Não"/>
    <s v="Não"/>
    <s v="Em eventual falha reportaremos para a área de missão critica, coordenador do site e gerência de cidade, após ser aprovado o procedimento restabeleceremos o sistema."/>
    <s v="Não"/>
    <s v="Não"/>
    <x v="0"/>
    <m/>
    <x v="13"/>
  </r>
  <r>
    <n v="20320"/>
    <s v="Implantação de melhoria e atualização da aplicação *144 Pre Pago. Projeto: Projeto 9º Dígito - Inclusão DDDs 6x"/>
    <x v="117"/>
    <d v="2016-05-19T13:33:37"/>
    <x v="4"/>
    <s v="Encerramento"/>
    <s v="MARCELO GALDINO DA SILVA"/>
    <s v="DALVO ANDRE GERONIMO RAMOS"/>
    <x v="7"/>
    <x v="1"/>
    <s v="Encerrada"/>
    <d v="2016-05-28T22:00:00"/>
    <d v="2016-05-29T12:00:00"/>
    <d v="2016-05-29T18:00:00"/>
    <x v="0"/>
    <x v="2"/>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5217"/>
    <x v="5"/>
  </r>
  <r>
    <n v="20321"/>
    <s v="Disponibilização do módulo SIGATAF para geração do SPED CONTABIL FISCAL - ECF"/>
    <x v="10"/>
    <d v="2016-05-19T15:21:23"/>
    <x v="4"/>
    <s v="Encerramento"/>
    <s v="WILSON DE OLIVEIRA BRITO JUNIOR"/>
    <s v="WILSON DE OLIVEIRA BRITO JUNIOR"/>
    <x v="5"/>
    <x v="0"/>
    <s v="Encerrada"/>
    <d v="2016-05-29T09:00:00"/>
    <d v="2016-05-29T18:00:00"/>
    <d v="2016-05-29T19:00:00"/>
    <x v="0"/>
    <x v="2"/>
    <s v="Sem impacto"/>
    <s v="APPCTX131SPODB; APPCTX132SPODB"/>
    <s v="APPCTX131SPODB; APPCTX132SPODB"/>
    <s v="Sim"/>
    <s v="Sim"/>
    <s v="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2"/>
    <s v="n/a"/>
    <x v="0"/>
  </r>
  <r>
    <n v="20322"/>
    <s v="Remoção do Antivírus Symantec e Instalação do McAfee, e reboot dos Servidores para atualização de Path."/>
    <x v="44"/>
    <d v="2016-05-19T15:36:57"/>
    <x v="4"/>
    <s v="Encerramento"/>
    <s v="FELIPE SANTOS BARBOSA DELGADO"/>
    <s v="JOSE GERALDO DA SILVA DOS SANTOS"/>
    <x v="6"/>
    <x v="0"/>
    <s v="Encerrada"/>
    <d v="2016-05-30T22:00:00"/>
    <d v="2016-06-04T07:00:00"/>
    <d v="2016-06-04T07:30:00"/>
    <x v="0"/>
    <x v="1"/>
    <s v="Impacto"/>
    <s v="APPCTX01POARB; APPCTX02RJONT; APPCTX04RJONT; APPCTX06RJONT; APPCTX07RJONT; APPCTX08RJONT; APPCTX11NITSP; APPCTX12NITSP; appctx13apolp; APPCTX13RJONT; APPCTX14RJONT; APPCTX15NITSP; APPCTX16SPOAL; appctx17poarb; APPCTX17SALAS; APPCTX337SPODA; APPCTX338SPODA; APPCTX401SPODA; APPCTX66NITSP; appnet16poarb; APPTDO38SPOAS; APPTDO39SPOAS; APPTDO50SPOAS; BKPCTX01SALLM; BKPCTX03NITSP; BKPCTX03SPODA; BRCASQC130; BRCASQC131; BRCASQC134; BRCASQC139; CCSCTX01SPODB; CCSCTX02SPODB; CCSCTX03SPODB; CHHCTX01SPODB; CTSCTX02SPODB; CTSCTX03SPODB; CTSCTX04SPODB; CTSCTX05SPODB; CTSCTX06SPODB; CTSCTX08SPODB; CTSCTX09SPODB; DBSCTX01POARB; DBSCTX01SALAS; DBSCTX02CITSA; DBSCTX02POARB; DBSCTX03SPOBF; DBSCTX06SPOLP; DBSCTX09SPODB; DBSCTX105SPOLP; DBSCTX10SPODB; DBSCTX11SPODB; DBSCTX12SPODB; dbsctx13spolp; dbsctx14spolp; DBSCTX207SPODB; DBSCTX299SPODB; DBSCTX47SPOLP; dbsctx51spolp; DBSCTX55SPOLP; DBSCTX70SPOLP; DBSCTX77SPOLP; dbsctxb01spolp; DBSCTXG01SPOLP; dbsoim01spolp; DBSTDO01SPODB; DFSCTX01SPODB; FESCTX16SPODA; FESCTX27SPODB; FESCTX35SPODA; FESCTX36SPODA; FESCTX37SPODA; FESCTX38SPODA; FESCTX39SPODA; FESCTX40SPODA; fSSTDO01SPOAS; HMLCRS01SPOBF; HMLCTX11SPOLP; MONCTX02SPODA; SDCCTX02CITSA; SDCCTX03SALLM; sdcctx04poarb; SDCCTX07SALAS; svcctx01poarb"/>
    <s v="APPCTX01POARB; APPCTX02RJONT; APPCTX04RJONT; APPCTX06RJONT; APPCTX07RJONT; APPCTX08RJONT; APPCTX11NITSP; APPCTX12NITSP; appctx13apolp; APPCTX13RJONT; APPCTX14RJONT; APPCTX15NITSP; APPCTX16SPOAL; appctx17poarb; APPCTX17SALAS; APPCTX337SPODA; APPCTX338SPODA; APPCTX401SPODA; APPCTX66NITSP; appnet16poarb; APPTDO38SPOAS; APPTDO39SPOAS; APPTDO50SPOAS; BKPCTX01SALLM; BKPCTX03NITSP; BKPCTX03SPODA; BRCASQC130; BRCASQC131; BRCASQC134; BRCASQC139; CCSCTX01SPODB; CCSCTX02SPODB; CCSCTX03SPODB; CHHCTX01SPODB; CTSCTX02SPODB; CTSCTX03SPODB; CTSCTX04SPODB; CTSCTX05SPODB; CTSCTX06SPODB; CTSCTX08SPODB; CTSCTX09SPODB; DBSCTX01POARB; DBSCTX01SALAS; DBSCTX02CITSA; DBSCTX02POARB; DBSCTX03SPOBF; DBSCTX06SPOLP; DBSCTX09SPODB; DBSCTX105SPOLP; DBSCTX10SPODB; DBSCTX11SPODB; DBSCTX12SPODB; dbsctx13spolp; dbsctx14spolp; DBSCTX207SPODB; DBSCTX299SPODB; DBSCTX47SPOLP; dbsctx51spolp; DBSCTX55SPOLP; DBSCTX70SPOLP; DBSCTX77SPOLP; dbsctxb01spolp; DBSCTXG01SPOLP; dbsoim01spolp; DBSTDO01SPODB; DFSCTX01SPODB; FESCTX16SPODA; FESCTX27SPODB; FESCTX35SPODA; FESCTX36SPODA; FESCTX37SPODA; FESCTX38SPODA; FESCTX39SPODA; FESCTX40SPODA; fSSTDO01SPOAS; HMLCRS01SPOBF; HMLCTX11SPOLP; MONCTX02SPODA; SDCCTX02CITSA; SDCCTX03SALLM; sdcctx04poarb; SDCCTX07SALAS; svcctx01poarb"/>
    <s v="Sim"/>
    <s v="Sim"/>
    <s v="O Objetivo do Plano de Retorno é desinstalar o Antivírus McAfee. O período previsto para um Plano de Retorno é de 1:00 hora."/>
    <s v="Não"/>
    <s v="Não"/>
    <x v="0"/>
    <s v="--"/>
    <x v="0"/>
  </r>
  <r>
    <n v="20323"/>
    <s v="Baixar os serviços do servidor 10.170.61.15 e subir novamente."/>
    <x v="9"/>
    <d v="2016-05-19T15:47:36"/>
    <x v="4"/>
    <s v="Encerramento"/>
    <s v="FLÁVIO ROBERTO DE FREITAS MIRANDA"/>
    <s v="PAULO CESAR DE SOUZA"/>
    <x v="0"/>
    <x v="1"/>
    <s v="Encerrada"/>
    <d v="2016-05-19T17:00:00"/>
    <d v="2016-05-19T18:00:00"/>
    <d v="2016-05-19T19:00:00"/>
    <x v="3"/>
    <x v="0"/>
    <s v="Sem impacto"/>
    <s v="FESCTX08SPODA"/>
    <s v="FESCTX08SPODA"/>
    <s v="Sim"/>
    <s v="Não"/>
    <s v="Subir o serviço novamente."/>
    <s v="Não"/>
    <s v="Não"/>
    <x v="0"/>
    <m/>
    <x v="2"/>
  </r>
  <r>
    <n v="20324"/>
    <s v="Implantação da Release 20160523 Empresarial FUO-810 Levantamento de todos os parametros da URA FUO-830 Cliente TOP Pequenas Empresas FUO-837 Cliente Chip Oi R2 FUO-842 Alteração Informa protocolo e tratamento para clientes moveis Triagem Cont"/>
    <x v="0"/>
    <d v="2016-05-19T15:56:52"/>
    <x v="4"/>
    <s v="Encerramento"/>
    <s v="LUIZ HENRIQUE OLIVEIRA DA SILVA"/>
    <s v="WILLIAN CAMPBELL VIANA"/>
    <x v="7"/>
    <x v="1"/>
    <s v="Encerrada"/>
    <d v="2016-05-23T22:01:00"/>
    <d v="2016-05-24T09:00:00"/>
    <d v="2016-05-24T12:01:00"/>
    <x v="1"/>
    <x v="2"/>
    <s v="Os prejuízos ou dificuldades são impactantes"/>
    <s v="--"/>
    <s v="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Não"/>
    <x v="0"/>
    <m/>
    <x v="1"/>
  </r>
  <r>
    <n v="20325"/>
    <s v="Migração de 60 licenças do TLV da operação SOC GFE para a operação SOC Off-Lines, conforme abaixo: CTXTV070 -&gt; De: 530 Para: 470 CTXTV071 -&gt; De: 302 Para: 362"/>
    <x v="9"/>
    <d v="2016-05-19T21:28:52"/>
    <x v="4"/>
    <s v="Encerramento"/>
    <s v="RAPHAEL ANDRÉ MARCANDIER GONÇALVES"/>
    <s v="RAPHAEL ANDRÉ MARCANDIER GONÇALVES"/>
    <x v="27"/>
    <x v="1"/>
    <s v="Encerrada"/>
    <d v="2016-05-20T21:45:00"/>
    <d v="2016-05-20T23:00:00"/>
    <d v="2016-05-20T23:59:00"/>
    <x v="3"/>
    <x v="0"/>
    <s v="Sem impacto"/>
    <m/>
    <m/>
    <s v="Não"/>
    <s v="Não"/>
    <s v="Não há possibilidade de retorno para esta GMUD, visto que as chaves anteriores à troca (chaves atuais) irão expirar no dia 20/05, deixando de valer após esta data. Qualquer problema na aplicação das chaves deverá ser reportada ao fornecedor para envio de novas licenças."/>
    <s v="Não"/>
    <s v="Não"/>
    <x v="2"/>
    <s v="CTXRJOMA-80834"/>
    <x v="5"/>
  </r>
  <r>
    <n v="20326"/>
    <s v="Implantação da Release 20160523 Televendas FUO-843 - Captura Numero Televendas Varejo. Essa demanda tem como objetivo a inserção de um parâmetro que habilitará a captura do numero do cliente. Esse parâmetro iniciará desativado. FUO-845 - Novo Cliente Controle - Pré Pago. Essa demanda tem como objetivo a inserção de uma validação para clientes pré-pagos no início da rotina OiControle."/>
    <x v="0"/>
    <d v="2016-05-20T07:36:46"/>
    <x v="4"/>
    <s v="Encerramento"/>
    <s v="LUIZ HENRIQUE OLIVEIRA DA SILVA"/>
    <s v="WILLIAN CAMPBELL VIANA"/>
    <x v="7"/>
    <x v="1"/>
    <s v="Encerrada"/>
    <d v="2016-05-23T22:00:00"/>
    <d v="2016-05-24T07:00:00"/>
    <d v="2016-05-24T09:00:00"/>
    <x v="1"/>
    <x v="2"/>
    <s v="Os prejuízos ou dificuldades são impactantes"/>
    <s v="--"/>
    <s v="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
    <s v="Sim"/>
    <s v="Não"/>
    <s v="Undeploy da versão da máquina Application Server em questão e Deploy da nova versão utilizando o Tomcat Manager.da."/>
    <s v="Não"/>
    <s v="Sim"/>
    <x v="0"/>
    <m/>
    <x v="1"/>
  </r>
  <r>
    <n v="20327"/>
    <s v="Gerar postagem para novo lote de boletos da Campanha MÃES 2016 - Operação CD Móvel R1"/>
    <x v="9"/>
    <d v="2016-05-20T09:00:20"/>
    <x v="4"/>
    <s v="Encerramento"/>
    <s v="FREDERICO BEDETTE COSTA"/>
    <s v="FREDERICO BEDETTE COSTA"/>
    <x v="2"/>
    <x v="1"/>
    <s v="Encerrada"/>
    <d v="2016-05-22T08:00:00"/>
    <d v="2016-05-22T18:00:00"/>
    <d v="2016-05-22T19:00:00"/>
    <x v="3"/>
    <x v="0"/>
    <s v="Sem impacto"/>
    <s v="NA"/>
    <s v="NA"/>
    <s v="Sim"/>
    <s v="Não"/>
    <s v="O plano de retorno deve ser executado por CSE-Aplicações. Efetuar Restory da base de dados Oi_Campanha_Financeiro, atraves da Query descrita abaixo.. Obs: Rotina de backup validada pela área de BACKUP/RESTORE através do chamado CTXFORBM-359831."/>
    <s v="Não"/>
    <s v="Não"/>
    <x v="0"/>
    <s v="NA"/>
    <x v="2"/>
  </r>
  <r>
    <n v="20328"/>
    <s v="Alterar roteamento para novo Grupo HSRP da TAM, para os Sites João Pessoa e ALMAVIVA"/>
    <x v="9"/>
    <d v="2016-05-20T10:22:32"/>
    <x v="4"/>
    <s v="Encerramento"/>
    <s v="CLAUDEMIR BEZERRA VICTOR DA SILVA"/>
    <s v="CLAUDEMIR BEZERRA VICTOR DA SILVA"/>
    <x v="35"/>
    <x v="6"/>
    <s v="Encerrada"/>
    <d v="2016-05-21T23:40:00"/>
    <d v="2016-05-22T01:00:00"/>
    <d v="2016-05-22T01:30:00"/>
    <x v="3"/>
    <x v="0"/>
    <s v="Sem impacto"/>
    <s v="--"/>
    <s v="FWCCCTXSPODB001"/>
    <s v="Não"/>
    <s v="Não"/>
    <s v="Retornar roteamento para rede TAM. Firewall 10.171.207.100 - Configuração: del routing-instances TAM routing-options static route 0.0.0.0/0 next-hop 10.152.6.21 set routing-instances TAM routing-options static route 0.0.0.0/0 next-hop 10.152.6.30 commit and quit"/>
    <s v="Não"/>
    <s v="Não"/>
    <x v="0"/>
    <m/>
    <x v="7"/>
  </r>
  <r>
    <n v="20330"/>
    <s v="Implementar o 9 digito nas operações de cobrança para os seguintes DDD's: 61,62,63,64,65,66,67,68,69"/>
    <x v="118"/>
    <d v="2016-05-20T10:59:14"/>
    <x v="4"/>
    <s v="Encerramento"/>
    <s v="GUSTAVO RODRIGUES DE ORNELAS SILVA"/>
    <s v="ALEXANDRE BASTOS CORREA,GUSTAVO RODRIGUES DE ORNELAS SILVA"/>
    <x v="5"/>
    <x v="1"/>
    <s v="Encerrada"/>
    <d v="2016-05-29T00:05:00"/>
    <d v="2016-05-29T20:00:00"/>
    <d v="2016-05-29T23:55:00"/>
    <x v="0"/>
    <x v="2"/>
    <s v="Sem impacto"/>
    <s v="cssqloiregiao2; CSSQLOIVAREJO; dbsctx02forbm; dbsctx07forbm; dbsctx08bhzri; DBSCTX173SPODB; dbsctx179spodb; dbsctx18forbm; DBSCTX193SPODB; dbsctx44forbm"/>
    <s v="cssqloiregiao2; CSSQLOIVAREJO; dbsctx02forbm; dbsctx07forbm; dbsctx08bhzri; DBSCTX173SPODB; dbsctx179spodb; dbsctx18forbm; DBSCTX193SPODB; dbsctx44forbm"/>
    <s v="Não"/>
    <s v="Não"/>
    <s v="No caso de Falha na realização da atualização do servidor 10.16.1.147 , BD TLM_Cobranca_MF_REL, restaurar o Backup do BD TLM_Cobranca_MF_REL. No caso de Falha na realização da atualização do servidor 10.16.1.237 , BD BrtCampanhaFixa_GC, restaurar o Backup do BD BrtCampanhaFixa_GC. No caso de Falha na realização da atualização do servidor 10.16.1.237 , BD BrtCampanhaFixa_Cobranca, restaurar o Backup do BD BrtCampanhaFixa_Cobranca. No caso de Falha na realização da atualização do servidor 10.16.1.229 , BD BrtCampanhaFixa_Cobranca_Rel, restaurar o Backup do BD BrtCampanhaFixa_Cobranca_Rel. No caso de Falha na realização da atualização do servidor 10.16.1.229 , BD BRTEscob_Cobranca_Rel, restaurar o Backup do BD BRTEscob_Cobranca_Rel. No caso de Falha na realização da atualização do servidor 10.16.1.131 , BD BRTEscob_GC, restaurar o Backup do BD BRTEscob_GC. No caso de Falha na realização da atualização do servidor 10.16.1.131 , BD BRTEscob_Cobranca, restaurar o Backup do BD BRTEscob_Cobranca. No caso de Falha na realização da atualização do servidor 10.16.1.131 , BD BRTBPI_Cobranca, restaurar o Backup do BD BRTBPI_Cobranca. No caso de Falha na realização da atualização do servidor 10.16.1.131 , BD BRTBPI_GC, restaurar o Backup do BD BRTBPI_GC. No caso de Falha na realização da atualização do servidor 10.16.1.152 , BD OiTv_Cobranca, restaurar o Backup do BD OiTv_Cobranca. No caso de Falha na realização da atualização do servidor 10.55.14.11 , BD FTContacts, restaurar o Backup do BD FTContacts. No caso de Falha na realização da atualização do servidor 10.55.14.13 , BD FTContacts, restaurar o Backup do BD FTContacts. No caso de Falha na realização da atualização do servidor 10.55.14.20 , BD FTContacts, restaurar o Backup do BD FTContacts. No caso de Falha na realização da atualização do servidor 10.171.2.76 , BD FTContacts, restaurar o Backup do BD FTContacts. No caso de Falha na realização da atualização do servidor 10.171.2.82 , BD FTContacts, restaurar o Backup do BD FTContacts. No caso de Falha na realização da atualização do servidor 10.171.2.103, BD FTContacts, restaurar o Backup do BD FTContacts."/>
    <s v="Não"/>
    <s v="Não"/>
    <x v="0"/>
    <m/>
    <x v="2"/>
  </r>
  <r>
    <n v="20331"/>
    <s v="Migração de servidor de homologação - Operação REDE"/>
    <x v="9"/>
    <d v="2016-05-20T14:48:49"/>
    <x v="4"/>
    <s v="Encerramento"/>
    <s v="PYTTER SANTIAGO DE ANDRADE"/>
    <s v="PYTTER SANTIAGO DE ANDRADE"/>
    <x v="29"/>
    <x v="0"/>
    <s v="Encerrada"/>
    <d v="2016-05-20T18:00:00"/>
    <d v="2016-05-20T19:00:00"/>
    <d v="2016-05-20T20:00:00"/>
    <x v="3"/>
    <x v="0"/>
    <s v="Sem impacto"/>
    <s v="--"/>
    <s v="--"/>
    <s v="Não"/>
    <s v="Não"/>
    <s v="A alteração no novo servidor de homologação envolverá apenas a alteração do nome de HOST, este servidor não é de produção, e todo seu ambiente poderá ser recriado pelo fornecedor Ayty CRM caso haja necessidade."/>
    <s v="Não"/>
    <s v="Não"/>
    <x v="0"/>
    <m/>
    <x v="0"/>
  </r>
  <r>
    <n v="20332"/>
    <s v="OI 15184 Incentivo Recarga Pacotes Sem Saldo. OI 15112 ACM Alterações Campanha ID01"/>
    <x v="9"/>
    <d v="2016-05-20T15:03:00"/>
    <x v="4"/>
    <s v="Encerramento"/>
    <s v="DIOGO ANÍSIO DE FRANÇA"/>
    <s v="ALBERTO DE ARAUJO RODRIGUES"/>
    <x v="5"/>
    <x v="1"/>
    <s v="Encerrada"/>
    <d v="2016-05-24T22:00:00"/>
    <d v="2016-05-25T11:00:00"/>
    <d v="2016-05-25T13:00:00"/>
    <x v="3"/>
    <x v="1"/>
    <s v="Sem impacto"/>
    <s v="APPCTX14RJONT; APPCTX15RJOED; APPCTX16RJOED; APPCTX18RJOED; APPCTX19RJOED; APPOIM03SPOAL; APPOIM04SPOAL; APPOIM04SPOLP; APPOIM05SPOLP; DBSOIM01SPOAL; NMSIOM01SPOAL; NMSOIM04SPOLP"/>
    <s v="APPCTX14RJONT; APPCTX15RJOED; APPCTX16RJOED; APPCTX18RJOED; APPCTX19RJOED; APPOIM03SPOAL; APPOIM04SPOAL; APPOIM04SPOLP; APPOIM05SPOLP; DBSOIM01SPOAL; NMSIOM01SPOAL; NMSOIM04SPOLP"/>
    <s v="Não"/>
    <s v="Não"/>
    <s v="Retorna os arquivos de backup. Refazer os Testes Técnicos e Funcionais."/>
    <s v="Não"/>
    <s v="Não"/>
    <x v="0"/>
    <s v="OI 15184 OI 15112"/>
    <x v="5"/>
  </r>
  <r>
    <n v="20333"/>
    <s v="Restabelecer NETLOGON nos servidor SDCCTX02RJOMA e SDCCTX01SPOQS."/>
    <x v="9"/>
    <d v="2016-05-20T15:03:19"/>
    <x v="4"/>
    <s v="Encerramento"/>
    <s v="DAVID LOPES DA COSTA CHAVES"/>
    <s v="JOSE GERALDO DA SILVA DOS SANTOS"/>
    <x v="30"/>
    <x v="0"/>
    <s v="Encerrada"/>
    <d v="2016-05-20T22:00:00"/>
    <d v="2016-05-21T04:00:00"/>
    <d v="2016-05-21T05:00:00"/>
    <x v="3"/>
    <x v="1"/>
    <s v="Sem impacto"/>
    <s v="sdcctx01spoqs; sdcctx02rjoma"/>
    <s v="sdcctx01spoqs; sdcctx02rjoma"/>
    <s v="Sim"/>
    <s v="Não"/>
    <s v="Em caso de falhas lógicas deve ser solicitado ao time local o apoio na reinstalação da máquina."/>
    <s v="Não"/>
    <s v="Não"/>
    <x v="0"/>
    <m/>
    <x v="0"/>
  </r>
  <r>
    <n v="20334"/>
    <s v="Demanda: Reposicionar check de TUP para antes do check de Corporativo URA 10331 UNIFICADA"/>
    <x v="9"/>
    <d v="2016-05-20T15:17:34"/>
    <x v="4"/>
    <s v="Encerramento"/>
    <s v="LUCIANA MARTINS CARVALHO"/>
    <s v="WILLIAN CAMPBELL VIANA"/>
    <x v="7"/>
    <x v="1"/>
    <s v="Encerrada"/>
    <d v="2016-05-23T22:00:00"/>
    <d v="2016-05-24T12:00:00"/>
    <d v="2016-05-24T18:00:00"/>
    <x v="3"/>
    <x v="0"/>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2"/>
    <s v="OI-15293"/>
    <x v="5"/>
  </r>
  <r>
    <n v="20339"/>
    <s v="Realizar manutenção preventiva no GMG site Lapa"/>
    <x v="0"/>
    <d v="2016-05-23T10:48:21"/>
    <x v="4"/>
    <s v="Encerramento"/>
    <s v="MARCIO LUIS DE GODOI JUNIOR"/>
    <s v="MARCIO LUIS DE GODOI JUNIOR"/>
    <x v="19"/>
    <x v="57"/>
    <s v="Encerrada"/>
    <d v="2016-05-30T22:00:00"/>
    <d v="2016-05-31T02:00:00"/>
    <d v="2016-06-02T10:51:00"/>
    <x v="0"/>
    <x v="0"/>
    <s v="Sem impacto"/>
    <s v="--"/>
    <s v="--"/>
    <s v="Não"/>
    <s v="Não"/>
    <s v="PLANO DE RETORNO: Toda atividade será acompanhada via sms e nextel por especialista de energia Contax, caso ocorra qualquer anomalia na execução da atividade iremos paralizar e retornar ao inicio do processo"/>
    <s v="Não"/>
    <s v="Não"/>
    <x v="0"/>
    <m/>
    <x v="11"/>
  </r>
  <r>
    <n v="20342"/>
    <s v="Manutenção corretiva emergencial No-brea"/>
    <x v="0"/>
    <d v="2016-05-23T12:53:17"/>
    <x v="4"/>
    <s v="Encerramento"/>
    <s v="GENALDO GOMES FERREIRA"/>
    <s v="GENALDO GOMES FERREIRA"/>
    <x v="14"/>
    <x v="10"/>
    <s v="Encerrada"/>
    <d v="2016-05-23T22:00:00"/>
    <d v="2016-05-24T05:00:00"/>
    <d v="2016-05-24T06:00:00"/>
    <x v="1"/>
    <x v="1"/>
    <s v="Muito impacto"/>
    <s v="No-break"/>
    <s v="No-break"/>
    <s v="Sim"/>
    <s v="Sim"/>
    <s v="Equipamento está em by-pass"/>
    <s v="Sim"/>
    <s v="Não"/>
    <x v="2"/>
    <n v="28314959"/>
    <x v="9"/>
  </r>
  <r>
    <n v="20345"/>
    <s v="Atualizar a versão de RTI nas maquinas da operação NET"/>
    <x v="119"/>
    <d v="2016-05-23T15:23:40"/>
    <x v="4"/>
    <s v="Encerramento"/>
    <s v="BRUNO TEODORO LEANDRO"/>
    <s v="BRUNO TEODORO LEANDRO"/>
    <x v="11"/>
    <x v="21"/>
    <s v="Encerrada"/>
    <d v="2016-05-30T09:00:00"/>
    <d v="2016-05-31T16:00:00"/>
    <d v="2016-05-31T18:00:00"/>
    <x v="0"/>
    <x v="2"/>
    <s v="Sem impacto"/>
    <s v="--"/>
    <m/>
    <s v="Não"/>
    <s v="Não"/>
    <s v="Voltar a solução antiga de RTI para as maquinas da operação NET"/>
    <s v="Não"/>
    <s v="Não"/>
    <x v="0"/>
    <m/>
    <x v="7"/>
  </r>
  <r>
    <n v="20346"/>
    <s v="Migrar as FSMOs do domínio citicontax para os DCs Windows 2008 R2."/>
    <x v="0"/>
    <d v="2016-05-23T15:43:43"/>
    <x v="4"/>
    <s v="Encerramento"/>
    <s v="JOAO BATISTA DE LIMA NETO"/>
    <s v="JOAO BATISTA DE LIMA NETO"/>
    <x v="24"/>
    <x v="23"/>
    <s v="Encerrada"/>
    <d v="2016-05-30T22:00:00"/>
    <d v="2016-05-31T02:00:00"/>
    <d v="2016-05-31T03:00:00"/>
    <x v="0"/>
    <x v="0"/>
    <s v="Pouco impacto"/>
    <s v="SDCCIT02RJOMA; SDCCTX01CTISP"/>
    <s v="SDCCIT02RJOMA; SDCCTX01CTISP"/>
    <s v="Não"/>
    <s v="Não"/>
    <s v="Para migrar as FSMO RID, PDC e Infrastructure logar no servidor SDCCTX03CITSP; Abrir o dsa.exe; Botão direito sobre o domínio e selecionar Operations Masters; Operations Masters. Será apresentdo uma tela de todos Operations Masters em nível de domínio (RID, PDC e Infrastructure), para trocarmos devemos clicar em Change; confirmar a troca do Operation Master. Para migrar a FSMO Domain Naming Logar no servidor SDCCTX03CITSP: Abrir o Active Directory Domain and Trusts Clicar em Active Directory Domain and Trusts com o botão direito e clicar em Operations Mater Change Operations Master. Depois e clicado Yes nos é confirmado com a janela abaixo que a transferência foi executada com sucesso Para migrar a FSMO Schema Master Logar no servidor SDCCTX03CITSP: Ir em Start e depois em Run Digitar regsvr32 schmmgmt.dll, onde vamos registrar o Schema para ser visto na GUI (Graphical User Interface) e clicar em OK Será mostrado uma janela com a confirmação de registro da dll Ir novamente em Start e depois em Run Digitar mmc e clicar em OK Dentro do MMC, clicar em File e depois Add/Remove Snap-in Na nova janela, clicar em Add Neste ponto podemos visualizar o Active Directory Schema, que só é possível após o registro da Dll. Clicar em Close e Ok até voltarmos ao MMC Depois devemos clicar com o botão direito em Active Directory Schema e mudar o foco para o servidor que irá receber a role (gp-srv2), clicando em Change Domain Controller Devemos escolher o servidor que irá receber a role Devemos clicar novament com o botão direito em Active Directory Schema [] e clicar em Operations Master Aparecerá a tela abaixo, devemos clicar em Change Devemos clicar em Yes e será confirmado a transferência"/>
    <s v="Não"/>
    <s v="Não"/>
    <x v="0"/>
    <m/>
    <x v="9"/>
  </r>
  <r>
    <n v="20347"/>
    <s v="Aplicar os Procedimentos abaixo no sistema Protheus: • Disponibilização das rotinas da Contabilidade atualizadas para geração de SPED CONTÁBIL – ECD"/>
    <x v="10"/>
    <d v="2016-05-23T15:47:15"/>
    <x v="4"/>
    <s v="Encerramento"/>
    <s v="MIGUEL ANGELO DO PATROCINIO"/>
    <s v="MIGUEL ANGELO DO PATROCINIO"/>
    <x v="10"/>
    <x v="0"/>
    <s v="Encerrada"/>
    <d v="2016-05-23T20:00:00"/>
    <d v="2016-05-23T22:00:00"/>
    <d v="2016-05-24T10:00:00"/>
    <x v="1"/>
    <x v="1"/>
    <s v="Muito impacto"/>
    <s v="APPCTX131SPODB; APPCTX132SPODB"/>
    <s v="APPCTX131SPODB; APPCTX132SPODB"/>
    <s v="Sim"/>
    <s v="Sim"/>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Não"/>
    <s v="Não"/>
    <x v="0"/>
    <s v="n/a"/>
    <x v="0"/>
  </r>
  <r>
    <n v="20348"/>
    <s v="Realizar o tratamento de exceção da chamada a funcionalidade callback pois a mesma está sendo validada mesmo quando não houve acionamento do tipo Callback. Tal comprtamento vem gerando erros na aplicação levando a cenários de travamento e lentidão"/>
    <x v="9"/>
    <d v="2016-05-23T16:17:17"/>
    <x v="4"/>
    <s v="Encerramento"/>
    <s v="GUSTAVO RODRIGUES DE ORNELAS SILVA"/>
    <s v="ALEXANDRE BASTOS CORREA"/>
    <x v="5"/>
    <x v="1"/>
    <s v="Encerrada"/>
    <d v="2016-05-23T22:00:00"/>
    <d v="2016-05-23T23:59:00"/>
    <d v="2016-05-24T01:00:00"/>
    <x v="3"/>
    <x v="1"/>
    <s v="Sem impacto"/>
    <s v="appctx03bhzri; appctx04bhzri; appctx415spodb; appctx418spodb; appctx419spodb"/>
    <s v="appctx03bhzri; appctx04bhzri; appctx415spodb; appctx418spodb; appctx419spodb"/>
    <s v="Não"/>
    <s v="Não"/>
    <s v="Retornar o Backup dos arquivos, realizado no passo 2 da execução."/>
    <s v="Não"/>
    <s v="Não"/>
    <x v="0"/>
    <s v="CTXFORBM-391488"/>
    <x v="2"/>
  </r>
  <r>
    <n v="20350"/>
    <s v="MANUTENÇÃO PREVENTIVA SEM CARGA DO GRUPO GERADOR"/>
    <x v="0"/>
    <d v="2016-05-24T08:24:01"/>
    <x v="4"/>
    <s v="Encerramento"/>
    <s v="MARCELO BOSELLI"/>
    <s v="MARCELO BOSELLI"/>
    <x v="5"/>
    <x v="29"/>
    <s v="Encerrada"/>
    <d v="2016-05-28T08:00:00"/>
    <d v="2016-05-28T18:00:00"/>
    <d v="2016-05-30T08:29:00"/>
    <x v="1"/>
    <x v="1"/>
    <s v="Os prejuízos ou dificuldades são impactantes"/>
    <s v="GERADOR"/>
    <s v="GERADOR"/>
    <s v="Não"/>
    <s v="Não"/>
    <s v="CASO OCORRA ALGUM PROBLEMA DURANTE A MANUTENÇÃO AS ATIVIDADES SERÃO SUSPENSAS IMEDIATAMENTE"/>
    <s v="Não"/>
    <s v="Não"/>
    <x v="0"/>
    <s v="N/A"/>
    <x v="15"/>
  </r>
  <r>
    <n v="20351"/>
    <s v="Demanda: Reposicionar check de TUP para antes do check de Corporativo URA 10331 UNIFICADA"/>
    <x v="9"/>
    <d v="2016-05-24T10:06:52"/>
    <x v="4"/>
    <s v="Encerramento"/>
    <s v="LUCIANA MARTINS CARVALHO"/>
    <s v="WILLIAN CAMPBELL VIANA"/>
    <x v="7"/>
    <x v="1"/>
    <s v="Encerrada"/>
    <d v="2016-05-24T22:00:00"/>
    <d v="2016-05-25T12:00:00"/>
    <d v="2016-05-25T18:00:00"/>
    <x v="3"/>
    <x v="0"/>
    <s v="Sem impacto"/>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
    <s v="Não"/>
    <s v="Não"/>
    <s v="Realizar o UNDEPLOY da versão nova através do Tomcat Manager Refazer os Testes Técnicos e Funcionais."/>
    <s v="Não"/>
    <s v="Não"/>
    <x v="0"/>
    <s v="OI-15293"/>
    <x v="5"/>
  </r>
  <r>
    <n v="20352"/>
    <s v="Implementar o 9 digito nas operações de cobrança Leader Magazine e CD Móvel R1"/>
    <x v="9"/>
    <d v="2016-05-24T11:23:30"/>
    <x v="4"/>
    <s v="Encerramento"/>
    <s v="FREDERICO BEDETTE COSTA"/>
    <s v="FREDERICO BEDETTE COSTA"/>
    <x v="3"/>
    <x v="32"/>
    <s v="Encerrada"/>
    <d v="2016-05-28T22:30:00"/>
    <d v="2016-05-29T05:00:00"/>
    <d v="2016-05-29T06:00:00"/>
    <x v="3"/>
    <x v="0"/>
    <s v="Sem impacto"/>
    <s v="NA"/>
    <s v="NA"/>
    <s v="Sim"/>
    <s v="Não"/>
    <s v="No caso de Falha na realização da atualização do servidor 10.16.1.230, BD Oi_Campanha_cobranca, restaurar o Backup do Oi_Campanha_cobranca. No caso de Falha na realização da atualização do servidor 10.16.1.166, BD Leader_Cobranca, restaurar o Backup do BD Leader_Cobranca. Backups, validados no chamado em anexo."/>
    <s v="Não"/>
    <s v="Não"/>
    <x v="0"/>
    <m/>
    <x v="2"/>
  </r>
  <r>
    <n v="20354"/>
    <s v="Alteração do Nono digito para operações que utilizam do TLV TQS."/>
    <x v="9"/>
    <d v="2016-05-24T11:57:55"/>
    <x v="4"/>
    <s v="Encerramento"/>
    <s v="FREDERICO BEDETTE COSTA"/>
    <s v="FREDERICO BEDETTE COSTA"/>
    <x v="11"/>
    <x v="58"/>
    <s v="Encerrada"/>
    <d v="2016-05-28T22:30:00"/>
    <d v="2016-05-29T05:00:00"/>
    <d v="2016-05-29T06:00:00"/>
    <x v="3"/>
    <x v="0"/>
    <s v="Sem impacto"/>
    <s v="; NA"/>
    <s v="; NA"/>
    <s v="Sim"/>
    <s v="Não"/>
    <s v="Retornar com Backup de Base de dados Televendas TQS."/>
    <s v="Não"/>
    <s v="Não"/>
    <x v="0"/>
    <s v="NA"/>
    <x v="3"/>
  </r>
  <r>
    <n v="20355"/>
    <s v="Atualização do FW da controladora , atualização do Driver dos Discos e atualização de Patchs do S.O. - Servidor : 10.49.12.23"/>
    <x v="9"/>
    <d v="2016-05-24T12:57:20"/>
    <x v="4"/>
    <s v="Encerramento"/>
    <s v="RICARDO DE OLIVEIRA FLORES"/>
    <s v="RICARDO DE OLIVEIRA FLORES"/>
    <x v="5"/>
    <x v="0"/>
    <s v="Encerrada"/>
    <d v="2016-05-28T12:00:00"/>
    <d v="2016-05-28T17:30:00"/>
    <d v="2016-05-28T23:00:00"/>
    <x v="3"/>
    <x v="0"/>
    <s v="Sem impacto"/>
    <s v="--"/>
    <s v="devctx01spoal.contax-br.contax.root"/>
    <s v="Sim"/>
    <s v="Não"/>
    <s v="1 - Remover a atualização do drive dos discos (Caminho do arquivo : C:\Dell\SAS-Drive_Firmware_41N5D_WN32_FM0A_A05.exe) 2 - Efetuar o restart do servidor 3 - Remover a atualização do FW da controladora (Caminho do arquivo :C:\Dell\SAS-RAID_Firmware_9FVJ2_WN64_12.10.7-0001_A13.exe) 4 - Efetuar o restart do servidor 5 - Remover a atualização de Patchs efetuadas na data da execução da GMUD 6 - Efetuar o restart do servidor 7 - Verificar mensagens de erro no eventviewer 8 - Verificar quais serviços do SQL estão com status &quot;Started&quot; 9 - Acessar unidades D: e E: 10 - Validar as bases montadas utilizando o SQL Server Manager Studio"/>
    <s v="Não"/>
    <s v="Não"/>
    <x v="0"/>
    <s v="CTXSPOAP407-15761"/>
    <x v="0"/>
  </r>
  <r>
    <n v="20357"/>
    <s v="IMPLEMENTAR NOVOS DDD´S COM O NONO DIGITO."/>
    <x v="9"/>
    <d v="2016-05-24T14:52:35"/>
    <x v="4"/>
    <s v="Encerramento"/>
    <s v="MARCIO ROBERTO ALVES NAKAYA"/>
    <s v="MARCIO ROBERTO ALVES NAKAYA"/>
    <x v="5"/>
    <x v="59"/>
    <s v="Encerrada"/>
    <d v="2016-05-30T18:00:00"/>
    <d v="2016-05-31T01:00:00"/>
    <d v="2016-05-31T03:00:00"/>
    <x v="3"/>
    <x v="0"/>
    <s v="Sem impacto"/>
    <s v="appbra02spobf; appctx145spoda; appctx200spoda; appctx47spolp; DBSBRA01SPOBF; DBSCTX121SPODA; dbsctx12spobf; dbsctx160spoda; DBSCTX47SPOLP; DBSRED01RECSA"/>
    <s v="appbra02spobf; appctx145spoda; appctx200spoda; appctx47spolp; DBSBRA01SPOBF; DBSCTX121SPODA; dbsctx12spobf; dbsctx160spoda; DBSCTX47SPOLP; DBSRED01RECSA"/>
    <s v="Não"/>
    <s v="Não"/>
    <s v="Retornar backup das bases de dados."/>
    <s v="Não"/>
    <s v="Não"/>
    <x v="0"/>
    <s v="N/A"/>
    <x v="9"/>
  </r>
  <r>
    <n v="20361"/>
    <s v="Ajustar a rotina de integração tCollect x NBA para corrigir GAP e garantir que seja obedecido o follow das marcações registradas no NBA. Hoje o cliente está sendo acionado indevidamente já que os follows das marcações não estão sendo respeitados, salvo em caso de agendamento."/>
    <x v="9"/>
    <d v="2016-05-24T16:46:54"/>
    <x v="4"/>
    <s v="Encerramento"/>
    <s v="GUSTAVO RODRIGUES DE ORNELAS SILVA"/>
    <s v="ALEXANDRE BASTOS CORREA"/>
    <x v="5"/>
    <x v="1"/>
    <s v="Encerrada"/>
    <d v="2016-05-24T22:00:00"/>
    <d v="2016-05-24T23:00:00"/>
    <d v="2016-05-24T23:00:00"/>
    <x v="3"/>
    <x v="1"/>
    <s v="Sem impacto"/>
    <s v="CSSQLOIVAREJO; DBSCTX193SPODB"/>
    <s v="CSSQLOIVAREJO; DBSCTX193SPODB"/>
    <s v="Não"/>
    <s v="Não"/>
    <s v="R1 Fixa Ret Invol (10.55.14.11) 1. Retornar o backup da procedure FTCRM..LoadNBAWorkflowTrackings 2. Executar o job SIC Sincronização NBA -&gt; TC – LoadNBAWorkflowTrackings R2 Fixa Ret Invol (10.171.2.103) 1. Retornar o backup da procedure FTCRM..LoadNBAWorkflowTrackings 2. Executar o job tCollect - Sync NBA – TC"/>
    <s v="Não"/>
    <s v="Não"/>
    <x v="0"/>
    <s v="CTXFORBM-390786"/>
    <x v="2"/>
  </r>
  <r>
    <n v="20364"/>
    <s v="Troca do disco 3 do host BRCASEH220 (BD NICE)"/>
    <x v="9"/>
    <d v="2016-05-25T07:49:23"/>
    <x v="4"/>
    <s v="Encerramento"/>
    <s v="ALEXANDRE MAGNO PEREIRA DA SILVA"/>
    <s v="ALEXANDRE MAGNO PEREIRA DA SILVA"/>
    <x v="28"/>
    <x v="0"/>
    <s v="Encerrada"/>
    <d v="2016-05-25T00:00:00"/>
    <d v="2016-05-26T00:00:00"/>
    <d v="2016-06-01T23:59:00"/>
    <x v="3"/>
    <x v="1"/>
    <s v="Sem impacto"/>
    <s v="--"/>
    <s v="--"/>
    <s v="Não"/>
    <s v="Não"/>
    <s v="1. Remover o disco novo. 2. Recolocar o disco antigo."/>
    <s v="Não"/>
    <s v="Não"/>
    <x v="0"/>
    <s v="CTXCASEH-20522"/>
    <x v="0"/>
  </r>
  <r>
    <n v="20367"/>
    <s v="OI-15217 Projeto 9º Dígito - Inclusão DDDs 6x"/>
    <x v="9"/>
    <d v="2016-05-25T15:36:06"/>
    <x v="4"/>
    <s v="Encerramento"/>
    <s v="JANAÍNA SILVA LIMA"/>
    <s v="ALBERTO DE ARAUJO RODRIGUES,JANAÍNA SILVA LIMA"/>
    <x v="5"/>
    <x v="1"/>
    <s v="Encerrada"/>
    <d v="2016-05-28T22:00:00"/>
    <d v="2016-05-29T11:00:00"/>
    <d v="2016-05-29T13:00:00"/>
    <x v="3"/>
    <x v="1"/>
    <s v="Sem impacto"/>
    <s v="APPCTX14RJONT; APPCTX15RJOED; APPCTX16RJOED; APPCTX18RJOED; APPCTX19RJOED; APPOIM04SPOAL; DBSOIM01SPOAL; NMSIOM01SPOAL"/>
    <s v="APPCTX14RJONT; APPCTX15RJOED; APPCTX16RJOED; APPCTX18RJOED; APPCTX19RJOED; APPOIM04SPOAL; DBSOIM01SPOAL; NMSIOM01SPOAL"/>
    <s v="Não"/>
    <s v="Não"/>
    <s v="Retorna os arquivos de backup. Refazer os Testes Técnicos e Funcionais."/>
    <s v="Não"/>
    <s v="Não"/>
    <x v="0"/>
    <m/>
    <x v="5"/>
  </r>
  <r>
    <n v="20369"/>
    <s v="Particionar a tabela VALANO (Histórico de valores de pagamento) para os anos de 2016 a 2018 para melhoria de performance dos processos de Folha de Pagamento, que estão apresentando lentidão."/>
    <x v="120"/>
    <d v="2016-05-25T17:58:29"/>
    <x v="4"/>
    <s v="Encerramento"/>
    <s v="MYRIAM WANDERLEY DA NOBREGA SANTOS"/>
    <s v="ROBERTO MAGALHÃES DE OLIVEIRA"/>
    <x v="10"/>
    <x v="0"/>
    <s v="Encerrada"/>
    <d v="2016-05-25T22:00:00"/>
    <d v="2016-05-26T02:00:00"/>
    <d v="2016-05-26T06:00:00"/>
    <x v="1"/>
    <x v="1"/>
    <s v="Muito impacto"/>
    <s v="DBSCTX127SPODB"/>
    <s v="DBSCTX127SPODB"/>
    <s v="Não"/>
    <s v="Sim"/>
    <s v="Realizar restore da base de produção a partir do backup diário."/>
    <s v="Não"/>
    <s v="Não"/>
    <x v="0"/>
    <s v="N/A"/>
    <x v="0"/>
  </r>
  <r>
    <n v="20371"/>
    <s v="Realizar a troca das fontes FAN's, pois as que estão no Switch Core 1 estão apresentando falhas."/>
    <x v="9"/>
    <d v="2016-05-26T15:27:28"/>
    <x v="4"/>
    <s v="Encerramento"/>
    <s v="FELIPE LINS DA SILVA"/>
    <s v="CHARLES DAVID DE SOUSA GALVÃO,FELIPE LINS DA SILVA"/>
    <x v="35"/>
    <x v="6"/>
    <s v="Encerrada"/>
    <d v="2016-05-28T00:00:00"/>
    <d v="2016-05-28T01:00:00"/>
    <d v="2016-05-28T02:00:00"/>
    <x v="3"/>
    <x v="1"/>
    <s v="Sem impacto"/>
    <s v="--"/>
    <s v="SWTCORE003JPACPD"/>
    <s v="Sim"/>
    <s v="Não"/>
    <s v="Recolocar as fontes atual no lugar, caso as fontes novas apresentem alguma instabilidade."/>
    <s v="Não"/>
    <s v="Não"/>
    <x v="0"/>
    <s v="N/A"/>
    <x v="7"/>
  </r>
  <r>
    <n v="20372"/>
    <s v="Excluir arquivos não utilizados da pasta NETLOGON"/>
    <x v="9"/>
    <d v="2016-05-26T15:37:44"/>
    <x v="4"/>
    <s v="Encerramento"/>
    <s v="JOAO BATISTA DE LIMA NETO"/>
    <s v="JOAO BATISTA DE LIMA NETO"/>
    <x v="45"/>
    <x v="7"/>
    <s v="Encerrada"/>
    <d v="2016-05-31T19:00:00"/>
    <d v="2016-05-31T20:00:00"/>
    <d v="2016-05-31T21:00:00"/>
    <x v="3"/>
    <x v="0"/>
    <s v="Sem impacto"/>
    <s v="sdcctx05recsa"/>
    <s v="sdcctx05recsa"/>
    <s v="Não"/>
    <s v="Não"/>
    <s v="1- Logar no servidor SDCCTX05RECSA; 2- Acessar o Windows Explorer; 3- Mover o conteúdo da pesquisa para dentro da pasta &quot;c:\Users\masterbr80\Desktop\GMUD Exclusão de arquivos\ para a pasta \\contax-br.contax.root\netlogon; 4- Fazer logoff do servidor."/>
    <s v="Não"/>
    <s v="Não"/>
    <x v="0"/>
    <m/>
    <x v="0"/>
  </r>
  <r>
    <n v="20377"/>
    <s v="Executar a manutenção corretiva dos ARC´s de precisão do CPD do site, com o desligamento do mesmo, deixando o segundo equipamento operante, não gerando impacto no setor."/>
    <x v="0"/>
    <d v="2016-05-27T10:34:01"/>
    <x v="4"/>
    <s v="Encerramento"/>
    <s v="ALEXANDRE PIRES DE JESUS"/>
    <s v="ALEXANDRE PIRES DE JESUS"/>
    <x v="44"/>
    <x v="24"/>
    <s v="Encerrada"/>
    <d v="2016-05-28T08:00:00"/>
    <d v="2016-05-30T17:00:00"/>
    <d v="2016-05-30T18:00:00"/>
    <x v="1"/>
    <x v="1"/>
    <s v="Os prejuízos ou dificuldades são impactantes"/>
    <m/>
    <m/>
    <s v="Não"/>
    <s v="Sim"/>
    <s v="Se houver algum imprevisto, o serviço será cancelado imediatamente."/>
    <s v="Não"/>
    <s v="Não"/>
    <x v="0"/>
    <s v="Corretiva"/>
    <x v="0"/>
  </r>
  <r>
    <n v="20378"/>
    <s v="Subir tabela na aplicação 'Escopo Fixa (canal 31)' e nova tabela 'Não escopo da aplicação B2B Móvel' no servidor de BD;"/>
    <x v="9"/>
    <d v="2016-05-27T10:53:55"/>
    <x v="4"/>
    <s v="Encerramento"/>
    <s v="LUIZ CLAUDIO XAVIER"/>
    <s v="LUIZ CLAUDIO XAVIER"/>
    <x v="10"/>
    <x v="1"/>
    <s v="Encerrada"/>
    <d v="2016-05-31T07:00:00"/>
    <d v="2016-05-31T09:00:00"/>
    <d v="2016-05-31T16:00:00"/>
    <x v="3"/>
    <x v="0"/>
    <s v="Sem impacto"/>
    <s v="dbsctx08spoda"/>
    <s v="dbsctx08spoda"/>
    <s v="Não"/>
    <s v="Não"/>
    <s v="Na obtenção de retorno com falha a tabela que ocorrer erro sofrerá rollback, utilizando-se da tabela anterior disposta na aplicação."/>
    <s v="Não"/>
    <s v="Não"/>
    <x v="0"/>
    <s v="CTXRJOMK-143888; CTXRJOMK-143803"/>
    <x v="5"/>
  </r>
  <r>
    <n v="20379"/>
    <s v="Interligação das telemáticas no No-break do 3º AGV"/>
    <x v="0"/>
    <d v="2016-05-27T12:44:34"/>
    <x v="4"/>
    <s v="Encerramento"/>
    <s v="GENALDO GOMES FERREIRA"/>
    <s v="CASSIO REIS LIMA"/>
    <x v="20"/>
    <x v="1"/>
    <s v="Encerrada"/>
    <d v="2016-05-28T01:00:00"/>
    <d v="2016-05-28T05:00:00"/>
    <d v="2016-05-28T06:00:00"/>
    <x v="1"/>
    <x v="1"/>
    <s v="Muito impacto"/>
    <s v="No-break"/>
    <s v="No-break"/>
    <s v="Sim"/>
    <s v="Sim"/>
    <s v="Havendo necessidade de acionamento dos equipamentos os mesmos serão ativados."/>
    <s v="Não"/>
    <s v="Não"/>
    <x v="0"/>
    <s v="Não"/>
    <x v="5"/>
  </r>
  <r>
    <n v="20380"/>
    <s v="Substituição de discos com falha nos servidores do Site Lapa"/>
    <x v="9"/>
    <d v="2016-05-27T15:10:30"/>
    <x v="4"/>
    <s v="Encerramento"/>
    <s v="FERNANDO SOUZA DOS REIS"/>
    <s v="DANIEL DE LIMA PEREIRA,FERNANDO SOUZA DOS REIS"/>
    <x v="19"/>
    <x v="0"/>
    <s v="Encerrada"/>
    <d v="2016-05-30T10:00:00"/>
    <d v="2016-06-01T18:00:00"/>
    <d v="2016-06-01T20:00:00"/>
    <x v="3"/>
    <x v="1"/>
    <s v="Sem impacto"/>
    <s v="APPCTX01SPOLP; APPCTX02SPOLP; APPCTX109SPOLP; APPCTX21SPOLP; APPCTX26SPOLP; APPCTX37SPOLP; APPOIM04SPOLP; APPOIM10SPOLP; APPOIV01SPOLP; APPRDC01SPOLP; BRSPOLP006; CTICTX05SPOLP; DBRDC01SPOLP; DBSCTX02SPOLP; DBSCTX47SPOLP; DBSCTX66SPOLP; DBSCTX67SPOLP; DBSCTXG01SPOLP; DBSOIM01SPOLP; MDXOIM01SPOLP; NMSCP01SPOLP; STGCTX01SPOLP"/>
    <s v="--"/>
    <s v="Não"/>
    <s v="Não"/>
    <s v="Não se aplica pois os discos que serão substituídos não possuem nenhuma utilidade."/>
    <s v="Não"/>
    <s v="Não"/>
    <x v="0"/>
    <s v="CTXSPOLP-116058-CTXSPOLP-116071-CTXSPOLP-116119-CTXSPOLP-116126-CTXSPOLP-116127-CTXSPOLP-116135-CTXSPOLP-116139-CTXSPOLP-116141-CTXSPOLP-116145-CTXSPOLP-116146-CTXSPOLP-116148-CTXSPOLP-116150-CTXSPOLP-116151-CTXSPOLP-116152-CTXSPOLP-116153-CTXSPOLP-116154-CTXSPOLP-116155-CTXSPOLP-117631-CTXSPOLP-117632-CTXSPOLP-117633-CTXSPOLP-117634-CTXSPOLP-117635-CTXSPOLP-117638-CTXSPOLP-117639"/>
    <x v="0"/>
  </r>
  <r>
    <n v="20385"/>
    <s v="Atualização de arquivo de carga do TLV 5.0 CTXTV072 para suportar 1 campo à mais, matricula_demanda, este campo deve ser exportado no Relatório de Ultima marcação do TLV."/>
    <x v="9"/>
    <d v="2016-05-30T09:41:17"/>
    <x v="4"/>
    <s v="Encerramento"/>
    <s v="FREDERICO BEDETTE COSTA"/>
    <s v="FREDERICO BEDETTE COSTA"/>
    <x v="22"/>
    <x v="1"/>
    <s v="Encerrada"/>
    <d v="2016-05-31T07:00:00"/>
    <d v="2016-05-31T07:30:00"/>
    <d v="2016-05-31T08:00:00"/>
    <x v="3"/>
    <x v="1"/>
    <s v="Sem impacto"/>
    <s v="NA"/>
    <s v="NA"/>
    <s v="Não"/>
    <s v="Não"/>
    <s v="Retornar com os Scripts de Backup, conforme descrito no plano de ação."/>
    <s v="Não"/>
    <s v="Não"/>
    <x v="0"/>
    <s v="CTXNITSP-183370"/>
    <x v="5"/>
  </r>
  <r>
    <n v="20404"/>
    <s v="Trocar o certificado da ferramenta protheus"/>
    <x v="10"/>
    <d v="2016-05-31T12:56:59"/>
    <x v="4"/>
    <s v="Encerramento"/>
    <s v="WILSON DE OLIVEIRA BRITO JUNIOR"/>
    <s v="WILSON DE OLIVEIRA BRITO JUNIOR"/>
    <x v="5"/>
    <x v="0"/>
    <s v="Encerrada"/>
    <d v="2016-05-31T18:00:00"/>
    <d v="2016-05-31T19:00:00"/>
    <d v="2016-05-31T20:00:00"/>
    <x v="1"/>
    <x v="1"/>
    <s v="Muito impacto"/>
    <s v="APPCTX131SPODB; APPCTX132SPODB"/>
    <s v="APPCTX131SPODB; APPCTX132SPODB"/>
    <s v="Não"/>
    <s v="Não"/>
    <s v="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
    <s v="Sim"/>
    <s v="Não"/>
    <x v="0"/>
    <s v="n/a"/>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r>
    <m/>
    <m/>
    <x v="121"/>
    <m/>
    <x v="5"/>
    <m/>
    <m/>
    <m/>
    <x v="46"/>
    <x v="60"/>
    <m/>
    <m/>
    <m/>
    <m/>
    <x v="4"/>
    <x v="3"/>
    <m/>
    <m/>
    <m/>
    <m/>
    <m/>
    <m/>
    <m/>
    <m/>
    <x v="1"/>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82" firstHeaderRow="1" firstDataRow="1" firstDataCol="1"/>
  <pivotFields count="27">
    <pivotField numFmtId="1" showAll="0"/>
    <pivotField showAll="0"/>
    <pivotField showAll="0">
      <items count="123">
        <item x="0"/>
        <item x="8"/>
        <item x="9"/>
        <item x="99"/>
        <item x="118"/>
        <item x="78"/>
        <item x="87"/>
        <item x="109"/>
        <item x="111"/>
        <item x="55"/>
        <item x="17"/>
        <item x="88"/>
        <item x="26"/>
        <item x="64"/>
        <item x="107"/>
        <item x="106"/>
        <item x="36"/>
        <item x="52"/>
        <item x="59"/>
        <item x="97"/>
        <item x="85"/>
        <item x="77"/>
        <item x="104"/>
        <item x="102"/>
        <item x="41"/>
        <item x="4"/>
        <item x="100"/>
        <item x="83"/>
        <item x="82"/>
        <item x="75"/>
        <item x="91"/>
        <item x="90"/>
        <item x="116"/>
        <item x="81"/>
        <item x="20"/>
        <item x="89"/>
        <item x="60"/>
        <item x="34"/>
        <item x="65"/>
        <item x="28"/>
        <item x="47"/>
        <item x="70"/>
        <item x="74"/>
        <item x="76"/>
        <item x="103"/>
        <item x="54"/>
        <item x="115"/>
        <item x="25"/>
        <item x="120"/>
        <item x="79"/>
        <item x="38"/>
        <item x="29"/>
        <item x="98"/>
        <item x="22"/>
        <item x="40"/>
        <item x="73"/>
        <item x="24"/>
        <item x="68"/>
        <item x="30"/>
        <item x="72"/>
        <item x="49"/>
        <item x="101"/>
        <item x="14"/>
        <item x="3"/>
        <item x="31"/>
        <item x="37"/>
        <item x="23"/>
        <item x="48"/>
        <item x="1"/>
        <item x="114"/>
        <item x="53"/>
        <item x="95"/>
        <item x="61"/>
        <item x="16"/>
        <item x="108"/>
        <item x="18"/>
        <item x="32"/>
        <item x="45"/>
        <item x="58"/>
        <item x="105"/>
        <item x="84"/>
        <item x="112"/>
        <item x="110"/>
        <item x="117"/>
        <item x="50"/>
        <item x="12"/>
        <item x="69"/>
        <item x="42"/>
        <item x="35"/>
        <item x="94"/>
        <item x="15"/>
        <item x="57"/>
        <item x="62"/>
        <item x="113"/>
        <item x="67"/>
        <item x="92"/>
        <item x="11"/>
        <item x="27"/>
        <item x="21"/>
        <item x="33"/>
        <item x="56"/>
        <item x="7"/>
        <item x="63"/>
        <item x="96"/>
        <item x="13"/>
        <item x="39"/>
        <item x="10"/>
        <item x="80"/>
        <item x="93"/>
        <item x="43"/>
        <item x="44"/>
        <item x="6"/>
        <item x="66"/>
        <item x="51"/>
        <item x="46"/>
        <item x="119"/>
        <item x="86"/>
        <item x="5"/>
        <item x="71"/>
        <item x="19"/>
        <item x="2"/>
        <item x="121"/>
        <item t="default"/>
      </items>
    </pivotField>
    <pivotField numFmtId="22" showAll="0"/>
    <pivotField axis="axisRow" showAll="0">
      <items count="7">
        <item sd="0" x="0"/>
        <item sd="0" x="1"/>
        <item sd="0" x="2"/>
        <item sd="0" x="3"/>
        <item x="4"/>
        <item x="5"/>
        <item t="default"/>
      </items>
    </pivotField>
    <pivotField showAll="0"/>
    <pivotField showAll="0"/>
    <pivotField showAll="0"/>
    <pivotField showAll="0">
      <items count="48">
        <item x="6"/>
        <item x="5"/>
        <item x="24"/>
        <item x="16"/>
        <item x="11"/>
        <item x="8"/>
        <item x="21"/>
        <item x="41"/>
        <item x="42"/>
        <item x="14"/>
        <item x="10"/>
        <item x="0"/>
        <item x="32"/>
        <item x="17"/>
        <item x="28"/>
        <item x="27"/>
        <item x="20"/>
        <item x="3"/>
        <item x="35"/>
        <item x="19"/>
        <item x="44"/>
        <item x="1"/>
        <item x="18"/>
        <item x="30"/>
        <item x="4"/>
        <item x="25"/>
        <item x="22"/>
        <item x="23"/>
        <item x="34"/>
        <item x="7"/>
        <item x="39"/>
        <item x="43"/>
        <item x="38"/>
        <item x="26"/>
        <item x="33"/>
        <item x="36"/>
        <item x="40"/>
        <item x="37"/>
        <item x="31"/>
        <item x="13"/>
        <item x="2"/>
        <item x="15"/>
        <item x="9"/>
        <item x="29"/>
        <item x="12"/>
        <item x="45"/>
        <item x="46"/>
        <item t="default"/>
      </items>
    </pivotField>
    <pivotField axis="axisRow" dataField="1" showAll="0" sortType="descending">
      <items count="62">
        <item x="42"/>
        <item x="10"/>
        <item x="48"/>
        <item x="50"/>
        <item x="33"/>
        <item x="44"/>
        <item x="40"/>
        <item x="46"/>
        <item x="35"/>
        <item x="19"/>
        <item x="20"/>
        <item x="59"/>
        <item x="25"/>
        <item x="31"/>
        <item x="22"/>
        <item x="55"/>
        <item x="53"/>
        <item x="57"/>
        <item x="52"/>
        <item x="9"/>
        <item x="58"/>
        <item x="38"/>
        <item x="17"/>
        <item x="16"/>
        <item x="45"/>
        <item x="23"/>
        <item x="15"/>
        <item x="39"/>
        <item x="3"/>
        <item x="11"/>
        <item x="4"/>
        <item x="0"/>
        <item x="13"/>
        <item x="29"/>
        <item x="54"/>
        <item x="18"/>
        <item x="56"/>
        <item x="34"/>
        <item x="36"/>
        <item x="32"/>
        <item x="2"/>
        <item x="21"/>
        <item x="1"/>
        <item x="51"/>
        <item x="41"/>
        <item x="49"/>
        <item x="14"/>
        <item x="37"/>
        <item x="5"/>
        <item x="30"/>
        <item x="47"/>
        <item x="8"/>
        <item x="28"/>
        <item x="26"/>
        <item x="12"/>
        <item x="6"/>
        <item x="27"/>
        <item x="7"/>
        <item x="24"/>
        <item x="43"/>
        <item x="60"/>
        <item t="default"/>
      </items>
      <autoSortScope>
        <pivotArea dataOnly="0" outline="0" fieldPosition="0">
          <references count="1">
            <reference field="4294967294" count="1" selected="0">
              <x v="0"/>
            </reference>
          </references>
        </pivotArea>
      </autoSortScope>
    </pivotField>
    <pivotField showAll="0"/>
    <pivotField numFmtId="22" showAll="0"/>
    <pivotField numFmtId="22" showAll="0"/>
    <pivotField numFmtId="22" showAll="0"/>
    <pivotField showAll="0">
      <items count="6">
        <item x="1"/>
        <item x="2"/>
        <item x="0"/>
        <item x="3"/>
        <item x="4"/>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items count="30">
        <item x="8"/>
        <item x="20"/>
        <item x="18"/>
        <item x="23"/>
        <item x="24"/>
        <item x="15"/>
        <item x="26"/>
        <item x="14"/>
        <item x="21"/>
        <item x="10"/>
        <item x="12"/>
        <item x="3"/>
        <item x="11"/>
        <item x="7"/>
        <item x="28"/>
        <item x="27"/>
        <item x="25"/>
        <item x="2"/>
        <item x="6"/>
        <item x="16"/>
        <item x="4"/>
        <item x="13"/>
        <item x="9"/>
        <item x="19"/>
        <item x="22"/>
        <item x="5"/>
        <item x="17"/>
        <item x="1"/>
        <item x="0"/>
        <item t="default"/>
      </items>
    </pivotField>
  </pivotFields>
  <rowFields count="3">
    <field x="4"/>
    <field x="9"/>
    <field x="24"/>
  </rowFields>
  <rowItems count="79">
    <i>
      <x/>
    </i>
    <i>
      <x v="1"/>
    </i>
    <i>
      <x v="2"/>
    </i>
    <i>
      <x v="3"/>
    </i>
    <i>
      <x v="4"/>
    </i>
    <i r="1">
      <x v="42"/>
    </i>
    <i r="2">
      <x/>
    </i>
    <i r="2">
      <x v="1"/>
    </i>
    <i r="2">
      <x v="2"/>
    </i>
    <i r="1">
      <x v="31"/>
    </i>
    <i r="2">
      <x/>
    </i>
    <i r="2">
      <x v="1"/>
    </i>
    <i r="1">
      <x v="14"/>
    </i>
    <i r="2">
      <x v="1"/>
    </i>
    <i r="1">
      <x v="55"/>
    </i>
    <i r="2">
      <x/>
    </i>
    <i r="2">
      <x v="1"/>
    </i>
    <i r="1">
      <x v="57"/>
    </i>
    <i r="2">
      <x v="1"/>
    </i>
    <i r="1">
      <x v="51"/>
    </i>
    <i r="2">
      <x v="1"/>
    </i>
    <i r="1">
      <x v="41"/>
    </i>
    <i r="2">
      <x v="1"/>
    </i>
    <i r="1">
      <x v="58"/>
    </i>
    <i r="2">
      <x v="1"/>
    </i>
    <i r="1">
      <x v="30"/>
    </i>
    <i r="2">
      <x/>
    </i>
    <i r="2">
      <x v="1"/>
    </i>
    <i r="1">
      <x v="40"/>
    </i>
    <i r="2">
      <x v="1"/>
    </i>
    <i r="1">
      <x v="13"/>
    </i>
    <i r="2">
      <x v="1"/>
    </i>
    <i r="1">
      <x v="48"/>
    </i>
    <i r="2">
      <x v="1"/>
    </i>
    <i r="1">
      <x v="26"/>
    </i>
    <i r="2">
      <x v="1"/>
    </i>
    <i r="1">
      <x v="53"/>
    </i>
    <i r="2">
      <x v="1"/>
    </i>
    <i r="1">
      <x v="1"/>
    </i>
    <i r="2">
      <x/>
    </i>
    <i r="2">
      <x v="1"/>
    </i>
    <i r="1">
      <x v="19"/>
    </i>
    <i r="2">
      <x v="1"/>
    </i>
    <i r="1">
      <x v="37"/>
    </i>
    <i r="2">
      <x v="1"/>
    </i>
    <i r="1">
      <x v="11"/>
    </i>
    <i r="2">
      <x v="1"/>
    </i>
    <i r="1">
      <x v="28"/>
    </i>
    <i r="2">
      <x v="1"/>
    </i>
    <i r="1">
      <x v="15"/>
    </i>
    <i r="2">
      <x v="1"/>
    </i>
    <i r="1">
      <x v="35"/>
    </i>
    <i r="2">
      <x v="1"/>
    </i>
    <i r="1">
      <x v="16"/>
    </i>
    <i r="2">
      <x v="1"/>
    </i>
    <i r="1">
      <x v="36"/>
    </i>
    <i r="2">
      <x v="1"/>
    </i>
    <i r="1">
      <x v="44"/>
    </i>
    <i r="2">
      <x v="1"/>
    </i>
    <i r="1">
      <x v="27"/>
    </i>
    <i r="2">
      <x v="1"/>
    </i>
    <i r="1">
      <x v="20"/>
    </i>
    <i r="2">
      <x v="1"/>
    </i>
    <i r="1">
      <x v="39"/>
    </i>
    <i r="2">
      <x v="1"/>
    </i>
    <i r="1">
      <x v="25"/>
    </i>
    <i r="2">
      <x v="1"/>
    </i>
    <i r="1">
      <x v="17"/>
    </i>
    <i r="2">
      <x v="1"/>
    </i>
    <i r="1">
      <x v="34"/>
    </i>
    <i r="2">
      <x v="1"/>
    </i>
    <i r="1">
      <x v="29"/>
    </i>
    <i r="2">
      <x v="1"/>
    </i>
    <i r="1">
      <x v="33"/>
    </i>
    <i r="2">
      <x v="1"/>
    </i>
    <i>
      <x v="5"/>
    </i>
    <i r="1">
      <x v="60"/>
    </i>
    <i r="2">
      <x v="2"/>
    </i>
    <i t="grand">
      <x/>
    </i>
  </rowItems>
  <colItems count="1">
    <i/>
  </colItems>
  <dataFields count="1">
    <dataField name="Contagem de Client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984"/>
  <sheetViews>
    <sheetView tabSelected="1" workbookViewId="0">
      <selection activeCell="C2" sqref="C2"/>
    </sheetView>
  </sheetViews>
  <sheetFormatPr defaultRowHeight="14.4" x14ac:dyDescent="0.3"/>
  <cols>
    <col min="1" max="1" width="6.44140625" style="20" customWidth="1"/>
    <col min="2" max="2" width="33.21875" customWidth="1"/>
    <col min="3" max="3" width="44.44140625" customWidth="1"/>
    <col min="4" max="4" width="15.6640625" bestFit="1" customWidth="1"/>
    <col min="12" max="12" width="15.6640625" bestFit="1" customWidth="1"/>
    <col min="15" max="15" width="20" bestFit="1" customWidth="1"/>
    <col min="16" max="16" width="28.5546875" bestFit="1" customWidth="1"/>
    <col min="17" max="17" width="15.77734375" customWidth="1"/>
    <col min="20" max="20" width="28" bestFit="1" customWidth="1"/>
  </cols>
  <sheetData>
    <row r="1" spans="1:27" s="2" customFormat="1" x14ac:dyDescent="0.3">
      <c r="A1" s="3" t="s">
        <v>0</v>
      </c>
      <c r="B1" s="3" t="s">
        <v>1</v>
      </c>
      <c r="C1" s="3" t="s">
        <v>2104</v>
      </c>
      <c r="D1" s="3" t="s">
        <v>2</v>
      </c>
      <c r="E1" s="3" t="s">
        <v>2076</v>
      </c>
      <c r="F1" s="3" t="s">
        <v>3</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row>
    <row r="2" spans="1:27" s="1" customFormat="1" x14ac:dyDescent="0.3">
      <c r="A2" s="19">
        <v>19039</v>
      </c>
      <c r="B2" s="4" t="s">
        <v>237</v>
      </c>
      <c r="C2" s="4">
        <v>0</v>
      </c>
      <c r="D2" s="5">
        <v>42373.375428240739</v>
      </c>
      <c r="E2" s="5" t="s">
        <v>2080</v>
      </c>
      <c r="F2" s="4" t="s">
        <v>26</v>
      </c>
      <c r="G2" s="4" t="s">
        <v>238</v>
      </c>
      <c r="H2" s="4" t="s">
        <v>239</v>
      </c>
      <c r="I2" s="4" t="s">
        <v>42</v>
      </c>
      <c r="J2" s="4" t="s">
        <v>49</v>
      </c>
      <c r="K2" s="4" t="s">
        <v>31</v>
      </c>
      <c r="L2" s="5">
        <v>42474.916666666664</v>
      </c>
      <c r="M2" s="5">
        <v>42475.166666666664</v>
      </c>
      <c r="N2" s="5">
        <v>42475.208333333336</v>
      </c>
      <c r="O2" s="4" t="s">
        <v>32</v>
      </c>
      <c r="P2" s="4" t="s">
        <v>33</v>
      </c>
      <c r="Q2" s="4" t="s">
        <v>50</v>
      </c>
      <c r="R2" s="4" t="s">
        <v>240</v>
      </c>
      <c r="S2" s="4" t="s">
        <v>240</v>
      </c>
      <c r="T2" s="4" t="s">
        <v>36</v>
      </c>
      <c r="U2" s="4" t="s">
        <v>36</v>
      </c>
      <c r="V2" s="4" t="s">
        <v>241</v>
      </c>
      <c r="W2" s="4" t="s">
        <v>37</v>
      </c>
      <c r="X2" s="4" t="s">
        <v>37</v>
      </c>
      <c r="Y2" s="4" t="s">
        <v>36</v>
      </c>
      <c r="Z2" s="4"/>
      <c r="AA2" s="4"/>
    </row>
    <row r="3" spans="1:27" s="1" customFormat="1" x14ac:dyDescent="0.3">
      <c r="A3" s="19">
        <v>19041</v>
      </c>
      <c r="B3" s="4" t="s">
        <v>242</v>
      </c>
      <c r="C3" s="4" t="s">
        <v>2106</v>
      </c>
      <c r="D3" s="5">
        <v>42373.446585648147</v>
      </c>
      <c r="E3" s="5" t="s">
        <v>2080</v>
      </c>
      <c r="F3" s="4" t="s">
        <v>26</v>
      </c>
      <c r="G3" s="4" t="s">
        <v>243</v>
      </c>
      <c r="H3" s="4" t="s">
        <v>244</v>
      </c>
      <c r="I3" s="4" t="s">
        <v>216</v>
      </c>
      <c r="J3" s="4" t="s">
        <v>30</v>
      </c>
      <c r="K3" s="4" t="s">
        <v>31</v>
      </c>
      <c r="L3" s="5">
        <v>42382.916666666664</v>
      </c>
      <c r="M3" s="5">
        <v>42383.125</v>
      </c>
      <c r="N3" s="5">
        <v>42383.375</v>
      </c>
      <c r="O3" s="4" t="s">
        <v>32</v>
      </c>
      <c r="P3" s="4" t="s">
        <v>33</v>
      </c>
      <c r="Q3" s="4" t="s">
        <v>34</v>
      </c>
      <c r="R3" s="4" t="s">
        <v>245</v>
      </c>
      <c r="S3" s="4" t="s">
        <v>245</v>
      </c>
      <c r="T3" s="4" t="s">
        <v>37</v>
      </c>
      <c r="U3" s="4" t="s">
        <v>37</v>
      </c>
      <c r="V3" s="4" t="s">
        <v>246</v>
      </c>
      <c r="W3" s="4" t="s">
        <v>37</v>
      </c>
      <c r="X3" s="4" t="s">
        <v>37</v>
      </c>
      <c r="Y3" s="4" t="s">
        <v>36</v>
      </c>
      <c r="Z3" s="4" t="s">
        <v>53</v>
      </c>
      <c r="AA3" s="4" t="s">
        <v>179</v>
      </c>
    </row>
    <row r="4" spans="1:27" s="1" customFormat="1" x14ac:dyDescent="0.3">
      <c r="A4" s="19">
        <v>19042</v>
      </c>
      <c r="B4" s="4" t="s">
        <v>247</v>
      </c>
      <c r="C4" s="4" t="e">
        <v>#N/A</v>
      </c>
      <c r="D4" s="5">
        <v>42373.484814814816</v>
      </c>
      <c r="E4" s="5" t="s">
        <v>2080</v>
      </c>
      <c r="F4" s="4" t="s">
        <v>26</v>
      </c>
      <c r="G4" s="4" t="s">
        <v>248</v>
      </c>
      <c r="H4" s="4" t="s">
        <v>249</v>
      </c>
      <c r="I4" s="4" t="s">
        <v>169</v>
      </c>
      <c r="J4" s="4" t="s">
        <v>30</v>
      </c>
      <c r="K4" s="4" t="s">
        <v>31</v>
      </c>
      <c r="L4" s="5">
        <v>42375.979166666664</v>
      </c>
      <c r="M4" s="5">
        <v>42376.208333333336</v>
      </c>
      <c r="N4" s="5">
        <v>42376.208333333336</v>
      </c>
      <c r="O4" s="4" t="s">
        <v>250</v>
      </c>
      <c r="P4" s="4" t="s">
        <v>89</v>
      </c>
      <c r="Q4" s="4" t="s">
        <v>251</v>
      </c>
      <c r="R4" s="6" t="s">
        <v>77</v>
      </c>
      <c r="S4" s="6" t="s">
        <v>77</v>
      </c>
      <c r="T4" s="4" t="s">
        <v>37</v>
      </c>
      <c r="U4" s="4" t="s">
        <v>37</v>
      </c>
      <c r="V4" s="4" t="s">
        <v>252</v>
      </c>
      <c r="W4" s="4" t="s">
        <v>37</v>
      </c>
      <c r="X4" s="4" t="s">
        <v>37</v>
      </c>
      <c r="Y4" s="4" t="s">
        <v>36</v>
      </c>
      <c r="Z4" s="4" t="s">
        <v>39</v>
      </c>
      <c r="AA4" s="4" t="s">
        <v>93</v>
      </c>
    </row>
    <row r="5" spans="1:27" s="1" customFormat="1" x14ac:dyDescent="0.3">
      <c r="A5" s="19">
        <v>19043</v>
      </c>
      <c r="B5" s="4" t="s">
        <v>253</v>
      </c>
      <c r="C5" s="4" t="e">
        <v>#N/A</v>
      </c>
      <c r="D5" s="5">
        <v>42373.508032407408</v>
      </c>
      <c r="E5" s="5" t="s">
        <v>2080</v>
      </c>
      <c r="F5" s="4" t="s">
        <v>26</v>
      </c>
      <c r="G5" s="4" t="s">
        <v>98</v>
      </c>
      <c r="H5" s="4" t="s">
        <v>98</v>
      </c>
      <c r="I5" s="4" t="s">
        <v>88</v>
      </c>
      <c r="J5" s="4" t="s">
        <v>99</v>
      </c>
      <c r="K5" s="4" t="s">
        <v>31</v>
      </c>
      <c r="L5" s="5">
        <v>42393.291666666664</v>
      </c>
      <c r="M5" s="5">
        <v>42393.625</v>
      </c>
      <c r="N5" s="5">
        <v>42393.625</v>
      </c>
      <c r="O5" s="4" t="s">
        <v>32</v>
      </c>
      <c r="P5" s="4" t="s">
        <v>33</v>
      </c>
      <c r="Q5" s="4" t="s">
        <v>76</v>
      </c>
      <c r="R5" s="6" t="s">
        <v>77</v>
      </c>
      <c r="S5" s="6" t="s">
        <v>77</v>
      </c>
      <c r="T5" s="4" t="s">
        <v>37</v>
      </c>
      <c r="U5" s="4" t="s">
        <v>37</v>
      </c>
      <c r="V5" s="4" t="s">
        <v>254</v>
      </c>
      <c r="W5" s="4" t="s">
        <v>37</v>
      </c>
      <c r="X5" s="4" t="s">
        <v>37</v>
      </c>
      <c r="Y5" s="4" t="s">
        <v>36</v>
      </c>
      <c r="Z5" s="4" t="s">
        <v>53</v>
      </c>
      <c r="AA5" s="4" t="s">
        <v>255</v>
      </c>
    </row>
    <row r="6" spans="1:27" s="1" customFormat="1" x14ac:dyDescent="0.3">
      <c r="A6" s="19">
        <v>19044</v>
      </c>
      <c r="B6" s="4" t="s">
        <v>253</v>
      </c>
      <c r="C6" s="4" t="e">
        <v>#N/A</v>
      </c>
      <c r="D6" s="5">
        <v>42373.526087962964</v>
      </c>
      <c r="E6" s="5" t="s">
        <v>2080</v>
      </c>
      <c r="F6" s="4" t="s">
        <v>26</v>
      </c>
      <c r="G6" s="4" t="s">
        <v>98</v>
      </c>
      <c r="H6" s="4" t="s">
        <v>98</v>
      </c>
      <c r="I6" s="4" t="s">
        <v>217</v>
      </c>
      <c r="J6" s="4" t="s">
        <v>256</v>
      </c>
      <c r="K6" s="4" t="s">
        <v>31</v>
      </c>
      <c r="L6" s="5">
        <v>42393.291666666664</v>
      </c>
      <c r="M6" s="5">
        <v>42393.625</v>
      </c>
      <c r="N6" s="5">
        <v>42393.625</v>
      </c>
      <c r="O6" s="4" t="s">
        <v>32</v>
      </c>
      <c r="P6" s="4" t="s">
        <v>33</v>
      </c>
      <c r="Q6" s="4" t="s">
        <v>76</v>
      </c>
      <c r="R6" s="6" t="s">
        <v>77</v>
      </c>
      <c r="S6" s="6" t="s">
        <v>77</v>
      </c>
      <c r="T6" s="4" t="s">
        <v>37</v>
      </c>
      <c r="U6" s="4" t="s">
        <v>37</v>
      </c>
      <c r="V6" s="4" t="s">
        <v>254</v>
      </c>
      <c r="W6" s="4"/>
      <c r="X6" s="4"/>
      <c r="Y6" s="4"/>
      <c r="Z6" s="4" t="s">
        <v>53</v>
      </c>
      <c r="AA6" s="4" t="s">
        <v>257</v>
      </c>
    </row>
    <row r="7" spans="1:27" s="1" customFormat="1" x14ac:dyDescent="0.3">
      <c r="A7" s="19">
        <v>19045</v>
      </c>
      <c r="B7" s="4" t="s">
        <v>258</v>
      </c>
      <c r="C7" s="4" t="e">
        <v>#N/A</v>
      </c>
      <c r="D7" s="5">
        <v>42373.665393518517</v>
      </c>
      <c r="E7" s="5" t="s">
        <v>2080</v>
      </c>
      <c r="F7" s="4" t="s">
        <v>26</v>
      </c>
      <c r="G7" s="4" t="s">
        <v>259</v>
      </c>
      <c r="H7" s="4" t="s">
        <v>259</v>
      </c>
      <c r="I7" s="4" t="s">
        <v>203</v>
      </c>
      <c r="J7" s="4" t="s">
        <v>30</v>
      </c>
      <c r="K7" s="4" t="s">
        <v>31</v>
      </c>
      <c r="L7" s="5">
        <v>42381.958333333336</v>
      </c>
      <c r="M7" s="5">
        <v>42382</v>
      </c>
      <c r="N7" s="5">
        <v>42382.041666666664</v>
      </c>
      <c r="O7" s="4" t="s">
        <v>32</v>
      </c>
      <c r="P7" s="4" t="s">
        <v>89</v>
      </c>
      <c r="Q7" s="4" t="s">
        <v>34</v>
      </c>
      <c r="R7" s="4" t="s">
        <v>260</v>
      </c>
      <c r="S7" s="4" t="s">
        <v>260</v>
      </c>
      <c r="T7" s="4" t="s">
        <v>36</v>
      </c>
      <c r="U7" s="4" t="s">
        <v>37</v>
      </c>
      <c r="V7" s="4" t="s">
        <v>261</v>
      </c>
      <c r="W7" s="4" t="s">
        <v>37</v>
      </c>
      <c r="X7" s="4" t="s">
        <v>37</v>
      </c>
      <c r="Y7" s="4" t="s">
        <v>36</v>
      </c>
      <c r="Z7" s="4" t="s">
        <v>39</v>
      </c>
      <c r="AA7" s="4" t="s">
        <v>40</v>
      </c>
    </row>
    <row r="8" spans="1:27" s="1" customFormat="1" x14ac:dyDescent="0.3">
      <c r="A8" s="19">
        <v>19046</v>
      </c>
      <c r="B8" s="4" t="s">
        <v>262</v>
      </c>
      <c r="C8" s="4" t="e">
        <v>#N/A</v>
      </c>
      <c r="D8" s="5">
        <v>42373.674363425926</v>
      </c>
      <c r="E8" s="5" t="s">
        <v>2080</v>
      </c>
      <c r="F8" s="4" t="s">
        <v>26</v>
      </c>
      <c r="G8" s="4" t="s">
        <v>263</v>
      </c>
      <c r="H8" s="4" t="s">
        <v>264</v>
      </c>
      <c r="I8" s="4" t="s">
        <v>203</v>
      </c>
      <c r="J8" s="4" t="s">
        <v>30</v>
      </c>
      <c r="K8" s="4" t="s">
        <v>31</v>
      </c>
      <c r="L8" s="5">
        <v>42382.916666666664</v>
      </c>
      <c r="M8" s="5">
        <v>42383.458333333336</v>
      </c>
      <c r="N8" s="5">
        <v>42383.75</v>
      </c>
      <c r="O8" s="4" t="s">
        <v>32</v>
      </c>
      <c r="P8" s="4" t="s">
        <v>89</v>
      </c>
      <c r="Q8" s="4" t="s">
        <v>251</v>
      </c>
      <c r="R8" s="4" t="s">
        <v>265</v>
      </c>
      <c r="S8" s="4" t="s">
        <v>266</v>
      </c>
      <c r="T8" s="4" t="s">
        <v>37</v>
      </c>
      <c r="U8" s="4" t="s">
        <v>37</v>
      </c>
      <c r="V8" s="4" t="s">
        <v>267</v>
      </c>
      <c r="W8" s="4" t="s">
        <v>37</v>
      </c>
      <c r="X8" s="4" t="s">
        <v>37</v>
      </c>
      <c r="Y8" s="4" t="s">
        <v>36</v>
      </c>
      <c r="Z8" s="4" t="s">
        <v>268</v>
      </c>
      <c r="AA8" s="4" t="s">
        <v>40</v>
      </c>
    </row>
    <row r="9" spans="1:27" s="1" customFormat="1" x14ac:dyDescent="0.3">
      <c r="A9" s="19">
        <v>19047</v>
      </c>
      <c r="B9" s="4" t="s">
        <v>198</v>
      </c>
      <c r="C9" s="4" t="e">
        <v>#N/A</v>
      </c>
      <c r="D9" s="5">
        <v>42373.71601851852</v>
      </c>
      <c r="E9" s="5" t="s">
        <v>2080</v>
      </c>
      <c r="F9" s="4" t="s">
        <v>26</v>
      </c>
      <c r="G9" s="4" t="s">
        <v>199</v>
      </c>
      <c r="H9" s="4" t="s">
        <v>117</v>
      </c>
      <c r="I9" s="4" t="s">
        <v>200</v>
      </c>
      <c r="J9" s="4" t="s">
        <v>30</v>
      </c>
      <c r="K9" s="4" t="s">
        <v>31</v>
      </c>
      <c r="L9" s="5">
        <v>42382.5</v>
      </c>
      <c r="M9" s="5">
        <v>42383.25</v>
      </c>
      <c r="N9" s="5">
        <v>42383.25</v>
      </c>
      <c r="O9" s="4" t="s">
        <v>32</v>
      </c>
      <c r="P9" s="4" t="s">
        <v>33</v>
      </c>
      <c r="Q9" s="4" t="s">
        <v>119</v>
      </c>
      <c r="R9" s="4" t="s">
        <v>201</v>
      </c>
      <c r="S9" s="4" t="s">
        <v>201</v>
      </c>
      <c r="T9" s="4" t="s">
        <v>37</v>
      </c>
      <c r="U9" s="4" t="s">
        <v>37</v>
      </c>
      <c r="V9" s="4" t="s">
        <v>269</v>
      </c>
      <c r="W9" s="4" t="s">
        <v>37</v>
      </c>
      <c r="X9" s="4" t="s">
        <v>37</v>
      </c>
      <c r="Y9" s="4" t="s">
        <v>36</v>
      </c>
      <c r="Z9" s="4" t="s">
        <v>270</v>
      </c>
      <c r="AA9" s="4" t="s">
        <v>40</v>
      </c>
    </row>
    <row r="10" spans="1:27" s="1" customFormat="1" x14ac:dyDescent="0.3">
      <c r="A10" s="19">
        <v>19048</v>
      </c>
      <c r="B10" s="4" t="s">
        <v>271</v>
      </c>
      <c r="C10" s="4" t="e">
        <v>#N/A</v>
      </c>
      <c r="D10" s="5">
        <v>42373.741875</v>
      </c>
      <c r="E10" s="5" t="s">
        <v>2080</v>
      </c>
      <c r="F10" s="4" t="s">
        <v>26</v>
      </c>
      <c r="G10" s="4" t="s">
        <v>199</v>
      </c>
      <c r="H10" s="4" t="s">
        <v>117</v>
      </c>
      <c r="I10" s="4" t="s">
        <v>118</v>
      </c>
      <c r="J10" s="4" t="s">
        <v>30</v>
      </c>
      <c r="K10" s="4" t="s">
        <v>31</v>
      </c>
      <c r="L10" s="5">
        <v>42382.5</v>
      </c>
      <c r="M10" s="5">
        <v>42383.25</v>
      </c>
      <c r="N10" s="5">
        <v>42383.25</v>
      </c>
      <c r="O10" s="4" t="s">
        <v>32</v>
      </c>
      <c r="P10" s="4" t="s">
        <v>33</v>
      </c>
      <c r="Q10" s="4" t="s">
        <v>119</v>
      </c>
      <c r="R10" s="4" t="s">
        <v>201</v>
      </c>
      <c r="S10" s="4" t="s">
        <v>201</v>
      </c>
      <c r="T10" s="4" t="s">
        <v>37</v>
      </c>
      <c r="U10" s="4" t="s">
        <v>37</v>
      </c>
      <c r="V10" s="4" t="s">
        <v>269</v>
      </c>
      <c r="W10" s="4" t="s">
        <v>37</v>
      </c>
      <c r="X10" s="4" t="s">
        <v>37</v>
      </c>
      <c r="Y10" s="4" t="s">
        <v>36</v>
      </c>
      <c r="Z10" s="4" t="s">
        <v>272</v>
      </c>
      <c r="AA10" s="4" t="s">
        <v>40</v>
      </c>
    </row>
    <row r="11" spans="1:27" s="1" customFormat="1" x14ac:dyDescent="0.3">
      <c r="A11" s="19">
        <v>19049</v>
      </c>
      <c r="B11" s="4" t="s">
        <v>273</v>
      </c>
      <c r="C11" s="4" t="e">
        <v>#N/A</v>
      </c>
      <c r="D11" s="5">
        <v>42374.382106481484</v>
      </c>
      <c r="E11" s="5" t="s">
        <v>2080</v>
      </c>
      <c r="F11" s="4" t="s">
        <v>26</v>
      </c>
      <c r="G11" s="4" t="s">
        <v>274</v>
      </c>
      <c r="H11" s="4" t="s">
        <v>274</v>
      </c>
      <c r="I11" s="4" t="s">
        <v>205</v>
      </c>
      <c r="J11" s="4" t="s">
        <v>275</v>
      </c>
      <c r="K11" s="4" t="s">
        <v>31</v>
      </c>
      <c r="L11" s="5">
        <v>42393.000694444447</v>
      </c>
      <c r="M11" s="5">
        <v>42393.208333333336</v>
      </c>
      <c r="N11" s="5">
        <v>42393.25</v>
      </c>
      <c r="O11" s="4" t="s">
        <v>32</v>
      </c>
      <c r="P11" s="4" t="s">
        <v>33</v>
      </c>
      <c r="Q11" s="4" t="s">
        <v>34</v>
      </c>
      <c r="R11" s="6" t="s">
        <v>77</v>
      </c>
      <c r="S11" s="4" t="s">
        <v>230</v>
      </c>
      <c r="T11" s="4" t="s">
        <v>37</v>
      </c>
      <c r="U11" s="4" t="s">
        <v>37</v>
      </c>
      <c r="V11" s="4" t="s">
        <v>276</v>
      </c>
      <c r="W11" s="4" t="s">
        <v>36</v>
      </c>
      <c r="X11" s="4" t="s">
        <v>37</v>
      </c>
      <c r="Y11" s="4" t="s">
        <v>36</v>
      </c>
      <c r="Z11" s="4" t="s">
        <v>53</v>
      </c>
      <c r="AA11" s="4" t="s">
        <v>179</v>
      </c>
    </row>
    <row r="12" spans="1:27" s="1" customFormat="1" x14ac:dyDescent="0.3">
      <c r="A12" s="19">
        <v>19050</v>
      </c>
      <c r="B12" s="4" t="s">
        <v>131</v>
      </c>
      <c r="C12" s="4" t="e">
        <v>#N/A</v>
      </c>
      <c r="D12" s="5">
        <v>42374.433287037034</v>
      </c>
      <c r="E12" s="5" t="s">
        <v>2080</v>
      </c>
      <c r="F12" s="4" t="s">
        <v>26</v>
      </c>
      <c r="G12" s="4" t="s">
        <v>132</v>
      </c>
      <c r="H12" s="4" t="s">
        <v>132</v>
      </c>
      <c r="I12" s="4" t="s">
        <v>42</v>
      </c>
      <c r="J12" s="4" t="s">
        <v>49</v>
      </c>
      <c r="K12" s="4" t="s">
        <v>31</v>
      </c>
      <c r="L12" s="5">
        <v>42383.916666666664</v>
      </c>
      <c r="M12" s="5">
        <v>42384.166666666664</v>
      </c>
      <c r="N12" s="5">
        <v>42384.208333333336</v>
      </c>
      <c r="O12" s="4" t="s">
        <v>32</v>
      </c>
      <c r="P12" s="4" t="s">
        <v>33</v>
      </c>
      <c r="Q12" s="4" t="s">
        <v>50</v>
      </c>
      <c r="R12" s="4" t="s">
        <v>277</v>
      </c>
      <c r="S12" s="4" t="s">
        <v>277</v>
      </c>
      <c r="T12" s="4" t="s">
        <v>36</v>
      </c>
      <c r="U12" s="4" t="s">
        <v>37</v>
      </c>
      <c r="V12" s="4" t="s">
        <v>135</v>
      </c>
      <c r="W12" s="4" t="s">
        <v>37</v>
      </c>
      <c r="X12" s="4" t="s">
        <v>37</v>
      </c>
      <c r="Y12" s="4" t="s">
        <v>36</v>
      </c>
      <c r="Z12" s="4" t="s">
        <v>53</v>
      </c>
      <c r="AA12" s="4"/>
    </row>
    <row r="13" spans="1:27" s="1" customFormat="1" x14ac:dyDescent="0.3">
      <c r="A13" s="19">
        <v>19051</v>
      </c>
      <c r="B13" s="4" t="s">
        <v>278</v>
      </c>
      <c r="C13" s="4" t="e">
        <v>#N/A</v>
      </c>
      <c r="D13" s="5">
        <v>42374.442754629628</v>
      </c>
      <c r="E13" s="5" t="s">
        <v>2080</v>
      </c>
      <c r="F13" s="4" t="s">
        <v>26</v>
      </c>
      <c r="G13" s="4" t="s">
        <v>238</v>
      </c>
      <c r="H13" s="4" t="s">
        <v>279</v>
      </c>
      <c r="I13" s="4" t="s">
        <v>71</v>
      </c>
      <c r="J13" s="4" t="s">
        <v>49</v>
      </c>
      <c r="K13" s="4" t="s">
        <v>31</v>
      </c>
      <c r="L13" s="5">
        <v>42383.416666666664</v>
      </c>
      <c r="M13" s="5">
        <v>42383.666666666664</v>
      </c>
      <c r="N13" s="5">
        <v>42383.708333333336</v>
      </c>
      <c r="O13" s="4" t="s">
        <v>32</v>
      </c>
      <c r="P13" s="4" t="s">
        <v>33</v>
      </c>
      <c r="Q13" s="4" t="s">
        <v>34</v>
      </c>
      <c r="R13" s="4" t="s">
        <v>280</v>
      </c>
      <c r="S13" s="4" t="s">
        <v>280</v>
      </c>
      <c r="T13" s="4" t="s">
        <v>36</v>
      </c>
      <c r="U13" s="4" t="s">
        <v>37</v>
      </c>
      <c r="V13" s="4" t="s">
        <v>281</v>
      </c>
      <c r="W13" s="4" t="s">
        <v>37</v>
      </c>
      <c r="X13" s="4" t="s">
        <v>37</v>
      </c>
      <c r="Y13" s="4" t="s">
        <v>36</v>
      </c>
      <c r="Z13" s="4" t="s">
        <v>53</v>
      </c>
      <c r="AA13" s="4"/>
    </row>
    <row r="14" spans="1:27" s="1" customFormat="1" x14ac:dyDescent="0.3">
      <c r="A14" s="19">
        <v>19053</v>
      </c>
      <c r="B14" s="4" t="s">
        <v>273</v>
      </c>
      <c r="C14" s="4" t="e">
        <v>#N/A</v>
      </c>
      <c r="D14" s="5">
        <v>42374.460509259261</v>
      </c>
      <c r="E14" s="5" t="s">
        <v>2080</v>
      </c>
      <c r="F14" s="4" t="s">
        <v>26</v>
      </c>
      <c r="G14" s="4" t="s">
        <v>274</v>
      </c>
      <c r="H14" s="4" t="s">
        <v>274</v>
      </c>
      <c r="I14" s="4" t="s">
        <v>205</v>
      </c>
      <c r="J14" s="4" t="s">
        <v>275</v>
      </c>
      <c r="K14" s="4" t="s">
        <v>31</v>
      </c>
      <c r="L14" s="5">
        <v>42391.916666666664</v>
      </c>
      <c r="M14" s="5">
        <v>42394.25</v>
      </c>
      <c r="N14" s="5">
        <v>42394.291666666664</v>
      </c>
      <c r="O14" s="4" t="s">
        <v>32</v>
      </c>
      <c r="P14" s="4" t="s">
        <v>33</v>
      </c>
      <c r="Q14" s="4" t="s">
        <v>50</v>
      </c>
      <c r="R14" s="6" t="s">
        <v>77</v>
      </c>
      <c r="S14" s="4" t="s">
        <v>282</v>
      </c>
      <c r="T14" s="4" t="s">
        <v>36</v>
      </c>
      <c r="U14" s="4" t="s">
        <v>37</v>
      </c>
      <c r="V14" s="4" t="s">
        <v>276</v>
      </c>
      <c r="W14" s="4" t="s">
        <v>37</v>
      </c>
      <c r="X14" s="4" t="s">
        <v>37</v>
      </c>
      <c r="Y14" s="4" t="s">
        <v>36</v>
      </c>
      <c r="Z14" s="4" t="s">
        <v>53</v>
      </c>
      <c r="AA14" s="4" t="s">
        <v>179</v>
      </c>
    </row>
    <row r="15" spans="1:27" s="1" customFormat="1" x14ac:dyDescent="0.3">
      <c r="A15" s="19">
        <v>19054</v>
      </c>
      <c r="B15" s="4" t="s">
        <v>253</v>
      </c>
      <c r="C15" s="4" t="e">
        <v>#N/A</v>
      </c>
      <c r="D15" s="5">
        <v>42374.485300925924</v>
      </c>
      <c r="E15" s="5" t="s">
        <v>2080</v>
      </c>
      <c r="F15" s="4" t="s">
        <v>26</v>
      </c>
      <c r="G15" s="4" t="s">
        <v>98</v>
      </c>
      <c r="H15" s="4" t="s">
        <v>98</v>
      </c>
      <c r="I15" s="4" t="s">
        <v>88</v>
      </c>
      <c r="J15" s="4" t="s">
        <v>30</v>
      </c>
      <c r="K15" s="4" t="s">
        <v>31</v>
      </c>
      <c r="L15" s="5">
        <v>42399.916666666664</v>
      </c>
      <c r="M15" s="5">
        <v>42400.25</v>
      </c>
      <c r="N15" s="5">
        <v>42400.25</v>
      </c>
      <c r="O15" s="4" t="s">
        <v>32</v>
      </c>
      <c r="P15" s="4" t="s">
        <v>33</v>
      </c>
      <c r="Q15" s="4" t="s">
        <v>34</v>
      </c>
      <c r="R15" s="6" t="s">
        <v>77</v>
      </c>
      <c r="S15" s="6" t="s">
        <v>77</v>
      </c>
      <c r="T15" s="4" t="s">
        <v>36</v>
      </c>
      <c r="U15" s="4" t="s">
        <v>37</v>
      </c>
      <c r="V15" s="4" t="s">
        <v>283</v>
      </c>
      <c r="W15" s="4" t="s">
        <v>37</v>
      </c>
      <c r="X15" s="4" t="s">
        <v>37</v>
      </c>
      <c r="Y15" s="4" t="s">
        <v>37</v>
      </c>
      <c r="Z15" s="4" t="s">
        <v>53</v>
      </c>
      <c r="AA15" s="4" t="s">
        <v>179</v>
      </c>
    </row>
    <row r="16" spans="1:27" s="1" customFormat="1" x14ac:dyDescent="0.3">
      <c r="A16" s="19">
        <v>19055</v>
      </c>
      <c r="B16" s="4" t="s">
        <v>284</v>
      </c>
      <c r="C16" s="4" t="e">
        <v>#N/A</v>
      </c>
      <c r="D16" s="5">
        <v>42374.489282407405</v>
      </c>
      <c r="E16" s="5" t="s">
        <v>2080</v>
      </c>
      <c r="F16" s="4" t="s">
        <v>26</v>
      </c>
      <c r="G16" s="4" t="s">
        <v>285</v>
      </c>
      <c r="H16" s="4" t="s">
        <v>285</v>
      </c>
      <c r="I16" s="4" t="s">
        <v>42</v>
      </c>
      <c r="J16" s="4" t="s">
        <v>43</v>
      </c>
      <c r="K16" s="4" t="s">
        <v>31</v>
      </c>
      <c r="L16" s="5">
        <v>42387.833333333336</v>
      </c>
      <c r="M16" s="5">
        <v>42387.999305555553</v>
      </c>
      <c r="N16" s="5">
        <v>42387.999305555553</v>
      </c>
      <c r="O16" s="4" t="s">
        <v>32</v>
      </c>
      <c r="P16" s="4" t="s">
        <v>149</v>
      </c>
      <c r="Q16" s="4" t="s">
        <v>76</v>
      </c>
      <c r="R16" s="4" t="s">
        <v>286</v>
      </c>
      <c r="S16" s="4" t="s">
        <v>286</v>
      </c>
      <c r="T16" s="4" t="s">
        <v>37</v>
      </c>
      <c r="U16" s="4" t="s">
        <v>37</v>
      </c>
      <c r="V16" s="4" t="s">
        <v>287</v>
      </c>
      <c r="W16" s="4" t="s">
        <v>37</v>
      </c>
      <c r="X16" s="4" t="s">
        <v>37</v>
      </c>
      <c r="Y16" s="4" t="s">
        <v>36</v>
      </c>
      <c r="Z16" s="4" t="s">
        <v>178</v>
      </c>
      <c r="AA16" s="4" t="s">
        <v>45</v>
      </c>
    </row>
    <row r="17" spans="1:27" s="1" customFormat="1" x14ac:dyDescent="0.3">
      <c r="A17" s="19">
        <v>19057</v>
      </c>
      <c r="B17" s="4" t="s">
        <v>288</v>
      </c>
      <c r="C17" s="4" t="e">
        <v>#N/A</v>
      </c>
      <c r="D17" s="5">
        <v>42374.581377314818</v>
      </c>
      <c r="E17" s="5" t="s">
        <v>2080</v>
      </c>
      <c r="F17" s="4" t="s">
        <v>26</v>
      </c>
      <c r="G17" s="4" t="s">
        <v>289</v>
      </c>
      <c r="H17" s="4" t="s">
        <v>290</v>
      </c>
      <c r="I17" s="4" t="s">
        <v>118</v>
      </c>
      <c r="J17" s="4" t="s">
        <v>30</v>
      </c>
      <c r="K17" s="4" t="s">
        <v>31</v>
      </c>
      <c r="L17" s="5">
        <v>42381.916666666664</v>
      </c>
      <c r="M17" s="5">
        <v>42382.5</v>
      </c>
      <c r="N17" s="5">
        <v>42382.75</v>
      </c>
      <c r="O17" s="4" t="s">
        <v>32</v>
      </c>
      <c r="P17" s="4" t="s">
        <v>33</v>
      </c>
      <c r="Q17" s="4" t="s">
        <v>34</v>
      </c>
      <c r="R17" s="6" t="s">
        <v>77</v>
      </c>
      <c r="S17" s="4" t="s">
        <v>291</v>
      </c>
      <c r="T17" s="4" t="s">
        <v>37</v>
      </c>
      <c r="U17" s="4" t="s">
        <v>37</v>
      </c>
      <c r="V17" s="4" t="s">
        <v>292</v>
      </c>
      <c r="W17" s="4" t="s">
        <v>37</v>
      </c>
      <c r="X17" s="4" t="s">
        <v>37</v>
      </c>
      <c r="Y17" s="4" t="s">
        <v>36</v>
      </c>
      <c r="Z17" s="4" t="s">
        <v>293</v>
      </c>
      <c r="AA17" s="4" t="s">
        <v>40</v>
      </c>
    </row>
    <row r="18" spans="1:27" s="1" customFormat="1" x14ac:dyDescent="0.3">
      <c r="A18" s="19">
        <v>19062</v>
      </c>
      <c r="B18" s="4" t="s">
        <v>294</v>
      </c>
      <c r="C18" s="4" t="e">
        <v>#N/A</v>
      </c>
      <c r="D18" s="5">
        <v>42374.689270833333</v>
      </c>
      <c r="E18" s="5" t="s">
        <v>2080</v>
      </c>
      <c r="F18" s="4" t="s">
        <v>26</v>
      </c>
      <c r="G18" s="4" t="s">
        <v>295</v>
      </c>
      <c r="H18" s="4" t="s">
        <v>296</v>
      </c>
      <c r="I18" s="4" t="s">
        <v>42</v>
      </c>
      <c r="J18" s="4" t="s">
        <v>30</v>
      </c>
      <c r="K18" s="4" t="s">
        <v>31</v>
      </c>
      <c r="L18" s="5">
        <v>42387.354166666664</v>
      </c>
      <c r="M18" s="5">
        <v>42387.75</v>
      </c>
      <c r="N18" s="5">
        <v>42387.75</v>
      </c>
      <c r="O18" s="4" t="s">
        <v>32</v>
      </c>
      <c r="P18" s="4" t="s">
        <v>149</v>
      </c>
      <c r="Q18" s="4" t="s">
        <v>34</v>
      </c>
      <c r="R18" s="4" t="s">
        <v>297</v>
      </c>
      <c r="S18" s="4" t="s">
        <v>297</v>
      </c>
      <c r="T18" s="4" t="s">
        <v>36</v>
      </c>
      <c r="U18" s="4" t="s">
        <v>36</v>
      </c>
      <c r="V18" s="4" t="s">
        <v>298</v>
      </c>
      <c r="W18" s="4"/>
      <c r="X18" s="4"/>
      <c r="Y18" s="4"/>
      <c r="Z18" s="4" t="s">
        <v>39</v>
      </c>
      <c r="AA18" s="4" t="s">
        <v>179</v>
      </c>
    </row>
    <row r="19" spans="1:27" s="1" customFormat="1" x14ac:dyDescent="0.3">
      <c r="A19" s="19">
        <v>19064</v>
      </c>
      <c r="B19" s="4" t="s">
        <v>299</v>
      </c>
      <c r="C19" s="4" t="e">
        <v>#N/A</v>
      </c>
      <c r="D19" s="5">
        <v>42374.843206018515</v>
      </c>
      <c r="E19" s="5" t="s">
        <v>2080</v>
      </c>
      <c r="F19" s="4" t="s">
        <v>26</v>
      </c>
      <c r="G19" s="4" t="s">
        <v>300</v>
      </c>
      <c r="H19" s="4" t="s">
        <v>301</v>
      </c>
      <c r="I19" s="4" t="s">
        <v>203</v>
      </c>
      <c r="J19" s="4" t="s">
        <v>302</v>
      </c>
      <c r="K19" s="4" t="s">
        <v>31</v>
      </c>
      <c r="L19" s="5">
        <v>42380.583333333336</v>
      </c>
      <c r="M19" s="5">
        <v>42380.708333333336</v>
      </c>
      <c r="N19" s="5">
        <v>42380.75</v>
      </c>
      <c r="O19" s="4" t="s">
        <v>32</v>
      </c>
      <c r="P19" s="4" t="s">
        <v>149</v>
      </c>
      <c r="Q19" s="4" t="s">
        <v>76</v>
      </c>
      <c r="R19" s="6" t="s">
        <v>77</v>
      </c>
      <c r="S19" s="4" t="s">
        <v>303</v>
      </c>
      <c r="T19" s="4" t="s">
        <v>37</v>
      </c>
      <c r="U19" s="4" t="s">
        <v>37</v>
      </c>
      <c r="V19" s="4" t="s">
        <v>304</v>
      </c>
      <c r="W19" s="4" t="s">
        <v>37</v>
      </c>
      <c r="X19" s="4" t="s">
        <v>37</v>
      </c>
      <c r="Y19" s="4" t="s">
        <v>36</v>
      </c>
      <c r="Z19" s="4" t="s">
        <v>53</v>
      </c>
      <c r="AA19" s="4" t="s">
        <v>187</v>
      </c>
    </row>
    <row r="20" spans="1:27" s="1" customFormat="1" x14ac:dyDescent="0.3">
      <c r="A20" s="19">
        <v>19066</v>
      </c>
      <c r="B20" s="4" t="s">
        <v>305</v>
      </c>
      <c r="C20" s="4" t="e">
        <v>#N/A</v>
      </c>
      <c r="D20" s="5">
        <v>42375.396956018521</v>
      </c>
      <c r="E20" s="5" t="s">
        <v>2080</v>
      </c>
      <c r="F20" s="4" t="s">
        <v>26</v>
      </c>
      <c r="G20" s="4" t="s">
        <v>306</v>
      </c>
      <c r="H20" s="4" t="s">
        <v>290</v>
      </c>
      <c r="I20" s="4" t="s">
        <v>118</v>
      </c>
      <c r="J20" s="4" t="s">
        <v>30</v>
      </c>
      <c r="K20" s="4" t="s">
        <v>31</v>
      </c>
      <c r="L20" s="5">
        <v>42381.916666666664</v>
      </c>
      <c r="M20" s="5">
        <v>42382.5</v>
      </c>
      <c r="N20" s="5">
        <v>42382.75</v>
      </c>
      <c r="O20" s="4" t="s">
        <v>32</v>
      </c>
      <c r="P20" s="4" t="s">
        <v>149</v>
      </c>
      <c r="Q20" s="4" t="s">
        <v>34</v>
      </c>
      <c r="R20" s="6" t="s">
        <v>77</v>
      </c>
      <c r="S20" s="4" t="s">
        <v>307</v>
      </c>
      <c r="T20" s="4" t="s">
        <v>37</v>
      </c>
      <c r="U20" s="4" t="s">
        <v>37</v>
      </c>
      <c r="V20" s="4" t="s">
        <v>292</v>
      </c>
      <c r="W20" s="4"/>
      <c r="X20" s="4"/>
      <c r="Y20" s="4"/>
      <c r="Z20" s="4" t="s">
        <v>308</v>
      </c>
      <c r="AA20" s="4" t="s">
        <v>179</v>
      </c>
    </row>
    <row r="21" spans="1:27" s="1" customFormat="1" x14ac:dyDescent="0.3">
      <c r="A21" s="19">
        <v>19067</v>
      </c>
      <c r="B21" s="4" t="s">
        <v>309</v>
      </c>
      <c r="C21" s="4" t="e">
        <v>#N/A</v>
      </c>
      <c r="D21" s="5">
        <v>42375.482488425929</v>
      </c>
      <c r="E21" s="5" t="s">
        <v>2080</v>
      </c>
      <c r="F21" s="4" t="s">
        <v>26</v>
      </c>
      <c r="G21" s="4" t="s">
        <v>310</v>
      </c>
      <c r="H21" s="4" t="s">
        <v>310</v>
      </c>
      <c r="I21" s="4" t="s">
        <v>48</v>
      </c>
      <c r="J21" s="4" t="s">
        <v>311</v>
      </c>
      <c r="K21" s="4" t="s">
        <v>31</v>
      </c>
      <c r="L21" s="5">
        <v>42375.999305555553</v>
      </c>
      <c r="M21" s="5">
        <v>42376.166666666664</v>
      </c>
      <c r="N21" s="5">
        <v>42376.208333333336</v>
      </c>
      <c r="O21" s="4" t="s">
        <v>250</v>
      </c>
      <c r="P21" s="4" t="s">
        <v>149</v>
      </c>
      <c r="Q21" s="4" t="s">
        <v>251</v>
      </c>
      <c r="R21" s="6" t="s">
        <v>77</v>
      </c>
      <c r="S21" s="4" t="s">
        <v>312</v>
      </c>
      <c r="T21" s="4" t="s">
        <v>36</v>
      </c>
      <c r="U21" s="4" t="s">
        <v>37</v>
      </c>
      <c r="V21" s="4" t="s">
        <v>313</v>
      </c>
      <c r="W21" s="4" t="s">
        <v>37</v>
      </c>
      <c r="X21" s="4" t="s">
        <v>37</v>
      </c>
      <c r="Y21" s="4" t="s">
        <v>36</v>
      </c>
      <c r="Z21" s="4" t="s">
        <v>53</v>
      </c>
      <c r="AA21" s="4"/>
    </row>
    <row r="22" spans="1:27" s="1" customFormat="1" x14ac:dyDescent="0.3">
      <c r="A22" s="19">
        <v>19068</v>
      </c>
      <c r="B22" s="4" t="s">
        <v>314</v>
      </c>
      <c r="C22" s="4" t="e">
        <v>#N/A</v>
      </c>
      <c r="D22" s="5">
        <v>42375.490243055552</v>
      </c>
      <c r="E22" s="5" t="s">
        <v>2080</v>
      </c>
      <c r="F22" s="4" t="s">
        <v>26</v>
      </c>
      <c r="G22" s="4" t="s">
        <v>315</v>
      </c>
      <c r="H22" s="4" t="s">
        <v>290</v>
      </c>
      <c r="I22" s="4" t="s">
        <v>118</v>
      </c>
      <c r="J22" s="4" t="s">
        <v>30</v>
      </c>
      <c r="K22" s="4" t="s">
        <v>31</v>
      </c>
      <c r="L22" s="5">
        <v>42382.916666666664</v>
      </c>
      <c r="M22" s="5">
        <v>42383.125</v>
      </c>
      <c r="N22" s="5">
        <v>42383.75</v>
      </c>
      <c r="O22" s="4" t="s">
        <v>32</v>
      </c>
      <c r="P22" s="4" t="s">
        <v>149</v>
      </c>
      <c r="Q22" s="4" t="s">
        <v>76</v>
      </c>
      <c r="R22" s="6" t="s">
        <v>77</v>
      </c>
      <c r="S22" s="4" t="s">
        <v>291</v>
      </c>
      <c r="T22" s="4" t="s">
        <v>37</v>
      </c>
      <c r="U22" s="4" t="s">
        <v>37</v>
      </c>
      <c r="V22" s="4" t="s">
        <v>292</v>
      </c>
      <c r="W22" s="4" t="s">
        <v>37</v>
      </c>
      <c r="X22" s="4" t="s">
        <v>37</v>
      </c>
      <c r="Y22" s="4" t="s">
        <v>36</v>
      </c>
      <c r="Z22" s="4" t="s">
        <v>316</v>
      </c>
      <c r="AA22" s="4" t="s">
        <v>40</v>
      </c>
    </row>
    <row r="23" spans="1:27" s="1" customFormat="1" x14ac:dyDescent="0.3">
      <c r="A23" s="19">
        <v>19069</v>
      </c>
      <c r="B23" s="4" t="s">
        <v>317</v>
      </c>
      <c r="C23" s="4" t="e">
        <v>#N/A</v>
      </c>
      <c r="D23" s="5">
        <v>42375.509918981479</v>
      </c>
      <c r="E23" s="5" t="s">
        <v>2080</v>
      </c>
      <c r="F23" s="4" t="s">
        <v>26</v>
      </c>
      <c r="G23" s="4" t="s">
        <v>27</v>
      </c>
      <c r="H23" s="4" t="s">
        <v>28</v>
      </c>
      <c r="I23" s="4" t="s">
        <v>80</v>
      </c>
      <c r="J23" s="4" t="s">
        <v>30</v>
      </c>
      <c r="K23" s="4" t="s">
        <v>31</v>
      </c>
      <c r="L23" s="5">
        <v>42390</v>
      </c>
      <c r="M23" s="5">
        <v>42390.75</v>
      </c>
      <c r="N23" s="5">
        <v>42390.75</v>
      </c>
      <c r="O23" s="4" t="s">
        <v>32</v>
      </c>
      <c r="P23" s="4" t="s">
        <v>33</v>
      </c>
      <c r="Q23" s="4" t="s">
        <v>34</v>
      </c>
      <c r="R23" s="4" t="s">
        <v>318</v>
      </c>
      <c r="S23" s="4" t="s">
        <v>319</v>
      </c>
      <c r="T23" s="4" t="s">
        <v>36</v>
      </c>
      <c r="U23" s="4" t="s">
        <v>37</v>
      </c>
      <c r="V23" s="4" t="s">
        <v>320</v>
      </c>
      <c r="W23" s="4" t="s">
        <v>37</v>
      </c>
      <c r="X23" s="4" t="s">
        <v>37</v>
      </c>
      <c r="Y23" s="4" t="s">
        <v>36</v>
      </c>
      <c r="Z23" s="4" t="s">
        <v>321</v>
      </c>
      <c r="AA23" s="4" t="s">
        <v>40</v>
      </c>
    </row>
    <row r="24" spans="1:27" s="1" customFormat="1" x14ac:dyDescent="0.3">
      <c r="A24" s="19">
        <v>19070</v>
      </c>
      <c r="B24" s="4" t="s">
        <v>322</v>
      </c>
      <c r="C24" s="4" t="e">
        <v>#N/A</v>
      </c>
      <c r="D24" s="5">
        <v>42375.522280092591</v>
      </c>
      <c r="E24" s="5" t="s">
        <v>2080</v>
      </c>
      <c r="F24" s="4" t="s">
        <v>26</v>
      </c>
      <c r="G24" s="4" t="s">
        <v>168</v>
      </c>
      <c r="H24" s="4" t="s">
        <v>168</v>
      </c>
      <c r="I24" s="4" t="s">
        <v>169</v>
      </c>
      <c r="J24" s="4" t="s">
        <v>30</v>
      </c>
      <c r="K24" s="4" t="s">
        <v>31</v>
      </c>
      <c r="L24" s="5">
        <v>42389.875</v>
      </c>
      <c r="M24" s="5">
        <v>42390.166666666664</v>
      </c>
      <c r="N24" s="5">
        <v>42390.208333333336</v>
      </c>
      <c r="O24" s="4" t="s">
        <v>32</v>
      </c>
      <c r="P24" s="4" t="s">
        <v>33</v>
      </c>
      <c r="Q24" s="4" t="s">
        <v>34</v>
      </c>
      <c r="R24" s="6" t="s">
        <v>77</v>
      </c>
      <c r="S24" s="4" t="s">
        <v>323</v>
      </c>
      <c r="T24" s="4" t="s">
        <v>36</v>
      </c>
      <c r="U24" s="4" t="s">
        <v>37</v>
      </c>
      <c r="V24" s="4" t="s">
        <v>171</v>
      </c>
      <c r="W24" s="4" t="s">
        <v>37</v>
      </c>
      <c r="X24" s="4" t="s">
        <v>37</v>
      </c>
      <c r="Y24" s="4" t="s">
        <v>36</v>
      </c>
      <c r="Z24" s="4" t="s">
        <v>53</v>
      </c>
      <c r="AA24" s="4" t="s">
        <v>93</v>
      </c>
    </row>
    <row r="25" spans="1:27" s="1" customFormat="1" x14ac:dyDescent="0.3">
      <c r="A25" s="19">
        <v>19071</v>
      </c>
      <c r="B25" s="4" t="s">
        <v>324</v>
      </c>
      <c r="C25" s="4" t="e">
        <v>#N/A</v>
      </c>
      <c r="D25" s="5">
        <v>42375.618136574078</v>
      </c>
      <c r="E25" s="5" t="s">
        <v>2080</v>
      </c>
      <c r="F25" s="4" t="s">
        <v>26</v>
      </c>
      <c r="G25" s="4" t="s">
        <v>27</v>
      </c>
      <c r="H25" s="4" t="s">
        <v>325</v>
      </c>
      <c r="I25" s="4" t="s">
        <v>48</v>
      </c>
      <c r="J25" s="4" t="s">
        <v>30</v>
      </c>
      <c r="K25" s="4" t="s">
        <v>31</v>
      </c>
      <c r="L25" s="5">
        <v>42387.375</v>
      </c>
      <c r="M25" s="5">
        <v>42387.75</v>
      </c>
      <c r="N25" s="5">
        <v>42387.75</v>
      </c>
      <c r="O25" s="4" t="s">
        <v>32</v>
      </c>
      <c r="P25" s="4" t="s">
        <v>149</v>
      </c>
      <c r="Q25" s="4" t="s">
        <v>34</v>
      </c>
      <c r="R25" s="4" t="s">
        <v>326</v>
      </c>
      <c r="S25" s="4" t="s">
        <v>326</v>
      </c>
      <c r="T25" s="4" t="s">
        <v>36</v>
      </c>
      <c r="U25" s="4" t="s">
        <v>36</v>
      </c>
      <c r="V25" s="4" t="s">
        <v>327</v>
      </c>
      <c r="W25" s="4" t="s">
        <v>37</v>
      </c>
      <c r="X25" s="4" t="s">
        <v>37</v>
      </c>
      <c r="Y25" s="4" t="s">
        <v>36</v>
      </c>
      <c r="Z25" s="4" t="s">
        <v>328</v>
      </c>
      <c r="AA25" s="4" t="s">
        <v>179</v>
      </c>
    </row>
    <row r="26" spans="1:27" s="1" customFormat="1" x14ac:dyDescent="0.3">
      <c r="A26" s="19">
        <v>19072</v>
      </c>
      <c r="B26" s="4" t="s">
        <v>329</v>
      </c>
      <c r="C26" s="4">
        <v>0</v>
      </c>
      <c r="D26" s="5">
        <v>42375.656331018516</v>
      </c>
      <c r="E26" s="5" t="s">
        <v>2080</v>
      </c>
      <c r="F26" s="4" t="s">
        <v>26</v>
      </c>
      <c r="G26" s="4" t="s">
        <v>330</v>
      </c>
      <c r="H26" s="4" t="s">
        <v>330</v>
      </c>
      <c r="I26" s="4" t="s">
        <v>203</v>
      </c>
      <c r="J26" s="4" t="s">
        <v>331</v>
      </c>
      <c r="K26" s="4" t="s">
        <v>31</v>
      </c>
      <c r="L26" s="5">
        <v>42376.875</v>
      </c>
      <c r="M26" s="5">
        <v>42377.083333333336</v>
      </c>
      <c r="N26" s="5">
        <v>42377.125</v>
      </c>
      <c r="O26" s="4" t="s">
        <v>250</v>
      </c>
      <c r="P26" s="4" t="s">
        <v>33</v>
      </c>
      <c r="Q26" s="4" t="s">
        <v>50</v>
      </c>
      <c r="R26" s="4" t="s">
        <v>332</v>
      </c>
      <c r="S26" s="4" t="s">
        <v>332</v>
      </c>
      <c r="T26" s="4" t="s">
        <v>37</v>
      </c>
      <c r="U26" s="4" t="s">
        <v>37</v>
      </c>
      <c r="V26" s="4" t="s">
        <v>333</v>
      </c>
      <c r="W26" s="4" t="s">
        <v>37</v>
      </c>
      <c r="X26" s="4" t="s">
        <v>37</v>
      </c>
      <c r="Y26" s="4" t="s">
        <v>36</v>
      </c>
      <c r="Z26" s="4" t="s">
        <v>53</v>
      </c>
      <c r="AA26" s="4" t="s">
        <v>179</v>
      </c>
    </row>
    <row r="27" spans="1:27" s="1" customFormat="1" x14ac:dyDescent="0.3">
      <c r="A27" s="19">
        <v>19073</v>
      </c>
      <c r="B27" s="4" t="s">
        <v>334</v>
      </c>
      <c r="C27" s="4" t="e">
        <v>#N/A</v>
      </c>
      <c r="D27" s="5">
        <v>42375.682488425926</v>
      </c>
      <c r="E27" s="5" t="s">
        <v>2080</v>
      </c>
      <c r="F27" s="4" t="s">
        <v>26</v>
      </c>
      <c r="G27" s="4" t="s">
        <v>168</v>
      </c>
      <c r="H27" s="4" t="s">
        <v>168</v>
      </c>
      <c r="I27" s="4" t="s">
        <v>169</v>
      </c>
      <c r="J27" s="4" t="s">
        <v>30</v>
      </c>
      <c r="K27" s="4" t="s">
        <v>31</v>
      </c>
      <c r="L27" s="5">
        <v>42391.875</v>
      </c>
      <c r="M27" s="5">
        <v>42392.166666666664</v>
      </c>
      <c r="N27" s="5">
        <v>42392.208333333336</v>
      </c>
      <c r="O27" s="4" t="s">
        <v>32</v>
      </c>
      <c r="P27" s="4" t="s">
        <v>33</v>
      </c>
      <c r="Q27" s="4" t="s">
        <v>34</v>
      </c>
      <c r="R27" s="6" t="s">
        <v>77</v>
      </c>
      <c r="S27" s="4" t="s">
        <v>323</v>
      </c>
      <c r="T27" s="4" t="s">
        <v>36</v>
      </c>
      <c r="U27" s="4" t="s">
        <v>37</v>
      </c>
      <c r="V27" s="4" t="s">
        <v>171</v>
      </c>
      <c r="W27" s="4" t="s">
        <v>37</v>
      </c>
      <c r="X27" s="4" t="s">
        <v>37</v>
      </c>
      <c r="Y27" s="4" t="s">
        <v>36</v>
      </c>
      <c r="Z27" s="4" t="s">
        <v>53</v>
      </c>
      <c r="AA27" s="4" t="s">
        <v>93</v>
      </c>
    </row>
    <row r="28" spans="1:27" s="1" customFormat="1" x14ac:dyDescent="0.3">
      <c r="A28" s="19">
        <v>19074</v>
      </c>
      <c r="B28" s="4" t="s">
        <v>335</v>
      </c>
      <c r="C28" s="4" t="e">
        <v>#N/A</v>
      </c>
      <c r="D28" s="5">
        <v>42375.718923611108</v>
      </c>
      <c r="E28" s="5" t="s">
        <v>2080</v>
      </c>
      <c r="F28" s="4" t="s">
        <v>26</v>
      </c>
      <c r="G28" s="4" t="s">
        <v>336</v>
      </c>
      <c r="H28" s="4" t="s">
        <v>336</v>
      </c>
      <c r="I28" s="4" t="s">
        <v>203</v>
      </c>
      <c r="J28" s="4" t="s">
        <v>49</v>
      </c>
      <c r="K28" s="4" t="s">
        <v>31</v>
      </c>
      <c r="L28" s="5">
        <v>42376.833333333336</v>
      </c>
      <c r="M28" s="5">
        <v>42376.875</v>
      </c>
      <c r="N28" s="5">
        <v>42376.916666666664</v>
      </c>
      <c r="O28" s="4" t="s">
        <v>250</v>
      </c>
      <c r="P28" s="4" t="s">
        <v>89</v>
      </c>
      <c r="Q28" s="4" t="s">
        <v>251</v>
      </c>
      <c r="R28" s="4" t="s">
        <v>337</v>
      </c>
      <c r="S28" s="4" t="s">
        <v>337</v>
      </c>
      <c r="T28" s="4" t="s">
        <v>36</v>
      </c>
      <c r="U28" s="4" t="s">
        <v>36</v>
      </c>
      <c r="V28" s="4" t="s">
        <v>338</v>
      </c>
      <c r="W28" s="4" t="s">
        <v>37</v>
      </c>
      <c r="X28" s="4" t="s">
        <v>37</v>
      </c>
      <c r="Y28" s="4" t="s">
        <v>36</v>
      </c>
      <c r="Z28" s="4" t="s">
        <v>339</v>
      </c>
      <c r="AA28" s="4"/>
    </row>
    <row r="29" spans="1:27" s="1" customFormat="1" x14ac:dyDescent="0.3">
      <c r="A29" s="19">
        <v>19075</v>
      </c>
      <c r="B29" s="4" t="s">
        <v>340</v>
      </c>
      <c r="C29" s="4" t="e">
        <v>#N/A</v>
      </c>
      <c r="D29" s="5">
        <v>42375.735925925925</v>
      </c>
      <c r="E29" s="5" t="s">
        <v>2080</v>
      </c>
      <c r="F29" s="4" t="s">
        <v>26</v>
      </c>
      <c r="G29" s="4" t="s">
        <v>341</v>
      </c>
      <c r="H29" s="4" t="s">
        <v>342</v>
      </c>
      <c r="I29" s="4" t="s">
        <v>68</v>
      </c>
      <c r="J29" s="4" t="s">
        <v>343</v>
      </c>
      <c r="K29" s="4" t="s">
        <v>31</v>
      </c>
      <c r="L29" s="5">
        <v>42386.333333333336</v>
      </c>
      <c r="M29" s="5">
        <v>42386.5</v>
      </c>
      <c r="N29" s="5">
        <v>42387.208333333336</v>
      </c>
      <c r="O29" s="4" t="s">
        <v>32</v>
      </c>
      <c r="P29" s="4" t="s">
        <v>33</v>
      </c>
      <c r="Q29" s="4" t="s">
        <v>76</v>
      </c>
      <c r="R29" s="6" t="s">
        <v>77</v>
      </c>
      <c r="S29" s="4" t="s">
        <v>344</v>
      </c>
      <c r="T29" s="4" t="s">
        <v>37</v>
      </c>
      <c r="U29" s="4" t="s">
        <v>37</v>
      </c>
      <c r="V29" s="4" t="s">
        <v>345</v>
      </c>
      <c r="W29" s="4" t="s">
        <v>37</v>
      </c>
      <c r="X29" s="4" t="s">
        <v>37</v>
      </c>
      <c r="Y29" s="4" t="s">
        <v>36</v>
      </c>
      <c r="Z29" s="4" t="s">
        <v>53</v>
      </c>
      <c r="AA29" s="4" t="s">
        <v>346</v>
      </c>
    </row>
    <row r="30" spans="1:27" s="1" customFormat="1" x14ac:dyDescent="0.3">
      <c r="A30" s="19">
        <v>19076</v>
      </c>
      <c r="B30" s="4" t="s">
        <v>347</v>
      </c>
      <c r="C30" s="4" t="e">
        <v>#N/A</v>
      </c>
      <c r="D30" s="5">
        <v>42375.746331018519</v>
      </c>
      <c r="E30" s="5" t="s">
        <v>2080</v>
      </c>
      <c r="F30" s="4" t="s">
        <v>26</v>
      </c>
      <c r="G30" s="4" t="s">
        <v>348</v>
      </c>
      <c r="H30" s="4" t="s">
        <v>349</v>
      </c>
      <c r="I30" s="4" t="s">
        <v>88</v>
      </c>
      <c r="J30" s="4" t="s">
        <v>30</v>
      </c>
      <c r="K30" s="4" t="s">
        <v>31</v>
      </c>
      <c r="L30" s="5">
        <v>42382.916666666664</v>
      </c>
      <c r="M30" s="5">
        <v>42383.145833333336</v>
      </c>
      <c r="N30" s="5">
        <v>42383.208333333336</v>
      </c>
      <c r="O30" s="4" t="s">
        <v>32</v>
      </c>
      <c r="P30" s="4" t="s">
        <v>33</v>
      </c>
      <c r="Q30" s="4" t="s">
        <v>34</v>
      </c>
      <c r="R30" s="4" t="s">
        <v>350</v>
      </c>
      <c r="S30" s="4" t="s">
        <v>350</v>
      </c>
      <c r="T30" s="4" t="s">
        <v>36</v>
      </c>
      <c r="U30" s="4" t="s">
        <v>37</v>
      </c>
      <c r="V30" s="4" t="s">
        <v>351</v>
      </c>
      <c r="W30" s="4" t="s">
        <v>37</v>
      </c>
      <c r="X30" s="4" t="s">
        <v>37</v>
      </c>
      <c r="Y30" s="4" t="s">
        <v>36</v>
      </c>
      <c r="Z30" s="4" t="s">
        <v>53</v>
      </c>
      <c r="AA30" s="4" t="s">
        <v>179</v>
      </c>
    </row>
    <row r="31" spans="1:27" s="1" customFormat="1" x14ac:dyDescent="0.3">
      <c r="A31" s="19">
        <v>19079</v>
      </c>
      <c r="B31" s="4" t="s">
        <v>352</v>
      </c>
      <c r="C31" s="4" t="e">
        <v>#N/A</v>
      </c>
      <c r="D31" s="5">
        <v>42376.364988425928</v>
      </c>
      <c r="E31" s="5" t="s">
        <v>2080</v>
      </c>
      <c r="F31" s="4" t="s">
        <v>26</v>
      </c>
      <c r="G31" s="4" t="s">
        <v>168</v>
      </c>
      <c r="H31" s="4" t="s">
        <v>168</v>
      </c>
      <c r="I31" s="4" t="s">
        <v>221</v>
      </c>
      <c r="J31" s="4" t="s">
        <v>30</v>
      </c>
      <c r="K31" s="4" t="s">
        <v>31</v>
      </c>
      <c r="L31" s="5">
        <v>42391.875</v>
      </c>
      <c r="M31" s="5">
        <v>42392.166666666664</v>
      </c>
      <c r="N31" s="5">
        <v>42392.208333333336</v>
      </c>
      <c r="O31" s="4" t="s">
        <v>32</v>
      </c>
      <c r="P31" s="4" t="s">
        <v>33</v>
      </c>
      <c r="Q31" s="4" t="s">
        <v>34</v>
      </c>
      <c r="R31" s="6" t="s">
        <v>77</v>
      </c>
      <c r="S31" s="4" t="s">
        <v>323</v>
      </c>
      <c r="T31" s="4" t="s">
        <v>36</v>
      </c>
      <c r="U31" s="4" t="s">
        <v>37</v>
      </c>
      <c r="V31" s="4" t="s">
        <v>171</v>
      </c>
      <c r="W31" s="4" t="s">
        <v>37</v>
      </c>
      <c r="X31" s="4" t="s">
        <v>37</v>
      </c>
      <c r="Y31" s="4" t="s">
        <v>36</v>
      </c>
      <c r="Z31" s="4" t="s">
        <v>53</v>
      </c>
      <c r="AA31" s="4" t="s">
        <v>93</v>
      </c>
    </row>
    <row r="32" spans="1:27" s="1" customFormat="1" x14ac:dyDescent="0.3">
      <c r="A32" s="19">
        <v>19080</v>
      </c>
      <c r="B32" s="4" t="s">
        <v>353</v>
      </c>
      <c r="C32" s="4" t="e">
        <v>#N/A</v>
      </c>
      <c r="D32" s="5">
        <v>42376.376284722224</v>
      </c>
      <c r="E32" s="5" t="s">
        <v>2080</v>
      </c>
      <c r="F32" s="4" t="s">
        <v>26</v>
      </c>
      <c r="G32" s="4" t="s">
        <v>354</v>
      </c>
      <c r="H32" s="4" t="s">
        <v>354</v>
      </c>
      <c r="I32" s="4" t="s">
        <v>48</v>
      </c>
      <c r="J32" s="4" t="s">
        <v>30</v>
      </c>
      <c r="K32" s="4" t="s">
        <v>31</v>
      </c>
      <c r="L32" s="5">
        <v>42387</v>
      </c>
      <c r="M32" s="5">
        <v>42397.999305555553</v>
      </c>
      <c r="N32" s="5">
        <v>42398.999305555553</v>
      </c>
      <c r="O32" s="4" t="s">
        <v>32</v>
      </c>
      <c r="P32" s="4" t="s">
        <v>149</v>
      </c>
      <c r="Q32" s="4" t="s">
        <v>34</v>
      </c>
      <c r="R32" s="4" t="s">
        <v>355</v>
      </c>
      <c r="S32" s="4" t="s">
        <v>355</v>
      </c>
      <c r="T32" s="4" t="s">
        <v>37</v>
      </c>
      <c r="U32" s="4" t="s">
        <v>37</v>
      </c>
      <c r="V32" s="4" t="s">
        <v>356</v>
      </c>
      <c r="W32" s="4" t="s">
        <v>37</v>
      </c>
      <c r="X32" s="4" t="s">
        <v>37</v>
      </c>
      <c r="Y32" s="4" t="s">
        <v>37</v>
      </c>
      <c r="Z32" s="4" t="s">
        <v>53</v>
      </c>
      <c r="AA32" s="4" t="s">
        <v>179</v>
      </c>
    </row>
    <row r="33" spans="1:27" s="1" customFormat="1" x14ac:dyDescent="0.3">
      <c r="A33" s="19">
        <v>19081</v>
      </c>
      <c r="B33" s="4" t="s">
        <v>273</v>
      </c>
      <c r="C33" s="4" t="e">
        <v>#N/A</v>
      </c>
      <c r="D33" s="5">
        <v>42376.384016203701</v>
      </c>
      <c r="E33" s="5" t="s">
        <v>2080</v>
      </c>
      <c r="F33" s="4" t="s">
        <v>26</v>
      </c>
      <c r="G33" s="4" t="s">
        <v>274</v>
      </c>
      <c r="H33" s="4" t="s">
        <v>274</v>
      </c>
      <c r="I33" s="4" t="s">
        <v>208</v>
      </c>
      <c r="J33" s="4" t="s">
        <v>357</v>
      </c>
      <c r="K33" s="4" t="s">
        <v>31</v>
      </c>
      <c r="L33" s="5">
        <v>42400.000694444447</v>
      </c>
      <c r="M33" s="5">
        <v>42400.208333333336</v>
      </c>
      <c r="N33" s="5">
        <v>42400.25</v>
      </c>
      <c r="O33" s="4" t="s">
        <v>32</v>
      </c>
      <c r="P33" s="4" t="s">
        <v>33</v>
      </c>
      <c r="Q33" s="4" t="s">
        <v>50</v>
      </c>
      <c r="R33" s="6" t="s">
        <v>77</v>
      </c>
      <c r="S33" s="4" t="s">
        <v>282</v>
      </c>
      <c r="T33" s="4" t="s">
        <v>36</v>
      </c>
      <c r="U33" s="4" t="s">
        <v>37</v>
      </c>
      <c r="V33" s="4" t="s">
        <v>276</v>
      </c>
      <c r="W33" s="4" t="s">
        <v>37</v>
      </c>
      <c r="X33" s="4" t="s">
        <v>37</v>
      </c>
      <c r="Y33" s="4" t="s">
        <v>36</v>
      </c>
      <c r="Z33" s="4" t="s">
        <v>53</v>
      </c>
      <c r="AA33" s="4" t="s">
        <v>358</v>
      </c>
    </row>
    <row r="34" spans="1:27" s="1" customFormat="1" x14ac:dyDescent="0.3">
      <c r="A34" s="19">
        <v>19082</v>
      </c>
      <c r="B34" s="4" t="s">
        <v>359</v>
      </c>
      <c r="C34" s="4" t="e">
        <v>#N/A</v>
      </c>
      <c r="D34" s="5">
        <v>42376.398530092592</v>
      </c>
      <c r="E34" s="5" t="s">
        <v>2080</v>
      </c>
      <c r="F34" s="4" t="s">
        <v>26</v>
      </c>
      <c r="G34" s="4" t="s">
        <v>224</v>
      </c>
      <c r="H34" s="4" t="s">
        <v>224</v>
      </c>
      <c r="I34" s="4" t="s">
        <v>216</v>
      </c>
      <c r="J34" s="4" t="s">
        <v>311</v>
      </c>
      <c r="K34" s="4" t="s">
        <v>31</v>
      </c>
      <c r="L34" s="5">
        <v>42390.916666666664</v>
      </c>
      <c r="M34" s="5">
        <v>42391.208333333336</v>
      </c>
      <c r="N34" s="5">
        <v>42391.25</v>
      </c>
      <c r="O34" s="4" t="s">
        <v>32</v>
      </c>
      <c r="P34" s="4" t="s">
        <v>33</v>
      </c>
      <c r="Q34" s="4" t="s">
        <v>251</v>
      </c>
      <c r="R34" s="6" t="s">
        <v>77</v>
      </c>
      <c r="S34" s="4" t="s">
        <v>360</v>
      </c>
      <c r="T34" s="4" t="s">
        <v>37</v>
      </c>
      <c r="U34" s="4" t="s">
        <v>37</v>
      </c>
      <c r="V34" s="4" t="s">
        <v>361</v>
      </c>
      <c r="W34" s="4" t="s">
        <v>37</v>
      </c>
      <c r="X34" s="4" t="s">
        <v>37</v>
      </c>
      <c r="Y34" s="4" t="s">
        <v>36</v>
      </c>
      <c r="Z34" s="4" t="s">
        <v>362</v>
      </c>
      <c r="AA34" s="4"/>
    </row>
    <row r="35" spans="1:27" s="1" customFormat="1" x14ac:dyDescent="0.3">
      <c r="A35" s="19">
        <v>19084</v>
      </c>
      <c r="B35" s="4" t="s">
        <v>363</v>
      </c>
      <c r="C35" s="4" t="e">
        <v>#N/A</v>
      </c>
      <c r="D35" s="5">
        <v>42376.406701388885</v>
      </c>
      <c r="E35" s="5" t="s">
        <v>2080</v>
      </c>
      <c r="F35" s="4" t="s">
        <v>26</v>
      </c>
      <c r="G35" s="4" t="s">
        <v>244</v>
      </c>
      <c r="H35" s="4" t="s">
        <v>290</v>
      </c>
      <c r="I35" s="4" t="s">
        <v>118</v>
      </c>
      <c r="J35" s="4" t="s">
        <v>30</v>
      </c>
      <c r="K35" s="4" t="s">
        <v>31</v>
      </c>
      <c r="L35" s="5">
        <v>42390.916666666664</v>
      </c>
      <c r="M35" s="5">
        <v>42391.208333333336</v>
      </c>
      <c r="N35" s="5">
        <v>42391.25</v>
      </c>
      <c r="O35" s="4" t="s">
        <v>32</v>
      </c>
      <c r="P35" s="4" t="s">
        <v>33</v>
      </c>
      <c r="Q35" s="4" t="s">
        <v>50</v>
      </c>
      <c r="R35" s="6" t="s">
        <v>77</v>
      </c>
      <c r="S35" s="4" t="s">
        <v>364</v>
      </c>
      <c r="T35" s="4" t="s">
        <v>36</v>
      </c>
      <c r="U35" s="4" t="s">
        <v>37</v>
      </c>
      <c r="V35" s="4" t="s">
        <v>365</v>
      </c>
      <c r="W35" s="4" t="s">
        <v>37</v>
      </c>
      <c r="X35" s="4" t="s">
        <v>37</v>
      </c>
      <c r="Y35" s="4" t="s">
        <v>36</v>
      </c>
      <c r="Z35" s="4" t="s">
        <v>53</v>
      </c>
      <c r="AA35" s="4" t="s">
        <v>179</v>
      </c>
    </row>
    <row r="36" spans="1:27" s="1" customFormat="1" x14ac:dyDescent="0.3">
      <c r="A36" s="19">
        <v>19085</v>
      </c>
      <c r="B36" s="4" t="s">
        <v>366</v>
      </c>
      <c r="C36" s="4" t="e">
        <v>#N/A</v>
      </c>
      <c r="D36" s="5">
        <v>42376.425983796296</v>
      </c>
      <c r="E36" s="5" t="s">
        <v>2080</v>
      </c>
      <c r="F36" s="4" t="s">
        <v>26</v>
      </c>
      <c r="G36" s="4" t="s">
        <v>244</v>
      </c>
      <c r="H36" s="4" t="s">
        <v>290</v>
      </c>
      <c r="I36" s="4" t="s">
        <v>118</v>
      </c>
      <c r="J36" s="4" t="s">
        <v>30</v>
      </c>
      <c r="K36" s="4" t="s">
        <v>31</v>
      </c>
      <c r="L36" s="5">
        <v>42390.916666666664</v>
      </c>
      <c r="M36" s="5">
        <v>42391.208333333336</v>
      </c>
      <c r="N36" s="5">
        <v>42391.25</v>
      </c>
      <c r="O36" s="4" t="s">
        <v>32</v>
      </c>
      <c r="P36" s="4" t="s">
        <v>33</v>
      </c>
      <c r="Q36" s="4" t="s">
        <v>50</v>
      </c>
      <c r="R36" s="6" t="s">
        <v>77</v>
      </c>
      <c r="S36" s="4" t="s">
        <v>364</v>
      </c>
      <c r="T36" s="4" t="s">
        <v>36</v>
      </c>
      <c r="U36" s="4" t="s">
        <v>37</v>
      </c>
      <c r="V36" s="4" t="s">
        <v>365</v>
      </c>
      <c r="W36" s="4" t="s">
        <v>37</v>
      </c>
      <c r="X36" s="4" t="s">
        <v>37</v>
      </c>
      <c r="Y36" s="4" t="s">
        <v>36</v>
      </c>
      <c r="Z36" s="4" t="s">
        <v>53</v>
      </c>
      <c r="AA36" s="4" t="s">
        <v>179</v>
      </c>
    </row>
    <row r="37" spans="1:27" s="1" customFormat="1" x14ac:dyDescent="0.3">
      <c r="A37" s="19">
        <v>19086</v>
      </c>
      <c r="B37" s="4" t="s">
        <v>367</v>
      </c>
      <c r="C37" s="4" t="e">
        <v>#N/A</v>
      </c>
      <c r="D37" s="5">
        <v>42376.460474537038</v>
      </c>
      <c r="E37" s="5" t="s">
        <v>2080</v>
      </c>
      <c r="F37" s="4" t="s">
        <v>26</v>
      </c>
      <c r="G37" s="4" t="s">
        <v>310</v>
      </c>
      <c r="H37" s="4" t="s">
        <v>368</v>
      </c>
      <c r="I37" s="4" t="s">
        <v>161</v>
      </c>
      <c r="J37" s="4" t="s">
        <v>162</v>
      </c>
      <c r="K37" s="4" t="s">
        <v>31</v>
      </c>
      <c r="L37" s="5">
        <v>42381.458333333336</v>
      </c>
      <c r="M37" s="5">
        <v>42381.541666666664</v>
      </c>
      <c r="N37" s="5">
        <v>42381.583333333336</v>
      </c>
      <c r="O37" s="4" t="s">
        <v>32</v>
      </c>
      <c r="P37" s="4" t="s">
        <v>149</v>
      </c>
      <c r="Q37" s="4" t="s">
        <v>34</v>
      </c>
      <c r="R37" s="6" t="s">
        <v>77</v>
      </c>
      <c r="S37" s="4" t="s">
        <v>39</v>
      </c>
      <c r="T37" s="4" t="s">
        <v>37</v>
      </c>
      <c r="U37" s="4" t="s">
        <v>37</v>
      </c>
      <c r="V37" s="4" t="s">
        <v>369</v>
      </c>
      <c r="W37" s="4" t="s">
        <v>37</v>
      </c>
      <c r="X37" s="4" t="s">
        <v>37</v>
      </c>
      <c r="Y37" s="4" t="s">
        <v>36</v>
      </c>
      <c r="Z37" s="4" t="s">
        <v>53</v>
      </c>
      <c r="AA37" s="4"/>
    </row>
    <row r="38" spans="1:27" s="1" customFormat="1" x14ac:dyDescent="0.3">
      <c r="A38" s="19">
        <v>19089</v>
      </c>
      <c r="B38" s="4" t="s">
        <v>370</v>
      </c>
      <c r="C38" s="4" t="e">
        <v>#N/A</v>
      </c>
      <c r="D38" s="5">
        <v>42376.64949074074</v>
      </c>
      <c r="E38" s="5" t="s">
        <v>2080</v>
      </c>
      <c r="F38" s="4" t="s">
        <v>26</v>
      </c>
      <c r="G38" s="4" t="s">
        <v>146</v>
      </c>
      <c r="H38" s="4" t="s">
        <v>147</v>
      </c>
      <c r="I38" s="4" t="s">
        <v>42</v>
      </c>
      <c r="J38" s="4" t="s">
        <v>148</v>
      </c>
      <c r="K38" s="4" t="s">
        <v>31</v>
      </c>
      <c r="L38" s="5">
        <v>42382.916666666664</v>
      </c>
      <c r="M38" s="5">
        <v>42383.041666666664</v>
      </c>
      <c r="N38" s="5">
        <v>42383.083333333336</v>
      </c>
      <c r="O38" s="4" t="s">
        <v>32</v>
      </c>
      <c r="P38" s="4" t="s">
        <v>149</v>
      </c>
      <c r="Q38" s="4" t="s">
        <v>76</v>
      </c>
      <c r="R38" s="4" t="s">
        <v>371</v>
      </c>
      <c r="S38" s="4" t="s">
        <v>371</v>
      </c>
      <c r="T38" s="4" t="s">
        <v>37</v>
      </c>
      <c r="U38" s="4" t="s">
        <v>37</v>
      </c>
      <c r="V38" s="4" t="s">
        <v>372</v>
      </c>
      <c r="W38" s="4" t="s">
        <v>37</v>
      </c>
      <c r="X38" s="4" t="s">
        <v>37</v>
      </c>
      <c r="Y38" s="4" t="s">
        <v>36</v>
      </c>
      <c r="Z38" s="4" t="s">
        <v>53</v>
      </c>
      <c r="AA38" s="4"/>
    </row>
    <row r="39" spans="1:27" s="1" customFormat="1" x14ac:dyDescent="0.3">
      <c r="A39" s="19">
        <v>19090</v>
      </c>
      <c r="B39" s="4" t="s">
        <v>373</v>
      </c>
      <c r="C39" s="4">
        <v>0</v>
      </c>
      <c r="D39" s="5">
        <v>42376.656643518516</v>
      </c>
      <c r="E39" s="5" t="s">
        <v>2080</v>
      </c>
      <c r="F39" s="4" t="s">
        <v>26</v>
      </c>
      <c r="G39" s="4" t="s">
        <v>374</v>
      </c>
      <c r="H39" s="4" t="s">
        <v>375</v>
      </c>
      <c r="I39" s="4" t="s">
        <v>48</v>
      </c>
      <c r="J39" s="4" t="s">
        <v>30</v>
      </c>
      <c r="K39" s="4" t="s">
        <v>31</v>
      </c>
      <c r="L39" s="5">
        <v>42398.916666666664</v>
      </c>
      <c r="M39" s="5">
        <v>42399.166666666664</v>
      </c>
      <c r="N39" s="5">
        <v>42399.291666666664</v>
      </c>
      <c r="O39" s="4" t="s">
        <v>32</v>
      </c>
      <c r="P39" s="4" t="s">
        <v>33</v>
      </c>
      <c r="Q39" s="4" t="s">
        <v>76</v>
      </c>
      <c r="R39" s="6" t="s">
        <v>77</v>
      </c>
      <c r="S39" s="4" t="s">
        <v>376</v>
      </c>
      <c r="T39" s="4" t="s">
        <v>37</v>
      </c>
      <c r="U39" s="4" t="s">
        <v>37</v>
      </c>
      <c r="V39" s="4" t="s">
        <v>377</v>
      </c>
      <c r="W39" s="4" t="s">
        <v>37</v>
      </c>
      <c r="X39" s="4" t="s">
        <v>37</v>
      </c>
      <c r="Y39" s="4" t="s">
        <v>36</v>
      </c>
      <c r="Z39" s="4"/>
      <c r="AA39" s="4" t="s">
        <v>40</v>
      </c>
    </row>
    <row r="40" spans="1:27" s="1" customFormat="1" x14ac:dyDescent="0.3">
      <c r="A40" s="19">
        <v>19092</v>
      </c>
      <c r="B40" s="4" t="s">
        <v>378</v>
      </c>
      <c r="C40" s="4" t="e">
        <v>#N/A</v>
      </c>
      <c r="D40" s="5">
        <v>42376.722384259258</v>
      </c>
      <c r="E40" s="5" t="s">
        <v>2080</v>
      </c>
      <c r="F40" s="4" t="s">
        <v>26</v>
      </c>
      <c r="G40" s="4" t="s">
        <v>379</v>
      </c>
      <c r="H40" s="4" t="s">
        <v>380</v>
      </c>
      <c r="I40" s="4" t="s">
        <v>203</v>
      </c>
      <c r="J40" s="4" t="s">
        <v>49</v>
      </c>
      <c r="K40" s="4" t="s">
        <v>31</v>
      </c>
      <c r="L40" s="5">
        <v>42390.375</v>
      </c>
      <c r="M40" s="5">
        <v>42391.5</v>
      </c>
      <c r="N40" s="5">
        <v>42391.75</v>
      </c>
      <c r="O40" s="4" t="s">
        <v>32</v>
      </c>
      <c r="P40" s="4" t="s">
        <v>89</v>
      </c>
      <c r="Q40" s="4" t="s">
        <v>50</v>
      </c>
      <c r="R40" s="4" t="s">
        <v>381</v>
      </c>
      <c r="S40" s="4" t="s">
        <v>381</v>
      </c>
      <c r="T40" s="4" t="s">
        <v>37</v>
      </c>
      <c r="U40" s="4" t="s">
        <v>37</v>
      </c>
      <c r="V40" s="4" t="s">
        <v>382</v>
      </c>
      <c r="W40" s="4" t="s">
        <v>37</v>
      </c>
      <c r="X40" s="4" t="s">
        <v>37</v>
      </c>
      <c r="Y40" s="4" t="s">
        <v>36</v>
      </c>
      <c r="Z40" s="4" t="s">
        <v>39</v>
      </c>
      <c r="AA40" s="4"/>
    </row>
    <row r="41" spans="1:27" s="1" customFormat="1" x14ac:dyDescent="0.3">
      <c r="A41" s="19">
        <v>19093</v>
      </c>
      <c r="B41" s="4" t="s">
        <v>383</v>
      </c>
      <c r="C41" s="4" t="e">
        <v>#N/A</v>
      </c>
      <c r="D41" s="5">
        <v>42377.347858796296</v>
      </c>
      <c r="E41" s="5" t="s">
        <v>2080</v>
      </c>
      <c r="F41" s="4" t="s">
        <v>26</v>
      </c>
      <c r="G41" s="4" t="s">
        <v>238</v>
      </c>
      <c r="H41" s="4" t="s">
        <v>279</v>
      </c>
      <c r="I41" s="4" t="s">
        <v>161</v>
      </c>
      <c r="J41" s="4" t="s">
        <v>162</v>
      </c>
      <c r="K41" s="4" t="s">
        <v>31</v>
      </c>
      <c r="L41" s="5">
        <v>42390.916666666664</v>
      </c>
      <c r="M41" s="5">
        <v>42391.166666666664</v>
      </c>
      <c r="N41" s="5">
        <v>42391.208333333336</v>
      </c>
      <c r="O41" s="4" t="s">
        <v>32</v>
      </c>
      <c r="P41" s="4" t="s">
        <v>33</v>
      </c>
      <c r="Q41" s="4" t="s">
        <v>50</v>
      </c>
      <c r="R41" s="4" t="s">
        <v>384</v>
      </c>
      <c r="S41" s="4" t="s">
        <v>384</v>
      </c>
      <c r="T41" s="4" t="s">
        <v>36</v>
      </c>
      <c r="U41" s="4" t="s">
        <v>36</v>
      </c>
      <c r="V41" s="4" t="s">
        <v>385</v>
      </c>
      <c r="W41" s="4" t="s">
        <v>37</v>
      </c>
      <c r="X41" s="4" t="s">
        <v>37</v>
      </c>
      <c r="Y41" s="4" t="s">
        <v>36</v>
      </c>
      <c r="Z41" s="4" t="s">
        <v>53</v>
      </c>
      <c r="AA41" s="4"/>
    </row>
    <row r="42" spans="1:27" s="1" customFormat="1" x14ac:dyDescent="0.3">
      <c r="A42" s="19">
        <v>19094</v>
      </c>
      <c r="B42" s="4" t="s">
        <v>386</v>
      </c>
      <c r="C42" s="4" t="e">
        <v>#N/A</v>
      </c>
      <c r="D42" s="5">
        <v>42377.433206018519</v>
      </c>
      <c r="E42" s="5" t="s">
        <v>2080</v>
      </c>
      <c r="F42" s="4" t="s">
        <v>26</v>
      </c>
      <c r="G42" s="4" t="s">
        <v>387</v>
      </c>
      <c r="H42" s="4" t="s">
        <v>117</v>
      </c>
      <c r="I42" s="4" t="s">
        <v>118</v>
      </c>
      <c r="J42" s="4" t="s">
        <v>30</v>
      </c>
      <c r="K42" s="4" t="s">
        <v>31</v>
      </c>
      <c r="L42" s="5">
        <v>42403.541666666664</v>
      </c>
      <c r="M42" s="5">
        <v>42404.25</v>
      </c>
      <c r="N42" s="5">
        <v>42404.25</v>
      </c>
      <c r="O42" s="4" t="s">
        <v>32</v>
      </c>
      <c r="P42" s="4" t="s">
        <v>33</v>
      </c>
      <c r="Q42" s="4" t="s">
        <v>251</v>
      </c>
      <c r="R42" s="4" t="s">
        <v>388</v>
      </c>
      <c r="S42" s="4" t="s">
        <v>388</v>
      </c>
      <c r="T42" s="4" t="s">
        <v>37</v>
      </c>
      <c r="U42" s="4" t="s">
        <v>37</v>
      </c>
      <c r="V42" s="4" t="s">
        <v>389</v>
      </c>
      <c r="W42" s="4" t="s">
        <v>37</v>
      </c>
      <c r="X42" s="4" t="s">
        <v>37</v>
      </c>
      <c r="Y42" s="4" t="s">
        <v>36</v>
      </c>
      <c r="Z42" s="4" t="s">
        <v>390</v>
      </c>
      <c r="AA42" s="4" t="s">
        <v>93</v>
      </c>
    </row>
    <row r="43" spans="1:27" s="1" customFormat="1" x14ac:dyDescent="0.3">
      <c r="A43" s="19">
        <v>19095</v>
      </c>
      <c r="B43" s="4" t="s">
        <v>391</v>
      </c>
      <c r="C43" s="4" t="e">
        <v>#N/A</v>
      </c>
      <c r="D43" s="5">
        <v>42377.439826388887</v>
      </c>
      <c r="E43" s="5" t="s">
        <v>2080</v>
      </c>
      <c r="F43" s="4" t="s">
        <v>26</v>
      </c>
      <c r="G43" s="4" t="s">
        <v>392</v>
      </c>
      <c r="H43" s="4" t="s">
        <v>392</v>
      </c>
      <c r="I43" s="4" t="s">
        <v>200</v>
      </c>
      <c r="J43" s="4" t="s">
        <v>393</v>
      </c>
      <c r="K43" s="4" t="s">
        <v>31</v>
      </c>
      <c r="L43" s="5">
        <v>42398.833333333336</v>
      </c>
      <c r="M43" s="5">
        <v>42398.916666666664</v>
      </c>
      <c r="N43" s="5">
        <v>42398.917361111111</v>
      </c>
      <c r="O43" s="4" t="s">
        <v>32</v>
      </c>
      <c r="P43" s="4" t="s">
        <v>33</v>
      </c>
      <c r="Q43" s="4" t="s">
        <v>34</v>
      </c>
      <c r="R43" s="4" t="s">
        <v>394</v>
      </c>
      <c r="S43" s="4" t="s">
        <v>394</v>
      </c>
      <c r="T43" s="4" t="s">
        <v>37</v>
      </c>
      <c r="U43" s="4" t="s">
        <v>37</v>
      </c>
      <c r="V43" s="4" t="s">
        <v>395</v>
      </c>
      <c r="W43" s="4" t="s">
        <v>37</v>
      </c>
      <c r="X43" s="4" t="s">
        <v>37</v>
      </c>
      <c r="Y43" s="4" t="s">
        <v>36</v>
      </c>
      <c r="Z43" s="4" t="s">
        <v>53</v>
      </c>
      <c r="AA43" s="4"/>
    </row>
    <row r="44" spans="1:27" s="1" customFormat="1" x14ac:dyDescent="0.3">
      <c r="A44" s="19">
        <v>19096</v>
      </c>
      <c r="B44" s="4" t="s">
        <v>273</v>
      </c>
      <c r="C44" s="4" t="e">
        <v>#N/A</v>
      </c>
      <c r="D44" s="5">
        <v>42377.469652777778</v>
      </c>
      <c r="E44" s="5" t="s">
        <v>2080</v>
      </c>
      <c r="F44" s="4" t="s">
        <v>26</v>
      </c>
      <c r="G44" s="4" t="s">
        <v>274</v>
      </c>
      <c r="H44" s="4" t="s">
        <v>274</v>
      </c>
      <c r="I44" s="4" t="s">
        <v>208</v>
      </c>
      <c r="J44" s="4" t="s">
        <v>357</v>
      </c>
      <c r="K44" s="4" t="s">
        <v>31</v>
      </c>
      <c r="L44" s="5">
        <v>42400.000694444447</v>
      </c>
      <c r="M44" s="5">
        <v>42400.208333333336</v>
      </c>
      <c r="N44" s="5">
        <v>42400.25</v>
      </c>
      <c r="O44" s="4" t="s">
        <v>32</v>
      </c>
      <c r="P44" s="4" t="s">
        <v>33</v>
      </c>
      <c r="Q44" s="4" t="s">
        <v>50</v>
      </c>
      <c r="R44" s="6" t="s">
        <v>77</v>
      </c>
      <c r="S44" s="4" t="s">
        <v>230</v>
      </c>
      <c r="T44" s="4" t="s">
        <v>37</v>
      </c>
      <c r="U44" s="4" t="s">
        <v>37</v>
      </c>
      <c r="V44" s="4" t="s">
        <v>276</v>
      </c>
      <c r="W44" s="4" t="s">
        <v>37</v>
      </c>
      <c r="X44" s="4" t="s">
        <v>37</v>
      </c>
      <c r="Y44" s="4" t="s">
        <v>36</v>
      </c>
      <c r="Z44" s="4" t="s">
        <v>53</v>
      </c>
      <c r="AA44" s="4" t="s">
        <v>358</v>
      </c>
    </row>
    <row r="45" spans="1:27" s="1" customFormat="1" x14ac:dyDescent="0.3">
      <c r="A45" s="19">
        <v>19097</v>
      </c>
      <c r="B45" s="4" t="s">
        <v>396</v>
      </c>
      <c r="C45" s="4" t="e">
        <v>#N/A</v>
      </c>
      <c r="D45" s="5">
        <v>42377.476747685185</v>
      </c>
      <c r="E45" s="5" t="s">
        <v>2080</v>
      </c>
      <c r="F45" s="4" t="s">
        <v>26</v>
      </c>
      <c r="G45" s="4" t="s">
        <v>397</v>
      </c>
      <c r="H45" s="4" t="s">
        <v>397</v>
      </c>
      <c r="I45" s="4" t="s">
        <v>205</v>
      </c>
      <c r="J45" s="4" t="s">
        <v>275</v>
      </c>
      <c r="K45" s="4" t="s">
        <v>31</v>
      </c>
      <c r="L45" s="5">
        <v>42386.041666666664</v>
      </c>
      <c r="M45" s="5">
        <v>42386.208333333336</v>
      </c>
      <c r="N45" s="5">
        <v>42386.25</v>
      </c>
      <c r="O45" s="4" t="s">
        <v>32</v>
      </c>
      <c r="P45" s="4" t="s">
        <v>33</v>
      </c>
      <c r="Q45" s="4" t="s">
        <v>50</v>
      </c>
      <c r="R45" s="6" t="s">
        <v>77</v>
      </c>
      <c r="S45" s="4" t="s">
        <v>163</v>
      </c>
      <c r="T45" s="4" t="s">
        <v>37</v>
      </c>
      <c r="U45" s="4" t="s">
        <v>37</v>
      </c>
      <c r="V45" s="4" t="s">
        <v>398</v>
      </c>
      <c r="W45" s="4" t="s">
        <v>37</v>
      </c>
      <c r="X45" s="4" t="s">
        <v>37</v>
      </c>
      <c r="Y45" s="4" t="s">
        <v>36</v>
      </c>
      <c r="Z45" s="4" t="s">
        <v>53</v>
      </c>
      <c r="AA45" s="4" t="s">
        <v>179</v>
      </c>
    </row>
    <row r="46" spans="1:27" s="1" customFormat="1" x14ac:dyDescent="0.3">
      <c r="A46" s="19">
        <v>19098</v>
      </c>
      <c r="B46" s="4" t="s">
        <v>399</v>
      </c>
      <c r="C46" s="4" t="e">
        <v>#N/A</v>
      </c>
      <c r="D46" s="5">
        <v>42377.592372685183</v>
      </c>
      <c r="E46" s="5" t="s">
        <v>2080</v>
      </c>
      <c r="F46" s="4" t="s">
        <v>26</v>
      </c>
      <c r="G46" s="4" t="s">
        <v>224</v>
      </c>
      <c r="H46" s="4" t="s">
        <v>224</v>
      </c>
      <c r="I46" s="4" t="s">
        <v>216</v>
      </c>
      <c r="J46" s="4" t="s">
        <v>225</v>
      </c>
      <c r="K46" s="4" t="s">
        <v>31</v>
      </c>
      <c r="L46" s="5">
        <v>42385.333333333336</v>
      </c>
      <c r="M46" s="5">
        <v>42386.75</v>
      </c>
      <c r="N46" s="5">
        <v>42386.791666666664</v>
      </c>
      <c r="O46" s="4" t="s">
        <v>32</v>
      </c>
      <c r="P46" s="4" t="s">
        <v>89</v>
      </c>
      <c r="Q46" s="4" t="s">
        <v>50</v>
      </c>
      <c r="R46" s="6" t="s">
        <v>77</v>
      </c>
      <c r="S46" s="4" t="s">
        <v>400</v>
      </c>
      <c r="T46" s="4" t="s">
        <v>37</v>
      </c>
      <c r="U46" s="4" t="s">
        <v>37</v>
      </c>
      <c r="V46" s="4" t="s">
        <v>401</v>
      </c>
      <c r="W46" s="4" t="s">
        <v>37</v>
      </c>
      <c r="X46" s="4" t="s">
        <v>37</v>
      </c>
      <c r="Y46" s="4" t="s">
        <v>37</v>
      </c>
      <c r="Z46" s="4" t="s">
        <v>402</v>
      </c>
      <c r="AA46" s="4" t="s">
        <v>40</v>
      </c>
    </row>
    <row r="47" spans="1:27" s="1" customFormat="1" x14ac:dyDescent="0.3">
      <c r="A47" s="19">
        <v>19099</v>
      </c>
      <c r="B47" s="4" t="s">
        <v>403</v>
      </c>
      <c r="C47" s="4" t="e">
        <v>#N/A</v>
      </c>
      <c r="D47" s="5">
        <v>42377.615879629629</v>
      </c>
      <c r="E47" s="5" t="s">
        <v>2080</v>
      </c>
      <c r="F47" s="4" t="s">
        <v>26</v>
      </c>
      <c r="G47" s="4" t="s">
        <v>392</v>
      </c>
      <c r="H47" s="4" t="s">
        <v>392</v>
      </c>
      <c r="I47" s="4" t="s">
        <v>204</v>
      </c>
      <c r="J47" s="4" t="s">
        <v>302</v>
      </c>
      <c r="K47" s="4" t="s">
        <v>31</v>
      </c>
      <c r="L47" s="5">
        <v>42397.916666666664</v>
      </c>
      <c r="M47" s="5">
        <v>42397.999305555553</v>
      </c>
      <c r="N47" s="5">
        <v>42398.000694444447</v>
      </c>
      <c r="O47" s="4" t="s">
        <v>32</v>
      </c>
      <c r="P47" s="4" t="s">
        <v>33</v>
      </c>
      <c r="Q47" s="4" t="s">
        <v>34</v>
      </c>
      <c r="R47" s="6" t="s">
        <v>77</v>
      </c>
      <c r="S47" s="6" t="s">
        <v>77</v>
      </c>
      <c r="T47" s="4" t="s">
        <v>37</v>
      </c>
      <c r="U47" s="4" t="s">
        <v>37</v>
      </c>
      <c r="V47" s="4" t="s">
        <v>395</v>
      </c>
      <c r="W47" s="4" t="s">
        <v>37</v>
      </c>
      <c r="X47" s="4" t="s">
        <v>37</v>
      </c>
      <c r="Y47" s="4" t="s">
        <v>36</v>
      </c>
      <c r="Z47" s="4" t="s">
        <v>53</v>
      </c>
      <c r="AA47" s="4" t="s">
        <v>187</v>
      </c>
    </row>
    <row r="48" spans="1:27" s="1" customFormat="1" x14ac:dyDescent="0.3">
      <c r="A48" s="19">
        <v>19100</v>
      </c>
      <c r="B48" s="4" t="s">
        <v>404</v>
      </c>
      <c r="C48" s="4" t="e">
        <v>#N/A</v>
      </c>
      <c r="D48" s="5">
        <v>42377.647106481483</v>
      </c>
      <c r="E48" s="5" t="s">
        <v>2080</v>
      </c>
      <c r="F48" s="4" t="s">
        <v>26</v>
      </c>
      <c r="G48" s="4" t="s">
        <v>285</v>
      </c>
      <c r="H48" s="4" t="s">
        <v>405</v>
      </c>
      <c r="I48" s="4" t="s">
        <v>210</v>
      </c>
      <c r="J48" s="4" t="s">
        <v>49</v>
      </c>
      <c r="K48" s="4" t="s">
        <v>31</v>
      </c>
      <c r="L48" s="5">
        <v>42384.958333333336</v>
      </c>
      <c r="M48" s="5">
        <v>42385.208333333336</v>
      </c>
      <c r="N48" s="5">
        <v>42385.270833333336</v>
      </c>
      <c r="O48" s="4" t="s">
        <v>32</v>
      </c>
      <c r="P48" s="4" t="s">
        <v>33</v>
      </c>
      <c r="Q48" s="4" t="s">
        <v>251</v>
      </c>
      <c r="R48" s="4" t="s">
        <v>406</v>
      </c>
      <c r="S48" s="4" t="s">
        <v>406</v>
      </c>
      <c r="T48" s="4" t="s">
        <v>37</v>
      </c>
      <c r="U48" s="4" t="s">
        <v>36</v>
      </c>
      <c r="V48" s="4" t="s">
        <v>407</v>
      </c>
      <c r="W48" s="4" t="s">
        <v>36</v>
      </c>
      <c r="X48" s="4" t="s">
        <v>37</v>
      </c>
      <c r="Y48" s="4" t="s">
        <v>37</v>
      </c>
      <c r="Z48" s="4" t="s">
        <v>408</v>
      </c>
      <c r="AA48" s="4"/>
    </row>
    <row r="49" spans="1:27" s="1" customFormat="1" x14ac:dyDescent="0.3">
      <c r="A49" s="19">
        <v>19101</v>
      </c>
      <c r="B49" s="4" t="s">
        <v>194</v>
      </c>
      <c r="C49" s="4" t="e">
        <v>#N/A</v>
      </c>
      <c r="D49" s="5">
        <v>42377.647407407407</v>
      </c>
      <c r="E49" s="5" t="s">
        <v>2080</v>
      </c>
      <c r="F49" s="4" t="s">
        <v>26</v>
      </c>
      <c r="G49" s="4" t="s">
        <v>152</v>
      </c>
      <c r="H49" s="4" t="s">
        <v>152</v>
      </c>
      <c r="I49" s="4" t="s">
        <v>153</v>
      </c>
      <c r="J49" s="4" t="s">
        <v>154</v>
      </c>
      <c r="K49" s="4" t="s">
        <v>31</v>
      </c>
      <c r="L49" s="5">
        <v>42391.916666666664</v>
      </c>
      <c r="M49" s="5">
        <v>42392.0625</v>
      </c>
      <c r="N49" s="5">
        <v>42392.083333333336</v>
      </c>
      <c r="O49" s="4" t="s">
        <v>32</v>
      </c>
      <c r="P49" s="4" t="s">
        <v>33</v>
      </c>
      <c r="Q49" s="4" t="s">
        <v>251</v>
      </c>
      <c r="R49" s="6" t="s">
        <v>77</v>
      </c>
      <c r="S49" s="4" t="s">
        <v>409</v>
      </c>
      <c r="T49" s="4" t="s">
        <v>37</v>
      </c>
      <c r="U49" s="4" t="s">
        <v>37</v>
      </c>
      <c r="V49" s="4" t="s">
        <v>410</v>
      </c>
      <c r="W49" s="4" t="s">
        <v>37</v>
      </c>
      <c r="X49" s="4" t="s">
        <v>37</v>
      </c>
      <c r="Y49" s="4" t="s">
        <v>36</v>
      </c>
      <c r="Z49" s="4" t="s">
        <v>53</v>
      </c>
      <c r="AA49" s="4" t="s">
        <v>157</v>
      </c>
    </row>
    <row r="50" spans="1:27" s="1" customFormat="1" x14ac:dyDescent="0.3">
      <c r="A50" s="19">
        <v>19102</v>
      </c>
      <c r="B50" s="4" t="s">
        <v>411</v>
      </c>
      <c r="C50" s="4" t="e">
        <v>#N/A</v>
      </c>
      <c r="D50" s="5">
        <v>42377.670983796299</v>
      </c>
      <c r="E50" s="5" t="s">
        <v>2080</v>
      </c>
      <c r="F50" s="4" t="s">
        <v>26</v>
      </c>
      <c r="G50" s="4" t="s">
        <v>285</v>
      </c>
      <c r="H50" s="4" t="s">
        <v>285</v>
      </c>
      <c r="I50" s="4" t="s">
        <v>48</v>
      </c>
      <c r="J50" s="4" t="s">
        <v>43</v>
      </c>
      <c r="K50" s="4" t="s">
        <v>31</v>
      </c>
      <c r="L50" s="5">
        <v>42383.833333333336</v>
      </c>
      <c r="M50" s="5">
        <v>42383.999305555553</v>
      </c>
      <c r="N50" s="5">
        <v>42383.999305555553</v>
      </c>
      <c r="O50" s="4" t="s">
        <v>32</v>
      </c>
      <c r="P50" s="4" t="s">
        <v>149</v>
      </c>
      <c r="Q50" s="4" t="s">
        <v>76</v>
      </c>
      <c r="R50" s="4" t="s">
        <v>178</v>
      </c>
      <c r="S50" s="4" t="s">
        <v>178</v>
      </c>
      <c r="T50" s="4" t="s">
        <v>37</v>
      </c>
      <c r="U50" s="4" t="s">
        <v>37</v>
      </c>
      <c r="V50" s="4" t="s">
        <v>287</v>
      </c>
      <c r="W50" s="4" t="s">
        <v>37</v>
      </c>
      <c r="X50" s="4" t="s">
        <v>36</v>
      </c>
      <c r="Y50" s="4" t="s">
        <v>37</v>
      </c>
      <c r="Z50" s="4" t="s">
        <v>178</v>
      </c>
      <c r="AA50" s="4" t="s">
        <v>93</v>
      </c>
    </row>
    <row r="51" spans="1:27" s="1" customFormat="1" x14ac:dyDescent="0.3">
      <c r="A51" s="19">
        <v>19104</v>
      </c>
      <c r="B51" s="4" t="s">
        <v>411</v>
      </c>
      <c r="C51" s="4" t="e">
        <v>#N/A</v>
      </c>
      <c r="D51" s="5">
        <v>42377.727766203701</v>
      </c>
      <c r="E51" s="5" t="s">
        <v>2080</v>
      </c>
      <c r="F51" s="4" t="s">
        <v>26</v>
      </c>
      <c r="G51" s="4" t="s">
        <v>285</v>
      </c>
      <c r="H51" s="4" t="s">
        <v>285</v>
      </c>
      <c r="I51" s="4" t="s">
        <v>42</v>
      </c>
      <c r="J51" s="4" t="s">
        <v>43</v>
      </c>
      <c r="K51" s="4" t="s">
        <v>31</v>
      </c>
      <c r="L51" s="5">
        <v>42387.833333333336</v>
      </c>
      <c r="M51" s="5">
        <v>42387.999305555553</v>
      </c>
      <c r="N51" s="5">
        <v>42387.999305555553</v>
      </c>
      <c r="O51" s="4" t="s">
        <v>32</v>
      </c>
      <c r="P51" s="4" t="s">
        <v>149</v>
      </c>
      <c r="Q51" s="4" t="s">
        <v>76</v>
      </c>
      <c r="R51" s="4" t="s">
        <v>178</v>
      </c>
      <c r="S51" s="4" t="s">
        <v>178</v>
      </c>
      <c r="T51" s="4" t="s">
        <v>37</v>
      </c>
      <c r="U51" s="4" t="s">
        <v>37</v>
      </c>
      <c r="V51" s="4" t="s">
        <v>287</v>
      </c>
      <c r="W51" s="4" t="s">
        <v>37</v>
      </c>
      <c r="X51" s="4" t="s">
        <v>36</v>
      </c>
      <c r="Y51" s="4" t="s">
        <v>37</v>
      </c>
      <c r="Z51" s="4" t="s">
        <v>178</v>
      </c>
      <c r="AA51" s="4" t="s">
        <v>93</v>
      </c>
    </row>
    <row r="52" spans="1:27" s="1" customFormat="1" x14ac:dyDescent="0.3">
      <c r="A52" s="19">
        <v>19105</v>
      </c>
      <c r="B52" s="4" t="s">
        <v>412</v>
      </c>
      <c r="C52" s="4" t="e">
        <v>#N/A</v>
      </c>
      <c r="D52" s="5">
        <v>42377.731747685182</v>
      </c>
      <c r="E52" s="5" t="s">
        <v>2080</v>
      </c>
      <c r="F52" s="4" t="s">
        <v>26</v>
      </c>
      <c r="G52" s="4" t="s">
        <v>27</v>
      </c>
      <c r="H52" s="4" t="s">
        <v>413</v>
      </c>
      <c r="I52" s="4" t="s">
        <v>200</v>
      </c>
      <c r="J52" s="4" t="s">
        <v>49</v>
      </c>
      <c r="K52" s="4" t="s">
        <v>31</v>
      </c>
      <c r="L52" s="5">
        <v>42390.916666666664</v>
      </c>
      <c r="M52" s="5">
        <v>42391.25</v>
      </c>
      <c r="N52" s="5">
        <v>42391.291666666664</v>
      </c>
      <c r="O52" s="4" t="s">
        <v>32</v>
      </c>
      <c r="P52" s="4" t="s">
        <v>33</v>
      </c>
      <c r="Q52" s="4" t="s">
        <v>76</v>
      </c>
      <c r="R52" s="4" t="s">
        <v>163</v>
      </c>
      <c r="S52" s="4" t="s">
        <v>163</v>
      </c>
      <c r="T52" s="4" t="s">
        <v>37</v>
      </c>
      <c r="U52" s="4" t="s">
        <v>36</v>
      </c>
      <c r="V52" s="4" t="s">
        <v>414</v>
      </c>
      <c r="W52" s="4" t="s">
        <v>37</v>
      </c>
      <c r="X52" s="4" t="s">
        <v>37</v>
      </c>
      <c r="Y52" s="4" t="s">
        <v>36</v>
      </c>
      <c r="Z52" s="4" t="s">
        <v>415</v>
      </c>
      <c r="AA52" s="4"/>
    </row>
    <row r="53" spans="1:27" s="1" customFormat="1" x14ac:dyDescent="0.3">
      <c r="A53" s="19">
        <v>19107</v>
      </c>
      <c r="B53" s="4" t="s">
        <v>416</v>
      </c>
      <c r="C53" s="4" t="e">
        <v>#N/A</v>
      </c>
      <c r="D53" s="5">
        <v>42380.469398148147</v>
      </c>
      <c r="E53" s="5" t="s">
        <v>2080</v>
      </c>
      <c r="F53" s="4" t="s">
        <v>26</v>
      </c>
      <c r="G53" s="4" t="s">
        <v>417</v>
      </c>
      <c r="H53" s="4" t="s">
        <v>417</v>
      </c>
      <c r="I53" s="4" t="s">
        <v>56</v>
      </c>
      <c r="J53" s="4" t="s">
        <v>418</v>
      </c>
      <c r="K53" s="4" t="s">
        <v>31</v>
      </c>
      <c r="L53" s="5">
        <v>42394.333333333336</v>
      </c>
      <c r="M53" s="5">
        <v>42394.916666666664</v>
      </c>
      <c r="N53" s="5">
        <v>42395.25</v>
      </c>
      <c r="O53" s="4" t="s">
        <v>32</v>
      </c>
      <c r="P53" s="4" t="s">
        <v>33</v>
      </c>
      <c r="Q53" s="4" t="s">
        <v>34</v>
      </c>
      <c r="R53" s="4" t="s">
        <v>419</v>
      </c>
      <c r="S53" s="4" t="s">
        <v>419</v>
      </c>
      <c r="T53" s="4" t="s">
        <v>37</v>
      </c>
      <c r="U53" s="4" t="s">
        <v>37</v>
      </c>
      <c r="V53" s="4" t="s">
        <v>420</v>
      </c>
      <c r="W53" s="4" t="s">
        <v>37</v>
      </c>
      <c r="X53" s="4" t="s">
        <v>36</v>
      </c>
      <c r="Y53" s="4" t="s">
        <v>36</v>
      </c>
      <c r="Z53" s="4" t="s">
        <v>39</v>
      </c>
      <c r="AA53" s="4" t="s">
        <v>179</v>
      </c>
    </row>
    <row r="54" spans="1:27" s="1" customFormat="1" x14ac:dyDescent="0.3">
      <c r="A54" s="19">
        <v>19109</v>
      </c>
      <c r="B54" s="4" t="s">
        <v>314</v>
      </c>
      <c r="C54" s="4" t="e">
        <v>#N/A</v>
      </c>
      <c r="D54" s="5">
        <v>42380.646354166667</v>
      </c>
      <c r="E54" s="5" t="s">
        <v>2080</v>
      </c>
      <c r="F54" s="4" t="s">
        <v>26</v>
      </c>
      <c r="G54" s="4" t="s">
        <v>421</v>
      </c>
      <c r="H54" s="4" t="s">
        <v>422</v>
      </c>
      <c r="I54" s="4" t="s">
        <v>118</v>
      </c>
      <c r="J54" s="4" t="s">
        <v>30</v>
      </c>
      <c r="K54" s="4" t="s">
        <v>31</v>
      </c>
      <c r="L54" s="5">
        <v>42396.916666666664</v>
      </c>
      <c r="M54" s="5">
        <v>42397.125</v>
      </c>
      <c r="N54" s="5">
        <v>42397.75</v>
      </c>
      <c r="O54" s="4" t="s">
        <v>32</v>
      </c>
      <c r="P54" s="4" t="s">
        <v>149</v>
      </c>
      <c r="Q54" s="4" t="s">
        <v>76</v>
      </c>
      <c r="R54" s="6" t="s">
        <v>77</v>
      </c>
      <c r="S54" s="4" t="s">
        <v>291</v>
      </c>
      <c r="T54" s="4" t="s">
        <v>37</v>
      </c>
      <c r="U54" s="4" t="s">
        <v>37</v>
      </c>
      <c r="V54" s="4" t="s">
        <v>292</v>
      </c>
      <c r="W54" s="4" t="s">
        <v>37</v>
      </c>
      <c r="X54" s="4" t="s">
        <v>37</v>
      </c>
      <c r="Y54" s="4" t="s">
        <v>36</v>
      </c>
      <c r="Z54" s="4" t="s">
        <v>423</v>
      </c>
      <c r="AA54" s="4" t="s">
        <v>40</v>
      </c>
    </row>
    <row r="55" spans="1:27" s="1" customFormat="1" x14ac:dyDescent="0.3">
      <c r="A55" s="19">
        <v>19112</v>
      </c>
      <c r="B55" s="4" t="s">
        <v>424</v>
      </c>
      <c r="C55" s="4" t="e">
        <v>#N/A</v>
      </c>
      <c r="D55" s="5">
        <v>42380.710787037038</v>
      </c>
      <c r="E55" s="5" t="s">
        <v>2080</v>
      </c>
      <c r="F55" s="4" t="s">
        <v>26</v>
      </c>
      <c r="G55" s="4" t="s">
        <v>173</v>
      </c>
      <c r="H55" s="4" t="s">
        <v>173</v>
      </c>
      <c r="I55" s="4" t="s">
        <v>213</v>
      </c>
      <c r="J55" s="4" t="s">
        <v>30</v>
      </c>
      <c r="K55" s="4" t="s">
        <v>31</v>
      </c>
      <c r="L55" s="5">
        <v>42390.916666666664</v>
      </c>
      <c r="M55" s="5">
        <v>42392.208333333336</v>
      </c>
      <c r="N55" s="5">
        <v>42392.25</v>
      </c>
      <c r="O55" s="4" t="s">
        <v>32</v>
      </c>
      <c r="P55" s="4" t="s">
        <v>33</v>
      </c>
      <c r="Q55" s="4" t="s">
        <v>76</v>
      </c>
      <c r="R55" s="4" t="s">
        <v>196</v>
      </c>
      <c r="S55" s="4" t="s">
        <v>196</v>
      </c>
      <c r="T55" s="4" t="s">
        <v>37</v>
      </c>
      <c r="U55" s="4" t="s">
        <v>37</v>
      </c>
      <c r="V55" s="4" t="s">
        <v>177</v>
      </c>
      <c r="W55" s="4" t="s">
        <v>37</v>
      </c>
      <c r="X55" s="4" t="s">
        <v>37</v>
      </c>
      <c r="Y55" s="4" t="s">
        <v>36</v>
      </c>
      <c r="Z55" s="4" t="s">
        <v>178</v>
      </c>
      <c r="AA55" s="4" t="s">
        <v>40</v>
      </c>
    </row>
    <row r="56" spans="1:27" s="1" customFormat="1" x14ac:dyDescent="0.3">
      <c r="A56" s="19">
        <v>19115</v>
      </c>
      <c r="B56" s="4" t="s">
        <v>425</v>
      </c>
      <c r="C56" s="4" t="e">
        <v>#N/A</v>
      </c>
      <c r="D56" s="5">
        <v>42381.447430555556</v>
      </c>
      <c r="E56" s="5" t="s">
        <v>2080</v>
      </c>
      <c r="F56" s="4" t="s">
        <v>26</v>
      </c>
      <c r="G56" s="4" t="s">
        <v>421</v>
      </c>
      <c r="H56" s="4" t="s">
        <v>422</v>
      </c>
      <c r="I56" s="4" t="s">
        <v>118</v>
      </c>
      <c r="J56" s="4" t="s">
        <v>30</v>
      </c>
      <c r="K56" s="4" t="s">
        <v>31</v>
      </c>
      <c r="L56" s="5">
        <v>42387.916666666664</v>
      </c>
      <c r="M56" s="5">
        <v>42388.125</v>
      </c>
      <c r="N56" s="5">
        <v>42388.75</v>
      </c>
      <c r="O56" s="4" t="s">
        <v>32</v>
      </c>
      <c r="P56" s="4" t="s">
        <v>149</v>
      </c>
      <c r="Q56" s="4" t="s">
        <v>76</v>
      </c>
      <c r="R56" s="6" t="s">
        <v>77</v>
      </c>
      <c r="S56" s="4" t="s">
        <v>291</v>
      </c>
      <c r="T56" s="4" t="s">
        <v>37</v>
      </c>
      <c r="U56" s="4" t="s">
        <v>37</v>
      </c>
      <c r="V56" s="4" t="s">
        <v>292</v>
      </c>
      <c r="W56" s="4" t="s">
        <v>37</v>
      </c>
      <c r="X56" s="4" t="s">
        <v>37</v>
      </c>
      <c r="Y56" s="4" t="s">
        <v>36</v>
      </c>
      <c r="Z56" s="4" t="s">
        <v>426</v>
      </c>
      <c r="AA56" s="4" t="s">
        <v>40</v>
      </c>
    </row>
    <row r="57" spans="1:27" s="1" customFormat="1" x14ac:dyDescent="0.3">
      <c r="A57" s="19">
        <v>19116</v>
      </c>
      <c r="B57" s="4" t="s">
        <v>427</v>
      </c>
      <c r="C57" s="4" t="e">
        <v>#N/A</v>
      </c>
      <c r="D57" s="5">
        <v>42381.450729166667</v>
      </c>
      <c r="E57" s="5" t="s">
        <v>2080</v>
      </c>
      <c r="F57" s="4" t="s">
        <v>26</v>
      </c>
      <c r="G57" s="4" t="s">
        <v>428</v>
      </c>
      <c r="H57" s="4" t="s">
        <v>428</v>
      </c>
      <c r="I57" s="4" t="s">
        <v>56</v>
      </c>
      <c r="J57" s="4" t="s">
        <v>429</v>
      </c>
      <c r="K57" s="4" t="s">
        <v>31</v>
      </c>
      <c r="L57" s="5">
        <v>42391.375</v>
      </c>
      <c r="M57" s="5">
        <v>42391.541666666664</v>
      </c>
      <c r="N57" s="5">
        <v>42395.45208333333</v>
      </c>
      <c r="O57" s="4" t="s">
        <v>32</v>
      </c>
      <c r="P57" s="4" t="s">
        <v>33</v>
      </c>
      <c r="Q57" s="4" t="s">
        <v>34</v>
      </c>
      <c r="R57" s="4" t="s">
        <v>430</v>
      </c>
      <c r="S57" s="4" t="s">
        <v>430</v>
      </c>
      <c r="T57" s="4" t="s">
        <v>37</v>
      </c>
      <c r="U57" s="4" t="s">
        <v>37</v>
      </c>
      <c r="V57" s="4" t="s">
        <v>431</v>
      </c>
      <c r="W57" s="4" t="s">
        <v>37</v>
      </c>
      <c r="X57" s="4" t="s">
        <v>37</v>
      </c>
      <c r="Y57" s="4" t="s">
        <v>37</v>
      </c>
      <c r="Z57" s="4">
        <v>116991</v>
      </c>
      <c r="AA57" s="4" t="s">
        <v>102</v>
      </c>
    </row>
    <row r="58" spans="1:27" s="1" customFormat="1" x14ac:dyDescent="0.3">
      <c r="A58" s="19">
        <v>19118</v>
      </c>
      <c r="B58" s="4" t="s">
        <v>432</v>
      </c>
      <c r="C58" s="4" t="e">
        <v>#N/A</v>
      </c>
      <c r="D58" s="5">
        <v>42381.560057870367</v>
      </c>
      <c r="E58" s="5" t="s">
        <v>2080</v>
      </c>
      <c r="F58" s="4" t="s">
        <v>26</v>
      </c>
      <c r="G58" s="4" t="s">
        <v>354</v>
      </c>
      <c r="H58" s="4" t="s">
        <v>354</v>
      </c>
      <c r="I58" s="4" t="s">
        <v>48</v>
      </c>
      <c r="J58" s="4" t="s">
        <v>30</v>
      </c>
      <c r="K58" s="4" t="s">
        <v>31</v>
      </c>
      <c r="L58" s="5">
        <v>42395.000694444447</v>
      </c>
      <c r="M58" s="5">
        <v>42398.999305555553</v>
      </c>
      <c r="N58" s="5">
        <v>42399.576388888891</v>
      </c>
      <c r="O58" s="4" t="s">
        <v>32</v>
      </c>
      <c r="P58" s="4" t="s">
        <v>149</v>
      </c>
      <c r="Q58" s="4" t="s">
        <v>34</v>
      </c>
      <c r="R58" s="4" t="s">
        <v>163</v>
      </c>
      <c r="S58" s="4" t="s">
        <v>163</v>
      </c>
      <c r="T58" s="4" t="s">
        <v>37</v>
      </c>
      <c r="U58" s="4" t="s">
        <v>37</v>
      </c>
      <c r="V58" s="4" t="s">
        <v>433</v>
      </c>
      <c r="W58" s="4" t="s">
        <v>37</v>
      </c>
      <c r="X58" s="4" t="s">
        <v>37</v>
      </c>
      <c r="Y58" s="4" t="s">
        <v>37</v>
      </c>
      <c r="Z58" s="4" t="s">
        <v>53</v>
      </c>
      <c r="AA58" s="4" t="s">
        <v>179</v>
      </c>
    </row>
    <row r="59" spans="1:27" s="1" customFormat="1" x14ac:dyDescent="0.3">
      <c r="A59" s="19">
        <v>19119</v>
      </c>
      <c r="B59" s="4" t="s">
        <v>434</v>
      </c>
      <c r="C59" s="4" t="e">
        <v>#N/A</v>
      </c>
      <c r="D59" s="5">
        <v>42381.632581018515</v>
      </c>
      <c r="E59" s="5" t="s">
        <v>2080</v>
      </c>
      <c r="F59" s="4" t="s">
        <v>26</v>
      </c>
      <c r="G59" s="4" t="s">
        <v>435</v>
      </c>
      <c r="H59" s="4" t="s">
        <v>435</v>
      </c>
      <c r="I59" s="4" t="s">
        <v>118</v>
      </c>
      <c r="J59" s="4" t="s">
        <v>30</v>
      </c>
      <c r="K59" s="4" t="s">
        <v>31</v>
      </c>
      <c r="L59" s="5">
        <v>42390.333333333336</v>
      </c>
      <c r="M59" s="5">
        <v>42390.593055555553</v>
      </c>
      <c r="N59" s="5">
        <v>42390.634722222225</v>
      </c>
      <c r="O59" s="4" t="s">
        <v>32</v>
      </c>
      <c r="P59" s="4" t="s">
        <v>33</v>
      </c>
      <c r="Q59" s="4" t="s">
        <v>34</v>
      </c>
      <c r="R59" s="4" t="s">
        <v>436</v>
      </c>
      <c r="S59" s="4" t="s">
        <v>436</v>
      </c>
      <c r="T59" s="4" t="s">
        <v>37</v>
      </c>
      <c r="U59" s="4" t="s">
        <v>37</v>
      </c>
      <c r="V59" s="4" t="s">
        <v>437</v>
      </c>
      <c r="W59" s="4" t="s">
        <v>37</v>
      </c>
      <c r="X59" s="4" t="s">
        <v>37</v>
      </c>
      <c r="Y59" s="4" t="s">
        <v>36</v>
      </c>
      <c r="Z59" s="4" t="s">
        <v>53</v>
      </c>
      <c r="AA59" s="4" t="s">
        <v>179</v>
      </c>
    </row>
    <row r="60" spans="1:27" s="1" customFormat="1" x14ac:dyDescent="0.3">
      <c r="A60" s="19">
        <v>19120</v>
      </c>
      <c r="B60" s="4" t="s">
        <v>438</v>
      </c>
      <c r="C60" s="4" t="e">
        <v>#N/A</v>
      </c>
      <c r="D60" s="5">
        <v>42381.715949074074</v>
      </c>
      <c r="E60" s="5" t="s">
        <v>2080</v>
      </c>
      <c r="F60" s="4" t="s">
        <v>26</v>
      </c>
      <c r="G60" s="4" t="s">
        <v>439</v>
      </c>
      <c r="H60" s="4" t="s">
        <v>440</v>
      </c>
      <c r="I60" s="4" t="s">
        <v>88</v>
      </c>
      <c r="J60" s="4" t="s">
        <v>30</v>
      </c>
      <c r="K60" s="4" t="s">
        <v>31</v>
      </c>
      <c r="L60" s="5">
        <v>42388.979166666664</v>
      </c>
      <c r="M60" s="5">
        <v>42389.104166666664</v>
      </c>
      <c r="N60" s="5">
        <v>42389.125</v>
      </c>
      <c r="O60" s="4" t="s">
        <v>32</v>
      </c>
      <c r="P60" s="4" t="s">
        <v>89</v>
      </c>
      <c r="Q60" s="4" t="s">
        <v>50</v>
      </c>
      <c r="R60" s="6" t="s">
        <v>77</v>
      </c>
      <c r="S60" s="4" t="s">
        <v>441</v>
      </c>
      <c r="T60" s="4" t="s">
        <v>37</v>
      </c>
      <c r="U60" s="4" t="s">
        <v>37</v>
      </c>
      <c r="V60" s="4" t="s">
        <v>442</v>
      </c>
      <c r="W60" s="4" t="s">
        <v>37</v>
      </c>
      <c r="X60" s="4" t="s">
        <v>37</v>
      </c>
      <c r="Y60" s="4" t="s">
        <v>36</v>
      </c>
      <c r="Z60" s="4" t="s">
        <v>443</v>
      </c>
      <c r="AA60" s="4" t="s">
        <v>93</v>
      </c>
    </row>
    <row r="61" spans="1:27" s="1" customFormat="1" x14ac:dyDescent="0.3">
      <c r="A61" s="19">
        <v>19123</v>
      </c>
      <c r="B61" s="4" t="s">
        <v>444</v>
      </c>
      <c r="C61" s="4" t="e">
        <v>#N/A</v>
      </c>
      <c r="D61" s="5">
        <v>42381.750162037039</v>
      </c>
      <c r="E61" s="5" t="s">
        <v>2080</v>
      </c>
      <c r="F61" s="4" t="s">
        <v>26</v>
      </c>
      <c r="G61" s="4" t="s">
        <v>445</v>
      </c>
      <c r="H61" s="4" t="s">
        <v>445</v>
      </c>
      <c r="I61" s="4" t="s">
        <v>203</v>
      </c>
      <c r="J61" s="4" t="s">
        <v>49</v>
      </c>
      <c r="K61" s="4" t="s">
        <v>31</v>
      </c>
      <c r="L61" s="5">
        <v>42390.291666666664</v>
      </c>
      <c r="M61" s="5">
        <v>42390.333333333336</v>
      </c>
      <c r="N61" s="5">
        <v>42390.375</v>
      </c>
      <c r="O61" s="4" t="s">
        <v>32</v>
      </c>
      <c r="P61" s="4" t="s">
        <v>33</v>
      </c>
      <c r="Q61" s="4" t="s">
        <v>50</v>
      </c>
      <c r="R61" s="4" t="s">
        <v>446</v>
      </c>
      <c r="S61" s="4" t="s">
        <v>446</v>
      </c>
      <c r="T61" s="4" t="s">
        <v>36</v>
      </c>
      <c r="U61" s="4" t="s">
        <v>36</v>
      </c>
      <c r="V61" s="4" t="s">
        <v>447</v>
      </c>
      <c r="W61" s="4" t="s">
        <v>37</v>
      </c>
      <c r="X61" s="4" t="s">
        <v>37</v>
      </c>
      <c r="Y61" s="4" t="s">
        <v>36</v>
      </c>
      <c r="Z61" s="4" t="s">
        <v>448</v>
      </c>
      <c r="AA61" s="4"/>
    </row>
    <row r="62" spans="1:27" s="1" customFormat="1" x14ac:dyDescent="0.3">
      <c r="A62" s="19">
        <v>19124</v>
      </c>
      <c r="B62" s="4" t="s">
        <v>449</v>
      </c>
      <c r="C62" s="4" t="e">
        <v>#N/A</v>
      </c>
      <c r="D62" s="5">
        <v>42381.991111111114</v>
      </c>
      <c r="E62" s="5" t="s">
        <v>2080</v>
      </c>
      <c r="F62" s="4" t="s">
        <v>26</v>
      </c>
      <c r="G62" s="4" t="s">
        <v>450</v>
      </c>
      <c r="H62" s="4" t="s">
        <v>234</v>
      </c>
      <c r="I62" s="4" t="s">
        <v>203</v>
      </c>
      <c r="J62" s="4" t="s">
        <v>49</v>
      </c>
      <c r="K62" s="4" t="s">
        <v>31</v>
      </c>
      <c r="L62" s="5">
        <v>42406.000694444447</v>
      </c>
      <c r="M62" s="5">
        <v>42406.208333333336</v>
      </c>
      <c r="N62" s="5">
        <v>42406.208333333336</v>
      </c>
      <c r="O62" s="4" t="s">
        <v>32</v>
      </c>
      <c r="P62" s="4" t="s">
        <v>33</v>
      </c>
      <c r="Q62" s="4" t="s">
        <v>76</v>
      </c>
      <c r="R62" s="4" t="s">
        <v>451</v>
      </c>
      <c r="S62" s="4" t="s">
        <v>451</v>
      </c>
      <c r="T62" s="4" t="s">
        <v>36</v>
      </c>
      <c r="U62" s="4" t="s">
        <v>36</v>
      </c>
      <c r="V62" s="4" t="s">
        <v>452</v>
      </c>
      <c r="W62" s="4" t="s">
        <v>37</v>
      </c>
      <c r="X62" s="4" t="s">
        <v>37</v>
      </c>
      <c r="Y62" s="4" t="s">
        <v>36</v>
      </c>
      <c r="Z62" s="4" t="s">
        <v>453</v>
      </c>
      <c r="AA62" s="4"/>
    </row>
    <row r="63" spans="1:27" s="1" customFormat="1" x14ac:dyDescent="0.3">
      <c r="A63" s="19">
        <v>19125</v>
      </c>
      <c r="B63" s="4" t="s">
        <v>454</v>
      </c>
      <c r="C63" s="4" t="e">
        <v>#N/A</v>
      </c>
      <c r="D63" s="5">
        <v>42382.180486111109</v>
      </c>
      <c r="E63" s="5" t="s">
        <v>2080</v>
      </c>
      <c r="F63" s="4" t="s">
        <v>26</v>
      </c>
      <c r="G63" s="4" t="s">
        <v>455</v>
      </c>
      <c r="H63" s="4" t="s">
        <v>455</v>
      </c>
      <c r="I63" s="4" t="s">
        <v>88</v>
      </c>
      <c r="J63" s="4" t="s">
        <v>30</v>
      </c>
      <c r="K63" s="4" t="s">
        <v>31</v>
      </c>
      <c r="L63" s="5">
        <v>42390.958333333336</v>
      </c>
      <c r="M63" s="5">
        <v>42391.1875</v>
      </c>
      <c r="N63" s="5">
        <v>42391.208333333336</v>
      </c>
      <c r="O63" s="4" t="s">
        <v>32</v>
      </c>
      <c r="P63" s="4" t="s">
        <v>89</v>
      </c>
      <c r="Q63" s="4" t="s">
        <v>50</v>
      </c>
      <c r="R63" s="6" t="s">
        <v>77</v>
      </c>
      <c r="S63" s="4" t="s">
        <v>456</v>
      </c>
      <c r="T63" s="4" t="s">
        <v>36</v>
      </c>
      <c r="U63" s="4" t="s">
        <v>36</v>
      </c>
      <c r="V63" s="4" t="s">
        <v>457</v>
      </c>
      <c r="W63" s="4" t="s">
        <v>37</v>
      </c>
      <c r="X63" s="4" t="s">
        <v>37</v>
      </c>
      <c r="Y63" s="4" t="s">
        <v>36</v>
      </c>
      <c r="Z63" s="4" t="s">
        <v>458</v>
      </c>
      <c r="AA63" s="4" t="s">
        <v>40</v>
      </c>
    </row>
    <row r="64" spans="1:27" s="1" customFormat="1" x14ac:dyDescent="0.3">
      <c r="A64" s="19">
        <v>19126</v>
      </c>
      <c r="B64" s="4" t="s">
        <v>459</v>
      </c>
      <c r="C64" s="4" t="e">
        <v>#N/A</v>
      </c>
      <c r="D64" s="5">
        <v>42382.489594907405</v>
      </c>
      <c r="E64" s="5" t="s">
        <v>2080</v>
      </c>
      <c r="F64" s="4" t="s">
        <v>26</v>
      </c>
      <c r="G64" s="4" t="s">
        <v>354</v>
      </c>
      <c r="H64" s="4" t="s">
        <v>354</v>
      </c>
      <c r="I64" s="4" t="s">
        <v>48</v>
      </c>
      <c r="J64" s="4" t="s">
        <v>30</v>
      </c>
      <c r="K64" s="4" t="s">
        <v>31</v>
      </c>
      <c r="L64" s="5">
        <v>42387.000694444447</v>
      </c>
      <c r="M64" s="5">
        <v>42394.999305555553</v>
      </c>
      <c r="N64" s="5">
        <v>42395.999305555553</v>
      </c>
      <c r="O64" s="4" t="s">
        <v>32</v>
      </c>
      <c r="P64" s="4" t="s">
        <v>149</v>
      </c>
      <c r="Q64" s="4" t="s">
        <v>76</v>
      </c>
      <c r="R64" s="4" t="s">
        <v>163</v>
      </c>
      <c r="S64" s="4" t="s">
        <v>163</v>
      </c>
      <c r="T64" s="4" t="s">
        <v>37</v>
      </c>
      <c r="U64" s="4" t="s">
        <v>37</v>
      </c>
      <c r="V64" s="4" t="s">
        <v>460</v>
      </c>
      <c r="W64" s="4" t="s">
        <v>37</v>
      </c>
      <c r="X64" s="4" t="s">
        <v>37</v>
      </c>
      <c r="Y64" s="4" t="s">
        <v>37</v>
      </c>
      <c r="Z64" s="4" t="s">
        <v>53</v>
      </c>
      <c r="AA64" s="4" t="s">
        <v>179</v>
      </c>
    </row>
    <row r="65" spans="1:27" s="1" customFormat="1" x14ac:dyDescent="0.3">
      <c r="A65" s="19">
        <v>19127</v>
      </c>
      <c r="B65" s="4" t="s">
        <v>461</v>
      </c>
      <c r="C65" s="4" t="e">
        <v>#N/A</v>
      </c>
      <c r="D65" s="5">
        <v>42382.49726851852</v>
      </c>
      <c r="E65" s="5" t="s">
        <v>2080</v>
      </c>
      <c r="F65" s="4" t="s">
        <v>26</v>
      </c>
      <c r="G65" s="4" t="s">
        <v>47</v>
      </c>
      <c r="H65" s="4" t="s">
        <v>47</v>
      </c>
      <c r="I65" s="4" t="s">
        <v>48</v>
      </c>
      <c r="J65" s="4" t="s">
        <v>49</v>
      </c>
      <c r="K65" s="4" t="s">
        <v>31</v>
      </c>
      <c r="L65" s="5">
        <v>42391.916666666664</v>
      </c>
      <c r="M65" s="5">
        <v>42392.208333333336</v>
      </c>
      <c r="N65" s="5">
        <v>42392.25</v>
      </c>
      <c r="O65" s="4" t="s">
        <v>32</v>
      </c>
      <c r="P65" s="4" t="s">
        <v>33</v>
      </c>
      <c r="Q65" s="4" t="s">
        <v>50</v>
      </c>
      <c r="R65" s="4" t="s">
        <v>462</v>
      </c>
      <c r="S65" s="4" t="s">
        <v>462</v>
      </c>
      <c r="T65" s="4" t="s">
        <v>36</v>
      </c>
      <c r="U65" s="4" t="s">
        <v>37</v>
      </c>
      <c r="V65" s="4" t="s">
        <v>66</v>
      </c>
      <c r="W65" s="4" t="s">
        <v>37</v>
      </c>
      <c r="X65" s="4" t="s">
        <v>37</v>
      </c>
      <c r="Y65" s="4" t="s">
        <v>36</v>
      </c>
      <c r="Z65" s="4" t="s">
        <v>53</v>
      </c>
      <c r="AA65" s="4"/>
    </row>
    <row r="66" spans="1:27" s="1" customFormat="1" x14ac:dyDescent="0.3">
      <c r="A66" s="19">
        <v>19128</v>
      </c>
      <c r="B66" s="4" t="s">
        <v>463</v>
      </c>
      <c r="C66" s="4" t="e">
        <v>#N/A</v>
      </c>
      <c r="D66" s="5">
        <v>42382.549930555557</v>
      </c>
      <c r="E66" s="5" t="s">
        <v>2080</v>
      </c>
      <c r="F66" s="4" t="s">
        <v>26</v>
      </c>
      <c r="G66" s="4" t="s">
        <v>464</v>
      </c>
      <c r="H66" s="4" t="s">
        <v>465</v>
      </c>
      <c r="I66" s="4" t="s">
        <v>174</v>
      </c>
      <c r="J66" s="4" t="s">
        <v>466</v>
      </c>
      <c r="K66" s="4" t="s">
        <v>31</v>
      </c>
      <c r="L66" s="5">
        <v>42382.583333333336</v>
      </c>
      <c r="M66" s="5">
        <v>42382.75</v>
      </c>
      <c r="N66" s="5">
        <v>42382.791666666664</v>
      </c>
      <c r="O66" s="4" t="s">
        <v>250</v>
      </c>
      <c r="P66" s="4" t="s">
        <v>89</v>
      </c>
      <c r="Q66" s="4" t="s">
        <v>251</v>
      </c>
      <c r="R66" s="6" t="s">
        <v>77</v>
      </c>
      <c r="S66" s="6" t="s">
        <v>77</v>
      </c>
      <c r="T66" s="4" t="s">
        <v>36</v>
      </c>
      <c r="U66" s="4" t="s">
        <v>37</v>
      </c>
      <c r="V66" s="4" t="s">
        <v>467</v>
      </c>
      <c r="W66" s="4" t="s">
        <v>37</v>
      </c>
      <c r="X66" s="4" t="s">
        <v>37</v>
      </c>
      <c r="Y66" s="4" t="s">
        <v>36</v>
      </c>
      <c r="Z66" s="4" t="s">
        <v>468</v>
      </c>
      <c r="AA66" s="4" t="s">
        <v>93</v>
      </c>
    </row>
    <row r="67" spans="1:27" s="1" customFormat="1" x14ac:dyDescent="0.3">
      <c r="A67" s="19">
        <v>19129</v>
      </c>
      <c r="B67" s="4" t="s">
        <v>469</v>
      </c>
      <c r="C67" s="4" t="e">
        <v>#N/A</v>
      </c>
      <c r="D67" s="5">
        <v>42382.582604166666</v>
      </c>
      <c r="E67" s="5" t="s">
        <v>2080</v>
      </c>
      <c r="F67" s="4" t="s">
        <v>26</v>
      </c>
      <c r="G67" s="4" t="s">
        <v>244</v>
      </c>
      <c r="H67" s="4" t="s">
        <v>422</v>
      </c>
      <c r="I67" s="4" t="s">
        <v>118</v>
      </c>
      <c r="J67" s="4" t="s">
        <v>30</v>
      </c>
      <c r="K67" s="4" t="s">
        <v>31</v>
      </c>
      <c r="L67" s="5">
        <v>42388.000694444447</v>
      </c>
      <c r="M67" s="5">
        <v>42388.208333333336</v>
      </c>
      <c r="N67" s="5">
        <v>42388.25</v>
      </c>
      <c r="O67" s="4" t="s">
        <v>32</v>
      </c>
      <c r="P67" s="4" t="s">
        <v>33</v>
      </c>
      <c r="Q67" s="4" t="s">
        <v>50</v>
      </c>
      <c r="R67" s="6" t="s">
        <v>77</v>
      </c>
      <c r="S67" s="4" t="s">
        <v>470</v>
      </c>
      <c r="T67" s="4" t="s">
        <v>36</v>
      </c>
      <c r="U67" s="4" t="s">
        <v>37</v>
      </c>
      <c r="V67" s="4" t="s">
        <v>365</v>
      </c>
      <c r="W67" s="4" t="s">
        <v>37</v>
      </c>
      <c r="X67" s="4" t="s">
        <v>37</v>
      </c>
      <c r="Y67" s="4" t="s">
        <v>36</v>
      </c>
      <c r="Z67" s="4" t="s">
        <v>53</v>
      </c>
      <c r="AA67" s="4" t="s">
        <v>179</v>
      </c>
    </row>
    <row r="68" spans="1:27" s="1" customFormat="1" x14ac:dyDescent="0.3">
      <c r="A68" s="19">
        <v>19130</v>
      </c>
      <c r="B68" s="4" t="s">
        <v>232</v>
      </c>
      <c r="C68" s="4" t="e">
        <v>#N/A</v>
      </c>
      <c r="D68" s="5">
        <v>42382.583831018521</v>
      </c>
      <c r="E68" s="5" t="s">
        <v>2080</v>
      </c>
      <c r="F68" s="4" t="s">
        <v>26</v>
      </c>
      <c r="G68" s="4" t="s">
        <v>471</v>
      </c>
      <c r="H68" s="4" t="s">
        <v>234</v>
      </c>
      <c r="I68" s="4" t="s">
        <v>48</v>
      </c>
      <c r="J68" s="4" t="s">
        <v>49</v>
      </c>
      <c r="K68" s="4" t="s">
        <v>31</v>
      </c>
      <c r="L68" s="5">
        <v>42389</v>
      </c>
      <c r="M68" s="5">
        <v>42389.208333333336</v>
      </c>
      <c r="N68" s="5">
        <v>42389.25</v>
      </c>
      <c r="O68" s="4" t="s">
        <v>32</v>
      </c>
      <c r="P68" s="4" t="s">
        <v>33</v>
      </c>
      <c r="Q68" s="4" t="s">
        <v>34</v>
      </c>
      <c r="R68" s="4" t="s">
        <v>472</v>
      </c>
      <c r="S68" s="4" t="s">
        <v>472</v>
      </c>
      <c r="T68" s="4" t="s">
        <v>37</v>
      </c>
      <c r="U68" s="4" t="s">
        <v>37</v>
      </c>
      <c r="V68" s="4" t="s">
        <v>236</v>
      </c>
      <c r="W68" s="4" t="s">
        <v>37</v>
      </c>
      <c r="X68" s="4" t="s">
        <v>37</v>
      </c>
      <c r="Y68" s="4" t="s">
        <v>36</v>
      </c>
      <c r="Z68" s="4" t="s">
        <v>53</v>
      </c>
      <c r="AA68" s="4"/>
    </row>
    <row r="69" spans="1:27" s="1" customFormat="1" x14ac:dyDescent="0.3">
      <c r="A69" s="19">
        <v>19131</v>
      </c>
      <c r="B69" s="4" t="s">
        <v>232</v>
      </c>
      <c r="C69" s="4" t="e">
        <v>#N/A</v>
      </c>
      <c r="D69" s="5">
        <v>42382.825902777775</v>
      </c>
      <c r="E69" s="5" t="s">
        <v>2080</v>
      </c>
      <c r="F69" s="4" t="s">
        <v>26</v>
      </c>
      <c r="G69" s="4" t="s">
        <v>233</v>
      </c>
      <c r="H69" s="4" t="s">
        <v>473</v>
      </c>
      <c r="I69" s="4" t="s">
        <v>219</v>
      </c>
      <c r="J69" s="4" t="s">
        <v>49</v>
      </c>
      <c r="K69" s="4" t="s">
        <v>31</v>
      </c>
      <c r="L69" s="5">
        <v>42388</v>
      </c>
      <c r="M69" s="5">
        <v>42388.25</v>
      </c>
      <c r="N69" s="5">
        <v>42388.291666666664</v>
      </c>
      <c r="O69" s="4" t="s">
        <v>32</v>
      </c>
      <c r="P69" s="4" t="s">
        <v>33</v>
      </c>
      <c r="Q69" s="4" t="s">
        <v>34</v>
      </c>
      <c r="R69" s="4" t="s">
        <v>474</v>
      </c>
      <c r="S69" s="4" t="s">
        <v>474</v>
      </c>
      <c r="T69" s="4" t="s">
        <v>36</v>
      </c>
      <c r="U69" s="4" t="s">
        <v>37</v>
      </c>
      <c r="V69" s="4" t="s">
        <v>236</v>
      </c>
      <c r="W69" s="4" t="s">
        <v>37</v>
      </c>
      <c r="X69" s="4" t="s">
        <v>37</v>
      </c>
      <c r="Y69" s="4" t="s">
        <v>36</v>
      </c>
      <c r="Z69" s="4" t="s">
        <v>53</v>
      </c>
      <c r="AA69" s="4"/>
    </row>
    <row r="70" spans="1:27" s="1" customFormat="1" x14ac:dyDescent="0.3">
      <c r="A70" s="19">
        <v>19132</v>
      </c>
      <c r="B70" s="4" t="s">
        <v>232</v>
      </c>
      <c r="C70" s="4" t="e">
        <v>#N/A</v>
      </c>
      <c r="D70" s="5">
        <v>42382.904513888891</v>
      </c>
      <c r="E70" s="5" t="s">
        <v>2080</v>
      </c>
      <c r="F70" s="4" t="s">
        <v>26</v>
      </c>
      <c r="G70" s="4" t="s">
        <v>233</v>
      </c>
      <c r="H70" s="4" t="s">
        <v>234</v>
      </c>
      <c r="I70" s="4" t="s">
        <v>220</v>
      </c>
      <c r="J70" s="4" t="s">
        <v>49</v>
      </c>
      <c r="K70" s="4" t="s">
        <v>31</v>
      </c>
      <c r="L70" s="5">
        <v>42390</v>
      </c>
      <c r="M70" s="5">
        <v>42390.25</v>
      </c>
      <c r="N70" s="5">
        <v>42390.291666666664</v>
      </c>
      <c r="O70" s="4" t="s">
        <v>32</v>
      </c>
      <c r="P70" s="4" t="s">
        <v>33</v>
      </c>
      <c r="Q70" s="4" t="s">
        <v>34</v>
      </c>
      <c r="R70" s="4" t="s">
        <v>475</v>
      </c>
      <c r="S70" s="4" t="s">
        <v>475</v>
      </c>
      <c r="T70" s="4" t="s">
        <v>36</v>
      </c>
      <c r="U70" s="4" t="s">
        <v>37</v>
      </c>
      <c r="V70" s="4" t="s">
        <v>236</v>
      </c>
      <c r="W70" s="4" t="s">
        <v>37</v>
      </c>
      <c r="X70" s="4" t="s">
        <v>37</v>
      </c>
      <c r="Y70" s="4" t="s">
        <v>36</v>
      </c>
      <c r="Z70" s="4" t="s">
        <v>53</v>
      </c>
      <c r="AA70" s="4"/>
    </row>
    <row r="71" spans="1:27" s="1" customFormat="1" x14ac:dyDescent="0.3">
      <c r="A71" s="19">
        <v>19133</v>
      </c>
      <c r="B71" s="4" t="s">
        <v>399</v>
      </c>
      <c r="C71" s="4" t="e">
        <v>#N/A</v>
      </c>
      <c r="D71" s="5">
        <v>42383.468912037039</v>
      </c>
      <c r="E71" s="5" t="s">
        <v>2080</v>
      </c>
      <c r="F71" s="4" t="s">
        <v>26</v>
      </c>
      <c r="G71" s="4" t="s">
        <v>224</v>
      </c>
      <c r="H71" s="4" t="s">
        <v>224</v>
      </c>
      <c r="I71" s="4" t="s">
        <v>216</v>
      </c>
      <c r="J71" s="4" t="s">
        <v>30</v>
      </c>
      <c r="K71" s="4" t="s">
        <v>31</v>
      </c>
      <c r="L71" s="5">
        <v>42392.333333333336</v>
      </c>
      <c r="M71" s="5">
        <v>42400.708333333336</v>
      </c>
      <c r="N71" s="5">
        <v>42400.75</v>
      </c>
      <c r="O71" s="4" t="s">
        <v>32</v>
      </c>
      <c r="P71" s="4" t="s">
        <v>89</v>
      </c>
      <c r="Q71" s="4" t="s">
        <v>50</v>
      </c>
      <c r="R71" s="6" t="s">
        <v>77</v>
      </c>
      <c r="S71" s="4" t="s">
        <v>476</v>
      </c>
      <c r="T71" s="4" t="s">
        <v>37</v>
      </c>
      <c r="U71" s="4" t="s">
        <v>37</v>
      </c>
      <c r="V71" s="4" t="s">
        <v>401</v>
      </c>
      <c r="W71" s="4" t="s">
        <v>37</v>
      </c>
      <c r="X71" s="4" t="s">
        <v>36</v>
      </c>
      <c r="Y71" s="4" t="s">
        <v>36</v>
      </c>
      <c r="Z71" s="4" t="s">
        <v>399</v>
      </c>
      <c r="AA71" s="4" t="s">
        <v>40</v>
      </c>
    </row>
    <row r="72" spans="1:27" s="1" customFormat="1" x14ac:dyDescent="0.3">
      <c r="A72" s="19">
        <v>19134</v>
      </c>
      <c r="B72" s="4" t="s">
        <v>477</v>
      </c>
      <c r="C72" s="4">
        <v>0</v>
      </c>
      <c r="D72" s="5">
        <v>42383.506412037037</v>
      </c>
      <c r="E72" s="5" t="s">
        <v>2080</v>
      </c>
      <c r="F72" s="4" t="s">
        <v>26</v>
      </c>
      <c r="G72" s="4" t="s">
        <v>478</v>
      </c>
      <c r="H72" s="4" t="s">
        <v>478</v>
      </c>
      <c r="I72" s="4" t="s">
        <v>71</v>
      </c>
      <c r="J72" s="4" t="s">
        <v>479</v>
      </c>
      <c r="K72" s="4" t="s">
        <v>31</v>
      </c>
      <c r="L72" s="5">
        <v>42398.9375</v>
      </c>
      <c r="M72" s="5">
        <v>42398.979166666664</v>
      </c>
      <c r="N72" s="5">
        <v>42399.208333333336</v>
      </c>
      <c r="O72" s="4" t="s">
        <v>32</v>
      </c>
      <c r="P72" s="4" t="s">
        <v>33</v>
      </c>
      <c r="Q72" s="4" t="s">
        <v>50</v>
      </c>
      <c r="R72" s="6" t="s">
        <v>77</v>
      </c>
      <c r="S72" s="4" t="s">
        <v>230</v>
      </c>
      <c r="T72" s="4" t="s">
        <v>37</v>
      </c>
      <c r="U72" s="4" t="s">
        <v>37</v>
      </c>
      <c r="V72" s="4" t="s">
        <v>480</v>
      </c>
      <c r="W72" s="4" t="s">
        <v>37</v>
      </c>
      <c r="X72" s="4" t="s">
        <v>37</v>
      </c>
      <c r="Y72" s="4" t="s">
        <v>36</v>
      </c>
      <c r="Z72" s="4"/>
      <c r="AA72" s="4" t="s">
        <v>481</v>
      </c>
    </row>
    <row r="73" spans="1:27" s="1" customFormat="1" x14ac:dyDescent="0.3">
      <c r="A73" s="19">
        <v>19136</v>
      </c>
      <c r="B73" s="4" t="s">
        <v>482</v>
      </c>
      <c r="C73" s="4" t="e">
        <v>#N/A</v>
      </c>
      <c r="D73" s="5">
        <v>42383.625891203701</v>
      </c>
      <c r="E73" s="5" t="s">
        <v>2080</v>
      </c>
      <c r="F73" s="4" t="s">
        <v>26</v>
      </c>
      <c r="G73" s="4" t="s">
        <v>417</v>
      </c>
      <c r="H73" s="4" t="s">
        <v>483</v>
      </c>
      <c r="I73" s="4" t="s">
        <v>56</v>
      </c>
      <c r="J73" s="4" t="s">
        <v>484</v>
      </c>
      <c r="K73" s="4" t="s">
        <v>31</v>
      </c>
      <c r="L73" s="5">
        <v>42397.840277777781</v>
      </c>
      <c r="M73" s="5">
        <v>42397.965277777781</v>
      </c>
      <c r="N73" s="5">
        <v>42398.083333333336</v>
      </c>
      <c r="O73" s="4" t="s">
        <v>32</v>
      </c>
      <c r="P73" s="4" t="s">
        <v>33</v>
      </c>
      <c r="Q73" s="4" t="s">
        <v>50</v>
      </c>
      <c r="R73" s="4" t="s">
        <v>485</v>
      </c>
      <c r="S73" s="4" t="s">
        <v>485</v>
      </c>
      <c r="T73" s="4" t="s">
        <v>37</v>
      </c>
      <c r="U73" s="4" t="s">
        <v>37</v>
      </c>
      <c r="V73" s="4" t="s">
        <v>486</v>
      </c>
      <c r="W73" s="4" t="s">
        <v>37</v>
      </c>
      <c r="X73" s="4" t="s">
        <v>37</v>
      </c>
      <c r="Y73" s="4" t="s">
        <v>36</v>
      </c>
      <c r="Z73" s="4" t="s">
        <v>487</v>
      </c>
      <c r="AA73" s="4" t="s">
        <v>346</v>
      </c>
    </row>
    <row r="74" spans="1:27" s="1" customFormat="1" x14ac:dyDescent="0.3">
      <c r="A74" s="19">
        <v>19138</v>
      </c>
      <c r="B74" s="4" t="s">
        <v>488</v>
      </c>
      <c r="C74" s="4" t="e">
        <v>#N/A</v>
      </c>
      <c r="D74" s="5">
        <v>42383.698599537034</v>
      </c>
      <c r="E74" s="5" t="s">
        <v>2080</v>
      </c>
      <c r="F74" s="4" t="s">
        <v>26</v>
      </c>
      <c r="G74" s="4" t="s">
        <v>489</v>
      </c>
      <c r="H74" s="4" t="s">
        <v>489</v>
      </c>
      <c r="I74" s="4" t="s">
        <v>219</v>
      </c>
      <c r="J74" s="4" t="s">
        <v>30</v>
      </c>
      <c r="K74" s="4" t="s">
        <v>31</v>
      </c>
      <c r="L74" s="5">
        <v>42398.958333333336</v>
      </c>
      <c r="M74" s="5">
        <v>42399.166666666664</v>
      </c>
      <c r="N74" s="5">
        <v>42399.208333333336</v>
      </c>
      <c r="O74" s="4" t="s">
        <v>32</v>
      </c>
      <c r="P74" s="4" t="s">
        <v>33</v>
      </c>
      <c r="Q74" s="4" t="s">
        <v>34</v>
      </c>
      <c r="R74" s="6" t="s">
        <v>77</v>
      </c>
      <c r="S74" s="4" t="s">
        <v>176</v>
      </c>
      <c r="T74" s="4" t="s">
        <v>37</v>
      </c>
      <c r="U74" s="4" t="s">
        <v>37</v>
      </c>
      <c r="V74" s="4" t="s">
        <v>490</v>
      </c>
      <c r="W74" s="4" t="s">
        <v>37</v>
      </c>
      <c r="X74" s="4" t="s">
        <v>37</v>
      </c>
      <c r="Y74" s="4" t="s">
        <v>36</v>
      </c>
      <c r="Z74" s="4" t="s">
        <v>53</v>
      </c>
      <c r="AA74" s="4" t="s">
        <v>40</v>
      </c>
    </row>
    <row r="75" spans="1:27" s="1" customFormat="1" x14ac:dyDescent="0.3">
      <c r="A75" s="19">
        <v>19139</v>
      </c>
      <c r="B75" s="4" t="s">
        <v>491</v>
      </c>
      <c r="C75" s="4" t="e">
        <v>#N/A</v>
      </c>
      <c r="D75" s="5">
        <v>42383.735763888886</v>
      </c>
      <c r="E75" s="5" t="s">
        <v>2080</v>
      </c>
      <c r="F75" s="4" t="s">
        <v>26</v>
      </c>
      <c r="G75" s="4" t="s">
        <v>387</v>
      </c>
      <c r="H75" s="4" t="s">
        <v>117</v>
      </c>
      <c r="I75" s="4" t="s">
        <v>118</v>
      </c>
      <c r="J75" s="4" t="s">
        <v>30</v>
      </c>
      <c r="K75" s="4" t="s">
        <v>31</v>
      </c>
      <c r="L75" s="5">
        <v>42383.541666666664</v>
      </c>
      <c r="M75" s="5">
        <v>42383.75</v>
      </c>
      <c r="N75" s="5">
        <v>42383.75</v>
      </c>
      <c r="O75" s="4" t="s">
        <v>492</v>
      </c>
      <c r="P75" s="4" t="s">
        <v>89</v>
      </c>
      <c r="Q75" s="4" t="s">
        <v>251</v>
      </c>
      <c r="R75" s="4" t="s">
        <v>388</v>
      </c>
      <c r="S75" s="4" t="s">
        <v>388</v>
      </c>
      <c r="T75" s="4" t="s">
        <v>37</v>
      </c>
      <c r="U75" s="4" t="s">
        <v>37</v>
      </c>
      <c r="V75" s="4" t="s">
        <v>389</v>
      </c>
      <c r="W75" s="4" t="s">
        <v>37</v>
      </c>
      <c r="X75" s="4" t="s">
        <v>37</v>
      </c>
      <c r="Y75" s="4" t="s">
        <v>36</v>
      </c>
      <c r="Z75" s="4" t="s">
        <v>493</v>
      </c>
      <c r="AA75" s="4" t="s">
        <v>93</v>
      </c>
    </row>
    <row r="76" spans="1:27" s="1" customFormat="1" x14ac:dyDescent="0.3">
      <c r="A76" s="19">
        <v>19140</v>
      </c>
      <c r="B76" s="4" t="s">
        <v>232</v>
      </c>
      <c r="C76" s="4" t="e">
        <v>#N/A</v>
      </c>
      <c r="D76" s="5">
        <v>42383.812013888892</v>
      </c>
      <c r="E76" s="5" t="s">
        <v>2080</v>
      </c>
      <c r="F76" s="4" t="s">
        <v>26</v>
      </c>
      <c r="G76" s="4" t="s">
        <v>233</v>
      </c>
      <c r="H76" s="4" t="s">
        <v>234</v>
      </c>
      <c r="I76" s="4" t="s">
        <v>83</v>
      </c>
      <c r="J76" s="4" t="s">
        <v>49</v>
      </c>
      <c r="K76" s="4" t="s">
        <v>31</v>
      </c>
      <c r="L76" s="5">
        <v>42391</v>
      </c>
      <c r="M76" s="5">
        <v>42391.25</v>
      </c>
      <c r="N76" s="5">
        <v>42391.291666666664</v>
      </c>
      <c r="O76" s="4" t="s">
        <v>32</v>
      </c>
      <c r="P76" s="4" t="s">
        <v>33</v>
      </c>
      <c r="Q76" s="4" t="s">
        <v>34</v>
      </c>
      <c r="R76" s="4" t="s">
        <v>494</v>
      </c>
      <c r="S76" s="4" t="s">
        <v>494</v>
      </c>
      <c r="T76" s="4" t="s">
        <v>36</v>
      </c>
      <c r="U76" s="4" t="s">
        <v>37</v>
      </c>
      <c r="V76" s="4" t="s">
        <v>236</v>
      </c>
      <c r="W76" s="4" t="s">
        <v>37</v>
      </c>
      <c r="X76" s="4" t="s">
        <v>37</v>
      </c>
      <c r="Y76" s="4" t="s">
        <v>36</v>
      </c>
      <c r="Z76" s="4" t="s">
        <v>53</v>
      </c>
      <c r="AA76" s="4"/>
    </row>
    <row r="77" spans="1:27" s="1" customFormat="1" x14ac:dyDescent="0.3">
      <c r="A77" s="19">
        <v>19141</v>
      </c>
      <c r="B77" s="4" t="s">
        <v>232</v>
      </c>
      <c r="C77" s="4" t="e">
        <v>#N/A</v>
      </c>
      <c r="D77" s="5">
        <v>42383.84784722222</v>
      </c>
      <c r="E77" s="5" t="s">
        <v>2080</v>
      </c>
      <c r="F77" s="4" t="s">
        <v>26</v>
      </c>
      <c r="G77" s="4" t="s">
        <v>233</v>
      </c>
      <c r="H77" s="4" t="s">
        <v>234</v>
      </c>
      <c r="I77" s="4" t="s">
        <v>56</v>
      </c>
      <c r="J77" s="4" t="s">
        <v>49</v>
      </c>
      <c r="K77" s="4" t="s">
        <v>31</v>
      </c>
      <c r="L77" s="5">
        <v>42392</v>
      </c>
      <c r="M77" s="5">
        <v>42392.25</v>
      </c>
      <c r="N77" s="5">
        <v>42392.291666666664</v>
      </c>
      <c r="O77" s="4" t="s">
        <v>32</v>
      </c>
      <c r="P77" s="4" t="s">
        <v>33</v>
      </c>
      <c r="Q77" s="4" t="s">
        <v>34</v>
      </c>
      <c r="R77" s="4" t="s">
        <v>495</v>
      </c>
      <c r="S77" s="4" t="s">
        <v>495</v>
      </c>
      <c r="T77" s="4" t="s">
        <v>37</v>
      </c>
      <c r="U77" s="4" t="s">
        <v>37</v>
      </c>
      <c r="V77" s="4" t="s">
        <v>236</v>
      </c>
      <c r="W77" s="4" t="s">
        <v>37</v>
      </c>
      <c r="X77" s="4" t="s">
        <v>37</v>
      </c>
      <c r="Y77" s="4" t="s">
        <v>36</v>
      </c>
      <c r="Z77" s="4" t="s">
        <v>53</v>
      </c>
      <c r="AA77" s="4"/>
    </row>
    <row r="78" spans="1:27" s="1" customFormat="1" x14ac:dyDescent="0.3">
      <c r="A78" s="19">
        <v>19143</v>
      </c>
      <c r="B78" s="4" t="s">
        <v>496</v>
      </c>
      <c r="C78" s="4" t="e">
        <v>#N/A</v>
      </c>
      <c r="D78" s="5">
        <v>42384.416504629633</v>
      </c>
      <c r="E78" s="5" t="s">
        <v>2080</v>
      </c>
      <c r="F78" s="4" t="s">
        <v>26</v>
      </c>
      <c r="G78" s="4" t="s">
        <v>497</v>
      </c>
      <c r="H78" s="4" t="s">
        <v>498</v>
      </c>
      <c r="I78" s="4" t="s">
        <v>203</v>
      </c>
      <c r="J78" s="4" t="s">
        <v>49</v>
      </c>
      <c r="K78" s="4" t="s">
        <v>31</v>
      </c>
      <c r="L78" s="5">
        <v>42397.416666666664</v>
      </c>
      <c r="M78" s="5">
        <v>42397.583333333336</v>
      </c>
      <c r="N78" s="5">
        <v>42397.625</v>
      </c>
      <c r="O78" s="4" t="s">
        <v>32</v>
      </c>
      <c r="P78" s="4" t="s">
        <v>33</v>
      </c>
      <c r="Q78" s="4" t="s">
        <v>76</v>
      </c>
      <c r="R78" s="4" t="s">
        <v>499</v>
      </c>
      <c r="S78" s="4" t="s">
        <v>499</v>
      </c>
      <c r="T78" s="4" t="s">
        <v>37</v>
      </c>
      <c r="U78" s="4" t="s">
        <v>37</v>
      </c>
      <c r="V78" s="4" t="s">
        <v>500</v>
      </c>
      <c r="W78" s="4" t="s">
        <v>37</v>
      </c>
      <c r="X78" s="4" t="s">
        <v>37</v>
      </c>
      <c r="Y78" s="4" t="s">
        <v>36</v>
      </c>
      <c r="Z78" s="4" t="s">
        <v>39</v>
      </c>
      <c r="AA78" s="4"/>
    </row>
    <row r="79" spans="1:27" s="1" customFormat="1" x14ac:dyDescent="0.3">
      <c r="A79" s="19">
        <v>19146</v>
      </c>
      <c r="B79" s="4" t="s">
        <v>335</v>
      </c>
      <c r="C79" s="4" t="e">
        <v>#N/A</v>
      </c>
      <c r="D79" s="5">
        <v>42384.583310185182</v>
      </c>
      <c r="E79" s="5" t="s">
        <v>2080</v>
      </c>
      <c r="F79" s="4" t="s">
        <v>26</v>
      </c>
      <c r="G79" s="4" t="s">
        <v>336</v>
      </c>
      <c r="H79" s="4" t="s">
        <v>336</v>
      </c>
      <c r="I79" s="4" t="s">
        <v>203</v>
      </c>
      <c r="J79" s="4" t="s">
        <v>49</v>
      </c>
      <c r="K79" s="4" t="s">
        <v>31</v>
      </c>
      <c r="L79" s="5">
        <v>42394.4375</v>
      </c>
      <c r="M79" s="5">
        <v>42394.479166666664</v>
      </c>
      <c r="N79" s="5">
        <v>42394.5</v>
      </c>
      <c r="O79" s="4" t="s">
        <v>32</v>
      </c>
      <c r="P79" s="4" t="s">
        <v>89</v>
      </c>
      <c r="Q79" s="4" t="s">
        <v>76</v>
      </c>
      <c r="R79" s="4" t="s">
        <v>337</v>
      </c>
      <c r="S79" s="4" t="s">
        <v>337</v>
      </c>
      <c r="T79" s="4" t="s">
        <v>37</v>
      </c>
      <c r="U79" s="4" t="s">
        <v>37</v>
      </c>
      <c r="V79" s="4" t="s">
        <v>338</v>
      </c>
      <c r="W79" s="4" t="s">
        <v>37</v>
      </c>
      <c r="X79" s="4" t="s">
        <v>37</v>
      </c>
      <c r="Y79" s="4" t="s">
        <v>36</v>
      </c>
      <c r="Z79" s="4" t="s">
        <v>501</v>
      </c>
      <c r="AA79" s="4"/>
    </row>
    <row r="80" spans="1:27" s="1" customFormat="1" x14ac:dyDescent="0.3">
      <c r="A80" s="19">
        <v>19147</v>
      </c>
      <c r="B80" s="4" t="s">
        <v>502</v>
      </c>
      <c r="C80" s="4" t="e">
        <v>#N/A</v>
      </c>
      <c r="D80" s="5">
        <v>42384.604270833333</v>
      </c>
      <c r="E80" s="5" t="s">
        <v>2080</v>
      </c>
      <c r="F80" s="4" t="s">
        <v>26</v>
      </c>
      <c r="G80" s="4" t="s">
        <v>306</v>
      </c>
      <c r="H80" s="4" t="s">
        <v>422</v>
      </c>
      <c r="I80" s="4" t="s">
        <v>118</v>
      </c>
      <c r="J80" s="4" t="s">
        <v>30</v>
      </c>
      <c r="K80" s="4" t="s">
        <v>31</v>
      </c>
      <c r="L80" s="5">
        <v>42394.916666666664</v>
      </c>
      <c r="M80" s="5">
        <v>42395.5</v>
      </c>
      <c r="N80" s="5">
        <v>42395.75</v>
      </c>
      <c r="O80" s="4" t="s">
        <v>32</v>
      </c>
      <c r="P80" s="4" t="s">
        <v>149</v>
      </c>
      <c r="Q80" s="4" t="s">
        <v>34</v>
      </c>
      <c r="R80" s="6" t="s">
        <v>77</v>
      </c>
      <c r="S80" s="4" t="s">
        <v>503</v>
      </c>
      <c r="T80" s="4" t="s">
        <v>37</v>
      </c>
      <c r="U80" s="4" t="s">
        <v>37</v>
      </c>
      <c r="V80" s="4" t="s">
        <v>504</v>
      </c>
      <c r="W80" s="4" t="s">
        <v>37</v>
      </c>
      <c r="X80" s="4" t="s">
        <v>37</v>
      </c>
      <c r="Y80" s="4" t="s">
        <v>36</v>
      </c>
      <c r="Z80" s="4" t="s">
        <v>505</v>
      </c>
      <c r="AA80" s="4" t="s">
        <v>93</v>
      </c>
    </row>
    <row r="81" spans="1:27" s="1" customFormat="1" x14ac:dyDescent="0.3">
      <c r="A81" s="19">
        <v>19150</v>
      </c>
      <c r="B81" s="4" t="s">
        <v>506</v>
      </c>
      <c r="C81" s="4" t="e">
        <v>#N/A</v>
      </c>
      <c r="D81" s="5">
        <v>42384.631886574076</v>
      </c>
      <c r="E81" s="5" t="s">
        <v>2080</v>
      </c>
      <c r="F81" s="4" t="s">
        <v>26</v>
      </c>
      <c r="G81" s="4" t="s">
        <v>507</v>
      </c>
      <c r="H81" s="4" t="s">
        <v>508</v>
      </c>
      <c r="I81" s="4" t="s">
        <v>218</v>
      </c>
      <c r="J81" s="4" t="s">
        <v>185</v>
      </c>
      <c r="K81" s="4" t="s">
        <v>31</v>
      </c>
      <c r="L81" s="5">
        <v>42397.958333333336</v>
      </c>
      <c r="M81" s="5">
        <v>42398.041666666664</v>
      </c>
      <c r="N81" s="5">
        <v>42398.083333333336</v>
      </c>
      <c r="O81" s="4" t="s">
        <v>32</v>
      </c>
      <c r="P81" s="4" t="s">
        <v>33</v>
      </c>
      <c r="Q81" s="4" t="s">
        <v>34</v>
      </c>
      <c r="R81" s="4" t="s">
        <v>509</v>
      </c>
      <c r="S81" s="4" t="s">
        <v>509</v>
      </c>
      <c r="T81" s="4" t="s">
        <v>36</v>
      </c>
      <c r="U81" s="4" t="s">
        <v>36</v>
      </c>
      <c r="V81" s="4" t="s">
        <v>510</v>
      </c>
      <c r="W81" s="4" t="s">
        <v>37</v>
      </c>
      <c r="X81" s="4" t="s">
        <v>37</v>
      </c>
      <c r="Y81" s="4" t="s">
        <v>36</v>
      </c>
      <c r="Z81" s="4" t="s">
        <v>511</v>
      </c>
      <c r="AA81" s="4" t="s">
        <v>187</v>
      </c>
    </row>
    <row r="82" spans="1:27" s="1" customFormat="1" x14ac:dyDescent="0.3">
      <c r="A82" s="19">
        <v>19151</v>
      </c>
      <c r="B82" s="4" t="s">
        <v>512</v>
      </c>
      <c r="C82" s="4" t="e">
        <v>#N/A</v>
      </c>
      <c r="D82" s="5">
        <v>42384.681620370371</v>
      </c>
      <c r="E82" s="5" t="s">
        <v>2080</v>
      </c>
      <c r="F82" s="4" t="s">
        <v>26</v>
      </c>
      <c r="G82" s="4" t="s">
        <v>513</v>
      </c>
      <c r="H82" s="4" t="s">
        <v>435</v>
      </c>
      <c r="I82" s="4" t="s">
        <v>125</v>
      </c>
      <c r="J82" s="4" t="s">
        <v>30</v>
      </c>
      <c r="K82" s="4" t="s">
        <v>31</v>
      </c>
      <c r="L82" s="5">
        <v>42388.583333333336</v>
      </c>
      <c r="M82" s="5">
        <v>42391.689583333333</v>
      </c>
      <c r="N82" s="5">
        <v>42391.731249999997</v>
      </c>
      <c r="O82" s="4" t="s">
        <v>250</v>
      </c>
      <c r="P82" s="4" t="s">
        <v>149</v>
      </c>
      <c r="Q82" s="4" t="s">
        <v>251</v>
      </c>
      <c r="R82" s="4" t="s">
        <v>514</v>
      </c>
      <c r="S82" s="4" t="s">
        <v>514</v>
      </c>
      <c r="T82" s="4" t="s">
        <v>37</v>
      </c>
      <c r="U82" s="4" t="s">
        <v>37</v>
      </c>
      <c r="V82" s="4" t="s">
        <v>515</v>
      </c>
      <c r="W82" s="4" t="s">
        <v>37</v>
      </c>
      <c r="X82" s="4" t="s">
        <v>37</v>
      </c>
      <c r="Y82" s="4" t="s">
        <v>37</v>
      </c>
      <c r="Z82" s="4" t="s">
        <v>53</v>
      </c>
      <c r="AA82" s="4" t="s">
        <v>179</v>
      </c>
    </row>
    <row r="83" spans="1:27" s="1" customFormat="1" x14ac:dyDescent="0.3">
      <c r="A83" s="19">
        <v>19152</v>
      </c>
      <c r="B83" s="4" t="s">
        <v>516</v>
      </c>
      <c r="C83" s="4" t="e">
        <v>#N/A</v>
      </c>
      <c r="D83" s="5">
        <v>42384.713090277779</v>
      </c>
      <c r="E83" s="5" t="s">
        <v>2080</v>
      </c>
      <c r="F83" s="4" t="s">
        <v>26</v>
      </c>
      <c r="G83" s="4" t="s">
        <v>244</v>
      </c>
      <c r="H83" s="4" t="s">
        <v>422</v>
      </c>
      <c r="I83" s="4" t="s">
        <v>118</v>
      </c>
      <c r="J83" s="4" t="s">
        <v>30</v>
      </c>
      <c r="K83" s="4" t="s">
        <v>31</v>
      </c>
      <c r="L83" s="5">
        <v>42390.916666666664</v>
      </c>
      <c r="M83" s="5">
        <v>42391.208333333336</v>
      </c>
      <c r="N83" s="5">
        <v>42391.25</v>
      </c>
      <c r="O83" s="4" t="s">
        <v>32</v>
      </c>
      <c r="P83" s="4" t="s">
        <v>33</v>
      </c>
      <c r="Q83" s="4" t="s">
        <v>251</v>
      </c>
      <c r="R83" s="6" t="s">
        <v>77</v>
      </c>
      <c r="S83" s="4" t="s">
        <v>517</v>
      </c>
      <c r="T83" s="4" t="s">
        <v>36</v>
      </c>
      <c r="U83" s="4" t="s">
        <v>37</v>
      </c>
      <c r="V83" s="4" t="s">
        <v>365</v>
      </c>
      <c r="W83" s="4" t="s">
        <v>36</v>
      </c>
      <c r="X83" s="4" t="s">
        <v>37</v>
      </c>
      <c r="Y83" s="4" t="s">
        <v>36</v>
      </c>
      <c r="Z83" s="4" t="s">
        <v>53</v>
      </c>
      <c r="AA83" s="4" t="s">
        <v>179</v>
      </c>
    </row>
    <row r="84" spans="1:27" s="1" customFormat="1" x14ac:dyDescent="0.3">
      <c r="A84" s="19">
        <v>19153</v>
      </c>
      <c r="B84" s="4" t="s">
        <v>232</v>
      </c>
      <c r="C84" s="4" t="e">
        <v>#N/A</v>
      </c>
      <c r="D84" s="5">
        <v>42384.730219907404</v>
      </c>
      <c r="E84" s="5" t="s">
        <v>2080</v>
      </c>
      <c r="F84" s="4" t="s">
        <v>26</v>
      </c>
      <c r="G84" s="4" t="s">
        <v>233</v>
      </c>
      <c r="H84" s="4" t="s">
        <v>234</v>
      </c>
      <c r="I84" s="4" t="s">
        <v>212</v>
      </c>
      <c r="J84" s="4" t="s">
        <v>49</v>
      </c>
      <c r="K84" s="4" t="s">
        <v>31</v>
      </c>
      <c r="L84" s="5">
        <v>42395</v>
      </c>
      <c r="M84" s="5">
        <v>42395.25</v>
      </c>
      <c r="N84" s="5">
        <v>42395.291666666664</v>
      </c>
      <c r="O84" s="4" t="s">
        <v>32</v>
      </c>
      <c r="P84" s="4" t="s">
        <v>33</v>
      </c>
      <c r="Q84" s="4" t="s">
        <v>34</v>
      </c>
      <c r="R84" s="4" t="s">
        <v>518</v>
      </c>
      <c r="S84" s="4" t="s">
        <v>518</v>
      </c>
      <c r="T84" s="4" t="s">
        <v>36</v>
      </c>
      <c r="U84" s="4" t="s">
        <v>37</v>
      </c>
      <c r="V84" s="4" t="s">
        <v>236</v>
      </c>
      <c r="W84" s="4" t="s">
        <v>37</v>
      </c>
      <c r="X84" s="4" t="s">
        <v>37</v>
      </c>
      <c r="Y84" s="4" t="s">
        <v>36</v>
      </c>
      <c r="Z84" s="4" t="s">
        <v>53</v>
      </c>
      <c r="AA84" s="4"/>
    </row>
    <row r="85" spans="1:27" s="1" customFormat="1" x14ac:dyDescent="0.3">
      <c r="A85" s="19">
        <v>19155</v>
      </c>
      <c r="B85" s="4" t="s">
        <v>519</v>
      </c>
      <c r="C85" s="4" t="e">
        <v>#N/A</v>
      </c>
      <c r="D85" s="5">
        <v>42387.357812499999</v>
      </c>
      <c r="E85" s="5" t="s">
        <v>2080</v>
      </c>
      <c r="F85" s="4" t="s">
        <v>26</v>
      </c>
      <c r="G85" s="4" t="s">
        <v>520</v>
      </c>
      <c r="H85" s="4" t="s">
        <v>264</v>
      </c>
      <c r="I85" s="4" t="s">
        <v>203</v>
      </c>
      <c r="J85" s="4" t="s">
        <v>30</v>
      </c>
      <c r="K85" s="4" t="s">
        <v>31</v>
      </c>
      <c r="L85" s="5">
        <v>42396.916666666664</v>
      </c>
      <c r="M85" s="5">
        <v>42397.458333333336</v>
      </c>
      <c r="N85" s="5">
        <v>42397.583333333336</v>
      </c>
      <c r="O85" s="4" t="s">
        <v>32</v>
      </c>
      <c r="P85" s="4" t="s">
        <v>89</v>
      </c>
      <c r="Q85" s="4" t="s">
        <v>251</v>
      </c>
      <c r="R85" s="4" t="s">
        <v>266</v>
      </c>
      <c r="S85" s="4" t="s">
        <v>521</v>
      </c>
      <c r="T85" s="4" t="s">
        <v>37</v>
      </c>
      <c r="U85" s="4" t="s">
        <v>37</v>
      </c>
      <c r="V85" s="4" t="s">
        <v>267</v>
      </c>
      <c r="W85" s="4" t="s">
        <v>37</v>
      </c>
      <c r="X85" s="4" t="s">
        <v>37</v>
      </c>
      <c r="Y85" s="4" t="s">
        <v>36</v>
      </c>
      <c r="Z85" s="4" t="s">
        <v>522</v>
      </c>
      <c r="AA85" s="4" t="s">
        <v>40</v>
      </c>
    </row>
    <row r="86" spans="1:27" s="1" customFormat="1" x14ac:dyDescent="0.3">
      <c r="A86" s="19">
        <v>19156</v>
      </c>
      <c r="B86" s="4" t="s">
        <v>523</v>
      </c>
      <c r="C86" s="4" t="e">
        <v>#N/A</v>
      </c>
      <c r="D86" s="5">
        <v>42387.424861111111</v>
      </c>
      <c r="E86" s="5" t="s">
        <v>2080</v>
      </c>
      <c r="F86" s="4" t="s">
        <v>26</v>
      </c>
      <c r="G86" s="4" t="s">
        <v>524</v>
      </c>
      <c r="H86" s="4" t="s">
        <v>524</v>
      </c>
      <c r="I86" s="4" t="s">
        <v>210</v>
      </c>
      <c r="J86" s="4" t="s">
        <v>49</v>
      </c>
      <c r="K86" s="4" t="s">
        <v>31</v>
      </c>
      <c r="L86" s="5">
        <v>42399.916666666664</v>
      </c>
      <c r="M86" s="5">
        <v>42400.291666666664</v>
      </c>
      <c r="N86" s="5">
        <v>42400.333333333336</v>
      </c>
      <c r="O86" s="4" t="s">
        <v>32</v>
      </c>
      <c r="P86" s="4" t="s">
        <v>33</v>
      </c>
      <c r="Q86" s="4" t="s">
        <v>34</v>
      </c>
      <c r="R86" s="6" t="s">
        <v>77</v>
      </c>
      <c r="S86" s="4" t="s">
        <v>525</v>
      </c>
      <c r="T86" s="4" t="s">
        <v>37</v>
      </c>
      <c r="U86" s="4" t="s">
        <v>37</v>
      </c>
      <c r="V86" s="4" t="s">
        <v>526</v>
      </c>
      <c r="W86" s="4" t="s">
        <v>37</v>
      </c>
      <c r="X86" s="4" t="s">
        <v>37</v>
      </c>
      <c r="Y86" s="4" t="s">
        <v>36</v>
      </c>
      <c r="Z86" s="4" t="s">
        <v>178</v>
      </c>
      <c r="AA86" s="4"/>
    </row>
    <row r="87" spans="1:27" s="1" customFormat="1" x14ac:dyDescent="0.3">
      <c r="A87" s="19">
        <v>19157</v>
      </c>
      <c r="B87" s="4" t="s">
        <v>527</v>
      </c>
      <c r="C87" s="4" t="e">
        <v>#N/A</v>
      </c>
      <c r="D87" s="5">
        <v>42387.475243055553</v>
      </c>
      <c r="E87" s="5" t="s">
        <v>2080</v>
      </c>
      <c r="F87" s="4" t="s">
        <v>26</v>
      </c>
      <c r="G87" s="4" t="s">
        <v>224</v>
      </c>
      <c r="H87" s="4" t="s">
        <v>224</v>
      </c>
      <c r="I87" s="4" t="s">
        <v>216</v>
      </c>
      <c r="J87" s="4" t="s">
        <v>528</v>
      </c>
      <c r="K87" s="4" t="s">
        <v>31</v>
      </c>
      <c r="L87" s="5">
        <v>42399.916666666664</v>
      </c>
      <c r="M87" s="5">
        <v>42400.208333333336</v>
      </c>
      <c r="N87" s="5">
        <v>42400.25</v>
      </c>
      <c r="O87" s="4" t="s">
        <v>32</v>
      </c>
      <c r="P87" s="4" t="s">
        <v>89</v>
      </c>
      <c r="Q87" s="4" t="s">
        <v>50</v>
      </c>
      <c r="R87" s="6" t="s">
        <v>77</v>
      </c>
      <c r="S87" s="4" t="s">
        <v>163</v>
      </c>
      <c r="T87" s="4" t="s">
        <v>37</v>
      </c>
      <c r="U87" s="4" t="s">
        <v>37</v>
      </c>
      <c r="V87" s="4" t="s">
        <v>529</v>
      </c>
      <c r="W87" s="4" t="s">
        <v>37</v>
      </c>
      <c r="X87" s="4" t="s">
        <v>37</v>
      </c>
      <c r="Y87" s="4" t="s">
        <v>36</v>
      </c>
      <c r="Z87" s="4" t="s">
        <v>530</v>
      </c>
      <c r="AA87" s="4" t="s">
        <v>231</v>
      </c>
    </row>
    <row r="88" spans="1:27" s="1" customFormat="1" x14ac:dyDescent="0.3">
      <c r="A88" s="19">
        <v>19158</v>
      </c>
      <c r="B88" s="4" t="s">
        <v>242</v>
      </c>
      <c r="C88" s="4" t="s">
        <v>2106</v>
      </c>
      <c r="D88" s="5">
        <v>42387.632326388892</v>
      </c>
      <c r="E88" s="5" t="s">
        <v>2080</v>
      </c>
      <c r="F88" s="4" t="s">
        <v>26</v>
      </c>
      <c r="G88" s="4" t="s">
        <v>243</v>
      </c>
      <c r="H88" s="4" t="s">
        <v>244</v>
      </c>
      <c r="I88" s="4" t="s">
        <v>216</v>
      </c>
      <c r="J88" s="4" t="s">
        <v>30</v>
      </c>
      <c r="K88" s="4" t="s">
        <v>31</v>
      </c>
      <c r="L88" s="5">
        <v>42396.916666666664</v>
      </c>
      <c r="M88" s="5">
        <v>42397.125</v>
      </c>
      <c r="N88" s="5">
        <v>42397.375</v>
      </c>
      <c r="O88" s="4" t="s">
        <v>32</v>
      </c>
      <c r="P88" s="4" t="s">
        <v>33</v>
      </c>
      <c r="Q88" s="4" t="s">
        <v>34</v>
      </c>
      <c r="R88" s="4" t="s">
        <v>245</v>
      </c>
      <c r="S88" s="4" t="s">
        <v>245</v>
      </c>
      <c r="T88" s="4" t="s">
        <v>37</v>
      </c>
      <c r="U88" s="4" t="s">
        <v>37</v>
      </c>
      <c r="V88" s="4" t="s">
        <v>246</v>
      </c>
      <c r="W88" s="4" t="s">
        <v>37</v>
      </c>
      <c r="X88" s="4" t="s">
        <v>37</v>
      </c>
      <c r="Y88" s="4" t="s">
        <v>36</v>
      </c>
      <c r="Z88" s="4" t="s">
        <v>53</v>
      </c>
      <c r="AA88" s="4" t="s">
        <v>179</v>
      </c>
    </row>
    <row r="89" spans="1:27" s="1" customFormat="1" x14ac:dyDescent="0.3">
      <c r="A89" s="19">
        <v>19159</v>
      </c>
      <c r="B89" s="4" t="s">
        <v>288</v>
      </c>
      <c r="C89" s="4" t="e">
        <v>#N/A</v>
      </c>
      <c r="D89" s="5">
        <v>42387.642418981479</v>
      </c>
      <c r="E89" s="5" t="s">
        <v>2080</v>
      </c>
      <c r="F89" s="4" t="s">
        <v>26</v>
      </c>
      <c r="G89" s="4" t="s">
        <v>289</v>
      </c>
      <c r="H89" s="4" t="s">
        <v>422</v>
      </c>
      <c r="I89" s="4" t="s">
        <v>118</v>
      </c>
      <c r="J89" s="4" t="s">
        <v>30</v>
      </c>
      <c r="K89" s="4" t="s">
        <v>31</v>
      </c>
      <c r="L89" s="5">
        <v>42394.916666666664</v>
      </c>
      <c r="M89" s="5">
        <v>42395.5</v>
      </c>
      <c r="N89" s="5">
        <v>42395.75</v>
      </c>
      <c r="O89" s="4" t="s">
        <v>32</v>
      </c>
      <c r="P89" s="4" t="s">
        <v>33</v>
      </c>
      <c r="Q89" s="4" t="s">
        <v>34</v>
      </c>
      <c r="R89" s="4" t="s">
        <v>291</v>
      </c>
      <c r="S89" s="6" t="s">
        <v>77</v>
      </c>
      <c r="T89" s="4" t="s">
        <v>37</v>
      </c>
      <c r="U89" s="4" t="s">
        <v>37</v>
      </c>
      <c r="V89" s="4" t="s">
        <v>292</v>
      </c>
      <c r="W89" s="4" t="s">
        <v>37</v>
      </c>
      <c r="X89" s="4" t="s">
        <v>37</v>
      </c>
      <c r="Y89" s="4" t="s">
        <v>36</v>
      </c>
      <c r="Z89" s="4" t="s">
        <v>531</v>
      </c>
      <c r="AA89" s="4" t="s">
        <v>40</v>
      </c>
    </row>
    <row r="90" spans="1:27" s="1" customFormat="1" x14ac:dyDescent="0.3">
      <c r="A90" s="19">
        <v>19160</v>
      </c>
      <c r="B90" s="4" t="s">
        <v>532</v>
      </c>
      <c r="C90" s="4" t="e">
        <v>#N/A</v>
      </c>
      <c r="D90" s="5">
        <v>42387.68105324074</v>
      </c>
      <c r="E90" s="5" t="s">
        <v>2080</v>
      </c>
      <c r="F90" s="4" t="s">
        <v>26</v>
      </c>
      <c r="G90" s="4" t="s">
        <v>533</v>
      </c>
      <c r="H90" s="4" t="s">
        <v>534</v>
      </c>
      <c r="I90" s="4" t="s">
        <v>208</v>
      </c>
      <c r="J90" s="4" t="s">
        <v>535</v>
      </c>
      <c r="K90" s="4" t="s">
        <v>31</v>
      </c>
      <c r="L90" s="5">
        <v>42392.895833333336</v>
      </c>
      <c r="M90" s="5">
        <v>42392.9375</v>
      </c>
      <c r="N90" s="5">
        <v>42392.958333333336</v>
      </c>
      <c r="O90" s="4" t="s">
        <v>32</v>
      </c>
      <c r="P90" s="4" t="s">
        <v>33</v>
      </c>
      <c r="Q90" s="4" t="s">
        <v>76</v>
      </c>
      <c r="R90" s="4" t="s">
        <v>536</v>
      </c>
      <c r="S90" s="4" t="s">
        <v>536</v>
      </c>
      <c r="T90" s="4" t="s">
        <v>36</v>
      </c>
      <c r="U90" s="4" t="s">
        <v>37</v>
      </c>
      <c r="V90" s="4" t="s">
        <v>537</v>
      </c>
      <c r="W90" s="4" t="s">
        <v>37</v>
      </c>
      <c r="X90" s="4" t="s">
        <v>37</v>
      </c>
      <c r="Y90" s="4" t="s">
        <v>36</v>
      </c>
      <c r="Z90" s="4" t="s">
        <v>39</v>
      </c>
      <c r="AA90" s="4" t="s">
        <v>179</v>
      </c>
    </row>
    <row r="91" spans="1:27" s="1" customFormat="1" x14ac:dyDescent="0.3">
      <c r="A91" s="19">
        <v>19161</v>
      </c>
      <c r="B91" s="4" t="s">
        <v>538</v>
      </c>
      <c r="C91" s="4" t="e">
        <v>#N/A</v>
      </c>
      <c r="D91" s="5">
        <v>42387.710069444445</v>
      </c>
      <c r="E91" s="5" t="s">
        <v>2080</v>
      </c>
      <c r="F91" s="4" t="s">
        <v>26</v>
      </c>
      <c r="G91" s="4" t="s">
        <v>524</v>
      </c>
      <c r="H91" s="4" t="s">
        <v>524</v>
      </c>
      <c r="I91" s="4" t="s">
        <v>210</v>
      </c>
      <c r="J91" s="4" t="s">
        <v>49</v>
      </c>
      <c r="K91" s="4" t="s">
        <v>31</v>
      </c>
      <c r="L91" s="5">
        <v>42399.916666666664</v>
      </c>
      <c r="M91" s="5">
        <v>42400.291666666664</v>
      </c>
      <c r="N91" s="5">
        <v>42400.333333333336</v>
      </c>
      <c r="O91" s="4" t="s">
        <v>32</v>
      </c>
      <c r="P91" s="4" t="s">
        <v>33</v>
      </c>
      <c r="Q91" s="4" t="s">
        <v>76</v>
      </c>
      <c r="R91" s="6" t="s">
        <v>77</v>
      </c>
      <c r="S91" s="4" t="s">
        <v>539</v>
      </c>
      <c r="T91" s="4" t="s">
        <v>37</v>
      </c>
      <c r="U91" s="4" t="s">
        <v>37</v>
      </c>
      <c r="V91" s="4" t="s">
        <v>540</v>
      </c>
      <c r="W91" s="4" t="s">
        <v>37</v>
      </c>
      <c r="X91" s="4" t="s">
        <v>37</v>
      </c>
      <c r="Y91" s="4" t="s">
        <v>36</v>
      </c>
      <c r="Z91" s="4" t="s">
        <v>178</v>
      </c>
      <c r="AA91" s="4"/>
    </row>
    <row r="92" spans="1:27" s="1" customFormat="1" x14ac:dyDescent="0.3">
      <c r="A92" s="19">
        <v>19163</v>
      </c>
      <c r="B92" s="4" t="s">
        <v>541</v>
      </c>
      <c r="C92" s="4" t="e">
        <v>#N/A</v>
      </c>
      <c r="D92" s="5">
        <v>42388.283495370371</v>
      </c>
      <c r="E92" s="5" t="s">
        <v>2080</v>
      </c>
      <c r="F92" s="4" t="s">
        <v>26</v>
      </c>
      <c r="G92" s="4" t="s">
        <v>455</v>
      </c>
      <c r="H92" s="4" t="s">
        <v>542</v>
      </c>
      <c r="I92" s="4" t="s">
        <v>211</v>
      </c>
      <c r="J92" s="4" t="s">
        <v>543</v>
      </c>
      <c r="K92" s="4" t="s">
        <v>31</v>
      </c>
      <c r="L92" s="5">
        <v>42398.027777777781</v>
      </c>
      <c r="M92" s="5">
        <v>42398.166666666664</v>
      </c>
      <c r="N92" s="5">
        <v>42398.208333333336</v>
      </c>
      <c r="O92" s="4" t="s">
        <v>32</v>
      </c>
      <c r="P92" s="4" t="s">
        <v>89</v>
      </c>
      <c r="Q92" s="4" t="s">
        <v>50</v>
      </c>
      <c r="R92" s="6" t="s">
        <v>77</v>
      </c>
      <c r="S92" s="4" t="s">
        <v>544</v>
      </c>
      <c r="T92" s="4" t="s">
        <v>36</v>
      </c>
      <c r="U92" s="4" t="s">
        <v>36</v>
      </c>
      <c r="V92" s="4" t="s">
        <v>545</v>
      </c>
      <c r="W92" s="4" t="s">
        <v>37</v>
      </c>
      <c r="X92" s="4" t="s">
        <v>37</v>
      </c>
      <c r="Y92" s="4" t="s">
        <v>36</v>
      </c>
      <c r="Z92" s="4" t="s">
        <v>39</v>
      </c>
      <c r="AA92" s="4"/>
    </row>
    <row r="93" spans="1:27" s="1" customFormat="1" x14ac:dyDescent="0.3">
      <c r="A93" s="19">
        <v>19165</v>
      </c>
      <c r="B93" s="4" t="s">
        <v>139</v>
      </c>
      <c r="C93" s="4" t="e">
        <v>#N/A</v>
      </c>
      <c r="D93" s="5">
        <v>42388.43037037037</v>
      </c>
      <c r="E93" s="5" t="s">
        <v>2080</v>
      </c>
      <c r="F93" s="4" t="s">
        <v>26</v>
      </c>
      <c r="G93" s="4" t="s">
        <v>140</v>
      </c>
      <c r="H93" s="4" t="s">
        <v>140</v>
      </c>
      <c r="I93" s="4" t="s">
        <v>29</v>
      </c>
      <c r="J93" s="4" t="s">
        <v>546</v>
      </c>
      <c r="K93" s="4" t="s">
        <v>31</v>
      </c>
      <c r="L93" s="5">
        <v>42388.5</v>
      </c>
      <c r="M93" s="5">
        <v>42393.916666666664</v>
      </c>
      <c r="N93" s="5">
        <v>42393.916666666664</v>
      </c>
      <c r="O93" s="4" t="s">
        <v>250</v>
      </c>
      <c r="P93" s="4" t="s">
        <v>89</v>
      </c>
      <c r="Q93" s="4" t="s">
        <v>251</v>
      </c>
      <c r="R93" s="6" t="s">
        <v>77</v>
      </c>
      <c r="S93" s="6" t="s">
        <v>77</v>
      </c>
      <c r="T93" s="4" t="s">
        <v>37</v>
      </c>
      <c r="U93" s="4" t="s">
        <v>37</v>
      </c>
      <c r="V93" s="4" t="s">
        <v>143</v>
      </c>
      <c r="W93" s="4" t="s">
        <v>37</v>
      </c>
      <c r="X93" s="4" t="s">
        <v>37</v>
      </c>
      <c r="Y93" s="4" t="s">
        <v>36</v>
      </c>
      <c r="Z93" s="4" t="s">
        <v>39</v>
      </c>
      <c r="AA93" s="4" t="s">
        <v>547</v>
      </c>
    </row>
    <row r="94" spans="1:27" s="1" customFormat="1" x14ac:dyDescent="0.3">
      <c r="A94" s="19">
        <v>19166</v>
      </c>
      <c r="B94" s="4" t="s">
        <v>548</v>
      </c>
      <c r="C94" s="4" t="e">
        <v>#N/A</v>
      </c>
      <c r="D94" s="5">
        <v>42388.470983796295</v>
      </c>
      <c r="E94" s="5" t="s">
        <v>2080</v>
      </c>
      <c r="F94" s="4" t="s">
        <v>26</v>
      </c>
      <c r="G94" s="4" t="s">
        <v>238</v>
      </c>
      <c r="H94" s="4" t="s">
        <v>279</v>
      </c>
      <c r="I94" s="4" t="s">
        <v>203</v>
      </c>
      <c r="J94" s="4" t="s">
        <v>49</v>
      </c>
      <c r="K94" s="4" t="s">
        <v>31</v>
      </c>
      <c r="L94" s="5">
        <v>42388.958333333336</v>
      </c>
      <c r="M94" s="5">
        <v>42389.166666666664</v>
      </c>
      <c r="N94" s="5">
        <v>42389.208333333336</v>
      </c>
      <c r="O94" s="4" t="s">
        <v>250</v>
      </c>
      <c r="P94" s="4" t="s">
        <v>89</v>
      </c>
      <c r="Q94" s="4" t="s">
        <v>251</v>
      </c>
      <c r="R94" s="4" t="s">
        <v>549</v>
      </c>
      <c r="S94" s="4" t="s">
        <v>549</v>
      </c>
      <c r="T94" s="4" t="s">
        <v>36</v>
      </c>
      <c r="U94" s="4" t="s">
        <v>36</v>
      </c>
      <c r="V94" s="4" t="s">
        <v>550</v>
      </c>
      <c r="W94" s="4" t="s">
        <v>37</v>
      </c>
      <c r="X94" s="4" t="s">
        <v>37</v>
      </c>
      <c r="Y94" s="4" t="s">
        <v>36</v>
      </c>
      <c r="Z94" s="4" t="s">
        <v>551</v>
      </c>
      <c r="AA94" s="4"/>
    </row>
    <row r="95" spans="1:27" s="1" customFormat="1" x14ac:dyDescent="0.3">
      <c r="A95" s="19">
        <v>19167</v>
      </c>
      <c r="B95" s="4" t="s">
        <v>552</v>
      </c>
      <c r="C95" s="4" t="e">
        <v>#N/A</v>
      </c>
      <c r="D95" s="5">
        <v>42388.510694444441</v>
      </c>
      <c r="E95" s="5" t="s">
        <v>2080</v>
      </c>
      <c r="F95" s="4" t="s">
        <v>26</v>
      </c>
      <c r="G95" s="4" t="s">
        <v>152</v>
      </c>
      <c r="H95" s="4" t="s">
        <v>152</v>
      </c>
      <c r="I95" s="4" t="s">
        <v>158</v>
      </c>
      <c r="J95" s="4" t="s">
        <v>154</v>
      </c>
      <c r="K95" s="4" t="s">
        <v>31</v>
      </c>
      <c r="L95" s="5">
        <v>42398.916666666664</v>
      </c>
      <c r="M95" s="5">
        <v>42399.0625</v>
      </c>
      <c r="N95" s="5">
        <v>42399.083333333336</v>
      </c>
      <c r="O95" s="4" t="s">
        <v>32</v>
      </c>
      <c r="P95" s="4" t="s">
        <v>33</v>
      </c>
      <c r="Q95" s="4" t="s">
        <v>50</v>
      </c>
      <c r="R95" s="6" t="s">
        <v>77</v>
      </c>
      <c r="S95" s="4" t="s">
        <v>323</v>
      </c>
      <c r="T95" s="4" t="s">
        <v>37</v>
      </c>
      <c r="U95" s="4" t="s">
        <v>37</v>
      </c>
      <c r="V95" s="4" t="s">
        <v>553</v>
      </c>
      <c r="W95" s="4" t="s">
        <v>37</v>
      </c>
      <c r="X95" s="4" t="s">
        <v>37</v>
      </c>
      <c r="Y95" s="4" t="s">
        <v>36</v>
      </c>
      <c r="Z95" s="4" t="s">
        <v>53</v>
      </c>
      <c r="AA95" s="4" t="s">
        <v>157</v>
      </c>
    </row>
    <row r="96" spans="1:27" s="1" customFormat="1" x14ac:dyDescent="0.3">
      <c r="A96" s="19">
        <v>19168</v>
      </c>
      <c r="B96" s="4" t="s">
        <v>554</v>
      </c>
      <c r="C96" s="4" t="e">
        <v>#N/A</v>
      </c>
      <c r="D96" s="5">
        <v>42388.531805555554</v>
      </c>
      <c r="E96" s="5" t="s">
        <v>2080</v>
      </c>
      <c r="F96" s="4" t="s">
        <v>26</v>
      </c>
      <c r="G96" s="4" t="s">
        <v>224</v>
      </c>
      <c r="H96" s="4" t="s">
        <v>224</v>
      </c>
      <c r="I96" s="4" t="s">
        <v>216</v>
      </c>
      <c r="J96" s="4" t="s">
        <v>30</v>
      </c>
      <c r="K96" s="4" t="s">
        <v>31</v>
      </c>
      <c r="L96" s="5">
        <v>42398.916666666664</v>
      </c>
      <c r="M96" s="5">
        <v>42399.208333333336</v>
      </c>
      <c r="N96" s="5">
        <v>42399.25</v>
      </c>
      <c r="O96" s="4" t="s">
        <v>32</v>
      </c>
      <c r="P96" s="4" t="s">
        <v>33</v>
      </c>
      <c r="Q96" s="4" t="s">
        <v>34</v>
      </c>
      <c r="R96" s="6" t="s">
        <v>77</v>
      </c>
      <c r="S96" s="4" t="s">
        <v>555</v>
      </c>
      <c r="T96" s="4" t="s">
        <v>37</v>
      </c>
      <c r="U96" s="4" t="s">
        <v>37</v>
      </c>
      <c r="V96" s="4" t="s">
        <v>556</v>
      </c>
      <c r="W96" s="4"/>
      <c r="X96" s="4"/>
      <c r="Y96" s="4"/>
      <c r="Z96" s="4" t="s">
        <v>557</v>
      </c>
      <c r="AA96" s="4" t="s">
        <v>179</v>
      </c>
    </row>
    <row r="97" spans="1:27" s="1" customFormat="1" x14ac:dyDescent="0.3">
      <c r="A97" s="19">
        <v>19170</v>
      </c>
      <c r="B97" s="4" t="s">
        <v>558</v>
      </c>
      <c r="C97" s="4" t="e">
        <v>#N/A</v>
      </c>
      <c r="D97" s="5">
        <v>42388.655717592592</v>
      </c>
      <c r="E97" s="5" t="s">
        <v>2080</v>
      </c>
      <c r="F97" s="4" t="s">
        <v>26</v>
      </c>
      <c r="G97" s="4" t="s">
        <v>559</v>
      </c>
      <c r="H97" s="4" t="s">
        <v>559</v>
      </c>
      <c r="I97" s="4" t="s">
        <v>48</v>
      </c>
      <c r="J97" s="4" t="s">
        <v>49</v>
      </c>
      <c r="K97" s="4" t="s">
        <v>31</v>
      </c>
      <c r="L97" s="5">
        <v>42395.041666666664</v>
      </c>
      <c r="M97" s="5">
        <v>42395.166666666664</v>
      </c>
      <c r="N97" s="5">
        <v>42395.208333333336</v>
      </c>
      <c r="O97" s="4" t="s">
        <v>32</v>
      </c>
      <c r="P97" s="4" t="s">
        <v>33</v>
      </c>
      <c r="Q97" s="4" t="s">
        <v>34</v>
      </c>
      <c r="R97" s="4" t="s">
        <v>560</v>
      </c>
      <c r="S97" s="4" t="s">
        <v>560</v>
      </c>
      <c r="T97" s="4" t="s">
        <v>36</v>
      </c>
      <c r="U97" s="4" t="s">
        <v>37</v>
      </c>
      <c r="V97" s="4" t="s">
        <v>561</v>
      </c>
      <c r="W97" s="4" t="s">
        <v>37</v>
      </c>
      <c r="X97" s="4" t="s">
        <v>37</v>
      </c>
      <c r="Y97" s="4" t="s">
        <v>36</v>
      </c>
      <c r="Z97" s="4" t="s">
        <v>53</v>
      </c>
      <c r="AA97" s="4"/>
    </row>
    <row r="98" spans="1:27" s="1" customFormat="1" x14ac:dyDescent="0.3">
      <c r="A98" s="19">
        <v>19173</v>
      </c>
      <c r="B98" s="4" t="s">
        <v>562</v>
      </c>
      <c r="C98" s="4">
        <v>0</v>
      </c>
      <c r="D98" s="5">
        <v>42388.712893518517</v>
      </c>
      <c r="E98" s="5" t="s">
        <v>2080</v>
      </c>
      <c r="F98" s="4" t="s">
        <v>26</v>
      </c>
      <c r="G98" s="4" t="s">
        <v>489</v>
      </c>
      <c r="H98" s="4" t="s">
        <v>489</v>
      </c>
      <c r="I98" s="4" t="s">
        <v>219</v>
      </c>
      <c r="J98" s="4" t="s">
        <v>30</v>
      </c>
      <c r="K98" s="4" t="s">
        <v>31</v>
      </c>
      <c r="L98" s="5">
        <v>42412.916666666664</v>
      </c>
      <c r="M98" s="5">
        <v>42414.208333333336</v>
      </c>
      <c r="N98" s="5">
        <v>42414.25</v>
      </c>
      <c r="O98" s="4" t="s">
        <v>32</v>
      </c>
      <c r="P98" s="4" t="s">
        <v>33</v>
      </c>
      <c r="Q98" s="4" t="s">
        <v>50</v>
      </c>
      <c r="R98" s="6" t="s">
        <v>77</v>
      </c>
      <c r="S98" s="4" t="s">
        <v>181</v>
      </c>
      <c r="T98" s="4" t="s">
        <v>37</v>
      </c>
      <c r="U98" s="4" t="s">
        <v>37</v>
      </c>
      <c r="V98" s="4" t="s">
        <v>563</v>
      </c>
      <c r="W98" s="4" t="s">
        <v>36</v>
      </c>
      <c r="X98" s="4" t="s">
        <v>37</v>
      </c>
      <c r="Y98" s="4" t="s">
        <v>36</v>
      </c>
      <c r="Z98" s="4"/>
      <c r="AA98" s="4" t="s">
        <v>40</v>
      </c>
    </row>
    <row r="99" spans="1:27" s="1" customFormat="1" x14ac:dyDescent="0.3">
      <c r="A99" s="19">
        <v>19174</v>
      </c>
      <c r="B99" s="4" t="s">
        <v>564</v>
      </c>
      <c r="C99" s="4" t="e">
        <v>#N/A</v>
      </c>
      <c r="D99" s="5">
        <v>42388.730185185188</v>
      </c>
      <c r="E99" s="5" t="s">
        <v>2080</v>
      </c>
      <c r="F99" s="4" t="s">
        <v>26</v>
      </c>
      <c r="G99" s="4" t="s">
        <v>565</v>
      </c>
      <c r="H99" s="4" t="s">
        <v>566</v>
      </c>
      <c r="I99" s="4" t="s">
        <v>80</v>
      </c>
      <c r="J99" s="4" t="s">
        <v>185</v>
      </c>
      <c r="K99" s="4" t="s">
        <v>31</v>
      </c>
      <c r="L99" s="5">
        <v>42396.416666666664</v>
      </c>
      <c r="M99" s="5">
        <v>42396.458333333336</v>
      </c>
      <c r="N99" s="5">
        <v>42396.5</v>
      </c>
      <c r="O99" s="4" t="s">
        <v>32</v>
      </c>
      <c r="P99" s="4" t="s">
        <v>89</v>
      </c>
      <c r="Q99" s="4" t="s">
        <v>50</v>
      </c>
      <c r="R99" s="6" t="s">
        <v>77</v>
      </c>
      <c r="S99" s="4" t="s">
        <v>163</v>
      </c>
      <c r="T99" s="4" t="s">
        <v>37</v>
      </c>
      <c r="U99" s="4" t="s">
        <v>37</v>
      </c>
      <c r="V99" s="4" t="s">
        <v>39</v>
      </c>
      <c r="W99" s="4" t="s">
        <v>37</v>
      </c>
      <c r="X99" s="4" t="s">
        <v>37</v>
      </c>
      <c r="Y99" s="4" t="s">
        <v>36</v>
      </c>
      <c r="Z99" s="4" t="s">
        <v>39</v>
      </c>
      <c r="AA99" s="4" t="s">
        <v>187</v>
      </c>
    </row>
    <row r="100" spans="1:27" s="1" customFormat="1" x14ac:dyDescent="0.3">
      <c r="A100" s="19">
        <v>19176</v>
      </c>
      <c r="B100" s="4" t="s">
        <v>567</v>
      </c>
      <c r="C100" s="4" t="e">
        <v>#N/A</v>
      </c>
      <c r="D100" s="5">
        <v>42388.752858796295</v>
      </c>
      <c r="E100" s="5" t="s">
        <v>2080</v>
      </c>
      <c r="F100" s="4" t="s">
        <v>26</v>
      </c>
      <c r="G100" s="4" t="s">
        <v>568</v>
      </c>
      <c r="H100" s="4" t="s">
        <v>569</v>
      </c>
      <c r="I100" s="4" t="s">
        <v>88</v>
      </c>
      <c r="J100" s="4" t="s">
        <v>30</v>
      </c>
      <c r="K100" s="4" t="s">
        <v>31</v>
      </c>
      <c r="L100" s="5">
        <v>42388.9375</v>
      </c>
      <c r="M100" s="5">
        <v>42389.041666666664</v>
      </c>
      <c r="N100" s="5">
        <v>42389.333333333336</v>
      </c>
      <c r="O100" s="4" t="s">
        <v>250</v>
      </c>
      <c r="P100" s="4" t="s">
        <v>89</v>
      </c>
      <c r="Q100" s="4" t="s">
        <v>251</v>
      </c>
      <c r="R100" s="4" t="s">
        <v>570</v>
      </c>
      <c r="S100" s="6" t="s">
        <v>77</v>
      </c>
      <c r="T100" s="4" t="s">
        <v>36</v>
      </c>
      <c r="U100" s="4" t="s">
        <v>37</v>
      </c>
      <c r="V100" s="4" t="s">
        <v>571</v>
      </c>
      <c r="W100" s="4" t="s">
        <v>37</v>
      </c>
      <c r="X100" s="4" t="s">
        <v>37</v>
      </c>
      <c r="Y100" s="4" t="s">
        <v>36</v>
      </c>
      <c r="Z100" s="4" t="s">
        <v>39</v>
      </c>
      <c r="AA100" s="4" t="s">
        <v>40</v>
      </c>
    </row>
    <row r="101" spans="1:27" s="1" customFormat="1" x14ac:dyDescent="0.3">
      <c r="A101" s="19">
        <v>19177</v>
      </c>
      <c r="B101" s="4" t="s">
        <v>572</v>
      </c>
      <c r="C101" s="4" t="e">
        <v>#N/A</v>
      </c>
      <c r="D101" s="5">
        <v>42388.919560185182</v>
      </c>
      <c r="E101" s="5" t="s">
        <v>2080</v>
      </c>
      <c r="F101" s="4" t="s">
        <v>26</v>
      </c>
      <c r="G101" s="4" t="s">
        <v>455</v>
      </c>
      <c r="H101" s="4" t="s">
        <v>455</v>
      </c>
      <c r="I101" s="4" t="s">
        <v>130</v>
      </c>
      <c r="J101" s="4" t="s">
        <v>30</v>
      </c>
      <c r="K101" s="4" t="s">
        <v>31</v>
      </c>
      <c r="L101" s="5">
        <v>42395.916666666664</v>
      </c>
      <c r="M101" s="5">
        <v>42396.125</v>
      </c>
      <c r="N101" s="5">
        <v>42396.166666666664</v>
      </c>
      <c r="O101" s="4" t="s">
        <v>32</v>
      </c>
      <c r="P101" s="4" t="s">
        <v>89</v>
      </c>
      <c r="Q101" s="4" t="s">
        <v>251</v>
      </c>
      <c r="R101" s="4" t="s">
        <v>573</v>
      </c>
      <c r="S101" s="4" t="s">
        <v>573</v>
      </c>
      <c r="T101" s="4" t="s">
        <v>37</v>
      </c>
      <c r="U101" s="4" t="s">
        <v>37</v>
      </c>
      <c r="V101" s="4" t="s">
        <v>574</v>
      </c>
      <c r="W101" s="4" t="s">
        <v>37</v>
      </c>
      <c r="X101" s="4" t="s">
        <v>36</v>
      </c>
      <c r="Y101" s="4" t="s">
        <v>37</v>
      </c>
      <c r="Z101" s="4" t="s">
        <v>39</v>
      </c>
      <c r="AA101" s="4" t="s">
        <v>179</v>
      </c>
    </row>
    <row r="102" spans="1:27" s="1" customFormat="1" x14ac:dyDescent="0.3">
      <c r="A102" s="19">
        <v>19179</v>
      </c>
      <c r="B102" s="4" t="s">
        <v>575</v>
      </c>
      <c r="C102" s="4" t="e">
        <v>#N/A</v>
      </c>
      <c r="D102" s="5">
        <v>42389.403645833336</v>
      </c>
      <c r="E102" s="5" t="s">
        <v>2080</v>
      </c>
      <c r="F102" s="4" t="s">
        <v>26</v>
      </c>
      <c r="G102" s="4" t="s">
        <v>576</v>
      </c>
      <c r="H102" s="4" t="s">
        <v>577</v>
      </c>
      <c r="I102" s="4" t="s">
        <v>200</v>
      </c>
      <c r="J102" s="4" t="s">
        <v>49</v>
      </c>
      <c r="K102" s="4" t="s">
        <v>31</v>
      </c>
      <c r="L102" s="5">
        <v>42397.354166666664</v>
      </c>
      <c r="M102" s="5">
        <v>42397.416666666664</v>
      </c>
      <c r="N102" s="5">
        <v>42397.833333333336</v>
      </c>
      <c r="O102" s="4" t="s">
        <v>32</v>
      </c>
      <c r="P102" s="4" t="s">
        <v>149</v>
      </c>
      <c r="Q102" s="4" t="s">
        <v>50</v>
      </c>
      <c r="R102" s="4" t="s">
        <v>578</v>
      </c>
      <c r="S102" s="4" t="s">
        <v>578</v>
      </c>
      <c r="T102" s="4" t="s">
        <v>37</v>
      </c>
      <c r="U102" s="4" t="s">
        <v>37</v>
      </c>
      <c r="V102" s="4" t="s">
        <v>579</v>
      </c>
      <c r="W102" s="4" t="s">
        <v>37</v>
      </c>
      <c r="X102" s="4" t="s">
        <v>37</v>
      </c>
      <c r="Y102" s="4" t="s">
        <v>36</v>
      </c>
      <c r="Z102" s="4" t="s">
        <v>53</v>
      </c>
      <c r="AA102" s="4"/>
    </row>
    <row r="103" spans="1:27" s="1" customFormat="1" x14ac:dyDescent="0.3">
      <c r="A103" s="19">
        <v>19180</v>
      </c>
      <c r="B103" s="4" t="s">
        <v>404</v>
      </c>
      <c r="C103" s="4" t="e">
        <v>#N/A</v>
      </c>
      <c r="D103" s="5">
        <v>42389.432164351849</v>
      </c>
      <c r="E103" s="5" t="s">
        <v>2080</v>
      </c>
      <c r="F103" s="4" t="s">
        <v>26</v>
      </c>
      <c r="G103" s="4" t="s">
        <v>285</v>
      </c>
      <c r="H103" s="4" t="s">
        <v>405</v>
      </c>
      <c r="I103" s="4" t="s">
        <v>210</v>
      </c>
      <c r="J103" s="4" t="s">
        <v>49</v>
      </c>
      <c r="K103" s="4" t="s">
        <v>31</v>
      </c>
      <c r="L103" s="5">
        <v>42398.041666666664</v>
      </c>
      <c r="M103" s="5">
        <v>42398.208333333336</v>
      </c>
      <c r="N103" s="5">
        <v>42398.291666666664</v>
      </c>
      <c r="O103" s="4" t="s">
        <v>32</v>
      </c>
      <c r="P103" s="4" t="s">
        <v>33</v>
      </c>
      <c r="Q103" s="4" t="s">
        <v>50</v>
      </c>
      <c r="R103" s="6" t="s">
        <v>77</v>
      </c>
      <c r="S103" s="4" t="s">
        <v>406</v>
      </c>
      <c r="T103" s="4" t="s">
        <v>37</v>
      </c>
      <c r="U103" s="4" t="s">
        <v>36</v>
      </c>
      <c r="V103" s="4" t="s">
        <v>580</v>
      </c>
      <c r="W103" s="4" t="s">
        <v>37</v>
      </c>
      <c r="X103" s="4" t="s">
        <v>37</v>
      </c>
      <c r="Y103" s="4" t="s">
        <v>37</v>
      </c>
      <c r="Z103" s="4" t="s">
        <v>408</v>
      </c>
      <c r="AA103" s="4"/>
    </row>
    <row r="104" spans="1:27" s="1" customFormat="1" x14ac:dyDescent="0.3">
      <c r="A104" s="19">
        <v>19181</v>
      </c>
      <c r="B104" s="4" t="s">
        <v>581</v>
      </c>
      <c r="C104" s="4" t="e">
        <v>#N/A</v>
      </c>
      <c r="D104" s="5">
        <v>42389.449224537035</v>
      </c>
      <c r="E104" s="5" t="s">
        <v>2080</v>
      </c>
      <c r="F104" s="4" t="s">
        <v>26</v>
      </c>
      <c r="G104" s="4" t="s">
        <v>582</v>
      </c>
      <c r="H104" s="4" t="s">
        <v>117</v>
      </c>
      <c r="I104" s="4" t="s">
        <v>118</v>
      </c>
      <c r="J104" s="4" t="s">
        <v>30</v>
      </c>
      <c r="K104" s="4" t="s">
        <v>31</v>
      </c>
      <c r="L104" s="5">
        <v>42388.541666666664</v>
      </c>
      <c r="M104" s="5">
        <v>42388.916666666664</v>
      </c>
      <c r="N104" s="5">
        <v>42389.25</v>
      </c>
      <c r="O104" s="4" t="s">
        <v>492</v>
      </c>
      <c r="P104" s="4" t="s">
        <v>89</v>
      </c>
      <c r="Q104" s="4" t="s">
        <v>251</v>
      </c>
      <c r="R104" s="4" t="s">
        <v>583</v>
      </c>
      <c r="S104" s="4" t="s">
        <v>583</v>
      </c>
      <c r="T104" s="4" t="s">
        <v>37</v>
      </c>
      <c r="U104" s="4" t="s">
        <v>37</v>
      </c>
      <c r="V104" s="4" t="s">
        <v>389</v>
      </c>
      <c r="W104" s="4" t="s">
        <v>37</v>
      </c>
      <c r="X104" s="4" t="s">
        <v>37</v>
      </c>
      <c r="Y104" s="4" t="s">
        <v>36</v>
      </c>
      <c r="Z104" s="4" t="s">
        <v>584</v>
      </c>
      <c r="AA104" s="4" t="s">
        <v>93</v>
      </c>
    </row>
    <row r="105" spans="1:27" s="1" customFormat="1" x14ac:dyDescent="0.3">
      <c r="A105" s="19">
        <v>19182</v>
      </c>
      <c r="B105" s="4" t="s">
        <v>585</v>
      </c>
      <c r="C105" s="4" t="e">
        <v>#N/A</v>
      </c>
      <c r="D105" s="5">
        <v>42389.453136574077</v>
      </c>
      <c r="E105" s="5" t="s">
        <v>2080</v>
      </c>
      <c r="F105" s="4" t="s">
        <v>26</v>
      </c>
      <c r="G105" s="4" t="s">
        <v>147</v>
      </c>
      <c r="H105" s="4" t="s">
        <v>147</v>
      </c>
      <c r="I105" s="4" t="s">
        <v>48</v>
      </c>
      <c r="J105" s="4" t="s">
        <v>543</v>
      </c>
      <c r="K105" s="4" t="s">
        <v>31</v>
      </c>
      <c r="L105" s="5">
        <v>42390.458333333336</v>
      </c>
      <c r="M105" s="5">
        <v>42390.75</v>
      </c>
      <c r="N105" s="5">
        <v>42390.916666666664</v>
      </c>
      <c r="O105" s="4" t="s">
        <v>250</v>
      </c>
      <c r="P105" s="4" t="s">
        <v>149</v>
      </c>
      <c r="Q105" s="4" t="s">
        <v>251</v>
      </c>
      <c r="R105" s="6" t="s">
        <v>77</v>
      </c>
      <c r="S105" s="4" t="s">
        <v>586</v>
      </c>
      <c r="T105" s="4" t="s">
        <v>37</v>
      </c>
      <c r="U105" s="4" t="s">
        <v>37</v>
      </c>
      <c r="V105" s="4" t="s">
        <v>587</v>
      </c>
      <c r="W105" s="4" t="s">
        <v>37</v>
      </c>
      <c r="X105" s="4" t="s">
        <v>37</v>
      </c>
      <c r="Y105" s="4" t="s">
        <v>36</v>
      </c>
      <c r="Z105" s="4" t="s">
        <v>53</v>
      </c>
      <c r="AA105" s="4"/>
    </row>
    <row r="106" spans="1:27" s="1" customFormat="1" x14ac:dyDescent="0.3">
      <c r="A106" s="19">
        <v>19183</v>
      </c>
      <c r="B106" s="4" t="s">
        <v>588</v>
      </c>
      <c r="C106" s="4" t="e">
        <v>#N/A</v>
      </c>
      <c r="D106" s="5">
        <v>42389.461284722223</v>
      </c>
      <c r="E106" s="5" t="s">
        <v>2080</v>
      </c>
      <c r="F106" s="4" t="s">
        <v>26</v>
      </c>
      <c r="G106" s="4" t="s">
        <v>589</v>
      </c>
      <c r="H106" s="4" t="s">
        <v>590</v>
      </c>
      <c r="I106" s="4" t="s">
        <v>205</v>
      </c>
      <c r="J106" s="4" t="s">
        <v>162</v>
      </c>
      <c r="K106" s="4" t="s">
        <v>31</v>
      </c>
      <c r="L106" s="5">
        <v>42389.458333333336</v>
      </c>
      <c r="M106" s="5">
        <v>42389.625</v>
      </c>
      <c r="N106" s="5">
        <v>42389.708333333336</v>
      </c>
      <c r="O106" s="4" t="s">
        <v>492</v>
      </c>
      <c r="P106" s="4" t="s">
        <v>89</v>
      </c>
      <c r="Q106" s="4" t="s">
        <v>119</v>
      </c>
      <c r="R106" s="4" t="s">
        <v>163</v>
      </c>
      <c r="S106" s="6" t="s">
        <v>77</v>
      </c>
      <c r="T106" s="4" t="s">
        <v>37</v>
      </c>
      <c r="U106" s="4" t="s">
        <v>37</v>
      </c>
      <c r="V106" s="4" t="s">
        <v>591</v>
      </c>
      <c r="W106" s="4" t="s">
        <v>37</v>
      </c>
      <c r="X106" s="4" t="s">
        <v>37</v>
      </c>
      <c r="Y106" s="4" t="s">
        <v>36</v>
      </c>
      <c r="Z106" s="4" t="s">
        <v>592</v>
      </c>
      <c r="AA106" s="4"/>
    </row>
    <row r="107" spans="1:27" s="1" customFormat="1" x14ac:dyDescent="0.3">
      <c r="A107" s="19">
        <v>19184</v>
      </c>
      <c r="B107" s="4" t="s">
        <v>593</v>
      </c>
      <c r="C107" s="4" t="e">
        <v>#N/A</v>
      </c>
      <c r="D107" s="5">
        <v>42389.482743055552</v>
      </c>
      <c r="E107" s="5" t="s">
        <v>2080</v>
      </c>
      <c r="F107" s="4" t="s">
        <v>26</v>
      </c>
      <c r="G107" s="4" t="s">
        <v>489</v>
      </c>
      <c r="H107" s="4" t="s">
        <v>489</v>
      </c>
      <c r="I107" s="4" t="s">
        <v>219</v>
      </c>
      <c r="J107" s="4" t="s">
        <v>30</v>
      </c>
      <c r="K107" s="4" t="s">
        <v>31</v>
      </c>
      <c r="L107" s="5">
        <v>42412.916666666664</v>
      </c>
      <c r="M107" s="5">
        <v>42413.166666666664</v>
      </c>
      <c r="N107" s="5">
        <v>42413.208333333336</v>
      </c>
      <c r="O107" s="4" t="s">
        <v>32</v>
      </c>
      <c r="P107" s="4" t="s">
        <v>33</v>
      </c>
      <c r="Q107" s="4" t="s">
        <v>34</v>
      </c>
      <c r="R107" s="6" t="s">
        <v>77</v>
      </c>
      <c r="S107" s="4" t="s">
        <v>181</v>
      </c>
      <c r="T107" s="4" t="s">
        <v>37</v>
      </c>
      <c r="U107" s="4" t="s">
        <v>37</v>
      </c>
      <c r="V107" s="4" t="s">
        <v>594</v>
      </c>
      <c r="W107" s="4" t="s">
        <v>37</v>
      </c>
      <c r="X107" s="4" t="s">
        <v>37</v>
      </c>
      <c r="Y107" s="4" t="s">
        <v>36</v>
      </c>
      <c r="Z107" s="4" t="s">
        <v>53</v>
      </c>
      <c r="AA107" s="4" t="s">
        <v>40</v>
      </c>
    </row>
    <row r="108" spans="1:27" s="1" customFormat="1" x14ac:dyDescent="0.3">
      <c r="A108" s="19">
        <v>19185</v>
      </c>
      <c r="B108" s="4" t="s">
        <v>595</v>
      </c>
      <c r="C108" s="4" t="e">
        <v>#N/A</v>
      </c>
      <c r="D108" s="5">
        <v>42389.512523148151</v>
      </c>
      <c r="E108" s="5" t="s">
        <v>2080</v>
      </c>
      <c r="F108" s="4" t="s">
        <v>26</v>
      </c>
      <c r="G108" s="4" t="s">
        <v>596</v>
      </c>
      <c r="H108" s="4" t="s">
        <v>435</v>
      </c>
      <c r="I108" s="4" t="s">
        <v>118</v>
      </c>
      <c r="J108" s="4" t="s">
        <v>30</v>
      </c>
      <c r="K108" s="4" t="s">
        <v>31</v>
      </c>
      <c r="L108" s="5">
        <v>42396.333333333336</v>
      </c>
      <c r="M108" s="5">
        <v>42396.444444444445</v>
      </c>
      <c r="N108" s="5">
        <v>42396.525694444441</v>
      </c>
      <c r="O108" s="4" t="s">
        <v>32</v>
      </c>
      <c r="P108" s="4" t="s">
        <v>33</v>
      </c>
      <c r="Q108" s="4" t="s">
        <v>34</v>
      </c>
      <c r="R108" s="4" t="s">
        <v>436</v>
      </c>
      <c r="S108" s="4" t="s">
        <v>436</v>
      </c>
      <c r="T108" s="4" t="s">
        <v>37</v>
      </c>
      <c r="U108" s="4" t="s">
        <v>37</v>
      </c>
      <c r="V108" s="4" t="s">
        <v>597</v>
      </c>
      <c r="W108" s="4" t="s">
        <v>37</v>
      </c>
      <c r="X108" s="4" t="s">
        <v>37</v>
      </c>
      <c r="Y108" s="4" t="s">
        <v>37</v>
      </c>
      <c r="Z108" s="4" t="s">
        <v>598</v>
      </c>
      <c r="AA108" s="4" t="s">
        <v>179</v>
      </c>
    </row>
    <row r="109" spans="1:27" s="1" customFormat="1" x14ac:dyDescent="0.3">
      <c r="A109" s="19">
        <v>19188</v>
      </c>
      <c r="B109" s="4" t="s">
        <v>599</v>
      </c>
      <c r="C109" s="4" t="s">
        <v>39</v>
      </c>
      <c r="D109" s="5">
        <v>42389.726145833331</v>
      </c>
      <c r="E109" s="5" t="s">
        <v>2080</v>
      </c>
      <c r="F109" s="4" t="s">
        <v>26</v>
      </c>
      <c r="G109" s="4" t="s">
        <v>417</v>
      </c>
      <c r="H109" s="4" t="s">
        <v>417</v>
      </c>
      <c r="I109" s="4" t="s">
        <v>83</v>
      </c>
      <c r="J109" s="4" t="s">
        <v>600</v>
      </c>
      <c r="K109" s="4" t="s">
        <v>31</v>
      </c>
      <c r="L109" s="5">
        <v>42436.75</v>
      </c>
      <c r="M109" s="5">
        <v>42436.791666666664</v>
      </c>
      <c r="N109" s="5">
        <v>42436.854166666664</v>
      </c>
      <c r="O109" s="4" t="s">
        <v>32</v>
      </c>
      <c r="P109" s="4" t="s">
        <v>89</v>
      </c>
      <c r="Q109" s="4" t="s">
        <v>50</v>
      </c>
      <c r="R109" s="4" t="s">
        <v>601</v>
      </c>
      <c r="S109" s="6" t="s">
        <v>77</v>
      </c>
      <c r="T109" s="4" t="s">
        <v>37</v>
      </c>
      <c r="U109" s="4" t="s">
        <v>37</v>
      </c>
      <c r="V109" s="4" t="s">
        <v>602</v>
      </c>
      <c r="W109" s="4" t="s">
        <v>36</v>
      </c>
      <c r="X109" s="4" t="s">
        <v>37</v>
      </c>
      <c r="Y109" s="4" t="s">
        <v>36</v>
      </c>
      <c r="Z109" s="4" t="s">
        <v>39</v>
      </c>
      <c r="AA109" s="4" t="s">
        <v>93</v>
      </c>
    </row>
    <row r="110" spans="1:27" s="1" customFormat="1" x14ac:dyDescent="0.3">
      <c r="A110" s="19">
        <v>19189</v>
      </c>
      <c r="B110" s="4" t="s">
        <v>603</v>
      </c>
      <c r="C110" s="4" t="e">
        <v>#N/A</v>
      </c>
      <c r="D110" s="5">
        <v>42389.839421296296</v>
      </c>
      <c r="E110" s="5" t="s">
        <v>2080</v>
      </c>
      <c r="F110" s="4" t="s">
        <v>26</v>
      </c>
      <c r="G110" s="4" t="s">
        <v>27</v>
      </c>
      <c r="H110" s="4" t="s">
        <v>604</v>
      </c>
      <c r="I110" s="4" t="s">
        <v>48</v>
      </c>
      <c r="J110" s="4" t="s">
        <v>30</v>
      </c>
      <c r="K110" s="4" t="s">
        <v>31</v>
      </c>
      <c r="L110" s="5">
        <v>42396.958333333336</v>
      </c>
      <c r="M110" s="5">
        <v>42397</v>
      </c>
      <c r="N110" s="5">
        <v>42397</v>
      </c>
      <c r="O110" s="4" t="s">
        <v>32</v>
      </c>
      <c r="P110" s="4" t="s">
        <v>149</v>
      </c>
      <c r="Q110" s="4" t="s">
        <v>34</v>
      </c>
      <c r="R110" s="4" t="s">
        <v>605</v>
      </c>
      <c r="S110" s="4" t="s">
        <v>605</v>
      </c>
      <c r="T110" s="4" t="s">
        <v>36</v>
      </c>
      <c r="U110" s="4" t="s">
        <v>36</v>
      </c>
      <c r="V110" s="4" t="s">
        <v>606</v>
      </c>
      <c r="W110" s="4" t="s">
        <v>37</v>
      </c>
      <c r="X110" s="4" t="s">
        <v>37</v>
      </c>
      <c r="Y110" s="4" t="s">
        <v>36</v>
      </c>
      <c r="Z110" s="4" t="s">
        <v>39</v>
      </c>
      <c r="AA110" s="4" t="s">
        <v>179</v>
      </c>
    </row>
    <row r="111" spans="1:27" s="1" customFormat="1" x14ac:dyDescent="0.3">
      <c r="A111" s="19">
        <v>19190</v>
      </c>
      <c r="B111" s="4" t="s">
        <v>607</v>
      </c>
      <c r="C111" s="4" t="e">
        <v>#N/A</v>
      </c>
      <c r="D111" s="5">
        <v>42390.402685185189</v>
      </c>
      <c r="E111" s="5" t="s">
        <v>2080</v>
      </c>
      <c r="F111" s="4" t="s">
        <v>26</v>
      </c>
      <c r="G111" s="4" t="s">
        <v>379</v>
      </c>
      <c r="H111" s="4" t="s">
        <v>608</v>
      </c>
      <c r="I111" s="4" t="s">
        <v>203</v>
      </c>
      <c r="J111" s="4" t="s">
        <v>49</v>
      </c>
      <c r="K111" s="4" t="s">
        <v>31</v>
      </c>
      <c r="L111" s="5">
        <v>42391.666666666664</v>
      </c>
      <c r="M111" s="5">
        <v>42392.791666666664</v>
      </c>
      <c r="N111" s="5">
        <v>42393.791666666664</v>
      </c>
      <c r="O111" s="4" t="s">
        <v>250</v>
      </c>
      <c r="P111" s="4" t="s">
        <v>149</v>
      </c>
      <c r="Q111" s="4" t="s">
        <v>251</v>
      </c>
      <c r="R111" s="4" t="s">
        <v>609</v>
      </c>
      <c r="S111" s="4" t="s">
        <v>609</v>
      </c>
      <c r="T111" s="4" t="s">
        <v>37</v>
      </c>
      <c r="U111" s="4" t="s">
        <v>37</v>
      </c>
      <c r="V111" s="4" t="s">
        <v>610</v>
      </c>
      <c r="W111" s="4" t="s">
        <v>37</v>
      </c>
      <c r="X111" s="4" t="s">
        <v>37</v>
      </c>
      <c r="Y111" s="4" t="s">
        <v>36</v>
      </c>
      <c r="Z111" s="4" t="s">
        <v>611</v>
      </c>
      <c r="AA111" s="4"/>
    </row>
    <row r="112" spans="1:27" s="1" customFormat="1" x14ac:dyDescent="0.3">
      <c r="A112" s="19">
        <v>19191</v>
      </c>
      <c r="B112" s="4" t="s">
        <v>612</v>
      </c>
      <c r="C112" s="4" t="e">
        <v>#N/A</v>
      </c>
      <c r="D112" s="5">
        <v>42390.472025462965</v>
      </c>
      <c r="E112" s="5" t="s">
        <v>2080</v>
      </c>
      <c r="F112" s="4" t="s">
        <v>26</v>
      </c>
      <c r="G112" s="4" t="s">
        <v>285</v>
      </c>
      <c r="H112" s="4" t="s">
        <v>285</v>
      </c>
      <c r="I112" s="4" t="s">
        <v>48</v>
      </c>
      <c r="J112" s="4" t="s">
        <v>43</v>
      </c>
      <c r="K112" s="4" t="s">
        <v>31</v>
      </c>
      <c r="L112" s="5">
        <v>42396.833333333336</v>
      </c>
      <c r="M112" s="5">
        <v>42396.916666666664</v>
      </c>
      <c r="N112" s="5">
        <v>42396.916666666664</v>
      </c>
      <c r="O112" s="4" t="s">
        <v>32</v>
      </c>
      <c r="P112" s="4" t="s">
        <v>149</v>
      </c>
      <c r="Q112" s="4" t="s">
        <v>76</v>
      </c>
      <c r="R112" s="4" t="s">
        <v>178</v>
      </c>
      <c r="S112" s="4" t="s">
        <v>178</v>
      </c>
      <c r="T112" s="4" t="s">
        <v>37</v>
      </c>
      <c r="U112" s="4" t="s">
        <v>37</v>
      </c>
      <c r="V112" s="4" t="s">
        <v>287</v>
      </c>
      <c r="W112" s="4" t="s">
        <v>37</v>
      </c>
      <c r="X112" s="4" t="s">
        <v>36</v>
      </c>
      <c r="Y112" s="4" t="s">
        <v>37</v>
      </c>
      <c r="Z112" s="4" t="s">
        <v>178</v>
      </c>
      <c r="AA112" s="4" t="s">
        <v>45</v>
      </c>
    </row>
    <row r="113" spans="1:27" s="1" customFormat="1" x14ac:dyDescent="0.3">
      <c r="A113" s="19">
        <v>19192</v>
      </c>
      <c r="B113" s="4" t="s">
        <v>613</v>
      </c>
      <c r="C113" s="4" t="e">
        <v>#N/A</v>
      </c>
      <c r="D113" s="5">
        <v>42390.476631944446</v>
      </c>
      <c r="E113" s="5" t="s">
        <v>2080</v>
      </c>
      <c r="F113" s="4" t="s">
        <v>26</v>
      </c>
      <c r="G113" s="4" t="s">
        <v>285</v>
      </c>
      <c r="H113" s="4" t="s">
        <v>285</v>
      </c>
      <c r="I113" s="4" t="s">
        <v>42</v>
      </c>
      <c r="J113" s="4" t="s">
        <v>43</v>
      </c>
      <c r="K113" s="4" t="s">
        <v>31</v>
      </c>
      <c r="L113" s="5">
        <v>42397.833333333336</v>
      </c>
      <c r="M113" s="5">
        <v>42397.916666666664</v>
      </c>
      <c r="N113" s="5">
        <v>42397.916666666664</v>
      </c>
      <c r="O113" s="4" t="s">
        <v>32</v>
      </c>
      <c r="P113" s="4" t="s">
        <v>33</v>
      </c>
      <c r="Q113" s="4" t="s">
        <v>76</v>
      </c>
      <c r="R113" s="4" t="s">
        <v>178</v>
      </c>
      <c r="S113" s="4" t="s">
        <v>178</v>
      </c>
      <c r="T113" s="4" t="s">
        <v>37</v>
      </c>
      <c r="U113" s="4" t="s">
        <v>37</v>
      </c>
      <c r="V113" s="4" t="s">
        <v>287</v>
      </c>
      <c r="W113" s="4" t="s">
        <v>37</v>
      </c>
      <c r="X113" s="4" t="s">
        <v>37</v>
      </c>
      <c r="Y113" s="4" t="s">
        <v>36</v>
      </c>
      <c r="Z113" s="4" t="s">
        <v>178</v>
      </c>
      <c r="AA113" s="4" t="s">
        <v>45</v>
      </c>
    </row>
    <row r="114" spans="1:27" s="1" customFormat="1" x14ac:dyDescent="0.3">
      <c r="A114" s="19">
        <v>19194</v>
      </c>
      <c r="B114" s="4" t="s">
        <v>614</v>
      </c>
      <c r="C114" s="4" t="e">
        <v>#N/A</v>
      </c>
      <c r="D114" s="5">
        <v>42390.509942129633</v>
      </c>
      <c r="E114" s="5" t="s">
        <v>2080</v>
      </c>
      <c r="F114" s="4" t="s">
        <v>26</v>
      </c>
      <c r="G114" s="4" t="s">
        <v>615</v>
      </c>
      <c r="H114" s="4" t="s">
        <v>615</v>
      </c>
      <c r="I114" s="4" t="s">
        <v>169</v>
      </c>
      <c r="J114" s="4" t="s">
        <v>30</v>
      </c>
      <c r="K114" s="4" t="s">
        <v>31</v>
      </c>
      <c r="L114" s="5">
        <v>42393.333333333336</v>
      </c>
      <c r="M114" s="5">
        <v>42394.75</v>
      </c>
      <c r="N114" s="5">
        <v>42394.791666666664</v>
      </c>
      <c r="O114" s="4" t="s">
        <v>250</v>
      </c>
      <c r="P114" s="4" t="s">
        <v>89</v>
      </c>
      <c r="Q114" s="4" t="s">
        <v>251</v>
      </c>
      <c r="R114" s="4" t="s">
        <v>616</v>
      </c>
      <c r="S114" s="4" t="s">
        <v>616</v>
      </c>
      <c r="T114" s="4" t="s">
        <v>36</v>
      </c>
      <c r="U114" s="4" t="s">
        <v>37</v>
      </c>
      <c r="V114" s="4" t="s">
        <v>617</v>
      </c>
      <c r="W114" s="4" t="s">
        <v>37</v>
      </c>
      <c r="X114" s="4" t="s">
        <v>37</v>
      </c>
      <c r="Y114" s="4" t="s">
        <v>36</v>
      </c>
      <c r="Z114" s="4" t="s">
        <v>618</v>
      </c>
      <c r="AA114" s="4" t="s">
        <v>93</v>
      </c>
    </row>
    <row r="115" spans="1:27" s="1" customFormat="1" x14ac:dyDescent="0.3">
      <c r="A115" s="19">
        <v>19196</v>
      </c>
      <c r="B115" s="4" t="s">
        <v>619</v>
      </c>
      <c r="C115" s="4" t="e">
        <v>#N/A</v>
      </c>
      <c r="D115" s="5">
        <v>42390.517106481479</v>
      </c>
      <c r="E115" s="5" t="s">
        <v>2080</v>
      </c>
      <c r="F115" s="4" t="s">
        <v>26</v>
      </c>
      <c r="G115" s="4" t="s">
        <v>47</v>
      </c>
      <c r="H115" s="4" t="s">
        <v>47</v>
      </c>
      <c r="I115" s="4" t="s">
        <v>209</v>
      </c>
      <c r="J115" s="4" t="s">
        <v>49</v>
      </c>
      <c r="K115" s="4" t="s">
        <v>31</v>
      </c>
      <c r="L115" s="5">
        <v>42398.458333333336</v>
      </c>
      <c r="M115" s="5">
        <v>42398.666666666664</v>
      </c>
      <c r="N115" s="5">
        <v>42398.708333333336</v>
      </c>
      <c r="O115" s="4" t="s">
        <v>32</v>
      </c>
      <c r="P115" s="4" t="s">
        <v>33</v>
      </c>
      <c r="Q115" s="4" t="s">
        <v>50</v>
      </c>
      <c r="R115" s="4" t="s">
        <v>620</v>
      </c>
      <c r="S115" s="4" t="s">
        <v>620</v>
      </c>
      <c r="T115" s="4" t="s">
        <v>37</v>
      </c>
      <c r="U115" s="4" t="s">
        <v>37</v>
      </c>
      <c r="V115" s="4" t="s">
        <v>621</v>
      </c>
      <c r="W115" s="4" t="s">
        <v>37</v>
      </c>
      <c r="X115" s="4" t="s">
        <v>37</v>
      </c>
      <c r="Y115" s="4" t="s">
        <v>36</v>
      </c>
      <c r="Z115" s="4" t="s">
        <v>53</v>
      </c>
      <c r="AA115" s="4"/>
    </row>
    <row r="116" spans="1:27" s="1" customFormat="1" x14ac:dyDescent="0.3">
      <c r="A116" s="19">
        <v>19198</v>
      </c>
      <c r="B116" s="4" t="s">
        <v>54</v>
      </c>
      <c r="C116" s="4" t="e">
        <v>#N/A</v>
      </c>
      <c r="D116" s="5">
        <v>42390.536064814813</v>
      </c>
      <c r="E116" s="5" t="s">
        <v>2080</v>
      </c>
      <c r="F116" s="4" t="s">
        <v>26</v>
      </c>
      <c r="G116" s="4" t="s">
        <v>132</v>
      </c>
      <c r="H116" s="4" t="s">
        <v>133</v>
      </c>
      <c r="I116" s="4" t="s">
        <v>42</v>
      </c>
      <c r="J116" s="4" t="s">
        <v>49</v>
      </c>
      <c r="K116" s="4" t="s">
        <v>31</v>
      </c>
      <c r="L116" s="5">
        <v>42401.916666666664</v>
      </c>
      <c r="M116" s="5">
        <v>42402.208333333336</v>
      </c>
      <c r="N116" s="5">
        <v>42402.208333333336</v>
      </c>
      <c r="O116" s="4" t="s">
        <v>32</v>
      </c>
      <c r="P116" s="4" t="s">
        <v>33</v>
      </c>
      <c r="Q116" s="4" t="s">
        <v>50</v>
      </c>
      <c r="R116" s="4" t="s">
        <v>622</v>
      </c>
      <c r="S116" s="4" t="s">
        <v>622</v>
      </c>
      <c r="T116" s="4" t="s">
        <v>36</v>
      </c>
      <c r="U116" s="4" t="s">
        <v>37</v>
      </c>
      <c r="V116" s="4" t="s">
        <v>135</v>
      </c>
      <c r="W116" s="4" t="s">
        <v>37</v>
      </c>
      <c r="X116" s="4" t="s">
        <v>37</v>
      </c>
      <c r="Y116" s="4" t="s">
        <v>36</v>
      </c>
      <c r="Z116" s="4" t="s">
        <v>53</v>
      </c>
      <c r="AA116" s="4"/>
    </row>
    <row r="117" spans="1:27" s="1" customFormat="1" x14ac:dyDescent="0.3">
      <c r="A117" s="19">
        <v>19200</v>
      </c>
      <c r="B117" s="4" t="s">
        <v>623</v>
      </c>
      <c r="C117" s="4" t="e">
        <v>#N/A</v>
      </c>
      <c r="D117" s="5">
        <v>42390.594236111108</v>
      </c>
      <c r="E117" s="5" t="s">
        <v>2080</v>
      </c>
      <c r="F117" s="4" t="s">
        <v>26</v>
      </c>
      <c r="G117" s="4" t="s">
        <v>624</v>
      </c>
      <c r="H117" s="4" t="s">
        <v>349</v>
      </c>
      <c r="I117" s="4" t="s">
        <v>29</v>
      </c>
      <c r="J117" s="4" t="s">
        <v>30</v>
      </c>
      <c r="K117" s="4" t="s">
        <v>31</v>
      </c>
      <c r="L117" s="5">
        <v>42398.916666666664</v>
      </c>
      <c r="M117" s="5">
        <v>42399.208333333336</v>
      </c>
      <c r="N117" s="5">
        <v>42399.291666666664</v>
      </c>
      <c r="O117" s="4" t="s">
        <v>32</v>
      </c>
      <c r="P117" s="4" t="s">
        <v>33</v>
      </c>
      <c r="Q117" s="4" t="s">
        <v>34</v>
      </c>
      <c r="R117" s="4" t="s">
        <v>625</v>
      </c>
      <c r="S117" s="6" t="s">
        <v>77</v>
      </c>
      <c r="T117" s="4" t="s">
        <v>36</v>
      </c>
      <c r="U117" s="4" t="s">
        <v>37</v>
      </c>
      <c r="V117" s="4" t="s">
        <v>626</v>
      </c>
      <c r="W117" s="4" t="s">
        <v>37</v>
      </c>
      <c r="X117" s="4" t="s">
        <v>37</v>
      </c>
      <c r="Y117" s="4" t="s">
        <v>36</v>
      </c>
      <c r="Z117" s="4" t="s">
        <v>39</v>
      </c>
      <c r="AA117" s="4" t="s">
        <v>40</v>
      </c>
    </row>
    <row r="118" spans="1:27" s="1" customFormat="1" x14ac:dyDescent="0.3">
      <c r="A118" s="19">
        <v>19204</v>
      </c>
      <c r="B118" s="4" t="s">
        <v>54</v>
      </c>
      <c r="C118" s="4" t="e">
        <v>#N/A</v>
      </c>
      <c r="D118" s="5">
        <v>42390.669907407406</v>
      </c>
      <c r="E118" s="5" t="s">
        <v>2080</v>
      </c>
      <c r="F118" s="4" t="s">
        <v>26</v>
      </c>
      <c r="G118" s="4" t="s">
        <v>132</v>
      </c>
      <c r="H118" s="4" t="s">
        <v>627</v>
      </c>
      <c r="I118" s="4" t="s">
        <v>42</v>
      </c>
      <c r="J118" s="4" t="s">
        <v>49</v>
      </c>
      <c r="K118" s="4" t="s">
        <v>31</v>
      </c>
      <c r="L118" s="5">
        <v>42402.916666666664</v>
      </c>
      <c r="M118" s="5">
        <v>42403.166666666664</v>
      </c>
      <c r="N118" s="5">
        <v>42403.208333333336</v>
      </c>
      <c r="O118" s="4" t="s">
        <v>32</v>
      </c>
      <c r="P118" s="4" t="s">
        <v>33</v>
      </c>
      <c r="Q118" s="4" t="s">
        <v>50</v>
      </c>
      <c r="R118" s="4" t="s">
        <v>628</v>
      </c>
      <c r="S118" s="4" t="s">
        <v>628</v>
      </c>
      <c r="T118" s="4" t="s">
        <v>36</v>
      </c>
      <c r="U118" s="4" t="s">
        <v>37</v>
      </c>
      <c r="V118" s="4" t="s">
        <v>629</v>
      </c>
      <c r="W118" s="4" t="s">
        <v>37</v>
      </c>
      <c r="X118" s="4" t="s">
        <v>37</v>
      </c>
      <c r="Y118" s="4" t="s">
        <v>36</v>
      </c>
      <c r="Z118" s="4" t="s">
        <v>53</v>
      </c>
      <c r="AA118" s="4"/>
    </row>
    <row r="119" spans="1:27" s="1" customFormat="1" x14ac:dyDescent="0.3">
      <c r="A119" s="19">
        <v>19205</v>
      </c>
      <c r="B119" s="4" t="s">
        <v>54</v>
      </c>
      <c r="C119" s="4" t="e">
        <v>#N/A</v>
      </c>
      <c r="D119" s="5">
        <v>42390.672025462962</v>
      </c>
      <c r="E119" s="5" t="s">
        <v>2080</v>
      </c>
      <c r="F119" s="4" t="s">
        <v>26</v>
      </c>
      <c r="G119" s="4" t="s">
        <v>132</v>
      </c>
      <c r="H119" s="4" t="s">
        <v>627</v>
      </c>
      <c r="I119" s="4" t="s">
        <v>42</v>
      </c>
      <c r="J119" s="4" t="s">
        <v>49</v>
      </c>
      <c r="K119" s="4" t="s">
        <v>31</v>
      </c>
      <c r="L119" s="5">
        <v>42403.916666666664</v>
      </c>
      <c r="M119" s="5">
        <v>42404.166666666664</v>
      </c>
      <c r="N119" s="5">
        <v>42404.208333333336</v>
      </c>
      <c r="O119" s="4" t="s">
        <v>32</v>
      </c>
      <c r="P119" s="4" t="s">
        <v>33</v>
      </c>
      <c r="Q119" s="4" t="s">
        <v>50</v>
      </c>
      <c r="R119" s="4" t="s">
        <v>630</v>
      </c>
      <c r="S119" s="4" t="s">
        <v>630</v>
      </c>
      <c r="T119" s="4" t="s">
        <v>36</v>
      </c>
      <c r="U119" s="4" t="s">
        <v>37</v>
      </c>
      <c r="V119" s="4" t="s">
        <v>135</v>
      </c>
      <c r="W119" s="4" t="s">
        <v>37</v>
      </c>
      <c r="X119" s="4" t="s">
        <v>37</v>
      </c>
      <c r="Y119" s="4" t="s">
        <v>36</v>
      </c>
      <c r="Z119" s="4" t="s">
        <v>53</v>
      </c>
      <c r="AA119" s="4"/>
    </row>
    <row r="120" spans="1:27" s="1" customFormat="1" x14ac:dyDescent="0.3">
      <c r="A120" s="19">
        <v>19208</v>
      </c>
      <c r="B120" s="4" t="s">
        <v>631</v>
      </c>
      <c r="C120" s="4" t="e">
        <v>#N/A</v>
      </c>
      <c r="D120" s="5">
        <v>42390.694363425922</v>
      </c>
      <c r="E120" s="5" t="s">
        <v>2080</v>
      </c>
      <c r="F120" s="4" t="s">
        <v>26</v>
      </c>
      <c r="G120" s="4" t="s">
        <v>259</v>
      </c>
      <c r="H120" s="4" t="s">
        <v>259</v>
      </c>
      <c r="I120" s="4" t="s">
        <v>48</v>
      </c>
      <c r="J120" s="4" t="s">
        <v>311</v>
      </c>
      <c r="K120" s="4" t="s">
        <v>31</v>
      </c>
      <c r="L120" s="5">
        <v>42396.875</v>
      </c>
      <c r="M120" s="5">
        <v>42396.916666666664</v>
      </c>
      <c r="N120" s="5">
        <v>42396.958333333336</v>
      </c>
      <c r="O120" s="4" t="s">
        <v>32</v>
      </c>
      <c r="P120" s="4" t="s">
        <v>33</v>
      </c>
      <c r="Q120" s="4" t="s">
        <v>34</v>
      </c>
      <c r="R120" s="4" t="s">
        <v>632</v>
      </c>
      <c r="S120" s="4" t="s">
        <v>632</v>
      </c>
      <c r="T120" s="4" t="s">
        <v>36</v>
      </c>
      <c r="U120" s="4" t="s">
        <v>37</v>
      </c>
      <c r="V120" s="4" t="s">
        <v>313</v>
      </c>
      <c r="W120" s="4" t="s">
        <v>37</v>
      </c>
      <c r="X120" s="4" t="s">
        <v>37</v>
      </c>
      <c r="Y120" s="4" t="s">
        <v>36</v>
      </c>
      <c r="Z120" s="4" t="s">
        <v>633</v>
      </c>
      <c r="AA120" s="4"/>
    </row>
    <row r="121" spans="1:27" s="1" customFormat="1" x14ac:dyDescent="0.3">
      <c r="A121" s="19">
        <v>19209</v>
      </c>
      <c r="B121" s="4" t="s">
        <v>634</v>
      </c>
      <c r="C121" s="4" t="e">
        <v>#N/A</v>
      </c>
      <c r="D121" s="5">
        <v>42390.737673611111</v>
      </c>
      <c r="E121" s="5" t="s">
        <v>2080</v>
      </c>
      <c r="F121" s="4" t="s">
        <v>26</v>
      </c>
      <c r="G121" s="4" t="s">
        <v>259</v>
      </c>
      <c r="H121" s="4" t="s">
        <v>259</v>
      </c>
      <c r="I121" s="4" t="s">
        <v>71</v>
      </c>
      <c r="J121" s="4" t="s">
        <v>311</v>
      </c>
      <c r="K121" s="4" t="s">
        <v>31</v>
      </c>
      <c r="L121" s="5">
        <v>42396.791666666664</v>
      </c>
      <c r="M121" s="5">
        <v>42396.833333333336</v>
      </c>
      <c r="N121" s="5">
        <v>42396.916666666664</v>
      </c>
      <c r="O121" s="4" t="s">
        <v>32</v>
      </c>
      <c r="P121" s="4" t="s">
        <v>33</v>
      </c>
      <c r="Q121" s="4" t="s">
        <v>76</v>
      </c>
      <c r="R121" s="4" t="s">
        <v>635</v>
      </c>
      <c r="S121" s="4" t="s">
        <v>635</v>
      </c>
      <c r="T121" s="4" t="s">
        <v>36</v>
      </c>
      <c r="U121" s="4" t="s">
        <v>37</v>
      </c>
      <c r="V121" s="4" t="s">
        <v>636</v>
      </c>
      <c r="W121" s="4" t="s">
        <v>37</v>
      </c>
      <c r="X121" s="4" t="s">
        <v>37</v>
      </c>
      <c r="Y121" s="4" t="s">
        <v>36</v>
      </c>
      <c r="Z121" s="4" t="s">
        <v>53</v>
      </c>
      <c r="AA121" s="4"/>
    </row>
    <row r="122" spans="1:27" s="1" customFormat="1" x14ac:dyDescent="0.3">
      <c r="A122" s="19">
        <v>19212</v>
      </c>
      <c r="B122" s="4" t="s">
        <v>637</v>
      </c>
      <c r="C122" s="4" t="s">
        <v>640</v>
      </c>
      <c r="D122" s="5">
        <v>42391.514398148145</v>
      </c>
      <c r="E122" s="5" t="s">
        <v>2080</v>
      </c>
      <c r="F122" s="4" t="s">
        <v>26</v>
      </c>
      <c r="G122" s="4" t="s">
        <v>417</v>
      </c>
      <c r="H122" s="4" t="s">
        <v>417</v>
      </c>
      <c r="I122" s="4" t="s">
        <v>83</v>
      </c>
      <c r="J122" s="4" t="s">
        <v>600</v>
      </c>
      <c r="K122" s="4" t="s">
        <v>31</v>
      </c>
      <c r="L122" s="5">
        <v>42445.75</v>
      </c>
      <c r="M122" s="5">
        <v>42445.833333333336</v>
      </c>
      <c r="N122" s="5">
        <v>42446.083333333336</v>
      </c>
      <c r="O122" s="4" t="s">
        <v>32</v>
      </c>
      <c r="P122" s="4" t="s">
        <v>149</v>
      </c>
      <c r="Q122" s="4" t="s">
        <v>34</v>
      </c>
      <c r="R122" s="4" t="s">
        <v>638</v>
      </c>
      <c r="S122" s="4" t="s">
        <v>638</v>
      </c>
      <c r="T122" s="4" t="s">
        <v>37</v>
      </c>
      <c r="U122" s="4" t="s">
        <v>37</v>
      </c>
      <c r="V122" s="4" t="s">
        <v>639</v>
      </c>
      <c r="W122" s="4" t="s">
        <v>37</v>
      </c>
      <c r="X122" s="4" t="s">
        <v>37</v>
      </c>
      <c r="Y122" s="4" t="s">
        <v>36</v>
      </c>
      <c r="Z122" s="4" t="s">
        <v>640</v>
      </c>
      <c r="AA122" s="4" t="s">
        <v>93</v>
      </c>
    </row>
    <row r="123" spans="1:27" s="1" customFormat="1" x14ac:dyDescent="0.3">
      <c r="A123" s="19">
        <v>19214</v>
      </c>
      <c r="B123" s="4" t="s">
        <v>641</v>
      </c>
      <c r="C123" s="4" t="e">
        <v>#N/A</v>
      </c>
      <c r="D123" s="5">
        <v>42391.57199074074</v>
      </c>
      <c r="E123" s="5" t="s">
        <v>2080</v>
      </c>
      <c r="F123" s="4" t="s">
        <v>26</v>
      </c>
      <c r="G123" s="4" t="s">
        <v>464</v>
      </c>
      <c r="H123" s="4" t="s">
        <v>464</v>
      </c>
      <c r="I123" s="4" t="s">
        <v>205</v>
      </c>
      <c r="J123" s="4" t="s">
        <v>311</v>
      </c>
      <c r="K123" s="4" t="s">
        <v>31</v>
      </c>
      <c r="L123" s="5">
        <v>42397.375</v>
      </c>
      <c r="M123" s="5">
        <v>42397.541666666664</v>
      </c>
      <c r="N123" s="5">
        <v>42397.5625</v>
      </c>
      <c r="O123" s="4" t="s">
        <v>32</v>
      </c>
      <c r="P123" s="4" t="s">
        <v>33</v>
      </c>
      <c r="Q123" s="4" t="s">
        <v>34</v>
      </c>
      <c r="R123" s="4" t="s">
        <v>642</v>
      </c>
      <c r="S123" s="4" t="s">
        <v>642</v>
      </c>
      <c r="T123" s="4" t="s">
        <v>36</v>
      </c>
      <c r="U123" s="4" t="s">
        <v>37</v>
      </c>
      <c r="V123" s="4" t="s">
        <v>643</v>
      </c>
      <c r="W123" s="4" t="s">
        <v>37</v>
      </c>
      <c r="X123" s="4" t="s">
        <v>37</v>
      </c>
      <c r="Y123" s="4" t="s">
        <v>36</v>
      </c>
      <c r="Z123" s="4" t="s">
        <v>53</v>
      </c>
      <c r="AA123" s="4"/>
    </row>
    <row r="124" spans="1:27" s="1" customFormat="1" x14ac:dyDescent="0.3">
      <c r="A124" s="19">
        <v>19215</v>
      </c>
      <c r="B124" s="4" t="s">
        <v>644</v>
      </c>
      <c r="C124" s="4" t="e">
        <v>#N/A</v>
      </c>
      <c r="D124" s="5">
        <v>42391.637129629627</v>
      </c>
      <c r="E124" s="5" t="s">
        <v>2080</v>
      </c>
      <c r="F124" s="4" t="s">
        <v>26</v>
      </c>
      <c r="G124" s="4" t="s">
        <v>392</v>
      </c>
      <c r="H124" s="4" t="s">
        <v>392</v>
      </c>
      <c r="I124" s="4" t="s">
        <v>204</v>
      </c>
      <c r="J124" s="4" t="s">
        <v>645</v>
      </c>
      <c r="K124" s="4" t="s">
        <v>31</v>
      </c>
      <c r="L124" s="5">
        <v>42427.916666666664</v>
      </c>
      <c r="M124" s="5">
        <v>42428.25</v>
      </c>
      <c r="N124" s="5">
        <v>42428.291666666664</v>
      </c>
      <c r="O124" s="4" t="s">
        <v>32</v>
      </c>
      <c r="P124" s="4" t="s">
        <v>33</v>
      </c>
      <c r="Q124" s="4" t="s">
        <v>34</v>
      </c>
      <c r="R124" s="4" t="s">
        <v>163</v>
      </c>
      <c r="S124" s="6" t="s">
        <v>77</v>
      </c>
      <c r="T124" s="4" t="s">
        <v>37</v>
      </c>
      <c r="U124" s="4" t="s">
        <v>37</v>
      </c>
      <c r="V124" s="4" t="s">
        <v>646</v>
      </c>
      <c r="W124" s="4" t="s">
        <v>37</v>
      </c>
      <c r="X124" s="4" t="s">
        <v>37</v>
      </c>
      <c r="Y124" s="4" t="s">
        <v>36</v>
      </c>
      <c r="Z124" s="4" t="s">
        <v>53</v>
      </c>
      <c r="AA124" s="4" t="s">
        <v>187</v>
      </c>
    </row>
    <row r="125" spans="1:27" s="1" customFormat="1" x14ac:dyDescent="0.3">
      <c r="A125" s="19">
        <v>19220</v>
      </c>
      <c r="B125" s="4" t="s">
        <v>647</v>
      </c>
      <c r="C125" s="4">
        <v>0</v>
      </c>
      <c r="D125" s="5">
        <v>42391.683854166666</v>
      </c>
      <c r="E125" s="5" t="s">
        <v>2080</v>
      </c>
      <c r="F125" s="4" t="s">
        <v>26</v>
      </c>
      <c r="G125" s="4" t="s">
        <v>648</v>
      </c>
      <c r="H125" s="4" t="s">
        <v>648</v>
      </c>
      <c r="I125" s="4" t="s">
        <v>203</v>
      </c>
      <c r="J125" s="4" t="s">
        <v>649</v>
      </c>
      <c r="K125" s="4" t="s">
        <v>31</v>
      </c>
      <c r="L125" s="5">
        <v>42404.916666666664</v>
      </c>
      <c r="M125" s="5">
        <v>42405.208333333336</v>
      </c>
      <c r="N125" s="5">
        <v>42405.25</v>
      </c>
      <c r="O125" s="4" t="s">
        <v>32</v>
      </c>
      <c r="P125" s="4" t="s">
        <v>33</v>
      </c>
      <c r="Q125" s="4" t="s">
        <v>119</v>
      </c>
      <c r="R125" s="4" t="s">
        <v>650</v>
      </c>
      <c r="S125" s="4" t="s">
        <v>650</v>
      </c>
      <c r="T125" s="4" t="s">
        <v>36</v>
      </c>
      <c r="U125" s="4" t="s">
        <v>37</v>
      </c>
      <c r="V125" s="4" t="s">
        <v>626</v>
      </c>
      <c r="W125" s="4" t="s">
        <v>37</v>
      </c>
      <c r="X125" s="4" t="s">
        <v>37</v>
      </c>
      <c r="Y125" s="4" t="s">
        <v>36</v>
      </c>
      <c r="Z125" s="4"/>
      <c r="AA125" s="4" t="s">
        <v>93</v>
      </c>
    </row>
    <row r="126" spans="1:27" s="1" customFormat="1" x14ac:dyDescent="0.3">
      <c r="A126" s="19">
        <v>19221</v>
      </c>
      <c r="B126" s="4" t="s">
        <v>651</v>
      </c>
      <c r="C126" s="4">
        <v>0</v>
      </c>
      <c r="D126" s="5">
        <v>42391.69321759259</v>
      </c>
      <c r="E126" s="5" t="s">
        <v>2080</v>
      </c>
      <c r="F126" s="4" t="s">
        <v>26</v>
      </c>
      <c r="G126" s="4" t="s">
        <v>652</v>
      </c>
      <c r="H126" s="4" t="s">
        <v>652</v>
      </c>
      <c r="I126" s="4" t="s">
        <v>221</v>
      </c>
      <c r="J126" s="4" t="s">
        <v>30</v>
      </c>
      <c r="K126" s="4" t="s">
        <v>31</v>
      </c>
      <c r="L126" s="5">
        <v>42401.958333333336</v>
      </c>
      <c r="M126" s="5">
        <v>42402.25</v>
      </c>
      <c r="N126" s="5">
        <v>42402.291666666664</v>
      </c>
      <c r="O126" s="4" t="s">
        <v>32</v>
      </c>
      <c r="P126" s="4" t="s">
        <v>89</v>
      </c>
      <c r="Q126" s="4" t="s">
        <v>50</v>
      </c>
      <c r="R126" s="4" t="s">
        <v>653</v>
      </c>
      <c r="S126" s="4" t="s">
        <v>653</v>
      </c>
      <c r="T126" s="4" t="s">
        <v>37</v>
      </c>
      <c r="U126" s="4" t="s">
        <v>37</v>
      </c>
      <c r="V126" s="4" t="s">
        <v>654</v>
      </c>
      <c r="W126" s="4" t="s">
        <v>37</v>
      </c>
      <c r="X126" s="4" t="s">
        <v>37</v>
      </c>
      <c r="Y126" s="4" t="s">
        <v>36</v>
      </c>
      <c r="Z126" s="4" t="s">
        <v>39</v>
      </c>
      <c r="AA126" s="4" t="s">
        <v>93</v>
      </c>
    </row>
    <row r="127" spans="1:27" s="1" customFormat="1" x14ac:dyDescent="0.3">
      <c r="A127" s="19">
        <v>19223</v>
      </c>
      <c r="B127" s="4" t="s">
        <v>655</v>
      </c>
      <c r="C127" s="4" t="e">
        <v>#N/A</v>
      </c>
      <c r="D127" s="5">
        <v>42391.704016203701</v>
      </c>
      <c r="E127" s="5" t="s">
        <v>2080</v>
      </c>
      <c r="F127" s="4" t="s">
        <v>26</v>
      </c>
      <c r="G127" s="4" t="s">
        <v>656</v>
      </c>
      <c r="H127" s="4" t="s">
        <v>656</v>
      </c>
      <c r="I127" s="4" t="s">
        <v>203</v>
      </c>
      <c r="J127" s="4" t="s">
        <v>657</v>
      </c>
      <c r="K127" s="4" t="s">
        <v>31</v>
      </c>
      <c r="L127" s="5">
        <v>42397.916666666664</v>
      </c>
      <c r="M127" s="5">
        <v>42398.25</v>
      </c>
      <c r="N127" s="5">
        <v>42398.75</v>
      </c>
      <c r="O127" s="4" t="s">
        <v>32</v>
      </c>
      <c r="P127" s="4" t="s">
        <v>33</v>
      </c>
      <c r="Q127" s="4" t="s">
        <v>76</v>
      </c>
      <c r="R127" s="4" t="s">
        <v>658</v>
      </c>
      <c r="S127" s="4" t="s">
        <v>658</v>
      </c>
      <c r="T127" s="4" t="s">
        <v>37</v>
      </c>
      <c r="U127" s="4" t="s">
        <v>37</v>
      </c>
      <c r="V127" s="4" t="s">
        <v>659</v>
      </c>
      <c r="W127" s="4" t="s">
        <v>37</v>
      </c>
      <c r="X127" s="4" t="s">
        <v>37</v>
      </c>
      <c r="Y127" s="4" t="s">
        <v>36</v>
      </c>
      <c r="Z127" s="4" t="s">
        <v>53</v>
      </c>
      <c r="AA127" s="4" t="s">
        <v>660</v>
      </c>
    </row>
    <row r="128" spans="1:27" s="1" customFormat="1" x14ac:dyDescent="0.3">
      <c r="A128" s="19">
        <v>19224</v>
      </c>
      <c r="B128" s="4" t="s">
        <v>232</v>
      </c>
      <c r="C128" s="4" t="e">
        <v>#N/A</v>
      </c>
      <c r="D128" s="5">
        <v>42391.841527777775</v>
      </c>
      <c r="E128" s="5" t="s">
        <v>2080</v>
      </c>
      <c r="F128" s="4" t="s">
        <v>26</v>
      </c>
      <c r="G128" s="4" t="s">
        <v>233</v>
      </c>
      <c r="H128" s="4" t="s">
        <v>234</v>
      </c>
      <c r="I128" s="4" t="s">
        <v>83</v>
      </c>
      <c r="J128" s="4" t="s">
        <v>49</v>
      </c>
      <c r="K128" s="4" t="s">
        <v>31</v>
      </c>
      <c r="L128" s="5">
        <v>42399</v>
      </c>
      <c r="M128" s="5">
        <v>42399.25</v>
      </c>
      <c r="N128" s="5">
        <v>42399.291666666664</v>
      </c>
      <c r="O128" s="4" t="s">
        <v>32</v>
      </c>
      <c r="P128" s="4" t="s">
        <v>33</v>
      </c>
      <c r="Q128" s="4" t="s">
        <v>34</v>
      </c>
      <c r="R128" s="4" t="s">
        <v>661</v>
      </c>
      <c r="S128" s="4" t="s">
        <v>661</v>
      </c>
      <c r="T128" s="4" t="s">
        <v>36</v>
      </c>
      <c r="U128" s="4" t="s">
        <v>37</v>
      </c>
      <c r="V128" s="4" t="s">
        <v>236</v>
      </c>
      <c r="W128" s="4" t="s">
        <v>37</v>
      </c>
      <c r="X128" s="4" t="s">
        <v>37</v>
      </c>
      <c r="Y128" s="4" t="s">
        <v>36</v>
      </c>
      <c r="Z128" s="4" t="s">
        <v>53</v>
      </c>
      <c r="AA128" s="4"/>
    </row>
    <row r="129" spans="1:27" s="1" customFormat="1" x14ac:dyDescent="0.3">
      <c r="A129" s="19">
        <v>19225</v>
      </c>
      <c r="B129" s="4" t="s">
        <v>662</v>
      </c>
      <c r="C129" s="4">
        <v>0</v>
      </c>
      <c r="D129" s="5">
        <v>42394.458148148151</v>
      </c>
      <c r="E129" s="5" t="s">
        <v>2080</v>
      </c>
      <c r="F129" s="4" t="s">
        <v>26</v>
      </c>
      <c r="G129" s="4" t="s">
        <v>663</v>
      </c>
      <c r="H129" s="4" t="s">
        <v>664</v>
      </c>
      <c r="I129" s="4" t="s">
        <v>217</v>
      </c>
      <c r="J129" s="4" t="s">
        <v>30</v>
      </c>
      <c r="K129" s="4" t="s">
        <v>31</v>
      </c>
      <c r="L129" s="5">
        <v>42400.041666666664</v>
      </c>
      <c r="M129" s="5">
        <v>42400.083333333336</v>
      </c>
      <c r="N129" s="5">
        <v>42400.125</v>
      </c>
      <c r="O129" s="4" t="s">
        <v>32</v>
      </c>
      <c r="P129" s="4" t="s">
        <v>89</v>
      </c>
      <c r="Q129" s="4" t="s">
        <v>119</v>
      </c>
      <c r="R129" s="4" t="s">
        <v>665</v>
      </c>
      <c r="S129" s="6" t="s">
        <v>77</v>
      </c>
      <c r="T129" s="4" t="s">
        <v>36</v>
      </c>
      <c r="U129" s="4" t="s">
        <v>36</v>
      </c>
      <c r="V129" s="4" t="s">
        <v>666</v>
      </c>
      <c r="W129" s="4" t="s">
        <v>36</v>
      </c>
      <c r="X129" s="4" t="s">
        <v>37</v>
      </c>
      <c r="Y129" s="4" t="s">
        <v>36</v>
      </c>
      <c r="Z129" s="4" t="s">
        <v>433</v>
      </c>
      <c r="AA129" s="4" t="s">
        <v>40</v>
      </c>
    </row>
    <row r="130" spans="1:27" s="1" customFormat="1" x14ac:dyDescent="0.3">
      <c r="A130" s="19">
        <v>19227</v>
      </c>
      <c r="B130" s="4" t="s">
        <v>667</v>
      </c>
      <c r="C130" s="4" t="s">
        <v>2108</v>
      </c>
      <c r="D130" s="5">
        <v>42394.517013888886</v>
      </c>
      <c r="E130" s="5" t="s">
        <v>2080</v>
      </c>
      <c r="F130" s="4" t="s">
        <v>26</v>
      </c>
      <c r="G130" s="4" t="s">
        <v>27</v>
      </c>
      <c r="H130" s="4" t="s">
        <v>668</v>
      </c>
      <c r="I130" s="4" t="s">
        <v>48</v>
      </c>
      <c r="J130" s="4" t="s">
        <v>466</v>
      </c>
      <c r="K130" s="4" t="s">
        <v>31</v>
      </c>
      <c r="L130" s="5">
        <v>42403.916666666664</v>
      </c>
      <c r="M130" s="5">
        <v>42404.75</v>
      </c>
      <c r="N130" s="5">
        <v>42404.75</v>
      </c>
      <c r="O130" s="4" t="s">
        <v>32</v>
      </c>
      <c r="P130" s="4" t="s">
        <v>149</v>
      </c>
      <c r="Q130" s="4" t="s">
        <v>50</v>
      </c>
      <c r="R130" s="4" t="s">
        <v>669</v>
      </c>
      <c r="S130" s="4" t="s">
        <v>669</v>
      </c>
      <c r="T130" s="4" t="s">
        <v>36</v>
      </c>
      <c r="U130" s="4" t="s">
        <v>37</v>
      </c>
      <c r="V130" s="4" t="s">
        <v>670</v>
      </c>
      <c r="W130" s="4" t="s">
        <v>37</v>
      </c>
      <c r="X130" s="4" t="s">
        <v>37</v>
      </c>
      <c r="Y130" s="4" t="s">
        <v>36</v>
      </c>
      <c r="Z130" s="4" t="s">
        <v>671</v>
      </c>
      <c r="AA130" s="4" t="s">
        <v>672</v>
      </c>
    </row>
    <row r="131" spans="1:27" s="1" customFormat="1" x14ac:dyDescent="0.3">
      <c r="A131" s="19">
        <v>19228</v>
      </c>
      <c r="B131" s="4" t="s">
        <v>673</v>
      </c>
      <c r="C131" s="4" t="s">
        <v>2109</v>
      </c>
      <c r="D131" s="5">
        <v>42394.523518518516</v>
      </c>
      <c r="E131" s="5" t="s">
        <v>2080</v>
      </c>
      <c r="F131" s="4" t="s">
        <v>26</v>
      </c>
      <c r="G131" s="4" t="s">
        <v>27</v>
      </c>
      <c r="H131" s="4" t="s">
        <v>28</v>
      </c>
      <c r="I131" s="4" t="s">
        <v>205</v>
      </c>
      <c r="J131" s="4" t="s">
        <v>30</v>
      </c>
      <c r="K131" s="4" t="s">
        <v>31</v>
      </c>
      <c r="L131" s="5">
        <v>42424.916666666664</v>
      </c>
      <c r="M131" s="5">
        <v>42425.75</v>
      </c>
      <c r="N131" s="5">
        <v>42425.75</v>
      </c>
      <c r="O131" s="4" t="s">
        <v>32</v>
      </c>
      <c r="P131" s="4" t="s">
        <v>149</v>
      </c>
      <c r="Q131" s="4" t="s">
        <v>34</v>
      </c>
      <c r="R131" s="4" t="s">
        <v>318</v>
      </c>
      <c r="S131" s="4" t="s">
        <v>319</v>
      </c>
      <c r="T131" s="4" t="s">
        <v>36</v>
      </c>
      <c r="U131" s="4" t="s">
        <v>37</v>
      </c>
      <c r="V131" s="4" t="s">
        <v>674</v>
      </c>
      <c r="W131" s="4" t="s">
        <v>37</v>
      </c>
      <c r="X131" s="4" t="s">
        <v>36</v>
      </c>
      <c r="Y131" s="4" t="s">
        <v>37</v>
      </c>
      <c r="Z131" s="4" t="s">
        <v>675</v>
      </c>
      <c r="AA131" s="4" t="s">
        <v>676</v>
      </c>
    </row>
    <row r="132" spans="1:27" s="1" customFormat="1" x14ac:dyDescent="0.3">
      <c r="A132" s="19">
        <v>19229</v>
      </c>
      <c r="B132" s="4" t="s">
        <v>67</v>
      </c>
      <c r="C132" s="4" t="e">
        <v>#N/A</v>
      </c>
      <c r="D132" s="5">
        <v>42394.607766203706</v>
      </c>
      <c r="E132" s="5" t="s">
        <v>2080</v>
      </c>
      <c r="F132" s="4" t="s">
        <v>26</v>
      </c>
      <c r="G132" s="4" t="s">
        <v>47</v>
      </c>
      <c r="H132" s="4" t="s">
        <v>47</v>
      </c>
      <c r="I132" s="4" t="s">
        <v>216</v>
      </c>
      <c r="J132" s="4" t="s">
        <v>49</v>
      </c>
      <c r="K132" s="4" t="s">
        <v>31</v>
      </c>
      <c r="L132" s="5">
        <v>42426.916666666664</v>
      </c>
      <c r="M132" s="5">
        <v>42427.25</v>
      </c>
      <c r="N132" s="5">
        <v>42427.291666666664</v>
      </c>
      <c r="O132" s="4" t="s">
        <v>32</v>
      </c>
      <c r="P132" s="4" t="s">
        <v>33</v>
      </c>
      <c r="Q132" s="4" t="s">
        <v>50</v>
      </c>
      <c r="R132" s="4" t="s">
        <v>677</v>
      </c>
      <c r="S132" s="4" t="s">
        <v>677</v>
      </c>
      <c r="T132" s="4" t="s">
        <v>36</v>
      </c>
      <c r="U132" s="4" t="s">
        <v>37</v>
      </c>
      <c r="V132" s="4" t="s">
        <v>70</v>
      </c>
      <c r="W132" s="4" t="s">
        <v>36</v>
      </c>
      <c r="X132" s="4" t="s">
        <v>37</v>
      </c>
      <c r="Y132" s="4" t="s">
        <v>37</v>
      </c>
      <c r="Z132" s="4" t="s">
        <v>53</v>
      </c>
      <c r="AA132" s="4"/>
    </row>
    <row r="133" spans="1:27" s="1" customFormat="1" x14ac:dyDescent="0.3">
      <c r="A133" s="19">
        <v>19232</v>
      </c>
      <c r="B133" s="4" t="s">
        <v>54</v>
      </c>
      <c r="C133" s="4" t="e">
        <v>#N/A</v>
      </c>
      <c r="D133" s="5">
        <v>42395.363449074073</v>
      </c>
      <c r="E133" s="5" t="s">
        <v>2080</v>
      </c>
      <c r="F133" s="4" t="s">
        <v>26</v>
      </c>
      <c r="G133" s="4" t="s">
        <v>132</v>
      </c>
      <c r="H133" s="4" t="s">
        <v>133</v>
      </c>
      <c r="I133" s="4" t="s">
        <v>42</v>
      </c>
      <c r="J133" s="4" t="s">
        <v>49</v>
      </c>
      <c r="K133" s="4" t="s">
        <v>31</v>
      </c>
      <c r="L133" s="5">
        <v>42404.916666666664</v>
      </c>
      <c r="M133" s="5">
        <v>42405.166666666664</v>
      </c>
      <c r="N133" s="5">
        <v>42405.208333333336</v>
      </c>
      <c r="O133" s="4" t="s">
        <v>32</v>
      </c>
      <c r="P133" s="4" t="s">
        <v>33</v>
      </c>
      <c r="Q133" s="4" t="s">
        <v>50</v>
      </c>
      <c r="R133" s="4" t="s">
        <v>678</v>
      </c>
      <c r="S133" s="4" t="s">
        <v>678</v>
      </c>
      <c r="T133" s="4" t="s">
        <v>36</v>
      </c>
      <c r="U133" s="4" t="s">
        <v>37</v>
      </c>
      <c r="V133" s="4" t="s">
        <v>135</v>
      </c>
      <c r="W133" s="4" t="s">
        <v>37</v>
      </c>
      <c r="X133" s="4" t="s">
        <v>37</v>
      </c>
      <c r="Y133" s="4" t="s">
        <v>37</v>
      </c>
      <c r="Z133" s="4" t="s">
        <v>53</v>
      </c>
      <c r="AA133" s="4"/>
    </row>
    <row r="134" spans="1:27" s="1" customFormat="1" x14ac:dyDescent="0.3">
      <c r="A134" s="19">
        <v>19233</v>
      </c>
      <c r="B134" s="4" t="s">
        <v>679</v>
      </c>
      <c r="C134" s="4" t="e">
        <v>#N/A</v>
      </c>
      <c r="D134" s="5">
        <v>42395.473078703704</v>
      </c>
      <c r="E134" s="5" t="s">
        <v>2080</v>
      </c>
      <c r="F134" s="4" t="s">
        <v>26</v>
      </c>
      <c r="G134" s="4" t="s">
        <v>387</v>
      </c>
      <c r="H134" s="4" t="s">
        <v>117</v>
      </c>
      <c r="I134" s="4" t="s">
        <v>118</v>
      </c>
      <c r="J134" s="4" t="s">
        <v>30</v>
      </c>
      <c r="K134" s="4" t="s">
        <v>31</v>
      </c>
      <c r="L134" s="5">
        <v>42391.541666666664</v>
      </c>
      <c r="M134" s="5">
        <v>42391.75</v>
      </c>
      <c r="N134" s="5">
        <v>42391.75</v>
      </c>
      <c r="O134" s="4" t="s">
        <v>492</v>
      </c>
      <c r="P134" s="4" t="s">
        <v>89</v>
      </c>
      <c r="Q134" s="4" t="s">
        <v>251</v>
      </c>
      <c r="R134" s="4" t="s">
        <v>388</v>
      </c>
      <c r="S134" s="4" t="s">
        <v>388</v>
      </c>
      <c r="T134" s="4" t="s">
        <v>37</v>
      </c>
      <c r="U134" s="4" t="s">
        <v>37</v>
      </c>
      <c r="V134" s="4" t="s">
        <v>389</v>
      </c>
      <c r="W134" s="4" t="s">
        <v>37</v>
      </c>
      <c r="X134" s="4" t="s">
        <v>37</v>
      </c>
      <c r="Y134" s="4" t="s">
        <v>36</v>
      </c>
      <c r="Z134" s="4" t="s">
        <v>680</v>
      </c>
      <c r="AA134" s="4" t="s">
        <v>93</v>
      </c>
    </row>
    <row r="135" spans="1:27" s="1" customFormat="1" x14ac:dyDescent="0.3">
      <c r="A135" s="19">
        <v>19234</v>
      </c>
      <c r="B135" s="4" t="s">
        <v>681</v>
      </c>
      <c r="C135" s="4" t="e">
        <v>#N/A</v>
      </c>
      <c r="D135" s="5">
        <v>42395.669432870367</v>
      </c>
      <c r="E135" s="5" t="s">
        <v>2080</v>
      </c>
      <c r="F135" s="4" t="s">
        <v>26</v>
      </c>
      <c r="G135" s="4" t="s">
        <v>682</v>
      </c>
      <c r="H135" s="4" t="s">
        <v>683</v>
      </c>
      <c r="I135" s="4" t="s">
        <v>212</v>
      </c>
      <c r="J135" s="4" t="s">
        <v>684</v>
      </c>
      <c r="K135" s="4" t="s">
        <v>31</v>
      </c>
      <c r="L135" s="5">
        <v>42397.916666666664</v>
      </c>
      <c r="M135" s="5">
        <v>42398.229166666664</v>
      </c>
      <c r="N135" s="5">
        <v>42398.25</v>
      </c>
      <c r="O135" s="4" t="s">
        <v>250</v>
      </c>
      <c r="P135" s="4" t="s">
        <v>89</v>
      </c>
      <c r="Q135" s="4" t="s">
        <v>251</v>
      </c>
      <c r="R135" s="4" t="s">
        <v>163</v>
      </c>
      <c r="S135" s="4" t="s">
        <v>163</v>
      </c>
      <c r="T135" s="4" t="s">
        <v>36</v>
      </c>
      <c r="U135" s="4" t="s">
        <v>36</v>
      </c>
      <c r="V135" s="4" t="s">
        <v>685</v>
      </c>
      <c r="W135" s="4" t="s">
        <v>37</v>
      </c>
      <c r="X135" s="4" t="s">
        <v>37</v>
      </c>
      <c r="Y135" s="4" t="s">
        <v>36</v>
      </c>
      <c r="Z135" s="4" t="s">
        <v>686</v>
      </c>
      <c r="AA135" s="4" t="s">
        <v>346</v>
      </c>
    </row>
    <row r="136" spans="1:27" s="1" customFormat="1" x14ac:dyDescent="0.3">
      <c r="A136" s="19">
        <v>19235</v>
      </c>
      <c r="B136" s="4" t="s">
        <v>687</v>
      </c>
      <c r="C136" s="4">
        <v>0</v>
      </c>
      <c r="D136" s="5">
        <v>42395.750902777778</v>
      </c>
      <c r="E136" s="5" t="s">
        <v>2080</v>
      </c>
      <c r="F136" s="4" t="s">
        <v>26</v>
      </c>
      <c r="G136" s="4" t="s">
        <v>392</v>
      </c>
      <c r="H136" s="4" t="s">
        <v>392</v>
      </c>
      <c r="I136" s="4" t="s">
        <v>200</v>
      </c>
      <c r="J136" s="4" t="s">
        <v>311</v>
      </c>
      <c r="K136" s="4" t="s">
        <v>31</v>
      </c>
      <c r="L136" s="5">
        <v>42412.833333333336</v>
      </c>
      <c r="M136" s="5">
        <v>42413.166666666664</v>
      </c>
      <c r="N136" s="5">
        <v>42413.170138888891</v>
      </c>
      <c r="O136" s="4" t="s">
        <v>32</v>
      </c>
      <c r="P136" s="4" t="s">
        <v>33</v>
      </c>
      <c r="Q136" s="4" t="s">
        <v>76</v>
      </c>
      <c r="R136" s="6" t="s">
        <v>77</v>
      </c>
      <c r="S136" s="6" t="s">
        <v>77</v>
      </c>
      <c r="T136" s="4" t="s">
        <v>37</v>
      </c>
      <c r="U136" s="4" t="s">
        <v>37</v>
      </c>
      <c r="V136" s="4" t="s">
        <v>646</v>
      </c>
      <c r="W136" s="4" t="s">
        <v>37</v>
      </c>
      <c r="X136" s="4" t="s">
        <v>37</v>
      </c>
      <c r="Y136" s="4" t="s">
        <v>36</v>
      </c>
      <c r="Z136" s="4"/>
      <c r="AA136" s="4"/>
    </row>
    <row r="137" spans="1:27" s="1" customFormat="1" x14ac:dyDescent="0.3">
      <c r="A137" s="19">
        <v>19237</v>
      </c>
      <c r="B137" s="4" t="s">
        <v>688</v>
      </c>
      <c r="C137" s="4" t="s">
        <v>2110</v>
      </c>
      <c r="D137" s="5">
        <v>42396.357372685183</v>
      </c>
      <c r="E137" s="5" t="s">
        <v>2080</v>
      </c>
      <c r="F137" s="4" t="s">
        <v>26</v>
      </c>
      <c r="G137" s="4" t="s">
        <v>513</v>
      </c>
      <c r="H137" s="4" t="s">
        <v>435</v>
      </c>
      <c r="I137" s="4" t="s">
        <v>118</v>
      </c>
      <c r="J137" s="4" t="s">
        <v>30</v>
      </c>
      <c r="K137" s="4" t="s">
        <v>31</v>
      </c>
      <c r="L137" s="5">
        <v>42411.291666666664</v>
      </c>
      <c r="M137" s="5">
        <v>42411.458333333336</v>
      </c>
      <c r="N137" s="5">
        <v>42411.572916666664</v>
      </c>
      <c r="O137" s="4" t="s">
        <v>32</v>
      </c>
      <c r="P137" s="4" t="s">
        <v>149</v>
      </c>
      <c r="Q137" s="4" t="s">
        <v>76</v>
      </c>
      <c r="R137" s="4" t="s">
        <v>436</v>
      </c>
      <c r="S137" s="4" t="s">
        <v>436</v>
      </c>
      <c r="T137" s="4" t="s">
        <v>37</v>
      </c>
      <c r="U137" s="4" t="s">
        <v>37</v>
      </c>
      <c r="V137" s="4" t="s">
        <v>689</v>
      </c>
      <c r="W137" s="4"/>
      <c r="X137" s="4"/>
      <c r="Y137" s="4"/>
      <c r="Z137" s="4" t="s">
        <v>690</v>
      </c>
      <c r="AA137" s="4" t="s">
        <v>179</v>
      </c>
    </row>
    <row r="138" spans="1:27" s="1" customFormat="1" x14ac:dyDescent="0.3">
      <c r="A138" s="19">
        <v>19239</v>
      </c>
      <c r="B138" s="4" t="s">
        <v>691</v>
      </c>
      <c r="C138" s="4" t="e">
        <v>#N/A</v>
      </c>
      <c r="D138" s="5">
        <v>42396.404398148145</v>
      </c>
      <c r="E138" s="5" t="s">
        <v>2080</v>
      </c>
      <c r="F138" s="4" t="s">
        <v>26</v>
      </c>
      <c r="G138" s="4" t="s">
        <v>27</v>
      </c>
      <c r="H138" s="4" t="s">
        <v>692</v>
      </c>
      <c r="I138" s="4" t="s">
        <v>29</v>
      </c>
      <c r="J138" s="4" t="s">
        <v>30</v>
      </c>
      <c r="K138" s="4" t="s">
        <v>31</v>
      </c>
      <c r="L138" s="5">
        <v>42411.895833333336</v>
      </c>
      <c r="M138" s="5">
        <v>42411.999305555553</v>
      </c>
      <c r="N138" s="5">
        <v>42412.010416666664</v>
      </c>
      <c r="O138" s="4" t="s">
        <v>32</v>
      </c>
      <c r="P138" s="4" t="s">
        <v>33</v>
      </c>
      <c r="Q138" s="4" t="s">
        <v>76</v>
      </c>
      <c r="R138" s="4" t="s">
        <v>693</v>
      </c>
      <c r="S138" s="6" t="s">
        <v>77</v>
      </c>
      <c r="T138" s="4" t="s">
        <v>36</v>
      </c>
      <c r="U138" s="4" t="s">
        <v>37</v>
      </c>
      <c r="V138" s="4" t="s">
        <v>694</v>
      </c>
      <c r="W138" s="4" t="s">
        <v>37</v>
      </c>
      <c r="X138" s="4" t="s">
        <v>37</v>
      </c>
      <c r="Y138" s="4" t="s">
        <v>36</v>
      </c>
      <c r="Z138" s="4" t="s">
        <v>39</v>
      </c>
      <c r="AA138" s="4" t="s">
        <v>40</v>
      </c>
    </row>
    <row r="139" spans="1:27" s="1" customFormat="1" x14ac:dyDescent="0.3">
      <c r="A139" s="19">
        <v>19240</v>
      </c>
      <c r="B139" s="4" t="s">
        <v>695</v>
      </c>
      <c r="C139" s="4" t="e">
        <v>#N/A</v>
      </c>
      <c r="D139" s="5">
        <v>42396.409710648149</v>
      </c>
      <c r="E139" s="5" t="s">
        <v>2080</v>
      </c>
      <c r="F139" s="4" t="s">
        <v>26</v>
      </c>
      <c r="G139" s="4" t="s">
        <v>244</v>
      </c>
      <c r="H139" s="4" t="s">
        <v>422</v>
      </c>
      <c r="I139" s="4" t="s">
        <v>118</v>
      </c>
      <c r="J139" s="4" t="s">
        <v>30</v>
      </c>
      <c r="K139" s="4" t="s">
        <v>31</v>
      </c>
      <c r="L139" s="5">
        <v>42395.916666666664</v>
      </c>
      <c r="M139" s="5">
        <v>42396.208333333336</v>
      </c>
      <c r="N139" s="5">
        <v>42396.25</v>
      </c>
      <c r="O139" s="4" t="s">
        <v>492</v>
      </c>
      <c r="P139" s="4" t="s">
        <v>89</v>
      </c>
      <c r="Q139" s="4" t="s">
        <v>251</v>
      </c>
      <c r="R139" s="6" t="s">
        <v>77</v>
      </c>
      <c r="S139" s="4" t="s">
        <v>517</v>
      </c>
      <c r="T139" s="4" t="s">
        <v>36</v>
      </c>
      <c r="U139" s="4" t="s">
        <v>37</v>
      </c>
      <c r="V139" s="4" t="s">
        <v>365</v>
      </c>
      <c r="W139" s="4" t="s">
        <v>37</v>
      </c>
      <c r="X139" s="4" t="s">
        <v>37</v>
      </c>
      <c r="Y139" s="4" t="s">
        <v>36</v>
      </c>
      <c r="Z139" s="4" t="s">
        <v>696</v>
      </c>
      <c r="AA139" s="4" t="s">
        <v>179</v>
      </c>
    </row>
    <row r="140" spans="1:27" s="1" customFormat="1" x14ac:dyDescent="0.3">
      <c r="A140" s="19">
        <v>19241</v>
      </c>
      <c r="B140" s="4" t="s">
        <v>697</v>
      </c>
      <c r="C140" s="4" t="s">
        <v>77</v>
      </c>
      <c r="D140" s="5">
        <v>42396.440740740742</v>
      </c>
      <c r="E140" s="5" t="s">
        <v>2080</v>
      </c>
      <c r="F140" s="4" t="s">
        <v>26</v>
      </c>
      <c r="G140" s="4" t="s">
        <v>445</v>
      </c>
      <c r="H140" s="4" t="s">
        <v>698</v>
      </c>
      <c r="I140" s="4" t="s">
        <v>203</v>
      </c>
      <c r="J140" s="4" t="s">
        <v>49</v>
      </c>
      <c r="K140" s="4" t="s">
        <v>31</v>
      </c>
      <c r="L140" s="5">
        <v>42405.791666666664</v>
      </c>
      <c r="M140" s="5">
        <v>42405.916666666664</v>
      </c>
      <c r="N140" s="5">
        <v>42405.958333333336</v>
      </c>
      <c r="O140" s="4" t="s">
        <v>32</v>
      </c>
      <c r="P140" s="4" t="s">
        <v>33</v>
      </c>
      <c r="Q140" s="4" t="s">
        <v>251</v>
      </c>
      <c r="R140" s="4" t="s">
        <v>699</v>
      </c>
      <c r="S140" s="6" t="s">
        <v>77</v>
      </c>
      <c r="T140" s="4" t="s">
        <v>36</v>
      </c>
      <c r="U140" s="4" t="s">
        <v>37</v>
      </c>
      <c r="V140" s="4" t="s">
        <v>700</v>
      </c>
      <c r="W140" s="4" t="s">
        <v>37</v>
      </c>
      <c r="X140" s="4" t="s">
        <v>37</v>
      </c>
      <c r="Y140" s="4" t="s">
        <v>36</v>
      </c>
      <c r="Z140" s="4" t="s">
        <v>77</v>
      </c>
      <c r="AA140" s="4"/>
    </row>
    <row r="141" spans="1:27" s="1" customFormat="1" x14ac:dyDescent="0.3">
      <c r="A141" s="19">
        <v>19243</v>
      </c>
      <c r="B141" s="4" t="s">
        <v>701</v>
      </c>
      <c r="C141" s="4">
        <v>0</v>
      </c>
      <c r="D141" s="5">
        <v>42396.618483796294</v>
      </c>
      <c r="E141" s="5" t="s">
        <v>2080</v>
      </c>
      <c r="F141" s="4" t="s">
        <v>26</v>
      </c>
      <c r="G141" s="4" t="s">
        <v>244</v>
      </c>
      <c r="H141" s="4" t="s">
        <v>422</v>
      </c>
      <c r="I141" s="4" t="s">
        <v>118</v>
      </c>
      <c r="J141" s="4" t="s">
        <v>30</v>
      </c>
      <c r="K141" s="4" t="s">
        <v>31</v>
      </c>
      <c r="L141" s="5">
        <v>42403.916666666664</v>
      </c>
      <c r="M141" s="5">
        <v>42404.5</v>
      </c>
      <c r="N141" s="5">
        <v>42404.75</v>
      </c>
      <c r="O141" s="4" t="s">
        <v>32</v>
      </c>
      <c r="P141" s="4" t="s">
        <v>33</v>
      </c>
      <c r="Q141" s="4" t="s">
        <v>50</v>
      </c>
      <c r="R141" s="6" t="s">
        <v>77</v>
      </c>
      <c r="S141" s="4" t="s">
        <v>517</v>
      </c>
      <c r="T141" s="4" t="s">
        <v>36</v>
      </c>
      <c r="U141" s="4" t="s">
        <v>37</v>
      </c>
      <c r="V141" s="4" t="s">
        <v>365</v>
      </c>
      <c r="W141" s="4" t="s">
        <v>37</v>
      </c>
      <c r="X141" s="4" t="s">
        <v>37</v>
      </c>
      <c r="Y141" s="4" t="s">
        <v>36</v>
      </c>
      <c r="Z141" s="4"/>
      <c r="AA141" s="4" t="s">
        <v>179</v>
      </c>
    </row>
    <row r="142" spans="1:27" s="1" customFormat="1" x14ac:dyDescent="0.3">
      <c r="A142" s="19">
        <v>19245</v>
      </c>
      <c r="B142" s="4" t="s">
        <v>702</v>
      </c>
      <c r="C142" s="4">
        <v>0</v>
      </c>
      <c r="D142" s="5">
        <v>42396.633761574078</v>
      </c>
      <c r="E142" s="5" t="s">
        <v>2080</v>
      </c>
      <c r="F142" s="4" t="s">
        <v>26</v>
      </c>
      <c r="G142" s="4" t="s">
        <v>244</v>
      </c>
      <c r="H142" s="4" t="s">
        <v>422</v>
      </c>
      <c r="I142" s="4" t="s">
        <v>118</v>
      </c>
      <c r="J142" s="4" t="s">
        <v>30</v>
      </c>
      <c r="K142" s="4" t="s">
        <v>31</v>
      </c>
      <c r="L142" s="5">
        <v>42403.916666666664</v>
      </c>
      <c r="M142" s="5">
        <v>42404.5</v>
      </c>
      <c r="N142" s="5">
        <v>42404.75</v>
      </c>
      <c r="O142" s="4" t="s">
        <v>32</v>
      </c>
      <c r="P142" s="4" t="s">
        <v>33</v>
      </c>
      <c r="Q142" s="4" t="s">
        <v>50</v>
      </c>
      <c r="R142" s="6" t="s">
        <v>77</v>
      </c>
      <c r="S142" s="4" t="s">
        <v>517</v>
      </c>
      <c r="T142" s="4" t="s">
        <v>36</v>
      </c>
      <c r="U142" s="4" t="s">
        <v>37</v>
      </c>
      <c r="V142" s="4" t="s">
        <v>365</v>
      </c>
      <c r="W142" s="4" t="s">
        <v>37</v>
      </c>
      <c r="X142" s="4" t="s">
        <v>37</v>
      </c>
      <c r="Y142" s="4" t="s">
        <v>36</v>
      </c>
      <c r="Z142" s="4"/>
      <c r="AA142" s="4" t="s">
        <v>179</v>
      </c>
    </row>
    <row r="143" spans="1:27" s="1" customFormat="1" x14ac:dyDescent="0.3">
      <c r="A143" s="19">
        <v>19246</v>
      </c>
      <c r="B143" s="4" t="s">
        <v>703</v>
      </c>
      <c r="C143" s="4">
        <v>0</v>
      </c>
      <c r="D143" s="5">
        <v>42396.650520833333</v>
      </c>
      <c r="E143" s="5" t="s">
        <v>2080</v>
      </c>
      <c r="F143" s="4" t="s">
        <v>26</v>
      </c>
      <c r="G143" s="4" t="s">
        <v>244</v>
      </c>
      <c r="H143" s="4" t="s">
        <v>422</v>
      </c>
      <c r="I143" s="4" t="s">
        <v>118</v>
      </c>
      <c r="J143" s="4" t="s">
        <v>30</v>
      </c>
      <c r="K143" s="4" t="s">
        <v>31</v>
      </c>
      <c r="L143" s="5">
        <v>42403.916666666664</v>
      </c>
      <c r="M143" s="5">
        <v>42404.5</v>
      </c>
      <c r="N143" s="5">
        <v>42404.75</v>
      </c>
      <c r="O143" s="4" t="s">
        <v>32</v>
      </c>
      <c r="P143" s="4" t="s">
        <v>33</v>
      </c>
      <c r="Q143" s="4" t="s">
        <v>50</v>
      </c>
      <c r="R143" s="6" t="s">
        <v>77</v>
      </c>
      <c r="S143" s="4" t="s">
        <v>517</v>
      </c>
      <c r="T143" s="4" t="s">
        <v>36</v>
      </c>
      <c r="U143" s="4" t="s">
        <v>37</v>
      </c>
      <c r="V143" s="4" t="s">
        <v>365</v>
      </c>
      <c r="W143" s="4" t="s">
        <v>37</v>
      </c>
      <c r="X143" s="4" t="s">
        <v>37</v>
      </c>
      <c r="Y143" s="4" t="s">
        <v>36</v>
      </c>
      <c r="Z143" s="4"/>
      <c r="AA143" s="4" t="s">
        <v>179</v>
      </c>
    </row>
    <row r="144" spans="1:27" s="1" customFormat="1" x14ac:dyDescent="0.3">
      <c r="A144" s="19">
        <v>19248</v>
      </c>
      <c r="B144" s="4" t="s">
        <v>704</v>
      </c>
      <c r="C144" s="4">
        <v>0</v>
      </c>
      <c r="D144" s="5">
        <v>42396.657986111109</v>
      </c>
      <c r="E144" s="5" t="s">
        <v>2080</v>
      </c>
      <c r="F144" s="4" t="s">
        <v>26</v>
      </c>
      <c r="G144" s="4" t="s">
        <v>589</v>
      </c>
      <c r="H144" s="4" t="s">
        <v>589</v>
      </c>
      <c r="I144" s="4" t="s">
        <v>205</v>
      </c>
      <c r="J144" s="4" t="s">
        <v>162</v>
      </c>
      <c r="K144" s="4" t="s">
        <v>31</v>
      </c>
      <c r="L144" s="5">
        <v>42401.625</v>
      </c>
      <c r="M144" s="5">
        <v>42401.75</v>
      </c>
      <c r="N144" s="5">
        <v>42401.791666666664</v>
      </c>
      <c r="O144" s="4" t="s">
        <v>32</v>
      </c>
      <c r="P144" s="4" t="s">
        <v>89</v>
      </c>
      <c r="Q144" s="4" t="s">
        <v>119</v>
      </c>
      <c r="R144" s="4" t="s">
        <v>163</v>
      </c>
      <c r="S144" s="6" t="s">
        <v>77</v>
      </c>
      <c r="T144" s="4" t="s">
        <v>37</v>
      </c>
      <c r="U144" s="4" t="s">
        <v>37</v>
      </c>
      <c r="V144" s="4" t="s">
        <v>705</v>
      </c>
      <c r="W144" s="4" t="s">
        <v>37</v>
      </c>
      <c r="X144" s="4" t="s">
        <v>37</v>
      </c>
      <c r="Y144" s="4" t="s">
        <v>36</v>
      </c>
      <c r="Z144" s="4" t="s">
        <v>592</v>
      </c>
      <c r="AA144" s="4"/>
    </row>
    <row r="145" spans="1:27" s="1" customFormat="1" x14ac:dyDescent="0.3">
      <c r="A145" s="19">
        <v>19249</v>
      </c>
      <c r="B145" s="4" t="s">
        <v>706</v>
      </c>
      <c r="C145" s="4">
        <v>0</v>
      </c>
      <c r="D145" s="5">
        <v>42396.663506944446</v>
      </c>
      <c r="E145" s="5" t="s">
        <v>2080</v>
      </c>
      <c r="F145" s="4" t="s">
        <v>26</v>
      </c>
      <c r="G145" s="4" t="s">
        <v>244</v>
      </c>
      <c r="H145" s="4" t="s">
        <v>422</v>
      </c>
      <c r="I145" s="4" t="s">
        <v>118</v>
      </c>
      <c r="J145" s="4" t="s">
        <v>30</v>
      </c>
      <c r="K145" s="4" t="s">
        <v>31</v>
      </c>
      <c r="L145" s="5">
        <v>42403.916666666664</v>
      </c>
      <c r="M145" s="5">
        <v>42404.5</v>
      </c>
      <c r="N145" s="5">
        <v>42404.75</v>
      </c>
      <c r="O145" s="4" t="s">
        <v>32</v>
      </c>
      <c r="P145" s="4" t="s">
        <v>33</v>
      </c>
      <c r="Q145" s="4" t="s">
        <v>50</v>
      </c>
      <c r="R145" s="6" t="s">
        <v>77</v>
      </c>
      <c r="S145" s="4" t="s">
        <v>517</v>
      </c>
      <c r="T145" s="4" t="s">
        <v>36</v>
      </c>
      <c r="U145" s="4" t="s">
        <v>37</v>
      </c>
      <c r="V145" s="4" t="s">
        <v>365</v>
      </c>
      <c r="W145" s="4" t="s">
        <v>37</v>
      </c>
      <c r="X145" s="4" t="s">
        <v>37</v>
      </c>
      <c r="Y145" s="4" t="s">
        <v>36</v>
      </c>
      <c r="Z145" s="4"/>
      <c r="AA145" s="4" t="s">
        <v>179</v>
      </c>
    </row>
    <row r="146" spans="1:27" s="1" customFormat="1" x14ac:dyDescent="0.3">
      <c r="A146" s="19">
        <v>19251</v>
      </c>
      <c r="B146" s="4" t="s">
        <v>707</v>
      </c>
      <c r="C146" s="4">
        <v>0</v>
      </c>
      <c r="D146" s="5">
        <v>42396.682615740741</v>
      </c>
      <c r="E146" s="5" t="s">
        <v>2080</v>
      </c>
      <c r="F146" s="4" t="s">
        <v>26</v>
      </c>
      <c r="G146" s="4" t="s">
        <v>140</v>
      </c>
      <c r="H146" s="4" t="s">
        <v>140</v>
      </c>
      <c r="I146" s="4" t="s">
        <v>80</v>
      </c>
      <c r="J146" s="4" t="s">
        <v>185</v>
      </c>
      <c r="K146" s="4" t="s">
        <v>31</v>
      </c>
      <c r="L146" s="5">
        <v>42413.916666666664</v>
      </c>
      <c r="M146" s="5">
        <v>42414.208333333336</v>
      </c>
      <c r="N146" s="5">
        <v>42414.25</v>
      </c>
      <c r="O146" s="4" t="s">
        <v>32</v>
      </c>
      <c r="P146" s="4" t="s">
        <v>33</v>
      </c>
      <c r="Q146" s="4" t="s">
        <v>34</v>
      </c>
      <c r="R146" s="6" t="s">
        <v>77</v>
      </c>
      <c r="S146" s="4" t="s">
        <v>323</v>
      </c>
      <c r="T146" s="4" t="s">
        <v>37</v>
      </c>
      <c r="U146" s="4" t="s">
        <v>37</v>
      </c>
      <c r="V146" s="4" t="s">
        <v>708</v>
      </c>
      <c r="W146" s="4" t="s">
        <v>37</v>
      </c>
      <c r="X146" s="4" t="s">
        <v>37</v>
      </c>
      <c r="Y146" s="4" t="s">
        <v>36</v>
      </c>
      <c r="Z146" s="4"/>
      <c r="AA146" s="4" t="s">
        <v>187</v>
      </c>
    </row>
    <row r="147" spans="1:27" s="1" customFormat="1" x14ac:dyDescent="0.3">
      <c r="A147" s="19">
        <v>19256</v>
      </c>
      <c r="B147" s="4" t="s">
        <v>709</v>
      </c>
      <c r="C147" s="4" t="s">
        <v>2111</v>
      </c>
      <c r="D147" s="5">
        <v>42397.5702662037</v>
      </c>
      <c r="E147" s="5" t="s">
        <v>2080</v>
      </c>
      <c r="F147" s="4" t="s">
        <v>26</v>
      </c>
      <c r="G147" s="4" t="s">
        <v>576</v>
      </c>
      <c r="H147" s="4" t="s">
        <v>576</v>
      </c>
      <c r="I147" s="4" t="s">
        <v>48</v>
      </c>
      <c r="J147" s="4" t="s">
        <v>311</v>
      </c>
      <c r="K147" s="4" t="s">
        <v>31</v>
      </c>
      <c r="L147" s="5">
        <v>42397.791666666664</v>
      </c>
      <c r="M147" s="5">
        <v>42397.875</v>
      </c>
      <c r="N147" s="5">
        <v>42397.916666666664</v>
      </c>
      <c r="O147" s="4" t="s">
        <v>710</v>
      </c>
      <c r="P147" s="4" t="s">
        <v>89</v>
      </c>
      <c r="Q147" s="4" t="s">
        <v>76</v>
      </c>
      <c r="R147" s="4"/>
      <c r="S147" s="4"/>
      <c r="T147" s="4" t="s">
        <v>36</v>
      </c>
      <c r="U147" s="4" t="s">
        <v>36</v>
      </c>
      <c r="V147" s="4" t="s">
        <v>709</v>
      </c>
      <c r="W147" s="4" t="s">
        <v>37</v>
      </c>
      <c r="X147" s="4" t="s">
        <v>37</v>
      </c>
      <c r="Y147" s="4" t="s">
        <v>37</v>
      </c>
      <c r="Z147" s="4"/>
      <c r="AA147" s="4"/>
    </row>
    <row r="148" spans="1:27" s="1" customFormat="1" x14ac:dyDescent="0.3">
      <c r="A148" s="19">
        <v>19258</v>
      </c>
      <c r="B148" s="4" t="s">
        <v>711</v>
      </c>
      <c r="C148" s="4" t="s">
        <v>2112</v>
      </c>
      <c r="D148" s="5">
        <v>42397.656701388885</v>
      </c>
      <c r="E148" s="5" t="s">
        <v>2080</v>
      </c>
      <c r="F148" s="4" t="s">
        <v>26</v>
      </c>
      <c r="G148" s="4" t="s">
        <v>712</v>
      </c>
      <c r="H148" s="4" t="s">
        <v>712</v>
      </c>
      <c r="I148" s="4" t="s">
        <v>203</v>
      </c>
      <c r="J148" s="4" t="s">
        <v>49</v>
      </c>
      <c r="K148" s="4" t="s">
        <v>31</v>
      </c>
      <c r="L148" s="5">
        <v>42404.833333333336</v>
      </c>
      <c r="M148" s="5">
        <v>42404.999305555553</v>
      </c>
      <c r="N148" s="5">
        <v>42405.416666666664</v>
      </c>
      <c r="O148" s="4" t="s">
        <v>32</v>
      </c>
      <c r="P148" s="4" t="s">
        <v>89</v>
      </c>
      <c r="Q148" s="4" t="s">
        <v>251</v>
      </c>
      <c r="R148" s="4" t="s">
        <v>337</v>
      </c>
      <c r="S148" s="4" t="s">
        <v>337</v>
      </c>
      <c r="T148" s="4" t="s">
        <v>36</v>
      </c>
      <c r="U148" s="4" t="s">
        <v>36</v>
      </c>
      <c r="V148" s="4" t="s">
        <v>338</v>
      </c>
      <c r="W148" s="4" t="s">
        <v>37</v>
      </c>
      <c r="X148" s="4" t="s">
        <v>37</v>
      </c>
      <c r="Y148" s="4" t="s">
        <v>36</v>
      </c>
      <c r="Z148" s="4" t="s">
        <v>713</v>
      </c>
      <c r="AA148" s="4"/>
    </row>
    <row r="149" spans="1:27" s="1" customFormat="1" x14ac:dyDescent="0.3">
      <c r="A149" s="19">
        <v>19260</v>
      </c>
      <c r="B149" s="4" t="s">
        <v>714</v>
      </c>
      <c r="C149" s="4" t="s">
        <v>2113</v>
      </c>
      <c r="D149" s="5">
        <v>42397.682025462964</v>
      </c>
      <c r="E149" s="5" t="s">
        <v>2080</v>
      </c>
      <c r="F149" s="4" t="s">
        <v>26</v>
      </c>
      <c r="G149" s="4" t="s">
        <v>146</v>
      </c>
      <c r="H149" s="4" t="s">
        <v>715</v>
      </c>
      <c r="I149" s="4" t="s">
        <v>29</v>
      </c>
      <c r="J149" s="4" t="s">
        <v>30</v>
      </c>
      <c r="K149" s="4" t="s">
        <v>31</v>
      </c>
      <c r="L149" s="5">
        <v>42402.916666666664</v>
      </c>
      <c r="M149" s="5">
        <v>42403.083333333336</v>
      </c>
      <c r="N149" s="5">
        <v>42403.125</v>
      </c>
      <c r="O149" s="4" t="s">
        <v>32</v>
      </c>
      <c r="P149" s="4" t="s">
        <v>149</v>
      </c>
      <c r="Q149" s="4" t="s">
        <v>50</v>
      </c>
      <c r="R149" s="4" t="s">
        <v>716</v>
      </c>
      <c r="S149" s="4" t="s">
        <v>716</v>
      </c>
      <c r="T149" s="4" t="s">
        <v>37</v>
      </c>
      <c r="U149" s="4" t="s">
        <v>37</v>
      </c>
      <c r="V149" s="4" t="s">
        <v>717</v>
      </c>
      <c r="W149" s="4" t="s">
        <v>37</v>
      </c>
      <c r="X149" s="4" t="s">
        <v>37</v>
      </c>
      <c r="Y149" s="4" t="s">
        <v>36</v>
      </c>
      <c r="Z149" s="4"/>
      <c r="AA149" s="4" t="s">
        <v>179</v>
      </c>
    </row>
    <row r="150" spans="1:27" s="1" customFormat="1" x14ac:dyDescent="0.3">
      <c r="A150" s="19">
        <v>19261</v>
      </c>
      <c r="B150" s="4" t="s">
        <v>288</v>
      </c>
      <c r="C150" s="4">
        <v>0</v>
      </c>
      <c r="D150" s="5">
        <v>42397.68472222222</v>
      </c>
      <c r="E150" s="5" t="s">
        <v>2080</v>
      </c>
      <c r="F150" s="4" t="s">
        <v>26</v>
      </c>
      <c r="G150" s="4" t="s">
        <v>289</v>
      </c>
      <c r="H150" s="4" t="s">
        <v>422</v>
      </c>
      <c r="I150" s="4" t="s">
        <v>118</v>
      </c>
      <c r="J150" s="4" t="s">
        <v>30</v>
      </c>
      <c r="K150" s="4" t="s">
        <v>31</v>
      </c>
      <c r="L150" s="5">
        <v>42404.916666666664</v>
      </c>
      <c r="M150" s="5">
        <v>42405.5</v>
      </c>
      <c r="N150" s="5">
        <v>42405.75</v>
      </c>
      <c r="O150" s="4" t="s">
        <v>32</v>
      </c>
      <c r="P150" s="4" t="s">
        <v>33</v>
      </c>
      <c r="Q150" s="4" t="s">
        <v>50</v>
      </c>
      <c r="R150" s="4" t="s">
        <v>291</v>
      </c>
      <c r="S150" s="6" t="s">
        <v>77</v>
      </c>
      <c r="T150" s="4" t="s">
        <v>37</v>
      </c>
      <c r="U150" s="4" t="s">
        <v>37</v>
      </c>
      <c r="V150" s="4" t="s">
        <v>292</v>
      </c>
      <c r="W150" s="4" t="s">
        <v>37</v>
      </c>
      <c r="X150" s="4" t="s">
        <v>37</v>
      </c>
      <c r="Y150" s="4" t="s">
        <v>36</v>
      </c>
      <c r="Z150" s="4" t="s">
        <v>718</v>
      </c>
      <c r="AA150" s="4" t="s">
        <v>40</v>
      </c>
    </row>
    <row r="151" spans="1:27" s="1" customFormat="1" x14ac:dyDescent="0.3">
      <c r="A151" s="19">
        <v>19262</v>
      </c>
      <c r="B151" s="4" t="s">
        <v>719</v>
      </c>
      <c r="C151" s="4" t="s">
        <v>2114</v>
      </c>
      <c r="D151" s="5">
        <v>42397.685729166667</v>
      </c>
      <c r="E151" s="5" t="s">
        <v>2080</v>
      </c>
      <c r="F151" s="4" t="s">
        <v>26</v>
      </c>
      <c r="G151" s="4" t="s">
        <v>513</v>
      </c>
      <c r="H151" s="4" t="s">
        <v>720</v>
      </c>
      <c r="I151" s="4" t="s">
        <v>125</v>
      </c>
      <c r="J151" s="4" t="s">
        <v>30</v>
      </c>
      <c r="K151" s="4" t="s">
        <v>31</v>
      </c>
      <c r="L151" s="5">
        <v>42398.583333333336</v>
      </c>
      <c r="M151" s="5">
        <v>42398.75</v>
      </c>
      <c r="N151" s="5">
        <v>42398.875</v>
      </c>
      <c r="O151" s="4" t="s">
        <v>250</v>
      </c>
      <c r="P151" s="4" t="s">
        <v>149</v>
      </c>
      <c r="Q151" s="4" t="s">
        <v>251</v>
      </c>
      <c r="R151" s="4"/>
      <c r="S151" s="6" t="s">
        <v>77</v>
      </c>
      <c r="T151" s="4" t="s">
        <v>37</v>
      </c>
      <c r="U151" s="4" t="s">
        <v>37</v>
      </c>
      <c r="V151" s="4" t="s">
        <v>721</v>
      </c>
      <c r="W151" s="4" t="s">
        <v>37</v>
      </c>
      <c r="X151" s="4" t="s">
        <v>37</v>
      </c>
      <c r="Y151" s="4" t="s">
        <v>37</v>
      </c>
      <c r="Z151" s="4"/>
      <c r="AA151" s="4" t="s">
        <v>179</v>
      </c>
    </row>
    <row r="152" spans="1:27" s="1" customFormat="1" x14ac:dyDescent="0.3">
      <c r="A152" s="19">
        <v>19265</v>
      </c>
      <c r="B152" s="4" t="s">
        <v>722</v>
      </c>
      <c r="C152" s="4">
        <v>0</v>
      </c>
      <c r="D152" s="5">
        <v>42397.701724537037</v>
      </c>
      <c r="E152" s="5" t="s">
        <v>2080</v>
      </c>
      <c r="F152" s="4" t="s">
        <v>26</v>
      </c>
      <c r="G152" s="4" t="s">
        <v>140</v>
      </c>
      <c r="H152" s="4" t="s">
        <v>140</v>
      </c>
      <c r="I152" s="4" t="s">
        <v>29</v>
      </c>
      <c r="J152" s="4" t="s">
        <v>141</v>
      </c>
      <c r="K152" s="4" t="s">
        <v>31</v>
      </c>
      <c r="L152" s="5">
        <v>42427.916666666664</v>
      </c>
      <c r="M152" s="5">
        <v>42428.208333333336</v>
      </c>
      <c r="N152" s="5">
        <v>42428.291666666664</v>
      </c>
      <c r="O152" s="4" t="s">
        <v>32</v>
      </c>
      <c r="P152" s="4" t="s">
        <v>33</v>
      </c>
      <c r="Q152" s="4" t="s">
        <v>50</v>
      </c>
      <c r="R152" s="6" t="s">
        <v>77</v>
      </c>
      <c r="S152" s="4" t="s">
        <v>142</v>
      </c>
      <c r="T152" s="4" t="s">
        <v>37</v>
      </c>
      <c r="U152" s="4" t="s">
        <v>37</v>
      </c>
      <c r="V152" s="4" t="s">
        <v>723</v>
      </c>
      <c r="W152" s="4" t="s">
        <v>37</v>
      </c>
      <c r="X152" s="4" t="s">
        <v>37</v>
      </c>
      <c r="Y152" s="4" t="s">
        <v>36</v>
      </c>
      <c r="Z152" s="4"/>
      <c r="AA152" s="4" t="s">
        <v>144</v>
      </c>
    </row>
    <row r="153" spans="1:27" s="1" customFormat="1" x14ac:dyDescent="0.3">
      <c r="A153" s="19">
        <v>19266</v>
      </c>
      <c r="B153" s="4" t="s">
        <v>724</v>
      </c>
      <c r="C153" s="4">
        <v>0</v>
      </c>
      <c r="D153" s="5">
        <v>42397.702256944445</v>
      </c>
      <c r="E153" s="5" t="s">
        <v>2080</v>
      </c>
      <c r="F153" s="4" t="s">
        <v>26</v>
      </c>
      <c r="G153" s="4" t="s">
        <v>440</v>
      </c>
      <c r="H153" s="4" t="s">
        <v>440</v>
      </c>
      <c r="I153" s="4" t="s">
        <v>88</v>
      </c>
      <c r="J153" s="4" t="s">
        <v>30</v>
      </c>
      <c r="K153" s="4" t="s">
        <v>31</v>
      </c>
      <c r="L153" s="5">
        <v>42403.979166666664</v>
      </c>
      <c r="M153" s="5">
        <v>42404.104166666664</v>
      </c>
      <c r="N153" s="5">
        <v>42404.270833333336</v>
      </c>
      <c r="O153" s="4" t="s">
        <v>32</v>
      </c>
      <c r="P153" s="4" t="s">
        <v>89</v>
      </c>
      <c r="Q153" s="4" t="s">
        <v>50</v>
      </c>
      <c r="R153" s="4" t="s">
        <v>441</v>
      </c>
      <c r="S153" s="4" t="s">
        <v>441</v>
      </c>
      <c r="T153" s="4" t="s">
        <v>37</v>
      </c>
      <c r="U153" s="4" t="s">
        <v>37</v>
      </c>
      <c r="V153" s="4" t="s">
        <v>725</v>
      </c>
      <c r="W153" s="4" t="s">
        <v>37</v>
      </c>
      <c r="X153" s="4" t="s">
        <v>37</v>
      </c>
      <c r="Y153" s="4" t="s">
        <v>36</v>
      </c>
      <c r="Z153" s="4" t="s">
        <v>726</v>
      </c>
      <c r="AA153" s="4" t="s">
        <v>93</v>
      </c>
    </row>
    <row r="154" spans="1:27" s="1" customFormat="1" x14ac:dyDescent="0.3">
      <c r="A154" s="19">
        <v>19267</v>
      </c>
      <c r="B154" s="4" t="s">
        <v>727</v>
      </c>
      <c r="C154" s="4">
        <v>0</v>
      </c>
      <c r="D154" s="5">
        <v>42397.704212962963</v>
      </c>
      <c r="E154" s="5" t="s">
        <v>2080</v>
      </c>
      <c r="F154" s="4" t="s">
        <v>26</v>
      </c>
      <c r="G154" s="4" t="s">
        <v>728</v>
      </c>
      <c r="H154" s="4" t="s">
        <v>729</v>
      </c>
      <c r="I154" s="4" t="s">
        <v>174</v>
      </c>
      <c r="J154" s="4" t="s">
        <v>49</v>
      </c>
      <c r="K154" s="4" t="s">
        <v>31</v>
      </c>
      <c r="L154" s="5">
        <v>42415.916666666664</v>
      </c>
      <c r="M154" s="5">
        <v>42420.625</v>
      </c>
      <c r="N154" s="5">
        <v>42421.208333333336</v>
      </c>
      <c r="O154" s="4" t="s">
        <v>32</v>
      </c>
      <c r="P154" s="4" t="s">
        <v>89</v>
      </c>
      <c r="Q154" s="4" t="s">
        <v>50</v>
      </c>
      <c r="R154" s="4" t="s">
        <v>730</v>
      </c>
      <c r="S154" s="4" t="s">
        <v>730</v>
      </c>
      <c r="T154" s="4" t="s">
        <v>36</v>
      </c>
      <c r="U154" s="4" t="s">
        <v>36</v>
      </c>
      <c r="V154" s="4" t="s">
        <v>731</v>
      </c>
      <c r="W154" s="4"/>
      <c r="X154" s="4"/>
      <c r="Y154" s="4"/>
      <c r="Z154" s="4" t="s">
        <v>611</v>
      </c>
      <c r="AA154" s="4"/>
    </row>
    <row r="155" spans="1:27" s="1" customFormat="1" x14ac:dyDescent="0.3">
      <c r="A155" s="19">
        <v>19268</v>
      </c>
      <c r="B155" s="4" t="s">
        <v>732</v>
      </c>
      <c r="C155" s="4">
        <v>0</v>
      </c>
      <c r="D155" s="5">
        <v>42397.709722222222</v>
      </c>
      <c r="E155" s="5" t="s">
        <v>2080</v>
      </c>
      <c r="F155" s="4" t="s">
        <v>26</v>
      </c>
      <c r="G155" s="4" t="s">
        <v>289</v>
      </c>
      <c r="H155" s="4" t="s">
        <v>422</v>
      </c>
      <c r="I155" s="4" t="s">
        <v>118</v>
      </c>
      <c r="J155" s="4" t="s">
        <v>30</v>
      </c>
      <c r="K155" s="4" t="s">
        <v>31</v>
      </c>
      <c r="L155" s="5">
        <v>42404.916666666664</v>
      </c>
      <c r="M155" s="5">
        <v>42405.5</v>
      </c>
      <c r="N155" s="5">
        <v>42405.75</v>
      </c>
      <c r="O155" s="4" t="s">
        <v>32</v>
      </c>
      <c r="P155" s="4" t="s">
        <v>33</v>
      </c>
      <c r="Q155" s="4" t="s">
        <v>50</v>
      </c>
      <c r="R155" s="4" t="s">
        <v>291</v>
      </c>
      <c r="S155" s="6" t="s">
        <v>77</v>
      </c>
      <c r="T155" s="4" t="s">
        <v>37</v>
      </c>
      <c r="U155" s="4" t="s">
        <v>37</v>
      </c>
      <c r="V155" s="4" t="s">
        <v>292</v>
      </c>
      <c r="W155" s="4" t="s">
        <v>37</v>
      </c>
      <c r="X155" s="4" t="s">
        <v>37</v>
      </c>
      <c r="Y155" s="4" t="s">
        <v>36</v>
      </c>
      <c r="Z155" s="4" t="s">
        <v>733</v>
      </c>
      <c r="AA155" s="4" t="s">
        <v>40</v>
      </c>
    </row>
    <row r="156" spans="1:27" s="1" customFormat="1" x14ac:dyDescent="0.3">
      <c r="A156" s="19">
        <v>19269</v>
      </c>
      <c r="B156" s="4" t="s">
        <v>734</v>
      </c>
      <c r="C156" s="4" t="s">
        <v>2115</v>
      </c>
      <c r="D156" s="5">
        <v>42397.762326388889</v>
      </c>
      <c r="E156" s="5" t="s">
        <v>2080</v>
      </c>
      <c r="F156" s="4" t="s">
        <v>26</v>
      </c>
      <c r="G156" s="4" t="s">
        <v>146</v>
      </c>
      <c r="H156" s="4" t="s">
        <v>147</v>
      </c>
      <c r="I156" s="4" t="s">
        <v>48</v>
      </c>
      <c r="J156" s="4" t="s">
        <v>148</v>
      </c>
      <c r="K156" s="4" t="s">
        <v>31</v>
      </c>
      <c r="L156" s="5">
        <v>42403.416666666664</v>
      </c>
      <c r="M156" s="5">
        <v>42403.5</v>
      </c>
      <c r="N156" s="5">
        <v>42403.625</v>
      </c>
      <c r="O156" s="4" t="s">
        <v>32</v>
      </c>
      <c r="P156" s="4" t="s">
        <v>149</v>
      </c>
      <c r="Q156" s="4" t="s">
        <v>76</v>
      </c>
      <c r="R156" s="6" t="s">
        <v>77</v>
      </c>
      <c r="S156" s="6" t="s">
        <v>77</v>
      </c>
      <c r="T156" s="4" t="s">
        <v>37</v>
      </c>
      <c r="U156" s="4" t="s">
        <v>37</v>
      </c>
      <c r="V156" s="4" t="s">
        <v>735</v>
      </c>
      <c r="W156" s="4" t="s">
        <v>37</v>
      </c>
      <c r="X156" s="4" t="s">
        <v>37</v>
      </c>
      <c r="Y156" s="4" t="s">
        <v>37</v>
      </c>
      <c r="Z156" s="4"/>
      <c r="AA156" s="4"/>
    </row>
    <row r="157" spans="1:27" s="1" customFormat="1" x14ac:dyDescent="0.3">
      <c r="A157" s="19">
        <v>19270</v>
      </c>
      <c r="B157" s="4" t="s">
        <v>736</v>
      </c>
      <c r="C157" s="4">
        <v>0</v>
      </c>
      <c r="D157" s="5">
        <v>42397.769652777781</v>
      </c>
      <c r="E157" s="5" t="s">
        <v>2080</v>
      </c>
      <c r="F157" s="4" t="s">
        <v>26</v>
      </c>
      <c r="G157" s="4" t="s">
        <v>348</v>
      </c>
      <c r="H157" s="4" t="s">
        <v>737</v>
      </c>
      <c r="I157" s="4" t="s">
        <v>88</v>
      </c>
      <c r="J157" s="4" t="s">
        <v>30</v>
      </c>
      <c r="K157" s="4" t="s">
        <v>31</v>
      </c>
      <c r="L157" s="5">
        <v>42403</v>
      </c>
      <c r="M157" s="5">
        <v>42403.208333333336</v>
      </c>
      <c r="N157" s="5">
        <v>42403.25</v>
      </c>
      <c r="O157" s="4" t="s">
        <v>32</v>
      </c>
      <c r="P157" s="4" t="s">
        <v>33</v>
      </c>
      <c r="Q157" s="4" t="s">
        <v>76</v>
      </c>
      <c r="R157" s="4" t="s">
        <v>738</v>
      </c>
      <c r="S157" s="4" t="s">
        <v>738</v>
      </c>
      <c r="T157" s="4" t="s">
        <v>36</v>
      </c>
      <c r="U157" s="4" t="s">
        <v>37</v>
      </c>
      <c r="V157" s="4" t="s">
        <v>739</v>
      </c>
      <c r="W157" s="4" t="s">
        <v>37</v>
      </c>
      <c r="X157" s="4" t="s">
        <v>37</v>
      </c>
      <c r="Y157" s="4" t="s">
        <v>36</v>
      </c>
      <c r="Z157" s="4"/>
      <c r="AA157" s="4" t="s">
        <v>358</v>
      </c>
    </row>
    <row r="158" spans="1:27" s="1" customFormat="1" x14ac:dyDescent="0.3">
      <c r="A158" s="19">
        <v>19271</v>
      </c>
      <c r="B158" s="4" t="s">
        <v>736</v>
      </c>
      <c r="C158" s="4">
        <v>0</v>
      </c>
      <c r="D158" s="5">
        <v>42397.776203703703</v>
      </c>
      <c r="E158" s="5" t="s">
        <v>2080</v>
      </c>
      <c r="F158" s="4" t="s">
        <v>26</v>
      </c>
      <c r="G158" s="4" t="s">
        <v>348</v>
      </c>
      <c r="H158" s="4" t="s">
        <v>737</v>
      </c>
      <c r="I158" s="4" t="s">
        <v>88</v>
      </c>
      <c r="J158" s="4" t="s">
        <v>740</v>
      </c>
      <c r="K158" s="4" t="s">
        <v>31</v>
      </c>
      <c r="L158" s="5">
        <v>42404</v>
      </c>
      <c r="M158" s="5">
        <v>42404.208333333336</v>
      </c>
      <c r="N158" s="5">
        <v>42404.25</v>
      </c>
      <c r="O158" s="4" t="s">
        <v>32</v>
      </c>
      <c r="P158" s="4" t="s">
        <v>33</v>
      </c>
      <c r="Q158" s="4" t="s">
        <v>76</v>
      </c>
      <c r="R158" s="4" t="s">
        <v>741</v>
      </c>
      <c r="S158" s="4" t="s">
        <v>741</v>
      </c>
      <c r="T158" s="4" t="s">
        <v>36</v>
      </c>
      <c r="U158" s="4" t="s">
        <v>37</v>
      </c>
      <c r="V158" s="4" t="s">
        <v>739</v>
      </c>
      <c r="W158" s="4" t="s">
        <v>37</v>
      </c>
      <c r="X158" s="4" t="s">
        <v>37</v>
      </c>
      <c r="Y158" s="4" t="s">
        <v>36</v>
      </c>
      <c r="Z158" s="4"/>
      <c r="AA158" s="4" t="s">
        <v>257</v>
      </c>
    </row>
    <row r="159" spans="1:27" s="1" customFormat="1" x14ac:dyDescent="0.3">
      <c r="A159" s="19">
        <v>19272</v>
      </c>
      <c r="B159" s="4" t="s">
        <v>736</v>
      </c>
      <c r="C159" s="4">
        <v>0</v>
      </c>
      <c r="D159" s="5">
        <v>42397.78230324074</v>
      </c>
      <c r="E159" s="5" t="s">
        <v>2080</v>
      </c>
      <c r="F159" s="4" t="s">
        <v>26</v>
      </c>
      <c r="G159" s="4" t="s">
        <v>348</v>
      </c>
      <c r="H159" s="4" t="s">
        <v>737</v>
      </c>
      <c r="I159" s="4" t="s">
        <v>88</v>
      </c>
      <c r="J159" s="4" t="s">
        <v>30</v>
      </c>
      <c r="K159" s="4" t="s">
        <v>31</v>
      </c>
      <c r="L159" s="5">
        <v>42405</v>
      </c>
      <c r="M159" s="5">
        <v>42405.208333333336</v>
      </c>
      <c r="N159" s="5">
        <v>42405.25</v>
      </c>
      <c r="O159" s="4" t="s">
        <v>32</v>
      </c>
      <c r="P159" s="4" t="s">
        <v>33</v>
      </c>
      <c r="Q159" s="4" t="s">
        <v>76</v>
      </c>
      <c r="R159" s="4" t="s">
        <v>742</v>
      </c>
      <c r="S159" s="4" t="s">
        <v>742</v>
      </c>
      <c r="T159" s="4" t="s">
        <v>36</v>
      </c>
      <c r="U159" s="4" t="s">
        <v>37</v>
      </c>
      <c r="V159" s="4" t="s">
        <v>739</v>
      </c>
      <c r="W159" s="4" t="s">
        <v>37</v>
      </c>
      <c r="X159" s="4" t="s">
        <v>37</v>
      </c>
      <c r="Y159" s="4" t="s">
        <v>36</v>
      </c>
      <c r="Z159" s="4"/>
      <c r="AA159" s="4" t="s">
        <v>93</v>
      </c>
    </row>
    <row r="160" spans="1:27" s="1" customFormat="1" x14ac:dyDescent="0.3">
      <c r="A160" s="19">
        <v>19275</v>
      </c>
      <c r="B160" s="4" t="s">
        <v>612</v>
      </c>
      <c r="C160" s="4" t="s">
        <v>39</v>
      </c>
      <c r="D160" s="5">
        <v>42398.351041666669</v>
      </c>
      <c r="E160" s="5" t="s">
        <v>2080</v>
      </c>
      <c r="F160" s="4" t="s">
        <v>26</v>
      </c>
      <c r="G160" s="4" t="s">
        <v>743</v>
      </c>
      <c r="H160" s="4" t="s">
        <v>743</v>
      </c>
      <c r="I160" s="4" t="s">
        <v>203</v>
      </c>
      <c r="J160" s="4" t="s">
        <v>43</v>
      </c>
      <c r="K160" s="4" t="s">
        <v>31</v>
      </c>
      <c r="L160" s="5">
        <v>42398.916666666664</v>
      </c>
      <c r="M160" s="5">
        <v>42398.979166666664</v>
      </c>
      <c r="N160" s="5">
        <v>42398.999305555553</v>
      </c>
      <c r="O160" s="4" t="s">
        <v>250</v>
      </c>
      <c r="P160" s="4" t="s">
        <v>149</v>
      </c>
      <c r="Q160" s="4" t="s">
        <v>251</v>
      </c>
      <c r="R160" s="4" t="s">
        <v>39</v>
      </c>
      <c r="S160" s="4" t="s">
        <v>39</v>
      </c>
      <c r="T160" s="4" t="s">
        <v>37</v>
      </c>
      <c r="U160" s="4" t="s">
        <v>37</v>
      </c>
      <c r="V160" s="4" t="s">
        <v>287</v>
      </c>
      <c r="W160" s="4" t="s">
        <v>37</v>
      </c>
      <c r="X160" s="4" t="s">
        <v>37</v>
      </c>
      <c r="Y160" s="4" t="s">
        <v>36</v>
      </c>
      <c r="Z160" s="4" t="s">
        <v>39</v>
      </c>
      <c r="AA160" s="4" t="s">
        <v>744</v>
      </c>
    </row>
    <row r="161" spans="1:27" s="1" customFormat="1" x14ac:dyDescent="0.3">
      <c r="A161" s="19">
        <v>19278</v>
      </c>
      <c r="B161" s="4" t="s">
        <v>745</v>
      </c>
      <c r="C161" s="4" t="s">
        <v>2116</v>
      </c>
      <c r="D161" s="5">
        <v>42398.493379629632</v>
      </c>
      <c r="E161" s="5" t="s">
        <v>2080</v>
      </c>
      <c r="F161" s="4" t="s">
        <v>26</v>
      </c>
      <c r="G161" s="4" t="s">
        <v>310</v>
      </c>
      <c r="H161" s="4" t="s">
        <v>310</v>
      </c>
      <c r="I161" s="4" t="s">
        <v>42</v>
      </c>
      <c r="J161" s="4" t="s">
        <v>49</v>
      </c>
      <c r="K161" s="4" t="s">
        <v>31</v>
      </c>
      <c r="L161" s="5">
        <v>42404.916666666664</v>
      </c>
      <c r="M161" s="5">
        <v>42405.041666666664</v>
      </c>
      <c r="N161" s="5">
        <v>42405.083333333336</v>
      </c>
      <c r="O161" s="4" t="s">
        <v>32</v>
      </c>
      <c r="P161" s="4" t="s">
        <v>149</v>
      </c>
      <c r="Q161" s="4" t="s">
        <v>50</v>
      </c>
      <c r="R161" s="6" t="s">
        <v>77</v>
      </c>
      <c r="S161" s="4" t="s">
        <v>39</v>
      </c>
      <c r="T161" s="4" t="s">
        <v>37</v>
      </c>
      <c r="U161" s="4" t="s">
        <v>37</v>
      </c>
      <c r="V161" s="4" t="s">
        <v>746</v>
      </c>
      <c r="W161" s="4" t="s">
        <v>37</v>
      </c>
      <c r="X161" s="4" t="s">
        <v>37</v>
      </c>
      <c r="Y161" s="4" t="s">
        <v>37</v>
      </c>
      <c r="Z161" s="4"/>
      <c r="AA161" s="4"/>
    </row>
    <row r="162" spans="1:27" s="1" customFormat="1" x14ac:dyDescent="0.3">
      <c r="A162" s="19">
        <v>19279</v>
      </c>
      <c r="B162" s="4" t="s">
        <v>747</v>
      </c>
      <c r="C162" s="4">
        <v>0</v>
      </c>
      <c r="D162" s="5">
        <v>42398.574976851851</v>
      </c>
      <c r="E162" s="5" t="s">
        <v>2080</v>
      </c>
      <c r="F162" s="4" t="s">
        <v>26</v>
      </c>
      <c r="G162" s="4" t="s">
        <v>455</v>
      </c>
      <c r="H162" s="4" t="s">
        <v>455</v>
      </c>
      <c r="I162" s="4" t="s">
        <v>126</v>
      </c>
      <c r="J162" s="4" t="s">
        <v>30</v>
      </c>
      <c r="K162" s="4" t="s">
        <v>31</v>
      </c>
      <c r="L162" s="5">
        <v>42403.041666666664</v>
      </c>
      <c r="M162" s="5">
        <v>42403.166666666664</v>
      </c>
      <c r="N162" s="5">
        <v>42403.208333333336</v>
      </c>
      <c r="O162" s="4" t="s">
        <v>250</v>
      </c>
      <c r="P162" s="4" t="s">
        <v>89</v>
      </c>
      <c r="Q162" s="4" t="s">
        <v>119</v>
      </c>
      <c r="R162" s="6" t="s">
        <v>77</v>
      </c>
      <c r="S162" s="4"/>
      <c r="T162" s="4" t="s">
        <v>37</v>
      </c>
      <c r="U162" s="4" t="s">
        <v>37</v>
      </c>
      <c r="V162" s="4" t="s">
        <v>748</v>
      </c>
      <c r="W162" s="4" t="s">
        <v>37</v>
      </c>
      <c r="X162" s="4" t="s">
        <v>37</v>
      </c>
      <c r="Y162" s="4" t="s">
        <v>36</v>
      </c>
      <c r="Z162" s="4" t="s">
        <v>39</v>
      </c>
      <c r="AA162" s="4" t="s">
        <v>179</v>
      </c>
    </row>
    <row r="163" spans="1:27" s="1" customFormat="1" x14ac:dyDescent="0.3">
      <c r="A163" s="19">
        <v>19281</v>
      </c>
      <c r="B163" s="4" t="s">
        <v>749</v>
      </c>
      <c r="C163" s="4">
        <v>0</v>
      </c>
      <c r="D163" s="5">
        <v>42398.629976851851</v>
      </c>
      <c r="E163" s="5" t="s">
        <v>2080</v>
      </c>
      <c r="F163" s="4" t="s">
        <v>26</v>
      </c>
      <c r="G163" s="4" t="s">
        <v>140</v>
      </c>
      <c r="H163" s="4" t="s">
        <v>140</v>
      </c>
      <c r="I163" s="4" t="s">
        <v>80</v>
      </c>
      <c r="J163" s="4" t="s">
        <v>185</v>
      </c>
      <c r="K163" s="4" t="s">
        <v>31</v>
      </c>
      <c r="L163" s="5">
        <v>42420.916666666664</v>
      </c>
      <c r="M163" s="5">
        <v>42421.208333333336</v>
      </c>
      <c r="N163" s="5">
        <v>42421.291666666664</v>
      </c>
      <c r="O163" s="4" t="s">
        <v>32</v>
      </c>
      <c r="P163" s="4" t="s">
        <v>33</v>
      </c>
      <c r="Q163" s="4" t="s">
        <v>50</v>
      </c>
      <c r="R163" s="6" t="s">
        <v>77</v>
      </c>
      <c r="S163" s="4" t="s">
        <v>323</v>
      </c>
      <c r="T163" s="4" t="s">
        <v>37</v>
      </c>
      <c r="U163" s="4" t="s">
        <v>37</v>
      </c>
      <c r="V163" s="4" t="s">
        <v>723</v>
      </c>
      <c r="W163" s="4" t="s">
        <v>37</v>
      </c>
      <c r="X163" s="4" t="s">
        <v>37</v>
      </c>
      <c r="Y163" s="4" t="s">
        <v>36</v>
      </c>
      <c r="Z163" s="4"/>
      <c r="AA163" s="4" t="s">
        <v>187</v>
      </c>
    </row>
    <row r="164" spans="1:27" s="1" customFormat="1" x14ac:dyDescent="0.3">
      <c r="A164" s="19">
        <v>19282</v>
      </c>
      <c r="B164" s="4" t="s">
        <v>232</v>
      </c>
      <c r="C164" s="4">
        <v>0</v>
      </c>
      <c r="D164" s="5">
        <v>42398.634560185186</v>
      </c>
      <c r="E164" s="5" t="s">
        <v>2080</v>
      </c>
      <c r="F164" s="4" t="s">
        <v>26</v>
      </c>
      <c r="G164" s="4" t="s">
        <v>233</v>
      </c>
      <c r="H164" s="4" t="s">
        <v>234</v>
      </c>
      <c r="I164" s="4" t="s">
        <v>220</v>
      </c>
      <c r="J164" s="4" t="s">
        <v>49</v>
      </c>
      <c r="K164" s="4" t="s">
        <v>31</v>
      </c>
      <c r="L164" s="5">
        <v>42404</v>
      </c>
      <c r="M164" s="5">
        <v>42404.25</v>
      </c>
      <c r="N164" s="5">
        <v>42404.291666666664</v>
      </c>
      <c r="O164" s="4" t="s">
        <v>32</v>
      </c>
      <c r="P164" s="4" t="s">
        <v>33</v>
      </c>
      <c r="Q164" s="4" t="s">
        <v>34</v>
      </c>
      <c r="R164" s="4" t="s">
        <v>750</v>
      </c>
      <c r="S164" s="4" t="s">
        <v>750</v>
      </c>
      <c r="T164" s="4" t="s">
        <v>36</v>
      </c>
      <c r="U164" s="4" t="s">
        <v>37</v>
      </c>
      <c r="V164" s="4" t="s">
        <v>236</v>
      </c>
      <c r="W164" s="4" t="s">
        <v>37</v>
      </c>
      <c r="X164" s="4" t="s">
        <v>37</v>
      </c>
      <c r="Y164" s="4" t="s">
        <v>36</v>
      </c>
      <c r="Z164" s="4"/>
      <c r="AA164" s="4"/>
    </row>
    <row r="165" spans="1:27" s="1" customFormat="1" x14ac:dyDescent="0.3">
      <c r="A165" s="19">
        <v>19283</v>
      </c>
      <c r="B165" s="4" t="s">
        <v>751</v>
      </c>
      <c r="C165" s="4">
        <v>0</v>
      </c>
      <c r="D165" s="5">
        <v>42398.659942129627</v>
      </c>
      <c r="E165" s="5" t="s">
        <v>2080</v>
      </c>
      <c r="F165" s="4" t="s">
        <v>26</v>
      </c>
      <c r="G165" s="4" t="s">
        <v>752</v>
      </c>
      <c r="H165" s="4" t="s">
        <v>582</v>
      </c>
      <c r="I165" s="4" t="s">
        <v>118</v>
      </c>
      <c r="J165" s="4" t="s">
        <v>30</v>
      </c>
      <c r="K165" s="4" t="s">
        <v>31</v>
      </c>
      <c r="L165" s="5">
        <v>42410.583333333336</v>
      </c>
      <c r="M165" s="5">
        <v>42411.25</v>
      </c>
      <c r="N165" s="5">
        <v>42411.25</v>
      </c>
      <c r="O165" s="4" t="s">
        <v>32</v>
      </c>
      <c r="P165" s="4" t="s">
        <v>33</v>
      </c>
      <c r="Q165" s="4" t="s">
        <v>34</v>
      </c>
      <c r="R165" s="4" t="s">
        <v>201</v>
      </c>
      <c r="S165" s="4" t="s">
        <v>201</v>
      </c>
      <c r="T165" s="4" t="s">
        <v>37</v>
      </c>
      <c r="U165" s="4" t="s">
        <v>37</v>
      </c>
      <c r="V165" s="4" t="s">
        <v>202</v>
      </c>
      <c r="W165" s="4" t="s">
        <v>37</v>
      </c>
      <c r="X165" s="4" t="s">
        <v>37</v>
      </c>
      <c r="Y165" s="4" t="s">
        <v>36</v>
      </c>
      <c r="Z165" s="4" t="s">
        <v>753</v>
      </c>
      <c r="AA165" s="4" t="s">
        <v>40</v>
      </c>
    </row>
    <row r="166" spans="1:27" s="1" customFormat="1" x14ac:dyDescent="0.3">
      <c r="A166" s="19">
        <v>19284</v>
      </c>
      <c r="B166" s="4" t="s">
        <v>749</v>
      </c>
      <c r="C166" s="4">
        <v>0</v>
      </c>
      <c r="D166" s="5">
        <v>42398.663900462961</v>
      </c>
      <c r="E166" s="5" t="s">
        <v>2080</v>
      </c>
      <c r="F166" s="4" t="s">
        <v>26</v>
      </c>
      <c r="G166" s="4" t="s">
        <v>140</v>
      </c>
      <c r="H166" s="4" t="s">
        <v>140</v>
      </c>
      <c r="I166" s="4" t="s">
        <v>80</v>
      </c>
      <c r="J166" s="4" t="s">
        <v>185</v>
      </c>
      <c r="K166" s="4" t="s">
        <v>31</v>
      </c>
      <c r="L166" s="5">
        <v>42419.916666666664</v>
      </c>
      <c r="M166" s="5">
        <v>42420.208333333336</v>
      </c>
      <c r="N166" s="5">
        <v>42420.291666666664</v>
      </c>
      <c r="O166" s="4" t="s">
        <v>32</v>
      </c>
      <c r="P166" s="4" t="s">
        <v>33</v>
      </c>
      <c r="Q166" s="4" t="s">
        <v>50</v>
      </c>
      <c r="R166" s="6" t="s">
        <v>77</v>
      </c>
      <c r="S166" s="4" t="s">
        <v>754</v>
      </c>
      <c r="T166" s="4" t="s">
        <v>37</v>
      </c>
      <c r="U166" s="4" t="s">
        <v>37</v>
      </c>
      <c r="V166" s="4" t="s">
        <v>755</v>
      </c>
      <c r="W166" s="4" t="s">
        <v>37</v>
      </c>
      <c r="X166" s="4" t="s">
        <v>37</v>
      </c>
      <c r="Y166" s="4" t="s">
        <v>36</v>
      </c>
      <c r="Z166" s="4"/>
      <c r="AA166" s="4" t="s">
        <v>187</v>
      </c>
    </row>
    <row r="167" spans="1:27" s="1" customFormat="1" x14ac:dyDescent="0.3">
      <c r="A167" s="19">
        <v>19292</v>
      </c>
      <c r="B167" s="4" t="s">
        <v>612</v>
      </c>
      <c r="C167" s="4" t="s">
        <v>39</v>
      </c>
      <c r="D167" s="5">
        <v>42401.454675925925</v>
      </c>
      <c r="E167" s="5" t="s">
        <v>2081</v>
      </c>
      <c r="F167" s="4" t="s">
        <v>26</v>
      </c>
      <c r="G167" s="4" t="s">
        <v>743</v>
      </c>
      <c r="H167" s="4" t="s">
        <v>743</v>
      </c>
      <c r="I167" s="4" t="s">
        <v>48</v>
      </c>
      <c r="J167" s="4" t="s">
        <v>43</v>
      </c>
      <c r="K167" s="4" t="s">
        <v>31</v>
      </c>
      <c r="L167" s="5">
        <v>42403.916666666664</v>
      </c>
      <c r="M167" s="5">
        <v>42403.999305555553</v>
      </c>
      <c r="N167" s="5">
        <v>42403.999305555553</v>
      </c>
      <c r="O167" s="4" t="s">
        <v>250</v>
      </c>
      <c r="P167" s="4" t="s">
        <v>149</v>
      </c>
      <c r="Q167" s="4" t="s">
        <v>251</v>
      </c>
      <c r="R167" s="4" t="s">
        <v>39</v>
      </c>
      <c r="S167" s="4" t="s">
        <v>39</v>
      </c>
      <c r="T167" s="4" t="s">
        <v>37</v>
      </c>
      <c r="U167" s="4" t="s">
        <v>37</v>
      </c>
      <c r="V167" s="4" t="s">
        <v>287</v>
      </c>
      <c r="W167" s="4" t="s">
        <v>37</v>
      </c>
      <c r="X167" s="4" t="s">
        <v>37</v>
      </c>
      <c r="Y167" s="4" t="s">
        <v>37</v>
      </c>
      <c r="Z167" s="4" t="s">
        <v>39</v>
      </c>
      <c r="AA167" s="4" t="s">
        <v>744</v>
      </c>
    </row>
    <row r="168" spans="1:27" s="1" customFormat="1" x14ac:dyDescent="0.3">
      <c r="A168" s="19">
        <v>19293</v>
      </c>
      <c r="B168" s="4" t="s">
        <v>756</v>
      </c>
      <c r="C168" s="4" t="s">
        <v>2117</v>
      </c>
      <c r="D168" s="5">
        <v>42401.489872685182</v>
      </c>
      <c r="E168" s="5" t="s">
        <v>2081</v>
      </c>
      <c r="F168" s="4" t="s">
        <v>26</v>
      </c>
      <c r="G168" s="4" t="s">
        <v>74</v>
      </c>
      <c r="H168" s="4" t="s">
        <v>74</v>
      </c>
      <c r="I168" s="4" t="s">
        <v>75</v>
      </c>
      <c r="J168" s="4" t="s">
        <v>49</v>
      </c>
      <c r="K168" s="4" t="s">
        <v>31</v>
      </c>
      <c r="L168" s="5">
        <v>42419.875</v>
      </c>
      <c r="M168" s="5">
        <v>42419.958333333336</v>
      </c>
      <c r="N168" s="5">
        <v>42422.333333333336</v>
      </c>
      <c r="O168" s="4" t="s">
        <v>32</v>
      </c>
      <c r="P168" s="4" t="s">
        <v>33</v>
      </c>
      <c r="Q168" s="4" t="s">
        <v>76</v>
      </c>
      <c r="R168" s="6" t="s">
        <v>77</v>
      </c>
      <c r="S168" s="4" t="s">
        <v>757</v>
      </c>
      <c r="T168" s="4" t="s">
        <v>37</v>
      </c>
      <c r="U168" s="4" t="s">
        <v>37</v>
      </c>
      <c r="V168" s="4" t="s">
        <v>758</v>
      </c>
      <c r="W168" s="4" t="s">
        <v>37</v>
      </c>
      <c r="X168" s="4" t="s">
        <v>37</v>
      </c>
      <c r="Y168" s="4" t="s">
        <v>36</v>
      </c>
      <c r="Z168" s="4" t="s">
        <v>39</v>
      </c>
      <c r="AA168" s="4"/>
    </row>
    <row r="169" spans="1:27" s="1" customFormat="1" x14ac:dyDescent="0.3">
      <c r="A169" s="19">
        <v>19297</v>
      </c>
      <c r="B169" s="4" t="s">
        <v>759</v>
      </c>
      <c r="C169" s="4" t="s">
        <v>2118</v>
      </c>
      <c r="D169" s="5">
        <v>42401.687291666669</v>
      </c>
      <c r="E169" s="5" t="s">
        <v>2081</v>
      </c>
      <c r="F169" s="4" t="s">
        <v>26</v>
      </c>
      <c r="G169" s="4" t="s">
        <v>752</v>
      </c>
      <c r="H169" s="4" t="s">
        <v>117</v>
      </c>
      <c r="I169" s="4" t="s">
        <v>118</v>
      </c>
      <c r="J169" s="4" t="s">
        <v>30</v>
      </c>
      <c r="K169" s="4" t="s">
        <v>31</v>
      </c>
      <c r="L169" s="5">
        <v>42402.916666666664</v>
      </c>
      <c r="M169" s="5">
        <v>42403.25</v>
      </c>
      <c r="N169" s="5">
        <v>42403.25</v>
      </c>
      <c r="O169" s="4" t="s">
        <v>250</v>
      </c>
      <c r="P169" s="4" t="s">
        <v>89</v>
      </c>
      <c r="Q169" s="4" t="s">
        <v>251</v>
      </c>
      <c r="R169" s="4" t="s">
        <v>388</v>
      </c>
      <c r="S169" s="4" t="s">
        <v>388</v>
      </c>
      <c r="T169" s="4" t="s">
        <v>37</v>
      </c>
      <c r="U169" s="4" t="s">
        <v>37</v>
      </c>
      <c r="V169" s="4" t="s">
        <v>389</v>
      </c>
      <c r="W169" s="4" t="s">
        <v>37</v>
      </c>
      <c r="X169" s="4" t="s">
        <v>37</v>
      </c>
      <c r="Y169" s="4" t="s">
        <v>36</v>
      </c>
      <c r="Z169" s="4" t="s">
        <v>760</v>
      </c>
      <c r="AA169" s="4" t="s">
        <v>93</v>
      </c>
    </row>
    <row r="170" spans="1:27" s="1" customFormat="1" x14ac:dyDescent="0.3">
      <c r="A170" s="19">
        <v>19300</v>
      </c>
      <c r="B170" s="4" t="s">
        <v>761</v>
      </c>
      <c r="C170" s="4" t="s">
        <v>2111</v>
      </c>
      <c r="D170" s="5">
        <v>42401.795636574076</v>
      </c>
      <c r="E170" s="5" t="s">
        <v>2081</v>
      </c>
      <c r="F170" s="4" t="s">
        <v>26</v>
      </c>
      <c r="G170" s="4" t="s">
        <v>762</v>
      </c>
      <c r="H170" s="4" t="s">
        <v>763</v>
      </c>
      <c r="I170" s="4" t="s">
        <v>210</v>
      </c>
      <c r="J170" s="4" t="s">
        <v>49</v>
      </c>
      <c r="K170" s="4" t="s">
        <v>31</v>
      </c>
      <c r="L170" s="5">
        <v>42402.041666666664</v>
      </c>
      <c r="M170" s="5">
        <v>42402.125</v>
      </c>
      <c r="N170" s="5">
        <v>42402.125</v>
      </c>
      <c r="O170" s="4" t="s">
        <v>710</v>
      </c>
      <c r="P170" s="4" t="s">
        <v>33</v>
      </c>
      <c r="Q170" s="4" t="s">
        <v>76</v>
      </c>
      <c r="R170" s="4" t="s">
        <v>764</v>
      </c>
      <c r="S170" s="6" t="s">
        <v>77</v>
      </c>
      <c r="T170" s="4" t="s">
        <v>36</v>
      </c>
      <c r="U170" s="4" t="s">
        <v>37</v>
      </c>
      <c r="V170" s="4" t="s">
        <v>765</v>
      </c>
      <c r="W170" s="4" t="s">
        <v>37</v>
      </c>
      <c r="X170" s="4" t="s">
        <v>37</v>
      </c>
      <c r="Y170" s="4" t="s">
        <v>36</v>
      </c>
      <c r="Z170" s="4"/>
      <c r="AA170" s="4"/>
    </row>
    <row r="171" spans="1:27" s="1" customFormat="1" x14ac:dyDescent="0.3">
      <c r="A171" s="19">
        <v>19301</v>
      </c>
      <c r="B171" s="4" t="s">
        <v>766</v>
      </c>
      <c r="C171" s="4" t="s">
        <v>2120</v>
      </c>
      <c r="D171" s="5">
        <v>42402.348368055558</v>
      </c>
      <c r="E171" s="5" t="s">
        <v>2081</v>
      </c>
      <c r="F171" s="4" t="s">
        <v>26</v>
      </c>
      <c r="G171" s="4" t="s">
        <v>244</v>
      </c>
      <c r="H171" s="4" t="s">
        <v>422</v>
      </c>
      <c r="I171" s="4" t="s">
        <v>118</v>
      </c>
      <c r="J171" s="4" t="s">
        <v>30</v>
      </c>
      <c r="K171" s="4" t="s">
        <v>31</v>
      </c>
      <c r="L171" s="5">
        <v>42415.916666666664</v>
      </c>
      <c r="M171" s="5">
        <v>42416.5</v>
      </c>
      <c r="N171" s="5">
        <v>42416.75</v>
      </c>
      <c r="O171" s="4" t="s">
        <v>32</v>
      </c>
      <c r="P171" s="4" t="s">
        <v>33</v>
      </c>
      <c r="Q171" s="4" t="s">
        <v>50</v>
      </c>
      <c r="R171" s="6" t="s">
        <v>77</v>
      </c>
      <c r="S171" s="4" t="s">
        <v>517</v>
      </c>
      <c r="T171" s="4" t="s">
        <v>36</v>
      </c>
      <c r="U171" s="4" t="s">
        <v>37</v>
      </c>
      <c r="V171" s="4" t="s">
        <v>365</v>
      </c>
      <c r="W171" s="4" t="s">
        <v>37</v>
      </c>
      <c r="X171" s="4" t="s">
        <v>37</v>
      </c>
      <c r="Y171" s="4" t="s">
        <v>36</v>
      </c>
      <c r="Z171" s="4"/>
      <c r="AA171" s="4" t="s">
        <v>179</v>
      </c>
    </row>
    <row r="172" spans="1:27" s="1" customFormat="1" x14ac:dyDescent="0.3">
      <c r="A172" s="19">
        <v>19303</v>
      </c>
      <c r="B172" s="4" t="s">
        <v>767</v>
      </c>
      <c r="C172" s="4" t="s">
        <v>2111</v>
      </c>
      <c r="D172" s="5">
        <v>42402.383483796293</v>
      </c>
      <c r="E172" s="5" t="s">
        <v>2081</v>
      </c>
      <c r="F172" s="4" t="s">
        <v>26</v>
      </c>
      <c r="G172" s="4" t="s">
        <v>244</v>
      </c>
      <c r="H172" s="4" t="s">
        <v>422</v>
      </c>
      <c r="I172" s="4" t="s">
        <v>118</v>
      </c>
      <c r="J172" s="4" t="s">
        <v>30</v>
      </c>
      <c r="K172" s="4" t="s">
        <v>31</v>
      </c>
      <c r="L172" s="5">
        <v>42401.916666666664</v>
      </c>
      <c r="M172" s="5">
        <v>42402.5</v>
      </c>
      <c r="N172" s="5">
        <v>42402.75</v>
      </c>
      <c r="O172" s="4" t="s">
        <v>710</v>
      </c>
      <c r="P172" s="4" t="s">
        <v>89</v>
      </c>
      <c r="Q172" s="4" t="s">
        <v>76</v>
      </c>
      <c r="R172" s="6" t="s">
        <v>77</v>
      </c>
      <c r="S172" s="4" t="s">
        <v>517</v>
      </c>
      <c r="T172" s="4" t="s">
        <v>37</v>
      </c>
      <c r="U172" s="4" t="s">
        <v>37</v>
      </c>
      <c r="V172" s="4" t="s">
        <v>365</v>
      </c>
      <c r="W172" s="4" t="s">
        <v>37</v>
      </c>
      <c r="X172" s="4" t="s">
        <v>37</v>
      </c>
      <c r="Y172" s="4" t="s">
        <v>36</v>
      </c>
      <c r="Z172" s="4" t="s">
        <v>768</v>
      </c>
      <c r="AA172" s="4" t="s">
        <v>179</v>
      </c>
    </row>
    <row r="173" spans="1:27" s="1" customFormat="1" x14ac:dyDescent="0.3">
      <c r="A173" s="19">
        <v>19304</v>
      </c>
      <c r="B173" s="4" t="s">
        <v>769</v>
      </c>
      <c r="C173" s="4">
        <v>0</v>
      </c>
      <c r="D173" s="5">
        <v>42402.439803240741</v>
      </c>
      <c r="E173" s="5" t="s">
        <v>2081</v>
      </c>
      <c r="F173" s="4" t="s">
        <v>26</v>
      </c>
      <c r="G173" s="4" t="s">
        <v>656</v>
      </c>
      <c r="H173" s="4" t="s">
        <v>656</v>
      </c>
      <c r="I173" s="4" t="s">
        <v>203</v>
      </c>
      <c r="J173" s="4" t="s">
        <v>657</v>
      </c>
      <c r="K173" s="4" t="s">
        <v>31</v>
      </c>
      <c r="L173" s="5">
        <v>42413.333333333336</v>
      </c>
      <c r="M173" s="5">
        <v>42413.75</v>
      </c>
      <c r="N173" s="5">
        <v>42415.708333333336</v>
      </c>
      <c r="O173" s="4" t="s">
        <v>32</v>
      </c>
      <c r="P173" s="4" t="s">
        <v>33</v>
      </c>
      <c r="Q173" s="4" t="s">
        <v>119</v>
      </c>
      <c r="R173" s="4" t="s">
        <v>770</v>
      </c>
      <c r="S173" s="4" t="s">
        <v>770</v>
      </c>
      <c r="T173" s="4" t="s">
        <v>37</v>
      </c>
      <c r="U173" s="4" t="s">
        <v>37</v>
      </c>
      <c r="V173" s="4" t="s">
        <v>771</v>
      </c>
      <c r="W173" s="4" t="s">
        <v>37</v>
      </c>
      <c r="X173" s="4" t="s">
        <v>37</v>
      </c>
      <c r="Y173" s="4" t="s">
        <v>36</v>
      </c>
      <c r="Z173" s="4"/>
      <c r="AA173" s="4" t="s">
        <v>660</v>
      </c>
    </row>
    <row r="174" spans="1:27" s="1" customFormat="1" x14ac:dyDescent="0.3">
      <c r="A174" s="19">
        <v>19305</v>
      </c>
      <c r="B174" s="4" t="s">
        <v>273</v>
      </c>
      <c r="C174" s="4">
        <v>0</v>
      </c>
      <c r="D174" s="5">
        <v>42402.493680555555</v>
      </c>
      <c r="E174" s="5" t="s">
        <v>2081</v>
      </c>
      <c r="F174" s="4" t="s">
        <v>26</v>
      </c>
      <c r="G174" s="4" t="s">
        <v>274</v>
      </c>
      <c r="H174" s="4" t="s">
        <v>274</v>
      </c>
      <c r="I174" s="4" t="s">
        <v>208</v>
      </c>
      <c r="J174" s="4" t="s">
        <v>357</v>
      </c>
      <c r="K174" s="4" t="s">
        <v>31</v>
      </c>
      <c r="L174" s="5">
        <v>42428.000694444447</v>
      </c>
      <c r="M174" s="5">
        <v>42428.208333333336</v>
      </c>
      <c r="N174" s="5">
        <v>42428.25</v>
      </c>
      <c r="O174" s="4" t="s">
        <v>32</v>
      </c>
      <c r="P174" s="4" t="s">
        <v>33</v>
      </c>
      <c r="Q174" s="4" t="s">
        <v>76</v>
      </c>
      <c r="R174" s="6" t="s">
        <v>77</v>
      </c>
      <c r="S174" s="4" t="s">
        <v>230</v>
      </c>
      <c r="T174" s="4" t="s">
        <v>37</v>
      </c>
      <c r="U174" s="4" t="s">
        <v>37</v>
      </c>
      <c r="V174" s="4" t="s">
        <v>276</v>
      </c>
      <c r="W174" s="4" t="s">
        <v>37</v>
      </c>
      <c r="X174" s="4" t="s">
        <v>37</v>
      </c>
      <c r="Y174" s="4" t="s">
        <v>36</v>
      </c>
      <c r="Z174" s="4"/>
      <c r="AA174" s="4" t="s">
        <v>358</v>
      </c>
    </row>
    <row r="175" spans="1:27" s="1" customFormat="1" x14ac:dyDescent="0.3">
      <c r="A175" s="19">
        <v>19306</v>
      </c>
      <c r="B175" s="4" t="s">
        <v>772</v>
      </c>
      <c r="C175" s="4">
        <v>0</v>
      </c>
      <c r="D175" s="5">
        <v>42402.496458333335</v>
      </c>
      <c r="E175" s="5" t="s">
        <v>2081</v>
      </c>
      <c r="F175" s="4" t="s">
        <v>26</v>
      </c>
      <c r="G175" s="4" t="s">
        <v>392</v>
      </c>
      <c r="H175" s="4" t="s">
        <v>74</v>
      </c>
      <c r="I175" s="4" t="s">
        <v>75</v>
      </c>
      <c r="J175" s="4" t="s">
        <v>49</v>
      </c>
      <c r="K175" s="4" t="s">
        <v>31</v>
      </c>
      <c r="L175" s="5">
        <v>42412.833333333336</v>
      </c>
      <c r="M175" s="5">
        <v>42413.166666666664</v>
      </c>
      <c r="N175" s="5">
        <v>42413.180555555555</v>
      </c>
      <c r="O175" s="4" t="s">
        <v>32</v>
      </c>
      <c r="P175" s="4" t="s">
        <v>33</v>
      </c>
      <c r="Q175" s="4" t="s">
        <v>76</v>
      </c>
      <c r="R175" s="6" t="s">
        <v>77</v>
      </c>
      <c r="S175" s="6" t="s">
        <v>77</v>
      </c>
      <c r="T175" s="4" t="s">
        <v>37</v>
      </c>
      <c r="U175" s="4" t="s">
        <v>37</v>
      </c>
      <c r="V175" s="4" t="s">
        <v>646</v>
      </c>
      <c r="W175" s="4" t="s">
        <v>37</v>
      </c>
      <c r="X175" s="4" t="s">
        <v>37</v>
      </c>
      <c r="Y175" s="4" t="s">
        <v>36</v>
      </c>
      <c r="Z175" s="4"/>
      <c r="AA175" s="4"/>
    </row>
    <row r="176" spans="1:27" s="1" customFormat="1" x14ac:dyDescent="0.3">
      <c r="A176" s="19">
        <v>19310</v>
      </c>
      <c r="B176" s="4" t="s">
        <v>773</v>
      </c>
      <c r="C176" s="4" t="s">
        <v>774</v>
      </c>
      <c r="D176" s="5">
        <v>42403.338587962964</v>
      </c>
      <c r="E176" s="5" t="s">
        <v>2081</v>
      </c>
      <c r="F176" s="4" t="s">
        <v>26</v>
      </c>
      <c r="G176" s="4" t="s">
        <v>421</v>
      </c>
      <c r="H176" s="4" t="s">
        <v>422</v>
      </c>
      <c r="I176" s="4" t="s">
        <v>118</v>
      </c>
      <c r="J176" s="4" t="s">
        <v>30</v>
      </c>
      <c r="K176" s="4" t="s">
        <v>31</v>
      </c>
      <c r="L176" s="5">
        <v>42415.916666666664</v>
      </c>
      <c r="M176" s="5">
        <v>42416.125</v>
      </c>
      <c r="N176" s="5">
        <v>42416.75</v>
      </c>
      <c r="O176" s="4" t="s">
        <v>32</v>
      </c>
      <c r="P176" s="4" t="s">
        <v>149</v>
      </c>
      <c r="Q176" s="4" t="s">
        <v>76</v>
      </c>
      <c r="R176" s="6" t="s">
        <v>77</v>
      </c>
      <c r="S176" s="4" t="s">
        <v>291</v>
      </c>
      <c r="T176" s="4" t="s">
        <v>37</v>
      </c>
      <c r="U176" s="4" t="s">
        <v>37</v>
      </c>
      <c r="V176" s="4" t="s">
        <v>292</v>
      </c>
      <c r="W176" s="4" t="s">
        <v>37</v>
      </c>
      <c r="X176" s="4" t="s">
        <v>37</v>
      </c>
      <c r="Y176" s="4" t="s">
        <v>36</v>
      </c>
      <c r="Z176" s="4" t="s">
        <v>774</v>
      </c>
      <c r="AA176" s="4" t="s">
        <v>40</v>
      </c>
    </row>
    <row r="177" spans="1:27" s="1" customFormat="1" x14ac:dyDescent="0.3">
      <c r="A177" s="19">
        <v>19311</v>
      </c>
      <c r="B177" s="4" t="s">
        <v>775</v>
      </c>
      <c r="C177" s="4">
        <v>0</v>
      </c>
      <c r="D177" s="5">
        <v>42403.433657407404</v>
      </c>
      <c r="E177" s="5" t="s">
        <v>2081</v>
      </c>
      <c r="F177" s="4" t="s">
        <v>26</v>
      </c>
      <c r="G177" s="4" t="s">
        <v>140</v>
      </c>
      <c r="H177" s="4" t="s">
        <v>140</v>
      </c>
      <c r="I177" s="4" t="s">
        <v>80</v>
      </c>
      <c r="J177" s="4" t="s">
        <v>141</v>
      </c>
      <c r="K177" s="4" t="s">
        <v>31</v>
      </c>
      <c r="L177" s="5">
        <v>42431.916666666664</v>
      </c>
      <c r="M177" s="5">
        <v>42432.25</v>
      </c>
      <c r="N177" s="5">
        <v>42432.291666666664</v>
      </c>
      <c r="O177" s="4" t="s">
        <v>32</v>
      </c>
      <c r="P177" s="4" t="s">
        <v>33</v>
      </c>
      <c r="Q177" s="4" t="s">
        <v>50</v>
      </c>
      <c r="R177" s="6" t="s">
        <v>77</v>
      </c>
      <c r="S177" s="4" t="s">
        <v>754</v>
      </c>
      <c r="T177" s="4" t="s">
        <v>37</v>
      </c>
      <c r="U177" s="4" t="s">
        <v>37</v>
      </c>
      <c r="V177" s="4" t="s">
        <v>776</v>
      </c>
      <c r="W177" s="4" t="s">
        <v>37</v>
      </c>
      <c r="X177" s="4" t="s">
        <v>37</v>
      </c>
      <c r="Y177" s="4" t="s">
        <v>36</v>
      </c>
      <c r="Z177" s="4"/>
      <c r="AA177" s="4" t="s">
        <v>777</v>
      </c>
    </row>
    <row r="178" spans="1:27" s="1" customFormat="1" x14ac:dyDescent="0.3">
      <c r="A178" s="19">
        <v>19312</v>
      </c>
      <c r="B178" s="4" t="s">
        <v>778</v>
      </c>
      <c r="C178" s="4">
        <v>0</v>
      </c>
      <c r="D178" s="5">
        <v>42403.488587962966</v>
      </c>
      <c r="E178" s="5" t="s">
        <v>2081</v>
      </c>
      <c r="F178" s="4" t="s">
        <v>26</v>
      </c>
      <c r="G178" s="4" t="s">
        <v>489</v>
      </c>
      <c r="H178" s="4" t="s">
        <v>489</v>
      </c>
      <c r="I178" s="4" t="s">
        <v>219</v>
      </c>
      <c r="J178" s="4" t="s">
        <v>30</v>
      </c>
      <c r="K178" s="4" t="s">
        <v>31</v>
      </c>
      <c r="L178" s="5">
        <v>42419.958333333336</v>
      </c>
      <c r="M178" s="5">
        <v>42420.166666666664</v>
      </c>
      <c r="N178" s="5">
        <v>42420.208333333336</v>
      </c>
      <c r="O178" s="4" t="s">
        <v>32</v>
      </c>
      <c r="P178" s="4" t="s">
        <v>33</v>
      </c>
      <c r="Q178" s="4" t="s">
        <v>50</v>
      </c>
      <c r="R178" s="6" t="s">
        <v>77</v>
      </c>
      <c r="S178" s="4" t="s">
        <v>779</v>
      </c>
      <c r="T178" s="4" t="s">
        <v>36</v>
      </c>
      <c r="U178" s="4" t="s">
        <v>37</v>
      </c>
      <c r="V178" s="4" t="s">
        <v>780</v>
      </c>
      <c r="W178" s="4" t="s">
        <v>37</v>
      </c>
      <c r="X178" s="4" t="s">
        <v>37</v>
      </c>
      <c r="Y178" s="4" t="s">
        <v>37</v>
      </c>
      <c r="Z178" s="4"/>
      <c r="AA178" s="4" t="s">
        <v>40</v>
      </c>
    </row>
    <row r="179" spans="1:27" s="1" customFormat="1" x14ac:dyDescent="0.3">
      <c r="A179" s="19">
        <v>19314</v>
      </c>
      <c r="B179" s="4" t="s">
        <v>781</v>
      </c>
      <c r="C179" s="4">
        <v>0</v>
      </c>
      <c r="D179" s="5">
        <v>42403.609282407408</v>
      </c>
      <c r="E179" s="5" t="s">
        <v>2081</v>
      </c>
      <c r="F179" s="4" t="s">
        <v>26</v>
      </c>
      <c r="G179" s="4" t="s">
        <v>392</v>
      </c>
      <c r="H179" s="4" t="s">
        <v>392</v>
      </c>
      <c r="I179" s="4" t="s">
        <v>200</v>
      </c>
      <c r="J179" s="4" t="s">
        <v>311</v>
      </c>
      <c r="K179" s="4" t="s">
        <v>31</v>
      </c>
      <c r="L179" s="5">
        <v>42422.833333333336</v>
      </c>
      <c r="M179" s="5">
        <v>42468.333333333336</v>
      </c>
      <c r="N179" s="5">
        <v>42468.340277777781</v>
      </c>
      <c r="O179" s="4" t="s">
        <v>32</v>
      </c>
      <c r="P179" s="4" t="s">
        <v>33</v>
      </c>
      <c r="Q179" s="4" t="s">
        <v>34</v>
      </c>
      <c r="R179" s="6" t="s">
        <v>77</v>
      </c>
      <c r="S179" s="6" t="s">
        <v>77</v>
      </c>
      <c r="T179" s="4" t="s">
        <v>36</v>
      </c>
      <c r="U179" s="4" t="s">
        <v>37</v>
      </c>
      <c r="V179" s="4" t="s">
        <v>782</v>
      </c>
      <c r="W179" s="4"/>
      <c r="X179" s="4"/>
      <c r="Y179" s="4"/>
      <c r="Z179" s="4"/>
      <c r="AA179" s="4"/>
    </row>
    <row r="180" spans="1:27" s="1" customFormat="1" x14ac:dyDescent="0.3">
      <c r="A180" s="19">
        <v>19315</v>
      </c>
      <c r="B180" s="4" t="s">
        <v>783</v>
      </c>
      <c r="C180" s="4" t="s">
        <v>2111</v>
      </c>
      <c r="D180" s="5">
        <v>42403.61042824074</v>
      </c>
      <c r="E180" s="5" t="s">
        <v>2081</v>
      </c>
      <c r="F180" s="4" t="s">
        <v>26</v>
      </c>
      <c r="G180" s="4" t="s">
        <v>784</v>
      </c>
      <c r="H180" s="4" t="s">
        <v>784</v>
      </c>
      <c r="I180" s="4" t="s">
        <v>218</v>
      </c>
      <c r="J180" s="4" t="s">
        <v>185</v>
      </c>
      <c r="K180" s="4" t="s">
        <v>31</v>
      </c>
      <c r="L180" s="5">
        <v>42402</v>
      </c>
      <c r="M180" s="5">
        <v>42402.416666666664</v>
      </c>
      <c r="N180" s="5">
        <v>42402.75</v>
      </c>
      <c r="O180" s="4" t="s">
        <v>710</v>
      </c>
      <c r="P180" s="4" t="s">
        <v>89</v>
      </c>
      <c r="Q180" s="4" t="s">
        <v>76</v>
      </c>
      <c r="R180" s="6" t="s">
        <v>77</v>
      </c>
      <c r="S180" s="4"/>
      <c r="T180" s="4" t="s">
        <v>36</v>
      </c>
      <c r="U180" s="4" t="s">
        <v>37</v>
      </c>
      <c r="V180" s="4" t="s">
        <v>785</v>
      </c>
      <c r="W180" s="4" t="s">
        <v>37</v>
      </c>
      <c r="X180" s="4" t="s">
        <v>37</v>
      </c>
      <c r="Y180" s="4" t="s">
        <v>36</v>
      </c>
      <c r="Z180" s="4" t="s">
        <v>786</v>
      </c>
      <c r="AA180" s="4" t="s">
        <v>187</v>
      </c>
    </row>
    <row r="181" spans="1:27" s="1" customFormat="1" x14ac:dyDescent="0.3">
      <c r="A181" s="19">
        <v>19316</v>
      </c>
      <c r="B181" s="4" t="s">
        <v>787</v>
      </c>
      <c r="C181" s="4" t="s">
        <v>2121</v>
      </c>
      <c r="D181" s="5">
        <v>42403.627581018518</v>
      </c>
      <c r="E181" s="5" t="s">
        <v>2081</v>
      </c>
      <c r="F181" s="4" t="s">
        <v>26</v>
      </c>
      <c r="G181" s="4" t="s">
        <v>788</v>
      </c>
      <c r="H181" s="4" t="s">
        <v>264</v>
      </c>
      <c r="I181" s="4" t="s">
        <v>203</v>
      </c>
      <c r="J181" s="4" t="s">
        <v>30</v>
      </c>
      <c r="K181" s="4" t="s">
        <v>31</v>
      </c>
      <c r="L181" s="5">
        <v>42415.916666666664</v>
      </c>
      <c r="M181" s="5">
        <v>42416.458333333336</v>
      </c>
      <c r="N181" s="5">
        <v>42416.541666666664</v>
      </c>
      <c r="O181" s="4" t="s">
        <v>32</v>
      </c>
      <c r="P181" s="4" t="s">
        <v>89</v>
      </c>
      <c r="Q181" s="4" t="s">
        <v>251</v>
      </c>
      <c r="R181" s="4" t="s">
        <v>789</v>
      </c>
      <c r="S181" s="4" t="s">
        <v>521</v>
      </c>
      <c r="T181" s="4" t="s">
        <v>37</v>
      </c>
      <c r="U181" s="4" t="s">
        <v>37</v>
      </c>
      <c r="V181" s="4" t="s">
        <v>267</v>
      </c>
      <c r="W181" s="4"/>
      <c r="X181" s="4"/>
      <c r="Y181" s="4"/>
      <c r="Z181" s="4" t="s">
        <v>790</v>
      </c>
      <c r="AA181" s="4" t="s">
        <v>40</v>
      </c>
    </row>
    <row r="182" spans="1:27" s="1" customFormat="1" x14ac:dyDescent="0.3">
      <c r="A182" s="19">
        <v>19317</v>
      </c>
      <c r="B182" s="4" t="s">
        <v>791</v>
      </c>
      <c r="C182" s="4" t="s">
        <v>2122</v>
      </c>
      <c r="D182" s="5">
        <v>42403.694398148145</v>
      </c>
      <c r="E182" s="5" t="s">
        <v>2081</v>
      </c>
      <c r="F182" s="4" t="s">
        <v>26</v>
      </c>
      <c r="G182" s="4" t="s">
        <v>559</v>
      </c>
      <c r="H182" s="4" t="s">
        <v>792</v>
      </c>
      <c r="I182" s="4" t="s">
        <v>56</v>
      </c>
      <c r="J182" s="4" t="s">
        <v>49</v>
      </c>
      <c r="K182" s="4" t="s">
        <v>31</v>
      </c>
      <c r="L182" s="5">
        <v>42411.458333333336</v>
      </c>
      <c r="M182" s="5">
        <v>42411.5</v>
      </c>
      <c r="N182" s="5">
        <v>42411.520833333336</v>
      </c>
      <c r="O182" s="4" t="s">
        <v>32</v>
      </c>
      <c r="P182" s="4" t="s">
        <v>33</v>
      </c>
      <c r="Q182" s="4" t="s">
        <v>76</v>
      </c>
      <c r="R182" s="4" t="s">
        <v>793</v>
      </c>
      <c r="S182" s="4" t="s">
        <v>794</v>
      </c>
      <c r="T182" s="4" t="s">
        <v>37</v>
      </c>
      <c r="U182" s="4" t="s">
        <v>37</v>
      </c>
      <c r="V182" s="4" t="s">
        <v>795</v>
      </c>
      <c r="W182" s="4" t="s">
        <v>37</v>
      </c>
      <c r="X182" s="4" t="s">
        <v>37</v>
      </c>
      <c r="Y182" s="4" t="s">
        <v>36</v>
      </c>
      <c r="Z182" s="4"/>
      <c r="AA182" s="4"/>
    </row>
    <row r="183" spans="1:27" s="1" customFormat="1" x14ac:dyDescent="0.3">
      <c r="A183" s="19">
        <v>19319</v>
      </c>
      <c r="B183" s="4" t="s">
        <v>796</v>
      </c>
      <c r="C183" s="4" t="s">
        <v>2111</v>
      </c>
      <c r="D183" s="5">
        <v>42403.738020833334</v>
      </c>
      <c r="E183" s="5" t="s">
        <v>2081</v>
      </c>
      <c r="F183" s="4" t="s">
        <v>26</v>
      </c>
      <c r="G183" s="4" t="s">
        <v>762</v>
      </c>
      <c r="H183" s="4" t="s">
        <v>763</v>
      </c>
      <c r="I183" s="4" t="s">
        <v>210</v>
      </c>
      <c r="J183" s="4" t="s">
        <v>49</v>
      </c>
      <c r="K183" s="4" t="s">
        <v>31</v>
      </c>
      <c r="L183" s="5">
        <v>42404.041666666664</v>
      </c>
      <c r="M183" s="5">
        <v>42404.083333333336</v>
      </c>
      <c r="N183" s="5">
        <v>42404.083333333336</v>
      </c>
      <c r="O183" s="4" t="s">
        <v>710</v>
      </c>
      <c r="P183" s="4" t="s">
        <v>33</v>
      </c>
      <c r="Q183" s="4" t="s">
        <v>76</v>
      </c>
      <c r="R183" s="4" t="s">
        <v>797</v>
      </c>
      <c r="S183" s="4" t="s">
        <v>797</v>
      </c>
      <c r="T183" s="4" t="s">
        <v>36</v>
      </c>
      <c r="U183" s="4" t="s">
        <v>36</v>
      </c>
      <c r="V183" s="4" t="s">
        <v>798</v>
      </c>
      <c r="W183" s="4" t="s">
        <v>37</v>
      </c>
      <c r="X183" s="4" t="s">
        <v>37</v>
      </c>
      <c r="Y183" s="4" t="s">
        <v>37</v>
      </c>
      <c r="Z183" s="4"/>
      <c r="AA183" s="4"/>
    </row>
    <row r="184" spans="1:27" s="1" customFormat="1" x14ac:dyDescent="0.3">
      <c r="A184" s="19">
        <v>19323</v>
      </c>
      <c r="B184" s="4" t="s">
        <v>386</v>
      </c>
      <c r="C184" s="4">
        <v>0</v>
      </c>
      <c r="D184" s="5">
        <v>42404.47483796296</v>
      </c>
      <c r="E184" s="5" t="s">
        <v>2081</v>
      </c>
      <c r="F184" s="4" t="s">
        <v>26</v>
      </c>
      <c r="G184" s="4" t="s">
        <v>387</v>
      </c>
      <c r="H184" s="4" t="s">
        <v>117</v>
      </c>
      <c r="I184" s="4" t="s">
        <v>118</v>
      </c>
      <c r="J184" s="4" t="s">
        <v>30</v>
      </c>
      <c r="K184" s="4" t="s">
        <v>31</v>
      </c>
      <c r="L184" s="5">
        <v>42416.541666666664</v>
      </c>
      <c r="M184" s="5">
        <v>42417.25</v>
      </c>
      <c r="N184" s="5">
        <v>42417.333333333336</v>
      </c>
      <c r="O184" s="4" t="s">
        <v>32</v>
      </c>
      <c r="P184" s="4" t="s">
        <v>33</v>
      </c>
      <c r="Q184" s="4" t="s">
        <v>251</v>
      </c>
      <c r="R184" s="4" t="s">
        <v>799</v>
      </c>
      <c r="S184" s="4" t="s">
        <v>799</v>
      </c>
      <c r="T184" s="4" t="s">
        <v>37</v>
      </c>
      <c r="U184" s="4" t="s">
        <v>37</v>
      </c>
      <c r="V184" s="4" t="s">
        <v>389</v>
      </c>
      <c r="W184" s="4" t="s">
        <v>37</v>
      </c>
      <c r="X184" s="4" t="s">
        <v>37</v>
      </c>
      <c r="Y184" s="4" t="s">
        <v>36</v>
      </c>
      <c r="Z184" s="4" t="s">
        <v>800</v>
      </c>
      <c r="AA184" s="4" t="s">
        <v>93</v>
      </c>
    </row>
    <row r="185" spans="1:27" s="1" customFormat="1" x14ac:dyDescent="0.3">
      <c r="A185" s="19">
        <v>19324</v>
      </c>
      <c r="B185" s="4" t="s">
        <v>801</v>
      </c>
      <c r="C185" s="4">
        <v>0</v>
      </c>
      <c r="D185" s="5">
        <v>42404.479305555556</v>
      </c>
      <c r="E185" s="5" t="s">
        <v>2081</v>
      </c>
      <c r="F185" s="4" t="s">
        <v>26</v>
      </c>
      <c r="G185" s="4" t="s">
        <v>507</v>
      </c>
      <c r="H185" s="4" t="s">
        <v>455</v>
      </c>
      <c r="I185" s="4" t="s">
        <v>218</v>
      </c>
      <c r="J185" s="4" t="s">
        <v>185</v>
      </c>
      <c r="K185" s="4" t="s">
        <v>31</v>
      </c>
      <c r="L185" s="5">
        <v>42412.000694444447</v>
      </c>
      <c r="M185" s="5">
        <v>42412.208333333336</v>
      </c>
      <c r="N185" s="5">
        <v>42412.25</v>
      </c>
      <c r="O185" s="4" t="s">
        <v>32</v>
      </c>
      <c r="P185" s="4" t="s">
        <v>89</v>
      </c>
      <c r="Q185" s="4" t="s">
        <v>251</v>
      </c>
      <c r="R185" s="4"/>
      <c r="S185" s="4"/>
      <c r="T185" s="4" t="s">
        <v>37</v>
      </c>
      <c r="U185" s="4" t="s">
        <v>37</v>
      </c>
      <c r="V185" s="4" t="s">
        <v>802</v>
      </c>
      <c r="W185" s="4" t="s">
        <v>37</v>
      </c>
      <c r="X185" s="4" t="s">
        <v>37</v>
      </c>
      <c r="Y185" s="4" t="s">
        <v>36</v>
      </c>
      <c r="Z185" s="4" t="s">
        <v>803</v>
      </c>
      <c r="AA185" s="4" t="s">
        <v>187</v>
      </c>
    </row>
    <row r="186" spans="1:27" s="1" customFormat="1" x14ac:dyDescent="0.3">
      <c r="A186" s="19">
        <v>19325</v>
      </c>
      <c r="B186" s="4" t="s">
        <v>804</v>
      </c>
      <c r="C186" s="4" t="s">
        <v>2119</v>
      </c>
      <c r="D186" s="5">
        <v>42404.484467592592</v>
      </c>
      <c r="E186" s="5" t="s">
        <v>2081</v>
      </c>
      <c r="F186" s="4" t="s">
        <v>26</v>
      </c>
      <c r="G186" s="4" t="s">
        <v>513</v>
      </c>
      <c r="H186" s="4" t="s">
        <v>784</v>
      </c>
      <c r="I186" s="4" t="s">
        <v>125</v>
      </c>
      <c r="J186" s="4" t="s">
        <v>30</v>
      </c>
      <c r="K186" s="4" t="s">
        <v>31</v>
      </c>
      <c r="L186" s="5">
        <v>42411.625</v>
      </c>
      <c r="M186" s="5">
        <v>42416.75</v>
      </c>
      <c r="N186" s="5">
        <v>42419.875</v>
      </c>
      <c r="O186" s="4" t="s">
        <v>32</v>
      </c>
      <c r="P186" s="4" t="s">
        <v>149</v>
      </c>
      <c r="Q186" s="4" t="s">
        <v>76</v>
      </c>
      <c r="R186" s="4"/>
      <c r="S186" s="6" t="s">
        <v>77</v>
      </c>
      <c r="T186" s="4" t="s">
        <v>37</v>
      </c>
      <c r="U186" s="4" t="s">
        <v>37</v>
      </c>
      <c r="V186" s="4" t="s">
        <v>805</v>
      </c>
      <c r="W186" s="4" t="s">
        <v>37</v>
      </c>
      <c r="X186" s="4" t="s">
        <v>36</v>
      </c>
      <c r="Y186" s="4" t="s">
        <v>37</v>
      </c>
      <c r="Z186" s="4"/>
      <c r="AA186" s="4" t="s">
        <v>179</v>
      </c>
    </row>
    <row r="187" spans="1:27" s="1" customFormat="1" x14ac:dyDescent="0.3">
      <c r="A187" s="19">
        <v>19328</v>
      </c>
      <c r="B187" s="4" t="s">
        <v>806</v>
      </c>
      <c r="C187" s="4">
        <v>0</v>
      </c>
      <c r="D187" s="5">
        <v>42404.602303240739</v>
      </c>
      <c r="E187" s="5" t="s">
        <v>2081</v>
      </c>
      <c r="F187" s="4" t="s">
        <v>26</v>
      </c>
      <c r="G187" s="4" t="s">
        <v>147</v>
      </c>
      <c r="H187" s="4" t="s">
        <v>656</v>
      </c>
      <c r="I187" s="4" t="s">
        <v>48</v>
      </c>
      <c r="J187" s="4" t="s">
        <v>543</v>
      </c>
      <c r="K187" s="4" t="s">
        <v>31</v>
      </c>
      <c r="L187" s="5">
        <v>42411.604166666664</v>
      </c>
      <c r="M187" s="5">
        <v>42411.6875</v>
      </c>
      <c r="N187" s="5">
        <v>42411.75</v>
      </c>
      <c r="O187" s="4" t="s">
        <v>32</v>
      </c>
      <c r="P187" s="4" t="s">
        <v>33</v>
      </c>
      <c r="Q187" s="4" t="s">
        <v>76</v>
      </c>
      <c r="R187" s="6" t="s">
        <v>77</v>
      </c>
      <c r="S187" s="6" t="s">
        <v>77</v>
      </c>
      <c r="T187" s="4" t="s">
        <v>37</v>
      </c>
      <c r="U187" s="4" t="s">
        <v>37</v>
      </c>
      <c r="V187" s="4" t="s">
        <v>807</v>
      </c>
      <c r="W187" s="4" t="s">
        <v>37</v>
      </c>
      <c r="X187" s="4" t="s">
        <v>37</v>
      </c>
      <c r="Y187" s="4" t="s">
        <v>36</v>
      </c>
      <c r="Z187" s="4"/>
      <c r="AA187" s="4"/>
    </row>
    <row r="188" spans="1:27" s="1" customFormat="1" x14ac:dyDescent="0.3">
      <c r="A188" s="19">
        <v>19329</v>
      </c>
      <c r="B188" s="4" t="s">
        <v>386</v>
      </c>
      <c r="C188" s="4">
        <v>0</v>
      </c>
      <c r="D188" s="5">
        <v>42404.615497685183</v>
      </c>
      <c r="E188" s="5" t="s">
        <v>2081</v>
      </c>
      <c r="F188" s="4" t="s">
        <v>26</v>
      </c>
      <c r="G188" s="4" t="s">
        <v>387</v>
      </c>
      <c r="H188" s="4" t="s">
        <v>117</v>
      </c>
      <c r="I188" s="4" t="s">
        <v>118</v>
      </c>
      <c r="J188" s="4" t="s">
        <v>30</v>
      </c>
      <c r="K188" s="4" t="s">
        <v>31</v>
      </c>
      <c r="L188" s="5">
        <v>42423.541666666664</v>
      </c>
      <c r="M188" s="5">
        <v>42423.916666666664</v>
      </c>
      <c r="N188" s="5">
        <v>42424.25</v>
      </c>
      <c r="O188" s="4" t="s">
        <v>32</v>
      </c>
      <c r="P188" s="4" t="s">
        <v>33</v>
      </c>
      <c r="Q188" s="4" t="s">
        <v>251</v>
      </c>
      <c r="R188" s="4" t="s">
        <v>799</v>
      </c>
      <c r="S188" s="4" t="s">
        <v>799</v>
      </c>
      <c r="T188" s="4" t="s">
        <v>37</v>
      </c>
      <c r="U188" s="4" t="s">
        <v>37</v>
      </c>
      <c r="V188" s="4" t="s">
        <v>389</v>
      </c>
      <c r="W188" s="4"/>
      <c r="X188" s="4"/>
      <c r="Y188" s="4"/>
      <c r="Z188" s="4" t="s">
        <v>808</v>
      </c>
      <c r="AA188" s="4" t="s">
        <v>93</v>
      </c>
    </row>
    <row r="189" spans="1:27" s="1" customFormat="1" x14ac:dyDescent="0.3">
      <c r="A189" s="19">
        <v>19332</v>
      </c>
      <c r="B189" s="4" t="s">
        <v>527</v>
      </c>
      <c r="C189" s="4">
        <v>0</v>
      </c>
      <c r="D189" s="5">
        <v>42404.651365740741</v>
      </c>
      <c r="E189" s="5" t="s">
        <v>2081</v>
      </c>
      <c r="F189" s="4" t="s">
        <v>26</v>
      </c>
      <c r="G189" s="4" t="s">
        <v>224</v>
      </c>
      <c r="H189" s="4" t="s">
        <v>224</v>
      </c>
      <c r="I189" s="4" t="s">
        <v>216</v>
      </c>
      <c r="J189" s="4" t="s">
        <v>528</v>
      </c>
      <c r="K189" s="4" t="s">
        <v>31</v>
      </c>
      <c r="L189" s="5">
        <v>42427.916666666664</v>
      </c>
      <c r="M189" s="5">
        <v>42428.208333333336</v>
      </c>
      <c r="N189" s="5">
        <v>42428.25</v>
      </c>
      <c r="O189" s="4" t="s">
        <v>32</v>
      </c>
      <c r="P189" s="4" t="s">
        <v>89</v>
      </c>
      <c r="Q189" s="4" t="s">
        <v>50</v>
      </c>
      <c r="R189" s="6" t="s">
        <v>77</v>
      </c>
      <c r="S189" s="4"/>
      <c r="T189" s="4" t="s">
        <v>37</v>
      </c>
      <c r="U189" s="4" t="s">
        <v>37</v>
      </c>
      <c r="V189" s="4" t="s">
        <v>529</v>
      </c>
      <c r="W189" s="4" t="s">
        <v>37</v>
      </c>
      <c r="X189" s="4" t="s">
        <v>37</v>
      </c>
      <c r="Y189" s="4" t="s">
        <v>36</v>
      </c>
      <c r="Z189" s="4" t="s">
        <v>530</v>
      </c>
      <c r="AA189" s="4" t="s">
        <v>231</v>
      </c>
    </row>
    <row r="190" spans="1:27" s="1" customFormat="1" x14ac:dyDescent="0.3">
      <c r="A190" s="19">
        <v>19333</v>
      </c>
      <c r="B190" s="4" t="s">
        <v>809</v>
      </c>
      <c r="C190" s="4" t="s">
        <v>2106</v>
      </c>
      <c r="D190" s="5">
        <v>42404.660497685189</v>
      </c>
      <c r="E190" s="5" t="s">
        <v>2081</v>
      </c>
      <c r="F190" s="4" t="s">
        <v>26</v>
      </c>
      <c r="G190" s="4" t="s">
        <v>243</v>
      </c>
      <c r="H190" s="4" t="s">
        <v>244</v>
      </c>
      <c r="I190" s="4" t="s">
        <v>216</v>
      </c>
      <c r="J190" s="4" t="s">
        <v>30</v>
      </c>
      <c r="K190" s="4" t="s">
        <v>31</v>
      </c>
      <c r="L190" s="5">
        <v>42414.916666666664</v>
      </c>
      <c r="M190" s="5">
        <v>42415.125</v>
      </c>
      <c r="N190" s="5">
        <v>42415.375</v>
      </c>
      <c r="O190" s="4" t="s">
        <v>32</v>
      </c>
      <c r="P190" s="4" t="s">
        <v>33</v>
      </c>
      <c r="Q190" s="4" t="s">
        <v>34</v>
      </c>
      <c r="R190" s="4" t="s">
        <v>245</v>
      </c>
      <c r="S190" s="4" t="s">
        <v>245</v>
      </c>
      <c r="T190" s="4" t="s">
        <v>37</v>
      </c>
      <c r="U190" s="4" t="s">
        <v>37</v>
      </c>
      <c r="V190" s="4" t="s">
        <v>246</v>
      </c>
      <c r="W190" s="4" t="s">
        <v>37</v>
      </c>
      <c r="X190" s="4" t="s">
        <v>37</v>
      </c>
      <c r="Y190" s="4" t="s">
        <v>36</v>
      </c>
      <c r="Z190" s="4"/>
      <c r="AA190" s="4" t="s">
        <v>179</v>
      </c>
    </row>
    <row r="191" spans="1:27" s="1" customFormat="1" x14ac:dyDescent="0.3">
      <c r="A191" s="19">
        <v>19334</v>
      </c>
      <c r="B191" s="4" t="s">
        <v>810</v>
      </c>
      <c r="C191" s="4" t="s">
        <v>2111</v>
      </c>
      <c r="D191" s="5">
        <v>42404.680358796293</v>
      </c>
      <c r="E191" s="5" t="s">
        <v>2081</v>
      </c>
      <c r="F191" s="4" t="s">
        <v>26</v>
      </c>
      <c r="G191" s="4" t="s">
        <v>445</v>
      </c>
      <c r="H191" s="4" t="s">
        <v>811</v>
      </c>
      <c r="I191" s="4" t="s">
        <v>203</v>
      </c>
      <c r="J191" s="4" t="s">
        <v>49</v>
      </c>
      <c r="K191" s="4" t="s">
        <v>31</v>
      </c>
      <c r="L191" s="5">
        <v>42402.375</v>
      </c>
      <c r="M191" s="5">
        <v>42403.958333333336</v>
      </c>
      <c r="N191" s="5">
        <v>42404.25</v>
      </c>
      <c r="O191" s="4" t="s">
        <v>710</v>
      </c>
      <c r="P191" s="4" t="s">
        <v>89</v>
      </c>
      <c r="Q191" s="4" t="s">
        <v>76</v>
      </c>
      <c r="R191" s="4" t="s">
        <v>381</v>
      </c>
      <c r="S191" s="4" t="s">
        <v>381</v>
      </c>
      <c r="T191" s="4" t="s">
        <v>37</v>
      </c>
      <c r="U191" s="4" t="s">
        <v>37</v>
      </c>
      <c r="V191" s="4" t="s">
        <v>382</v>
      </c>
      <c r="W191" s="4" t="s">
        <v>37</v>
      </c>
      <c r="X191" s="4" t="s">
        <v>37</v>
      </c>
      <c r="Y191" s="4" t="s">
        <v>36</v>
      </c>
      <c r="Z191" s="4" t="s">
        <v>448</v>
      </c>
      <c r="AA191" s="4"/>
    </row>
    <row r="192" spans="1:27" s="1" customFormat="1" x14ac:dyDescent="0.3">
      <c r="A192" s="19">
        <v>19335</v>
      </c>
      <c r="B192" s="4" t="s">
        <v>812</v>
      </c>
      <c r="C192" s="4" t="s">
        <v>2116</v>
      </c>
      <c r="D192" s="5">
        <v>42405.450162037036</v>
      </c>
      <c r="E192" s="5" t="s">
        <v>2081</v>
      </c>
      <c r="F192" s="4" t="s">
        <v>26</v>
      </c>
      <c r="G192" s="4" t="s">
        <v>310</v>
      </c>
      <c r="H192" s="4" t="s">
        <v>310</v>
      </c>
      <c r="I192" s="4" t="s">
        <v>48</v>
      </c>
      <c r="J192" s="4" t="s">
        <v>311</v>
      </c>
      <c r="K192" s="4" t="s">
        <v>31</v>
      </c>
      <c r="L192" s="5">
        <v>42411.916666666664</v>
      </c>
      <c r="M192" s="5">
        <v>42412.041666666664</v>
      </c>
      <c r="N192" s="5">
        <v>42412.083333333336</v>
      </c>
      <c r="O192" s="4" t="s">
        <v>32</v>
      </c>
      <c r="P192" s="4" t="s">
        <v>149</v>
      </c>
      <c r="Q192" s="4" t="s">
        <v>34</v>
      </c>
      <c r="R192" s="6" t="s">
        <v>77</v>
      </c>
      <c r="S192" s="4" t="s">
        <v>813</v>
      </c>
      <c r="T192" s="4" t="s">
        <v>37</v>
      </c>
      <c r="U192" s="4" t="s">
        <v>37</v>
      </c>
      <c r="V192" s="4" t="s">
        <v>814</v>
      </c>
      <c r="W192" s="4" t="s">
        <v>37</v>
      </c>
      <c r="X192" s="4" t="s">
        <v>37</v>
      </c>
      <c r="Y192" s="4" t="s">
        <v>37</v>
      </c>
      <c r="Z192" s="4"/>
      <c r="AA192" s="4"/>
    </row>
    <row r="193" spans="1:27" s="1" customFormat="1" x14ac:dyDescent="0.3">
      <c r="A193" s="19">
        <v>19336</v>
      </c>
      <c r="B193" s="4" t="s">
        <v>815</v>
      </c>
      <c r="C193" s="4" t="s">
        <v>2124</v>
      </c>
      <c r="D193" s="5">
        <v>42405.487245370372</v>
      </c>
      <c r="E193" s="5" t="s">
        <v>2081</v>
      </c>
      <c r="F193" s="4" t="s">
        <v>26</v>
      </c>
      <c r="G193" s="4" t="s">
        <v>428</v>
      </c>
      <c r="H193" s="4" t="s">
        <v>428</v>
      </c>
      <c r="I193" s="4" t="s">
        <v>83</v>
      </c>
      <c r="J193" s="4" t="s">
        <v>816</v>
      </c>
      <c r="K193" s="4" t="s">
        <v>31</v>
      </c>
      <c r="L193" s="5">
        <v>42419.916666666664</v>
      </c>
      <c r="M193" s="5">
        <v>42420.25</v>
      </c>
      <c r="N193" s="5">
        <v>42424.50277777778</v>
      </c>
      <c r="O193" s="4" t="s">
        <v>32</v>
      </c>
      <c r="P193" s="4" t="s">
        <v>33</v>
      </c>
      <c r="Q193" s="4" t="s">
        <v>76</v>
      </c>
      <c r="R193" s="4" t="s">
        <v>817</v>
      </c>
      <c r="S193" s="4" t="s">
        <v>817</v>
      </c>
      <c r="T193" s="4" t="s">
        <v>37</v>
      </c>
      <c r="U193" s="4" t="s">
        <v>37</v>
      </c>
      <c r="V193" s="4" t="s">
        <v>395</v>
      </c>
      <c r="W193" s="4" t="s">
        <v>37</v>
      </c>
      <c r="X193" s="4" t="s">
        <v>37</v>
      </c>
      <c r="Y193" s="4" t="s">
        <v>36</v>
      </c>
      <c r="Z193" s="4">
        <v>168499</v>
      </c>
      <c r="AA193" s="4" t="s">
        <v>818</v>
      </c>
    </row>
    <row r="194" spans="1:27" s="1" customFormat="1" x14ac:dyDescent="0.3">
      <c r="A194" s="19">
        <v>19339</v>
      </c>
      <c r="B194" s="4" t="s">
        <v>819</v>
      </c>
      <c r="C194" s="4" t="s">
        <v>821</v>
      </c>
      <c r="D194" s="5">
        <v>42405.559918981482</v>
      </c>
      <c r="E194" s="5" t="s">
        <v>2081</v>
      </c>
      <c r="F194" s="4" t="s">
        <v>26</v>
      </c>
      <c r="G194" s="4" t="s">
        <v>224</v>
      </c>
      <c r="H194" s="4" t="s">
        <v>224</v>
      </c>
      <c r="I194" s="4" t="s">
        <v>216</v>
      </c>
      <c r="J194" s="4" t="s">
        <v>528</v>
      </c>
      <c r="K194" s="4" t="s">
        <v>31</v>
      </c>
      <c r="L194" s="5">
        <v>42426.916666666664</v>
      </c>
      <c r="M194" s="5">
        <v>42427.25</v>
      </c>
      <c r="N194" s="5">
        <v>42427.333333333336</v>
      </c>
      <c r="O194" s="4" t="s">
        <v>32</v>
      </c>
      <c r="P194" s="4" t="s">
        <v>33</v>
      </c>
      <c r="Q194" s="4" t="s">
        <v>50</v>
      </c>
      <c r="R194" s="6" t="s">
        <v>77</v>
      </c>
      <c r="S194" s="4" t="s">
        <v>820</v>
      </c>
      <c r="T194" s="4" t="s">
        <v>36</v>
      </c>
      <c r="U194" s="4" t="s">
        <v>37</v>
      </c>
      <c r="V194" s="4" t="s">
        <v>556</v>
      </c>
      <c r="W194" s="4" t="s">
        <v>37</v>
      </c>
      <c r="X194" s="4" t="s">
        <v>37</v>
      </c>
      <c r="Y194" s="4" t="s">
        <v>36</v>
      </c>
      <c r="Z194" s="4" t="s">
        <v>821</v>
      </c>
      <c r="AA194" s="4" t="s">
        <v>231</v>
      </c>
    </row>
    <row r="195" spans="1:27" s="1" customFormat="1" x14ac:dyDescent="0.3">
      <c r="A195" s="19">
        <v>19341</v>
      </c>
      <c r="B195" s="4" t="s">
        <v>822</v>
      </c>
      <c r="C195" s="4" t="s">
        <v>2125</v>
      </c>
      <c r="D195" s="5">
        <v>42405.62054398148</v>
      </c>
      <c r="E195" s="5" t="s">
        <v>2081</v>
      </c>
      <c r="F195" s="4" t="s">
        <v>26</v>
      </c>
      <c r="G195" s="4" t="s">
        <v>173</v>
      </c>
      <c r="H195" s="4" t="s">
        <v>173</v>
      </c>
      <c r="I195" s="4" t="s">
        <v>174</v>
      </c>
      <c r="J195" s="4" t="s">
        <v>175</v>
      </c>
      <c r="K195" s="4" t="s">
        <v>31</v>
      </c>
      <c r="L195" s="5">
        <v>42420.958333333336</v>
      </c>
      <c r="M195" s="5">
        <v>42421.208333333336</v>
      </c>
      <c r="N195" s="5">
        <v>42421.25</v>
      </c>
      <c r="O195" s="4" t="s">
        <v>32</v>
      </c>
      <c r="P195" s="4" t="s">
        <v>33</v>
      </c>
      <c r="Q195" s="4" t="s">
        <v>76</v>
      </c>
      <c r="R195" s="4" t="s">
        <v>196</v>
      </c>
      <c r="S195" s="4" t="s">
        <v>196</v>
      </c>
      <c r="T195" s="4" t="s">
        <v>37</v>
      </c>
      <c r="U195" s="4" t="s">
        <v>37</v>
      </c>
      <c r="V195" s="4" t="s">
        <v>182</v>
      </c>
      <c r="W195" s="4" t="s">
        <v>37</v>
      </c>
      <c r="X195" s="4" t="s">
        <v>37</v>
      </c>
      <c r="Y195" s="4" t="s">
        <v>36</v>
      </c>
      <c r="Z195" s="4" t="s">
        <v>178</v>
      </c>
      <c r="AA195" s="4" t="s">
        <v>179</v>
      </c>
    </row>
    <row r="196" spans="1:27" s="1" customFormat="1" x14ac:dyDescent="0.3">
      <c r="A196" s="19">
        <v>19344</v>
      </c>
      <c r="B196" s="4" t="s">
        <v>823</v>
      </c>
      <c r="C196" s="4" t="s">
        <v>592</v>
      </c>
      <c r="D196" s="5">
        <v>42405.656180555554</v>
      </c>
      <c r="E196" s="5" t="s">
        <v>2081</v>
      </c>
      <c r="F196" s="4" t="s">
        <v>26</v>
      </c>
      <c r="G196" s="4" t="s">
        <v>712</v>
      </c>
      <c r="H196" s="4" t="s">
        <v>712</v>
      </c>
      <c r="I196" s="4" t="s">
        <v>203</v>
      </c>
      <c r="J196" s="4" t="s">
        <v>49</v>
      </c>
      <c r="K196" s="4" t="s">
        <v>31</v>
      </c>
      <c r="L196" s="5">
        <v>42411.833333333336</v>
      </c>
      <c r="M196" s="5">
        <v>42411.999305555553</v>
      </c>
      <c r="N196" s="5">
        <v>42412.416666666664</v>
      </c>
      <c r="O196" s="4" t="s">
        <v>32</v>
      </c>
      <c r="P196" s="4" t="s">
        <v>33</v>
      </c>
      <c r="Q196" s="4" t="s">
        <v>34</v>
      </c>
      <c r="R196" s="4" t="s">
        <v>337</v>
      </c>
      <c r="S196" s="4" t="s">
        <v>337</v>
      </c>
      <c r="T196" s="4" t="s">
        <v>36</v>
      </c>
      <c r="U196" s="4" t="s">
        <v>36</v>
      </c>
      <c r="V196" s="4" t="s">
        <v>338</v>
      </c>
      <c r="W196" s="4" t="s">
        <v>37</v>
      </c>
      <c r="X196" s="4" t="s">
        <v>37</v>
      </c>
      <c r="Y196" s="4" t="s">
        <v>36</v>
      </c>
      <c r="Z196" s="4" t="s">
        <v>713</v>
      </c>
      <c r="AA196" s="4"/>
    </row>
    <row r="197" spans="1:27" s="1" customFormat="1" x14ac:dyDescent="0.3">
      <c r="A197" s="19">
        <v>19346</v>
      </c>
      <c r="B197" s="4" t="s">
        <v>824</v>
      </c>
      <c r="C197" s="4" t="s">
        <v>2111</v>
      </c>
      <c r="D197" s="5">
        <v>42405.702511574076</v>
      </c>
      <c r="E197" s="5" t="s">
        <v>2081</v>
      </c>
      <c r="F197" s="4" t="s">
        <v>26</v>
      </c>
      <c r="G197" s="4" t="s">
        <v>762</v>
      </c>
      <c r="H197" s="4" t="s">
        <v>763</v>
      </c>
      <c r="I197" s="4" t="s">
        <v>211</v>
      </c>
      <c r="J197" s="4" t="s">
        <v>49</v>
      </c>
      <c r="K197" s="4" t="s">
        <v>31</v>
      </c>
      <c r="L197" s="5">
        <v>42411.041666666664</v>
      </c>
      <c r="M197" s="5">
        <v>42411.1875</v>
      </c>
      <c r="N197" s="5">
        <v>42411.1875</v>
      </c>
      <c r="O197" s="4" t="s">
        <v>710</v>
      </c>
      <c r="P197" s="4" t="s">
        <v>89</v>
      </c>
      <c r="Q197" s="4" t="s">
        <v>76</v>
      </c>
      <c r="R197" s="4" t="s">
        <v>825</v>
      </c>
      <c r="S197" s="4" t="s">
        <v>825</v>
      </c>
      <c r="T197" s="4" t="s">
        <v>37</v>
      </c>
      <c r="U197" s="4" t="s">
        <v>37</v>
      </c>
      <c r="V197" s="4" t="s">
        <v>826</v>
      </c>
      <c r="W197" s="4" t="s">
        <v>37</v>
      </c>
      <c r="X197" s="4" t="s">
        <v>37</v>
      </c>
      <c r="Y197" s="4" t="s">
        <v>36</v>
      </c>
      <c r="Z197" s="4"/>
      <c r="AA197" s="4"/>
    </row>
    <row r="198" spans="1:27" s="1" customFormat="1" x14ac:dyDescent="0.3">
      <c r="A198" s="19">
        <v>19348</v>
      </c>
      <c r="B198" s="4" t="s">
        <v>827</v>
      </c>
      <c r="C198" s="4">
        <v>0</v>
      </c>
      <c r="D198" s="5">
        <v>42405.711423611108</v>
      </c>
      <c r="E198" s="5" t="s">
        <v>2081</v>
      </c>
      <c r="F198" s="4" t="s">
        <v>26</v>
      </c>
      <c r="G198" s="4" t="s">
        <v>98</v>
      </c>
      <c r="H198" s="4" t="s">
        <v>98</v>
      </c>
      <c r="I198" s="4" t="s">
        <v>88</v>
      </c>
      <c r="J198" s="4" t="s">
        <v>99</v>
      </c>
      <c r="K198" s="4" t="s">
        <v>31</v>
      </c>
      <c r="L198" s="5">
        <v>42420.833333333336</v>
      </c>
      <c r="M198" s="5">
        <v>42421.25</v>
      </c>
      <c r="N198" s="5">
        <v>42421.25</v>
      </c>
      <c r="O198" s="4" t="s">
        <v>32</v>
      </c>
      <c r="P198" s="4" t="s">
        <v>33</v>
      </c>
      <c r="Q198" s="4" t="s">
        <v>76</v>
      </c>
      <c r="R198" s="6" t="s">
        <v>77</v>
      </c>
      <c r="S198" s="6" t="s">
        <v>77</v>
      </c>
      <c r="T198" s="4" t="s">
        <v>37</v>
      </c>
      <c r="U198" s="4" t="s">
        <v>37</v>
      </c>
      <c r="V198" s="4" t="s">
        <v>828</v>
      </c>
      <c r="W198" s="4" t="s">
        <v>37</v>
      </c>
      <c r="X198" s="4" t="s">
        <v>37</v>
      </c>
      <c r="Y198" s="4" t="s">
        <v>36</v>
      </c>
      <c r="Z198" s="4"/>
      <c r="AA198" s="4" t="s">
        <v>102</v>
      </c>
    </row>
    <row r="199" spans="1:27" s="1" customFormat="1" x14ac:dyDescent="0.3">
      <c r="A199" s="19">
        <v>19349</v>
      </c>
      <c r="B199" s="4" t="s">
        <v>829</v>
      </c>
      <c r="C199" s="4">
        <v>0</v>
      </c>
      <c r="D199" s="5">
        <v>42405.722430555557</v>
      </c>
      <c r="E199" s="5" t="s">
        <v>2081</v>
      </c>
      <c r="F199" s="4" t="s">
        <v>26</v>
      </c>
      <c r="G199" s="4" t="s">
        <v>98</v>
      </c>
      <c r="H199" s="4" t="s">
        <v>98</v>
      </c>
      <c r="I199" s="4" t="s">
        <v>217</v>
      </c>
      <c r="J199" s="4" t="s">
        <v>256</v>
      </c>
      <c r="K199" s="4" t="s">
        <v>31</v>
      </c>
      <c r="L199" s="5">
        <v>42420.833333333336</v>
      </c>
      <c r="M199" s="5">
        <v>42421.25</v>
      </c>
      <c r="N199" s="5">
        <v>42421.25</v>
      </c>
      <c r="O199" s="4" t="s">
        <v>32</v>
      </c>
      <c r="P199" s="4" t="s">
        <v>33</v>
      </c>
      <c r="Q199" s="4" t="s">
        <v>76</v>
      </c>
      <c r="R199" s="6" t="s">
        <v>77</v>
      </c>
      <c r="S199" s="6" t="s">
        <v>77</v>
      </c>
      <c r="T199" s="4" t="s">
        <v>37</v>
      </c>
      <c r="U199" s="4" t="s">
        <v>37</v>
      </c>
      <c r="V199" s="4" t="s">
        <v>828</v>
      </c>
      <c r="W199" s="4" t="s">
        <v>37</v>
      </c>
      <c r="X199" s="4" t="s">
        <v>37</v>
      </c>
      <c r="Y199" s="4" t="s">
        <v>36</v>
      </c>
      <c r="Z199" s="4"/>
      <c r="AA199" s="4" t="s">
        <v>257</v>
      </c>
    </row>
    <row r="200" spans="1:27" s="1" customFormat="1" x14ac:dyDescent="0.3">
      <c r="A200" s="19">
        <v>19350</v>
      </c>
      <c r="B200" s="4" t="s">
        <v>830</v>
      </c>
      <c r="C200" s="4" t="s">
        <v>2116</v>
      </c>
      <c r="D200" s="5">
        <v>42405.762858796297</v>
      </c>
      <c r="E200" s="5" t="s">
        <v>2081</v>
      </c>
      <c r="F200" s="4" t="s">
        <v>26</v>
      </c>
      <c r="G200" s="4" t="s">
        <v>310</v>
      </c>
      <c r="H200" s="4" t="s">
        <v>310</v>
      </c>
      <c r="I200" s="4" t="s">
        <v>218</v>
      </c>
      <c r="J200" s="4" t="s">
        <v>543</v>
      </c>
      <c r="K200" s="4" t="s">
        <v>31</v>
      </c>
      <c r="L200" s="5">
        <v>42411.979166666664</v>
      </c>
      <c r="M200" s="5">
        <v>42412.083333333336</v>
      </c>
      <c r="N200" s="5">
        <v>42412.104166666664</v>
      </c>
      <c r="O200" s="4" t="s">
        <v>32</v>
      </c>
      <c r="P200" s="4" t="s">
        <v>149</v>
      </c>
      <c r="Q200" s="4" t="s">
        <v>76</v>
      </c>
      <c r="R200" s="6" t="s">
        <v>77</v>
      </c>
      <c r="S200" s="4" t="s">
        <v>831</v>
      </c>
      <c r="T200" s="4" t="s">
        <v>36</v>
      </c>
      <c r="U200" s="4" t="s">
        <v>37</v>
      </c>
      <c r="V200" s="4" t="s">
        <v>832</v>
      </c>
      <c r="W200" s="4" t="s">
        <v>37</v>
      </c>
      <c r="X200" s="4" t="s">
        <v>37</v>
      </c>
      <c r="Y200" s="4" t="s">
        <v>36</v>
      </c>
      <c r="Z200" s="4"/>
      <c r="AA200" s="4"/>
    </row>
    <row r="201" spans="1:27" s="1" customFormat="1" x14ac:dyDescent="0.3">
      <c r="A201" s="19">
        <v>19351</v>
      </c>
      <c r="B201" s="4" t="s">
        <v>232</v>
      </c>
      <c r="C201" s="4">
        <v>0</v>
      </c>
      <c r="D201" s="5">
        <v>42405.862858796296</v>
      </c>
      <c r="E201" s="5" t="s">
        <v>2081</v>
      </c>
      <c r="F201" s="4" t="s">
        <v>26</v>
      </c>
      <c r="G201" s="4" t="s">
        <v>233</v>
      </c>
      <c r="H201" s="4" t="s">
        <v>234</v>
      </c>
      <c r="I201" s="4" t="s">
        <v>56</v>
      </c>
      <c r="J201" s="4" t="s">
        <v>49</v>
      </c>
      <c r="K201" s="4" t="s">
        <v>31</v>
      </c>
      <c r="L201" s="5">
        <v>42411</v>
      </c>
      <c r="M201" s="5">
        <v>42411.25</v>
      </c>
      <c r="N201" s="5">
        <v>42411.291666666664</v>
      </c>
      <c r="O201" s="4" t="s">
        <v>32</v>
      </c>
      <c r="P201" s="4" t="s">
        <v>33</v>
      </c>
      <c r="Q201" s="4" t="s">
        <v>34</v>
      </c>
      <c r="R201" s="4" t="s">
        <v>833</v>
      </c>
      <c r="S201" s="4" t="s">
        <v>833</v>
      </c>
      <c r="T201" s="4" t="s">
        <v>36</v>
      </c>
      <c r="U201" s="4" t="s">
        <v>37</v>
      </c>
      <c r="V201" s="4" t="s">
        <v>236</v>
      </c>
      <c r="W201" s="4" t="s">
        <v>37</v>
      </c>
      <c r="X201" s="4" t="s">
        <v>37</v>
      </c>
      <c r="Y201" s="4" t="s">
        <v>36</v>
      </c>
      <c r="Z201" s="4"/>
      <c r="AA201" s="4"/>
    </row>
    <row r="202" spans="1:27" s="1" customFormat="1" x14ac:dyDescent="0.3">
      <c r="A202" s="19">
        <v>19352</v>
      </c>
      <c r="B202" s="4" t="s">
        <v>477</v>
      </c>
      <c r="C202" s="4">
        <v>0</v>
      </c>
      <c r="D202" s="5">
        <v>42408.454108796293</v>
      </c>
      <c r="E202" s="5" t="s">
        <v>2081</v>
      </c>
      <c r="F202" s="4" t="s">
        <v>26</v>
      </c>
      <c r="G202" s="4" t="s">
        <v>478</v>
      </c>
      <c r="H202" s="4" t="s">
        <v>478</v>
      </c>
      <c r="I202" s="4" t="s">
        <v>71</v>
      </c>
      <c r="J202" s="4" t="s">
        <v>479</v>
      </c>
      <c r="K202" s="4" t="s">
        <v>31</v>
      </c>
      <c r="L202" s="5">
        <v>42426.916666666664</v>
      </c>
      <c r="M202" s="5">
        <v>42426.958333333336</v>
      </c>
      <c r="N202" s="5">
        <v>42427.208333333336</v>
      </c>
      <c r="O202" s="4" t="s">
        <v>32</v>
      </c>
      <c r="P202" s="4" t="s">
        <v>33</v>
      </c>
      <c r="Q202" s="4" t="s">
        <v>50</v>
      </c>
      <c r="R202" s="6" t="s">
        <v>77</v>
      </c>
      <c r="S202" s="4" t="s">
        <v>230</v>
      </c>
      <c r="T202" s="4" t="s">
        <v>37</v>
      </c>
      <c r="U202" s="4" t="s">
        <v>37</v>
      </c>
      <c r="V202" s="4" t="s">
        <v>480</v>
      </c>
      <c r="W202" s="4"/>
      <c r="X202" s="4"/>
      <c r="Y202" s="4"/>
      <c r="Z202" s="4"/>
      <c r="AA202" s="4" t="s">
        <v>481</v>
      </c>
    </row>
    <row r="203" spans="1:27" s="1" customFormat="1" x14ac:dyDescent="0.3">
      <c r="A203" s="19">
        <v>19353</v>
      </c>
      <c r="B203" s="4" t="s">
        <v>834</v>
      </c>
      <c r="C203" s="4">
        <v>0</v>
      </c>
      <c r="D203" s="5">
        <v>42408.560393518521</v>
      </c>
      <c r="E203" s="5" t="s">
        <v>2081</v>
      </c>
      <c r="F203" s="4" t="s">
        <v>26</v>
      </c>
      <c r="G203" s="4" t="s">
        <v>478</v>
      </c>
      <c r="H203" s="4" t="s">
        <v>478</v>
      </c>
      <c r="I203" s="4" t="s">
        <v>71</v>
      </c>
      <c r="J203" s="4" t="s">
        <v>835</v>
      </c>
      <c r="K203" s="4" t="s">
        <v>31</v>
      </c>
      <c r="L203" s="5">
        <v>42426.958333333336</v>
      </c>
      <c r="M203" s="5">
        <v>42427.125</v>
      </c>
      <c r="N203" s="5">
        <v>42427.145833333336</v>
      </c>
      <c r="O203" s="4" t="s">
        <v>32</v>
      </c>
      <c r="P203" s="4" t="s">
        <v>33</v>
      </c>
      <c r="Q203" s="4" t="s">
        <v>34</v>
      </c>
      <c r="R203" s="6" t="s">
        <v>77</v>
      </c>
      <c r="S203" s="4" t="s">
        <v>836</v>
      </c>
      <c r="T203" s="4" t="s">
        <v>37</v>
      </c>
      <c r="U203" s="4" t="s">
        <v>37</v>
      </c>
      <c r="V203" s="4" t="s">
        <v>837</v>
      </c>
      <c r="W203" s="4" t="s">
        <v>37</v>
      </c>
      <c r="X203" s="4" t="s">
        <v>37</v>
      </c>
      <c r="Y203" s="4" t="s">
        <v>36</v>
      </c>
      <c r="Z203" s="4"/>
      <c r="AA203" s="4" t="s">
        <v>481</v>
      </c>
    </row>
    <row r="204" spans="1:27" s="1" customFormat="1" x14ac:dyDescent="0.3">
      <c r="A204" s="19">
        <v>19355</v>
      </c>
      <c r="B204" s="4" t="s">
        <v>838</v>
      </c>
      <c r="C204" s="4">
        <v>0</v>
      </c>
      <c r="D204" s="5">
        <v>42408.573240740741</v>
      </c>
      <c r="E204" s="5" t="s">
        <v>2081</v>
      </c>
      <c r="F204" s="4" t="s">
        <v>26</v>
      </c>
      <c r="G204" s="4" t="s">
        <v>306</v>
      </c>
      <c r="H204" s="4" t="s">
        <v>422</v>
      </c>
      <c r="I204" s="4" t="s">
        <v>118</v>
      </c>
      <c r="J204" s="4" t="s">
        <v>30</v>
      </c>
      <c r="K204" s="4" t="s">
        <v>31</v>
      </c>
      <c r="L204" s="5">
        <v>42415.916666666664</v>
      </c>
      <c r="M204" s="5">
        <v>42416.5</v>
      </c>
      <c r="N204" s="5">
        <v>42416.75</v>
      </c>
      <c r="O204" s="4" t="s">
        <v>32</v>
      </c>
      <c r="P204" s="4" t="s">
        <v>33</v>
      </c>
      <c r="Q204" s="4" t="s">
        <v>50</v>
      </c>
      <c r="R204" s="4" t="s">
        <v>839</v>
      </c>
      <c r="S204" s="6" t="s">
        <v>77</v>
      </c>
      <c r="T204" s="4" t="s">
        <v>37</v>
      </c>
      <c r="U204" s="4" t="s">
        <v>37</v>
      </c>
      <c r="V204" s="4" t="s">
        <v>292</v>
      </c>
      <c r="W204" s="4" t="s">
        <v>37</v>
      </c>
      <c r="X204" s="4" t="s">
        <v>37</v>
      </c>
      <c r="Y204" s="4" t="s">
        <v>36</v>
      </c>
      <c r="Z204" s="4" t="s">
        <v>840</v>
      </c>
      <c r="AA204" s="4" t="s">
        <v>93</v>
      </c>
    </row>
    <row r="205" spans="1:27" s="1" customFormat="1" x14ac:dyDescent="0.3">
      <c r="A205" s="19">
        <v>19356</v>
      </c>
      <c r="B205" s="4" t="s">
        <v>841</v>
      </c>
      <c r="C205" s="4" t="s">
        <v>2126</v>
      </c>
      <c r="D205" s="5">
        <v>42408.73777777778</v>
      </c>
      <c r="E205" s="5" t="s">
        <v>2081</v>
      </c>
      <c r="F205" s="4" t="s">
        <v>26</v>
      </c>
      <c r="G205" s="4" t="s">
        <v>173</v>
      </c>
      <c r="H205" s="4" t="s">
        <v>173</v>
      </c>
      <c r="I205" s="4" t="s">
        <v>174</v>
      </c>
      <c r="J205" s="4" t="s">
        <v>175</v>
      </c>
      <c r="K205" s="4" t="s">
        <v>31</v>
      </c>
      <c r="L205" s="5">
        <v>42426.958333333336</v>
      </c>
      <c r="M205" s="5">
        <v>42427.208333333336</v>
      </c>
      <c r="N205" s="5">
        <v>42427.25</v>
      </c>
      <c r="O205" s="4" t="s">
        <v>32</v>
      </c>
      <c r="P205" s="4" t="s">
        <v>33</v>
      </c>
      <c r="Q205" s="4" t="s">
        <v>76</v>
      </c>
      <c r="R205" s="4" t="s">
        <v>176</v>
      </c>
      <c r="S205" s="4" t="s">
        <v>176</v>
      </c>
      <c r="T205" s="4" t="s">
        <v>37</v>
      </c>
      <c r="U205" s="4" t="s">
        <v>37</v>
      </c>
      <c r="V205" s="4" t="s">
        <v>842</v>
      </c>
      <c r="W205" s="4" t="s">
        <v>37</v>
      </c>
      <c r="X205" s="4" t="s">
        <v>37</v>
      </c>
      <c r="Y205" s="4" t="s">
        <v>36</v>
      </c>
      <c r="Z205" s="4" t="s">
        <v>178</v>
      </c>
      <c r="AA205" s="4" t="s">
        <v>179</v>
      </c>
    </row>
    <row r="206" spans="1:27" s="1" customFormat="1" x14ac:dyDescent="0.3">
      <c r="A206" s="19">
        <v>19357</v>
      </c>
      <c r="B206" s="4" t="s">
        <v>843</v>
      </c>
      <c r="C206" s="4">
        <v>0</v>
      </c>
      <c r="D206" s="5">
        <v>42410.483090277776</v>
      </c>
      <c r="E206" s="5" t="s">
        <v>2081</v>
      </c>
      <c r="F206" s="4" t="s">
        <v>26</v>
      </c>
      <c r="G206" s="4" t="s">
        <v>224</v>
      </c>
      <c r="H206" s="4" t="s">
        <v>224</v>
      </c>
      <c r="I206" s="4" t="s">
        <v>216</v>
      </c>
      <c r="J206" s="4" t="s">
        <v>528</v>
      </c>
      <c r="K206" s="4" t="s">
        <v>31</v>
      </c>
      <c r="L206" s="5">
        <v>42433.916666666664</v>
      </c>
      <c r="M206" s="5">
        <v>42434.208333333336</v>
      </c>
      <c r="N206" s="5">
        <v>42434.25</v>
      </c>
      <c r="O206" s="4" t="s">
        <v>32</v>
      </c>
      <c r="P206" s="4" t="s">
        <v>33</v>
      </c>
      <c r="Q206" s="4" t="s">
        <v>34</v>
      </c>
      <c r="R206" s="6" t="s">
        <v>77</v>
      </c>
      <c r="S206" s="4" t="s">
        <v>844</v>
      </c>
      <c r="T206" s="4" t="s">
        <v>37</v>
      </c>
      <c r="U206" s="4" t="s">
        <v>37</v>
      </c>
      <c r="V206" s="4" t="s">
        <v>556</v>
      </c>
      <c r="W206" s="4" t="s">
        <v>37</v>
      </c>
      <c r="X206" s="4" t="s">
        <v>37</v>
      </c>
      <c r="Y206" s="4" t="s">
        <v>36</v>
      </c>
      <c r="Z206" s="4" t="s">
        <v>557</v>
      </c>
      <c r="AA206" s="4" t="s">
        <v>231</v>
      </c>
    </row>
    <row r="207" spans="1:27" s="1" customFormat="1" x14ac:dyDescent="0.3">
      <c r="A207" s="19">
        <v>19359</v>
      </c>
      <c r="B207" s="4" t="s">
        <v>352</v>
      </c>
      <c r="C207" s="4">
        <v>0</v>
      </c>
      <c r="D207" s="5">
        <v>42410.506863425922</v>
      </c>
      <c r="E207" s="5" t="s">
        <v>2081</v>
      </c>
      <c r="F207" s="4" t="s">
        <v>26</v>
      </c>
      <c r="G207" s="4" t="s">
        <v>168</v>
      </c>
      <c r="H207" s="4" t="s">
        <v>168</v>
      </c>
      <c r="I207" s="4" t="s">
        <v>221</v>
      </c>
      <c r="J207" s="4" t="s">
        <v>30</v>
      </c>
      <c r="K207" s="4" t="s">
        <v>31</v>
      </c>
      <c r="L207" s="5">
        <v>42426.875</v>
      </c>
      <c r="M207" s="5">
        <v>42427.166666666664</v>
      </c>
      <c r="N207" s="5">
        <v>42427.208333333336</v>
      </c>
      <c r="O207" s="4" t="s">
        <v>32</v>
      </c>
      <c r="P207" s="4" t="s">
        <v>33</v>
      </c>
      <c r="Q207" s="4" t="s">
        <v>34</v>
      </c>
      <c r="R207" s="6" t="s">
        <v>77</v>
      </c>
      <c r="S207" s="4" t="s">
        <v>323</v>
      </c>
      <c r="T207" s="4" t="s">
        <v>36</v>
      </c>
      <c r="U207" s="4" t="s">
        <v>37</v>
      </c>
      <c r="V207" s="4" t="s">
        <v>171</v>
      </c>
      <c r="W207" s="4" t="s">
        <v>37</v>
      </c>
      <c r="X207" s="4" t="s">
        <v>37</v>
      </c>
      <c r="Y207" s="4" t="s">
        <v>36</v>
      </c>
      <c r="Z207" s="4"/>
      <c r="AA207" s="4" t="s">
        <v>93</v>
      </c>
    </row>
    <row r="208" spans="1:27" s="1" customFormat="1" x14ac:dyDescent="0.3">
      <c r="A208" s="19">
        <v>19360</v>
      </c>
      <c r="B208" s="4" t="s">
        <v>845</v>
      </c>
      <c r="C208" s="4">
        <v>0</v>
      </c>
      <c r="D208" s="5">
        <v>42410.546701388892</v>
      </c>
      <c r="E208" s="5" t="s">
        <v>2081</v>
      </c>
      <c r="F208" s="4" t="s">
        <v>26</v>
      </c>
      <c r="G208" s="4" t="s">
        <v>244</v>
      </c>
      <c r="H208" s="4" t="s">
        <v>422</v>
      </c>
      <c r="I208" s="4" t="s">
        <v>118</v>
      </c>
      <c r="J208" s="4" t="s">
        <v>30</v>
      </c>
      <c r="K208" s="4" t="s">
        <v>31</v>
      </c>
      <c r="L208" s="5">
        <v>42411.916666666664</v>
      </c>
      <c r="M208" s="5">
        <v>42412.5</v>
      </c>
      <c r="N208" s="5">
        <v>42412.75</v>
      </c>
      <c r="O208" s="4" t="s">
        <v>250</v>
      </c>
      <c r="P208" s="4" t="s">
        <v>89</v>
      </c>
      <c r="Q208" s="4" t="s">
        <v>119</v>
      </c>
      <c r="R208" s="6" t="s">
        <v>77</v>
      </c>
      <c r="S208" s="4" t="s">
        <v>517</v>
      </c>
      <c r="T208" s="4" t="s">
        <v>36</v>
      </c>
      <c r="U208" s="4" t="s">
        <v>37</v>
      </c>
      <c r="V208" s="4" t="s">
        <v>365</v>
      </c>
      <c r="W208" s="4" t="s">
        <v>37</v>
      </c>
      <c r="X208" s="4" t="s">
        <v>37</v>
      </c>
      <c r="Y208" s="4" t="s">
        <v>36</v>
      </c>
      <c r="Z208" s="4" t="s">
        <v>39</v>
      </c>
      <c r="AA208" s="4" t="s">
        <v>179</v>
      </c>
    </row>
    <row r="209" spans="1:27" s="1" customFormat="1" x14ac:dyDescent="0.3">
      <c r="A209" s="19">
        <v>19362</v>
      </c>
      <c r="B209" s="4" t="s">
        <v>334</v>
      </c>
      <c r="C209" s="4">
        <v>0</v>
      </c>
      <c r="D209" s="5">
        <v>42410.60119212963</v>
      </c>
      <c r="E209" s="5" t="s">
        <v>2081</v>
      </c>
      <c r="F209" s="4" t="s">
        <v>26</v>
      </c>
      <c r="G209" s="4" t="s">
        <v>168</v>
      </c>
      <c r="H209" s="4" t="s">
        <v>168</v>
      </c>
      <c r="I209" s="4" t="s">
        <v>169</v>
      </c>
      <c r="J209" s="4" t="s">
        <v>30</v>
      </c>
      <c r="K209" s="4" t="s">
        <v>31</v>
      </c>
      <c r="L209" s="5">
        <v>42426.875</v>
      </c>
      <c r="M209" s="5">
        <v>42427.166666666664</v>
      </c>
      <c r="N209" s="5">
        <v>42427.208333333336</v>
      </c>
      <c r="O209" s="4" t="s">
        <v>32</v>
      </c>
      <c r="P209" s="4" t="s">
        <v>33</v>
      </c>
      <c r="Q209" s="4" t="s">
        <v>34</v>
      </c>
      <c r="R209" s="6" t="s">
        <v>77</v>
      </c>
      <c r="S209" s="4" t="s">
        <v>323</v>
      </c>
      <c r="T209" s="4" t="s">
        <v>36</v>
      </c>
      <c r="U209" s="4" t="s">
        <v>37</v>
      </c>
      <c r="V209" s="4" t="s">
        <v>171</v>
      </c>
      <c r="W209" s="4" t="s">
        <v>37</v>
      </c>
      <c r="X209" s="4" t="s">
        <v>37</v>
      </c>
      <c r="Y209" s="4" t="s">
        <v>36</v>
      </c>
      <c r="Z209" s="4"/>
      <c r="AA209" s="4" t="s">
        <v>93</v>
      </c>
    </row>
    <row r="210" spans="1:27" s="1" customFormat="1" x14ac:dyDescent="0.3">
      <c r="A210" s="19">
        <v>19364</v>
      </c>
      <c r="B210" s="4" t="s">
        <v>194</v>
      </c>
      <c r="C210" s="4">
        <v>0</v>
      </c>
      <c r="D210" s="5">
        <v>42410.706921296296</v>
      </c>
      <c r="E210" s="5" t="s">
        <v>2081</v>
      </c>
      <c r="F210" s="4" t="s">
        <v>26</v>
      </c>
      <c r="G210" s="4" t="s">
        <v>152</v>
      </c>
      <c r="H210" s="4" t="s">
        <v>152</v>
      </c>
      <c r="I210" s="4" t="s">
        <v>158</v>
      </c>
      <c r="J210" s="4" t="s">
        <v>154</v>
      </c>
      <c r="K210" s="4" t="s">
        <v>31</v>
      </c>
      <c r="L210" s="5">
        <v>42419.916666666664</v>
      </c>
      <c r="M210" s="5">
        <v>42420.020833333336</v>
      </c>
      <c r="N210" s="5">
        <v>42420.041666666664</v>
      </c>
      <c r="O210" s="4" t="s">
        <v>32</v>
      </c>
      <c r="P210" s="4" t="s">
        <v>33</v>
      </c>
      <c r="Q210" s="4" t="s">
        <v>76</v>
      </c>
      <c r="R210" s="6" t="s">
        <v>77</v>
      </c>
      <c r="S210" s="4" t="s">
        <v>409</v>
      </c>
      <c r="T210" s="4" t="s">
        <v>37</v>
      </c>
      <c r="U210" s="4" t="s">
        <v>37</v>
      </c>
      <c r="V210" s="4" t="s">
        <v>846</v>
      </c>
      <c r="W210" s="4" t="s">
        <v>37</v>
      </c>
      <c r="X210" s="4" t="s">
        <v>37</v>
      </c>
      <c r="Y210" s="4" t="s">
        <v>36</v>
      </c>
      <c r="Z210" s="4"/>
      <c r="AA210" s="4" t="s">
        <v>157</v>
      </c>
    </row>
    <row r="211" spans="1:27" s="1" customFormat="1" x14ac:dyDescent="0.3">
      <c r="A211" s="19">
        <v>19366</v>
      </c>
      <c r="B211" s="4" t="s">
        <v>612</v>
      </c>
      <c r="C211" s="4" t="s">
        <v>39</v>
      </c>
      <c r="D211" s="5">
        <v>42411.455381944441</v>
      </c>
      <c r="E211" s="5" t="s">
        <v>2081</v>
      </c>
      <c r="F211" s="4" t="s">
        <v>26</v>
      </c>
      <c r="G211" s="4" t="s">
        <v>743</v>
      </c>
      <c r="H211" s="4" t="s">
        <v>743</v>
      </c>
      <c r="I211" s="4" t="s">
        <v>48</v>
      </c>
      <c r="J211" s="4" t="s">
        <v>43</v>
      </c>
      <c r="K211" s="4" t="s">
        <v>31</v>
      </c>
      <c r="L211" s="5">
        <v>42417.583333333336</v>
      </c>
      <c r="M211" s="5">
        <v>42417.75</v>
      </c>
      <c r="N211" s="5">
        <v>42417.75</v>
      </c>
      <c r="O211" s="4" t="s">
        <v>32</v>
      </c>
      <c r="P211" s="4" t="s">
        <v>149</v>
      </c>
      <c r="Q211" s="4" t="s">
        <v>76</v>
      </c>
      <c r="R211" s="4" t="s">
        <v>39</v>
      </c>
      <c r="S211" s="4" t="s">
        <v>39</v>
      </c>
      <c r="T211" s="4" t="s">
        <v>37</v>
      </c>
      <c r="U211" s="4" t="s">
        <v>37</v>
      </c>
      <c r="V211" s="4" t="s">
        <v>287</v>
      </c>
      <c r="W211" s="4" t="s">
        <v>37</v>
      </c>
      <c r="X211" s="4" t="s">
        <v>37</v>
      </c>
      <c r="Y211" s="4" t="s">
        <v>36</v>
      </c>
      <c r="Z211" s="4" t="s">
        <v>39</v>
      </c>
      <c r="AA211" s="4" t="s">
        <v>744</v>
      </c>
    </row>
    <row r="212" spans="1:27" s="1" customFormat="1" x14ac:dyDescent="0.3">
      <c r="A212" s="19">
        <v>19368</v>
      </c>
      <c r="B212" s="4" t="s">
        <v>229</v>
      </c>
      <c r="C212" s="4">
        <v>0</v>
      </c>
      <c r="D212" s="5">
        <v>42411.470520833333</v>
      </c>
      <c r="E212" s="5" t="s">
        <v>2081</v>
      </c>
      <c r="F212" s="4" t="s">
        <v>26</v>
      </c>
      <c r="G212" s="4" t="s">
        <v>656</v>
      </c>
      <c r="H212" s="4" t="s">
        <v>656</v>
      </c>
      <c r="I212" s="4" t="s">
        <v>203</v>
      </c>
      <c r="J212" s="4" t="s">
        <v>657</v>
      </c>
      <c r="K212" s="4" t="s">
        <v>31</v>
      </c>
      <c r="L212" s="5">
        <v>42427.333333333336</v>
      </c>
      <c r="M212" s="5">
        <v>42427.75</v>
      </c>
      <c r="N212" s="5">
        <v>42429.5</v>
      </c>
      <c r="O212" s="4" t="s">
        <v>32</v>
      </c>
      <c r="P212" s="4" t="s">
        <v>33</v>
      </c>
      <c r="Q212" s="4" t="s">
        <v>119</v>
      </c>
      <c r="R212" s="4" t="s">
        <v>658</v>
      </c>
      <c r="S212" s="4" t="s">
        <v>658</v>
      </c>
      <c r="T212" s="4" t="s">
        <v>37</v>
      </c>
      <c r="U212" s="4" t="s">
        <v>37</v>
      </c>
      <c r="V212" s="4" t="s">
        <v>847</v>
      </c>
      <c r="W212" s="4" t="s">
        <v>37</v>
      </c>
      <c r="X212" s="4" t="s">
        <v>37</v>
      </c>
      <c r="Y212" s="4" t="s">
        <v>36</v>
      </c>
      <c r="Z212" s="4"/>
      <c r="AA212" s="4" t="s">
        <v>660</v>
      </c>
    </row>
    <row r="213" spans="1:27" s="1" customFormat="1" x14ac:dyDescent="0.3">
      <c r="A213" s="19">
        <v>19370</v>
      </c>
      <c r="B213" s="4" t="s">
        <v>848</v>
      </c>
      <c r="C213" s="4">
        <v>0</v>
      </c>
      <c r="D213" s="5">
        <v>42411.572766203702</v>
      </c>
      <c r="E213" s="5" t="s">
        <v>2081</v>
      </c>
      <c r="F213" s="4" t="s">
        <v>26</v>
      </c>
      <c r="G213" s="4" t="s">
        <v>849</v>
      </c>
      <c r="H213" s="4" t="s">
        <v>849</v>
      </c>
      <c r="I213" s="4" t="s">
        <v>218</v>
      </c>
      <c r="J213" s="4" t="s">
        <v>185</v>
      </c>
      <c r="K213" s="4" t="s">
        <v>31</v>
      </c>
      <c r="L213" s="5">
        <v>42425.916666666664</v>
      </c>
      <c r="M213" s="5">
        <v>42428.208333333336</v>
      </c>
      <c r="N213" s="5">
        <v>42428.25</v>
      </c>
      <c r="O213" s="4" t="s">
        <v>32</v>
      </c>
      <c r="P213" s="4" t="s">
        <v>33</v>
      </c>
      <c r="Q213" s="4" t="s">
        <v>76</v>
      </c>
      <c r="R213" s="4" t="s">
        <v>850</v>
      </c>
      <c r="S213" s="4" t="s">
        <v>850</v>
      </c>
      <c r="T213" s="4" t="s">
        <v>37</v>
      </c>
      <c r="U213" s="4" t="s">
        <v>37</v>
      </c>
      <c r="V213" s="4" t="s">
        <v>659</v>
      </c>
      <c r="W213" s="4" t="s">
        <v>37</v>
      </c>
      <c r="X213" s="4" t="s">
        <v>37</v>
      </c>
      <c r="Y213" s="4" t="s">
        <v>36</v>
      </c>
      <c r="Z213" s="4"/>
      <c r="AA213" s="4" t="s">
        <v>187</v>
      </c>
    </row>
    <row r="214" spans="1:27" s="1" customFormat="1" x14ac:dyDescent="0.3">
      <c r="A214" s="19">
        <v>19371</v>
      </c>
      <c r="B214" s="4" t="s">
        <v>851</v>
      </c>
      <c r="C214" s="4">
        <v>0</v>
      </c>
      <c r="D214" s="5">
        <v>42411.583449074074</v>
      </c>
      <c r="E214" s="5" t="s">
        <v>2081</v>
      </c>
      <c r="F214" s="4" t="s">
        <v>26</v>
      </c>
      <c r="G214" s="4" t="s">
        <v>852</v>
      </c>
      <c r="H214" s="4" t="s">
        <v>852</v>
      </c>
      <c r="I214" s="4" t="s">
        <v>213</v>
      </c>
      <c r="J214" s="4" t="s">
        <v>853</v>
      </c>
      <c r="K214" s="4" t="s">
        <v>31</v>
      </c>
      <c r="L214" s="5">
        <v>42428.916666666664</v>
      </c>
      <c r="M214" s="5">
        <v>42429</v>
      </c>
      <c r="N214" s="5">
        <v>42429.125</v>
      </c>
      <c r="O214" s="4" t="s">
        <v>32</v>
      </c>
      <c r="P214" s="4" t="s">
        <v>33</v>
      </c>
      <c r="Q214" s="4" t="s">
        <v>76</v>
      </c>
      <c r="R214" s="6" t="s">
        <v>77</v>
      </c>
      <c r="S214" s="6" t="s">
        <v>77</v>
      </c>
      <c r="T214" s="4" t="s">
        <v>37</v>
      </c>
      <c r="U214" s="4" t="s">
        <v>37</v>
      </c>
      <c r="V214" s="4" t="s">
        <v>177</v>
      </c>
      <c r="W214" s="4" t="s">
        <v>37</v>
      </c>
      <c r="X214" s="4" t="s">
        <v>37</v>
      </c>
      <c r="Y214" s="4" t="s">
        <v>36</v>
      </c>
      <c r="Z214" s="4"/>
      <c r="AA214" s="4" t="s">
        <v>676</v>
      </c>
    </row>
    <row r="215" spans="1:27" s="1" customFormat="1" x14ac:dyDescent="0.3">
      <c r="A215" s="19">
        <v>19372</v>
      </c>
      <c r="B215" s="4" t="s">
        <v>854</v>
      </c>
      <c r="C215" s="4">
        <v>0</v>
      </c>
      <c r="D215" s="5">
        <v>42411.600972222222</v>
      </c>
      <c r="E215" s="5" t="s">
        <v>2081</v>
      </c>
      <c r="F215" s="4" t="s">
        <v>26</v>
      </c>
      <c r="G215" s="4" t="s">
        <v>852</v>
      </c>
      <c r="H215" s="4" t="s">
        <v>852</v>
      </c>
      <c r="I215" s="4" t="s">
        <v>213</v>
      </c>
      <c r="J215" s="4" t="s">
        <v>853</v>
      </c>
      <c r="K215" s="4" t="s">
        <v>31</v>
      </c>
      <c r="L215" s="5">
        <v>42429.000694444447</v>
      </c>
      <c r="M215" s="5">
        <v>42429.208333333336</v>
      </c>
      <c r="N215" s="5">
        <v>42703.25</v>
      </c>
      <c r="O215" s="4" t="s">
        <v>32</v>
      </c>
      <c r="P215" s="4" t="s">
        <v>33</v>
      </c>
      <c r="Q215" s="4" t="s">
        <v>76</v>
      </c>
      <c r="R215" s="6" t="s">
        <v>77</v>
      </c>
      <c r="S215" s="6" t="s">
        <v>77</v>
      </c>
      <c r="T215" s="4" t="s">
        <v>37</v>
      </c>
      <c r="U215" s="4" t="s">
        <v>37</v>
      </c>
      <c r="V215" s="4" t="s">
        <v>177</v>
      </c>
      <c r="W215" s="4" t="s">
        <v>37</v>
      </c>
      <c r="X215" s="4" t="s">
        <v>37</v>
      </c>
      <c r="Y215" s="4" t="s">
        <v>36</v>
      </c>
      <c r="Z215" s="4"/>
      <c r="AA215" s="4" t="s">
        <v>676</v>
      </c>
    </row>
    <row r="216" spans="1:27" s="1" customFormat="1" x14ac:dyDescent="0.3">
      <c r="A216" s="19">
        <v>19373</v>
      </c>
      <c r="B216" s="4" t="s">
        <v>855</v>
      </c>
      <c r="C216" s="4">
        <v>0</v>
      </c>
      <c r="D216" s="5">
        <v>42411.610995370371</v>
      </c>
      <c r="E216" s="5" t="s">
        <v>2081</v>
      </c>
      <c r="F216" s="4" t="s">
        <v>26</v>
      </c>
      <c r="G216" s="4" t="s">
        <v>856</v>
      </c>
      <c r="H216" s="4" t="s">
        <v>422</v>
      </c>
      <c r="I216" s="4" t="s">
        <v>118</v>
      </c>
      <c r="J216" s="4" t="s">
        <v>30</v>
      </c>
      <c r="K216" s="4" t="s">
        <v>31</v>
      </c>
      <c r="L216" s="5">
        <v>42416.916666666664</v>
      </c>
      <c r="M216" s="5">
        <v>42417.5</v>
      </c>
      <c r="N216" s="5">
        <v>42417.75</v>
      </c>
      <c r="O216" s="4" t="s">
        <v>32</v>
      </c>
      <c r="P216" s="4" t="s">
        <v>33</v>
      </c>
      <c r="Q216" s="4" t="s">
        <v>76</v>
      </c>
      <c r="R216" s="6" t="s">
        <v>77</v>
      </c>
      <c r="S216" s="4" t="s">
        <v>517</v>
      </c>
      <c r="T216" s="4" t="s">
        <v>36</v>
      </c>
      <c r="U216" s="4" t="s">
        <v>37</v>
      </c>
      <c r="V216" s="4" t="s">
        <v>365</v>
      </c>
      <c r="W216" s="4"/>
      <c r="X216" s="4"/>
      <c r="Y216" s="4"/>
      <c r="Z216" s="4"/>
      <c r="AA216" s="4" t="s">
        <v>40</v>
      </c>
    </row>
    <row r="217" spans="1:27" s="1" customFormat="1" x14ac:dyDescent="0.3">
      <c r="A217" s="19">
        <v>19375</v>
      </c>
      <c r="B217" s="4" t="s">
        <v>857</v>
      </c>
      <c r="C217" s="4" t="s">
        <v>2127</v>
      </c>
      <c r="D217" s="5">
        <v>42411.63554398148</v>
      </c>
      <c r="E217" s="5" t="s">
        <v>2081</v>
      </c>
      <c r="F217" s="4" t="s">
        <v>26</v>
      </c>
      <c r="G217" s="4" t="s">
        <v>435</v>
      </c>
      <c r="H217" s="4" t="s">
        <v>435</v>
      </c>
      <c r="I217" s="4" t="s">
        <v>118</v>
      </c>
      <c r="J217" s="4" t="s">
        <v>30</v>
      </c>
      <c r="K217" s="4" t="s">
        <v>31</v>
      </c>
      <c r="L217" s="5">
        <v>42415.333333333336</v>
      </c>
      <c r="M217" s="5">
        <v>42415.5</v>
      </c>
      <c r="N217" s="5">
        <v>42415.63958333333</v>
      </c>
      <c r="O217" s="4" t="s">
        <v>250</v>
      </c>
      <c r="P217" s="4" t="s">
        <v>149</v>
      </c>
      <c r="Q217" s="4" t="s">
        <v>119</v>
      </c>
      <c r="R217" s="4" t="s">
        <v>436</v>
      </c>
      <c r="S217" s="4" t="s">
        <v>436</v>
      </c>
      <c r="T217" s="4" t="s">
        <v>37</v>
      </c>
      <c r="U217" s="4" t="s">
        <v>37</v>
      </c>
      <c r="V217" s="4" t="s">
        <v>858</v>
      </c>
      <c r="W217" s="4" t="s">
        <v>37</v>
      </c>
      <c r="X217" s="4" t="s">
        <v>37</v>
      </c>
      <c r="Y217" s="4" t="s">
        <v>36</v>
      </c>
      <c r="Z217" s="4" t="s">
        <v>859</v>
      </c>
      <c r="AA217" s="4" t="s">
        <v>179</v>
      </c>
    </row>
    <row r="218" spans="1:27" s="1" customFormat="1" x14ac:dyDescent="0.3">
      <c r="A218" s="19">
        <v>19376</v>
      </c>
      <c r="B218" s="4" t="s">
        <v>288</v>
      </c>
      <c r="C218" s="4">
        <v>0</v>
      </c>
      <c r="D218" s="5">
        <v>42412.392604166664</v>
      </c>
      <c r="E218" s="5" t="s">
        <v>2081</v>
      </c>
      <c r="F218" s="4" t="s">
        <v>26</v>
      </c>
      <c r="G218" s="4" t="s">
        <v>289</v>
      </c>
      <c r="H218" s="4" t="s">
        <v>422</v>
      </c>
      <c r="I218" s="4" t="s">
        <v>118</v>
      </c>
      <c r="J218" s="4" t="s">
        <v>30</v>
      </c>
      <c r="K218" s="4" t="s">
        <v>31</v>
      </c>
      <c r="L218" s="5">
        <v>42422.916666666664</v>
      </c>
      <c r="M218" s="5">
        <v>42423.5</v>
      </c>
      <c r="N218" s="5">
        <v>42423.75</v>
      </c>
      <c r="O218" s="4" t="s">
        <v>32</v>
      </c>
      <c r="P218" s="4" t="s">
        <v>33</v>
      </c>
      <c r="Q218" s="4" t="s">
        <v>50</v>
      </c>
      <c r="R218" s="4" t="s">
        <v>291</v>
      </c>
      <c r="S218" s="6" t="s">
        <v>77</v>
      </c>
      <c r="T218" s="4" t="s">
        <v>37</v>
      </c>
      <c r="U218" s="4" t="s">
        <v>37</v>
      </c>
      <c r="V218" s="4" t="s">
        <v>292</v>
      </c>
      <c r="W218" s="4" t="s">
        <v>37</v>
      </c>
      <c r="X218" s="4" t="s">
        <v>37</v>
      </c>
      <c r="Y218" s="4" t="s">
        <v>36</v>
      </c>
      <c r="Z218" s="4" t="s">
        <v>860</v>
      </c>
      <c r="AA218" s="4" t="s">
        <v>40</v>
      </c>
    </row>
    <row r="219" spans="1:27" s="1" customFormat="1" x14ac:dyDescent="0.3">
      <c r="A219" s="19">
        <v>19377</v>
      </c>
      <c r="B219" s="4" t="s">
        <v>861</v>
      </c>
      <c r="C219" s="4">
        <v>0</v>
      </c>
      <c r="D219" s="5">
        <v>42412.403287037036</v>
      </c>
      <c r="E219" s="5" t="s">
        <v>2081</v>
      </c>
      <c r="F219" s="4" t="s">
        <v>26</v>
      </c>
      <c r="G219" s="4" t="s">
        <v>862</v>
      </c>
      <c r="H219" s="4" t="s">
        <v>862</v>
      </c>
      <c r="I219" s="4" t="s">
        <v>214</v>
      </c>
      <c r="J219" s="4" t="s">
        <v>863</v>
      </c>
      <c r="K219" s="4" t="s">
        <v>31</v>
      </c>
      <c r="L219" s="5">
        <v>42425.996527777781</v>
      </c>
      <c r="M219" s="5">
        <v>42426.125</v>
      </c>
      <c r="N219" s="5">
        <v>42426.416666666664</v>
      </c>
      <c r="O219" s="4" t="s">
        <v>32</v>
      </c>
      <c r="P219" s="4" t="s">
        <v>33</v>
      </c>
      <c r="Q219" s="4" t="s">
        <v>50</v>
      </c>
      <c r="R219" s="6" t="s">
        <v>77</v>
      </c>
      <c r="S219" s="4" t="s">
        <v>323</v>
      </c>
      <c r="T219" s="4" t="s">
        <v>37</v>
      </c>
      <c r="U219" s="4" t="s">
        <v>37</v>
      </c>
      <c r="V219" s="4" t="s">
        <v>864</v>
      </c>
      <c r="W219" s="4" t="s">
        <v>37</v>
      </c>
      <c r="X219" s="4" t="s">
        <v>37</v>
      </c>
      <c r="Y219" s="4" t="s">
        <v>36</v>
      </c>
      <c r="Z219" s="4"/>
      <c r="AA219" s="4" t="s">
        <v>40</v>
      </c>
    </row>
    <row r="220" spans="1:27" s="1" customFormat="1" x14ac:dyDescent="0.3">
      <c r="A220" s="19">
        <v>19378</v>
      </c>
      <c r="B220" s="4" t="s">
        <v>732</v>
      </c>
      <c r="C220" s="4">
        <v>0</v>
      </c>
      <c r="D220" s="5">
        <v>42412.419976851852</v>
      </c>
      <c r="E220" s="5" t="s">
        <v>2081</v>
      </c>
      <c r="F220" s="4" t="s">
        <v>26</v>
      </c>
      <c r="G220" s="4" t="s">
        <v>289</v>
      </c>
      <c r="H220" s="4" t="s">
        <v>422</v>
      </c>
      <c r="I220" s="4" t="s">
        <v>118</v>
      </c>
      <c r="J220" s="4" t="s">
        <v>30</v>
      </c>
      <c r="K220" s="4" t="s">
        <v>31</v>
      </c>
      <c r="L220" s="5">
        <v>42422.916666666664</v>
      </c>
      <c r="M220" s="5">
        <v>42423.5</v>
      </c>
      <c r="N220" s="5">
        <v>42423.75</v>
      </c>
      <c r="O220" s="4" t="s">
        <v>32</v>
      </c>
      <c r="P220" s="4" t="s">
        <v>33</v>
      </c>
      <c r="Q220" s="4" t="s">
        <v>50</v>
      </c>
      <c r="R220" s="4" t="s">
        <v>291</v>
      </c>
      <c r="S220" s="6" t="s">
        <v>77</v>
      </c>
      <c r="T220" s="4" t="s">
        <v>37</v>
      </c>
      <c r="U220" s="4" t="s">
        <v>37</v>
      </c>
      <c r="V220" s="4" t="s">
        <v>292</v>
      </c>
      <c r="W220" s="4" t="s">
        <v>37</v>
      </c>
      <c r="X220" s="4" t="s">
        <v>37</v>
      </c>
      <c r="Y220" s="4" t="s">
        <v>36</v>
      </c>
      <c r="Z220" s="4" t="s">
        <v>865</v>
      </c>
      <c r="AA220" s="4" t="s">
        <v>40</v>
      </c>
    </row>
    <row r="221" spans="1:27" s="1" customFormat="1" x14ac:dyDescent="0.3">
      <c r="A221" s="19">
        <v>19380</v>
      </c>
      <c r="B221" s="4" t="s">
        <v>866</v>
      </c>
      <c r="C221" s="4">
        <v>0</v>
      </c>
      <c r="D221" s="5">
        <v>42412.445613425924</v>
      </c>
      <c r="E221" s="5" t="s">
        <v>2081</v>
      </c>
      <c r="F221" s="4" t="s">
        <v>26</v>
      </c>
      <c r="G221" s="4" t="s">
        <v>289</v>
      </c>
      <c r="H221" s="4" t="s">
        <v>422</v>
      </c>
      <c r="I221" s="4" t="s">
        <v>118</v>
      </c>
      <c r="J221" s="4" t="s">
        <v>30</v>
      </c>
      <c r="K221" s="4" t="s">
        <v>31</v>
      </c>
      <c r="L221" s="5">
        <v>42425.916666666664</v>
      </c>
      <c r="M221" s="5">
        <v>42426.5</v>
      </c>
      <c r="N221" s="5">
        <v>42426.75</v>
      </c>
      <c r="O221" s="4" t="s">
        <v>32</v>
      </c>
      <c r="P221" s="4" t="s">
        <v>33</v>
      </c>
      <c r="Q221" s="4" t="s">
        <v>50</v>
      </c>
      <c r="R221" s="4" t="s">
        <v>291</v>
      </c>
      <c r="S221" s="6" t="s">
        <v>77</v>
      </c>
      <c r="T221" s="4" t="s">
        <v>37</v>
      </c>
      <c r="U221" s="4" t="s">
        <v>37</v>
      </c>
      <c r="V221" s="4" t="s">
        <v>292</v>
      </c>
      <c r="W221" s="4" t="s">
        <v>37</v>
      </c>
      <c r="X221" s="4" t="s">
        <v>37</v>
      </c>
      <c r="Y221" s="4" t="s">
        <v>36</v>
      </c>
      <c r="Z221" s="4" t="s">
        <v>867</v>
      </c>
      <c r="AA221" s="4" t="s">
        <v>93</v>
      </c>
    </row>
    <row r="222" spans="1:27" s="1" customFormat="1" x14ac:dyDescent="0.3">
      <c r="A222" s="19">
        <v>19382</v>
      </c>
      <c r="B222" s="4" t="s">
        <v>868</v>
      </c>
      <c r="C222" s="4" t="s">
        <v>2128</v>
      </c>
      <c r="D222" s="5">
        <v>42412.452777777777</v>
      </c>
      <c r="E222" s="5" t="s">
        <v>2081</v>
      </c>
      <c r="F222" s="4" t="s">
        <v>26</v>
      </c>
      <c r="G222" s="4" t="s">
        <v>146</v>
      </c>
      <c r="H222" s="4" t="s">
        <v>146</v>
      </c>
      <c r="I222" s="4" t="s">
        <v>48</v>
      </c>
      <c r="J222" s="4" t="s">
        <v>311</v>
      </c>
      <c r="K222" s="4" t="s">
        <v>31</v>
      </c>
      <c r="L222" s="5">
        <v>42415.916666666664</v>
      </c>
      <c r="M222" s="5">
        <v>42416.083333333336</v>
      </c>
      <c r="N222" s="5">
        <v>42416.166666666664</v>
      </c>
      <c r="O222" s="4" t="s">
        <v>250</v>
      </c>
      <c r="P222" s="4" t="s">
        <v>149</v>
      </c>
      <c r="Q222" s="4" t="s">
        <v>251</v>
      </c>
      <c r="R222" s="4" t="s">
        <v>869</v>
      </c>
      <c r="S222" s="4" t="s">
        <v>869</v>
      </c>
      <c r="T222" s="4" t="s">
        <v>36</v>
      </c>
      <c r="U222" s="4" t="s">
        <v>37</v>
      </c>
      <c r="V222" s="4" t="s">
        <v>870</v>
      </c>
      <c r="W222" s="4" t="s">
        <v>37</v>
      </c>
      <c r="X222" s="4" t="s">
        <v>37</v>
      </c>
      <c r="Y222" s="4" t="s">
        <v>37</v>
      </c>
      <c r="Z222" s="4"/>
      <c r="AA222" s="4"/>
    </row>
    <row r="223" spans="1:27" s="1" customFormat="1" x14ac:dyDescent="0.3">
      <c r="A223" s="19">
        <v>19383</v>
      </c>
      <c r="B223" s="4" t="s">
        <v>871</v>
      </c>
      <c r="C223" s="4">
        <v>0</v>
      </c>
      <c r="D223" s="5">
        <v>42412.473124999997</v>
      </c>
      <c r="E223" s="5" t="s">
        <v>2081</v>
      </c>
      <c r="F223" s="4" t="s">
        <v>26</v>
      </c>
      <c r="G223" s="4" t="s">
        <v>342</v>
      </c>
      <c r="H223" s="4" t="s">
        <v>872</v>
      </c>
      <c r="I223" s="4" t="s">
        <v>68</v>
      </c>
      <c r="J223" s="4" t="s">
        <v>873</v>
      </c>
      <c r="K223" s="4" t="s">
        <v>31</v>
      </c>
      <c r="L223" s="5">
        <v>42441.75</v>
      </c>
      <c r="M223" s="5">
        <v>42442.25</v>
      </c>
      <c r="N223" s="5">
        <v>42443.208333333336</v>
      </c>
      <c r="O223" s="4" t="s">
        <v>32</v>
      </c>
      <c r="P223" s="4" t="s">
        <v>33</v>
      </c>
      <c r="Q223" s="4" t="s">
        <v>50</v>
      </c>
      <c r="R223" s="4" t="s">
        <v>874</v>
      </c>
      <c r="S223" s="4" t="s">
        <v>874</v>
      </c>
      <c r="T223" s="4" t="s">
        <v>36</v>
      </c>
      <c r="U223" s="4" t="s">
        <v>37</v>
      </c>
      <c r="V223" s="4" t="s">
        <v>875</v>
      </c>
      <c r="W223" s="4" t="s">
        <v>37</v>
      </c>
      <c r="X223" s="4" t="s">
        <v>37</v>
      </c>
      <c r="Y223" s="4" t="s">
        <v>36</v>
      </c>
      <c r="Z223" s="4"/>
      <c r="AA223" s="4" t="s">
        <v>346</v>
      </c>
    </row>
    <row r="224" spans="1:27" s="1" customFormat="1" x14ac:dyDescent="0.3">
      <c r="A224" s="19">
        <v>19385</v>
      </c>
      <c r="B224" s="4" t="s">
        <v>876</v>
      </c>
      <c r="C224" s="4" t="s">
        <v>2129</v>
      </c>
      <c r="D224" s="5">
        <v>42412.589502314811</v>
      </c>
      <c r="E224" s="5" t="s">
        <v>2081</v>
      </c>
      <c r="F224" s="4" t="s">
        <v>26</v>
      </c>
      <c r="G224" s="4" t="s">
        <v>146</v>
      </c>
      <c r="H224" s="4" t="s">
        <v>715</v>
      </c>
      <c r="I224" s="4" t="s">
        <v>88</v>
      </c>
      <c r="J224" s="4" t="s">
        <v>30</v>
      </c>
      <c r="K224" s="4" t="s">
        <v>31</v>
      </c>
      <c r="L224" s="5">
        <v>42417.916666666664</v>
      </c>
      <c r="M224" s="5">
        <v>42418.041666666664</v>
      </c>
      <c r="N224" s="5">
        <v>42418.125</v>
      </c>
      <c r="O224" s="4" t="s">
        <v>32</v>
      </c>
      <c r="P224" s="4" t="s">
        <v>149</v>
      </c>
      <c r="Q224" s="4" t="s">
        <v>76</v>
      </c>
      <c r="R224" s="4"/>
      <c r="S224" s="4"/>
      <c r="T224" s="4" t="s">
        <v>37</v>
      </c>
      <c r="U224" s="4" t="s">
        <v>37</v>
      </c>
      <c r="V224" s="4" t="s">
        <v>877</v>
      </c>
      <c r="W224" s="4" t="s">
        <v>37</v>
      </c>
      <c r="X224" s="4" t="s">
        <v>37</v>
      </c>
      <c r="Y224" s="4" t="s">
        <v>36</v>
      </c>
      <c r="Z224" s="4"/>
      <c r="AA224" s="4" t="s">
        <v>40</v>
      </c>
    </row>
    <row r="225" spans="1:27" s="1" customFormat="1" x14ac:dyDescent="0.3">
      <c r="A225" s="19">
        <v>19386</v>
      </c>
      <c r="B225" s="4" t="s">
        <v>878</v>
      </c>
      <c r="C225" s="4" t="s">
        <v>2130</v>
      </c>
      <c r="D225" s="5">
        <v>42412.590219907404</v>
      </c>
      <c r="E225" s="5" t="s">
        <v>2081</v>
      </c>
      <c r="F225" s="4" t="s">
        <v>26</v>
      </c>
      <c r="G225" s="4" t="s">
        <v>428</v>
      </c>
      <c r="H225" s="4" t="s">
        <v>195</v>
      </c>
      <c r="I225" s="4" t="s">
        <v>42</v>
      </c>
      <c r="J225" s="4" t="s">
        <v>30</v>
      </c>
      <c r="K225" s="4" t="s">
        <v>31</v>
      </c>
      <c r="L225" s="5">
        <v>42428.333333333336</v>
      </c>
      <c r="M225" s="5">
        <v>42428.541666666664</v>
      </c>
      <c r="N225" s="5">
        <v>42431.594444444447</v>
      </c>
      <c r="O225" s="4" t="s">
        <v>32</v>
      </c>
      <c r="P225" s="4" t="s">
        <v>33</v>
      </c>
      <c r="Q225" s="4" t="s">
        <v>76</v>
      </c>
      <c r="R225" s="4"/>
      <c r="S225" s="4"/>
      <c r="T225" s="4" t="s">
        <v>37</v>
      </c>
      <c r="U225" s="4" t="s">
        <v>37</v>
      </c>
      <c r="V225" s="4" t="s">
        <v>879</v>
      </c>
      <c r="W225" s="4" t="s">
        <v>37</v>
      </c>
      <c r="X225" s="4" t="s">
        <v>37</v>
      </c>
      <c r="Y225" s="4" t="s">
        <v>36</v>
      </c>
      <c r="Z225" s="4">
        <v>168499</v>
      </c>
      <c r="AA225" s="4" t="s">
        <v>231</v>
      </c>
    </row>
    <row r="226" spans="1:27" s="1" customFormat="1" x14ac:dyDescent="0.3">
      <c r="A226" s="19">
        <v>19387</v>
      </c>
      <c r="B226" s="4" t="s">
        <v>880</v>
      </c>
      <c r="C226" s="4" t="s">
        <v>2116</v>
      </c>
      <c r="D226" s="5">
        <v>42412.599606481483</v>
      </c>
      <c r="E226" s="5" t="s">
        <v>2081</v>
      </c>
      <c r="F226" s="4" t="s">
        <v>26</v>
      </c>
      <c r="G226" s="4" t="s">
        <v>310</v>
      </c>
      <c r="H226" s="4" t="s">
        <v>310</v>
      </c>
      <c r="I226" s="4" t="s">
        <v>48</v>
      </c>
      <c r="J226" s="4" t="s">
        <v>311</v>
      </c>
      <c r="K226" s="4" t="s">
        <v>31</v>
      </c>
      <c r="L226" s="5">
        <v>42417.916666666664</v>
      </c>
      <c r="M226" s="5">
        <v>42418.083333333336</v>
      </c>
      <c r="N226" s="5">
        <v>42418.125</v>
      </c>
      <c r="O226" s="4" t="s">
        <v>32</v>
      </c>
      <c r="P226" s="4" t="s">
        <v>149</v>
      </c>
      <c r="Q226" s="4" t="s">
        <v>76</v>
      </c>
      <c r="R226" s="6" t="s">
        <v>77</v>
      </c>
      <c r="S226" s="4" t="s">
        <v>881</v>
      </c>
      <c r="T226" s="4" t="s">
        <v>37</v>
      </c>
      <c r="U226" s="4" t="s">
        <v>37</v>
      </c>
      <c r="V226" s="4" t="s">
        <v>882</v>
      </c>
      <c r="W226" s="4" t="s">
        <v>37</v>
      </c>
      <c r="X226" s="4" t="s">
        <v>37</v>
      </c>
      <c r="Y226" s="4" t="s">
        <v>36</v>
      </c>
      <c r="Z226" s="4"/>
      <c r="AA226" s="4"/>
    </row>
    <row r="227" spans="1:27" s="1" customFormat="1" x14ac:dyDescent="0.3">
      <c r="A227" s="19">
        <v>19388</v>
      </c>
      <c r="B227" s="4" t="s">
        <v>883</v>
      </c>
      <c r="C227" s="4">
        <v>0</v>
      </c>
      <c r="D227" s="5">
        <v>42412.604259259257</v>
      </c>
      <c r="E227" s="5" t="s">
        <v>2081</v>
      </c>
      <c r="F227" s="4" t="s">
        <v>26</v>
      </c>
      <c r="G227" s="4" t="s">
        <v>116</v>
      </c>
      <c r="H227" s="4" t="s">
        <v>117</v>
      </c>
      <c r="I227" s="4" t="s">
        <v>118</v>
      </c>
      <c r="J227" s="4" t="s">
        <v>30</v>
      </c>
      <c r="K227" s="4" t="s">
        <v>31</v>
      </c>
      <c r="L227" s="5">
        <v>42416.5</v>
      </c>
      <c r="M227" s="5">
        <v>42417.25</v>
      </c>
      <c r="N227" s="5">
        <v>42417.270833333336</v>
      </c>
      <c r="O227" s="4" t="s">
        <v>250</v>
      </c>
      <c r="P227" s="4" t="s">
        <v>89</v>
      </c>
      <c r="Q227" s="4" t="s">
        <v>119</v>
      </c>
      <c r="R227" s="4" t="s">
        <v>884</v>
      </c>
      <c r="S227" s="4" t="s">
        <v>884</v>
      </c>
      <c r="T227" s="4" t="s">
        <v>37</v>
      </c>
      <c r="U227" s="4" t="s">
        <v>37</v>
      </c>
      <c r="V227" s="4" t="s">
        <v>269</v>
      </c>
      <c r="W227" s="4" t="s">
        <v>37</v>
      </c>
      <c r="X227" s="4" t="s">
        <v>37</v>
      </c>
      <c r="Y227" s="4" t="s">
        <v>36</v>
      </c>
      <c r="Z227" s="4" t="s">
        <v>885</v>
      </c>
      <c r="AA227" s="4" t="s">
        <v>40</v>
      </c>
    </row>
    <row r="228" spans="1:27" s="1" customFormat="1" x14ac:dyDescent="0.3">
      <c r="A228" s="19">
        <v>19389</v>
      </c>
      <c r="B228" s="4" t="s">
        <v>886</v>
      </c>
      <c r="C228" s="4" t="s">
        <v>2111</v>
      </c>
      <c r="D228" s="5">
        <v>42412.739479166667</v>
      </c>
      <c r="E228" s="5" t="s">
        <v>2081</v>
      </c>
      <c r="F228" s="4" t="s">
        <v>26</v>
      </c>
      <c r="G228" s="4" t="s">
        <v>146</v>
      </c>
      <c r="H228" s="4" t="s">
        <v>146</v>
      </c>
      <c r="I228" s="4" t="s">
        <v>48</v>
      </c>
      <c r="J228" s="4" t="s">
        <v>311</v>
      </c>
      <c r="K228" s="4" t="s">
        <v>31</v>
      </c>
      <c r="L228" s="5">
        <v>42416.416666666664</v>
      </c>
      <c r="M228" s="5">
        <v>42416.666666666664</v>
      </c>
      <c r="N228" s="5">
        <v>42416.75</v>
      </c>
      <c r="O228" s="4" t="s">
        <v>710</v>
      </c>
      <c r="P228" s="4" t="s">
        <v>33</v>
      </c>
      <c r="Q228" s="4" t="s">
        <v>76</v>
      </c>
      <c r="R228" s="4"/>
      <c r="S228" s="4"/>
      <c r="T228" s="4" t="s">
        <v>37</v>
      </c>
      <c r="U228" s="4" t="s">
        <v>37</v>
      </c>
      <c r="V228" s="4" t="s">
        <v>887</v>
      </c>
      <c r="W228" s="4" t="s">
        <v>37</v>
      </c>
      <c r="X228" s="4" t="s">
        <v>37</v>
      </c>
      <c r="Y228" s="4" t="s">
        <v>36</v>
      </c>
      <c r="Z228" s="4"/>
      <c r="AA228" s="4"/>
    </row>
    <row r="229" spans="1:27" s="1" customFormat="1" x14ac:dyDescent="0.3">
      <c r="A229" s="19">
        <v>19390</v>
      </c>
      <c r="B229" s="4" t="s">
        <v>888</v>
      </c>
      <c r="C229" s="4" t="s">
        <v>39</v>
      </c>
      <c r="D229" s="5">
        <v>42412.755555555559</v>
      </c>
      <c r="E229" s="5" t="s">
        <v>2081</v>
      </c>
      <c r="F229" s="4" t="s">
        <v>26</v>
      </c>
      <c r="G229" s="4" t="s">
        <v>743</v>
      </c>
      <c r="H229" s="4" t="s">
        <v>743</v>
      </c>
      <c r="I229" s="4" t="s">
        <v>48</v>
      </c>
      <c r="J229" s="4" t="s">
        <v>43</v>
      </c>
      <c r="K229" s="4" t="s">
        <v>31</v>
      </c>
      <c r="L229" s="5">
        <v>42423.375</v>
      </c>
      <c r="M229" s="5">
        <v>42423.708333333336</v>
      </c>
      <c r="N229" s="5">
        <v>42423.708333333336</v>
      </c>
      <c r="O229" s="4" t="s">
        <v>32</v>
      </c>
      <c r="P229" s="4" t="s">
        <v>149</v>
      </c>
      <c r="Q229" s="4" t="s">
        <v>76</v>
      </c>
      <c r="R229" s="4" t="s">
        <v>889</v>
      </c>
      <c r="S229" s="4" t="s">
        <v>889</v>
      </c>
      <c r="T229" s="4" t="s">
        <v>37</v>
      </c>
      <c r="U229" s="4" t="s">
        <v>37</v>
      </c>
      <c r="V229" s="4" t="s">
        <v>890</v>
      </c>
      <c r="W229" s="4" t="s">
        <v>37</v>
      </c>
      <c r="X229" s="4" t="s">
        <v>37</v>
      </c>
      <c r="Y229" s="4" t="s">
        <v>36</v>
      </c>
      <c r="Z229" s="4" t="s">
        <v>39</v>
      </c>
      <c r="AA229" s="4" t="s">
        <v>744</v>
      </c>
    </row>
    <row r="230" spans="1:27" s="1" customFormat="1" x14ac:dyDescent="0.3">
      <c r="A230" s="19">
        <v>19391</v>
      </c>
      <c r="B230" s="4" t="s">
        <v>891</v>
      </c>
      <c r="C230" s="4">
        <v>0</v>
      </c>
      <c r="D230" s="5">
        <v>42412.763784722221</v>
      </c>
      <c r="E230" s="5" t="s">
        <v>2081</v>
      </c>
      <c r="F230" s="4" t="s">
        <v>26</v>
      </c>
      <c r="G230" s="4" t="s">
        <v>440</v>
      </c>
      <c r="H230" s="4" t="s">
        <v>892</v>
      </c>
      <c r="I230" s="4" t="s">
        <v>88</v>
      </c>
      <c r="J230" s="4" t="s">
        <v>30</v>
      </c>
      <c r="K230" s="4" t="s">
        <v>31</v>
      </c>
      <c r="L230" s="5">
        <v>42418.916666666664</v>
      </c>
      <c r="M230" s="5">
        <v>42419.083333333336</v>
      </c>
      <c r="N230" s="5">
        <v>42419.166666666664</v>
      </c>
      <c r="O230" s="4" t="s">
        <v>32</v>
      </c>
      <c r="P230" s="4" t="s">
        <v>33</v>
      </c>
      <c r="Q230" s="4" t="s">
        <v>34</v>
      </c>
      <c r="R230" s="6" t="s">
        <v>77</v>
      </c>
      <c r="S230" s="4" t="s">
        <v>893</v>
      </c>
      <c r="T230" s="4" t="s">
        <v>37</v>
      </c>
      <c r="U230" s="4" t="s">
        <v>37</v>
      </c>
      <c r="V230" s="4" t="s">
        <v>894</v>
      </c>
      <c r="W230" s="4" t="s">
        <v>37</v>
      </c>
      <c r="X230" s="4" t="s">
        <v>37</v>
      </c>
      <c r="Y230" s="4" t="s">
        <v>36</v>
      </c>
      <c r="Z230" s="4" t="s">
        <v>895</v>
      </c>
      <c r="AA230" s="4" t="s">
        <v>93</v>
      </c>
    </row>
    <row r="231" spans="1:27" s="1" customFormat="1" x14ac:dyDescent="0.3">
      <c r="A231" s="19">
        <v>19392</v>
      </c>
      <c r="B231" s="4" t="s">
        <v>896</v>
      </c>
      <c r="C231" s="4" t="s">
        <v>2131</v>
      </c>
      <c r="D231" s="5">
        <v>42412.775300925925</v>
      </c>
      <c r="E231" s="5" t="s">
        <v>2081</v>
      </c>
      <c r="F231" s="4" t="s">
        <v>26</v>
      </c>
      <c r="G231" s="4" t="s">
        <v>712</v>
      </c>
      <c r="H231" s="4" t="s">
        <v>712</v>
      </c>
      <c r="I231" s="4" t="s">
        <v>203</v>
      </c>
      <c r="J231" s="4" t="s">
        <v>49</v>
      </c>
      <c r="K231" s="4" t="s">
        <v>31</v>
      </c>
      <c r="L231" s="5">
        <v>42418.833333333336</v>
      </c>
      <c r="M231" s="5">
        <v>42418.999305555553</v>
      </c>
      <c r="N231" s="5">
        <v>42419.416666666664</v>
      </c>
      <c r="O231" s="4" t="s">
        <v>32</v>
      </c>
      <c r="P231" s="4" t="s">
        <v>89</v>
      </c>
      <c r="Q231" s="4" t="s">
        <v>34</v>
      </c>
      <c r="R231" s="4" t="s">
        <v>337</v>
      </c>
      <c r="S231" s="4" t="s">
        <v>337</v>
      </c>
      <c r="T231" s="4" t="s">
        <v>36</v>
      </c>
      <c r="U231" s="4" t="s">
        <v>36</v>
      </c>
      <c r="V231" s="4" t="s">
        <v>338</v>
      </c>
      <c r="W231" s="4" t="s">
        <v>37</v>
      </c>
      <c r="X231" s="4" t="s">
        <v>37</v>
      </c>
      <c r="Y231" s="4" t="s">
        <v>36</v>
      </c>
      <c r="Z231" s="4" t="s">
        <v>592</v>
      </c>
      <c r="AA231" s="4"/>
    </row>
    <row r="232" spans="1:27" s="1" customFormat="1" x14ac:dyDescent="0.3">
      <c r="A232" s="19">
        <v>19404</v>
      </c>
      <c r="B232" s="4" t="s">
        <v>897</v>
      </c>
      <c r="C232" s="4" t="s">
        <v>2132</v>
      </c>
      <c r="D232" s="5">
        <v>42415.374189814815</v>
      </c>
      <c r="E232" s="5" t="s">
        <v>2081</v>
      </c>
      <c r="F232" s="4" t="s">
        <v>26</v>
      </c>
      <c r="G232" s="4" t="s">
        <v>428</v>
      </c>
      <c r="H232" s="4" t="s">
        <v>428</v>
      </c>
      <c r="I232" s="4" t="s">
        <v>56</v>
      </c>
      <c r="J232" s="4" t="s">
        <v>543</v>
      </c>
      <c r="K232" s="4" t="s">
        <v>31</v>
      </c>
      <c r="L232" s="5">
        <v>42426.375</v>
      </c>
      <c r="M232" s="5">
        <v>42426.5</v>
      </c>
      <c r="N232" s="5">
        <v>42431.5</v>
      </c>
      <c r="O232" s="4" t="s">
        <v>32</v>
      </c>
      <c r="P232" s="4" t="s">
        <v>33</v>
      </c>
      <c r="Q232" s="4" t="s">
        <v>34</v>
      </c>
      <c r="R232" s="6" t="s">
        <v>77</v>
      </c>
      <c r="S232" s="6" t="s">
        <v>77</v>
      </c>
      <c r="T232" s="4" t="s">
        <v>37</v>
      </c>
      <c r="U232" s="4" t="s">
        <v>37</v>
      </c>
      <c r="V232" s="4" t="s">
        <v>646</v>
      </c>
      <c r="W232" s="4" t="s">
        <v>37</v>
      </c>
      <c r="X232" s="4" t="s">
        <v>37</v>
      </c>
      <c r="Y232" s="4" t="s">
        <v>36</v>
      </c>
      <c r="Z232" s="4">
        <v>18386</v>
      </c>
      <c r="AA232" s="4"/>
    </row>
    <row r="233" spans="1:27" s="1" customFormat="1" x14ac:dyDescent="0.3">
      <c r="A233" s="19">
        <v>19405</v>
      </c>
      <c r="B233" s="4" t="s">
        <v>898</v>
      </c>
      <c r="C233" s="4" t="s">
        <v>2111</v>
      </c>
      <c r="D233" s="5">
        <v>42415.391261574077</v>
      </c>
      <c r="E233" s="5" t="s">
        <v>2081</v>
      </c>
      <c r="F233" s="4" t="s">
        <v>26</v>
      </c>
      <c r="G233" s="4" t="s">
        <v>244</v>
      </c>
      <c r="H233" s="4" t="s">
        <v>244</v>
      </c>
      <c r="I233" s="4" t="s">
        <v>118</v>
      </c>
      <c r="J233" s="4" t="s">
        <v>30</v>
      </c>
      <c r="K233" s="4" t="s">
        <v>31</v>
      </c>
      <c r="L233" s="5">
        <v>42412.916666666664</v>
      </c>
      <c r="M233" s="5">
        <v>42413.5</v>
      </c>
      <c r="N233" s="5">
        <v>42413.75</v>
      </c>
      <c r="O233" s="4" t="s">
        <v>710</v>
      </c>
      <c r="P233" s="4" t="s">
        <v>89</v>
      </c>
      <c r="Q233" s="4" t="s">
        <v>76</v>
      </c>
      <c r="R233" s="6" t="s">
        <v>77</v>
      </c>
      <c r="S233" s="4" t="s">
        <v>517</v>
      </c>
      <c r="T233" s="4" t="s">
        <v>37</v>
      </c>
      <c r="U233" s="4" t="s">
        <v>37</v>
      </c>
      <c r="V233" s="4" t="s">
        <v>365</v>
      </c>
      <c r="W233" s="4"/>
      <c r="X233" s="4"/>
      <c r="Y233" s="4"/>
      <c r="Z233" s="4" t="s">
        <v>899</v>
      </c>
      <c r="AA233" s="4" t="s">
        <v>179</v>
      </c>
    </row>
    <row r="234" spans="1:27" s="1" customFormat="1" x14ac:dyDescent="0.3">
      <c r="A234" s="19">
        <v>19407</v>
      </c>
      <c r="B234" s="4" t="s">
        <v>900</v>
      </c>
      <c r="C234" s="4">
        <v>0</v>
      </c>
      <c r="D234" s="5">
        <v>42415.426064814812</v>
      </c>
      <c r="E234" s="5" t="s">
        <v>2081</v>
      </c>
      <c r="F234" s="4" t="s">
        <v>26</v>
      </c>
      <c r="G234" s="4" t="s">
        <v>98</v>
      </c>
      <c r="H234" s="4" t="s">
        <v>98</v>
      </c>
      <c r="I234" s="4" t="s">
        <v>217</v>
      </c>
      <c r="J234" s="4" t="s">
        <v>901</v>
      </c>
      <c r="K234" s="4" t="s">
        <v>31</v>
      </c>
      <c r="L234" s="5">
        <v>42428.291666666664</v>
      </c>
      <c r="M234" s="5">
        <v>42428.625</v>
      </c>
      <c r="N234" s="5">
        <v>42428.625</v>
      </c>
      <c r="O234" s="4" t="s">
        <v>32</v>
      </c>
      <c r="P234" s="4" t="s">
        <v>33</v>
      </c>
      <c r="Q234" s="4" t="s">
        <v>76</v>
      </c>
      <c r="R234" s="6" t="s">
        <v>77</v>
      </c>
      <c r="S234" s="6" t="s">
        <v>77</v>
      </c>
      <c r="T234" s="4" t="s">
        <v>37</v>
      </c>
      <c r="U234" s="4" t="s">
        <v>37</v>
      </c>
      <c r="V234" s="4" t="s">
        <v>828</v>
      </c>
      <c r="W234" s="4" t="s">
        <v>37</v>
      </c>
      <c r="X234" s="4" t="s">
        <v>37</v>
      </c>
      <c r="Y234" s="4" t="s">
        <v>36</v>
      </c>
      <c r="Z234" s="4"/>
      <c r="AA234" s="4" t="s">
        <v>93</v>
      </c>
    </row>
    <row r="235" spans="1:27" s="1" customFormat="1" x14ac:dyDescent="0.3">
      <c r="A235" s="19">
        <v>19408</v>
      </c>
      <c r="B235" s="4" t="s">
        <v>902</v>
      </c>
      <c r="C235" s="4">
        <v>0</v>
      </c>
      <c r="D235" s="5">
        <v>42415.428888888891</v>
      </c>
      <c r="E235" s="5" t="s">
        <v>2081</v>
      </c>
      <c r="F235" s="4" t="s">
        <v>26</v>
      </c>
      <c r="G235" s="4" t="s">
        <v>98</v>
      </c>
      <c r="H235" s="4" t="s">
        <v>98</v>
      </c>
      <c r="I235" s="4" t="s">
        <v>88</v>
      </c>
      <c r="J235" s="4" t="s">
        <v>99</v>
      </c>
      <c r="K235" s="4" t="s">
        <v>31</v>
      </c>
      <c r="L235" s="5">
        <v>42428.291666666664</v>
      </c>
      <c r="M235" s="5">
        <v>42428.625</v>
      </c>
      <c r="N235" s="5">
        <v>42428.625</v>
      </c>
      <c r="O235" s="4" t="s">
        <v>32</v>
      </c>
      <c r="P235" s="4" t="s">
        <v>33</v>
      </c>
      <c r="Q235" s="4" t="s">
        <v>76</v>
      </c>
      <c r="R235" s="6" t="s">
        <v>77</v>
      </c>
      <c r="S235" s="6" t="s">
        <v>77</v>
      </c>
      <c r="T235" s="4" t="s">
        <v>37</v>
      </c>
      <c r="U235" s="4" t="s">
        <v>37</v>
      </c>
      <c r="V235" s="4" t="s">
        <v>828</v>
      </c>
      <c r="W235" s="4" t="s">
        <v>37</v>
      </c>
      <c r="X235" s="4" t="s">
        <v>37</v>
      </c>
      <c r="Y235" s="4" t="s">
        <v>36</v>
      </c>
      <c r="Z235" s="4"/>
      <c r="AA235" s="4" t="s">
        <v>481</v>
      </c>
    </row>
    <row r="236" spans="1:27" s="1" customFormat="1" x14ac:dyDescent="0.3">
      <c r="A236" s="19">
        <v>19409</v>
      </c>
      <c r="B236" s="4" t="s">
        <v>903</v>
      </c>
      <c r="C236" s="4">
        <v>0</v>
      </c>
      <c r="D236" s="5">
        <v>42415.438263888886</v>
      </c>
      <c r="E236" s="5" t="s">
        <v>2081</v>
      </c>
      <c r="F236" s="4" t="s">
        <v>26</v>
      </c>
      <c r="G236" s="4" t="s">
        <v>98</v>
      </c>
      <c r="H236" s="4" t="s">
        <v>98</v>
      </c>
      <c r="I236" s="4" t="s">
        <v>88</v>
      </c>
      <c r="J236" s="4" t="s">
        <v>99</v>
      </c>
      <c r="K236" s="4" t="s">
        <v>31</v>
      </c>
      <c r="L236" s="5">
        <v>42427.291666666664</v>
      </c>
      <c r="M236" s="5">
        <v>42427.625</v>
      </c>
      <c r="N236" s="5">
        <v>42427.625</v>
      </c>
      <c r="O236" s="4" t="s">
        <v>32</v>
      </c>
      <c r="P236" s="4" t="s">
        <v>33</v>
      </c>
      <c r="Q236" s="4" t="s">
        <v>76</v>
      </c>
      <c r="R236" s="6" t="s">
        <v>77</v>
      </c>
      <c r="S236" s="6" t="s">
        <v>77</v>
      </c>
      <c r="T236" s="4" t="s">
        <v>37</v>
      </c>
      <c r="U236" s="4" t="s">
        <v>37</v>
      </c>
      <c r="V236" s="4" t="s">
        <v>828</v>
      </c>
      <c r="W236" s="4" t="s">
        <v>37</v>
      </c>
      <c r="X236" s="4" t="s">
        <v>37</v>
      </c>
      <c r="Y236" s="4" t="s">
        <v>36</v>
      </c>
      <c r="Z236" s="4"/>
      <c r="AA236" s="4" t="s">
        <v>255</v>
      </c>
    </row>
    <row r="237" spans="1:27" s="1" customFormat="1" x14ac:dyDescent="0.3">
      <c r="A237" s="19">
        <v>19412</v>
      </c>
      <c r="B237" s="4" t="s">
        <v>904</v>
      </c>
      <c r="C237" s="4" t="s">
        <v>2116</v>
      </c>
      <c r="D237" s="5">
        <v>42415.59957175926</v>
      </c>
      <c r="E237" s="5" t="s">
        <v>2081</v>
      </c>
      <c r="F237" s="4" t="s">
        <v>26</v>
      </c>
      <c r="G237" s="4" t="s">
        <v>310</v>
      </c>
      <c r="H237" s="4" t="s">
        <v>310</v>
      </c>
      <c r="I237" s="4" t="s">
        <v>218</v>
      </c>
      <c r="J237" s="4" t="s">
        <v>185</v>
      </c>
      <c r="K237" s="4" t="s">
        <v>31</v>
      </c>
      <c r="L237" s="5">
        <v>42422.958333333336</v>
      </c>
      <c r="M237" s="5">
        <v>42423</v>
      </c>
      <c r="N237" s="5">
        <v>42423.020833333336</v>
      </c>
      <c r="O237" s="4" t="s">
        <v>32</v>
      </c>
      <c r="P237" s="4" t="s">
        <v>149</v>
      </c>
      <c r="Q237" s="4" t="s">
        <v>34</v>
      </c>
      <c r="R237" s="4" t="s">
        <v>905</v>
      </c>
      <c r="S237" s="6" t="s">
        <v>77</v>
      </c>
      <c r="T237" s="4" t="s">
        <v>37</v>
      </c>
      <c r="U237" s="4" t="s">
        <v>37</v>
      </c>
      <c r="V237" s="4" t="s">
        <v>906</v>
      </c>
      <c r="W237" s="4" t="s">
        <v>37</v>
      </c>
      <c r="X237" s="4" t="s">
        <v>37</v>
      </c>
      <c r="Y237" s="4" t="s">
        <v>37</v>
      </c>
      <c r="Z237" s="4"/>
      <c r="AA237" s="4" t="s">
        <v>187</v>
      </c>
    </row>
    <row r="238" spans="1:27" s="1" customFormat="1" x14ac:dyDescent="0.3">
      <c r="A238" s="19">
        <v>19417</v>
      </c>
      <c r="B238" s="4" t="s">
        <v>907</v>
      </c>
      <c r="C238" s="4">
        <v>0</v>
      </c>
      <c r="D238" s="5">
        <v>42415.723715277774</v>
      </c>
      <c r="E238" s="5" t="s">
        <v>2081</v>
      </c>
      <c r="F238" s="4" t="s">
        <v>26</v>
      </c>
      <c r="G238" s="4" t="s">
        <v>152</v>
      </c>
      <c r="H238" s="4" t="s">
        <v>152</v>
      </c>
      <c r="I238" s="4" t="s">
        <v>158</v>
      </c>
      <c r="J238" s="4" t="s">
        <v>154</v>
      </c>
      <c r="K238" s="4" t="s">
        <v>31</v>
      </c>
      <c r="L238" s="5">
        <v>42426.916666666664</v>
      </c>
      <c r="M238" s="5">
        <v>42427.208333333336</v>
      </c>
      <c r="N238" s="5">
        <v>42427.229166666664</v>
      </c>
      <c r="O238" s="4" t="s">
        <v>32</v>
      </c>
      <c r="P238" s="4" t="s">
        <v>33</v>
      </c>
      <c r="Q238" s="4" t="s">
        <v>34</v>
      </c>
      <c r="R238" s="6" t="s">
        <v>77</v>
      </c>
      <c r="S238" s="4" t="s">
        <v>323</v>
      </c>
      <c r="T238" s="4" t="s">
        <v>37</v>
      </c>
      <c r="U238" s="4" t="s">
        <v>37</v>
      </c>
      <c r="V238" s="4" t="s">
        <v>553</v>
      </c>
      <c r="W238" s="4" t="s">
        <v>37</v>
      </c>
      <c r="X238" s="4" t="s">
        <v>37</v>
      </c>
      <c r="Y238" s="4" t="s">
        <v>36</v>
      </c>
      <c r="Z238" s="4"/>
      <c r="AA238" s="4" t="s">
        <v>157</v>
      </c>
    </row>
    <row r="239" spans="1:27" s="1" customFormat="1" x14ac:dyDescent="0.3">
      <c r="A239" s="19">
        <v>19418</v>
      </c>
      <c r="B239" s="4" t="s">
        <v>908</v>
      </c>
      <c r="C239" s="4">
        <v>0</v>
      </c>
      <c r="D239" s="5">
        <v>42416.40892361111</v>
      </c>
      <c r="E239" s="5" t="s">
        <v>2081</v>
      </c>
      <c r="F239" s="4" t="s">
        <v>26</v>
      </c>
      <c r="G239" s="4" t="s">
        <v>489</v>
      </c>
      <c r="H239" s="4" t="s">
        <v>489</v>
      </c>
      <c r="I239" s="4" t="s">
        <v>219</v>
      </c>
      <c r="J239" s="4" t="s">
        <v>30</v>
      </c>
      <c r="K239" s="4" t="s">
        <v>31</v>
      </c>
      <c r="L239" s="5">
        <v>42426.958333333336</v>
      </c>
      <c r="M239" s="5">
        <v>42427.208333333336</v>
      </c>
      <c r="N239" s="5">
        <v>42427.25</v>
      </c>
      <c r="O239" s="4" t="s">
        <v>32</v>
      </c>
      <c r="P239" s="4" t="s">
        <v>33</v>
      </c>
      <c r="Q239" s="4" t="s">
        <v>34</v>
      </c>
      <c r="R239" s="6" t="s">
        <v>77</v>
      </c>
      <c r="S239" s="4" t="s">
        <v>176</v>
      </c>
      <c r="T239" s="4" t="s">
        <v>37</v>
      </c>
      <c r="U239" s="4" t="s">
        <v>37</v>
      </c>
      <c r="V239" s="4" t="s">
        <v>909</v>
      </c>
      <c r="W239" s="4" t="s">
        <v>37</v>
      </c>
      <c r="X239" s="4" t="s">
        <v>37</v>
      </c>
      <c r="Y239" s="4" t="s">
        <v>36</v>
      </c>
      <c r="Z239" s="4"/>
      <c r="AA239" s="4" t="s">
        <v>40</v>
      </c>
    </row>
    <row r="240" spans="1:27" s="1" customFormat="1" x14ac:dyDescent="0.3">
      <c r="A240" s="19">
        <v>19419</v>
      </c>
      <c r="B240" s="4" t="s">
        <v>910</v>
      </c>
      <c r="C240" s="4" t="s">
        <v>39</v>
      </c>
      <c r="D240" s="5">
        <v>42416.430532407408</v>
      </c>
      <c r="E240" s="5" t="s">
        <v>2081</v>
      </c>
      <c r="F240" s="4" t="s">
        <v>26</v>
      </c>
      <c r="G240" s="4" t="s">
        <v>911</v>
      </c>
      <c r="H240" s="4" t="s">
        <v>455</v>
      </c>
      <c r="I240" s="4" t="s">
        <v>221</v>
      </c>
      <c r="J240" s="4" t="s">
        <v>30</v>
      </c>
      <c r="K240" s="4" t="s">
        <v>31</v>
      </c>
      <c r="L240" s="5">
        <v>42426.916666666664</v>
      </c>
      <c r="M240" s="5">
        <v>42427.166666666664</v>
      </c>
      <c r="N240" s="5">
        <v>42427.208333333336</v>
      </c>
      <c r="O240" s="4" t="s">
        <v>32</v>
      </c>
      <c r="P240" s="4" t="s">
        <v>89</v>
      </c>
      <c r="Q240" s="4" t="s">
        <v>76</v>
      </c>
      <c r="R240" s="4" t="s">
        <v>912</v>
      </c>
      <c r="S240" s="4" t="s">
        <v>912</v>
      </c>
      <c r="T240" s="4" t="s">
        <v>36</v>
      </c>
      <c r="U240" s="4" t="s">
        <v>37</v>
      </c>
      <c r="V240" s="4" t="s">
        <v>913</v>
      </c>
      <c r="W240" s="4" t="s">
        <v>37</v>
      </c>
      <c r="X240" s="4" t="s">
        <v>37</v>
      </c>
      <c r="Y240" s="4" t="s">
        <v>36</v>
      </c>
      <c r="Z240" s="4" t="s">
        <v>914</v>
      </c>
      <c r="AA240" s="4" t="s">
        <v>257</v>
      </c>
    </row>
    <row r="241" spans="1:27" s="1" customFormat="1" x14ac:dyDescent="0.3">
      <c r="A241" s="19">
        <v>19420</v>
      </c>
      <c r="B241" s="4" t="s">
        <v>915</v>
      </c>
      <c r="C241" s="4" t="s">
        <v>2133</v>
      </c>
      <c r="D241" s="5">
        <v>42416.606782407405</v>
      </c>
      <c r="E241" s="5" t="s">
        <v>2081</v>
      </c>
      <c r="F241" s="4" t="s">
        <v>26</v>
      </c>
      <c r="G241" s="4" t="s">
        <v>513</v>
      </c>
      <c r="H241" s="4" t="s">
        <v>566</v>
      </c>
      <c r="I241" s="4" t="s">
        <v>125</v>
      </c>
      <c r="J241" s="4" t="s">
        <v>30</v>
      </c>
      <c r="K241" s="4" t="s">
        <v>31</v>
      </c>
      <c r="L241" s="5">
        <v>42417.583333333336</v>
      </c>
      <c r="M241" s="5">
        <v>42419.75</v>
      </c>
      <c r="N241" s="5">
        <v>42419.791666666664</v>
      </c>
      <c r="O241" s="4" t="s">
        <v>250</v>
      </c>
      <c r="P241" s="4" t="s">
        <v>149</v>
      </c>
      <c r="Q241" s="4" t="s">
        <v>251</v>
      </c>
      <c r="R241" s="6" t="s">
        <v>77</v>
      </c>
      <c r="S241" s="4"/>
      <c r="T241" s="4" t="s">
        <v>37</v>
      </c>
      <c r="U241" s="4" t="s">
        <v>37</v>
      </c>
      <c r="V241" s="4" t="s">
        <v>805</v>
      </c>
      <c r="W241" s="4" t="s">
        <v>37</v>
      </c>
      <c r="X241" s="4" t="s">
        <v>36</v>
      </c>
      <c r="Y241" s="4" t="s">
        <v>36</v>
      </c>
      <c r="Z241" s="4"/>
      <c r="AA241" s="4" t="s">
        <v>179</v>
      </c>
    </row>
    <row r="242" spans="1:27" s="1" customFormat="1" x14ac:dyDescent="0.3">
      <c r="A242" s="19">
        <v>19422</v>
      </c>
      <c r="B242" s="4" t="s">
        <v>916</v>
      </c>
      <c r="C242" s="4">
        <v>0</v>
      </c>
      <c r="D242" s="5">
        <v>42416.655277777776</v>
      </c>
      <c r="E242" s="5" t="s">
        <v>2081</v>
      </c>
      <c r="F242" s="4" t="s">
        <v>26</v>
      </c>
      <c r="G242" s="4" t="s">
        <v>348</v>
      </c>
      <c r="H242" s="4" t="s">
        <v>917</v>
      </c>
      <c r="I242" s="4" t="s">
        <v>88</v>
      </c>
      <c r="J242" s="4" t="s">
        <v>30</v>
      </c>
      <c r="K242" s="4" t="s">
        <v>31</v>
      </c>
      <c r="L242" s="5">
        <v>42423.333333333336</v>
      </c>
      <c r="M242" s="5">
        <v>42423.5</v>
      </c>
      <c r="N242" s="5">
        <v>42423.625</v>
      </c>
      <c r="O242" s="4" t="s">
        <v>32</v>
      </c>
      <c r="P242" s="4" t="s">
        <v>89</v>
      </c>
      <c r="Q242" s="4" t="s">
        <v>76</v>
      </c>
      <c r="R242" s="4" t="s">
        <v>918</v>
      </c>
      <c r="S242" s="4" t="s">
        <v>918</v>
      </c>
      <c r="T242" s="4" t="s">
        <v>36</v>
      </c>
      <c r="U242" s="4" t="s">
        <v>37</v>
      </c>
      <c r="V242" s="4" t="s">
        <v>919</v>
      </c>
      <c r="W242" s="4" t="s">
        <v>37</v>
      </c>
      <c r="X242" s="4" t="s">
        <v>37</v>
      </c>
      <c r="Y242" s="4" t="s">
        <v>36</v>
      </c>
      <c r="Z242" s="4" t="s">
        <v>920</v>
      </c>
      <c r="AA242" s="4" t="s">
        <v>231</v>
      </c>
    </row>
    <row r="243" spans="1:27" s="1" customFormat="1" x14ac:dyDescent="0.3">
      <c r="A243" s="19">
        <v>19426</v>
      </c>
      <c r="B243" s="4" t="s">
        <v>921</v>
      </c>
      <c r="C243" s="4" t="s">
        <v>2121</v>
      </c>
      <c r="D243" s="5">
        <v>42417.304409722223</v>
      </c>
      <c r="E243" s="5" t="s">
        <v>2081</v>
      </c>
      <c r="F243" s="4" t="s">
        <v>26</v>
      </c>
      <c r="G243" s="4" t="s">
        <v>263</v>
      </c>
      <c r="H243" s="4" t="s">
        <v>922</v>
      </c>
      <c r="I243" s="4" t="s">
        <v>203</v>
      </c>
      <c r="J243" s="4" t="s">
        <v>30</v>
      </c>
      <c r="K243" s="4" t="s">
        <v>31</v>
      </c>
      <c r="L243" s="5">
        <v>42425.916666666664</v>
      </c>
      <c r="M243" s="5">
        <v>42426.458333333336</v>
      </c>
      <c r="N243" s="5">
        <v>42426.541666666664</v>
      </c>
      <c r="O243" s="4" t="s">
        <v>32</v>
      </c>
      <c r="P243" s="4" t="s">
        <v>89</v>
      </c>
      <c r="Q243" s="4" t="s">
        <v>251</v>
      </c>
      <c r="R243" s="4" t="s">
        <v>923</v>
      </c>
      <c r="S243" s="4" t="s">
        <v>521</v>
      </c>
      <c r="T243" s="4" t="s">
        <v>37</v>
      </c>
      <c r="U243" s="4" t="s">
        <v>37</v>
      </c>
      <c r="V243" s="4" t="s">
        <v>267</v>
      </c>
      <c r="W243" s="4" t="s">
        <v>37</v>
      </c>
      <c r="X243" s="4" t="s">
        <v>37</v>
      </c>
      <c r="Y243" s="4" t="s">
        <v>36</v>
      </c>
      <c r="Z243" s="4" t="s">
        <v>924</v>
      </c>
      <c r="AA243" s="4" t="s">
        <v>40</v>
      </c>
    </row>
    <row r="244" spans="1:27" s="1" customFormat="1" x14ac:dyDescent="0.3">
      <c r="A244" s="19">
        <v>19427</v>
      </c>
      <c r="B244" s="4" t="s">
        <v>925</v>
      </c>
      <c r="C244" s="4" t="s">
        <v>2106</v>
      </c>
      <c r="D244" s="5">
        <v>42417.340266203704</v>
      </c>
      <c r="E244" s="5" t="s">
        <v>2081</v>
      </c>
      <c r="F244" s="4" t="s">
        <v>26</v>
      </c>
      <c r="G244" s="4" t="s">
        <v>243</v>
      </c>
      <c r="H244" s="4" t="s">
        <v>244</v>
      </c>
      <c r="I244" s="4" t="s">
        <v>216</v>
      </c>
      <c r="J244" s="4" t="s">
        <v>30</v>
      </c>
      <c r="K244" s="4" t="s">
        <v>31</v>
      </c>
      <c r="L244" s="5">
        <v>42425.916666666664</v>
      </c>
      <c r="M244" s="5">
        <v>42426.125</v>
      </c>
      <c r="N244" s="5">
        <v>42426.375</v>
      </c>
      <c r="O244" s="4" t="s">
        <v>32</v>
      </c>
      <c r="P244" s="4" t="s">
        <v>33</v>
      </c>
      <c r="Q244" s="4" t="s">
        <v>34</v>
      </c>
      <c r="R244" s="4" t="s">
        <v>926</v>
      </c>
      <c r="S244" s="4" t="s">
        <v>926</v>
      </c>
      <c r="T244" s="4" t="s">
        <v>37</v>
      </c>
      <c r="U244" s="4" t="s">
        <v>37</v>
      </c>
      <c r="V244" s="4" t="s">
        <v>246</v>
      </c>
      <c r="W244" s="4" t="s">
        <v>37</v>
      </c>
      <c r="X244" s="4" t="s">
        <v>37</v>
      </c>
      <c r="Y244" s="4" t="s">
        <v>36</v>
      </c>
      <c r="Z244" s="4"/>
      <c r="AA244" s="4" t="s">
        <v>179</v>
      </c>
    </row>
    <row r="245" spans="1:27" s="1" customFormat="1" x14ac:dyDescent="0.3">
      <c r="A245" s="19">
        <v>19429</v>
      </c>
      <c r="B245" s="4" t="s">
        <v>883</v>
      </c>
      <c r="C245" s="4">
        <v>0</v>
      </c>
      <c r="D245" s="5">
        <v>42417.493321759262</v>
      </c>
      <c r="E245" s="5" t="s">
        <v>2081</v>
      </c>
      <c r="F245" s="4" t="s">
        <v>26</v>
      </c>
      <c r="G245" s="4" t="s">
        <v>752</v>
      </c>
      <c r="H245" s="4" t="s">
        <v>117</v>
      </c>
      <c r="I245" s="4" t="s">
        <v>118</v>
      </c>
      <c r="J245" s="4" t="s">
        <v>30</v>
      </c>
      <c r="K245" s="4" t="s">
        <v>31</v>
      </c>
      <c r="L245" s="5">
        <v>42425.5</v>
      </c>
      <c r="M245" s="5">
        <v>42426.229166666664</v>
      </c>
      <c r="N245" s="5">
        <v>42426.291666666664</v>
      </c>
      <c r="O245" s="4" t="s">
        <v>32</v>
      </c>
      <c r="P245" s="4" t="s">
        <v>33</v>
      </c>
      <c r="Q245" s="4" t="s">
        <v>76</v>
      </c>
      <c r="R245" s="4" t="s">
        <v>884</v>
      </c>
      <c r="S245" s="4" t="s">
        <v>884</v>
      </c>
      <c r="T245" s="4" t="s">
        <v>37</v>
      </c>
      <c r="U245" s="4" t="s">
        <v>37</v>
      </c>
      <c r="V245" s="4" t="s">
        <v>121</v>
      </c>
      <c r="W245" s="4" t="s">
        <v>37</v>
      </c>
      <c r="X245" s="4" t="s">
        <v>37</v>
      </c>
      <c r="Y245" s="4" t="s">
        <v>36</v>
      </c>
      <c r="Z245" s="4" t="s">
        <v>927</v>
      </c>
      <c r="AA245" s="4" t="s">
        <v>40</v>
      </c>
    </row>
    <row r="246" spans="1:27" s="1" customFormat="1" x14ac:dyDescent="0.3">
      <c r="A246" s="19">
        <v>19430</v>
      </c>
      <c r="B246" s="4" t="s">
        <v>928</v>
      </c>
      <c r="C246" s="4">
        <v>0</v>
      </c>
      <c r="D246" s="5">
        <v>42417.509594907409</v>
      </c>
      <c r="E246" s="5" t="s">
        <v>2081</v>
      </c>
      <c r="F246" s="4" t="s">
        <v>26</v>
      </c>
      <c r="G246" s="4" t="s">
        <v>244</v>
      </c>
      <c r="H246" s="4" t="s">
        <v>422</v>
      </c>
      <c r="I246" s="4" t="s">
        <v>118</v>
      </c>
      <c r="J246" s="4" t="s">
        <v>30</v>
      </c>
      <c r="K246" s="4" t="s">
        <v>31</v>
      </c>
      <c r="L246" s="5">
        <v>42423.916666666664</v>
      </c>
      <c r="M246" s="5">
        <v>42424.5</v>
      </c>
      <c r="N246" s="5">
        <v>42424.75</v>
      </c>
      <c r="O246" s="4" t="s">
        <v>32</v>
      </c>
      <c r="P246" s="4" t="s">
        <v>33</v>
      </c>
      <c r="Q246" s="4" t="s">
        <v>50</v>
      </c>
      <c r="R246" s="6" t="s">
        <v>77</v>
      </c>
      <c r="S246" s="4" t="s">
        <v>517</v>
      </c>
      <c r="T246" s="4" t="s">
        <v>36</v>
      </c>
      <c r="U246" s="4" t="s">
        <v>37</v>
      </c>
      <c r="V246" s="4" t="s">
        <v>365</v>
      </c>
      <c r="W246" s="4" t="s">
        <v>37</v>
      </c>
      <c r="X246" s="4" t="s">
        <v>37</v>
      </c>
      <c r="Y246" s="4" t="s">
        <v>36</v>
      </c>
      <c r="Z246" s="4"/>
      <c r="AA246" s="4" t="s">
        <v>179</v>
      </c>
    </row>
    <row r="247" spans="1:27" s="1" customFormat="1" x14ac:dyDescent="0.3">
      <c r="A247" s="19">
        <v>19435</v>
      </c>
      <c r="B247" s="4" t="s">
        <v>929</v>
      </c>
      <c r="C247" s="4">
        <v>0</v>
      </c>
      <c r="D247" s="5">
        <v>42417.636759259258</v>
      </c>
      <c r="E247" s="5" t="s">
        <v>2081</v>
      </c>
      <c r="F247" s="4" t="s">
        <v>26</v>
      </c>
      <c r="G247" s="4" t="s">
        <v>852</v>
      </c>
      <c r="H247" s="4" t="s">
        <v>852</v>
      </c>
      <c r="I247" s="4" t="s">
        <v>205</v>
      </c>
      <c r="J247" s="4" t="s">
        <v>275</v>
      </c>
      <c r="K247" s="4" t="s">
        <v>31</v>
      </c>
      <c r="L247" s="5">
        <v>42427.000694444447</v>
      </c>
      <c r="M247" s="5">
        <v>42427.208333333336</v>
      </c>
      <c r="N247" s="5">
        <v>42427.25</v>
      </c>
      <c r="O247" s="4" t="s">
        <v>32</v>
      </c>
      <c r="P247" s="4" t="s">
        <v>33</v>
      </c>
      <c r="Q247" s="4" t="s">
        <v>76</v>
      </c>
      <c r="R247" s="6" t="s">
        <v>77</v>
      </c>
      <c r="S247" s="6" t="s">
        <v>77</v>
      </c>
      <c r="T247" s="4" t="s">
        <v>37</v>
      </c>
      <c r="U247" s="4" t="s">
        <v>37</v>
      </c>
      <c r="V247" s="4" t="s">
        <v>177</v>
      </c>
      <c r="W247" s="4" t="s">
        <v>37</v>
      </c>
      <c r="X247" s="4" t="s">
        <v>37</v>
      </c>
      <c r="Y247" s="4" t="s">
        <v>36</v>
      </c>
      <c r="Z247" s="4"/>
      <c r="AA247" s="4" t="s">
        <v>179</v>
      </c>
    </row>
    <row r="248" spans="1:27" s="1" customFormat="1" x14ac:dyDescent="0.3">
      <c r="A248" s="19">
        <v>19436</v>
      </c>
      <c r="B248" s="4" t="s">
        <v>756</v>
      </c>
      <c r="C248" s="4" t="s">
        <v>2117</v>
      </c>
      <c r="D248" s="5">
        <v>42417.687060185184</v>
      </c>
      <c r="E248" s="5" t="s">
        <v>2081</v>
      </c>
      <c r="F248" s="4" t="s">
        <v>26</v>
      </c>
      <c r="G248" s="4" t="s">
        <v>74</v>
      </c>
      <c r="H248" s="4" t="s">
        <v>74</v>
      </c>
      <c r="I248" s="4" t="s">
        <v>75</v>
      </c>
      <c r="J248" s="4" t="s">
        <v>49</v>
      </c>
      <c r="K248" s="4" t="s">
        <v>31</v>
      </c>
      <c r="L248" s="5">
        <v>42452.958333333336</v>
      </c>
      <c r="M248" s="5">
        <v>42453.041666666664</v>
      </c>
      <c r="N248" s="5">
        <v>42453.333333333336</v>
      </c>
      <c r="O248" s="4" t="s">
        <v>32</v>
      </c>
      <c r="P248" s="4" t="s">
        <v>33</v>
      </c>
      <c r="Q248" s="4" t="s">
        <v>76</v>
      </c>
      <c r="R248" s="6" t="s">
        <v>77</v>
      </c>
      <c r="S248" s="4" t="s">
        <v>930</v>
      </c>
      <c r="T248" s="4" t="s">
        <v>37</v>
      </c>
      <c r="U248" s="4" t="s">
        <v>37</v>
      </c>
      <c r="V248" s="4" t="s">
        <v>758</v>
      </c>
      <c r="W248" s="4" t="s">
        <v>37</v>
      </c>
      <c r="X248" s="4" t="s">
        <v>37</v>
      </c>
      <c r="Y248" s="4" t="s">
        <v>36</v>
      </c>
      <c r="Z248" s="4" t="s">
        <v>39</v>
      </c>
      <c r="AA248" s="4"/>
    </row>
    <row r="249" spans="1:27" s="1" customFormat="1" x14ac:dyDescent="0.3">
      <c r="A249" s="19">
        <v>19437</v>
      </c>
      <c r="B249" s="4" t="s">
        <v>931</v>
      </c>
      <c r="C249" s="4" t="s">
        <v>2111</v>
      </c>
      <c r="D249" s="5">
        <v>42417.691562499997</v>
      </c>
      <c r="E249" s="5" t="s">
        <v>2081</v>
      </c>
      <c r="F249" s="4" t="s">
        <v>26</v>
      </c>
      <c r="G249" s="4" t="s">
        <v>387</v>
      </c>
      <c r="H249" s="4" t="s">
        <v>387</v>
      </c>
      <c r="I249" s="4" t="s">
        <v>118</v>
      </c>
      <c r="J249" s="4" t="s">
        <v>30</v>
      </c>
      <c r="K249" s="4" t="s">
        <v>31</v>
      </c>
      <c r="L249" s="5">
        <v>42417.729166666664</v>
      </c>
      <c r="M249" s="5">
        <v>42417.854166666664</v>
      </c>
      <c r="N249" s="5">
        <v>42418</v>
      </c>
      <c r="O249" s="4" t="s">
        <v>710</v>
      </c>
      <c r="P249" s="4" t="s">
        <v>89</v>
      </c>
      <c r="Q249" s="4" t="s">
        <v>76</v>
      </c>
      <c r="R249" s="4" t="s">
        <v>932</v>
      </c>
      <c r="S249" s="4" t="s">
        <v>932</v>
      </c>
      <c r="T249" s="4" t="s">
        <v>37</v>
      </c>
      <c r="U249" s="4" t="s">
        <v>37</v>
      </c>
      <c r="V249" s="4" t="s">
        <v>202</v>
      </c>
      <c r="W249" s="4" t="s">
        <v>37</v>
      </c>
      <c r="X249" s="4" t="s">
        <v>37</v>
      </c>
      <c r="Y249" s="4" t="s">
        <v>36</v>
      </c>
      <c r="Z249" s="4" t="s">
        <v>933</v>
      </c>
      <c r="AA249" s="4" t="s">
        <v>40</v>
      </c>
    </row>
    <row r="250" spans="1:27" s="1" customFormat="1" x14ac:dyDescent="0.3">
      <c r="A250" s="19">
        <v>19438</v>
      </c>
      <c r="B250" s="4" t="s">
        <v>934</v>
      </c>
      <c r="C250" s="4">
        <v>0</v>
      </c>
      <c r="D250" s="5">
        <v>42417.720069444447</v>
      </c>
      <c r="E250" s="5" t="s">
        <v>2081</v>
      </c>
      <c r="F250" s="4" t="s">
        <v>26</v>
      </c>
      <c r="G250" s="4" t="s">
        <v>440</v>
      </c>
      <c r="H250" s="4" t="s">
        <v>935</v>
      </c>
      <c r="I250" s="4" t="s">
        <v>169</v>
      </c>
      <c r="J250" s="4" t="s">
        <v>30</v>
      </c>
      <c r="K250" s="4" t="s">
        <v>31</v>
      </c>
      <c r="L250" s="5">
        <v>42417.9375</v>
      </c>
      <c r="M250" s="5">
        <v>42417.979166666664</v>
      </c>
      <c r="N250" s="5">
        <v>42417.999305555553</v>
      </c>
      <c r="O250" s="4" t="s">
        <v>250</v>
      </c>
      <c r="P250" s="4" t="s">
        <v>89</v>
      </c>
      <c r="Q250" s="4" t="s">
        <v>119</v>
      </c>
      <c r="R250" s="6" t="s">
        <v>77</v>
      </c>
      <c r="S250" s="4"/>
      <c r="T250" s="4" t="s">
        <v>37</v>
      </c>
      <c r="U250" s="4" t="s">
        <v>37</v>
      </c>
      <c r="V250" s="4" t="s">
        <v>936</v>
      </c>
      <c r="W250" s="4" t="s">
        <v>37</v>
      </c>
      <c r="X250" s="4" t="s">
        <v>37</v>
      </c>
      <c r="Y250" s="4" t="s">
        <v>36</v>
      </c>
      <c r="Z250" s="4" t="s">
        <v>937</v>
      </c>
      <c r="AA250" s="4" t="s">
        <v>93</v>
      </c>
    </row>
    <row r="251" spans="1:27" s="1" customFormat="1" x14ac:dyDescent="0.3">
      <c r="A251" s="19">
        <v>19439</v>
      </c>
      <c r="B251" s="4" t="s">
        <v>938</v>
      </c>
      <c r="C251" s="4" t="s">
        <v>178</v>
      </c>
      <c r="D251" s="5">
        <v>42417.757233796299</v>
      </c>
      <c r="E251" s="5" t="s">
        <v>2081</v>
      </c>
      <c r="F251" s="4" t="s">
        <v>26</v>
      </c>
      <c r="G251" s="4" t="s">
        <v>285</v>
      </c>
      <c r="H251" s="4" t="s">
        <v>285</v>
      </c>
      <c r="I251" s="4" t="s">
        <v>203</v>
      </c>
      <c r="J251" s="4" t="s">
        <v>43</v>
      </c>
      <c r="K251" s="4" t="s">
        <v>31</v>
      </c>
      <c r="L251" s="5">
        <v>42424.833333333336</v>
      </c>
      <c r="M251" s="5">
        <v>42426.25</v>
      </c>
      <c r="N251" s="5">
        <v>42426.25</v>
      </c>
      <c r="O251" s="4" t="s">
        <v>32</v>
      </c>
      <c r="P251" s="4" t="s">
        <v>33</v>
      </c>
      <c r="Q251" s="4" t="s">
        <v>76</v>
      </c>
      <c r="R251" s="4" t="s">
        <v>178</v>
      </c>
      <c r="S251" s="4" t="s">
        <v>178</v>
      </c>
      <c r="T251" s="4" t="s">
        <v>36</v>
      </c>
      <c r="U251" s="4" t="s">
        <v>37</v>
      </c>
      <c r="V251" s="4" t="s">
        <v>939</v>
      </c>
      <c r="W251" s="4" t="s">
        <v>37</v>
      </c>
      <c r="X251" s="4" t="s">
        <v>37</v>
      </c>
      <c r="Y251" s="4" t="s">
        <v>36</v>
      </c>
      <c r="Z251" s="4" t="s">
        <v>940</v>
      </c>
      <c r="AA251" s="4" t="s">
        <v>93</v>
      </c>
    </row>
    <row r="252" spans="1:27" s="1" customFormat="1" x14ac:dyDescent="0.3">
      <c r="A252" s="19">
        <v>19440</v>
      </c>
      <c r="B252" s="4" t="s">
        <v>941</v>
      </c>
      <c r="C252" s="4">
        <v>0</v>
      </c>
      <c r="D252" s="5">
        <v>42417.851446759261</v>
      </c>
      <c r="E252" s="5" t="s">
        <v>2081</v>
      </c>
      <c r="F252" s="4" t="s">
        <v>26</v>
      </c>
      <c r="G252" s="4" t="s">
        <v>27</v>
      </c>
      <c r="H252" s="4" t="s">
        <v>28</v>
      </c>
      <c r="I252" s="4" t="s">
        <v>48</v>
      </c>
      <c r="J252" s="4" t="s">
        <v>942</v>
      </c>
      <c r="K252" s="4" t="s">
        <v>31</v>
      </c>
      <c r="L252" s="5">
        <v>42425.916666666664</v>
      </c>
      <c r="M252" s="5">
        <v>42426.090277777781</v>
      </c>
      <c r="N252" s="5">
        <v>42426.090277777781</v>
      </c>
      <c r="O252" s="4" t="s">
        <v>32</v>
      </c>
      <c r="P252" s="4" t="s">
        <v>33</v>
      </c>
      <c r="Q252" s="4" t="s">
        <v>50</v>
      </c>
      <c r="R252" s="4" t="s">
        <v>669</v>
      </c>
      <c r="S252" s="4" t="s">
        <v>669</v>
      </c>
      <c r="T252" s="4" t="s">
        <v>36</v>
      </c>
      <c r="U252" s="4" t="s">
        <v>37</v>
      </c>
      <c r="V252" s="4" t="s">
        <v>670</v>
      </c>
      <c r="W252" s="4" t="s">
        <v>37</v>
      </c>
      <c r="X252" s="4" t="s">
        <v>37</v>
      </c>
      <c r="Y252" s="4" t="s">
        <v>36</v>
      </c>
      <c r="Z252" s="4"/>
      <c r="AA252" s="4" t="s">
        <v>943</v>
      </c>
    </row>
    <row r="253" spans="1:27" s="1" customFormat="1" x14ac:dyDescent="0.3">
      <c r="A253" s="19">
        <v>19442</v>
      </c>
      <c r="B253" s="4" t="s">
        <v>944</v>
      </c>
      <c r="C253" s="4">
        <v>0</v>
      </c>
      <c r="D253" s="5">
        <v>42418.488854166666</v>
      </c>
      <c r="E253" s="5" t="s">
        <v>2081</v>
      </c>
      <c r="F253" s="4" t="s">
        <v>26</v>
      </c>
      <c r="G253" s="4" t="s">
        <v>945</v>
      </c>
      <c r="H253" s="4" t="s">
        <v>945</v>
      </c>
      <c r="I253" s="4" t="s">
        <v>212</v>
      </c>
      <c r="J253" s="4" t="s">
        <v>946</v>
      </c>
      <c r="K253" s="4" t="s">
        <v>31</v>
      </c>
      <c r="L253" s="5">
        <v>42426.916666666664</v>
      </c>
      <c r="M253" s="5">
        <v>42427.208333333336</v>
      </c>
      <c r="N253" s="5">
        <v>42429.208333333336</v>
      </c>
      <c r="O253" s="4" t="s">
        <v>32</v>
      </c>
      <c r="P253" s="4" t="s">
        <v>33</v>
      </c>
      <c r="Q253" s="4" t="s">
        <v>34</v>
      </c>
      <c r="R253" s="6" t="s">
        <v>77</v>
      </c>
      <c r="S253" s="4" t="s">
        <v>658</v>
      </c>
      <c r="T253" s="4" t="s">
        <v>37</v>
      </c>
      <c r="U253" s="4" t="s">
        <v>37</v>
      </c>
      <c r="V253" s="4" t="s">
        <v>345</v>
      </c>
      <c r="W253" s="4" t="s">
        <v>37</v>
      </c>
      <c r="X253" s="4" t="s">
        <v>37</v>
      </c>
      <c r="Y253" s="4" t="s">
        <v>36</v>
      </c>
      <c r="Z253" s="4"/>
      <c r="AA253" s="4" t="s">
        <v>481</v>
      </c>
    </row>
    <row r="254" spans="1:27" s="1" customFormat="1" x14ac:dyDescent="0.3">
      <c r="A254" s="19">
        <v>19449</v>
      </c>
      <c r="B254" s="4" t="s">
        <v>947</v>
      </c>
      <c r="C254" s="4" t="s">
        <v>592</v>
      </c>
      <c r="D254" s="5">
        <v>42418.630381944444</v>
      </c>
      <c r="E254" s="5" t="s">
        <v>2081</v>
      </c>
      <c r="F254" s="4" t="s">
        <v>26</v>
      </c>
      <c r="G254" s="4" t="s">
        <v>948</v>
      </c>
      <c r="H254" s="4" t="s">
        <v>948</v>
      </c>
      <c r="I254" s="4" t="s">
        <v>216</v>
      </c>
      <c r="J254" s="4" t="s">
        <v>30</v>
      </c>
      <c r="K254" s="4" t="s">
        <v>31</v>
      </c>
      <c r="L254" s="5">
        <v>42425.916666666664</v>
      </c>
      <c r="M254" s="5">
        <v>42426.1875</v>
      </c>
      <c r="N254" s="5">
        <v>42426.270833333336</v>
      </c>
      <c r="O254" s="4" t="s">
        <v>32</v>
      </c>
      <c r="P254" s="4" t="s">
        <v>89</v>
      </c>
      <c r="Q254" s="4" t="s">
        <v>50</v>
      </c>
      <c r="R254" s="6" t="s">
        <v>77</v>
      </c>
      <c r="S254" s="4" t="s">
        <v>949</v>
      </c>
      <c r="T254" s="4" t="s">
        <v>37</v>
      </c>
      <c r="U254" s="4" t="s">
        <v>37</v>
      </c>
      <c r="V254" s="4" t="s">
        <v>950</v>
      </c>
      <c r="W254" s="4" t="s">
        <v>37</v>
      </c>
      <c r="X254" s="4" t="s">
        <v>37</v>
      </c>
      <c r="Y254" s="4" t="s">
        <v>36</v>
      </c>
      <c r="Z254" s="4" t="s">
        <v>951</v>
      </c>
      <c r="AA254" s="4" t="s">
        <v>40</v>
      </c>
    </row>
    <row r="255" spans="1:27" s="1" customFormat="1" x14ac:dyDescent="0.3">
      <c r="A255" s="19">
        <v>19451</v>
      </c>
      <c r="B255" s="4" t="s">
        <v>952</v>
      </c>
      <c r="C255" s="4" t="s">
        <v>953</v>
      </c>
      <c r="D255" s="5">
        <v>42418.670451388891</v>
      </c>
      <c r="E255" s="5" t="s">
        <v>2081</v>
      </c>
      <c r="F255" s="4" t="s">
        <v>26</v>
      </c>
      <c r="G255" s="4" t="s">
        <v>421</v>
      </c>
      <c r="H255" s="4" t="s">
        <v>422</v>
      </c>
      <c r="I255" s="4" t="s">
        <v>118</v>
      </c>
      <c r="J255" s="4" t="s">
        <v>30</v>
      </c>
      <c r="K255" s="4" t="s">
        <v>31</v>
      </c>
      <c r="L255" s="5">
        <v>42425.916666666664</v>
      </c>
      <c r="M255" s="5">
        <v>42426.125</v>
      </c>
      <c r="N255" s="5">
        <v>42426.75</v>
      </c>
      <c r="O255" s="4" t="s">
        <v>32</v>
      </c>
      <c r="P255" s="4" t="s">
        <v>149</v>
      </c>
      <c r="Q255" s="4" t="s">
        <v>76</v>
      </c>
      <c r="R255" s="6" t="s">
        <v>77</v>
      </c>
      <c r="S255" s="4" t="s">
        <v>291</v>
      </c>
      <c r="T255" s="4" t="s">
        <v>37</v>
      </c>
      <c r="U255" s="4" t="s">
        <v>37</v>
      </c>
      <c r="V255" s="4" t="s">
        <v>292</v>
      </c>
      <c r="W255" s="4" t="s">
        <v>37</v>
      </c>
      <c r="X255" s="4" t="s">
        <v>37</v>
      </c>
      <c r="Y255" s="4" t="s">
        <v>36</v>
      </c>
      <c r="Z255" s="4" t="s">
        <v>953</v>
      </c>
      <c r="AA255" s="4" t="s">
        <v>40</v>
      </c>
    </row>
    <row r="256" spans="1:27" s="1" customFormat="1" x14ac:dyDescent="0.3">
      <c r="A256" s="19">
        <v>19453</v>
      </c>
      <c r="B256" s="4" t="s">
        <v>954</v>
      </c>
      <c r="C256" s="4" t="s">
        <v>2134</v>
      </c>
      <c r="D256" s="5">
        <v>42418.705833333333</v>
      </c>
      <c r="E256" s="5" t="s">
        <v>2081</v>
      </c>
      <c r="F256" s="4" t="s">
        <v>26</v>
      </c>
      <c r="G256" s="4" t="s">
        <v>513</v>
      </c>
      <c r="H256" s="4" t="s">
        <v>455</v>
      </c>
      <c r="I256" s="4" t="s">
        <v>127</v>
      </c>
      <c r="J256" s="4" t="s">
        <v>30</v>
      </c>
      <c r="K256" s="4" t="s">
        <v>31</v>
      </c>
      <c r="L256" s="5">
        <v>42424.041666666664</v>
      </c>
      <c r="M256" s="5">
        <v>42424.083333333336</v>
      </c>
      <c r="N256" s="5">
        <v>42424.125</v>
      </c>
      <c r="O256" s="4" t="s">
        <v>32</v>
      </c>
      <c r="P256" s="4" t="s">
        <v>149</v>
      </c>
      <c r="Q256" s="4" t="s">
        <v>34</v>
      </c>
      <c r="R256" s="6" t="s">
        <v>77</v>
      </c>
      <c r="S256" s="4"/>
      <c r="T256" s="4" t="s">
        <v>37</v>
      </c>
      <c r="U256" s="4" t="s">
        <v>37</v>
      </c>
      <c r="V256" s="4" t="s">
        <v>955</v>
      </c>
      <c r="W256" s="4" t="s">
        <v>37</v>
      </c>
      <c r="X256" s="4" t="s">
        <v>37</v>
      </c>
      <c r="Y256" s="4" t="s">
        <v>36</v>
      </c>
      <c r="Z256" s="4"/>
      <c r="AA256" s="4" t="s">
        <v>179</v>
      </c>
    </row>
    <row r="257" spans="1:27" s="1" customFormat="1" x14ac:dyDescent="0.3">
      <c r="A257" s="19">
        <v>19454</v>
      </c>
      <c r="B257" s="4" t="s">
        <v>386</v>
      </c>
      <c r="C257" s="4">
        <v>0</v>
      </c>
      <c r="D257" s="5">
        <v>42418.710810185185</v>
      </c>
      <c r="E257" s="5" t="s">
        <v>2081</v>
      </c>
      <c r="F257" s="4" t="s">
        <v>26</v>
      </c>
      <c r="G257" s="4" t="s">
        <v>387</v>
      </c>
      <c r="H257" s="4" t="s">
        <v>117</v>
      </c>
      <c r="I257" s="4" t="s">
        <v>118</v>
      </c>
      <c r="J257" s="4" t="s">
        <v>30</v>
      </c>
      <c r="K257" s="4" t="s">
        <v>31</v>
      </c>
      <c r="L257" s="5">
        <v>42429.541666666664</v>
      </c>
      <c r="M257" s="5">
        <v>42430.25</v>
      </c>
      <c r="N257" s="5">
        <v>42430.333333333336</v>
      </c>
      <c r="O257" s="4" t="s">
        <v>32</v>
      </c>
      <c r="P257" s="4" t="s">
        <v>33</v>
      </c>
      <c r="Q257" s="4" t="s">
        <v>251</v>
      </c>
      <c r="R257" s="4" t="s">
        <v>956</v>
      </c>
      <c r="S257" s="4" t="s">
        <v>956</v>
      </c>
      <c r="T257" s="4" t="s">
        <v>37</v>
      </c>
      <c r="U257" s="4" t="s">
        <v>37</v>
      </c>
      <c r="V257" s="4" t="s">
        <v>389</v>
      </c>
      <c r="W257" s="4" t="s">
        <v>37</v>
      </c>
      <c r="X257" s="4" t="s">
        <v>37</v>
      </c>
      <c r="Y257" s="4" t="s">
        <v>36</v>
      </c>
      <c r="Z257" s="4" t="s">
        <v>957</v>
      </c>
      <c r="AA257" s="4" t="s">
        <v>93</v>
      </c>
    </row>
    <row r="258" spans="1:27" s="1" customFormat="1" x14ac:dyDescent="0.3">
      <c r="A258" s="19">
        <v>19456</v>
      </c>
      <c r="B258" s="4" t="s">
        <v>958</v>
      </c>
      <c r="C258" s="4" t="s">
        <v>2119</v>
      </c>
      <c r="D258" s="5">
        <v>42418.712951388887</v>
      </c>
      <c r="E258" s="5" t="s">
        <v>2081</v>
      </c>
      <c r="F258" s="4" t="s">
        <v>26</v>
      </c>
      <c r="G258" s="4" t="s">
        <v>513</v>
      </c>
      <c r="H258" s="4" t="s">
        <v>566</v>
      </c>
      <c r="I258" s="4" t="s">
        <v>129</v>
      </c>
      <c r="J258" s="4" t="s">
        <v>30</v>
      </c>
      <c r="K258" s="4" t="s">
        <v>31</v>
      </c>
      <c r="L258" s="5">
        <v>42425.583333333336</v>
      </c>
      <c r="M258" s="5">
        <v>42426.75</v>
      </c>
      <c r="N258" s="5">
        <v>42426.791666666664</v>
      </c>
      <c r="O258" s="4" t="s">
        <v>32</v>
      </c>
      <c r="P258" s="4" t="s">
        <v>149</v>
      </c>
      <c r="Q258" s="4" t="s">
        <v>34</v>
      </c>
      <c r="R258" s="6" t="s">
        <v>77</v>
      </c>
      <c r="S258" s="4"/>
      <c r="T258" s="4" t="s">
        <v>37</v>
      </c>
      <c r="U258" s="4" t="s">
        <v>37</v>
      </c>
      <c r="V258" s="4" t="s">
        <v>805</v>
      </c>
      <c r="W258" s="4" t="s">
        <v>37</v>
      </c>
      <c r="X258" s="4" t="s">
        <v>37</v>
      </c>
      <c r="Y258" s="4" t="s">
        <v>36</v>
      </c>
      <c r="Z258" s="4"/>
      <c r="AA258" s="4" t="s">
        <v>179</v>
      </c>
    </row>
    <row r="259" spans="1:27" s="1" customFormat="1" x14ac:dyDescent="0.3">
      <c r="A259" s="19">
        <v>19457</v>
      </c>
      <c r="B259" s="4" t="s">
        <v>340</v>
      </c>
      <c r="C259" s="4">
        <v>0</v>
      </c>
      <c r="D259" s="5">
        <v>42418.745000000003</v>
      </c>
      <c r="E259" s="5" t="s">
        <v>2081</v>
      </c>
      <c r="F259" s="4" t="s">
        <v>26</v>
      </c>
      <c r="G259" s="4" t="s">
        <v>342</v>
      </c>
      <c r="H259" s="4" t="s">
        <v>342</v>
      </c>
      <c r="I259" s="4" t="s">
        <v>68</v>
      </c>
      <c r="J259" s="4" t="s">
        <v>343</v>
      </c>
      <c r="K259" s="4" t="s">
        <v>31</v>
      </c>
      <c r="L259" s="5">
        <v>42428.333333333336</v>
      </c>
      <c r="M259" s="5">
        <v>42428.541666666664</v>
      </c>
      <c r="N259" s="5">
        <v>42429.208333333336</v>
      </c>
      <c r="O259" s="4" t="s">
        <v>32</v>
      </c>
      <c r="P259" s="4" t="s">
        <v>33</v>
      </c>
      <c r="Q259" s="4" t="s">
        <v>76</v>
      </c>
      <c r="R259" s="6" t="s">
        <v>77</v>
      </c>
      <c r="S259" s="4" t="s">
        <v>344</v>
      </c>
      <c r="T259" s="4" t="s">
        <v>37</v>
      </c>
      <c r="U259" s="4" t="s">
        <v>37</v>
      </c>
      <c r="V259" s="4" t="s">
        <v>345</v>
      </c>
      <c r="W259" s="4" t="s">
        <v>37</v>
      </c>
      <c r="X259" s="4" t="s">
        <v>37</v>
      </c>
      <c r="Y259" s="4" t="s">
        <v>36</v>
      </c>
      <c r="Z259" s="4"/>
      <c r="AA259" s="4" t="s">
        <v>346</v>
      </c>
    </row>
    <row r="260" spans="1:27" s="1" customFormat="1" x14ac:dyDescent="0.3">
      <c r="A260" s="19">
        <v>19458</v>
      </c>
      <c r="B260" s="4" t="s">
        <v>834</v>
      </c>
      <c r="C260" s="4">
        <v>0</v>
      </c>
      <c r="D260" s="5">
        <v>42418.783912037034</v>
      </c>
      <c r="E260" s="5" t="s">
        <v>2081</v>
      </c>
      <c r="F260" s="4" t="s">
        <v>26</v>
      </c>
      <c r="G260" s="4" t="s">
        <v>945</v>
      </c>
      <c r="H260" s="4" t="s">
        <v>945</v>
      </c>
      <c r="I260" s="4" t="s">
        <v>212</v>
      </c>
      <c r="J260" s="4" t="s">
        <v>946</v>
      </c>
      <c r="K260" s="4" t="s">
        <v>31</v>
      </c>
      <c r="L260" s="5">
        <v>42426.958333333336</v>
      </c>
      <c r="M260" s="5">
        <v>42427.208333333336</v>
      </c>
      <c r="N260" s="5">
        <v>42429.208333333336</v>
      </c>
      <c r="O260" s="4" t="s">
        <v>32</v>
      </c>
      <c r="P260" s="4" t="s">
        <v>33</v>
      </c>
      <c r="Q260" s="4" t="s">
        <v>34</v>
      </c>
      <c r="R260" s="6" t="s">
        <v>77</v>
      </c>
      <c r="S260" s="4" t="s">
        <v>959</v>
      </c>
      <c r="T260" s="4" t="s">
        <v>37</v>
      </c>
      <c r="U260" s="4" t="s">
        <v>37</v>
      </c>
      <c r="V260" s="4" t="s">
        <v>960</v>
      </c>
      <c r="W260" s="4" t="s">
        <v>37</v>
      </c>
      <c r="X260" s="4" t="s">
        <v>37</v>
      </c>
      <c r="Y260" s="4" t="s">
        <v>37</v>
      </c>
      <c r="Z260" s="4" t="s">
        <v>39</v>
      </c>
      <c r="AA260" s="4" t="s">
        <v>481</v>
      </c>
    </row>
    <row r="261" spans="1:27" s="1" customFormat="1" x14ac:dyDescent="0.3">
      <c r="A261" s="19">
        <v>19460</v>
      </c>
      <c r="B261" s="4" t="s">
        <v>961</v>
      </c>
      <c r="C261" s="4">
        <v>0</v>
      </c>
      <c r="D261" s="5">
        <v>42419.407962962963</v>
      </c>
      <c r="E261" s="5" t="s">
        <v>2081</v>
      </c>
      <c r="F261" s="4" t="s">
        <v>26</v>
      </c>
      <c r="G261" s="4" t="s">
        <v>238</v>
      </c>
      <c r="H261" s="4" t="s">
        <v>279</v>
      </c>
      <c r="I261" s="4" t="s">
        <v>200</v>
      </c>
      <c r="J261" s="4" t="s">
        <v>49</v>
      </c>
      <c r="K261" s="4" t="s">
        <v>31</v>
      </c>
      <c r="L261" s="5">
        <v>42432.416666666664</v>
      </c>
      <c r="M261" s="5">
        <v>42432.694444444445</v>
      </c>
      <c r="N261" s="5">
        <v>42432.75</v>
      </c>
      <c r="O261" s="4" t="s">
        <v>32</v>
      </c>
      <c r="P261" s="4" t="s">
        <v>33</v>
      </c>
      <c r="Q261" s="4" t="s">
        <v>50</v>
      </c>
      <c r="R261" s="4" t="s">
        <v>962</v>
      </c>
      <c r="S261" s="4" t="s">
        <v>962</v>
      </c>
      <c r="T261" s="4" t="s">
        <v>37</v>
      </c>
      <c r="U261" s="4" t="s">
        <v>37</v>
      </c>
      <c r="V261" s="4" t="s">
        <v>963</v>
      </c>
      <c r="W261" s="4" t="s">
        <v>37</v>
      </c>
      <c r="X261" s="4" t="s">
        <v>37</v>
      </c>
      <c r="Y261" s="4" t="s">
        <v>36</v>
      </c>
      <c r="Z261" s="4"/>
      <c r="AA261" s="4"/>
    </row>
    <row r="262" spans="1:27" s="1" customFormat="1" x14ac:dyDescent="0.3">
      <c r="A262" s="19">
        <v>19465</v>
      </c>
      <c r="B262" s="4" t="s">
        <v>964</v>
      </c>
      <c r="C262" s="4" t="s">
        <v>2112</v>
      </c>
      <c r="D262" s="5">
        <v>42419.597361111111</v>
      </c>
      <c r="E262" s="5" t="s">
        <v>2081</v>
      </c>
      <c r="F262" s="4" t="s">
        <v>26</v>
      </c>
      <c r="G262" s="4" t="s">
        <v>712</v>
      </c>
      <c r="H262" s="4" t="s">
        <v>712</v>
      </c>
      <c r="I262" s="4" t="s">
        <v>203</v>
      </c>
      <c r="J262" s="4" t="s">
        <v>49</v>
      </c>
      <c r="K262" s="4" t="s">
        <v>31</v>
      </c>
      <c r="L262" s="5">
        <v>42428.375</v>
      </c>
      <c r="M262" s="5">
        <v>42428.625</v>
      </c>
      <c r="N262" s="5">
        <v>42429.416666666664</v>
      </c>
      <c r="O262" s="4" t="s">
        <v>32</v>
      </c>
      <c r="P262" s="4" t="s">
        <v>89</v>
      </c>
      <c r="Q262" s="4" t="s">
        <v>34</v>
      </c>
      <c r="R262" s="4" t="s">
        <v>337</v>
      </c>
      <c r="S262" s="4" t="s">
        <v>337</v>
      </c>
      <c r="T262" s="4" t="s">
        <v>36</v>
      </c>
      <c r="U262" s="4" t="s">
        <v>36</v>
      </c>
      <c r="V262" s="4" t="s">
        <v>338</v>
      </c>
      <c r="W262" s="4" t="s">
        <v>37</v>
      </c>
      <c r="X262" s="4" t="s">
        <v>37</v>
      </c>
      <c r="Y262" s="4" t="s">
        <v>36</v>
      </c>
      <c r="Z262" s="4" t="s">
        <v>592</v>
      </c>
      <c r="AA262" s="4"/>
    </row>
    <row r="263" spans="1:27" s="1" customFormat="1" x14ac:dyDescent="0.3">
      <c r="A263" s="19">
        <v>19467</v>
      </c>
      <c r="B263" s="4" t="s">
        <v>965</v>
      </c>
      <c r="C263" s="4" t="s">
        <v>2116</v>
      </c>
      <c r="D263" s="5">
        <v>42419.630949074075</v>
      </c>
      <c r="E263" s="5" t="s">
        <v>2081</v>
      </c>
      <c r="F263" s="4" t="s">
        <v>26</v>
      </c>
      <c r="G263" s="4" t="s">
        <v>310</v>
      </c>
      <c r="H263" s="4" t="s">
        <v>310</v>
      </c>
      <c r="I263" s="4" t="s">
        <v>48</v>
      </c>
      <c r="J263" s="4" t="s">
        <v>49</v>
      </c>
      <c r="K263" s="4" t="s">
        <v>31</v>
      </c>
      <c r="L263" s="5">
        <v>42424.916666666664</v>
      </c>
      <c r="M263" s="5">
        <v>42425.083333333336</v>
      </c>
      <c r="N263" s="5">
        <v>42425.125</v>
      </c>
      <c r="O263" s="4" t="s">
        <v>32</v>
      </c>
      <c r="P263" s="4" t="s">
        <v>149</v>
      </c>
      <c r="Q263" s="4" t="s">
        <v>76</v>
      </c>
      <c r="R263" s="6" t="s">
        <v>77</v>
      </c>
      <c r="S263" s="4" t="s">
        <v>881</v>
      </c>
      <c r="T263" s="4" t="s">
        <v>36</v>
      </c>
      <c r="U263" s="4" t="s">
        <v>37</v>
      </c>
      <c r="V263" s="4" t="s">
        <v>966</v>
      </c>
      <c r="W263" s="4" t="s">
        <v>37</v>
      </c>
      <c r="X263" s="4" t="s">
        <v>37</v>
      </c>
      <c r="Y263" s="4" t="s">
        <v>37</v>
      </c>
      <c r="Z263" s="4"/>
      <c r="AA263" s="4"/>
    </row>
    <row r="264" spans="1:27" s="1" customFormat="1" x14ac:dyDescent="0.3">
      <c r="A264" s="19">
        <v>19468</v>
      </c>
      <c r="B264" s="4" t="s">
        <v>898</v>
      </c>
      <c r="C264" s="4" t="s">
        <v>2111</v>
      </c>
      <c r="D264" s="5">
        <v>42419.64135416667</v>
      </c>
      <c r="E264" s="5" t="s">
        <v>2081</v>
      </c>
      <c r="F264" s="4" t="s">
        <v>26</v>
      </c>
      <c r="G264" s="4" t="s">
        <v>244</v>
      </c>
      <c r="H264" s="4" t="s">
        <v>244</v>
      </c>
      <c r="I264" s="4" t="s">
        <v>118</v>
      </c>
      <c r="J264" s="4" t="s">
        <v>30</v>
      </c>
      <c r="K264" s="4" t="s">
        <v>31</v>
      </c>
      <c r="L264" s="5">
        <v>42417.916666666664</v>
      </c>
      <c r="M264" s="5">
        <v>42418.5</v>
      </c>
      <c r="N264" s="5">
        <v>42418.75</v>
      </c>
      <c r="O264" s="4" t="s">
        <v>710</v>
      </c>
      <c r="P264" s="4" t="s">
        <v>89</v>
      </c>
      <c r="Q264" s="4" t="s">
        <v>76</v>
      </c>
      <c r="R264" s="6" t="s">
        <v>77</v>
      </c>
      <c r="S264" s="4" t="s">
        <v>517</v>
      </c>
      <c r="T264" s="4" t="s">
        <v>37</v>
      </c>
      <c r="U264" s="4" t="s">
        <v>37</v>
      </c>
      <c r="V264" s="4" t="s">
        <v>365</v>
      </c>
      <c r="W264" s="4" t="s">
        <v>37</v>
      </c>
      <c r="X264" s="4" t="s">
        <v>37</v>
      </c>
      <c r="Y264" s="4" t="s">
        <v>36</v>
      </c>
      <c r="Z264" s="4" t="s">
        <v>967</v>
      </c>
      <c r="AA264" s="4" t="s">
        <v>179</v>
      </c>
    </row>
    <row r="265" spans="1:27" s="1" customFormat="1" x14ac:dyDescent="0.3">
      <c r="A265" s="19">
        <v>19470</v>
      </c>
      <c r="B265" s="4" t="s">
        <v>968</v>
      </c>
      <c r="C265" s="4">
        <v>0</v>
      </c>
      <c r="D265" s="5">
        <v>42419.674525462964</v>
      </c>
      <c r="E265" s="5" t="s">
        <v>2081</v>
      </c>
      <c r="F265" s="4" t="s">
        <v>26</v>
      </c>
      <c r="G265" s="4" t="s">
        <v>489</v>
      </c>
      <c r="H265" s="4" t="s">
        <v>489</v>
      </c>
      <c r="I265" s="4" t="s">
        <v>219</v>
      </c>
      <c r="J265" s="4" t="s">
        <v>30</v>
      </c>
      <c r="K265" s="4" t="s">
        <v>31</v>
      </c>
      <c r="L265" s="5">
        <v>42434.958333333336</v>
      </c>
      <c r="M265" s="5">
        <v>42435.208333333336</v>
      </c>
      <c r="N265" s="5">
        <v>42435.25</v>
      </c>
      <c r="O265" s="4" t="s">
        <v>32</v>
      </c>
      <c r="P265" s="4" t="s">
        <v>33</v>
      </c>
      <c r="Q265" s="4" t="s">
        <v>50</v>
      </c>
      <c r="R265" s="6" t="s">
        <v>77</v>
      </c>
      <c r="S265" s="4" t="s">
        <v>969</v>
      </c>
      <c r="T265" s="4" t="s">
        <v>36</v>
      </c>
      <c r="U265" s="4" t="s">
        <v>37</v>
      </c>
      <c r="V265" s="4" t="s">
        <v>970</v>
      </c>
      <c r="W265" s="4" t="s">
        <v>37</v>
      </c>
      <c r="X265" s="4" t="s">
        <v>37</v>
      </c>
      <c r="Y265" s="4" t="s">
        <v>36</v>
      </c>
      <c r="Z265" s="4"/>
      <c r="AA265" s="4" t="s">
        <v>40</v>
      </c>
    </row>
    <row r="266" spans="1:27" s="1" customFormat="1" x14ac:dyDescent="0.3">
      <c r="A266" s="19">
        <v>19471</v>
      </c>
      <c r="B266" s="4" t="s">
        <v>971</v>
      </c>
      <c r="C266" s="4" t="s">
        <v>2116</v>
      </c>
      <c r="D266" s="5">
        <v>42419.67491898148</v>
      </c>
      <c r="E266" s="5" t="s">
        <v>2081</v>
      </c>
      <c r="F266" s="4" t="s">
        <v>26</v>
      </c>
      <c r="G266" s="4" t="s">
        <v>310</v>
      </c>
      <c r="H266" s="4" t="s">
        <v>310</v>
      </c>
      <c r="I266" s="4" t="s">
        <v>42</v>
      </c>
      <c r="J266" s="4" t="s">
        <v>49</v>
      </c>
      <c r="K266" s="4" t="s">
        <v>31</v>
      </c>
      <c r="L266" s="5">
        <v>42425.916666666664</v>
      </c>
      <c r="M266" s="5">
        <v>42426.041666666664</v>
      </c>
      <c r="N266" s="5">
        <v>42426.083333333336</v>
      </c>
      <c r="O266" s="4" t="s">
        <v>32</v>
      </c>
      <c r="P266" s="4" t="s">
        <v>149</v>
      </c>
      <c r="Q266" s="4" t="s">
        <v>76</v>
      </c>
      <c r="R266" s="6" t="s">
        <v>77</v>
      </c>
      <c r="S266" s="4" t="s">
        <v>972</v>
      </c>
      <c r="T266" s="4" t="s">
        <v>37</v>
      </c>
      <c r="U266" s="4" t="s">
        <v>37</v>
      </c>
      <c r="V266" s="4" t="s">
        <v>973</v>
      </c>
      <c r="W266" s="4" t="s">
        <v>37</v>
      </c>
      <c r="X266" s="4" t="s">
        <v>37</v>
      </c>
      <c r="Y266" s="4" t="s">
        <v>36</v>
      </c>
      <c r="Z266" s="4"/>
      <c r="AA266" s="4"/>
    </row>
    <row r="267" spans="1:27" s="1" customFormat="1" x14ac:dyDescent="0.3">
      <c r="A267" s="19">
        <v>19472</v>
      </c>
      <c r="B267" s="4" t="s">
        <v>974</v>
      </c>
      <c r="C267" s="4">
        <v>0</v>
      </c>
      <c r="D267" s="5">
        <v>42419.678587962961</v>
      </c>
      <c r="E267" s="5" t="s">
        <v>2081</v>
      </c>
      <c r="F267" s="4" t="s">
        <v>26</v>
      </c>
      <c r="G267" s="4" t="s">
        <v>47</v>
      </c>
      <c r="H267" s="4" t="s">
        <v>47</v>
      </c>
      <c r="I267" s="4" t="s">
        <v>48</v>
      </c>
      <c r="J267" s="4" t="s">
        <v>49</v>
      </c>
      <c r="K267" s="4" t="s">
        <v>31</v>
      </c>
      <c r="L267" s="5">
        <v>42425.458333333336</v>
      </c>
      <c r="M267" s="5">
        <v>42425.583333333336</v>
      </c>
      <c r="N267" s="5">
        <v>42425.625</v>
      </c>
      <c r="O267" s="4" t="s">
        <v>32</v>
      </c>
      <c r="P267" s="4" t="s">
        <v>33</v>
      </c>
      <c r="Q267" s="4" t="s">
        <v>76</v>
      </c>
      <c r="R267" s="4" t="s">
        <v>975</v>
      </c>
      <c r="S267" s="4" t="s">
        <v>975</v>
      </c>
      <c r="T267" s="4" t="s">
        <v>37</v>
      </c>
      <c r="U267" s="4" t="s">
        <v>37</v>
      </c>
      <c r="V267" s="4" t="s">
        <v>976</v>
      </c>
      <c r="W267" s="4" t="s">
        <v>37</v>
      </c>
      <c r="X267" s="4" t="s">
        <v>37</v>
      </c>
      <c r="Y267" s="4" t="s">
        <v>36</v>
      </c>
      <c r="Z267" s="4"/>
      <c r="AA267" s="4"/>
    </row>
    <row r="268" spans="1:27" s="1" customFormat="1" x14ac:dyDescent="0.3">
      <c r="A268" s="19">
        <v>19477</v>
      </c>
      <c r="B268" s="4" t="s">
        <v>977</v>
      </c>
      <c r="C268" s="4" t="s">
        <v>2123</v>
      </c>
      <c r="D268" s="5">
        <v>42422.659432870372</v>
      </c>
      <c r="E268" s="5" t="s">
        <v>2081</v>
      </c>
      <c r="F268" s="4" t="s">
        <v>26</v>
      </c>
      <c r="G268" s="4" t="s">
        <v>445</v>
      </c>
      <c r="H268" s="4" t="s">
        <v>978</v>
      </c>
      <c r="I268" s="4" t="s">
        <v>203</v>
      </c>
      <c r="J268" s="4" t="s">
        <v>49</v>
      </c>
      <c r="K268" s="4" t="s">
        <v>31</v>
      </c>
      <c r="L268" s="5">
        <v>42436.833333333336</v>
      </c>
      <c r="M268" s="5">
        <v>42436.916666666664</v>
      </c>
      <c r="N268" s="5">
        <v>42436.958333333336</v>
      </c>
      <c r="O268" s="4" t="s">
        <v>32</v>
      </c>
      <c r="P268" s="4" t="s">
        <v>89</v>
      </c>
      <c r="Q268" s="4" t="s">
        <v>34</v>
      </c>
      <c r="R268" s="4" t="s">
        <v>381</v>
      </c>
      <c r="S268" s="4" t="s">
        <v>381</v>
      </c>
      <c r="T268" s="4" t="s">
        <v>36</v>
      </c>
      <c r="U268" s="4" t="s">
        <v>36</v>
      </c>
      <c r="V268" s="4" t="s">
        <v>382</v>
      </c>
      <c r="W268" s="4" t="s">
        <v>37</v>
      </c>
      <c r="X268" s="4" t="s">
        <v>37</v>
      </c>
      <c r="Y268" s="4" t="s">
        <v>36</v>
      </c>
      <c r="Z268" s="4" t="s">
        <v>448</v>
      </c>
      <c r="AA268" s="4"/>
    </row>
    <row r="269" spans="1:27" s="1" customFormat="1" x14ac:dyDescent="0.3">
      <c r="A269" s="19">
        <v>19479</v>
      </c>
      <c r="B269" s="4" t="s">
        <v>979</v>
      </c>
      <c r="C269" s="4" t="s">
        <v>979</v>
      </c>
      <c r="D269" s="5">
        <v>42422.697453703702</v>
      </c>
      <c r="E269" s="5" t="s">
        <v>2081</v>
      </c>
      <c r="F269" s="4" t="s">
        <v>26</v>
      </c>
      <c r="G269" s="4" t="s">
        <v>74</v>
      </c>
      <c r="H269" s="4" t="s">
        <v>74</v>
      </c>
      <c r="I269" s="4" t="s">
        <v>75</v>
      </c>
      <c r="J269" s="4" t="s">
        <v>49</v>
      </c>
      <c r="K269" s="4" t="s">
        <v>31</v>
      </c>
      <c r="L269" s="5">
        <v>42454.875</v>
      </c>
      <c r="M269" s="5">
        <v>42454.958333333336</v>
      </c>
      <c r="N269" s="5">
        <v>42457.333333333336</v>
      </c>
      <c r="O269" s="4" t="s">
        <v>32</v>
      </c>
      <c r="P269" s="4" t="s">
        <v>33</v>
      </c>
      <c r="Q269" s="4" t="s">
        <v>34</v>
      </c>
      <c r="R269" s="6" t="s">
        <v>77</v>
      </c>
      <c r="S269" s="4" t="s">
        <v>980</v>
      </c>
      <c r="T269" s="4" t="s">
        <v>37</v>
      </c>
      <c r="U269" s="4" t="s">
        <v>37</v>
      </c>
      <c r="V269" s="4" t="s">
        <v>646</v>
      </c>
      <c r="W269" s="4" t="s">
        <v>37</v>
      </c>
      <c r="X269" s="4" t="s">
        <v>37</v>
      </c>
      <c r="Y269" s="4" t="s">
        <v>36</v>
      </c>
      <c r="Z269" s="4" t="s">
        <v>39</v>
      </c>
      <c r="AA269" s="4"/>
    </row>
    <row r="270" spans="1:27" s="1" customFormat="1" x14ac:dyDescent="0.3">
      <c r="A270" s="19">
        <v>19480</v>
      </c>
      <c r="B270" s="4" t="s">
        <v>981</v>
      </c>
      <c r="C270" s="4" t="s">
        <v>39</v>
      </c>
      <c r="D270" s="5">
        <v>42422.742372685185</v>
      </c>
      <c r="E270" s="5" t="s">
        <v>2081</v>
      </c>
      <c r="F270" s="4" t="s">
        <v>26</v>
      </c>
      <c r="G270" s="4" t="s">
        <v>982</v>
      </c>
      <c r="H270" s="4" t="s">
        <v>982</v>
      </c>
      <c r="I270" s="4" t="s">
        <v>68</v>
      </c>
      <c r="J270" s="4" t="s">
        <v>30</v>
      </c>
      <c r="K270" s="4" t="s">
        <v>31</v>
      </c>
      <c r="L270" s="5">
        <v>42430.645833333336</v>
      </c>
      <c r="M270" s="5">
        <v>42430.6875</v>
      </c>
      <c r="N270" s="5">
        <v>42430.729166666664</v>
      </c>
      <c r="O270" s="4" t="s">
        <v>32</v>
      </c>
      <c r="P270" s="4" t="s">
        <v>89</v>
      </c>
      <c r="Q270" s="4" t="s">
        <v>34</v>
      </c>
      <c r="R270" s="6" t="s">
        <v>77</v>
      </c>
      <c r="S270" s="4" t="s">
        <v>983</v>
      </c>
      <c r="T270" s="4" t="s">
        <v>37</v>
      </c>
      <c r="U270" s="4" t="s">
        <v>37</v>
      </c>
      <c r="V270" s="4" t="s">
        <v>984</v>
      </c>
      <c r="W270" s="4" t="s">
        <v>37</v>
      </c>
      <c r="X270" s="4" t="s">
        <v>37</v>
      </c>
      <c r="Y270" s="4" t="s">
        <v>36</v>
      </c>
      <c r="Z270" s="4" t="s">
        <v>985</v>
      </c>
      <c r="AA270" s="4" t="s">
        <v>231</v>
      </c>
    </row>
    <row r="271" spans="1:27" s="1" customFormat="1" x14ac:dyDescent="0.3">
      <c r="A271" s="19">
        <v>19483</v>
      </c>
      <c r="B271" s="4" t="s">
        <v>986</v>
      </c>
      <c r="C271" s="4" t="s">
        <v>2111</v>
      </c>
      <c r="D271" s="5">
        <v>42423.655694444446</v>
      </c>
      <c r="E271" s="5" t="s">
        <v>2081</v>
      </c>
      <c r="F271" s="4" t="s">
        <v>26</v>
      </c>
      <c r="G271" s="4" t="s">
        <v>132</v>
      </c>
      <c r="H271" s="4" t="s">
        <v>132</v>
      </c>
      <c r="I271" s="4" t="s">
        <v>214</v>
      </c>
      <c r="J271" s="4" t="s">
        <v>543</v>
      </c>
      <c r="K271" s="4" t="s">
        <v>31</v>
      </c>
      <c r="L271" s="5">
        <v>42426.5</v>
      </c>
      <c r="M271" s="5">
        <v>42426.625</v>
      </c>
      <c r="N271" s="5">
        <v>42426.666666666664</v>
      </c>
      <c r="O271" s="4" t="s">
        <v>710</v>
      </c>
      <c r="P271" s="4" t="s">
        <v>33</v>
      </c>
      <c r="Q271" s="4" t="s">
        <v>76</v>
      </c>
      <c r="R271" s="4" t="s">
        <v>987</v>
      </c>
      <c r="S271" s="4" t="s">
        <v>987</v>
      </c>
      <c r="T271" s="4" t="s">
        <v>37</v>
      </c>
      <c r="U271" s="4" t="s">
        <v>37</v>
      </c>
      <c r="V271" s="4" t="s">
        <v>988</v>
      </c>
      <c r="W271" s="4" t="s">
        <v>37</v>
      </c>
      <c r="X271" s="4" t="s">
        <v>37</v>
      </c>
      <c r="Y271" s="4" t="s">
        <v>36</v>
      </c>
      <c r="Z271" s="4"/>
      <c r="AA271" s="4"/>
    </row>
    <row r="272" spans="1:27" s="1" customFormat="1" x14ac:dyDescent="0.3">
      <c r="A272" s="19">
        <v>19484</v>
      </c>
      <c r="B272" s="4" t="s">
        <v>989</v>
      </c>
      <c r="C272" s="4" t="s">
        <v>2136</v>
      </c>
      <c r="D272" s="5">
        <v>42423.683900462966</v>
      </c>
      <c r="E272" s="5" t="s">
        <v>2081</v>
      </c>
      <c r="F272" s="4" t="s">
        <v>26</v>
      </c>
      <c r="G272" s="4" t="s">
        <v>728</v>
      </c>
      <c r="H272" s="4" t="s">
        <v>729</v>
      </c>
      <c r="I272" s="4" t="s">
        <v>80</v>
      </c>
      <c r="J272" s="4" t="s">
        <v>49</v>
      </c>
      <c r="K272" s="4" t="s">
        <v>31</v>
      </c>
      <c r="L272" s="5">
        <v>42430.041666666664</v>
      </c>
      <c r="M272" s="5">
        <v>42430.333333333336</v>
      </c>
      <c r="N272" s="5">
        <v>42430.375</v>
      </c>
      <c r="O272" s="4" t="s">
        <v>32</v>
      </c>
      <c r="P272" s="4" t="s">
        <v>89</v>
      </c>
      <c r="Q272" s="4" t="s">
        <v>251</v>
      </c>
      <c r="R272" s="6" t="s">
        <v>77</v>
      </c>
      <c r="S272" s="4" t="s">
        <v>990</v>
      </c>
      <c r="T272" s="4" t="s">
        <v>36</v>
      </c>
      <c r="U272" s="4" t="s">
        <v>37</v>
      </c>
      <c r="V272" s="4" t="s">
        <v>991</v>
      </c>
      <c r="W272" s="4" t="s">
        <v>37</v>
      </c>
      <c r="X272" s="4" t="s">
        <v>37</v>
      </c>
      <c r="Y272" s="4" t="s">
        <v>37</v>
      </c>
      <c r="Z272" s="4" t="s">
        <v>165</v>
      </c>
      <c r="AA272" s="4"/>
    </row>
    <row r="273" spans="1:27" s="1" customFormat="1" x14ac:dyDescent="0.3">
      <c r="A273" s="19">
        <v>19485</v>
      </c>
      <c r="B273" s="4" t="s">
        <v>992</v>
      </c>
      <c r="C273" s="4">
        <v>0</v>
      </c>
      <c r="D273" s="5">
        <v>42423.6875</v>
      </c>
      <c r="E273" s="5" t="s">
        <v>2081</v>
      </c>
      <c r="F273" s="4" t="s">
        <v>26</v>
      </c>
      <c r="G273" s="4" t="s">
        <v>348</v>
      </c>
      <c r="H273" s="4" t="s">
        <v>348</v>
      </c>
      <c r="I273" s="4" t="s">
        <v>88</v>
      </c>
      <c r="J273" s="4" t="s">
        <v>30</v>
      </c>
      <c r="K273" s="4" t="s">
        <v>31</v>
      </c>
      <c r="L273" s="5">
        <v>42429.916666666664</v>
      </c>
      <c r="M273" s="5">
        <v>42430.041666666664</v>
      </c>
      <c r="N273" s="5">
        <v>42430.125</v>
      </c>
      <c r="O273" s="4" t="s">
        <v>32</v>
      </c>
      <c r="P273" s="4" t="s">
        <v>89</v>
      </c>
      <c r="Q273" s="4" t="s">
        <v>76</v>
      </c>
      <c r="R273" s="4" t="s">
        <v>993</v>
      </c>
      <c r="S273" s="4" t="s">
        <v>993</v>
      </c>
      <c r="T273" s="4" t="s">
        <v>37</v>
      </c>
      <c r="U273" s="4" t="s">
        <v>37</v>
      </c>
      <c r="V273" s="4" t="s">
        <v>994</v>
      </c>
      <c r="W273" s="4" t="s">
        <v>37</v>
      </c>
      <c r="X273" s="4" t="s">
        <v>36</v>
      </c>
      <c r="Y273" s="4" t="s">
        <v>36</v>
      </c>
      <c r="Z273" s="4" t="s">
        <v>995</v>
      </c>
      <c r="AA273" s="4" t="s">
        <v>179</v>
      </c>
    </row>
    <row r="274" spans="1:27" s="1" customFormat="1" x14ac:dyDescent="0.3">
      <c r="A274" s="19">
        <v>19487</v>
      </c>
      <c r="B274" s="4" t="s">
        <v>996</v>
      </c>
      <c r="C274" s="4" t="s">
        <v>39</v>
      </c>
      <c r="D274" s="5">
        <v>42424.428298611114</v>
      </c>
      <c r="E274" s="5" t="s">
        <v>2081</v>
      </c>
      <c r="F274" s="4" t="s">
        <v>26</v>
      </c>
      <c r="G274" s="4" t="s">
        <v>440</v>
      </c>
      <c r="H274" s="4" t="s">
        <v>440</v>
      </c>
      <c r="I274" s="4" t="s">
        <v>88</v>
      </c>
      <c r="J274" s="4" t="s">
        <v>30</v>
      </c>
      <c r="K274" s="4" t="s">
        <v>31</v>
      </c>
      <c r="L274" s="5">
        <v>42429.947916666664</v>
      </c>
      <c r="M274" s="5">
        <v>42429.999305555553</v>
      </c>
      <c r="N274" s="5">
        <v>42430.124305555553</v>
      </c>
      <c r="O274" s="4" t="s">
        <v>32</v>
      </c>
      <c r="P274" s="4" t="s">
        <v>89</v>
      </c>
      <c r="Q274" s="4" t="s">
        <v>119</v>
      </c>
      <c r="R274" s="4" t="s">
        <v>441</v>
      </c>
      <c r="S274" s="4" t="s">
        <v>441</v>
      </c>
      <c r="T274" s="4" t="s">
        <v>37</v>
      </c>
      <c r="U274" s="4" t="s">
        <v>37</v>
      </c>
      <c r="V274" s="4" t="s">
        <v>997</v>
      </c>
      <c r="W274" s="4" t="s">
        <v>37</v>
      </c>
      <c r="X274" s="4" t="s">
        <v>37</v>
      </c>
      <c r="Y274" s="4" t="s">
        <v>36</v>
      </c>
      <c r="Z274" s="4" t="s">
        <v>39</v>
      </c>
      <c r="AA274" s="4" t="s">
        <v>93</v>
      </c>
    </row>
    <row r="275" spans="1:27" s="1" customFormat="1" x14ac:dyDescent="0.3">
      <c r="A275" s="19">
        <v>19488</v>
      </c>
      <c r="B275" s="4" t="s">
        <v>998</v>
      </c>
      <c r="C275" s="4">
        <v>0</v>
      </c>
      <c r="D275" s="5">
        <v>42424.451319444444</v>
      </c>
      <c r="E275" s="5" t="s">
        <v>2081</v>
      </c>
      <c r="F275" s="4" t="s">
        <v>26</v>
      </c>
      <c r="G275" s="4" t="s">
        <v>478</v>
      </c>
      <c r="H275" s="4" t="s">
        <v>478</v>
      </c>
      <c r="I275" s="4" t="s">
        <v>71</v>
      </c>
      <c r="J275" s="4" t="s">
        <v>479</v>
      </c>
      <c r="K275" s="4" t="s">
        <v>31</v>
      </c>
      <c r="L275" s="5">
        <v>42442.333333333336</v>
      </c>
      <c r="M275" s="5">
        <v>42442.5</v>
      </c>
      <c r="N275" s="5">
        <v>42442.75</v>
      </c>
      <c r="O275" s="4" t="s">
        <v>32</v>
      </c>
      <c r="P275" s="4" t="s">
        <v>33</v>
      </c>
      <c r="Q275" s="4" t="s">
        <v>50</v>
      </c>
      <c r="R275" s="6" t="s">
        <v>77</v>
      </c>
      <c r="S275" s="4" t="s">
        <v>999</v>
      </c>
      <c r="T275" s="4" t="s">
        <v>36</v>
      </c>
      <c r="U275" s="4" t="s">
        <v>37</v>
      </c>
      <c r="V275" s="4" t="s">
        <v>837</v>
      </c>
      <c r="W275" s="4" t="s">
        <v>37</v>
      </c>
      <c r="X275" s="4" t="s">
        <v>37</v>
      </c>
      <c r="Y275" s="4" t="s">
        <v>36</v>
      </c>
      <c r="Z275" s="4"/>
      <c r="AA275" s="4" t="s">
        <v>481</v>
      </c>
    </row>
    <row r="276" spans="1:27" s="1" customFormat="1" x14ac:dyDescent="0.3">
      <c r="A276" s="19">
        <v>19490</v>
      </c>
      <c r="B276" s="4" t="s">
        <v>1000</v>
      </c>
      <c r="C276" s="4" t="s">
        <v>2137</v>
      </c>
      <c r="D276" s="5">
        <v>42424.516851851855</v>
      </c>
      <c r="E276" s="5" t="s">
        <v>2081</v>
      </c>
      <c r="F276" s="4" t="s">
        <v>26</v>
      </c>
      <c r="G276" s="4" t="s">
        <v>656</v>
      </c>
      <c r="H276" s="4" t="s">
        <v>656</v>
      </c>
      <c r="I276" s="4" t="s">
        <v>203</v>
      </c>
      <c r="J276" s="4" t="s">
        <v>30</v>
      </c>
      <c r="K276" s="4" t="s">
        <v>31</v>
      </c>
      <c r="L276" s="5">
        <v>42424.875</v>
      </c>
      <c r="M276" s="5">
        <v>42425.166666666664</v>
      </c>
      <c r="N276" s="5">
        <v>42425.347222222219</v>
      </c>
      <c r="O276" s="4" t="s">
        <v>250</v>
      </c>
      <c r="P276" s="4" t="s">
        <v>89</v>
      </c>
      <c r="Q276" s="4" t="s">
        <v>119</v>
      </c>
      <c r="R276" s="4" t="s">
        <v>1001</v>
      </c>
      <c r="S276" s="4" t="s">
        <v>1001</v>
      </c>
      <c r="T276" s="4" t="s">
        <v>37</v>
      </c>
      <c r="U276" s="4" t="s">
        <v>37</v>
      </c>
      <c r="V276" s="4" t="s">
        <v>1002</v>
      </c>
      <c r="W276" s="4" t="s">
        <v>37</v>
      </c>
      <c r="X276" s="4" t="s">
        <v>37</v>
      </c>
      <c r="Y276" s="4" t="s">
        <v>36</v>
      </c>
      <c r="Z276" s="4" t="s">
        <v>1003</v>
      </c>
      <c r="AA276" s="4" t="s">
        <v>40</v>
      </c>
    </row>
    <row r="277" spans="1:27" s="1" customFormat="1" x14ac:dyDescent="0.3">
      <c r="A277" s="19">
        <v>19491</v>
      </c>
      <c r="B277" s="4" t="s">
        <v>1004</v>
      </c>
      <c r="C277" s="4">
        <v>0</v>
      </c>
      <c r="D277" s="5">
        <v>42424.520115740743</v>
      </c>
      <c r="E277" s="5" t="s">
        <v>2081</v>
      </c>
      <c r="F277" s="4" t="s">
        <v>26</v>
      </c>
      <c r="G277" s="4" t="s">
        <v>224</v>
      </c>
      <c r="H277" s="4" t="s">
        <v>224</v>
      </c>
      <c r="I277" s="4" t="s">
        <v>216</v>
      </c>
      <c r="J277" s="4" t="s">
        <v>225</v>
      </c>
      <c r="K277" s="4" t="s">
        <v>31</v>
      </c>
      <c r="L277" s="5">
        <v>42447.916666666664</v>
      </c>
      <c r="M277" s="5">
        <v>42448.208333333336</v>
      </c>
      <c r="N277" s="5">
        <v>42448.25</v>
      </c>
      <c r="O277" s="4" t="s">
        <v>32</v>
      </c>
      <c r="P277" s="4" t="s">
        <v>89</v>
      </c>
      <c r="Q277" s="4" t="s">
        <v>50</v>
      </c>
      <c r="R277" s="6" t="s">
        <v>77</v>
      </c>
      <c r="S277" s="4" t="s">
        <v>1005</v>
      </c>
      <c r="T277" s="4" t="s">
        <v>37</v>
      </c>
      <c r="U277" s="4" t="s">
        <v>37</v>
      </c>
      <c r="V277" s="4" t="s">
        <v>227</v>
      </c>
      <c r="W277" s="4" t="s">
        <v>37</v>
      </c>
      <c r="X277" s="4" t="s">
        <v>37</v>
      </c>
      <c r="Y277" s="4" t="s">
        <v>36</v>
      </c>
      <c r="Z277" s="4" t="s">
        <v>530</v>
      </c>
      <c r="AA277" s="4" t="s">
        <v>40</v>
      </c>
    </row>
    <row r="278" spans="1:27" s="1" customFormat="1" x14ac:dyDescent="0.3">
      <c r="A278" s="19">
        <v>19493</v>
      </c>
      <c r="B278" s="4" t="s">
        <v>1006</v>
      </c>
      <c r="C278" s="4" t="s">
        <v>2126</v>
      </c>
      <c r="D278" s="5">
        <v>42424.630601851852</v>
      </c>
      <c r="E278" s="5" t="s">
        <v>2081</v>
      </c>
      <c r="F278" s="4" t="s">
        <v>26</v>
      </c>
      <c r="G278" s="4" t="s">
        <v>173</v>
      </c>
      <c r="H278" s="4" t="s">
        <v>173</v>
      </c>
      <c r="I278" s="4" t="s">
        <v>174</v>
      </c>
      <c r="J278" s="4" t="s">
        <v>175</v>
      </c>
      <c r="K278" s="4" t="s">
        <v>31</v>
      </c>
      <c r="L278" s="5">
        <v>42440.958333333336</v>
      </c>
      <c r="M278" s="5">
        <v>42441.208333333336</v>
      </c>
      <c r="N278" s="5">
        <v>42441.25</v>
      </c>
      <c r="O278" s="4" t="s">
        <v>32</v>
      </c>
      <c r="P278" s="4" t="s">
        <v>33</v>
      </c>
      <c r="Q278" s="4" t="s">
        <v>76</v>
      </c>
      <c r="R278" s="4" t="s">
        <v>196</v>
      </c>
      <c r="S278" s="4" t="s">
        <v>196</v>
      </c>
      <c r="T278" s="4" t="s">
        <v>37</v>
      </c>
      <c r="U278" s="4" t="s">
        <v>37</v>
      </c>
      <c r="V278" s="4" t="s">
        <v>1007</v>
      </c>
      <c r="W278" s="4" t="s">
        <v>37</v>
      </c>
      <c r="X278" s="4" t="s">
        <v>37</v>
      </c>
      <c r="Y278" s="4" t="s">
        <v>36</v>
      </c>
      <c r="Z278" s="4" t="s">
        <v>178</v>
      </c>
      <c r="AA278" s="4" t="s">
        <v>179</v>
      </c>
    </row>
    <row r="279" spans="1:27" s="1" customFormat="1" x14ac:dyDescent="0.3">
      <c r="A279" s="19">
        <v>19495</v>
      </c>
      <c r="B279" s="4" t="s">
        <v>488</v>
      </c>
      <c r="C279" s="4">
        <v>0</v>
      </c>
      <c r="D279" s="5">
        <v>42424.668611111112</v>
      </c>
      <c r="E279" s="5" t="s">
        <v>2081</v>
      </c>
      <c r="F279" s="4" t="s">
        <v>26</v>
      </c>
      <c r="G279" s="4" t="s">
        <v>489</v>
      </c>
      <c r="H279" s="4" t="s">
        <v>489</v>
      </c>
      <c r="I279" s="4" t="s">
        <v>219</v>
      </c>
      <c r="J279" s="4" t="s">
        <v>30</v>
      </c>
      <c r="K279" s="4" t="s">
        <v>31</v>
      </c>
      <c r="L279" s="5">
        <v>42433.958333333336</v>
      </c>
      <c r="M279" s="5">
        <v>42434.208333333336</v>
      </c>
      <c r="N279" s="5">
        <v>42434.25</v>
      </c>
      <c r="O279" s="4" t="s">
        <v>32</v>
      </c>
      <c r="P279" s="4" t="s">
        <v>33</v>
      </c>
      <c r="Q279" s="4" t="s">
        <v>34</v>
      </c>
      <c r="R279" s="6" t="s">
        <v>77</v>
      </c>
      <c r="S279" s="4" t="s">
        <v>176</v>
      </c>
      <c r="T279" s="4" t="s">
        <v>37</v>
      </c>
      <c r="U279" s="4" t="s">
        <v>37</v>
      </c>
      <c r="V279" s="4" t="s">
        <v>490</v>
      </c>
      <c r="W279" s="4" t="s">
        <v>36</v>
      </c>
      <c r="X279" s="4" t="s">
        <v>37</v>
      </c>
      <c r="Y279" s="4" t="s">
        <v>36</v>
      </c>
      <c r="Z279" s="4"/>
      <c r="AA279" s="4" t="s">
        <v>40</v>
      </c>
    </row>
    <row r="280" spans="1:27" s="1" customFormat="1" x14ac:dyDescent="0.3">
      <c r="A280" s="19">
        <v>19499</v>
      </c>
      <c r="B280" s="4" t="s">
        <v>1008</v>
      </c>
      <c r="C280" s="4" t="s">
        <v>2119</v>
      </c>
      <c r="D280" s="5">
        <v>42424.711099537039</v>
      </c>
      <c r="E280" s="5" t="s">
        <v>2081</v>
      </c>
      <c r="F280" s="4" t="s">
        <v>26</v>
      </c>
      <c r="G280" s="4" t="s">
        <v>513</v>
      </c>
      <c r="H280" s="4" t="s">
        <v>566</v>
      </c>
      <c r="I280" s="4" t="s">
        <v>127</v>
      </c>
      <c r="J280" s="4" t="s">
        <v>30</v>
      </c>
      <c r="K280" s="4" t="s">
        <v>31</v>
      </c>
      <c r="L280" s="5">
        <v>42432.625</v>
      </c>
      <c r="M280" s="5">
        <v>42432.791666666664</v>
      </c>
      <c r="N280" s="5">
        <v>42432.875</v>
      </c>
      <c r="O280" s="4" t="s">
        <v>32</v>
      </c>
      <c r="P280" s="4" t="s">
        <v>149</v>
      </c>
      <c r="Q280" s="4" t="s">
        <v>34</v>
      </c>
      <c r="R280" s="6" t="s">
        <v>77</v>
      </c>
      <c r="S280" s="4"/>
      <c r="T280" s="4" t="s">
        <v>37</v>
      </c>
      <c r="U280" s="4" t="s">
        <v>37</v>
      </c>
      <c r="V280" s="4" t="s">
        <v>805</v>
      </c>
      <c r="W280" s="4" t="s">
        <v>37</v>
      </c>
      <c r="X280" s="4" t="s">
        <v>37</v>
      </c>
      <c r="Y280" s="4" t="s">
        <v>36</v>
      </c>
      <c r="Z280" s="4"/>
      <c r="AA280" s="4" t="s">
        <v>179</v>
      </c>
    </row>
    <row r="281" spans="1:27" s="1" customFormat="1" x14ac:dyDescent="0.3">
      <c r="A281" s="19">
        <v>19501</v>
      </c>
      <c r="B281" s="4" t="s">
        <v>1009</v>
      </c>
      <c r="C281" s="4" t="s">
        <v>2111</v>
      </c>
      <c r="D281" s="5">
        <v>42424.821493055555</v>
      </c>
      <c r="E281" s="5" t="s">
        <v>2081</v>
      </c>
      <c r="F281" s="4" t="s">
        <v>26</v>
      </c>
      <c r="G281" s="4" t="s">
        <v>1010</v>
      </c>
      <c r="H281" s="4" t="s">
        <v>922</v>
      </c>
      <c r="I281" s="4" t="s">
        <v>118</v>
      </c>
      <c r="J281" s="4" t="s">
        <v>30</v>
      </c>
      <c r="K281" s="4" t="s">
        <v>31</v>
      </c>
      <c r="L281" s="5">
        <v>42424.958333333336</v>
      </c>
      <c r="M281" s="5">
        <v>42425.375</v>
      </c>
      <c r="N281" s="5">
        <v>42425.708333333336</v>
      </c>
      <c r="O281" s="4" t="s">
        <v>710</v>
      </c>
      <c r="P281" s="4" t="s">
        <v>89</v>
      </c>
      <c r="Q281" s="4" t="s">
        <v>76</v>
      </c>
      <c r="R281" s="4" t="s">
        <v>1011</v>
      </c>
      <c r="S281" s="4" t="s">
        <v>1011</v>
      </c>
      <c r="T281" s="4" t="s">
        <v>37</v>
      </c>
      <c r="U281" s="4" t="s">
        <v>36</v>
      </c>
      <c r="V281" s="4" t="s">
        <v>1012</v>
      </c>
      <c r="W281" s="4" t="s">
        <v>37</v>
      </c>
      <c r="X281" s="4" t="s">
        <v>37</v>
      </c>
      <c r="Y281" s="4" t="s">
        <v>36</v>
      </c>
      <c r="Z281" s="4" t="s">
        <v>1013</v>
      </c>
      <c r="AA281" s="4" t="s">
        <v>40</v>
      </c>
    </row>
    <row r="282" spans="1:27" s="1" customFormat="1" x14ac:dyDescent="0.3">
      <c r="A282" s="19">
        <v>19502</v>
      </c>
      <c r="B282" s="4" t="s">
        <v>1014</v>
      </c>
      <c r="C282" s="4" t="s">
        <v>2134</v>
      </c>
      <c r="D282" s="5">
        <v>42425.413831018515</v>
      </c>
      <c r="E282" s="5" t="s">
        <v>2081</v>
      </c>
      <c r="F282" s="4" t="s">
        <v>26</v>
      </c>
      <c r="G282" s="4" t="s">
        <v>513</v>
      </c>
      <c r="H282" s="4" t="s">
        <v>566</v>
      </c>
      <c r="I282" s="4" t="s">
        <v>129</v>
      </c>
      <c r="J282" s="4" t="s">
        <v>30</v>
      </c>
      <c r="K282" s="4" t="s">
        <v>31</v>
      </c>
      <c r="L282" s="5">
        <v>42433.583333333336</v>
      </c>
      <c r="M282" s="5">
        <v>42433.791666666664</v>
      </c>
      <c r="N282" s="5">
        <v>42433.875</v>
      </c>
      <c r="O282" s="4" t="s">
        <v>32</v>
      </c>
      <c r="P282" s="4" t="s">
        <v>149</v>
      </c>
      <c r="Q282" s="4" t="s">
        <v>34</v>
      </c>
      <c r="R282" s="6" t="s">
        <v>77</v>
      </c>
      <c r="S282" s="4"/>
      <c r="T282" s="4" t="s">
        <v>37</v>
      </c>
      <c r="U282" s="4" t="s">
        <v>37</v>
      </c>
      <c r="V282" s="4" t="s">
        <v>805</v>
      </c>
      <c r="W282" s="4" t="s">
        <v>37</v>
      </c>
      <c r="X282" s="4" t="s">
        <v>37</v>
      </c>
      <c r="Y282" s="4" t="s">
        <v>37</v>
      </c>
      <c r="Z282" s="4"/>
      <c r="AA282" s="4" t="s">
        <v>179</v>
      </c>
    </row>
    <row r="283" spans="1:27" s="1" customFormat="1" x14ac:dyDescent="0.3">
      <c r="A283" s="19">
        <v>19503</v>
      </c>
      <c r="B283" s="4" t="s">
        <v>883</v>
      </c>
      <c r="C283" s="4">
        <v>0</v>
      </c>
      <c r="D283" s="5">
        <v>42425.445277777777</v>
      </c>
      <c r="E283" s="5" t="s">
        <v>2081</v>
      </c>
      <c r="F283" s="4" t="s">
        <v>26</v>
      </c>
      <c r="G283" s="4" t="s">
        <v>116</v>
      </c>
      <c r="H283" s="4" t="s">
        <v>117</v>
      </c>
      <c r="I283" s="4" t="s">
        <v>118</v>
      </c>
      <c r="J283" s="4" t="s">
        <v>30</v>
      </c>
      <c r="K283" s="4" t="s">
        <v>31</v>
      </c>
      <c r="L283" s="5">
        <v>42438.5</v>
      </c>
      <c r="M283" s="5">
        <v>42439.270833333336</v>
      </c>
      <c r="N283" s="5">
        <v>42439.291666666664</v>
      </c>
      <c r="O283" s="4" t="s">
        <v>32</v>
      </c>
      <c r="P283" s="4" t="s">
        <v>33</v>
      </c>
      <c r="Q283" s="4" t="s">
        <v>119</v>
      </c>
      <c r="R283" s="4" t="s">
        <v>884</v>
      </c>
      <c r="S283" s="4" t="s">
        <v>884</v>
      </c>
      <c r="T283" s="4" t="s">
        <v>37</v>
      </c>
      <c r="U283" s="4" t="s">
        <v>37</v>
      </c>
      <c r="V283" s="4" t="s">
        <v>202</v>
      </c>
      <c r="W283" s="4" t="s">
        <v>37</v>
      </c>
      <c r="X283" s="4" t="s">
        <v>36</v>
      </c>
      <c r="Y283" s="4" t="s">
        <v>36</v>
      </c>
      <c r="Z283" s="4" t="s">
        <v>1015</v>
      </c>
      <c r="AA283" s="4" t="s">
        <v>40</v>
      </c>
    </row>
    <row r="284" spans="1:27" s="1" customFormat="1" x14ac:dyDescent="0.3">
      <c r="A284" s="19">
        <v>19504</v>
      </c>
      <c r="B284" s="4" t="s">
        <v>1016</v>
      </c>
      <c r="C284" s="4" t="s">
        <v>1016</v>
      </c>
      <c r="D284" s="5">
        <v>42425.583611111113</v>
      </c>
      <c r="E284" s="5" t="s">
        <v>2081</v>
      </c>
      <c r="F284" s="4" t="s">
        <v>26</v>
      </c>
      <c r="G284" s="4" t="s">
        <v>168</v>
      </c>
      <c r="H284" s="4" t="s">
        <v>168</v>
      </c>
      <c r="I284" s="4" t="s">
        <v>221</v>
      </c>
      <c r="J284" s="4" t="s">
        <v>30</v>
      </c>
      <c r="K284" s="4" t="s">
        <v>31</v>
      </c>
      <c r="L284" s="5">
        <v>42425.75</v>
      </c>
      <c r="M284" s="5">
        <v>42426.208333333336</v>
      </c>
      <c r="N284" s="5">
        <v>42426.25</v>
      </c>
      <c r="O284" s="4" t="s">
        <v>250</v>
      </c>
      <c r="P284" s="4" t="s">
        <v>89</v>
      </c>
      <c r="Q284" s="4" t="s">
        <v>251</v>
      </c>
      <c r="R284" s="6" t="s">
        <v>77</v>
      </c>
      <c r="S284" s="4" t="s">
        <v>1017</v>
      </c>
      <c r="T284" s="4" t="s">
        <v>36</v>
      </c>
      <c r="U284" s="4" t="s">
        <v>37</v>
      </c>
      <c r="V284" s="4" t="s">
        <v>171</v>
      </c>
      <c r="W284" s="4" t="s">
        <v>37</v>
      </c>
      <c r="X284" s="4" t="s">
        <v>37</v>
      </c>
      <c r="Y284" s="4" t="s">
        <v>36</v>
      </c>
      <c r="Z284" s="4" t="s">
        <v>39</v>
      </c>
      <c r="AA284" s="4" t="s">
        <v>40</v>
      </c>
    </row>
    <row r="285" spans="1:27" s="1" customFormat="1" x14ac:dyDescent="0.3">
      <c r="A285" s="19">
        <v>19505</v>
      </c>
      <c r="B285" s="4" t="s">
        <v>1018</v>
      </c>
      <c r="C285" s="4">
        <v>0</v>
      </c>
      <c r="D285" s="5">
        <v>42425.613692129627</v>
      </c>
      <c r="E285" s="5" t="s">
        <v>2081</v>
      </c>
      <c r="F285" s="4" t="s">
        <v>26</v>
      </c>
      <c r="G285" s="4" t="s">
        <v>244</v>
      </c>
      <c r="H285" s="4" t="s">
        <v>422</v>
      </c>
      <c r="I285" s="4" t="s">
        <v>118</v>
      </c>
      <c r="J285" s="4" t="s">
        <v>30</v>
      </c>
      <c r="K285" s="4" t="s">
        <v>31</v>
      </c>
      <c r="L285" s="5">
        <v>42430.916666666664</v>
      </c>
      <c r="M285" s="5">
        <v>42431.5</v>
      </c>
      <c r="N285" s="5">
        <v>42431.75</v>
      </c>
      <c r="O285" s="4" t="s">
        <v>32</v>
      </c>
      <c r="P285" s="4" t="s">
        <v>33</v>
      </c>
      <c r="Q285" s="4" t="s">
        <v>50</v>
      </c>
      <c r="R285" s="6" t="s">
        <v>77</v>
      </c>
      <c r="S285" s="4" t="s">
        <v>517</v>
      </c>
      <c r="T285" s="4" t="s">
        <v>36</v>
      </c>
      <c r="U285" s="4" t="s">
        <v>37</v>
      </c>
      <c r="V285" s="4" t="s">
        <v>365</v>
      </c>
      <c r="W285" s="4" t="s">
        <v>37</v>
      </c>
      <c r="X285" s="4" t="s">
        <v>37</v>
      </c>
      <c r="Y285" s="4" t="s">
        <v>36</v>
      </c>
      <c r="Z285" s="4"/>
      <c r="AA285" s="4" t="s">
        <v>179</v>
      </c>
    </row>
    <row r="286" spans="1:27" s="1" customFormat="1" x14ac:dyDescent="0.3">
      <c r="A286" s="19">
        <v>19506</v>
      </c>
      <c r="B286" s="4" t="s">
        <v>1019</v>
      </c>
      <c r="C286" s="4">
        <v>0</v>
      </c>
      <c r="D286" s="5">
        <v>42425.637997685182</v>
      </c>
      <c r="E286" s="5" t="s">
        <v>2081</v>
      </c>
      <c r="F286" s="4" t="s">
        <v>26</v>
      </c>
      <c r="G286" s="4" t="s">
        <v>244</v>
      </c>
      <c r="H286" s="4" t="s">
        <v>422</v>
      </c>
      <c r="I286" s="4" t="s">
        <v>118</v>
      </c>
      <c r="J286" s="4" t="s">
        <v>30</v>
      </c>
      <c r="K286" s="4" t="s">
        <v>31</v>
      </c>
      <c r="L286" s="5">
        <v>42430.916666666664</v>
      </c>
      <c r="M286" s="5">
        <v>42431.5</v>
      </c>
      <c r="N286" s="5">
        <v>42431.75</v>
      </c>
      <c r="O286" s="4" t="s">
        <v>32</v>
      </c>
      <c r="P286" s="4" t="s">
        <v>33</v>
      </c>
      <c r="Q286" s="4" t="s">
        <v>50</v>
      </c>
      <c r="R286" s="6" t="s">
        <v>77</v>
      </c>
      <c r="S286" s="4" t="s">
        <v>517</v>
      </c>
      <c r="T286" s="4" t="s">
        <v>36</v>
      </c>
      <c r="U286" s="4" t="s">
        <v>37</v>
      </c>
      <c r="V286" s="4" t="s">
        <v>365</v>
      </c>
      <c r="W286" s="4" t="s">
        <v>37</v>
      </c>
      <c r="X286" s="4" t="s">
        <v>37</v>
      </c>
      <c r="Y286" s="4" t="s">
        <v>36</v>
      </c>
      <c r="Z286" s="4"/>
      <c r="AA286" s="4" t="s">
        <v>179</v>
      </c>
    </row>
    <row r="287" spans="1:27" s="1" customFormat="1" x14ac:dyDescent="0.3">
      <c r="A287" s="19">
        <v>19507</v>
      </c>
      <c r="B287" s="4" t="s">
        <v>1020</v>
      </c>
      <c r="C287" s="4" t="s">
        <v>2126</v>
      </c>
      <c r="D287" s="5">
        <v>42425.6643287037</v>
      </c>
      <c r="E287" s="5" t="s">
        <v>2081</v>
      </c>
      <c r="F287" s="4" t="s">
        <v>26</v>
      </c>
      <c r="G287" s="4" t="s">
        <v>173</v>
      </c>
      <c r="H287" s="4" t="s">
        <v>173</v>
      </c>
      <c r="I287" s="4" t="s">
        <v>174</v>
      </c>
      <c r="J287" s="4" t="s">
        <v>175</v>
      </c>
      <c r="K287" s="4" t="s">
        <v>31</v>
      </c>
      <c r="L287" s="5">
        <v>42441.958333333336</v>
      </c>
      <c r="M287" s="5">
        <v>42442.208333333336</v>
      </c>
      <c r="N287" s="5">
        <v>42442.25</v>
      </c>
      <c r="O287" s="4" t="s">
        <v>32</v>
      </c>
      <c r="P287" s="4" t="s">
        <v>33</v>
      </c>
      <c r="Q287" s="4" t="s">
        <v>76</v>
      </c>
      <c r="R287" s="4" t="s">
        <v>1021</v>
      </c>
      <c r="S287" s="4" t="s">
        <v>1021</v>
      </c>
      <c r="T287" s="4" t="s">
        <v>37</v>
      </c>
      <c r="U287" s="4" t="s">
        <v>37</v>
      </c>
      <c r="V287" s="4" t="s">
        <v>1022</v>
      </c>
      <c r="W287" s="4" t="s">
        <v>37</v>
      </c>
      <c r="X287" s="4" t="s">
        <v>37</v>
      </c>
      <c r="Y287" s="4" t="s">
        <v>36</v>
      </c>
      <c r="Z287" s="4" t="s">
        <v>178</v>
      </c>
      <c r="AA287" s="4" t="s">
        <v>179</v>
      </c>
    </row>
    <row r="288" spans="1:27" s="1" customFormat="1" x14ac:dyDescent="0.3">
      <c r="A288" s="19">
        <v>19508</v>
      </c>
      <c r="B288" s="4" t="s">
        <v>1023</v>
      </c>
      <c r="C288" s="4">
        <v>0</v>
      </c>
      <c r="D288" s="5">
        <v>42425.664675925924</v>
      </c>
      <c r="E288" s="5" t="s">
        <v>2081</v>
      </c>
      <c r="F288" s="4" t="s">
        <v>26</v>
      </c>
      <c r="G288" s="4" t="s">
        <v>244</v>
      </c>
      <c r="H288" s="4" t="s">
        <v>422</v>
      </c>
      <c r="I288" s="4" t="s">
        <v>118</v>
      </c>
      <c r="J288" s="4" t="s">
        <v>30</v>
      </c>
      <c r="K288" s="4" t="s">
        <v>31</v>
      </c>
      <c r="L288" s="5">
        <v>42430.916666666664</v>
      </c>
      <c r="M288" s="5">
        <v>42431.5</v>
      </c>
      <c r="N288" s="5">
        <v>42431.75</v>
      </c>
      <c r="O288" s="4" t="s">
        <v>32</v>
      </c>
      <c r="P288" s="4" t="s">
        <v>33</v>
      </c>
      <c r="Q288" s="4" t="s">
        <v>50</v>
      </c>
      <c r="R288" s="6" t="s">
        <v>77</v>
      </c>
      <c r="S288" s="4" t="s">
        <v>517</v>
      </c>
      <c r="T288" s="4" t="s">
        <v>36</v>
      </c>
      <c r="U288" s="4" t="s">
        <v>37</v>
      </c>
      <c r="V288" s="4" t="s">
        <v>365</v>
      </c>
      <c r="W288" s="4" t="s">
        <v>37</v>
      </c>
      <c r="X288" s="4" t="s">
        <v>37</v>
      </c>
      <c r="Y288" s="4" t="s">
        <v>36</v>
      </c>
      <c r="Z288" s="4"/>
      <c r="AA288" s="4" t="s">
        <v>179</v>
      </c>
    </row>
    <row r="289" spans="1:27" s="1" customFormat="1" x14ac:dyDescent="0.3">
      <c r="A289" s="19">
        <v>19509</v>
      </c>
      <c r="B289" s="4" t="s">
        <v>1024</v>
      </c>
      <c r="C289" s="4">
        <v>0</v>
      </c>
      <c r="D289" s="5">
        <v>42425.680196759262</v>
      </c>
      <c r="E289" s="5" t="s">
        <v>2081</v>
      </c>
      <c r="F289" s="4" t="s">
        <v>26</v>
      </c>
      <c r="G289" s="4" t="s">
        <v>576</v>
      </c>
      <c r="H289" s="4" t="s">
        <v>1025</v>
      </c>
      <c r="I289" s="4" t="s">
        <v>203</v>
      </c>
      <c r="J289" s="4" t="s">
        <v>1026</v>
      </c>
      <c r="K289" s="4" t="s">
        <v>31</v>
      </c>
      <c r="L289" s="5">
        <v>42425.999305555553</v>
      </c>
      <c r="M289" s="5">
        <v>42426.166666666664</v>
      </c>
      <c r="N289" s="5">
        <v>42426.208333333336</v>
      </c>
      <c r="O289" s="4" t="s">
        <v>250</v>
      </c>
      <c r="P289" s="4" t="s">
        <v>89</v>
      </c>
      <c r="Q289" s="4" t="s">
        <v>119</v>
      </c>
      <c r="R289" s="4"/>
      <c r="S289" s="6" t="s">
        <v>77</v>
      </c>
      <c r="T289" s="4" t="s">
        <v>36</v>
      </c>
      <c r="U289" s="4" t="s">
        <v>37</v>
      </c>
      <c r="V289" s="4" t="s">
        <v>1027</v>
      </c>
      <c r="W289" s="4" t="s">
        <v>37</v>
      </c>
      <c r="X289" s="4" t="s">
        <v>37</v>
      </c>
      <c r="Y289" s="4" t="s">
        <v>36</v>
      </c>
      <c r="Z289" s="4" t="s">
        <v>1028</v>
      </c>
      <c r="AA289" s="4" t="s">
        <v>144</v>
      </c>
    </row>
    <row r="290" spans="1:27" s="1" customFormat="1" x14ac:dyDescent="0.3">
      <c r="A290" s="19">
        <v>19510</v>
      </c>
      <c r="B290" s="4" t="s">
        <v>1029</v>
      </c>
      <c r="C290" s="4" t="s">
        <v>2111</v>
      </c>
      <c r="D290" s="5">
        <v>42425.700856481482</v>
      </c>
      <c r="E290" s="5" t="s">
        <v>2081</v>
      </c>
      <c r="F290" s="4" t="s">
        <v>26</v>
      </c>
      <c r="G290" s="4" t="s">
        <v>244</v>
      </c>
      <c r="H290" s="4" t="s">
        <v>244</v>
      </c>
      <c r="I290" s="4" t="s">
        <v>118</v>
      </c>
      <c r="J290" s="4" t="s">
        <v>30</v>
      </c>
      <c r="K290" s="4" t="s">
        <v>31</v>
      </c>
      <c r="L290" s="5">
        <v>42425.916666666664</v>
      </c>
      <c r="M290" s="5">
        <v>42426.5</v>
      </c>
      <c r="N290" s="5">
        <v>42426.75</v>
      </c>
      <c r="O290" s="4" t="s">
        <v>710</v>
      </c>
      <c r="P290" s="4" t="s">
        <v>33</v>
      </c>
      <c r="Q290" s="4" t="s">
        <v>76</v>
      </c>
      <c r="R290" s="6" t="s">
        <v>77</v>
      </c>
      <c r="S290" s="4" t="s">
        <v>517</v>
      </c>
      <c r="T290" s="4" t="s">
        <v>37</v>
      </c>
      <c r="U290" s="4" t="s">
        <v>37</v>
      </c>
      <c r="V290" s="4" t="s">
        <v>365</v>
      </c>
      <c r="W290" s="4" t="s">
        <v>37</v>
      </c>
      <c r="X290" s="4" t="s">
        <v>37</v>
      </c>
      <c r="Y290" s="4" t="s">
        <v>36</v>
      </c>
      <c r="Z290" s="4"/>
      <c r="AA290" s="4" t="s">
        <v>179</v>
      </c>
    </row>
    <row r="291" spans="1:27" s="1" customFormat="1" x14ac:dyDescent="0.3">
      <c r="A291" s="19">
        <v>19513</v>
      </c>
      <c r="B291" s="4" t="s">
        <v>1030</v>
      </c>
      <c r="C291" s="4" t="s">
        <v>2111</v>
      </c>
      <c r="D291" s="5">
        <v>42426.492731481485</v>
      </c>
      <c r="E291" s="5" t="s">
        <v>2081</v>
      </c>
      <c r="F291" s="4" t="s">
        <v>26</v>
      </c>
      <c r="G291" s="4" t="s">
        <v>289</v>
      </c>
      <c r="H291" s="4" t="s">
        <v>290</v>
      </c>
      <c r="I291" s="4" t="s">
        <v>118</v>
      </c>
      <c r="J291" s="4" t="s">
        <v>30</v>
      </c>
      <c r="K291" s="4" t="s">
        <v>31</v>
      </c>
      <c r="L291" s="5">
        <v>42426.583333333336</v>
      </c>
      <c r="M291" s="5">
        <v>42426.666666666664</v>
      </c>
      <c r="N291" s="5">
        <v>42426.791666666664</v>
      </c>
      <c r="O291" s="4" t="s">
        <v>710</v>
      </c>
      <c r="P291" s="4" t="s">
        <v>89</v>
      </c>
      <c r="Q291" s="4" t="s">
        <v>76</v>
      </c>
      <c r="R291" s="4" t="s">
        <v>291</v>
      </c>
      <c r="S291" s="6" t="s">
        <v>77</v>
      </c>
      <c r="T291" s="4" t="s">
        <v>37</v>
      </c>
      <c r="U291" s="4" t="s">
        <v>37</v>
      </c>
      <c r="V291" s="4" t="s">
        <v>292</v>
      </c>
      <c r="W291" s="4" t="s">
        <v>37</v>
      </c>
      <c r="X291" s="4" t="s">
        <v>37</v>
      </c>
      <c r="Y291" s="4" t="s">
        <v>36</v>
      </c>
      <c r="Z291" s="4"/>
      <c r="AA291" s="4" t="s">
        <v>93</v>
      </c>
    </row>
    <row r="292" spans="1:27" s="1" customFormat="1" x14ac:dyDescent="0.3">
      <c r="A292" s="19">
        <v>19515</v>
      </c>
      <c r="B292" s="4" t="s">
        <v>1031</v>
      </c>
      <c r="C292" s="4">
        <v>0</v>
      </c>
      <c r="D292" s="5">
        <v>42426.547106481485</v>
      </c>
      <c r="E292" s="5" t="s">
        <v>2081</v>
      </c>
      <c r="F292" s="4" t="s">
        <v>26</v>
      </c>
      <c r="G292" s="4" t="s">
        <v>464</v>
      </c>
      <c r="H292" s="4" t="s">
        <v>1032</v>
      </c>
      <c r="I292" s="4" t="s">
        <v>213</v>
      </c>
      <c r="J292" s="4" t="s">
        <v>30</v>
      </c>
      <c r="K292" s="4" t="s">
        <v>31</v>
      </c>
      <c r="L292" s="5">
        <v>42432.416666666664</v>
      </c>
      <c r="M292" s="5">
        <v>42432.583333333336</v>
      </c>
      <c r="N292" s="5">
        <v>42432.625</v>
      </c>
      <c r="O292" s="4" t="s">
        <v>32</v>
      </c>
      <c r="P292" s="4" t="s">
        <v>89</v>
      </c>
      <c r="Q292" s="4" t="s">
        <v>34</v>
      </c>
      <c r="R292" s="4" t="s">
        <v>1033</v>
      </c>
      <c r="S292" s="4" t="s">
        <v>1033</v>
      </c>
      <c r="T292" s="4" t="s">
        <v>37</v>
      </c>
      <c r="U292" s="4" t="s">
        <v>37</v>
      </c>
      <c r="V292" s="4" t="s">
        <v>1034</v>
      </c>
      <c r="W292" s="4" t="s">
        <v>37</v>
      </c>
      <c r="X292" s="4" t="s">
        <v>37</v>
      </c>
      <c r="Y292" s="4" t="s">
        <v>36</v>
      </c>
      <c r="Z292" s="4" t="s">
        <v>1035</v>
      </c>
      <c r="AA292" s="4" t="s">
        <v>40</v>
      </c>
    </row>
    <row r="293" spans="1:27" s="1" customFormat="1" x14ac:dyDescent="0.3">
      <c r="A293" s="19">
        <v>19517</v>
      </c>
      <c r="B293" s="4" t="s">
        <v>1036</v>
      </c>
      <c r="C293" s="4" t="s">
        <v>2111</v>
      </c>
      <c r="D293" s="5">
        <v>42426.583055555559</v>
      </c>
      <c r="E293" s="5" t="s">
        <v>2081</v>
      </c>
      <c r="F293" s="4" t="s">
        <v>26</v>
      </c>
      <c r="G293" s="4" t="s">
        <v>244</v>
      </c>
      <c r="H293" s="4" t="s">
        <v>244</v>
      </c>
      <c r="I293" s="4" t="s">
        <v>118</v>
      </c>
      <c r="J293" s="4" t="s">
        <v>30</v>
      </c>
      <c r="K293" s="4" t="s">
        <v>31</v>
      </c>
      <c r="L293" s="5">
        <v>42426.916666666664</v>
      </c>
      <c r="M293" s="5">
        <v>42427.5</v>
      </c>
      <c r="N293" s="5">
        <v>42427.75</v>
      </c>
      <c r="O293" s="4" t="s">
        <v>710</v>
      </c>
      <c r="P293" s="4" t="s">
        <v>33</v>
      </c>
      <c r="Q293" s="4" t="s">
        <v>76</v>
      </c>
      <c r="R293" s="6" t="s">
        <v>77</v>
      </c>
      <c r="S293" s="4" t="s">
        <v>517</v>
      </c>
      <c r="T293" s="4" t="s">
        <v>37</v>
      </c>
      <c r="U293" s="4" t="s">
        <v>37</v>
      </c>
      <c r="V293" s="4" t="s">
        <v>365</v>
      </c>
      <c r="W293" s="4" t="s">
        <v>37</v>
      </c>
      <c r="X293" s="4" t="s">
        <v>37</v>
      </c>
      <c r="Y293" s="4" t="s">
        <v>36</v>
      </c>
      <c r="Z293" s="4"/>
      <c r="AA293" s="4" t="s">
        <v>179</v>
      </c>
    </row>
    <row r="294" spans="1:27" s="1" customFormat="1" x14ac:dyDescent="0.3">
      <c r="A294" s="19">
        <v>19518</v>
      </c>
      <c r="B294" s="4" t="s">
        <v>1037</v>
      </c>
      <c r="C294" s="4" t="s">
        <v>2115</v>
      </c>
      <c r="D294" s="5">
        <v>42426.660231481481</v>
      </c>
      <c r="E294" s="5" t="s">
        <v>2081</v>
      </c>
      <c r="F294" s="4" t="s">
        <v>26</v>
      </c>
      <c r="G294" s="4" t="s">
        <v>146</v>
      </c>
      <c r="H294" s="4" t="s">
        <v>147</v>
      </c>
      <c r="I294" s="4" t="s">
        <v>48</v>
      </c>
      <c r="J294" s="4" t="s">
        <v>148</v>
      </c>
      <c r="K294" s="4" t="s">
        <v>31</v>
      </c>
      <c r="L294" s="5">
        <v>42432.916666666664</v>
      </c>
      <c r="M294" s="5">
        <v>42433.083333333336</v>
      </c>
      <c r="N294" s="5">
        <v>42433.166666666664</v>
      </c>
      <c r="O294" s="4" t="s">
        <v>32</v>
      </c>
      <c r="P294" s="4" t="s">
        <v>149</v>
      </c>
      <c r="Q294" s="4" t="s">
        <v>76</v>
      </c>
      <c r="R294" s="4" t="s">
        <v>1038</v>
      </c>
      <c r="S294" s="4" t="s">
        <v>1038</v>
      </c>
      <c r="T294" s="4" t="s">
        <v>37</v>
      </c>
      <c r="U294" s="4" t="s">
        <v>37</v>
      </c>
      <c r="V294" s="4" t="s">
        <v>1039</v>
      </c>
      <c r="W294" s="4" t="s">
        <v>37</v>
      </c>
      <c r="X294" s="4" t="s">
        <v>37</v>
      </c>
      <c r="Y294" s="4" t="s">
        <v>36</v>
      </c>
      <c r="Z294" s="4"/>
      <c r="AA294" s="4"/>
    </row>
    <row r="295" spans="1:27" s="1" customFormat="1" x14ac:dyDescent="0.3">
      <c r="A295" s="19">
        <v>19519</v>
      </c>
      <c r="B295" s="4" t="s">
        <v>1040</v>
      </c>
      <c r="C295" s="4">
        <v>0</v>
      </c>
      <c r="D295" s="5">
        <v>42426.696284722224</v>
      </c>
      <c r="E295" s="5" t="s">
        <v>2081</v>
      </c>
      <c r="F295" s="4" t="s">
        <v>26</v>
      </c>
      <c r="G295" s="4" t="s">
        <v>892</v>
      </c>
      <c r="H295" s="4" t="s">
        <v>892</v>
      </c>
      <c r="I295" s="4" t="s">
        <v>169</v>
      </c>
      <c r="J295" s="4" t="s">
        <v>30</v>
      </c>
      <c r="K295" s="4" t="s">
        <v>31</v>
      </c>
      <c r="L295" s="5">
        <v>42436.833333333336</v>
      </c>
      <c r="M295" s="5">
        <v>42436.958333333336</v>
      </c>
      <c r="N295" s="5">
        <v>42436.999305555553</v>
      </c>
      <c r="O295" s="4" t="s">
        <v>32</v>
      </c>
      <c r="P295" s="4" t="s">
        <v>149</v>
      </c>
      <c r="Q295" s="4" t="s">
        <v>76</v>
      </c>
      <c r="R295" s="6" t="s">
        <v>77</v>
      </c>
      <c r="S295" s="4" t="s">
        <v>1041</v>
      </c>
      <c r="T295" s="4" t="s">
        <v>37</v>
      </c>
      <c r="U295" s="4" t="s">
        <v>37</v>
      </c>
      <c r="V295" s="4" t="s">
        <v>1042</v>
      </c>
      <c r="W295" s="4" t="s">
        <v>37</v>
      </c>
      <c r="X295" s="4" t="s">
        <v>37</v>
      </c>
      <c r="Y295" s="4" t="s">
        <v>36</v>
      </c>
      <c r="Z295" s="4"/>
      <c r="AA295" s="4" t="s">
        <v>93</v>
      </c>
    </row>
    <row r="296" spans="1:27" s="1" customFormat="1" x14ac:dyDescent="0.3">
      <c r="A296" s="19">
        <v>19521</v>
      </c>
      <c r="B296" s="4" t="s">
        <v>1043</v>
      </c>
      <c r="C296" s="4" t="s">
        <v>2116</v>
      </c>
      <c r="D296" s="5">
        <v>42426.72996527778</v>
      </c>
      <c r="E296" s="5" t="s">
        <v>2081</v>
      </c>
      <c r="F296" s="4" t="s">
        <v>26</v>
      </c>
      <c r="G296" s="4" t="s">
        <v>310</v>
      </c>
      <c r="H296" s="4" t="s">
        <v>310</v>
      </c>
      <c r="I296" s="4" t="s">
        <v>42</v>
      </c>
      <c r="J296" s="4" t="s">
        <v>49</v>
      </c>
      <c r="K296" s="4" t="s">
        <v>31</v>
      </c>
      <c r="L296" s="5">
        <v>42431.916666666664</v>
      </c>
      <c r="M296" s="5">
        <v>42432.083333333336</v>
      </c>
      <c r="N296" s="5">
        <v>42432.125</v>
      </c>
      <c r="O296" s="4" t="s">
        <v>32</v>
      </c>
      <c r="P296" s="4" t="s">
        <v>149</v>
      </c>
      <c r="Q296" s="4" t="s">
        <v>76</v>
      </c>
      <c r="R296" s="6" t="s">
        <v>77</v>
      </c>
      <c r="S296" s="4"/>
      <c r="T296" s="4" t="s">
        <v>37</v>
      </c>
      <c r="U296" s="4" t="s">
        <v>37</v>
      </c>
      <c r="V296" s="4" t="s">
        <v>1044</v>
      </c>
      <c r="W296" s="4" t="s">
        <v>37</v>
      </c>
      <c r="X296" s="4" t="s">
        <v>37</v>
      </c>
      <c r="Y296" s="4" t="s">
        <v>36</v>
      </c>
      <c r="Z296" s="4"/>
      <c r="AA296" s="4"/>
    </row>
    <row r="297" spans="1:27" s="1" customFormat="1" x14ac:dyDescent="0.3">
      <c r="A297" s="19">
        <v>19522</v>
      </c>
      <c r="B297" s="4" t="s">
        <v>1045</v>
      </c>
      <c r="C297" s="4" t="s">
        <v>2116</v>
      </c>
      <c r="D297" s="5">
        <v>42426.754328703704</v>
      </c>
      <c r="E297" s="5" t="s">
        <v>2081</v>
      </c>
      <c r="F297" s="4" t="s">
        <v>26</v>
      </c>
      <c r="G297" s="4" t="s">
        <v>310</v>
      </c>
      <c r="H297" s="4" t="s">
        <v>310</v>
      </c>
      <c r="I297" s="4" t="s">
        <v>48</v>
      </c>
      <c r="J297" s="4" t="s">
        <v>49</v>
      </c>
      <c r="K297" s="4" t="s">
        <v>31</v>
      </c>
      <c r="L297" s="5">
        <v>42432.916666666664</v>
      </c>
      <c r="M297" s="5">
        <v>42433.104166666664</v>
      </c>
      <c r="N297" s="5">
        <v>42433.125</v>
      </c>
      <c r="O297" s="4" t="s">
        <v>32</v>
      </c>
      <c r="P297" s="4" t="s">
        <v>149</v>
      </c>
      <c r="Q297" s="4" t="s">
        <v>34</v>
      </c>
      <c r="R297" s="6" t="s">
        <v>77</v>
      </c>
      <c r="S297" s="4" t="s">
        <v>881</v>
      </c>
      <c r="T297" s="4" t="s">
        <v>36</v>
      </c>
      <c r="U297" s="4" t="s">
        <v>37</v>
      </c>
      <c r="V297" s="4" t="s">
        <v>1046</v>
      </c>
      <c r="W297" s="4" t="s">
        <v>37</v>
      </c>
      <c r="X297" s="4" t="s">
        <v>37</v>
      </c>
      <c r="Y297" s="4" t="s">
        <v>36</v>
      </c>
      <c r="Z297" s="4"/>
      <c r="AA297" s="4"/>
    </row>
    <row r="298" spans="1:27" s="1" customFormat="1" x14ac:dyDescent="0.3">
      <c r="A298" s="19">
        <v>19525</v>
      </c>
      <c r="B298" s="4" t="s">
        <v>736</v>
      </c>
      <c r="C298" s="4">
        <v>0</v>
      </c>
      <c r="D298" s="5">
        <v>42427.693692129629</v>
      </c>
      <c r="E298" s="5" t="s">
        <v>2081</v>
      </c>
      <c r="F298" s="4" t="s">
        <v>26</v>
      </c>
      <c r="G298" s="4" t="s">
        <v>348</v>
      </c>
      <c r="H298" s="4" t="s">
        <v>737</v>
      </c>
      <c r="I298" s="4" t="s">
        <v>88</v>
      </c>
      <c r="J298" s="4" t="s">
        <v>30</v>
      </c>
      <c r="K298" s="4" t="s">
        <v>31</v>
      </c>
      <c r="L298" s="5">
        <v>42432.979166666664</v>
      </c>
      <c r="M298" s="5">
        <v>42433.208333333336</v>
      </c>
      <c r="N298" s="5">
        <v>42433.25</v>
      </c>
      <c r="O298" s="4" t="s">
        <v>32</v>
      </c>
      <c r="P298" s="4" t="s">
        <v>33</v>
      </c>
      <c r="Q298" s="4" t="s">
        <v>76</v>
      </c>
      <c r="R298" s="4" t="s">
        <v>1047</v>
      </c>
      <c r="S298" s="4" t="s">
        <v>1047</v>
      </c>
      <c r="T298" s="4" t="s">
        <v>36</v>
      </c>
      <c r="U298" s="4" t="s">
        <v>37</v>
      </c>
      <c r="V298" s="4" t="s">
        <v>739</v>
      </c>
      <c r="W298" s="4" t="s">
        <v>37</v>
      </c>
      <c r="X298" s="4" t="s">
        <v>37</v>
      </c>
      <c r="Y298" s="4" t="s">
        <v>36</v>
      </c>
      <c r="Z298" s="4"/>
      <c r="AA298" s="4" t="s">
        <v>358</v>
      </c>
    </row>
    <row r="299" spans="1:27" s="1" customFormat="1" x14ac:dyDescent="0.3">
      <c r="A299" s="19">
        <v>19529</v>
      </c>
      <c r="B299" s="4" t="s">
        <v>1048</v>
      </c>
      <c r="C299" s="4" t="s">
        <v>2111</v>
      </c>
      <c r="D299" s="5">
        <v>42429.650659722225</v>
      </c>
      <c r="E299" s="5" t="s">
        <v>2081</v>
      </c>
      <c r="F299" s="4" t="s">
        <v>26</v>
      </c>
      <c r="G299" s="4" t="s">
        <v>712</v>
      </c>
      <c r="H299" s="4" t="s">
        <v>712</v>
      </c>
      <c r="I299" s="4" t="s">
        <v>203</v>
      </c>
      <c r="J299" s="4" t="s">
        <v>49</v>
      </c>
      <c r="K299" s="4" t="s">
        <v>31</v>
      </c>
      <c r="L299" s="5">
        <v>42429.708333333336</v>
      </c>
      <c r="M299" s="5">
        <v>42429.75</v>
      </c>
      <c r="N299" s="5">
        <v>42429.958333333336</v>
      </c>
      <c r="O299" s="4" t="s">
        <v>710</v>
      </c>
      <c r="P299" s="4" t="s">
        <v>89</v>
      </c>
      <c r="Q299" s="4" t="s">
        <v>76</v>
      </c>
      <c r="R299" s="4" t="s">
        <v>1049</v>
      </c>
      <c r="S299" s="4" t="s">
        <v>1049</v>
      </c>
      <c r="T299" s="4" t="s">
        <v>37</v>
      </c>
      <c r="U299" s="4" t="s">
        <v>37</v>
      </c>
      <c r="V299" s="4" t="s">
        <v>1050</v>
      </c>
      <c r="W299" s="4" t="s">
        <v>37</v>
      </c>
      <c r="X299" s="4" t="s">
        <v>37</v>
      </c>
      <c r="Y299" s="4" t="s">
        <v>36</v>
      </c>
      <c r="Z299" s="4" t="s">
        <v>592</v>
      </c>
      <c r="AA299" s="4"/>
    </row>
    <row r="300" spans="1:27" s="1" customFormat="1" x14ac:dyDescent="0.3">
      <c r="A300" s="19">
        <v>19533</v>
      </c>
      <c r="B300" s="4" t="s">
        <v>1051</v>
      </c>
      <c r="C300" s="4" t="s">
        <v>2138</v>
      </c>
      <c r="D300" s="5">
        <v>42430.423576388886</v>
      </c>
      <c r="E300" s="5" t="s">
        <v>2082</v>
      </c>
      <c r="F300" s="4" t="s">
        <v>26</v>
      </c>
      <c r="G300" s="4" t="s">
        <v>1052</v>
      </c>
      <c r="H300" s="4" t="s">
        <v>1052</v>
      </c>
      <c r="I300" s="4" t="s">
        <v>80</v>
      </c>
      <c r="J300" s="4" t="s">
        <v>185</v>
      </c>
      <c r="K300" s="4" t="s">
        <v>31</v>
      </c>
      <c r="L300" s="5">
        <v>42438.416666666664</v>
      </c>
      <c r="M300" s="5">
        <v>42447.75</v>
      </c>
      <c r="N300" s="5">
        <v>42447.833333333336</v>
      </c>
      <c r="O300" s="4" t="s">
        <v>32</v>
      </c>
      <c r="P300" s="4" t="s">
        <v>149</v>
      </c>
      <c r="Q300" s="4" t="s">
        <v>34</v>
      </c>
      <c r="R300" s="6" t="s">
        <v>77</v>
      </c>
      <c r="S300" s="4" t="s">
        <v>1053</v>
      </c>
      <c r="T300" s="4" t="s">
        <v>37</v>
      </c>
      <c r="U300" s="4" t="s">
        <v>37</v>
      </c>
      <c r="V300" s="4" t="s">
        <v>1054</v>
      </c>
      <c r="W300" s="4" t="s">
        <v>37</v>
      </c>
      <c r="X300" s="4" t="s">
        <v>37</v>
      </c>
      <c r="Y300" s="4" t="s">
        <v>36</v>
      </c>
      <c r="Z300" s="4" t="s">
        <v>1055</v>
      </c>
      <c r="AA300" s="4" t="s">
        <v>187</v>
      </c>
    </row>
    <row r="301" spans="1:27" s="1" customFormat="1" x14ac:dyDescent="0.3">
      <c r="A301" s="19">
        <v>19534</v>
      </c>
      <c r="B301" s="4" t="s">
        <v>1056</v>
      </c>
      <c r="C301" s="4" t="s">
        <v>1766</v>
      </c>
      <c r="D301" s="5">
        <v>42430.470682870371</v>
      </c>
      <c r="E301" s="5" t="s">
        <v>2082</v>
      </c>
      <c r="F301" s="4" t="s">
        <v>26</v>
      </c>
      <c r="G301" s="4" t="s">
        <v>428</v>
      </c>
      <c r="H301" s="4" t="s">
        <v>428</v>
      </c>
      <c r="I301" s="4" t="s">
        <v>56</v>
      </c>
      <c r="J301" s="4" t="s">
        <v>1057</v>
      </c>
      <c r="K301" s="4" t="s">
        <v>31</v>
      </c>
      <c r="L301" s="5">
        <v>42447.916666666664</v>
      </c>
      <c r="M301" s="5">
        <v>42448.25</v>
      </c>
      <c r="N301" s="5">
        <v>42452.475694444445</v>
      </c>
      <c r="O301" s="4" t="s">
        <v>32</v>
      </c>
      <c r="P301" s="4" t="s">
        <v>33</v>
      </c>
      <c r="Q301" s="4" t="s">
        <v>76</v>
      </c>
      <c r="R301" s="6" t="s">
        <v>77</v>
      </c>
      <c r="S301" s="6" t="s">
        <v>77</v>
      </c>
      <c r="T301" s="4" t="s">
        <v>37</v>
      </c>
      <c r="U301" s="4" t="s">
        <v>37</v>
      </c>
      <c r="V301" s="4" t="s">
        <v>1058</v>
      </c>
      <c r="W301" s="4" t="s">
        <v>37</v>
      </c>
      <c r="X301" s="4" t="s">
        <v>37</v>
      </c>
      <c r="Y301" s="4" t="s">
        <v>36</v>
      </c>
      <c r="Z301" s="4">
        <v>18336</v>
      </c>
      <c r="AA301" s="4" t="s">
        <v>346</v>
      </c>
    </row>
    <row r="302" spans="1:27" s="1" customFormat="1" x14ac:dyDescent="0.3">
      <c r="A302" s="19">
        <v>19535</v>
      </c>
      <c r="B302" s="4" t="s">
        <v>334</v>
      </c>
      <c r="C302" s="4">
        <v>0</v>
      </c>
      <c r="D302" s="5">
        <v>42430.500694444447</v>
      </c>
      <c r="E302" s="5" t="s">
        <v>2082</v>
      </c>
      <c r="F302" s="4" t="s">
        <v>26</v>
      </c>
      <c r="G302" s="4" t="s">
        <v>168</v>
      </c>
      <c r="H302" s="4" t="s">
        <v>168</v>
      </c>
      <c r="I302" s="4" t="s">
        <v>169</v>
      </c>
      <c r="J302" s="4" t="s">
        <v>30</v>
      </c>
      <c r="K302" s="4" t="s">
        <v>31</v>
      </c>
      <c r="L302" s="5">
        <v>42447.875</v>
      </c>
      <c r="M302" s="5">
        <v>42448.166666666664</v>
      </c>
      <c r="N302" s="5">
        <v>42448.208333333336</v>
      </c>
      <c r="O302" s="4" t="s">
        <v>32</v>
      </c>
      <c r="P302" s="4" t="s">
        <v>33</v>
      </c>
      <c r="Q302" s="4" t="s">
        <v>34</v>
      </c>
      <c r="R302" s="6" t="s">
        <v>77</v>
      </c>
      <c r="S302" s="4" t="s">
        <v>323</v>
      </c>
      <c r="T302" s="4" t="s">
        <v>36</v>
      </c>
      <c r="U302" s="4" t="s">
        <v>37</v>
      </c>
      <c r="V302" s="4" t="s">
        <v>171</v>
      </c>
      <c r="W302" s="4" t="s">
        <v>37</v>
      </c>
      <c r="X302" s="4" t="s">
        <v>37</v>
      </c>
      <c r="Y302" s="4" t="s">
        <v>36</v>
      </c>
      <c r="Z302" s="4"/>
      <c r="AA302" s="4" t="s">
        <v>93</v>
      </c>
    </row>
    <row r="303" spans="1:27" s="1" customFormat="1" x14ac:dyDescent="0.3">
      <c r="A303" s="19">
        <v>19536</v>
      </c>
      <c r="B303" s="4" t="s">
        <v>352</v>
      </c>
      <c r="C303" s="4">
        <v>0</v>
      </c>
      <c r="D303" s="5">
        <v>42430.515983796293</v>
      </c>
      <c r="E303" s="5" t="s">
        <v>2082</v>
      </c>
      <c r="F303" s="4" t="s">
        <v>26</v>
      </c>
      <c r="G303" s="4" t="s">
        <v>168</v>
      </c>
      <c r="H303" s="4" t="s">
        <v>168</v>
      </c>
      <c r="I303" s="4" t="s">
        <v>221</v>
      </c>
      <c r="J303" s="4" t="s">
        <v>30</v>
      </c>
      <c r="K303" s="4" t="s">
        <v>31</v>
      </c>
      <c r="L303" s="5">
        <v>42447.875</v>
      </c>
      <c r="M303" s="5">
        <v>42448.166666666664</v>
      </c>
      <c r="N303" s="5">
        <v>42448.208333333336</v>
      </c>
      <c r="O303" s="4" t="s">
        <v>32</v>
      </c>
      <c r="P303" s="4" t="s">
        <v>33</v>
      </c>
      <c r="Q303" s="4" t="s">
        <v>34</v>
      </c>
      <c r="R303" s="6" t="s">
        <v>77</v>
      </c>
      <c r="S303" s="4" t="s">
        <v>323</v>
      </c>
      <c r="T303" s="4" t="s">
        <v>36</v>
      </c>
      <c r="U303" s="4" t="s">
        <v>37</v>
      </c>
      <c r="V303" s="4" t="s">
        <v>171</v>
      </c>
      <c r="W303" s="4" t="s">
        <v>37</v>
      </c>
      <c r="X303" s="4" t="s">
        <v>37</v>
      </c>
      <c r="Y303" s="4" t="s">
        <v>36</v>
      </c>
      <c r="Z303" s="4"/>
      <c r="AA303" s="4" t="s">
        <v>93</v>
      </c>
    </row>
    <row r="304" spans="1:27" s="1" customFormat="1" x14ac:dyDescent="0.3">
      <c r="A304" s="19">
        <v>19537</v>
      </c>
      <c r="B304" s="4" t="s">
        <v>1059</v>
      </c>
      <c r="C304" s="4" t="s">
        <v>2111</v>
      </c>
      <c r="D304" s="5">
        <v>42430.60528935185</v>
      </c>
      <c r="E304" s="5" t="s">
        <v>2082</v>
      </c>
      <c r="F304" s="4" t="s">
        <v>26</v>
      </c>
      <c r="G304" s="4" t="s">
        <v>244</v>
      </c>
      <c r="H304" s="4" t="s">
        <v>244</v>
      </c>
      <c r="I304" s="4" t="s">
        <v>118</v>
      </c>
      <c r="J304" s="4" t="s">
        <v>30</v>
      </c>
      <c r="K304" s="4" t="s">
        <v>31</v>
      </c>
      <c r="L304" s="5">
        <v>42430.916666666664</v>
      </c>
      <c r="M304" s="5">
        <v>42431.5</v>
      </c>
      <c r="N304" s="5">
        <v>42431.75</v>
      </c>
      <c r="O304" s="4" t="s">
        <v>710</v>
      </c>
      <c r="P304" s="4" t="s">
        <v>33</v>
      </c>
      <c r="Q304" s="4" t="s">
        <v>76</v>
      </c>
      <c r="R304" s="6" t="s">
        <v>77</v>
      </c>
      <c r="S304" s="4" t="s">
        <v>517</v>
      </c>
      <c r="T304" s="4" t="s">
        <v>37</v>
      </c>
      <c r="U304" s="4" t="s">
        <v>37</v>
      </c>
      <c r="V304" s="4" t="s">
        <v>365</v>
      </c>
      <c r="W304" s="4" t="s">
        <v>37</v>
      </c>
      <c r="X304" s="4" t="s">
        <v>37</v>
      </c>
      <c r="Y304" s="4" t="s">
        <v>36</v>
      </c>
      <c r="Z304" s="4"/>
      <c r="AA304" s="4" t="s">
        <v>179</v>
      </c>
    </row>
    <row r="305" spans="1:27" s="1" customFormat="1" x14ac:dyDescent="0.3">
      <c r="A305" s="19">
        <v>19538</v>
      </c>
      <c r="B305" s="4" t="s">
        <v>1060</v>
      </c>
      <c r="C305" s="4">
        <v>0</v>
      </c>
      <c r="D305" s="5">
        <v>42430.608935185184</v>
      </c>
      <c r="E305" s="5" t="s">
        <v>2082</v>
      </c>
      <c r="F305" s="4" t="s">
        <v>26</v>
      </c>
      <c r="G305" s="4" t="s">
        <v>168</v>
      </c>
      <c r="H305" s="4" t="s">
        <v>168</v>
      </c>
      <c r="I305" s="4" t="s">
        <v>221</v>
      </c>
      <c r="J305" s="4" t="s">
        <v>30</v>
      </c>
      <c r="K305" s="4" t="s">
        <v>31</v>
      </c>
      <c r="L305" s="5">
        <v>42445.916666666664</v>
      </c>
      <c r="M305" s="5">
        <v>42446.166666666664</v>
      </c>
      <c r="N305" s="5">
        <v>42446.208333333336</v>
      </c>
      <c r="O305" s="4" t="s">
        <v>32</v>
      </c>
      <c r="P305" s="4" t="s">
        <v>33</v>
      </c>
      <c r="Q305" s="4" t="s">
        <v>34</v>
      </c>
      <c r="R305" s="6" t="s">
        <v>77</v>
      </c>
      <c r="S305" s="4" t="s">
        <v>1061</v>
      </c>
      <c r="T305" s="4" t="s">
        <v>37</v>
      </c>
      <c r="U305" s="4" t="s">
        <v>37</v>
      </c>
      <c r="V305" s="4" t="s">
        <v>171</v>
      </c>
      <c r="W305" s="4" t="s">
        <v>37</v>
      </c>
      <c r="X305" s="4" t="s">
        <v>37</v>
      </c>
      <c r="Y305" s="4" t="s">
        <v>36</v>
      </c>
      <c r="Z305" s="4"/>
      <c r="AA305" s="4" t="s">
        <v>40</v>
      </c>
    </row>
    <row r="306" spans="1:27" s="1" customFormat="1" x14ac:dyDescent="0.3">
      <c r="A306" s="19">
        <v>19539</v>
      </c>
      <c r="B306" s="4" t="s">
        <v>1060</v>
      </c>
      <c r="C306" s="4">
        <v>0</v>
      </c>
      <c r="D306" s="5">
        <v>42430.637557870374</v>
      </c>
      <c r="E306" s="5" t="s">
        <v>2082</v>
      </c>
      <c r="F306" s="4" t="s">
        <v>26</v>
      </c>
      <c r="G306" s="4" t="s">
        <v>168</v>
      </c>
      <c r="H306" s="4" t="s">
        <v>168</v>
      </c>
      <c r="I306" s="4" t="s">
        <v>169</v>
      </c>
      <c r="J306" s="4" t="s">
        <v>30</v>
      </c>
      <c r="K306" s="4" t="s">
        <v>31</v>
      </c>
      <c r="L306" s="5">
        <v>42446.875</v>
      </c>
      <c r="M306" s="5">
        <v>42448.166666666664</v>
      </c>
      <c r="N306" s="5">
        <v>42448.208333333336</v>
      </c>
      <c r="O306" s="4" t="s">
        <v>32</v>
      </c>
      <c r="P306" s="4" t="s">
        <v>33</v>
      </c>
      <c r="Q306" s="4" t="s">
        <v>34</v>
      </c>
      <c r="R306" s="4" t="s">
        <v>1061</v>
      </c>
      <c r="S306" s="4" t="s">
        <v>1061</v>
      </c>
      <c r="T306" s="4" t="s">
        <v>36</v>
      </c>
      <c r="U306" s="4" t="s">
        <v>37</v>
      </c>
      <c r="V306" s="4" t="s">
        <v>171</v>
      </c>
      <c r="W306" s="4" t="s">
        <v>36</v>
      </c>
      <c r="X306" s="4" t="s">
        <v>37</v>
      </c>
      <c r="Y306" s="4" t="s">
        <v>36</v>
      </c>
      <c r="Z306" s="4"/>
      <c r="AA306" s="4" t="s">
        <v>93</v>
      </c>
    </row>
    <row r="307" spans="1:27" s="1" customFormat="1" x14ac:dyDescent="0.3">
      <c r="A307" s="19">
        <v>19540</v>
      </c>
      <c r="B307" s="4" t="s">
        <v>1060</v>
      </c>
      <c r="C307" s="4">
        <v>0</v>
      </c>
      <c r="D307" s="5">
        <v>42430.659837962965</v>
      </c>
      <c r="E307" s="5" t="s">
        <v>2082</v>
      </c>
      <c r="F307" s="4" t="s">
        <v>26</v>
      </c>
      <c r="G307" s="4" t="s">
        <v>168</v>
      </c>
      <c r="H307" s="4" t="s">
        <v>168</v>
      </c>
      <c r="I307" s="4" t="s">
        <v>221</v>
      </c>
      <c r="J307" s="4" t="s">
        <v>30</v>
      </c>
      <c r="K307" s="4" t="s">
        <v>31</v>
      </c>
      <c r="L307" s="5">
        <v>42447.875</v>
      </c>
      <c r="M307" s="5">
        <v>42448.166666666664</v>
      </c>
      <c r="N307" s="5">
        <v>42448.208333333336</v>
      </c>
      <c r="O307" s="4" t="s">
        <v>32</v>
      </c>
      <c r="P307" s="4" t="s">
        <v>33</v>
      </c>
      <c r="Q307" s="4" t="s">
        <v>34</v>
      </c>
      <c r="R307" s="4" t="s">
        <v>1062</v>
      </c>
      <c r="S307" s="4" t="s">
        <v>1062</v>
      </c>
      <c r="T307" s="4" t="s">
        <v>36</v>
      </c>
      <c r="U307" s="4" t="s">
        <v>37</v>
      </c>
      <c r="V307" s="4" t="s">
        <v>171</v>
      </c>
      <c r="W307" s="4" t="s">
        <v>37</v>
      </c>
      <c r="X307" s="4" t="s">
        <v>37</v>
      </c>
      <c r="Y307" s="4" t="s">
        <v>36</v>
      </c>
      <c r="Z307" s="4"/>
      <c r="AA307" s="4" t="s">
        <v>40</v>
      </c>
    </row>
    <row r="308" spans="1:27" s="1" customFormat="1" x14ac:dyDescent="0.3">
      <c r="A308" s="19">
        <v>19541</v>
      </c>
      <c r="B308" s="4" t="s">
        <v>1063</v>
      </c>
      <c r="C308" s="4" t="s">
        <v>1067</v>
      </c>
      <c r="D308" s="5">
        <v>42430.688576388886</v>
      </c>
      <c r="E308" s="5" t="s">
        <v>2082</v>
      </c>
      <c r="F308" s="4" t="s">
        <v>26</v>
      </c>
      <c r="G308" s="4" t="s">
        <v>1064</v>
      </c>
      <c r="H308" s="4" t="s">
        <v>259</v>
      </c>
      <c r="I308" s="4" t="s">
        <v>88</v>
      </c>
      <c r="J308" s="4" t="s">
        <v>30</v>
      </c>
      <c r="K308" s="4" t="s">
        <v>31</v>
      </c>
      <c r="L308" s="5">
        <v>42432.916666666664</v>
      </c>
      <c r="M308" s="5">
        <v>42433.25</v>
      </c>
      <c r="N308" s="5">
        <v>42433.25</v>
      </c>
      <c r="O308" s="4" t="s">
        <v>250</v>
      </c>
      <c r="P308" s="4" t="s">
        <v>89</v>
      </c>
      <c r="Q308" s="4" t="s">
        <v>251</v>
      </c>
      <c r="R308" s="6" t="s">
        <v>77</v>
      </c>
      <c r="S308" s="4" t="s">
        <v>1065</v>
      </c>
      <c r="T308" s="4" t="s">
        <v>36</v>
      </c>
      <c r="U308" s="4" t="s">
        <v>37</v>
      </c>
      <c r="V308" s="4" t="s">
        <v>1066</v>
      </c>
      <c r="W308" s="4" t="s">
        <v>37</v>
      </c>
      <c r="X308" s="4" t="s">
        <v>37</v>
      </c>
      <c r="Y308" s="4" t="s">
        <v>36</v>
      </c>
      <c r="Z308" s="4" t="s">
        <v>1067</v>
      </c>
      <c r="AA308" s="4" t="s">
        <v>40</v>
      </c>
    </row>
    <row r="309" spans="1:27" s="1" customFormat="1" x14ac:dyDescent="0.3">
      <c r="A309" s="19">
        <v>19542</v>
      </c>
      <c r="B309" s="4" t="s">
        <v>1068</v>
      </c>
      <c r="C309" s="4">
        <v>0</v>
      </c>
      <c r="D309" s="5">
        <v>42430.720775462964</v>
      </c>
      <c r="E309" s="5" t="s">
        <v>2082</v>
      </c>
      <c r="F309" s="4" t="s">
        <v>26</v>
      </c>
      <c r="G309" s="4" t="s">
        <v>168</v>
      </c>
      <c r="H309" s="4" t="s">
        <v>168</v>
      </c>
      <c r="I309" s="4" t="s">
        <v>221</v>
      </c>
      <c r="J309" s="4" t="s">
        <v>30</v>
      </c>
      <c r="K309" s="4" t="s">
        <v>31</v>
      </c>
      <c r="L309" s="5">
        <v>42431.875</v>
      </c>
      <c r="M309" s="5">
        <v>42432.166666666664</v>
      </c>
      <c r="N309" s="5">
        <v>42432.208333333336</v>
      </c>
      <c r="O309" s="4" t="s">
        <v>250</v>
      </c>
      <c r="P309" s="4" t="s">
        <v>89</v>
      </c>
      <c r="Q309" s="4" t="s">
        <v>251</v>
      </c>
      <c r="R309" s="6" t="s">
        <v>77</v>
      </c>
      <c r="S309" s="4" t="s">
        <v>323</v>
      </c>
      <c r="T309" s="4" t="s">
        <v>36</v>
      </c>
      <c r="U309" s="4" t="s">
        <v>37</v>
      </c>
      <c r="V309" s="4" t="s">
        <v>171</v>
      </c>
      <c r="W309" s="4" t="s">
        <v>37</v>
      </c>
      <c r="X309" s="4" t="s">
        <v>37</v>
      </c>
      <c r="Y309" s="4" t="s">
        <v>36</v>
      </c>
      <c r="Z309" s="4" t="s">
        <v>39</v>
      </c>
      <c r="AA309" s="4" t="s">
        <v>40</v>
      </c>
    </row>
    <row r="310" spans="1:27" s="1" customFormat="1" x14ac:dyDescent="0.3">
      <c r="A310" s="19">
        <v>19545</v>
      </c>
      <c r="B310" s="4" t="s">
        <v>673</v>
      </c>
      <c r="C310" s="4" t="s">
        <v>2109</v>
      </c>
      <c r="D310" s="5">
        <v>42430.763877314814</v>
      </c>
      <c r="E310" s="5" t="s">
        <v>2082</v>
      </c>
      <c r="F310" s="4" t="s">
        <v>26</v>
      </c>
      <c r="G310" s="4" t="s">
        <v>27</v>
      </c>
      <c r="H310" s="4" t="s">
        <v>28</v>
      </c>
      <c r="I310" s="4" t="s">
        <v>205</v>
      </c>
      <c r="J310" s="4" t="s">
        <v>30</v>
      </c>
      <c r="K310" s="4" t="s">
        <v>31</v>
      </c>
      <c r="L310" s="5">
        <v>42458.916666666664</v>
      </c>
      <c r="M310" s="5">
        <v>42459.75</v>
      </c>
      <c r="N310" s="5">
        <v>42459.791666666664</v>
      </c>
      <c r="O310" s="4" t="s">
        <v>32</v>
      </c>
      <c r="P310" s="4" t="s">
        <v>149</v>
      </c>
      <c r="Q310" s="4" t="s">
        <v>34</v>
      </c>
      <c r="R310" s="4" t="s">
        <v>319</v>
      </c>
      <c r="S310" s="4" t="s">
        <v>319</v>
      </c>
      <c r="T310" s="4" t="s">
        <v>36</v>
      </c>
      <c r="U310" s="4" t="s">
        <v>37</v>
      </c>
      <c r="V310" s="4" t="s">
        <v>674</v>
      </c>
      <c r="W310" s="4" t="s">
        <v>37</v>
      </c>
      <c r="X310" s="4" t="s">
        <v>37</v>
      </c>
      <c r="Y310" s="4" t="s">
        <v>36</v>
      </c>
      <c r="Z310" s="4" t="s">
        <v>675</v>
      </c>
      <c r="AA310" s="4" t="s">
        <v>676</v>
      </c>
    </row>
    <row r="311" spans="1:27" s="1" customFormat="1" x14ac:dyDescent="0.3">
      <c r="A311" s="19">
        <v>19546</v>
      </c>
      <c r="B311" s="4" t="s">
        <v>941</v>
      </c>
      <c r="C311" s="4">
        <v>0</v>
      </c>
      <c r="D311" s="5">
        <v>42430.771168981482</v>
      </c>
      <c r="E311" s="5" t="s">
        <v>2082</v>
      </c>
      <c r="F311" s="4" t="s">
        <v>26</v>
      </c>
      <c r="G311" s="4" t="s">
        <v>27</v>
      </c>
      <c r="H311" s="4" t="s">
        <v>28</v>
      </c>
      <c r="I311" s="4" t="s">
        <v>48</v>
      </c>
      <c r="J311" s="4" t="s">
        <v>942</v>
      </c>
      <c r="K311" s="4" t="s">
        <v>31</v>
      </c>
      <c r="L311" s="5">
        <v>42464.916666666664</v>
      </c>
      <c r="M311" s="5">
        <v>42465.090277777781</v>
      </c>
      <c r="N311" s="5">
        <v>42465.75</v>
      </c>
      <c r="O311" s="4" t="s">
        <v>32</v>
      </c>
      <c r="P311" s="4" t="s">
        <v>33</v>
      </c>
      <c r="Q311" s="4" t="s">
        <v>76</v>
      </c>
      <c r="R311" s="4" t="s">
        <v>1069</v>
      </c>
      <c r="S311" s="4" t="s">
        <v>1070</v>
      </c>
      <c r="T311" s="4" t="s">
        <v>36</v>
      </c>
      <c r="U311" s="4" t="s">
        <v>37</v>
      </c>
      <c r="V311" s="4" t="s">
        <v>670</v>
      </c>
      <c r="W311" s="4" t="s">
        <v>37</v>
      </c>
      <c r="X311" s="4" t="s">
        <v>37</v>
      </c>
      <c r="Y311" s="4" t="s">
        <v>36</v>
      </c>
      <c r="Z311" s="4"/>
      <c r="AA311" s="4" t="s">
        <v>943</v>
      </c>
    </row>
    <row r="312" spans="1:27" s="1" customFormat="1" x14ac:dyDescent="0.3">
      <c r="A312" s="19">
        <v>19552</v>
      </c>
      <c r="B312" s="4" t="s">
        <v>1071</v>
      </c>
      <c r="C312" s="4" t="s">
        <v>2111</v>
      </c>
      <c r="D312" s="5">
        <v>42431.501157407409</v>
      </c>
      <c r="E312" s="5" t="s">
        <v>2082</v>
      </c>
      <c r="F312" s="4" t="s">
        <v>26</v>
      </c>
      <c r="G312" s="4" t="s">
        <v>244</v>
      </c>
      <c r="H312" s="4" t="s">
        <v>244</v>
      </c>
      <c r="I312" s="4" t="s">
        <v>118</v>
      </c>
      <c r="J312" s="4" t="s">
        <v>30</v>
      </c>
      <c r="K312" s="4" t="s">
        <v>31</v>
      </c>
      <c r="L312" s="5">
        <v>42431.916666666664</v>
      </c>
      <c r="M312" s="5">
        <v>42432.5</v>
      </c>
      <c r="N312" s="5">
        <v>42432.75</v>
      </c>
      <c r="O312" s="4" t="s">
        <v>710</v>
      </c>
      <c r="P312" s="4" t="s">
        <v>33</v>
      </c>
      <c r="Q312" s="4" t="s">
        <v>76</v>
      </c>
      <c r="R312" s="6" t="s">
        <v>77</v>
      </c>
      <c r="S312" s="4" t="s">
        <v>517</v>
      </c>
      <c r="T312" s="4" t="s">
        <v>37</v>
      </c>
      <c r="U312" s="4" t="s">
        <v>37</v>
      </c>
      <c r="V312" s="4" t="s">
        <v>365</v>
      </c>
      <c r="W312" s="4" t="s">
        <v>37</v>
      </c>
      <c r="X312" s="4" t="s">
        <v>37</v>
      </c>
      <c r="Y312" s="4" t="s">
        <v>36</v>
      </c>
      <c r="Z312" s="4"/>
      <c r="AA312" s="4" t="s">
        <v>179</v>
      </c>
    </row>
    <row r="313" spans="1:27" s="1" customFormat="1" x14ac:dyDescent="0.3">
      <c r="A313" s="19">
        <v>19554</v>
      </c>
      <c r="B313" s="4" t="s">
        <v>1072</v>
      </c>
      <c r="C313" s="4" t="s">
        <v>1072</v>
      </c>
      <c r="D313" s="5">
        <v>42431.556805555556</v>
      </c>
      <c r="E313" s="5" t="s">
        <v>2082</v>
      </c>
      <c r="F313" s="4" t="s">
        <v>26</v>
      </c>
      <c r="G313" s="4" t="s">
        <v>74</v>
      </c>
      <c r="H313" s="4" t="s">
        <v>74</v>
      </c>
      <c r="I313" s="4" t="s">
        <v>75</v>
      </c>
      <c r="J313" s="4" t="s">
        <v>49</v>
      </c>
      <c r="K313" s="4" t="s">
        <v>31</v>
      </c>
      <c r="L313" s="5">
        <v>42452.958333333336</v>
      </c>
      <c r="M313" s="5">
        <v>42453.041666666664</v>
      </c>
      <c r="N313" s="5">
        <v>42454.333333333336</v>
      </c>
      <c r="O313" s="4" t="s">
        <v>32</v>
      </c>
      <c r="P313" s="4" t="s">
        <v>33</v>
      </c>
      <c r="Q313" s="4" t="s">
        <v>34</v>
      </c>
      <c r="R313" s="6" t="s">
        <v>77</v>
      </c>
      <c r="S313" s="4" t="s">
        <v>980</v>
      </c>
      <c r="T313" s="4" t="s">
        <v>37</v>
      </c>
      <c r="U313" s="4" t="s">
        <v>37</v>
      </c>
      <c r="V313" s="4" t="s">
        <v>646</v>
      </c>
      <c r="W313" s="4" t="s">
        <v>37</v>
      </c>
      <c r="X313" s="4" t="s">
        <v>37</v>
      </c>
      <c r="Y313" s="4" t="s">
        <v>36</v>
      </c>
      <c r="Z313" s="4" t="s">
        <v>39</v>
      </c>
      <c r="AA313" s="4"/>
    </row>
    <row r="314" spans="1:27" s="1" customFormat="1" x14ac:dyDescent="0.3">
      <c r="A314" s="19">
        <v>19558</v>
      </c>
      <c r="B314" s="4" t="s">
        <v>1073</v>
      </c>
      <c r="C314" s="4">
        <v>0</v>
      </c>
      <c r="D314" s="5">
        <v>42431.670289351852</v>
      </c>
      <c r="E314" s="5" t="s">
        <v>2082</v>
      </c>
      <c r="F314" s="4" t="s">
        <v>26</v>
      </c>
      <c r="G314" s="4" t="s">
        <v>342</v>
      </c>
      <c r="H314" s="4" t="s">
        <v>342</v>
      </c>
      <c r="I314" s="4" t="s">
        <v>68</v>
      </c>
      <c r="J314" s="4" t="s">
        <v>343</v>
      </c>
      <c r="K314" s="4" t="s">
        <v>31</v>
      </c>
      <c r="L314" s="5">
        <v>42441.833333333336</v>
      </c>
      <c r="M314" s="5">
        <v>42442.083333333336</v>
      </c>
      <c r="N314" s="5">
        <v>42443.208333333336</v>
      </c>
      <c r="O314" s="4" t="s">
        <v>32</v>
      </c>
      <c r="P314" s="4" t="s">
        <v>33</v>
      </c>
      <c r="Q314" s="4" t="s">
        <v>50</v>
      </c>
      <c r="R314" s="6" t="s">
        <v>77</v>
      </c>
      <c r="S314" s="4" t="s">
        <v>344</v>
      </c>
      <c r="T314" s="4" t="s">
        <v>37</v>
      </c>
      <c r="U314" s="4" t="s">
        <v>37</v>
      </c>
      <c r="V314" s="4" t="s">
        <v>345</v>
      </c>
      <c r="W314" s="4" t="s">
        <v>36</v>
      </c>
      <c r="X314" s="4" t="s">
        <v>36</v>
      </c>
      <c r="Y314" s="4" t="s">
        <v>37</v>
      </c>
      <c r="Z314" s="4"/>
      <c r="AA314" s="4" t="s">
        <v>346</v>
      </c>
    </row>
    <row r="315" spans="1:27" s="1" customFormat="1" x14ac:dyDescent="0.3">
      <c r="A315" s="19">
        <v>19560</v>
      </c>
      <c r="B315" s="4" t="s">
        <v>1074</v>
      </c>
      <c r="C315" s="4">
        <v>0</v>
      </c>
      <c r="D315" s="5">
        <v>42431.690810185188</v>
      </c>
      <c r="E315" s="5" t="s">
        <v>2082</v>
      </c>
      <c r="F315" s="4" t="s">
        <v>26</v>
      </c>
      <c r="G315" s="4" t="s">
        <v>354</v>
      </c>
      <c r="H315" s="4" t="s">
        <v>354</v>
      </c>
      <c r="I315" s="4" t="s">
        <v>48</v>
      </c>
      <c r="J315" s="4" t="s">
        <v>30</v>
      </c>
      <c r="K315" s="4" t="s">
        <v>31</v>
      </c>
      <c r="L315" s="5">
        <v>42446.000694444447</v>
      </c>
      <c r="M315" s="5">
        <v>42449.999305555553</v>
      </c>
      <c r="N315" s="5">
        <v>42450.25</v>
      </c>
      <c r="O315" s="4" t="s">
        <v>32</v>
      </c>
      <c r="P315" s="4" t="s">
        <v>149</v>
      </c>
      <c r="Q315" s="4" t="s">
        <v>76</v>
      </c>
      <c r="R315" s="4"/>
      <c r="S315" s="4"/>
      <c r="T315" s="4" t="s">
        <v>37</v>
      </c>
      <c r="U315" s="4" t="s">
        <v>37</v>
      </c>
      <c r="V315" s="4" t="s">
        <v>1075</v>
      </c>
      <c r="W315" s="4" t="s">
        <v>37</v>
      </c>
      <c r="X315" s="4" t="s">
        <v>37</v>
      </c>
      <c r="Y315" s="4" t="s">
        <v>37</v>
      </c>
      <c r="Z315" s="4"/>
      <c r="AA315" s="4" t="s">
        <v>179</v>
      </c>
    </row>
    <row r="316" spans="1:27" s="1" customFormat="1" x14ac:dyDescent="0.3">
      <c r="A316" s="19">
        <v>19563</v>
      </c>
      <c r="B316" s="4" t="s">
        <v>1076</v>
      </c>
      <c r="C316" s="4">
        <v>0</v>
      </c>
      <c r="D316" s="5">
        <v>42431.705648148149</v>
      </c>
      <c r="E316" s="5" t="s">
        <v>2082</v>
      </c>
      <c r="F316" s="4" t="s">
        <v>26</v>
      </c>
      <c r="G316" s="4" t="s">
        <v>195</v>
      </c>
      <c r="H316" s="4" t="s">
        <v>195</v>
      </c>
      <c r="I316" s="4" t="s">
        <v>42</v>
      </c>
      <c r="J316" s="4" t="s">
        <v>30</v>
      </c>
      <c r="K316" s="4" t="s">
        <v>31</v>
      </c>
      <c r="L316" s="5">
        <v>42448.333333333336</v>
      </c>
      <c r="M316" s="5">
        <v>42448.541666666664</v>
      </c>
      <c r="N316" s="5">
        <v>42450.583333333336</v>
      </c>
      <c r="O316" s="4" t="s">
        <v>32</v>
      </c>
      <c r="P316" s="4" t="s">
        <v>33</v>
      </c>
      <c r="Q316" s="4" t="s">
        <v>76</v>
      </c>
      <c r="R316" s="4" t="s">
        <v>658</v>
      </c>
      <c r="S316" s="4" t="s">
        <v>658</v>
      </c>
      <c r="T316" s="4" t="s">
        <v>37</v>
      </c>
      <c r="U316" s="4" t="s">
        <v>37</v>
      </c>
      <c r="V316" s="4" t="s">
        <v>1077</v>
      </c>
      <c r="W316" s="4" t="s">
        <v>37</v>
      </c>
      <c r="X316" s="4" t="s">
        <v>37</v>
      </c>
      <c r="Y316" s="4" t="s">
        <v>36</v>
      </c>
      <c r="Z316" s="4"/>
      <c r="AA316" s="4" t="s">
        <v>231</v>
      </c>
    </row>
    <row r="317" spans="1:27" s="1" customFormat="1" x14ac:dyDescent="0.3">
      <c r="A317" s="19">
        <v>19565</v>
      </c>
      <c r="B317" s="4" t="s">
        <v>1078</v>
      </c>
      <c r="C317" s="4">
        <v>0</v>
      </c>
      <c r="D317" s="5">
        <v>42432.074131944442</v>
      </c>
      <c r="E317" s="5" t="s">
        <v>2082</v>
      </c>
      <c r="F317" s="4" t="s">
        <v>26</v>
      </c>
      <c r="G317" s="4" t="s">
        <v>234</v>
      </c>
      <c r="H317" s="4" t="s">
        <v>234</v>
      </c>
      <c r="I317" s="4" t="s">
        <v>42</v>
      </c>
      <c r="J317" s="4" t="s">
        <v>49</v>
      </c>
      <c r="K317" s="4" t="s">
        <v>31</v>
      </c>
      <c r="L317" s="5">
        <v>42446.083333333336</v>
      </c>
      <c r="M317" s="5">
        <v>42446.25</v>
      </c>
      <c r="N317" s="5">
        <v>42446.25</v>
      </c>
      <c r="O317" s="4" t="s">
        <v>32</v>
      </c>
      <c r="P317" s="4" t="s">
        <v>33</v>
      </c>
      <c r="Q317" s="4" t="s">
        <v>34</v>
      </c>
      <c r="R317" s="4" t="s">
        <v>1079</v>
      </c>
      <c r="S317" s="6" t="s">
        <v>77</v>
      </c>
      <c r="T317" s="4" t="s">
        <v>37</v>
      </c>
      <c r="U317" s="4" t="s">
        <v>36</v>
      </c>
      <c r="V317" s="4" t="s">
        <v>1080</v>
      </c>
      <c r="W317" s="4" t="s">
        <v>37</v>
      </c>
      <c r="X317" s="4" t="s">
        <v>37</v>
      </c>
      <c r="Y317" s="4" t="s">
        <v>36</v>
      </c>
      <c r="Z317" s="4" t="s">
        <v>1081</v>
      </c>
      <c r="AA317" s="4"/>
    </row>
    <row r="318" spans="1:27" s="1" customFormat="1" x14ac:dyDescent="0.3">
      <c r="A318" s="19">
        <v>19566</v>
      </c>
      <c r="B318" s="4" t="s">
        <v>687</v>
      </c>
      <c r="C318" s="4">
        <v>0</v>
      </c>
      <c r="D318" s="5">
        <v>42432.598877314813</v>
      </c>
      <c r="E318" s="5" t="s">
        <v>2082</v>
      </c>
      <c r="F318" s="4" t="s">
        <v>26</v>
      </c>
      <c r="G318" s="4" t="s">
        <v>392</v>
      </c>
      <c r="H318" s="4" t="s">
        <v>392</v>
      </c>
      <c r="I318" s="4" t="s">
        <v>200</v>
      </c>
      <c r="J318" s="4" t="s">
        <v>311</v>
      </c>
      <c r="K318" s="4" t="s">
        <v>31</v>
      </c>
      <c r="L318" s="5">
        <v>42452.833333333336</v>
      </c>
      <c r="M318" s="5">
        <v>42453</v>
      </c>
      <c r="N318" s="5">
        <v>42453.020833333336</v>
      </c>
      <c r="O318" s="4" t="s">
        <v>32</v>
      </c>
      <c r="P318" s="4" t="s">
        <v>33</v>
      </c>
      <c r="Q318" s="4" t="s">
        <v>76</v>
      </c>
      <c r="R318" s="6" t="s">
        <v>77</v>
      </c>
      <c r="S318" s="6" t="s">
        <v>77</v>
      </c>
      <c r="T318" s="4" t="s">
        <v>37</v>
      </c>
      <c r="U318" s="4" t="s">
        <v>37</v>
      </c>
      <c r="V318" s="4" t="s">
        <v>646</v>
      </c>
      <c r="W318" s="4" t="s">
        <v>37</v>
      </c>
      <c r="X318" s="4" t="s">
        <v>37</v>
      </c>
      <c r="Y318" s="4" t="s">
        <v>36</v>
      </c>
      <c r="Z318" s="4"/>
      <c r="AA318" s="4"/>
    </row>
    <row r="319" spans="1:27" s="1" customFormat="1" x14ac:dyDescent="0.3">
      <c r="A319" s="19">
        <v>19567</v>
      </c>
      <c r="B319" s="4" t="s">
        <v>1082</v>
      </c>
      <c r="C319" s="4" t="s">
        <v>2111</v>
      </c>
      <c r="D319" s="5">
        <v>42432.656238425923</v>
      </c>
      <c r="E319" s="5" t="s">
        <v>2082</v>
      </c>
      <c r="F319" s="4" t="s">
        <v>26</v>
      </c>
      <c r="G319" s="4" t="s">
        <v>279</v>
      </c>
      <c r="H319" s="4" t="s">
        <v>1083</v>
      </c>
      <c r="I319" s="4" t="s">
        <v>48</v>
      </c>
      <c r="J319" s="4" t="s">
        <v>49</v>
      </c>
      <c r="K319" s="4" t="s">
        <v>31</v>
      </c>
      <c r="L319" s="5">
        <v>42432.916666666664</v>
      </c>
      <c r="M319" s="5">
        <v>42433.212500000001</v>
      </c>
      <c r="N319" s="5">
        <v>42433.25</v>
      </c>
      <c r="O319" s="4" t="s">
        <v>710</v>
      </c>
      <c r="P319" s="4" t="s">
        <v>33</v>
      </c>
      <c r="Q319" s="4" t="s">
        <v>76</v>
      </c>
      <c r="R319" s="4" t="s">
        <v>1084</v>
      </c>
      <c r="S319" s="4" t="s">
        <v>1084</v>
      </c>
      <c r="T319" s="4" t="s">
        <v>37</v>
      </c>
      <c r="U319" s="4" t="s">
        <v>37</v>
      </c>
      <c r="V319" s="4" t="s">
        <v>447</v>
      </c>
      <c r="W319" s="4" t="s">
        <v>37</v>
      </c>
      <c r="X319" s="4" t="s">
        <v>37</v>
      </c>
      <c r="Y319" s="4" t="s">
        <v>36</v>
      </c>
      <c r="Z319" s="4"/>
      <c r="AA319" s="4"/>
    </row>
    <row r="320" spans="1:27" s="1" customFormat="1" x14ac:dyDescent="0.3">
      <c r="A320" s="19">
        <v>19569</v>
      </c>
      <c r="B320" s="4" t="s">
        <v>1085</v>
      </c>
      <c r="C320" s="4">
        <v>0</v>
      </c>
      <c r="D320" s="5">
        <v>42433.377430555556</v>
      </c>
      <c r="E320" s="5" t="s">
        <v>2082</v>
      </c>
      <c r="F320" s="4" t="s">
        <v>26</v>
      </c>
      <c r="G320" s="4" t="s">
        <v>295</v>
      </c>
      <c r="H320" s="4" t="s">
        <v>692</v>
      </c>
      <c r="I320" s="4" t="s">
        <v>29</v>
      </c>
      <c r="J320" s="4" t="s">
        <v>30</v>
      </c>
      <c r="K320" s="4" t="s">
        <v>31</v>
      </c>
      <c r="L320" s="5">
        <v>42445.875</v>
      </c>
      <c r="M320" s="5">
        <v>42445.979166666664</v>
      </c>
      <c r="N320" s="5">
        <v>42445.986111111109</v>
      </c>
      <c r="O320" s="4" t="s">
        <v>32</v>
      </c>
      <c r="P320" s="4" t="s">
        <v>149</v>
      </c>
      <c r="Q320" s="4" t="s">
        <v>76</v>
      </c>
      <c r="R320" s="4" t="s">
        <v>693</v>
      </c>
      <c r="S320" s="6" t="s">
        <v>77</v>
      </c>
      <c r="T320" s="4" t="s">
        <v>36</v>
      </c>
      <c r="U320" s="4" t="s">
        <v>37</v>
      </c>
      <c r="V320" s="4" t="s">
        <v>694</v>
      </c>
      <c r="W320" s="4" t="s">
        <v>37</v>
      </c>
      <c r="X320" s="4" t="s">
        <v>37</v>
      </c>
      <c r="Y320" s="4" t="s">
        <v>36</v>
      </c>
      <c r="Z320" s="4" t="s">
        <v>1086</v>
      </c>
      <c r="AA320" s="4" t="s">
        <v>40</v>
      </c>
    </row>
    <row r="321" spans="1:27" s="1" customFormat="1" x14ac:dyDescent="0.3">
      <c r="A321" s="19">
        <v>19570</v>
      </c>
      <c r="B321" s="4" t="s">
        <v>1087</v>
      </c>
      <c r="C321" s="4" t="s">
        <v>2112</v>
      </c>
      <c r="D321" s="5">
        <v>42433.467048611114</v>
      </c>
      <c r="E321" s="5" t="s">
        <v>2082</v>
      </c>
      <c r="F321" s="4" t="s">
        <v>26</v>
      </c>
      <c r="G321" s="4" t="s">
        <v>712</v>
      </c>
      <c r="H321" s="4" t="s">
        <v>712</v>
      </c>
      <c r="I321" s="4" t="s">
        <v>203</v>
      </c>
      <c r="J321" s="4" t="s">
        <v>49</v>
      </c>
      <c r="K321" s="4" t="s">
        <v>31</v>
      </c>
      <c r="L321" s="5">
        <v>42442.375</v>
      </c>
      <c r="M321" s="5">
        <v>42442.625</v>
      </c>
      <c r="N321" s="5">
        <v>42443.416666666664</v>
      </c>
      <c r="O321" s="4" t="s">
        <v>32</v>
      </c>
      <c r="P321" s="4" t="s">
        <v>89</v>
      </c>
      <c r="Q321" s="4" t="s">
        <v>76</v>
      </c>
      <c r="R321" s="4" t="s">
        <v>337</v>
      </c>
      <c r="S321" s="4" t="s">
        <v>337</v>
      </c>
      <c r="T321" s="4" t="s">
        <v>36</v>
      </c>
      <c r="U321" s="4" t="s">
        <v>36</v>
      </c>
      <c r="V321" s="4" t="s">
        <v>338</v>
      </c>
      <c r="W321" s="4" t="s">
        <v>37</v>
      </c>
      <c r="X321" s="4" t="s">
        <v>37</v>
      </c>
      <c r="Y321" s="4" t="s">
        <v>36</v>
      </c>
      <c r="Z321" s="4" t="s">
        <v>592</v>
      </c>
      <c r="AA321" s="4"/>
    </row>
    <row r="322" spans="1:27" s="1" customFormat="1" x14ac:dyDescent="0.3">
      <c r="A322" s="19">
        <v>19573</v>
      </c>
      <c r="B322" s="4" t="s">
        <v>1088</v>
      </c>
      <c r="C322" s="4" t="s">
        <v>2139</v>
      </c>
      <c r="D322" s="5">
        <v>42433.496134259258</v>
      </c>
      <c r="E322" s="5" t="s">
        <v>2082</v>
      </c>
      <c r="F322" s="4" t="s">
        <v>26</v>
      </c>
      <c r="G322" s="4" t="s">
        <v>1089</v>
      </c>
      <c r="H322" s="4" t="s">
        <v>729</v>
      </c>
      <c r="I322" s="4" t="s">
        <v>200</v>
      </c>
      <c r="J322" s="4" t="s">
        <v>49</v>
      </c>
      <c r="K322" s="4" t="s">
        <v>31</v>
      </c>
      <c r="L322" s="5">
        <v>42443.916666666664</v>
      </c>
      <c r="M322" s="5">
        <v>42448.25</v>
      </c>
      <c r="N322" s="5">
        <v>42448.291666666664</v>
      </c>
      <c r="O322" s="4" t="s">
        <v>32</v>
      </c>
      <c r="P322" s="4" t="s">
        <v>89</v>
      </c>
      <c r="Q322" s="4" t="s">
        <v>50</v>
      </c>
      <c r="R322" s="4" t="s">
        <v>1090</v>
      </c>
      <c r="S322" s="4" t="s">
        <v>1090</v>
      </c>
      <c r="T322" s="4" t="s">
        <v>36</v>
      </c>
      <c r="U322" s="4" t="s">
        <v>36</v>
      </c>
      <c r="V322" s="4" t="s">
        <v>1091</v>
      </c>
      <c r="W322" s="4" t="s">
        <v>37</v>
      </c>
      <c r="X322" s="4" t="s">
        <v>37</v>
      </c>
      <c r="Y322" s="4" t="s">
        <v>36</v>
      </c>
      <c r="Z322" s="4" t="s">
        <v>77</v>
      </c>
      <c r="AA322" s="4"/>
    </row>
    <row r="323" spans="1:27" s="1" customFormat="1" x14ac:dyDescent="0.3">
      <c r="A323" s="19">
        <v>19574</v>
      </c>
      <c r="B323" s="4" t="s">
        <v>1092</v>
      </c>
      <c r="C323" s="4">
        <v>0</v>
      </c>
      <c r="D323" s="5">
        <v>42433.518090277779</v>
      </c>
      <c r="E323" s="5" t="s">
        <v>2082</v>
      </c>
      <c r="F323" s="4" t="s">
        <v>26</v>
      </c>
      <c r="G323" s="4" t="s">
        <v>392</v>
      </c>
      <c r="H323" s="4" t="s">
        <v>392</v>
      </c>
      <c r="I323" s="4" t="s">
        <v>200</v>
      </c>
      <c r="J323" s="4" t="s">
        <v>311</v>
      </c>
      <c r="K323" s="4" t="s">
        <v>31</v>
      </c>
      <c r="L323" s="5">
        <v>42451.833333333336</v>
      </c>
      <c r="M323" s="5">
        <v>42452.083333333336</v>
      </c>
      <c r="N323" s="5">
        <v>42452.090277777781</v>
      </c>
      <c r="O323" s="4" t="s">
        <v>32</v>
      </c>
      <c r="P323" s="4" t="s">
        <v>33</v>
      </c>
      <c r="Q323" s="4" t="s">
        <v>76</v>
      </c>
      <c r="R323" s="6" t="s">
        <v>77</v>
      </c>
      <c r="S323" s="6" t="s">
        <v>77</v>
      </c>
      <c r="T323" s="4" t="s">
        <v>37</v>
      </c>
      <c r="U323" s="4" t="s">
        <v>37</v>
      </c>
      <c r="V323" s="4" t="s">
        <v>646</v>
      </c>
      <c r="W323" s="4" t="s">
        <v>37</v>
      </c>
      <c r="X323" s="4" t="s">
        <v>37</v>
      </c>
      <c r="Y323" s="4" t="s">
        <v>36</v>
      </c>
      <c r="Z323" s="4"/>
      <c r="AA323" s="4"/>
    </row>
    <row r="324" spans="1:27" s="1" customFormat="1" x14ac:dyDescent="0.3">
      <c r="A324" s="19">
        <v>19575</v>
      </c>
      <c r="B324" s="4" t="s">
        <v>1088</v>
      </c>
      <c r="C324" s="4" t="s">
        <v>2140</v>
      </c>
      <c r="D324" s="5">
        <v>42433.525555555556</v>
      </c>
      <c r="E324" s="5" t="s">
        <v>2082</v>
      </c>
      <c r="F324" s="4" t="s">
        <v>26</v>
      </c>
      <c r="G324" s="4" t="s">
        <v>1089</v>
      </c>
      <c r="H324" s="4" t="s">
        <v>729</v>
      </c>
      <c r="I324" s="4" t="s">
        <v>48</v>
      </c>
      <c r="J324" s="4" t="s">
        <v>49</v>
      </c>
      <c r="K324" s="4" t="s">
        <v>31</v>
      </c>
      <c r="L324" s="5">
        <v>42450.916666666664</v>
      </c>
      <c r="M324" s="5">
        <v>42455.291666666664</v>
      </c>
      <c r="N324" s="5">
        <v>42455.333333333336</v>
      </c>
      <c r="O324" s="4" t="s">
        <v>32</v>
      </c>
      <c r="P324" s="4" t="s">
        <v>89</v>
      </c>
      <c r="Q324" s="4" t="s">
        <v>50</v>
      </c>
      <c r="R324" s="4" t="s">
        <v>1093</v>
      </c>
      <c r="S324" s="4" t="s">
        <v>1093</v>
      </c>
      <c r="T324" s="4" t="s">
        <v>36</v>
      </c>
      <c r="U324" s="4" t="s">
        <v>36</v>
      </c>
      <c r="V324" s="4" t="s">
        <v>1094</v>
      </c>
      <c r="W324" s="4" t="s">
        <v>37</v>
      </c>
      <c r="X324" s="4" t="s">
        <v>37</v>
      </c>
      <c r="Y324" s="4" t="s">
        <v>36</v>
      </c>
      <c r="Z324" s="4" t="s">
        <v>77</v>
      </c>
      <c r="AA324" s="4"/>
    </row>
    <row r="325" spans="1:27" s="1" customFormat="1" x14ac:dyDescent="0.3">
      <c r="A325" s="19">
        <v>19576</v>
      </c>
      <c r="B325" s="4" t="s">
        <v>1095</v>
      </c>
      <c r="C325" s="4">
        <v>0</v>
      </c>
      <c r="D325" s="5">
        <v>42433.551712962966</v>
      </c>
      <c r="E325" s="5" t="s">
        <v>2082</v>
      </c>
      <c r="F325" s="4" t="s">
        <v>26</v>
      </c>
      <c r="G325" s="4" t="s">
        <v>98</v>
      </c>
      <c r="H325" s="4" t="s">
        <v>98</v>
      </c>
      <c r="I325" s="4" t="s">
        <v>88</v>
      </c>
      <c r="J325" s="4" t="s">
        <v>30</v>
      </c>
      <c r="K325" s="4" t="s">
        <v>31</v>
      </c>
      <c r="L325" s="5">
        <v>42448.916666666664</v>
      </c>
      <c r="M325" s="5">
        <v>42449.25</v>
      </c>
      <c r="N325" s="5">
        <v>42449.25</v>
      </c>
      <c r="O325" s="4" t="s">
        <v>32</v>
      </c>
      <c r="P325" s="4" t="s">
        <v>33</v>
      </c>
      <c r="Q325" s="4" t="s">
        <v>76</v>
      </c>
      <c r="R325" s="6" t="s">
        <v>77</v>
      </c>
      <c r="S325" s="6" t="s">
        <v>77</v>
      </c>
      <c r="T325" s="4" t="s">
        <v>37</v>
      </c>
      <c r="U325" s="4" t="s">
        <v>37</v>
      </c>
      <c r="V325" s="4" t="s">
        <v>828</v>
      </c>
      <c r="W325" s="4" t="s">
        <v>37</v>
      </c>
      <c r="X325" s="4" t="s">
        <v>37</v>
      </c>
      <c r="Y325" s="4" t="s">
        <v>36</v>
      </c>
      <c r="Z325" s="4"/>
      <c r="AA325" s="4" t="s">
        <v>231</v>
      </c>
    </row>
    <row r="326" spans="1:27" s="1" customFormat="1" x14ac:dyDescent="0.3">
      <c r="A326" s="19">
        <v>19577</v>
      </c>
      <c r="B326" s="4" t="s">
        <v>1096</v>
      </c>
      <c r="C326" s="4" t="s">
        <v>2111</v>
      </c>
      <c r="D326" s="5">
        <v>42433.611493055556</v>
      </c>
      <c r="E326" s="5" t="s">
        <v>2082</v>
      </c>
      <c r="F326" s="4" t="s">
        <v>26</v>
      </c>
      <c r="G326" s="4" t="s">
        <v>1097</v>
      </c>
      <c r="H326" s="4" t="s">
        <v>922</v>
      </c>
      <c r="I326" s="4" t="s">
        <v>118</v>
      </c>
      <c r="J326" s="4" t="s">
        <v>30</v>
      </c>
      <c r="K326" s="4" t="s">
        <v>31</v>
      </c>
      <c r="L326" s="5">
        <v>42435.916666666664</v>
      </c>
      <c r="M326" s="5">
        <v>42436.354166666664</v>
      </c>
      <c r="N326" s="5">
        <v>42436.75</v>
      </c>
      <c r="O326" s="4" t="s">
        <v>710</v>
      </c>
      <c r="P326" s="4" t="s">
        <v>89</v>
      </c>
      <c r="Q326" s="4" t="s">
        <v>76</v>
      </c>
      <c r="R326" s="4" t="s">
        <v>839</v>
      </c>
      <c r="S326" s="6" t="s">
        <v>77</v>
      </c>
      <c r="T326" s="4" t="s">
        <v>37</v>
      </c>
      <c r="U326" s="4" t="s">
        <v>37</v>
      </c>
      <c r="V326" s="4" t="s">
        <v>292</v>
      </c>
      <c r="W326" s="4" t="s">
        <v>37</v>
      </c>
      <c r="X326" s="4" t="s">
        <v>37</v>
      </c>
      <c r="Y326" s="4" t="s">
        <v>36</v>
      </c>
      <c r="Z326" s="4" t="s">
        <v>1098</v>
      </c>
      <c r="AA326" s="4" t="s">
        <v>40</v>
      </c>
    </row>
    <row r="327" spans="1:27" s="1" customFormat="1" x14ac:dyDescent="0.3">
      <c r="A327" s="19">
        <v>19578</v>
      </c>
      <c r="B327" s="4" t="s">
        <v>1099</v>
      </c>
      <c r="C327" s="4" t="s">
        <v>2111</v>
      </c>
      <c r="D327" s="5">
        <v>42433.621157407404</v>
      </c>
      <c r="E327" s="5" t="s">
        <v>2082</v>
      </c>
      <c r="F327" s="4" t="s">
        <v>26</v>
      </c>
      <c r="G327" s="4" t="s">
        <v>289</v>
      </c>
      <c r="H327" s="4" t="s">
        <v>290</v>
      </c>
      <c r="I327" s="4" t="s">
        <v>118</v>
      </c>
      <c r="J327" s="4" t="s">
        <v>30</v>
      </c>
      <c r="K327" s="4" t="s">
        <v>31</v>
      </c>
      <c r="L327" s="5">
        <v>42436.666666666664</v>
      </c>
      <c r="M327" s="5">
        <v>42436.875</v>
      </c>
      <c r="N327" s="5">
        <v>42436.916666666664</v>
      </c>
      <c r="O327" s="4" t="s">
        <v>710</v>
      </c>
      <c r="P327" s="4" t="s">
        <v>89</v>
      </c>
      <c r="Q327" s="4" t="s">
        <v>76</v>
      </c>
      <c r="R327" s="4" t="s">
        <v>291</v>
      </c>
      <c r="S327" s="6" t="s">
        <v>77</v>
      </c>
      <c r="T327" s="4" t="s">
        <v>37</v>
      </c>
      <c r="U327" s="4" t="s">
        <v>37</v>
      </c>
      <c r="V327" s="4" t="s">
        <v>292</v>
      </c>
      <c r="W327" s="4" t="s">
        <v>37</v>
      </c>
      <c r="X327" s="4" t="s">
        <v>37</v>
      </c>
      <c r="Y327" s="4" t="s">
        <v>36</v>
      </c>
      <c r="Z327" s="4"/>
      <c r="AA327" s="4" t="s">
        <v>40</v>
      </c>
    </row>
    <row r="328" spans="1:27" s="1" customFormat="1" x14ac:dyDescent="0.3">
      <c r="A328" s="19">
        <v>19579</v>
      </c>
      <c r="B328" s="4" t="s">
        <v>1100</v>
      </c>
      <c r="C328" s="4" t="s">
        <v>2111</v>
      </c>
      <c r="D328" s="5">
        <v>42433.621782407405</v>
      </c>
      <c r="E328" s="5" t="s">
        <v>2082</v>
      </c>
      <c r="F328" s="4" t="s">
        <v>26</v>
      </c>
      <c r="G328" s="4" t="s">
        <v>1032</v>
      </c>
      <c r="H328" s="4" t="s">
        <v>729</v>
      </c>
      <c r="I328" s="4" t="s">
        <v>221</v>
      </c>
      <c r="J328" s="4" t="s">
        <v>30</v>
      </c>
      <c r="K328" s="4" t="s">
        <v>31</v>
      </c>
      <c r="L328" s="5">
        <v>42433.958333333336</v>
      </c>
      <c r="M328" s="5">
        <v>42434.125</v>
      </c>
      <c r="N328" s="5">
        <v>42434.166666666664</v>
      </c>
      <c r="O328" s="4" t="s">
        <v>710</v>
      </c>
      <c r="P328" s="4" t="s">
        <v>89</v>
      </c>
      <c r="Q328" s="4" t="s">
        <v>76</v>
      </c>
      <c r="R328" s="6" t="s">
        <v>77</v>
      </c>
      <c r="S328" s="6" t="s">
        <v>77</v>
      </c>
      <c r="T328" s="4" t="s">
        <v>36</v>
      </c>
      <c r="U328" s="4" t="s">
        <v>37</v>
      </c>
      <c r="V328" s="4" t="s">
        <v>1101</v>
      </c>
      <c r="W328" s="4" t="s">
        <v>37</v>
      </c>
      <c r="X328" s="4" t="s">
        <v>37</v>
      </c>
      <c r="Y328" s="4" t="s">
        <v>36</v>
      </c>
      <c r="Z328" s="4" t="s">
        <v>1102</v>
      </c>
      <c r="AA328" s="4" t="s">
        <v>40</v>
      </c>
    </row>
    <row r="329" spans="1:27" s="1" customFormat="1" x14ac:dyDescent="0.3">
      <c r="A329" s="19">
        <v>19581</v>
      </c>
      <c r="B329" s="4" t="s">
        <v>1103</v>
      </c>
      <c r="C329" s="4">
        <v>0</v>
      </c>
      <c r="D329" s="5">
        <v>42433.67087962963</v>
      </c>
      <c r="E329" s="5" t="s">
        <v>2082</v>
      </c>
      <c r="F329" s="4" t="s">
        <v>26</v>
      </c>
      <c r="G329" s="4" t="s">
        <v>852</v>
      </c>
      <c r="H329" s="4" t="s">
        <v>852</v>
      </c>
      <c r="I329" s="4" t="s">
        <v>213</v>
      </c>
      <c r="J329" s="4" t="s">
        <v>853</v>
      </c>
      <c r="K329" s="4" t="s">
        <v>31</v>
      </c>
      <c r="L329" s="5">
        <v>42440.916666666664</v>
      </c>
      <c r="M329" s="5">
        <v>42441.208333333336</v>
      </c>
      <c r="N329" s="5">
        <v>42441.25</v>
      </c>
      <c r="O329" s="4" t="s">
        <v>32</v>
      </c>
      <c r="P329" s="4" t="s">
        <v>33</v>
      </c>
      <c r="Q329" s="4" t="s">
        <v>76</v>
      </c>
      <c r="R329" s="6" t="s">
        <v>77</v>
      </c>
      <c r="S329" s="6" t="s">
        <v>77</v>
      </c>
      <c r="T329" s="4" t="s">
        <v>37</v>
      </c>
      <c r="U329" s="4" t="s">
        <v>37</v>
      </c>
      <c r="V329" s="4" t="s">
        <v>177</v>
      </c>
      <c r="W329" s="4" t="s">
        <v>37</v>
      </c>
      <c r="X329" s="4" t="s">
        <v>37</v>
      </c>
      <c r="Y329" s="4" t="s">
        <v>36</v>
      </c>
      <c r="Z329" s="4"/>
      <c r="AA329" s="4" t="s">
        <v>676</v>
      </c>
    </row>
    <row r="330" spans="1:27" s="1" customFormat="1" x14ac:dyDescent="0.3">
      <c r="A330" s="19">
        <v>19583</v>
      </c>
      <c r="B330" s="4" t="s">
        <v>1104</v>
      </c>
      <c r="C330" s="4">
        <v>0</v>
      </c>
      <c r="D330" s="5">
        <v>42433.677835648145</v>
      </c>
      <c r="E330" s="5" t="s">
        <v>2082</v>
      </c>
      <c r="F330" s="4" t="s">
        <v>26</v>
      </c>
      <c r="G330" s="4" t="s">
        <v>852</v>
      </c>
      <c r="H330" s="4" t="s">
        <v>852</v>
      </c>
      <c r="I330" s="4" t="s">
        <v>213</v>
      </c>
      <c r="J330" s="4" t="s">
        <v>30</v>
      </c>
      <c r="K330" s="4" t="s">
        <v>31</v>
      </c>
      <c r="L330" s="5">
        <v>42433.770833333336</v>
      </c>
      <c r="M330" s="5">
        <v>42434.208333333336</v>
      </c>
      <c r="N330" s="5">
        <v>42434.333333333336</v>
      </c>
      <c r="O330" s="4" t="s">
        <v>250</v>
      </c>
      <c r="P330" s="4" t="s">
        <v>89</v>
      </c>
      <c r="Q330" s="4" t="s">
        <v>251</v>
      </c>
      <c r="R330" s="4" t="s">
        <v>1105</v>
      </c>
      <c r="S330" s="4" t="s">
        <v>1105</v>
      </c>
      <c r="T330" s="4" t="s">
        <v>36</v>
      </c>
      <c r="U330" s="4" t="s">
        <v>37</v>
      </c>
      <c r="V330" s="4" t="s">
        <v>1106</v>
      </c>
      <c r="W330" s="4" t="s">
        <v>37</v>
      </c>
      <c r="X330" s="4" t="s">
        <v>37</v>
      </c>
      <c r="Y330" s="4" t="s">
        <v>36</v>
      </c>
      <c r="Z330" s="4" t="s">
        <v>1107</v>
      </c>
      <c r="AA330" s="4" t="s">
        <v>40</v>
      </c>
    </row>
    <row r="331" spans="1:27" s="1" customFormat="1" x14ac:dyDescent="0.3">
      <c r="A331" s="19">
        <v>19584</v>
      </c>
      <c r="B331" s="4" t="s">
        <v>1108</v>
      </c>
      <c r="C331" s="4" t="s">
        <v>2141</v>
      </c>
      <c r="D331" s="5">
        <v>42433.684236111112</v>
      </c>
      <c r="E331" s="5" t="s">
        <v>2082</v>
      </c>
      <c r="F331" s="4" t="s">
        <v>26</v>
      </c>
      <c r="G331" s="4" t="s">
        <v>1109</v>
      </c>
      <c r="H331" s="4" t="s">
        <v>922</v>
      </c>
      <c r="I331" s="4" t="s">
        <v>118</v>
      </c>
      <c r="J331" s="4" t="s">
        <v>30</v>
      </c>
      <c r="K331" s="4" t="s">
        <v>31</v>
      </c>
      <c r="L331" s="5">
        <v>42444.916666666664</v>
      </c>
      <c r="M331" s="5">
        <v>42445.125</v>
      </c>
      <c r="N331" s="5">
        <v>42445.75</v>
      </c>
      <c r="O331" s="4" t="s">
        <v>32</v>
      </c>
      <c r="P331" s="4" t="s">
        <v>33</v>
      </c>
      <c r="Q331" s="4" t="s">
        <v>76</v>
      </c>
      <c r="R331" s="4" t="s">
        <v>291</v>
      </c>
      <c r="S331" s="4" t="s">
        <v>291</v>
      </c>
      <c r="T331" s="4" t="s">
        <v>37</v>
      </c>
      <c r="U331" s="4" t="s">
        <v>37</v>
      </c>
      <c r="V331" s="4" t="s">
        <v>292</v>
      </c>
      <c r="W331" s="4" t="s">
        <v>37</v>
      </c>
      <c r="X331" s="4" t="s">
        <v>37</v>
      </c>
      <c r="Y331" s="4" t="s">
        <v>36</v>
      </c>
      <c r="Z331" s="4" t="s">
        <v>39</v>
      </c>
      <c r="AA331" s="4" t="s">
        <v>40</v>
      </c>
    </row>
    <row r="332" spans="1:27" s="1" customFormat="1" x14ac:dyDescent="0.3">
      <c r="A332" s="19">
        <v>19588</v>
      </c>
      <c r="B332" s="4" t="s">
        <v>1110</v>
      </c>
      <c r="C332" s="4">
        <v>0</v>
      </c>
      <c r="D332" s="5">
        <v>42433.75513888889</v>
      </c>
      <c r="E332" s="5" t="s">
        <v>2082</v>
      </c>
      <c r="F332" s="4" t="s">
        <v>26</v>
      </c>
      <c r="G332" s="4" t="s">
        <v>852</v>
      </c>
      <c r="H332" s="4" t="s">
        <v>852</v>
      </c>
      <c r="I332" s="4" t="s">
        <v>205</v>
      </c>
      <c r="J332" s="4" t="s">
        <v>275</v>
      </c>
      <c r="K332" s="4" t="s">
        <v>31</v>
      </c>
      <c r="L332" s="5">
        <v>42442.000694444447</v>
      </c>
      <c r="M332" s="5">
        <v>42442.208333333336</v>
      </c>
      <c r="N332" s="5">
        <v>42442.25</v>
      </c>
      <c r="O332" s="4" t="s">
        <v>32</v>
      </c>
      <c r="P332" s="4" t="s">
        <v>33</v>
      </c>
      <c r="Q332" s="4" t="s">
        <v>76</v>
      </c>
      <c r="R332" s="6" t="s">
        <v>77</v>
      </c>
      <c r="S332" s="6" t="s">
        <v>77</v>
      </c>
      <c r="T332" s="4" t="s">
        <v>37</v>
      </c>
      <c r="U332" s="4" t="s">
        <v>37</v>
      </c>
      <c r="V332" s="4" t="s">
        <v>177</v>
      </c>
      <c r="W332" s="4" t="s">
        <v>37</v>
      </c>
      <c r="X332" s="4" t="s">
        <v>37</v>
      </c>
      <c r="Y332" s="4" t="s">
        <v>36</v>
      </c>
      <c r="Z332" s="4"/>
      <c r="AA332" s="4" t="s">
        <v>179</v>
      </c>
    </row>
    <row r="333" spans="1:27" s="1" customFormat="1" x14ac:dyDescent="0.3">
      <c r="A333" s="19">
        <v>19589</v>
      </c>
      <c r="B333" s="4" t="s">
        <v>736</v>
      </c>
      <c r="C333" s="4">
        <v>0</v>
      </c>
      <c r="D333" s="5">
        <v>42433.755810185183</v>
      </c>
      <c r="E333" s="5" t="s">
        <v>2082</v>
      </c>
      <c r="F333" s="4" t="s">
        <v>26</v>
      </c>
      <c r="G333" s="4" t="s">
        <v>348</v>
      </c>
      <c r="H333" s="4" t="s">
        <v>473</v>
      </c>
      <c r="I333" s="4" t="s">
        <v>88</v>
      </c>
      <c r="J333" s="4" t="s">
        <v>30</v>
      </c>
      <c r="K333" s="4" t="s">
        <v>31</v>
      </c>
      <c r="L333" s="5">
        <v>42439.916666666664</v>
      </c>
      <c r="M333" s="5">
        <v>42440.166666666664</v>
      </c>
      <c r="N333" s="5">
        <v>42440.25</v>
      </c>
      <c r="O333" s="4" t="s">
        <v>32</v>
      </c>
      <c r="P333" s="4" t="s">
        <v>89</v>
      </c>
      <c r="Q333" s="4" t="s">
        <v>76</v>
      </c>
      <c r="R333" s="4" t="s">
        <v>1111</v>
      </c>
      <c r="S333" s="4" t="s">
        <v>1111</v>
      </c>
      <c r="T333" s="4" t="s">
        <v>36</v>
      </c>
      <c r="U333" s="4" t="s">
        <v>37</v>
      </c>
      <c r="V333" s="4" t="s">
        <v>739</v>
      </c>
      <c r="W333" s="4" t="s">
        <v>36</v>
      </c>
      <c r="X333" s="4" t="s">
        <v>37</v>
      </c>
      <c r="Y333" s="4" t="s">
        <v>37</v>
      </c>
      <c r="Z333" s="4" t="s">
        <v>39</v>
      </c>
      <c r="AA333" s="4" t="s">
        <v>358</v>
      </c>
    </row>
    <row r="334" spans="1:27" s="1" customFormat="1" x14ac:dyDescent="0.3">
      <c r="A334" s="19">
        <v>19591</v>
      </c>
      <c r="B334" s="4" t="s">
        <v>1112</v>
      </c>
      <c r="C334" s="4">
        <v>0</v>
      </c>
      <c r="D334" s="5">
        <v>42436.44059027778</v>
      </c>
      <c r="E334" s="5" t="s">
        <v>2082</v>
      </c>
      <c r="F334" s="4" t="s">
        <v>26</v>
      </c>
      <c r="G334" s="4" t="s">
        <v>489</v>
      </c>
      <c r="H334" s="4" t="s">
        <v>489</v>
      </c>
      <c r="I334" s="4" t="s">
        <v>219</v>
      </c>
      <c r="J334" s="4" t="s">
        <v>30</v>
      </c>
      <c r="K334" s="4" t="s">
        <v>31</v>
      </c>
      <c r="L334" s="5">
        <v>42460.958333333336</v>
      </c>
      <c r="M334" s="5">
        <v>42462.166666666664</v>
      </c>
      <c r="N334" s="5">
        <v>42462.208333333336</v>
      </c>
      <c r="O334" s="4" t="s">
        <v>32</v>
      </c>
      <c r="P334" s="4" t="s">
        <v>33</v>
      </c>
      <c r="Q334" s="4" t="s">
        <v>34</v>
      </c>
      <c r="R334" s="6" t="s">
        <v>77</v>
      </c>
      <c r="S334" s="4" t="s">
        <v>1113</v>
      </c>
      <c r="T334" s="4" t="s">
        <v>37</v>
      </c>
      <c r="U334" s="4" t="s">
        <v>37</v>
      </c>
      <c r="V334" s="4" t="s">
        <v>490</v>
      </c>
      <c r="W334" s="4" t="s">
        <v>37</v>
      </c>
      <c r="X334" s="4" t="s">
        <v>37</v>
      </c>
      <c r="Y334" s="4" t="s">
        <v>36</v>
      </c>
      <c r="Z334" s="4"/>
      <c r="AA334" s="4" t="s">
        <v>40</v>
      </c>
    </row>
    <row r="335" spans="1:27" s="1" customFormat="1" x14ac:dyDescent="0.3">
      <c r="A335" s="19">
        <v>19594</v>
      </c>
      <c r="B335" s="4" t="s">
        <v>1114</v>
      </c>
      <c r="C335" s="4" t="s">
        <v>2142</v>
      </c>
      <c r="D335" s="5">
        <v>42436.586793981478</v>
      </c>
      <c r="E335" s="5" t="s">
        <v>2082</v>
      </c>
      <c r="F335" s="4" t="s">
        <v>26</v>
      </c>
      <c r="G335" s="4" t="s">
        <v>1115</v>
      </c>
      <c r="H335" s="4" t="s">
        <v>1116</v>
      </c>
      <c r="I335" s="4" t="s">
        <v>48</v>
      </c>
      <c r="J335" s="4" t="s">
        <v>49</v>
      </c>
      <c r="K335" s="4" t="s">
        <v>31</v>
      </c>
      <c r="L335" s="5">
        <v>42446.875</v>
      </c>
      <c r="M335" s="5">
        <v>42447.211805555555</v>
      </c>
      <c r="N335" s="5">
        <v>42447.25</v>
      </c>
      <c r="O335" s="4" t="s">
        <v>32</v>
      </c>
      <c r="P335" s="4" t="s">
        <v>33</v>
      </c>
      <c r="Q335" s="4" t="s">
        <v>34</v>
      </c>
      <c r="R335" s="4" t="s">
        <v>1117</v>
      </c>
      <c r="S335" s="4" t="s">
        <v>1117</v>
      </c>
      <c r="T335" s="4" t="s">
        <v>37</v>
      </c>
      <c r="U335" s="4" t="s">
        <v>36</v>
      </c>
      <c r="V335" s="4" t="s">
        <v>1118</v>
      </c>
      <c r="W335" s="4" t="s">
        <v>37</v>
      </c>
      <c r="X335" s="4" t="s">
        <v>37</v>
      </c>
      <c r="Y335" s="4" t="s">
        <v>36</v>
      </c>
      <c r="Z335" s="4"/>
      <c r="AA335" s="4"/>
    </row>
    <row r="336" spans="1:27" s="1" customFormat="1" x14ac:dyDescent="0.3">
      <c r="A336" s="19">
        <v>19598</v>
      </c>
      <c r="B336" s="4" t="s">
        <v>1119</v>
      </c>
      <c r="C336" s="4">
        <v>0</v>
      </c>
      <c r="D336" s="5">
        <v>42436.69871527778</v>
      </c>
      <c r="E336" s="5" t="s">
        <v>2082</v>
      </c>
      <c r="F336" s="4" t="s">
        <v>26</v>
      </c>
      <c r="G336" s="4" t="s">
        <v>152</v>
      </c>
      <c r="H336" s="4" t="s">
        <v>152</v>
      </c>
      <c r="I336" s="4" t="s">
        <v>158</v>
      </c>
      <c r="J336" s="4" t="s">
        <v>154</v>
      </c>
      <c r="K336" s="4" t="s">
        <v>31</v>
      </c>
      <c r="L336" s="5">
        <v>42447.916666666664</v>
      </c>
      <c r="M336" s="5">
        <v>42448.083333333336</v>
      </c>
      <c r="N336" s="5">
        <v>42448.104166666664</v>
      </c>
      <c r="O336" s="4" t="s">
        <v>32</v>
      </c>
      <c r="P336" s="4" t="s">
        <v>33</v>
      </c>
      <c r="Q336" s="4" t="s">
        <v>76</v>
      </c>
      <c r="R336" s="6" t="s">
        <v>77</v>
      </c>
      <c r="S336" s="4" t="s">
        <v>323</v>
      </c>
      <c r="T336" s="4" t="s">
        <v>37</v>
      </c>
      <c r="U336" s="4" t="s">
        <v>37</v>
      </c>
      <c r="V336" s="4" t="s">
        <v>553</v>
      </c>
      <c r="W336" s="4" t="s">
        <v>37</v>
      </c>
      <c r="X336" s="4" t="s">
        <v>37</v>
      </c>
      <c r="Y336" s="4" t="s">
        <v>36</v>
      </c>
      <c r="Z336" s="4"/>
      <c r="AA336" s="4" t="s">
        <v>157</v>
      </c>
    </row>
    <row r="337" spans="1:27" s="1" customFormat="1" x14ac:dyDescent="0.3">
      <c r="A337" s="19">
        <v>19599</v>
      </c>
      <c r="B337" s="4" t="s">
        <v>1120</v>
      </c>
      <c r="C337" s="4">
        <v>0</v>
      </c>
      <c r="D337" s="5">
        <v>42436.717245370368</v>
      </c>
      <c r="E337" s="5" t="s">
        <v>2082</v>
      </c>
      <c r="F337" s="4" t="s">
        <v>26</v>
      </c>
      <c r="G337" s="4" t="s">
        <v>392</v>
      </c>
      <c r="H337" s="4" t="s">
        <v>392</v>
      </c>
      <c r="I337" s="4" t="s">
        <v>204</v>
      </c>
      <c r="J337" s="4" t="s">
        <v>302</v>
      </c>
      <c r="K337" s="4" t="s">
        <v>31</v>
      </c>
      <c r="L337" s="5">
        <v>42457.833333333336</v>
      </c>
      <c r="M337" s="5">
        <v>42458.083333333336</v>
      </c>
      <c r="N337" s="5">
        <v>42458.090277777781</v>
      </c>
      <c r="O337" s="4" t="s">
        <v>32</v>
      </c>
      <c r="P337" s="4" t="s">
        <v>33</v>
      </c>
      <c r="Q337" s="4" t="s">
        <v>76</v>
      </c>
      <c r="R337" s="6" t="s">
        <v>77</v>
      </c>
      <c r="S337" s="6" t="s">
        <v>77</v>
      </c>
      <c r="T337" s="4" t="s">
        <v>37</v>
      </c>
      <c r="U337" s="4" t="s">
        <v>37</v>
      </c>
      <c r="V337" s="4" t="s">
        <v>646</v>
      </c>
      <c r="W337" s="4" t="s">
        <v>37</v>
      </c>
      <c r="X337" s="4" t="s">
        <v>37</v>
      </c>
      <c r="Y337" s="4" t="s">
        <v>36</v>
      </c>
      <c r="Z337" s="4"/>
      <c r="AA337" s="4" t="s">
        <v>187</v>
      </c>
    </row>
    <row r="338" spans="1:27" s="1" customFormat="1" x14ac:dyDescent="0.3">
      <c r="A338" s="19">
        <v>19600</v>
      </c>
      <c r="B338" s="4" t="s">
        <v>1121</v>
      </c>
      <c r="C338" s="4">
        <v>0</v>
      </c>
      <c r="D338" s="5">
        <v>42436.756168981483</v>
      </c>
      <c r="E338" s="5" t="s">
        <v>2082</v>
      </c>
      <c r="F338" s="4" t="s">
        <v>26</v>
      </c>
      <c r="G338" s="4" t="s">
        <v>342</v>
      </c>
      <c r="H338" s="4" t="s">
        <v>342</v>
      </c>
      <c r="I338" s="4" t="s">
        <v>68</v>
      </c>
      <c r="J338" s="4" t="s">
        <v>343</v>
      </c>
      <c r="K338" s="4" t="s">
        <v>31</v>
      </c>
      <c r="L338" s="5">
        <v>42441.833333333336</v>
      </c>
      <c r="M338" s="5">
        <v>42442.083333333336</v>
      </c>
      <c r="N338" s="5">
        <v>42443.208333333336</v>
      </c>
      <c r="O338" s="4" t="s">
        <v>32</v>
      </c>
      <c r="P338" s="4" t="s">
        <v>33</v>
      </c>
      <c r="Q338" s="4" t="s">
        <v>50</v>
      </c>
      <c r="R338" s="6" t="s">
        <v>77</v>
      </c>
      <c r="S338" s="4"/>
      <c r="T338" s="4" t="s">
        <v>37</v>
      </c>
      <c r="U338" s="4" t="s">
        <v>37</v>
      </c>
      <c r="V338" s="4" t="s">
        <v>1122</v>
      </c>
      <c r="W338" s="4" t="s">
        <v>37</v>
      </c>
      <c r="X338" s="4" t="s">
        <v>37</v>
      </c>
      <c r="Y338" s="4" t="s">
        <v>36</v>
      </c>
      <c r="Z338" s="4"/>
      <c r="AA338" s="4" t="s">
        <v>346</v>
      </c>
    </row>
    <row r="339" spans="1:27" s="1" customFormat="1" x14ac:dyDescent="0.3">
      <c r="A339" s="19">
        <v>19607</v>
      </c>
      <c r="B339" s="4" t="s">
        <v>1123</v>
      </c>
      <c r="C339" s="4" t="s">
        <v>2121</v>
      </c>
      <c r="D339" s="5">
        <v>42437.301817129628</v>
      </c>
      <c r="E339" s="5" t="s">
        <v>2082</v>
      </c>
      <c r="F339" s="4" t="s">
        <v>26</v>
      </c>
      <c r="G339" s="4" t="s">
        <v>520</v>
      </c>
      <c r="H339" s="4" t="s">
        <v>264</v>
      </c>
      <c r="I339" s="4" t="s">
        <v>203</v>
      </c>
      <c r="J339" s="4" t="s">
        <v>30</v>
      </c>
      <c r="K339" s="4" t="s">
        <v>31</v>
      </c>
      <c r="L339" s="5">
        <v>42444.916666666664</v>
      </c>
      <c r="M339" s="5">
        <v>42445.458333333336</v>
      </c>
      <c r="N339" s="5">
        <v>42445.541666666664</v>
      </c>
      <c r="O339" s="4" t="s">
        <v>32</v>
      </c>
      <c r="P339" s="4" t="s">
        <v>89</v>
      </c>
      <c r="Q339" s="4" t="s">
        <v>251</v>
      </c>
      <c r="R339" s="4" t="s">
        <v>1124</v>
      </c>
      <c r="S339" s="4" t="s">
        <v>1124</v>
      </c>
      <c r="T339" s="4" t="s">
        <v>37</v>
      </c>
      <c r="U339" s="4" t="s">
        <v>37</v>
      </c>
      <c r="V339" s="4" t="s">
        <v>267</v>
      </c>
      <c r="W339" s="4" t="s">
        <v>37</v>
      </c>
      <c r="X339" s="4" t="s">
        <v>37</v>
      </c>
      <c r="Y339" s="4" t="s">
        <v>36</v>
      </c>
      <c r="Z339" s="4" t="s">
        <v>1125</v>
      </c>
      <c r="AA339" s="4" t="s">
        <v>40</v>
      </c>
    </row>
    <row r="340" spans="1:27" s="1" customFormat="1" x14ac:dyDescent="0.3">
      <c r="A340" s="19">
        <v>19609</v>
      </c>
      <c r="B340" s="4" t="s">
        <v>1126</v>
      </c>
      <c r="C340" s="4">
        <v>0</v>
      </c>
      <c r="D340" s="5">
        <v>42437.382997685185</v>
      </c>
      <c r="E340" s="5" t="s">
        <v>2082</v>
      </c>
      <c r="F340" s="4" t="s">
        <v>26</v>
      </c>
      <c r="G340" s="4" t="s">
        <v>392</v>
      </c>
      <c r="H340" s="4" t="s">
        <v>392</v>
      </c>
      <c r="I340" s="4" t="s">
        <v>204</v>
      </c>
      <c r="J340" s="4" t="s">
        <v>302</v>
      </c>
      <c r="K340" s="4" t="s">
        <v>31</v>
      </c>
      <c r="L340" s="5">
        <v>42458.833333333336</v>
      </c>
      <c r="M340" s="5">
        <v>42458.916666666664</v>
      </c>
      <c r="N340" s="5">
        <v>42458.9375</v>
      </c>
      <c r="O340" s="4" t="s">
        <v>32</v>
      </c>
      <c r="P340" s="4" t="s">
        <v>33</v>
      </c>
      <c r="Q340" s="4" t="s">
        <v>76</v>
      </c>
      <c r="R340" s="6" t="s">
        <v>77</v>
      </c>
      <c r="S340" s="6" t="s">
        <v>77</v>
      </c>
      <c r="T340" s="4" t="s">
        <v>37</v>
      </c>
      <c r="U340" s="4" t="s">
        <v>37</v>
      </c>
      <c r="V340" s="4" t="s">
        <v>646</v>
      </c>
      <c r="W340" s="4" t="s">
        <v>37</v>
      </c>
      <c r="X340" s="4" t="s">
        <v>37</v>
      </c>
      <c r="Y340" s="4" t="s">
        <v>36</v>
      </c>
      <c r="Z340" s="4"/>
      <c r="AA340" s="4" t="s">
        <v>187</v>
      </c>
    </row>
    <row r="341" spans="1:27" s="1" customFormat="1" x14ac:dyDescent="0.3">
      <c r="A341" s="19">
        <v>19610</v>
      </c>
      <c r="B341" s="4" t="s">
        <v>1127</v>
      </c>
      <c r="C341" s="4">
        <v>0</v>
      </c>
      <c r="D341" s="5">
        <v>42437.395416666666</v>
      </c>
      <c r="E341" s="5" t="s">
        <v>2082</v>
      </c>
      <c r="F341" s="4" t="s">
        <v>26</v>
      </c>
      <c r="G341" s="4" t="s">
        <v>464</v>
      </c>
      <c r="H341" s="4" t="s">
        <v>1128</v>
      </c>
      <c r="I341" s="4" t="s">
        <v>213</v>
      </c>
      <c r="J341" s="4" t="s">
        <v>30</v>
      </c>
      <c r="K341" s="4" t="s">
        <v>31</v>
      </c>
      <c r="L341" s="5">
        <v>42437.996527777781</v>
      </c>
      <c r="M341" s="5">
        <v>42438.208333333336</v>
      </c>
      <c r="N341" s="5">
        <v>42438.229166666664</v>
      </c>
      <c r="O341" s="4" t="s">
        <v>250</v>
      </c>
      <c r="P341" s="4" t="s">
        <v>89</v>
      </c>
      <c r="Q341" s="4" t="s">
        <v>119</v>
      </c>
      <c r="R341" s="4" t="s">
        <v>1129</v>
      </c>
      <c r="S341" s="4" t="s">
        <v>1129</v>
      </c>
      <c r="T341" s="4" t="s">
        <v>36</v>
      </c>
      <c r="U341" s="4" t="s">
        <v>37</v>
      </c>
      <c r="V341" s="4" t="s">
        <v>1130</v>
      </c>
      <c r="W341" s="4" t="s">
        <v>37</v>
      </c>
      <c r="X341" s="4" t="s">
        <v>37</v>
      </c>
      <c r="Y341" s="4" t="s">
        <v>36</v>
      </c>
      <c r="Z341" s="4" t="s">
        <v>1131</v>
      </c>
      <c r="AA341" s="4" t="s">
        <v>40</v>
      </c>
    </row>
    <row r="342" spans="1:27" s="1" customFormat="1" x14ac:dyDescent="0.3">
      <c r="A342" s="19">
        <v>19611</v>
      </c>
      <c r="B342" s="4" t="s">
        <v>1132</v>
      </c>
      <c r="C342" s="4">
        <v>0</v>
      </c>
      <c r="D342" s="5">
        <v>42437.451469907406</v>
      </c>
      <c r="E342" s="5" t="s">
        <v>2082</v>
      </c>
      <c r="F342" s="4" t="s">
        <v>26</v>
      </c>
      <c r="G342" s="4" t="s">
        <v>1133</v>
      </c>
      <c r="H342" s="4" t="s">
        <v>1133</v>
      </c>
      <c r="I342" s="4" t="s">
        <v>80</v>
      </c>
      <c r="J342" s="4" t="s">
        <v>185</v>
      </c>
      <c r="K342" s="4" t="s">
        <v>31</v>
      </c>
      <c r="L342" s="5">
        <v>42455.916666666664</v>
      </c>
      <c r="M342" s="5">
        <v>42456.208333333336</v>
      </c>
      <c r="N342" s="5">
        <v>42456.208333333336</v>
      </c>
      <c r="O342" s="4" t="s">
        <v>32</v>
      </c>
      <c r="P342" s="4" t="s">
        <v>33</v>
      </c>
      <c r="Q342" s="4" t="s">
        <v>34</v>
      </c>
      <c r="R342" s="6" t="s">
        <v>77</v>
      </c>
      <c r="S342" s="4" t="s">
        <v>1134</v>
      </c>
      <c r="T342" s="4" t="s">
        <v>37</v>
      </c>
      <c r="U342" s="4" t="s">
        <v>37</v>
      </c>
      <c r="V342" s="4" t="s">
        <v>1135</v>
      </c>
      <c r="W342" s="4" t="s">
        <v>37</v>
      </c>
      <c r="X342" s="4" t="s">
        <v>37</v>
      </c>
      <c r="Y342" s="4" t="s">
        <v>36</v>
      </c>
      <c r="Z342" s="4"/>
      <c r="AA342" s="4" t="s">
        <v>187</v>
      </c>
    </row>
    <row r="343" spans="1:27" s="1" customFormat="1" x14ac:dyDescent="0.3">
      <c r="A343" s="19">
        <v>19612</v>
      </c>
      <c r="B343" s="4" t="s">
        <v>1136</v>
      </c>
      <c r="C343" s="4" t="s">
        <v>2116</v>
      </c>
      <c r="D343" s="5">
        <v>42437.464942129627</v>
      </c>
      <c r="E343" s="5" t="s">
        <v>2082</v>
      </c>
      <c r="F343" s="4" t="s">
        <v>26</v>
      </c>
      <c r="G343" s="4" t="s">
        <v>310</v>
      </c>
      <c r="H343" s="4" t="s">
        <v>1137</v>
      </c>
      <c r="I343" s="4" t="s">
        <v>80</v>
      </c>
      <c r="J343" s="4" t="s">
        <v>185</v>
      </c>
      <c r="K343" s="4" t="s">
        <v>31</v>
      </c>
      <c r="L343" s="5">
        <v>42445.958333333336</v>
      </c>
      <c r="M343" s="5">
        <v>42446.041666666664</v>
      </c>
      <c r="N343" s="5">
        <v>42446.083333333336</v>
      </c>
      <c r="O343" s="4" t="s">
        <v>32</v>
      </c>
      <c r="P343" s="4" t="s">
        <v>149</v>
      </c>
      <c r="Q343" s="4" t="s">
        <v>34</v>
      </c>
      <c r="R343" s="6" t="s">
        <v>77</v>
      </c>
      <c r="S343" s="4" t="s">
        <v>1138</v>
      </c>
      <c r="T343" s="4" t="s">
        <v>36</v>
      </c>
      <c r="U343" s="4" t="s">
        <v>37</v>
      </c>
      <c r="V343" s="4" t="s">
        <v>1139</v>
      </c>
      <c r="W343" s="4" t="s">
        <v>37</v>
      </c>
      <c r="X343" s="4" t="s">
        <v>37</v>
      </c>
      <c r="Y343" s="4" t="s">
        <v>36</v>
      </c>
      <c r="Z343" s="4"/>
      <c r="AA343" s="4" t="s">
        <v>187</v>
      </c>
    </row>
    <row r="344" spans="1:27" s="1" customFormat="1" x14ac:dyDescent="0.3">
      <c r="A344" s="19">
        <v>19613</v>
      </c>
      <c r="B344" s="4" t="s">
        <v>1140</v>
      </c>
      <c r="C344" s="4">
        <v>0</v>
      </c>
      <c r="D344" s="5">
        <v>42437.478356481479</v>
      </c>
      <c r="E344" s="5" t="s">
        <v>2082</v>
      </c>
      <c r="F344" s="4" t="s">
        <v>26</v>
      </c>
      <c r="G344" s="4" t="s">
        <v>152</v>
      </c>
      <c r="H344" s="4" t="s">
        <v>152</v>
      </c>
      <c r="I344" s="4" t="s">
        <v>158</v>
      </c>
      <c r="J344" s="4" t="s">
        <v>154</v>
      </c>
      <c r="K344" s="4" t="s">
        <v>31</v>
      </c>
      <c r="L344" s="5">
        <v>42440.965277777781</v>
      </c>
      <c r="M344" s="5">
        <v>42440.989583333336</v>
      </c>
      <c r="N344" s="5">
        <v>42440.999305555553</v>
      </c>
      <c r="O344" s="4" t="s">
        <v>250</v>
      </c>
      <c r="P344" s="4" t="s">
        <v>89</v>
      </c>
      <c r="Q344" s="4" t="s">
        <v>251</v>
      </c>
      <c r="R344" s="6" t="s">
        <v>77</v>
      </c>
      <c r="S344" s="4" t="s">
        <v>1141</v>
      </c>
      <c r="T344" s="4" t="s">
        <v>37</v>
      </c>
      <c r="U344" s="4" t="s">
        <v>37</v>
      </c>
      <c r="V344" s="4" t="s">
        <v>156</v>
      </c>
      <c r="W344" s="4" t="s">
        <v>37</v>
      </c>
      <c r="X344" s="4" t="s">
        <v>37</v>
      </c>
      <c r="Y344" s="4" t="s">
        <v>36</v>
      </c>
      <c r="Z344" s="4" t="s">
        <v>39</v>
      </c>
      <c r="AA344" s="4" t="s">
        <v>157</v>
      </c>
    </row>
    <row r="345" spans="1:27" s="1" customFormat="1" x14ac:dyDescent="0.3">
      <c r="A345" s="19">
        <v>19615</v>
      </c>
      <c r="B345" s="4" t="s">
        <v>1142</v>
      </c>
      <c r="C345" s="4">
        <v>0</v>
      </c>
      <c r="D345" s="5">
        <v>42437.520636574074</v>
      </c>
      <c r="E345" s="5" t="s">
        <v>2082</v>
      </c>
      <c r="F345" s="4" t="s">
        <v>26</v>
      </c>
      <c r="G345" s="4" t="s">
        <v>392</v>
      </c>
      <c r="H345" s="4" t="s">
        <v>392</v>
      </c>
      <c r="I345" s="4" t="s">
        <v>204</v>
      </c>
      <c r="J345" s="4" t="s">
        <v>302</v>
      </c>
      <c r="K345" s="4" t="s">
        <v>31</v>
      </c>
      <c r="L345" s="5">
        <v>42460.833333333336</v>
      </c>
      <c r="M345" s="5">
        <v>42461.083333333336</v>
      </c>
      <c r="N345" s="5">
        <v>42461.104166666664</v>
      </c>
      <c r="O345" s="4" t="s">
        <v>32</v>
      </c>
      <c r="P345" s="4" t="s">
        <v>33</v>
      </c>
      <c r="Q345" s="4" t="s">
        <v>76</v>
      </c>
      <c r="R345" s="6" t="s">
        <v>77</v>
      </c>
      <c r="S345" s="6" t="s">
        <v>77</v>
      </c>
      <c r="T345" s="4" t="s">
        <v>37</v>
      </c>
      <c r="U345" s="4" t="s">
        <v>37</v>
      </c>
      <c r="V345" s="4" t="s">
        <v>646</v>
      </c>
      <c r="W345" s="4" t="s">
        <v>37</v>
      </c>
      <c r="X345" s="4" t="s">
        <v>37</v>
      </c>
      <c r="Y345" s="4" t="s">
        <v>36</v>
      </c>
      <c r="Z345" s="4"/>
      <c r="AA345" s="4" t="s">
        <v>187</v>
      </c>
    </row>
    <row r="346" spans="1:27" s="1" customFormat="1" x14ac:dyDescent="0.3">
      <c r="A346" s="19">
        <v>19617</v>
      </c>
      <c r="B346" s="4" t="s">
        <v>1143</v>
      </c>
      <c r="C346" s="4" t="s">
        <v>2111</v>
      </c>
      <c r="D346" s="5">
        <v>42437.740439814814</v>
      </c>
      <c r="E346" s="5" t="s">
        <v>2082</v>
      </c>
      <c r="F346" s="4" t="s">
        <v>26</v>
      </c>
      <c r="G346" s="4" t="s">
        <v>784</v>
      </c>
      <c r="H346" s="4" t="s">
        <v>784</v>
      </c>
      <c r="I346" s="4" t="s">
        <v>124</v>
      </c>
      <c r="J346" s="4" t="s">
        <v>30</v>
      </c>
      <c r="K346" s="4" t="s">
        <v>31</v>
      </c>
      <c r="L346" s="5">
        <v>42437.833333333336</v>
      </c>
      <c r="M346" s="5">
        <v>42437.861111111109</v>
      </c>
      <c r="N346" s="5">
        <v>42437.916666666664</v>
      </c>
      <c r="O346" s="4" t="s">
        <v>710</v>
      </c>
      <c r="P346" s="4" t="s">
        <v>89</v>
      </c>
      <c r="Q346" s="4" t="s">
        <v>76</v>
      </c>
      <c r="R346" s="6" t="s">
        <v>77</v>
      </c>
      <c r="S346" s="4"/>
      <c r="T346" s="4" t="s">
        <v>37</v>
      </c>
      <c r="U346" s="4" t="s">
        <v>37</v>
      </c>
      <c r="V346" s="4" t="s">
        <v>1144</v>
      </c>
      <c r="W346" s="4" t="s">
        <v>37</v>
      </c>
      <c r="X346" s="4" t="s">
        <v>37</v>
      </c>
      <c r="Y346" s="4" t="s">
        <v>36</v>
      </c>
      <c r="Z346" s="4" t="s">
        <v>1145</v>
      </c>
      <c r="AA346" s="4" t="s">
        <v>179</v>
      </c>
    </row>
    <row r="347" spans="1:27" s="1" customFormat="1" x14ac:dyDescent="0.3">
      <c r="A347" s="19">
        <v>19619</v>
      </c>
      <c r="B347" s="4" t="s">
        <v>1146</v>
      </c>
      <c r="C347" s="4" t="s">
        <v>2143</v>
      </c>
      <c r="D347" s="5">
        <v>42437.772847222222</v>
      </c>
      <c r="E347" s="5" t="s">
        <v>2082</v>
      </c>
      <c r="F347" s="4" t="s">
        <v>26</v>
      </c>
      <c r="G347" s="4" t="s">
        <v>146</v>
      </c>
      <c r="H347" s="4" t="s">
        <v>234</v>
      </c>
      <c r="I347" s="4" t="s">
        <v>48</v>
      </c>
      <c r="J347" s="4" t="s">
        <v>484</v>
      </c>
      <c r="K347" s="4" t="s">
        <v>31</v>
      </c>
      <c r="L347" s="5">
        <v>42438.916666666664</v>
      </c>
      <c r="M347" s="5">
        <v>42438.958333333336</v>
      </c>
      <c r="N347" s="5">
        <v>42439.041666666664</v>
      </c>
      <c r="O347" s="4" t="s">
        <v>250</v>
      </c>
      <c r="P347" s="4" t="s">
        <v>149</v>
      </c>
      <c r="Q347" s="4" t="s">
        <v>251</v>
      </c>
      <c r="R347" s="4" t="s">
        <v>1147</v>
      </c>
      <c r="S347" s="4" t="s">
        <v>1147</v>
      </c>
      <c r="T347" s="4" t="s">
        <v>37</v>
      </c>
      <c r="U347" s="4" t="s">
        <v>37</v>
      </c>
      <c r="V347" s="4" t="s">
        <v>1148</v>
      </c>
      <c r="W347" s="4" t="s">
        <v>37</v>
      </c>
      <c r="X347" s="4" t="s">
        <v>37</v>
      </c>
      <c r="Y347" s="4" t="s">
        <v>36</v>
      </c>
      <c r="Z347" s="4"/>
      <c r="AA347" s="4" t="s">
        <v>179</v>
      </c>
    </row>
    <row r="348" spans="1:27" s="1" customFormat="1" x14ac:dyDescent="0.3">
      <c r="A348" s="19">
        <v>19621</v>
      </c>
      <c r="B348" s="4" t="s">
        <v>434</v>
      </c>
      <c r="C348" s="4" t="s">
        <v>2144</v>
      </c>
      <c r="D348" s="5">
        <v>42438.398159722223</v>
      </c>
      <c r="E348" s="5" t="s">
        <v>2082</v>
      </c>
      <c r="F348" s="4" t="s">
        <v>26</v>
      </c>
      <c r="G348" s="4" t="s">
        <v>784</v>
      </c>
      <c r="H348" s="4" t="s">
        <v>435</v>
      </c>
      <c r="I348" s="4" t="s">
        <v>118</v>
      </c>
      <c r="J348" s="4" t="s">
        <v>30</v>
      </c>
      <c r="K348" s="4" t="s">
        <v>31</v>
      </c>
      <c r="L348" s="5">
        <v>42439.291666666664</v>
      </c>
      <c r="M348" s="5">
        <v>42439.443055555559</v>
      </c>
      <c r="N348" s="5">
        <v>42439.484722222223</v>
      </c>
      <c r="O348" s="4" t="s">
        <v>250</v>
      </c>
      <c r="P348" s="4" t="s">
        <v>149</v>
      </c>
      <c r="Q348" s="4" t="s">
        <v>119</v>
      </c>
      <c r="R348" s="4" t="s">
        <v>436</v>
      </c>
      <c r="S348" s="4" t="s">
        <v>436</v>
      </c>
      <c r="T348" s="4" t="s">
        <v>37</v>
      </c>
      <c r="U348" s="4" t="s">
        <v>37</v>
      </c>
      <c r="V348" s="4" t="s">
        <v>1149</v>
      </c>
      <c r="W348" s="4" t="s">
        <v>37</v>
      </c>
      <c r="X348" s="4" t="s">
        <v>37</v>
      </c>
      <c r="Y348" s="4" t="s">
        <v>36</v>
      </c>
      <c r="Z348" s="4" t="s">
        <v>1150</v>
      </c>
      <c r="AA348" s="4" t="s">
        <v>179</v>
      </c>
    </row>
    <row r="349" spans="1:27" s="1" customFormat="1" x14ac:dyDescent="0.3">
      <c r="A349" s="19">
        <v>19624</v>
      </c>
      <c r="B349" s="4" t="s">
        <v>1151</v>
      </c>
      <c r="C349" s="4" t="s">
        <v>2145</v>
      </c>
      <c r="D349" s="5">
        <v>42438.47965277778</v>
      </c>
      <c r="E349" s="5" t="s">
        <v>2082</v>
      </c>
      <c r="F349" s="4" t="s">
        <v>26</v>
      </c>
      <c r="G349" s="4" t="s">
        <v>27</v>
      </c>
      <c r="H349" s="4" t="s">
        <v>28</v>
      </c>
      <c r="I349" s="4" t="s">
        <v>42</v>
      </c>
      <c r="J349" s="4" t="s">
        <v>30</v>
      </c>
      <c r="K349" s="4" t="s">
        <v>31</v>
      </c>
      <c r="L349" s="5">
        <v>42457.958333333336</v>
      </c>
      <c r="M349" s="5">
        <v>42458.541666666664</v>
      </c>
      <c r="N349" s="5">
        <v>42458.541666666664</v>
      </c>
      <c r="O349" s="4" t="s">
        <v>32</v>
      </c>
      <c r="P349" s="4" t="s">
        <v>149</v>
      </c>
      <c r="Q349" s="4" t="s">
        <v>50</v>
      </c>
      <c r="R349" s="4" t="s">
        <v>1152</v>
      </c>
      <c r="S349" s="4" t="s">
        <v>1152</v>
      </c>
      <c r="T349" s="4" t="s">
        <v>36</v>
      </c>
      <c r="U349" s="4" t="s">
        <v>36</v>
      </c>
      <c r="V349" s="4" t="s">
        <v>1153</v>
      </c>
      <c r="W349" s="4" t="s">
        <v>37</v>
      </c>
      <c r="X349" s="4" t="s">
        <v>37</v>
      </c>
      <c r="Y349" s="4" t="s">
        <v>37</v>
      </c>
      <c r="Z349" s="4" t="s">
        <v>1154</v>
      </c>
      <c r="AA349" s="4" t="s">
        <v>40</v>
      </c>
    </row>
    <row r="350" spans="1:27" s="1" customFormat="1" x14ac:dyDescent="0.3">
      <c r="A350" s="19">
        <v>19626</v>
      </c>
      <c r="B350" s="4" t="s">
        <v>1155</v>
      </c>
      <c r="C350" s="4">
        <v>0</v>
      </c>
      <c r="D350" s="5">
        <v>42438.548611111109</v>
      </c>
      <c r="E350" s="5" t="s">
        <v>2082</v>
      </c>
      <c r="F350" s="4" t="s">
        <v>26</v>
      </c>
      <c r="G350" s="4" t="s">
        <v>348</v>
      </c>
      <c r="H350" s="4" t="s">
        <v>652</v>
      </c>
      <c r="I350" s="4" t="s">
        <v>88</v>
      </c>
      <c r="J350" s="4" t="s">
        <v>30</v>
      </c>
      <c r="K350" s="4" t="s">
        <v>31</v>
      </c>
      <c r="L350" s="5">
        <v>42438.916666666664</v>
      </c>
      <c r="M350" s="5">
        <v>42439.166666666664</v>
      </c>
      <c r="N350" s="5">
        <v>42439.25</v>
      </c>
      <c r="O350" s="4" t="s">
        <v>250</v>
      </c>
      <c r="P350" s="4" t="s">
        <v>89</v>
      </c>
      <c r="Q350" s="4" t="s">
        <v>251</v>
      </c>
      <c r="R350" s="4" t="s">
        <v>1156</v>
      </c>
      <c r="S350" s="4" t="s">
        <v>1156</v>
      </c>
      <c r="T350" s="4" t="s">
        <v>36</v>
      </c>
      <c r="U350" s="4" t="s">
        <v>37</v>
      </c>
      <c r="V350" s="4" t="s">
        <v>1157</v>
      </c>
      <c r="W350" s="4" t="s">
        <v>37</v>
      </c>
      <c r="X350" s="4" t="s">
        <v>37</v>
      </c>
      <c r="Y350" s="4" t="s">
        <v>37</v>
      </c>
      <c r="Z350" s="4" t="s">
        <v>1158</v>
      </c>
      <c r="AA350" s="4" t="s">
        <v>179</v>
      </c>
    </row>
    <row r="351" spans="1:27" s="1" customFormat="1" x14ac:dyDescent="0.3">
      <c r="A351" s="19">
        <v>19627</v>
      </c>
      <c r="B351" s="4" t="s">
        <v>1159</v>
      </c>
      <c r="C351" s="4" t="s">
        <v>2111</v>
      </c>
      <c r="D351" s="5">
        <v>42438.629224537035</v>
      </c>
      <c r="E351" s="5" t="s">
        <v>2082</v>
      </c>
      <c r="F351" s="4" t="s">
        <v>26</v>
      </c>
      <c r="G351" s="4" t="s">
        <v>1097</v>
      </c>
      <c r="H351" s="4" t="s">
        <v>922</v>
      </c>
      <c r="I351" s="4" t="s">
        <v>118</v>
      </c>
      <c r="J351" s="4" t="s">
        <v>30</v>
      </c>
      <c r="K351" s="4" t="s">
        <v>31</v>
      </c>
      <c r="L351" s="5">
        <v>42438.916666666664</v>
      </c>
      <c r="M351" s="5">
        <v>42439.354166666664</v>
      </c>
      <c r="N351" s="5">
        <v>42439.75</v>
      </c>
      <c r="O351" s="4" t="s">
        <v>710</v>
      </c>
      <c r="P351" s="4" t="s">
        <v>89</v>
      </c>
      <c r="Q351" s="4" t="s">
        <v>76</v>
      </c>
      <c r="R351" s="4" t="s">
        <v>839</v>
      </c>
      <c r="S351" s="6" t="s">
        <v>77</v>
      </c>
      <c r="T351" s="4" t="s">
        <v>37</v>
      </c>
      <c r="U351" s="4" t="s">
        <v>37</v>
      </c>
      <c r="V351" s="4" t="s">
        <v>292</v>
      </c>
      <c r="W351" s="4" t="s">
        <v>37</v>
      </c>
      <c r="X351" s="4" t="s">
        <v>37</v>
      </c>
      <c r="Y351" s="4" t="s">
        <v>36</v>
      </c>
      <c r="Z351" s="4" t="s">
        <v>1160</v>
      </c>
      <c r="AA351" s="4" t="s">
        <v>40</v>
      </c>
    </row>
    <row r="352" spans="1:27" s="1" customFormat="1" x14ac:dyDescent="0.3">
      <c r="A352" s="19">
        <v>19629</v>
      </c>
      <c r="B352" s="4" t="s">
        <v>1161</v>
      </c>
      <c r="C352" s="4">
        <v>0</v>
      </c>
      <c r="D352" s="5">
        <v>42438.638391203705</v>
      </c>
      <c r="E352" s="5" t="s">
        <v>2082</v>
      </c>
      <c r="F352" s="4" t="s">
        <v>26</v>
      </c>
      <c r="G352" s="4" t="s">
        <v>1162</v>
      </c>
      <c r="H352" s="4" t="s">
        <v>264</v>
      </c>
      <c r="I352" s="4" t="s">
        <v>203</v>
      </c>
      <c r="J352" s="4" t="s">
        <v>30</v>
      </c>
      <c r="K352" s="4" t="s">
        <v>31</v>
      </c>
      <c r="L352" s="5">
        <v>42438.958333333336</v>
      </c>
      <c r="M352" s="5">
        <v>42439.5</v>
      </c>
      <c r="N352" s="5">
        <v>42439.75</v>
      </c>
      <c r="O352" s="4" t="s">
        <v>250</v>
      </c>
      <c r="P352" s="4" t="s">
        <v>89</v>
      </c>
      <c r="Q352" s="4" t="s">
        <v>119</v>
      </c>
      <c r="R352" s="4" t="s">
        <v>1163</v>
      </c>
      <c r="S352" s="4" t="s">
        <v>1163</v>
      </c>
      <c r="T352" s="4" t="s">
        <v>37</v>
      </c>
      <c r="U352" s="4" t="s">
        <v>37</v>
      </c>
      <c r="V352" s="4" t="s">
        <v>267</v>
      </c>
      <c r="W352" s="4" t="s">
        <v>37</v>
      </c>
      <c r="X352" s="4" t="s">
        <v>37</v>
      </c>
      <c r="Y352" s="4" t="s">
        <v>36</v>
      </c>
      <c r="Z352" s="4" t="s">
        <v>1164</v>
      </c>
      <c r="AA352" s="4" t="s">
        <v>40</v>
      </c>
    </row>
    <row r="353" spans="1:27" s="1" customFormat="1" x14ac:dyDescent="0.3">
      <c r="A353" s="19">
        <v>19631</v>
      </c>
      <c r="B353" s="4" t="s">
        <v>1165</v>
      </c>
      <c r="C353" s="4" t="s">
        <v>2106</v>
      </c>
      <c r="D353" s="5">
        <v>42438.699456018519</v>
      </c>
      <c r="E353" s="5" t="s">
        <v>2082</v>
      </c>
      <c r="F353" s="4" t="s">
        <v>26</v>
      </c>
      <c r="G353" s="4" t="s">
        <v>243</v>
      </c>
      <c r="H353" s="4" t="s">
        <v>244</v>
      </c>
      <c r="I353" s="4" t="s">
        <v>216</v>
      </c>
      <c r="J353" s="4" t="s">
        <v>30</v>
      </c>
      <c r="K353" s="4" t="s">
        <v>31</v>
      </c>
      <c r="L353" s="5">
        <v>42444.916666666664</v>
      </c>
      <c r="M353" s="5">
        <v>42445.125</v>
      </c>
      <c r="N353" s="5">
        <v>42445.375</v>
      </c>
      <c r="O353" s="4" t="s">
        <v>32</v>
      </c>
      <c r="P353" s="4" t="s">
        <v>33</v>
      </c>
      <c r="Q353" s="4" t="s">
        <v>34</v>
      </c>
      <c r="R353" s="4" t="s">
        <v>245</v>
      </c>
      <c r="S353" s="4" t="s">
        <v>245</v>
      </c>
      <c r="T353" s="4" t="s">
        <v>37</v>
      </c>
      <c r="U353" s="4" t="s">
        <v>37</v>
      </c>
      <c r="V353" s="4" t="s">
        <v>246</v>
      </c>
      <c r="W353" s="4" t="s">
        <v>37</v>
      </c>
      <c r="X353" s="4" t="s">
        <v>37</v>
      </c>
      <c r="Y353" s="4" t="s">
        <v>36</v>
      </c>
      <c r="Z353" s="4"/>
      <c r="AA353" s="4" t="s">
        <v>179</v>
      </c>
    </row>
    <row r="354" spans="1:27" s="1" customFormat="1" x14ac:dyDescent="0.3">
      <c r="A354" s="19">
        <v>19637</v>
      </c>
      <c r="B354" s="4" t="s">
        <v>1166</v>
      </c>
      <c r="C354" s="4" t="s">
        <v>39</v>
      </c>
      <c r="D354" s="5">
        <v>42439.54105324074</v>
      </c>
      <c r="E354" s="5" t="s">
        <v>2082</v>
      </c>
      <c r="F354" s="4" t="s">
        <v>26</v>
      </c>
      <c r="G354" s="4" t="s">
        <v>27</v>
      </c>
      <c r="H354" s="4" t="s">
        <v>28</v>
      </c>
      <c r="I354" s="4" t="s">
        <v>42</v>
      </c>
      <c r="J354" s="4" t="s">
        <v>543</v>
      </c>
      <c r="K354" s="4" t="s">
        <v>31</v>
      </c>
      <c r="L354" s="5">
        <v>42467.958333333336</v>
      </c>
      <c r="M354" s="5">
        <v>42468.75</v>
      </c>
      <c r="N354" s="5">
        <v>42468.791666666664</v>
      </c>
      <c r="O354" s="4" t="s">
        <v>32</v>
      </c>
      <c r="P354" s="4" t="s">
        <v>33</v>
      </c>
      <c r="Q354" s="4" t="s">
        <v>34</v>
      </c>
      <c r="R354" s="4" t="s">
        <v>1167</v>
      </c>
      <c r="S354" s="4" t="s">
        <v>1167</v>
      </c>
      <c r="T354" s="4" t="s">
        <v>36</v>
      </c>
      <c r="U354" s="4" t="s">
        <v>37</v>
      </c>
      <c r="V354" s="4" t="s">
        <v>674</v>
      </c>
      <c r="W354" s="4" t="s">
        <v>37</v>
      </c>
      <c r="X354" s="4" t="s">
        <v>37</v>
      </c>
      <c r="Y354" s="4" t="s">
        <v>36</v>
      </c>
      <c r="Z354" s="4" t="s">
        <v>39</v>
      </c>
      <c r="AA354" s="4"/>
    </row>
    <row r="355" spans="1:27" s="1" customFormat="1" x14ac:dyDescent="0.3">
      <c r="A355" s="19">
        <v>19638</v>
      </c>
      <c r="B355" s="4" t="s">
        <v>538</v>
      </c>
      <c r="C355" s="4" t="s">
        <v>2146</v>
      </c>
      <c r="D355" s="5">
        <v>42439.552245370367</v>
      </c>
      <c r="E355" s="5" t="s">
        <v>2082</v>
      </c>
      <c r="F355" s="4" t="s">
        <v>26</v>
      </c>
      <c r="G355" s="4" t="s">
        <v>524</v>
      </c>
      <c r="H355" s="4" t="s">
        <v>524</v>
      </c>
      <c r="I355" s="4" t="s">
        <v>210</v>
      </c>
      <c r="J355" s="4" t="s">
        <v>49</v>
      </c>
      <c r="K355" s="4" t="s">
        <v>31</v>
      </c>
      <c r="L355" s="5">
        <v>42462.916666666664</v>
      </c>
      <c r="M355" s="5">
        <v>42463.291666666664</v>
      </c>
      <c r="N355" s="5">
        <v>42463.333333333336</v>
      </c>
      <c r="O355" s="4" t="s">
        <v>32</v>
      </c>
      <c r="P355" s="4" t="s">
        <v>33</v>
      </c>
      <c r="Q355" s="4" t="s">
        <v>76</v>
      </c>
      <c r="R355" s="4" t="s">
        <v>1168</v>
      </c>
      <c r="S355" s="4" t="s">
        <v>1168</v>
      </c>
      <c r="T355" s="4" t="s">
        <v>37</v>
      </c>
      <c r="U355" s="4" t="s">
        <v>37</v>
      </c>
      <c r="V355" s="4" t="s">
        <v>1169</v>
      </c>
      <c r="W355" s="4" t="s">
        <v>37</v>
      </c>
      <c r="X355" s="4" t="s">
        <v>37</v>
      </c>
      <c r="Y355" s="4" t="s">
        <v>36</v>
      </c>
      <c r="Z355" s="4" t="s">
        <v>178</v>
      </c>
      <c r="AA355" s="4"/>
    </row>
    <row r="356" spans="1:27" s="1" customFormat="1" x14ac:dyDescent="0.3">
      <c r="A356" s="19">
        <v>19639</v>
      </c>
      <c r="B356" s="4" t="s">
        <v>1170</v>
      </c>
      <c r="C356" s="4" t="s">
        <v>2116</v>
      </c>
      <c r="D356" s="5">
        <v>42439.629953703705</v>
      </c>
      <c r="E356" s="5" t="s">
        <v>2082</v>
      </c>
      <c r="F356" s="4" t="s">
        <v>26</v>
      </c>
      <c r="G356" s="4" t="s">
        <v>310</v>
      </c>
      <c r="H356" s="4" t="s">
        <v>310</v>
      </c>
      <c r="I356" s="4" t="s">
        <v>42</v>
      </c>
      <c r="J356" s="4" t="s">
        <v>49</v>
      </c>
      <c r="K356" s="4" t="s">
        <v>31</v>
      </c>
      <c r="L356" s="5">
        <v>42444.916666666664</v>
      </c>
      <c r="M356" s="5">
        <v>42445.75</v>
      </c>
      <c r="N356" s="5">
        <v>42445.791666666664</v>
      </c>
      <c r="O356" s="4" t="s">
        <v>32</v>
      </c>
      <c r="P356" s="4" t="s">
        <v>149</v>
      </c>
      <c r="Q356" s="4" t="s">
        <v>34</v>
      </c>
      <c r="R356" s="4" t="s">
        <v>972</v>
      </c>
      <c r="S356" s="6" t="s">
        <v>77</v>
      </c>
      <c r="T356" s="4" t="s">
        <v>37</v>
      </c>
      <c r="U356" s="4" t="s">
        <v>37</v>
      </c>
      <c r="V356" s="4" t="s">
        <v>1171</v>
      </c>
      <c r="W356" s="4" t="s">
        <v>37</v>
      </c>
      <c r="X356" s="4" t="s">
        <v>37</v>
      </c>
      <c r="Y356" s="4" t="s">
        <v>36</v>
      </c>
      <c r="Z356" s="4"/>
      <c r="AA356" s="4"/>
    </row>
    <row r="357" spans="1:27" s="1" customFormat="1" x14ac:dyDescent="0.3">
      <c r="A357" s="19">
        <v>19643</v>
      </c>
      <c r="B357" s="4" t="s">
        <v>1172</v>
      </c>
      <c r="C357" s="4" t="s">
        <v>2147</v>
      </c>
      <c r="D357" s="5">
        <v>42440.5002662037</v>
      </c>
      <c r="E357" s="5" t="s">
        <v>2082</v>
      </c>
      <c r="F357" s="4" t="s">
        <v>26</v>
      </c>
      <c r="G357" s="4" t="s">
        <v>513</v>
      </c>
      <c r="H357" s="4" t="s">
        <v>566</v>
      </c>
      <c r="I357" s="4" t="s">
        <v>127</v>
      </c>
      <c r="J357" s="4" t="s">
        <v>30</v>
      </c>
      <c r="K357" s="4" t="s">
        <v>31</v>
      </c>
      <c r="L357" s="5">
        <v>42451.625</v>
      </c>
      <c r="M357" s="5">
        <v>42451.791666666664</v>
      </c>
      <c r="N357" s="5">
        <v>42451.833333333336</v>
      </c>
      <c r="O357" s="4" t="s">
        <v>32</v>
      </c>
      <c r="P357" s="4" t="s">
        <v>149</v>
      </c>
      <c r="Q357" s="4" t="s">
        <v>34</v>
      </c>
      <c r="R357" s="6" t="s">
        <v>77</v>
      </c>
      <c r="S357" s="6" t="s">
        <v>77</v>
      </c>
      <c r="T357" s="4" t="s">
        <v>37</v>
      </c>
      <c r="U357" s="4" t="s">
        <v>37</v>
      </c>
      <c r="V357" s="4" t="s">
        <v>805</v>
      </c>
      <c r="W357" s="4" t="s">
        <v>37</v>
      </c>
      <c r="X357" s="4" t="s">
        <v>36</v>
      </c>
      <c r="Y357" s="4" t="s">
        <v>37</v>
      </c>
      <c r="Z357" s="4"/>
      <c r="AA357" s="4" t="s">
        <v>179</v>
      </c>
    </row>
    <row r="358" spans="1:27" s="1" customFormat="1" x14ac:dyDescent="0.3">
      <c r="A358" s="19">
        <v>19648</v>
      </c>
      <c r="B358" s="4" t="s">
        <v>1173</v>
      </c>
      <c r="C358" s="4" t="s">
        <v>39</v>
      </c>
      <c r="D358" s="5">
        <v>42440.718344907407</v>
      </c>
      <c r="E358" s="5" t="s">
        <v>2082</v>
      </c>
      <c r="F358" s="4" t="s">
        <v>26</v>
      </c>
      <c r="G358" s="4" t="s">
        <v>86</v>
      </c>
      <c r="H358" s="4" t="s">
        <v>1174</v>
      </c>
      <c r="I358" s="4" t="s">
        <v>88</v>
      </c>
      <c r="J358" s="4" t="s">
        <v>30</v>
      </c>
      <c r="K358" s="4" t="s">
        <v>31</v>
      </c>
      <c r="L358" s="5">
        <v>42445.916666666664</v>
      </c>
      <c r="M358" s="5">
        <v>42446.083333333336</v>
      </c>
      <c r="N358" s="5">
        <v>42446.125</v>
      </c>
      <c r="O358" s="4" t="s">
        <v>32</v>
      </c>
      <c r="P358" s="4" t="s">
        <v>33</v>
      </c>
      <c r="Q358" s="4" t="s">
        <v>34</v>
      </c>
      <c r="R358" s="4" t="s">
        <v>1175</v>
      </c>
      <c r="S358" s="4" t="s">
        <v>1175</v>
      </c>
      <c r="T358" s="4" t="s">
        <v>36</v>
      </c>
      <c r="U358" s="4" t="s">
        <v>37</v>
      </c>
      <c r="V358" s="4" t="s">
        <v>1176</v>
      </c>
      <c r="W358" s="4" t="s">
        <v>37</v>
      </c>
      <c r="X358" s="4" t="s">
        <v>37</v>
      </c>
      <c r="Y358" s="4" t="s">
        <v>36</v>
      </c>
      <c r="Z358" s="4" t="s">
        <v>39</v>
      </c>
      <c r="AA358" s="4" t="s">
        <v>676</v>
      </c>
    </row>
    <row r="359" spans="1:27" s="1" customFormat="1" x14ac:dyDescent="0.3">
      <c r="A359" s="19">
        <v>19649</v>
      </c>
      <c r="B359" s="4" t="s">
        <v>1177</v>
      </c>
      <c r="C359" s="4" t="s">
        <v>2116</v>
      </c>
      <c r="D359" s="5">
        <v>42440.731574074074</v>
      </c>
      <c r="E359" s="5" t="s">
        <v>2082</v>
      </c>
      <c r="F359" s="4" t="s">
        <v>26</v>
      </c>
      <c r="G359" s="4" t="s">
        <v>310</v>
      </c>
      <c r="H359" s="4" t="s">
        <v>1178</v>
      </c>
      <c r="I359" s="4" t="s">
        <v>42</v>
      </c>
      <c r="J359" s="4" t="s">
        <v>49</v>
      </c>
      <c r="K359" s="4" t="s">
        <v>31</v>
      </c>
      <c r="L359" s="5">
        <v>42446.916666666664</v>
      </c>
      <c r="M359" s="5">
        <v>42447.041666666664</v>
      </c>
      <c r="N359" s="5">
        <v>42447.083333333336</v>
      </c>
      <c r="O359" s="4" t="s">
        <v>32</v>
      </c>
      <c r="P359" s="4" t="s">
        <v>149</v>
      </c>
      <c r="Q359" s="4" t="s">
        <v>34</v>
      </c>
      <c r="R359" s="4" t="s">
        <v>972</v>
      </c>
      <c r="S359" s="6" t="s">
        <v>77</v>
      </c>
      <c r="T359" s="4" t="s">
        <v>36</v>
      </c>
      <c r="U359" s="4" t="s">
        <v>37</v>
      </c>
      <c r="V359" s="4" t="s">
        <v>1179</v>
      </c>
      <c r="W359" s="4" t="s">
        <v>37</v>
      </c>
      <c r="X359" s="4" t="s">
        <v>37</v>
      </c>
      <c r="Y359" s="4" t="s">
        <v>37</v>
      </c>
      <c r="Z359" s="4"/>
      <c r="AA359" s="4"/>
    </row>
    <row r="360" spans="1:27" s="1" customFormat="1" x14ac:dyDescent="0.3">
      <c r="A360" s="19">
        <v>19650</v>
      </c>
      <c r="B360" s="4" t="s">
        <v>1180</v>
      </c>
      <c r="C360" s="4" t="s">
        <v>2112</v>
      </c>
      <c r="D360" s="5">
        <v>42442.30736111111</v>
      </c>
      <c r="E360" s="5" t="s">
        <v>2082</v>
      </c>
      <c r="F360" s="4" t="s">
        <v>26</v>
      </c>
      <c r="G360" s="4" t="s">
        <v>712</v>
      </c>
      <c r="H360" s="4" t="s">
        <v>712</v>
      </c>
      <c r="I360" s="4" t="s">
        <v>203</v>
      </c>
      <c r="J360" s="4" t="s">
        <v>49</v>
      </c>
      <c r="K360" s="4" t="s">
        <v>31</v>
      </c>
      <c r="L360" s="5">
        <v>42449.375</v>
      </c>
      <c r="M360" s="5">
        <v>42449.625</v>
      </c>
      <c r="N360" s="5">
        <v>42450.416666666664</v>
      </c>
      <c r="O360" s="4" t="s">
        <v>32</v>
      </c>
      <c r="P360" s="4" t="s">
        <v>89</v>
      </c>
      <c r="Q360" s="4" t="s">
        <v>76</v>
      </c>
      <c r="R360" s="4" t="s">
        <v>337</v>
      </c>
      <c r="S360" s="4" t="s">
        <v>337</v>
      </c>
      <c r="T360" s="4" t="s">
        <v>36</v>
      </c>
      <c r="U360" s="4" t="s">
        <v>36</v>
      </c>
      <c r="V360" s="4" t="s">
        <v>338</v>
      </c>
      <c r="W360" s="4" t="s">
        <v>37</v>
      </c>
      <c r="X360" s="4" t="s">
        <v>37</v>
      </c>
      <c r="Y360" s="4" t="s">
        <v>36</v>
      </c>
      <c r="Z360" s="4" t="s">
        <v>39</v>
      </c>
      <c r="AA360" s="4"/>
    </row>
    <row r="361" spans="1:27" s="1" customFormat="1" x14ac:dyDescent="0.3">
      <c r="A361" s="19">
        <v>19652</v>
      </c>
      <c r="B361" s="4" t="s">
        <v>288</v>
      </c>
      <c r="C361" s="4">
        <v>0</v>
      </c>
      <c r="D361" s="5">
        <v>42443.374884259261</v>
      </c>
      <c r="E361" s="5" t="s">
        <v>2082</v>
      </c>
      <c r="F361" s="4" t="s">
        <v>26</v>
      </c>
      <c r="G361" s="4" t="s">
        <v>289</v>
      </c>
      <c r="H361" s="4" t="s">
        <v>922</v>
      </c>
      <c r="I361" s="4" t="s">
        <v>118</v>
      </c>
      <c r="J361" s="4" t="s">
        <v>30</v>
      </c>
      <c r="K361" s="4" t="s">
        <v>31</v>
      </c>
      <c r="L361" s="5">
        <v>42450.916666666664</v>
      </c>
      <c r="M361" s="5">
        <v>42451.5</v>
      </c>
      <c r="N361" s="5">
        <v>42451.75</v>
      </c>
      <c r="O361" s="4" t="s">
        <v>32</v>
      </c>
      <c r="P361" s="4" t="s">
        <v>33</v>
      </c>
      <c r="Q361" s="4" t="s">
        <v>50</v>
      </c>
      <c r="R361" s="4" t="s">
        <v>291</v>
      </c>
      <c r="S361" s="6" t="s">
        <v>77</v>
      </c>
      <c r="T361" s="4" t="s">
        <v>37</v>
      </c>
      <c r="U361" s="4" t="s">
        <v>37</v>
      </c>
      <c r="V361" s="4" t="s">
        <v>292</v>
      </c>
      <c r="W361" s="4" t="s">
        <v>37</v>
      </c>
      <c r="X361" s="4" t="s">
        <v>37</v>
      </c>
      <c r="Y361" s="4" t="s">
        <v>36</v>
      </c>
      <c r="Z361" s="4"/>
      <c r="AA361" s="4" t="s">
        <v>40</v>
      </c>
    </row>
    <row r="362" spans="1:27" s="1" customFormat="1" x14ac:dyDescent="0.3">
      <c r="A362" s="19">
        <v>19654</v>
      </c>
      <c r="B362" s="4" t="s">
        <v>1181</v>
      </c>
      <c r="C362" s="4">
        <v>0</v>
      </c>
      <c r="D362" s="5">
        <v>42443.409629629627</v>
      </c>
      <c r="E362" s="5" t="s">
        <v>2082</v>
      </c>
      <c r="F362" s="4" t="s">
        <v>26</v>
      </c>
      <c r="G362" s="4" t="s">
        <v>98</v>
      </c>
      <c r="H362" s="4" t="s">
        <v>98</v>
      </c>
      <c r="I362" s="4" t="s">
        <v>88</v>
      </c>
      <c r="J362" s="4" t="s">
        <v>99</v>
      </c>
      <c r="K362" s="4" t="s">
        <v>31</v>
      </c>
      <c r="L362" s="5">
        <v>42456.291666666664</v>
      </c>
      <c r="M362" s="5">
        <v>42456.625</v>
      </c>
      <c r="N362" s="5">
        <v>42456.625</v>
      </c>
      <c r="O362" s="4" t="s">
        <v>32</v>
      </c>
      <c r="P362" s="4" t="s">
        <v>33</v>
      </c>
      <c r="Q362" s="4" t="s">
        <v>76</v>
      </c>
      <c r="R362" s="6" t="s">
        <v>77</v>
      </c>
      <c r="S362" s="6" t="s">
        <v>77</v>
      </c>
      <c r="T362" s="4" t="s">
        <v>37</v>
      </c>
      <c r="U362" s="4" t="s">
        <v>37</v>
      </c>
      <c r="V362" s="4" t="s">
        <v>254</v>
      </c>
      <c r="W362" s="4" t="s">
        <v>37</v>
      </c>
      <c r="X362" s="4" t="s">
        <v>37</v>
      </c>
      <c r="Y362" s="4" t="s">
        <v>36</v>
      </c>
      <c r="Z362" s="4"/>
      <c r="AA362" s="4" t="s">
        <v>255</v>
      </c>
    </row>
    <row r="363" spans="1:27" s="1" customFormat="1" x14ac:dyDescent="0.3">
      <c r="A363" s="19">
        <v>19656</v>
      </c>
      <c r="B363" s="4" t="s">
        <v>732</v>
      </c>
      <c r="C363" s="4">
        <v>0</v>
      </c>
      <c r="D363" s="5">
        <v>42443.511342592596</v>
      </c>
      <c r="E363" s="5" t="s">
        <v>2082</v>
      </c>
      <c r="F363" s="4" t="s">
        <v>26</v>
      </c>
      <c r="G363" s="4" t="s">
        <v>289</v>
      </c>
      <c r="H363" s="4" t="s">
        <v>922</v>
      </c>
      <c r="I363" s="4" t="s">
        <v>118</v>
      </c>
      <c r="J363" s="4" t="s">
        <v>30</v>
      </c>
      <c r="K363" s="4" t="s">
        <v>31</v>
      </c>
      <c r="L363" s="5">
        <v>42450.916666666664</v>
      </c>
      <c r="M363" s="5">
        <v>42451.5</v>
      </c>
      <c r="N363" s="5">
        <v>42451.75</v>
      </c>
      <c r="O363" s="4" t="s">
        <v>32</v>
      </c>
      <c r="P363" s="4" t="s">
        <v>33</v>
      </c>
      <c r="Q363" s="4" t="s">
        <v>50</v>
      </c>
      <c r="R363" s="4" t="s">
        <v>291</v>
      </c>
      <c r="S363" s="6" t="s">
        <v>77</v>
      </c>
      <c r="T363" s="4" t="s">
        <v>37</v>
      </c>
      <c r="U363" s="4" t="s">
        <v>37</v>
      </c>
      <c r="V363" s="4" t="s">
        <v>292</v>
      </c>
      <c r="W363" s="4" t="s">
        <v>37</v>
      </c>
      <c r="X363" s="4" t="s">
        <v>37</v>
      </c>
      <c r="Y363" s="4" t="s">
        <v>36</v>
      </c>
      <c r="Z363" s="4"/>
      <c r="AA363" s="4" t="s">
        <v>40</v>
      </c>
    </row>
    <row r="364" spans="1:27" s="1" customFormat="1" x14ac:dyDescent="0.3">
      <c r="A364" s="19">
        <v>19657</v>
      </c>
      <c r="B364" s="4" t="s">
        <v>1182</v>
      </c>
      <c r="C364" s="4">
        <v>0</v>
      </c>
      <c r="D364" s="5">
        <v>42443.573506944442</v>
      </c>
      <c r="E364" s="5" t="s">
        <v>2082</v>
      </c>
      <c r="F364" s="4" t="s">
        <v>26</v>
      </c>
      <c r="G364" s="4" t="s">
        <v>98</v>
      </c>
      <c r="H364" s="4" t="s">
        <v>98</v>
      </c>
      <c r="I364" s="4" t="s">
        <v>88</v>
      </c>
      <c r="J364" s="4" t="s">
        <v>99</v>
      </c>
      <c r="K364" s="4" t="s">
        <v>31</v>
      </c>
      <c r="L364" s="5">
        <v>42456.291666666664</v>
      </c>
      <c r="M364" s="5">
        <v>42456.625</v>
      </c>
      <c r="N364" s="5">
        <v>42456.625</v>
      </c>
      <c r="O364" s="4" t="s">
        <v>32</v>
      </c>
      <c r="P364" s="4" t="s">
        <v>33</v>
      </c>
      <c r="Q364" s="4" t="s">
        <v>76</v>
      </c>
      <c r="R364" s="6" t="s">
        <v>77</v>
      </c>
      <c r="S364" s="6" t="s">
        <v>77</v>
      </c>
      <c r="T364" s="4" t="s">
        <v>37</v>
      </c>
      <c r="U364" s="4" t="s">
        <v>37</v>
      </c>
      <c r="V364" s="4" t="s">
        <v>1183</v>
      </c>
      <c r="W364" s="4" t="s">
        <v>37</v>
      </c>
      <c r="X364" s="4" t="s">
        <v>37</v>
      </c>
      <c r="Y364" s="4" t="s">
        <v>36</v>
      </c>
      <c r="Z364" s="4"/>
      <c r="AA364" s="4" t="s">
        <v>255</v>
      </c>
    </row>
    <row r="365" spans="1:27" s="1" customFormat="1" x14ac:dyDescent="0.3">
      <c r="A365" s="19">
        <v>19658</v>
      </c>
      <c r="B365" s="4" t="s">
        <v>1184</v>
      </c>
      <c r="C365" s="4" t="s">
        <v>2148</v>
      </c>
      <c r="D365" s="5">
        <v>42443.650011574071</v>
      </c>
      <c r="E365" s="5" t="s">
        <v>2082</v>
      </c>
      <c r="F365" s="4" t="s">
        <v>26</v>
      </c>
      <c r="G365" s="4" t="s">
        <v>743</v>
      </c>
      <c r="H365" s="4" t="s">
        <v>743</v>
      </c>
      <c r="I365" s="4" t="s">
        <v>48</v>
      </c>
      <c r="J365" s="4" t="s">
        <v>43</v>
      </c>
      <c r="K365" s="4" t="s">
        <v>31</v>
      </c>
      <c r="L365" s="5">
        <v>42450.375</v>
      </c>
      <c r="M365" s="5">
        <v>42450.625</v>
      </c>
      <c r="N365" s="5">
        <v>42450.625</v>
      </c>
      <c r="O365" s="4" t="s">
        <v>32</v>
      </c>
      <c r="P365" s="4" t="s">
        <v>149</v>
      </c>
      <c r="Q365" s="4" t="s">
        <v>251</v>
      </c>
      <c r="R365" s="4" t="s">
        <v>889</v>
      </c>
      <c r="S365" s="4" t="s">
        <v>889</v>
      </c>
      <c r="T365" s="4" t="s">
        <v>37</v>
      </c>
      <c r="U365" s="4" t="s">
        <v>37</v>
      </c>
      <c r="V365" s="4" t="s">
        <v>890</v>
      </c>
      <c r="W365" s="4" t="s">
        <v>37</v>
      </c>
      <c r="X365" s="4" t="s">
        <v>36</v>
      </c>
      <c r="Y365" s="4" t="s">
        <v>37</v>
      </c>
      <c r="Z365" s="4" t="s">
        <v>39</v>
      </c>
      <c r="AA365" s="4" t="s">
        <v>744</v>
      </c>
    </row>
    <row r="366" spans="1:27" s="1" customFormat="1" x14ac:dyDescent="0.3">
      <c r="A366" s="19">
        <v>19660</v>
      </c>
      <c r="B366" s="4" t="s">
        <v>434</v>
      </c>
      <c r="C366" s="4" t="s">
        <v>2144</v>
      </c>
      <c r="D366" s="5">
        <v>42443.70040509259</v>
      </c>
      <c r="E366" s="5" t="s">
        <v>2082</v>
      </c>
      <c r="F366" s="4" t="s">
        <v>26</v>
      </c>
      <c r="G366" s="4" t="s">
        <v>542</v>
      </c>
      <c r="H366" s="4" t="s">
        <v>435</v>
      </c>
      <c r="I366" s="4" t="s">
        <v>118</v>
      </c>
      <c r="J366" s="4" t="s">
        <v>30</v>
      </c>
      <c r="K366" s="4" t="s">
        <v>31</v>
      </c>
      <c r="L366" s="5">
        <v>42450.291666666664</v>
      </c>
      <c r="M366" s="5">
        <v>42450.458333333336</v>
      </c>
      <c r="N366" s="5">
        <v>42450.5</v>
      </c>
      <c r="O366" s="4" t="s">
        <v>32</v>
      </c>
      <c r="P366" s="4" t="s">
        <v>149</v>
      </c>
      <c r="Q366" s="4" t="s">
        <v>119</v>
      </c>
      <c r="R366" s="4" t="s">
        <v>436</v>
      </c>
      <c r="S366" s="4" t="s">
        <v>436</v>
      </c>
      <c r="T366" s="4" t="s">
        <v>37</v>
      </c>
      <c r="U366" s="4" t="s">
        <v>37</v>
      </c>
      <c r="V366" s="4" t="s">
        <v>1149</v>
      </c>
      <c r="W366" s="4" t="s">
        <v>37</v>
      </c>
      <c r="X366" s="4" t="s">
        <v>37</v>
      </c>
      <c r="Y366" s="4" t="s">
        <v>36</v>
      </c>
      <c r="Z366" s="4" t="s">
        <v>1185</v>
      </c>
      <c r="AA366" s="4" t="s">
        <v>179</v>
      </c>
    </row>
    <row r="367" spans="1:27" s="1" customFormat="1" x14ac:dyDescent="0.3">
      <c r="A367" s="19">
        <v>19661</v>
      </c>
      <c r="B367" s="4" t="s">
        <v>273</v>
      </c>
      <c r="C367" s="4">
        <v>0</v>
      </c>
      <c r="D367" s="5">
        <v>42443.707673611112</v>
      </c>
      <c r="E367" s="5" t="s">
        <v>2082</v>
      </c>
      <c r="F367" s="4" t="s">
        <v>26</v>
      </c>
      <c r="G367" s="4" t="s">
        <v>274</v>
      </c>
      <c r="H367" s="4" t="s">
        <v>274</v>
      </c>
      <c r="I367" s="4" t="s">
        <v>208</v>
      </c>
      <c r="J367" s="4" t="s">
        <v>357</v>
      </c>
      <c r="K367" s="4" t="s">
        <v>31</v>
      </c>
      <c r="L367" s="5">
        <v>42456.000694444447</v>
      </c>
      <c r="M367" s="5">
        <v>42456.208333333336</v>
      </c>
      <c r="N367" s="5">
        <v>42456.25</v>
      </c>
      <c r="O367" s="4" t="s">
        <v>32</v>
      </c>
      <c r="P367" s="4" t="s">
        <v>33</v>
      </c>
      <c r="Q367" s="4" t="s">
        <v>34</v>
      </c>
      <c r="R367" s="6" t="s">
        <v>77</v>
      </c>
      <c r="S367" s="4" t="s">
        <v>230</v>
      </c>
      <c r="T367" s="4" t="s">
        <v>36</v>
      </c>
      <c r="U367" s="4" t="s">
        <v>37</v>
      </c>
      <c r="V367" s="4" t="s">
        <v>276</v>
      </c>
      <c r="W367" s="4" t="s">
        <v>37</v>
      </c>
      <c r="X367" s="4" t="s">
        <v>37</v>
      </c>
      <c r="Y367" s="4" t="s">
        <v>36</v>
      </c>
      <c r="Z367" s="4"/>
      <c r="AA367" s="4" t="s">
        <v>358</v>
      </c>
    </row>
    <row r="368" spans="1:27" s="1" customFormat="1" x14ac:dyDescent="0.3">
      <c r="A368" s="19">
        <v>19662</v>
      </c>
      <c r="B368" s="4" t="s">
        <v>1186</v>
      </c>
      <c r="C368" s="4" t="s">
        <v>2149</v>
      </c>
      <c r="D368" s="5">
        <v>42443.710474537038</v>
      </c>
      <c r="E368" s="5" t="s">
        <v>2082</v>
      </c>
      <c r="F368" s="4" t="s">
        <v>26</v>
      </c>
      <c r="G368" s="4" t="s">
        <v>1187</v>
      </c>
      <c r="H368" s="4" t="s">
        <v>1188</v>
      </c>
      <c r="I368" s="4" t="s">
        <v>216</v>
      </c>
      <c r="J368" s="4" t="s">
        <v>30</v>
      </c>
      <c r="K368" s="4" t="s">
        <v>31</v>
      </c>
      <c r="L368" s="5">
        <v>42453</v>
      </c>
      <c r="M368" s="5">
        <v>42453.166666666664</v>
      </c>
      <c r="N368" s="5">
        <v>42453.333333333336</v>
      </c>
      <c r="O368" s="4" t="s">
        <v>32</v>
      </c>
      <c r="P368" s="4" t="s">
        <v>89</v>
      </c>
      <c r="Q368" s="4" t="s">
        <v>50</v>
      </c>
      <c r="R368" s="4" t="s">
        <v>1189</v>
      </c>
      <c r="S368" s="4" t="s">
        <v>1189</v>
      </c>
      <c r="T368" s="4" t="s">
        <v>37</v>
      </c>
      <c r="U368" s="4" t="s">
        <v>37</v>
      </c>
      <c r="V368" s="4" t="s">
        <v>1190</v>
      </c>
      <c r="W368" s="4" t="s">
        <v>37</v>
      </c>
      <c r="X368" s="4" t="s">
        <v>37</v>
      </c>
      <c r="Y368" s="4" t="s">
        <v>36</v>
      </c>
      <c r="Z368" s="4" t="s">
        <v>1191</v>
      </c>
      <c r="AA368" s="4" t="s">
        <v>40</v>
      </c>
    </row>
    <row r="369" spans="1:27" s="1" customFormat="1" x14ac:dyDescent="0.3">
      <c r="A369" s="19">
        <v>19665</v>
      </c>
      <c r="B369" s="4" t="s">
        <v>1192</v>
      </c>
      <c r="C369" s="4" t="s">
        <v>2111</v>
      </c>
      <c r="D369" s="5">
        <v>42443.814293981479</v>
      </c>
      <c r="E369" s="5" t="s">
        <v>2082</v>
      </c>
      <c r="F369" s="4" t="s">
        <v>26</v>
      </c>
      <c r="G369" s="4" t="s">
        <v>1193</v>
      </c>
      <c r="H369" s="4" t="s">
        <v>1194</v>
      </c>
      <c r="I369" s="4" t="s">
        <v>118</v>
      </c>
      <c r="J369" s="4" t="s">
        <v>30</v>
      </c>
      <c r="K369" s="4" t="s">
        <v>31</v>
      </c>
      <c r="L369" s="5">
        <v>42443.916666666664</v>
      </c>
      <c r="M369" s="5">
        <v>42444.25</v>
      </c>
      <c r="N369" s="5">
        <v>42444.291666666664</v>
      </c>
      <c r="O369" s="4" t="s">
        <v>710</v>
      </c>
      <c r="P369" s="4" t="s">
        <v>89</v>
      </c>
      <c r="Q369" s="4" t="s">
        <v>76</v>
      </c>
      <c r="R369" s="4" t="s">
        <v>1195</v>
      </c>
      <c r="S369" s="4" t="s">
        <v>1195</v>
      </c>
      <c r="T369" s="4" t="s">
        <v>37</v>
      </c>
      <c r="U369" s="4" t="s">
        <v>37</v>
      </c>
      <c r="V369" s="4" t="s">
        <v>202</v>
      </c>
      <c r="W369" s="4" t="s">
        <v>37</v>
      </c>
      <c r="X369" s="4" t="s">
        <v>37</v>
      </c>
      <c r="Y369" s="4" t="s">
        <v>37</v>
      </c>
      <c r="Z369" s="4" t="s">
        <v>1196</v>
      </c>
      <c r="AA369" s="4" t="s">
        <v>40</v>
      </c>
    </row>
    <row r="370" spans="1:27" s="1" customFormat="1" x14ac:dyDescent="0.3">
      <c r="A370" s="19">
        <v>19667</v>
      </c>
      <c r="B370" s="4" t="s">
        <v>115</v>
      </c>
      <c r="C370" s="4" t="s">
        <v>2105</v>
      </c>
      <c r="D370" s="5">
        <v>42444.332280092596</v>
      </c>
      <c r="E370" s="5" t="s">
        <v>2082</v>
      </c>
      <c r="F370" s="4" t="s">
        <v>26</v>
      </c>
      <c r="G370" s="4" t="s">
        <v>1197</v>
      </c>
      <c r="H370" s="4" t="s">
        <v>922</v>
      </c>
      <c r="I370" s="4" t="s">
        <v>118</v>
      </c>
      <c r="J370" s="4" t="s">
        <v>30</v>
      </c>
      <c r="K370" s="4" t="s">
        <v>31</v>
      </c>
      <c r="L370" s="5">
        <v>42450.916666666664</v>
      </c>
      <c r="M370" s="5">
        <v>42451.208333333336</v>
      </c>
      <c r="N370" s="5">
        <v>42451.5</v>
      </c>
      <c r="O370" s="4" t="s">
        <v>32</v>
      </c>
      <c r="P370" s="4" t="s">
        <v>33</v>
      </c>
      <c r="Q370" s="4" t="s">
        <v>34</v>
      </c>
      <c r="R370" s="6" t="s">
        <v>77</v>
      </c>
      <c r="S370" s="4" t="s">
        <v>201</v>
      </c>
      <c r="T370" s="4" t="s">
        <v>37</v>
      </c>
      <c r="U370" s="4" t="s">
        <v>37</v>
      </c>
      <c r="V370" s="4" t="s">
        <v>202</v>
      </c>
      <c r="W370" s="4" t="s">
        <v>37</v>
      </c>
      <c r="X370" s="4" t="s">
        <v>37</v>
      </c>
      <c r="Y370" s="4" t="s">
        <v>36</v>
      </c>
      <c r="Z370" s="4" t="s">
        <v>1198</v>
      </c>
      <c r="AA370" s="4" t="s">
        <v>40</v>
      </c>
    </row>
    <row r="371" spans="1:27" s="1" customFormat="1" x14ac:dyDescent="0.3">
      <c r="A371" s="19">
        <v>19669</v>
      </c>
      <c r="B371" s="4" t="s">
        <v>1199</v>
      </c>
      <c r="C371" s="4">
        <v>0</v>
      </c>
      <c r="D371" s="5">
        <v>42444.435497685183</v>
      </c>
      <c r="E371" s="5" t="s">
        <v>2082</v>
      </c>
      <c r="F371" s="4" t="s">
        <v>26</v>
      </c>
      <c r="G371" s="4" t="s">
        <v>656</v>
      </c>
      <c r="H371" s="4" t="s">
        <v>656</v>
      </c>
      <c r="I371" s="4" t="s">
        <v>203</v>
      </c>
      <c r="J371" s="4" t="s">
        <v>657</v>
      </c>
      <c r="K371" s="4" t="s">
        <v>31</v>
      </c>
      <c r="L371" s="5">
        <v>42455.333333333336</v>
      </c>
      <c r="M371" s="5">
        <v>42455.75</v>
      </c>
      <c r="N371" s="5">
        <v>42457.4375</v>
      </c>
      <c r="O371" s="4" t="s">
        <v>32</v>
      </c>
      <c r="P371" s="4" t="s">
        <v>33</v>
      </c>
      <c r="Q371" s="4" t="s">
        <v>119</v>
      </c>
      <c r="R371" s="6" t="s">
        <v>77</v>
      </c>
      <c r="S371" s="6" t="s">
        <v>77</v>
      </c>
      <c r="T371" s="4" t="s">
        <v>37</v>
      </c>
      <c r="U371" s="4" t="s">
        <v>37</v>
      </c>
      <c r="V371" s="4" t="s">
        <v>659</v>
      </c>
      <c r="W371" s="4" t="s">
        <v>37</v>
      </c>
      <c r="X371" s="4" t="s">
        <v>37</v>
      </c>
      <c r="Y371" s="4" t="s">
        <v>36</v>
      </c>
      <c r="Z371" s="4"/>
      <c r="AA371" s="4" t="s">
        <v>660</v>
      </c>
    </row>
    <row r="372" spans="1:27" s="1" customFormat="1" x14ac:dyDescent="0.3">
      <c r="A372" s="19">
        <v>19672</v>
      </c>
      <c r="B372" s="4" t="s">
        <v>1192</v>
      </c>
      <c r="C372" s="4" t="s">
        <v>2111</v>
      </c>
      <c r="D372" s="5">
        <v>42444.587187500001</v>
      </c>
      <c r="E372" s="5" t="s">
        <v>2082</v>
      </c>
      <c r="F372" s="4" t="s">
        <v>26</v>
      </c>
      <c r="G372" s="4" t="s">
        <v>116</v>
      </c>
      <c r="H372" s="4" t="s">
        <v>1200</v>
      </c>
      <c r="I372" s="4" t="s">
        <v>118</v>
      </c>
      <c r="J372" s="4" t="s">
        <v>30</v>
      </c>
      <c r="K372" s="4" t="s">
        <v>31</v>
      </c>
      <c r="L372" s="5">
        <v>42444.916666666664</v>
      </c>
      <c r="M372" s="5">
        <v>42445.25</v>
      </c>
      <c r="N372" s="5">
        <v>42445.291666666664</v>
      </c>
      <c r="O372" s="4" t="s">
        <v>710</v>
      </c>
      <c r="P372" s="4" t="s">
        <v>89</v>
      </c>
      <c r="Q372" s="4" t="s">
        <v>76</v>
      </c>
      <c r="R372" s="4" t="s">
        <v>201</v>
      </c>
      <c r="S372" s="4" t="s">
        <v>201</v>
      </c>
      <c r="T372" s="4" t="s">
        <v>37</v>
      </c>
      <c r="U372" s="4" t="s">
        <v>37</v>
      </c>
      <c r="V372" s="4" t="s">
        <v>202</v>
      </c>
      <c r="W372" s="4" t="s">
        <v>37</v>
      </c>
      <c r="X372" s="4" t="s">
        <v>37</v>
      </c>
      <c r="Y372" s="4" t="s">
        <v>36</v>
      </c>
      <c r="Z372" s="4"/>
      <c r="AA372" s="4" t="s">
        <v>40</v>
      </c>
    </row>
    <row r="373" spans="1:27" s="1" customFormat="1" x14ac:dyDescent="0.3">
      <c r="A373" s="19">
        <v>19675</v>
      </c>
      <c r="B373" s="4" t="s">
        <v>1201</v>
      </c>
      <c r="C373" s="4" t="s">
        <v>2111</v>
      </c>
      <c r="D373" s="5">
        <v>42444.691631944443</v>
      </c>
      <c r="E373" s="5" t="s">
        <v>2082</v>
      </c>
      <c r="F373" s="4" t="s">
        <v>26</v>
      </c>
      <c r="G373" s="4" t="s">
        <v>310</v>
      </c>
      <c r="H373" s="4" t="s">
        <v>1137</v>
      </c>
      <c r="I373" s="4" t="s">
        <v>214</v>
      </c>
      <c r="J373" s="4" t="s">
        <v>543</v>
      </c>
      <c r="K373" s="4" t="s">
        <v>31</v>
      </c>
      <c r="L373" s="5">
        <v>42444.916666666664</v>
      </c>
      <c r="M373" s="5">
        <v>42445.041666666664</v>
      </c>
      <c r="N373" s="5">
        <v>42445.083333333336</v>
      </c>
      <c r="O373" s="4" t="s">
        <v>710</v>
      </c>
      <c r="P373" s="4" t="s">
        <v>33</v>
      </c>
      <c r="Q373" s="4" t="s">
        <v>76</v>
      </c>
      <c r="R373" s="4" t="s">
        <v>1202</v>
      </c>
      <c r="S373" s="6" t="s">
        <v>77</v>
      </c>
      <c r="T373" s="4" t="s">
        <v>36</v>
      </c>
      <c r="U373" s="4" t="s">
        <v>37</v>
      </c>
      <c r="V373" s="4" t="s">
        <v>1203</v>
      </c>
      <c r="W373" s="4" t="s">
        <v>37</v>
      </c>
      <c r="X373" s="4" t="s">
        <v>37</v>
      </c>
      <c r="Y373" s="4" t="s">
        <v>37</v>
      </c>
      <c r="Z373" s="4"/>
      <c r="AA373" s="4"/>
    </row>
    <row r="374" spans="1:27" s="1" customFormat="1" x14ac:dyDescent="0.3">
      <c r="A374" s="19">
        <v>19677</v>
      </c>
      <c r="B374" s="4" t="s">
        <v>1204</v>
      </c>
      <c r="C374" s="4" t="s">
        <v>2150</v>
      </c>
      <c r="D374" s="5">
        <v>42444.782175925924</v>
      </c>
      <c r="E374" s="5" t="s">
        <v>2082</v>
      </c>
      <c r="F374" s="4" t="s">
        <v>26</v>
      </c>
      <c r="G374" s="4" t="s">
        <v>559</v>
      </c>
      <c r="H374" s="4" t="s">
        <v>559</v>
      </c>
      <c r="I374" s="4" t="s">
        <v>48</v>
      </c>
      <c r="J374" s="4" t="s">
        <v>49</v>
      </c>
      <c r="K374" s="4" t="s">
        <v>31</v>
      </c>
      <c r="L374" s="5">
        <v>42446.000694444447</v>
      </c>
      <c r="M374" s="5">
        <v>42446.125</v>
      </c>
      <c r="N374" s="5">
        <v>42446.208333333336</v>
      </c>
      <c r="O374" s="4" t="s">
        <v>250</v>
      </c>
      <c r="P374" s="4" t="s">
        <v>149</v>
      </c>
      <c r="Q374" s="4" t="s">
        <v>251</v>
      </c>
      <c r="R374" s="4" t="s">
        <v>1205</v>
      </c>
      <c r="S374" s="4" t="s">
        <v>1205</v>
      </c>
      <c r="T374" s="4" t="s">
        <v>36</v>
      </c>
      <c r="U374" s="4" t="s">
        <v>37</v>
      </c>
      <c r="V374" s="4" t="s">
        <v>1206</v>
      </c>
      <c r="W374" s="4" t="s">
        <v>37</v>
      </c>
      <c r="X374" s="4" t="s">
        <v>37</v>
      </c>
      <c r="Y374" s="4" t="s">
        <v>36</v>
      </c>
      <c r="Z374" s="4"/>
      <c r="AA374" s="4"/>
    </row>
    <row r="375" spans="1:27" s="1" customFormat="1" x14ac:dyDescent="0.3">
      <c r="A375" s="19">
        <v>19679</v>
      </c>
      <c r="B375" s="4" t="s">
        <v>1207</v>
      </c>
      <c r="C375" s="4">
        <v>0</v>
      </c>
      <c r="D375" s="5">
        <v>42445.375555555554</v>
      </c>
      <c r="E375" s="5" t="s">
        <v>2082</v>
      </c>
      <c r="F375" s="4" t="s">
        <v>26</v>
      </c>
      <c r="G375" s="4" t="s">
        <v>428</v>
      </c>
      <c r="H375" s="4" t="s">
        <v>428</v>
      </c>
      <c r="I375" s="4" t="s">
        <v>83</v>
      </c>
      <c r="J375" s="4" t="s">
        <v>1208</v>
      </c>
      <c r="K375" s="4" t="s">
        <v>31</v>
      </c>
      <c r="L375" s="5">
        <v>42453.916666666664</v>
      </c>
      <c r="M375" s="5">
        <v>42454.25</v>
      </c>
      <c r="N375" s="5">
        <v>42458.5</v>
      </c>
      <c r="O375" s="4" t="s">
        <v>32</v>
      </c>
      <c r="P375" s="4" t="s">
        <v>33</v>
      </c>
      <c r="Q375" s="4" t="s">
        <v>76</v>
      </c>
      <c r="R375" s="6" t="s">
        <v>77</v>
      </c>
      <c r="S375" s="6" t="s">
        <v>77</v>
      </c>
      <c r="T375" s="4" t="s">
        <v>37</v>
      </c>
      <c r="U375" s="4" t="s">
        <v>37</v>
      </c>
      <c r="V375" s="4" t="s">
        <v>1209</v>
      </c>
      <c r="W375" s="4" t="s">
        <v>37</v>
      </c>
      <c r="X375" s="4" t="s">
        <v>37</v>
      </c>
      <c r="Y375" s="4" t="s">
        <v>36</v>
      </c>
      <c r="Z375" s="4"/>
      <c r="AA375" s="4" t="s">
        <v>818</v>
      </c>
    </row>
    <row r="376" spans="1:27" s="1" customFormat="1" x14ac:dyDescent="0.3">
      <c r="A376" s="19">
        <v>19683</v>
      </c>
      <c r="B376" s="4" t="s">
        <v>1210</v>
      </c>
      <c r="C376" s="4">
        <v>0</v>
      </c>
      <c r="D376" s="5">
        <v>42445.405300925922</v>
      </c>
      <c r="E376" s="5" t="s">
        <v>2082</v>
      </c>
      <c r="F376" s="4" t="s">
        <v>26</v>
      </c>
      <c r="G376" s="4" t="s">
        <v>464</v>
      </c>
      <c r="H376" s="4" t="s">
        <v>464</v>
      </c>
      <c r="I376" s="4" t="s">
        <v>213</v>
      </c>
      <c r="J376" s="4" t="s">
        <v>311</v>
      </c>
      <c r="K376" s="4" t="s">
        <v>31</v>
      </c>
      <c r="L376" s="5">
        <v>42452.979166666664</v>
      </c>
      <c r="M376" s="5">
        <v>42453.208333333336</v>
      </c>
      <c r="N376" s="5">
        <v>42453.25</v>
      </c>
      <c r="O376" s="4" t="s">
        <v>32</v>
      </c>
      <c r="P376" s="4" t="s">
        <v>33</v>
      </c>
      <c r="Q376" s="4" t="s">
        <v>76</v>
      </c>
      <c r="R376" s="4" t="s">
        <v>1211</v>
      </c>
      <c r="S376" s="4" t="s">
        <v>1211</v>
      </c>
      <c r="T376" s="4" t="s">
        <v>37</v>
      </c>
      <c r="U376" s="4" t="s">
        <v>37</v>
      </c>
      <c r="V376" s="4" t="s">
        <v>1212</v>
      </c>
      <c r="W376" s="4" t="s">
        <v>37</v>
      </c>
      <c r="X376" s="4" t="s">
        <v>37</v>
      </c>
      <c r="Y376" s="4" t="s">
        <v>36</v>
      </c>
      <c r="Z376" s="4"/>
      <c r="AA376" s="4"/>
    </row>
    <row r="377" spans="1:27" s="1" customFormat="1" x14ac:dyDescent="0.3">
      <c r="A377" s="19">
        <v>19688</v>
      </c>
      <c r="B377" s="4" t="s">
        <v>1213</v>
      </c>
      <c r="C377" s="4">
        <v>0</v>
      </c>
      <c r="D377" s="5">
        <v>42445.619687500002</v>
      </c>
      <c r="E377" s="5" t="s">
        <v>2082</v>
      </c>
      <c r="F377" s="4" t="s">
        <v>26</v>
      </c>
      <c r="G377" s="4" t="s">
        <v>374</v>
      </c>
      <c r="H377" s="4" t="s">
        <v>375</v>
      </c>
      <c r="I377" s="4" t="s">
        <v>221</v>
      </c>
      <c r="J377" s="4" t="s">
        <v>30</v>
      </c>
      <c r="K377" s="4" t="s">
        <v>31</v>
      </c>
      <c r="L377" s="5">
        <v>42445.916666666664</v>
      </c>
      <c r="M377" s="5">
        <v>42446.208333333336</v>
      </c>
      <c r="N377" s="5">
        <v>42446.25</v>
      </c>
      <c r="O377" s="4" t="s">
        <v>250</v>
      </c>
      <c r="P377" s="4" t="s">
        <v>149</v>
      </c>
      <c r="Q377" s="4" t="s">
        <v>119</v>
      </c>
      <c r="R377" s="6" t="s">
        <v>77</v>
      </c>
      <c r="S377" s="4"/>
      <c r="T377" s="4" t="s">
        <v>37</v>
      </c>
      <c r="U377" s="4" t="s">
        <v>37</v>
      </c>
      <c r="V377" s="4" t="s">
        <v>1214</v>
      </c>
      <c r="W377" s="4" t="s">
        <v>37</v>
      </c>
      <c r="X377" s="4" t="s">
        <v>37</v>
      </c>
      <c r="Y377" s="4" t="s">
        <v>36</v>
      </c>
      <c r="Z377" s="4"/>
      <c r="AA377" s="4" t="s">
        <v>40</v>
      </c>
    </row>
    <row r="378" spans="1:27" s="1" customFormat="1" x14ac:dyDescent="0.3">
      <c r="A378" s="19">
        <v>19690</v>
      </c>
      <c r="B378" s="4" t="s">
        <v>1215</v>
      </c>
      <c r="C378" s="4" t="s">
        <v>2151</v>
      </c>
      <c r="D378" s="5">
        <v>42445.639918981484</v>
      </c>
      <c r="E378" s="5" t="s">
        <v>2082</v>
      </c>
      <c r="F378" s="4" t="s">
        <v>26</v>
      </c>
      <c r="G378" s="4" t="s">
        <v>559</v>
      </c>
      <c r="H378" s="4" t="s">
        <v>559</v>
      </c>
      <c r="I378" s="4" t="s">
        <v>48</v>
      </c>
      <c r="J378" s="4" t="s">
        <v>49</v>
      </c>
      <c r="K378" s="4" t="s">
        <v>31</v>
      </c>
      <c r="L378" s="5">
        <v>42447.000694444447</v>
      </c>
      <c r="M378" s="5">
        <v>42447.125</v>
      </c>
      <c r="N378" s="5">
        <v>42447.208333333336</v>
      </c>
      <c r="O378" s="4" t="s">
        <v>250</v>
      </c>
      <c r="P378" s="4" t="s">
        <v>149</v>
      </c>
      <c r="Q378" s="4" t="s">
        <v>119</v>
      </c>
      <c r="R378" s="4" t="s">
        <v>1216</v>
      </c>
      <c r="S378" s="4" t="s">
        <v>1217</v>
      </c>
      <c r="T378" s="4" t="s">
        <v>37</v>
      </c>
      <c r="U378" s="4" t="s">
        <v>37</v>
      </c>
      <c r="V378" s="4" t="s">
        <v>1218</v>
      </c>
      <c r="W378" s="4" t="s">
        <v>37</v>
      </c>
      <c r="X378" s="4" t="s">
        <v>37</v>
      </c>
      <c r="Y378" s="4" t="s">
        <v>36</v>
      </c>
      <c r="Z378" s="4"/>
      <c r="AA378" s="4"/>
    </row>
    <row r="379" spans="1:27" s="1" customFormat="1" x14ac:dyDescent="0.3">
      <c r="A379" s="19">
        <v>19692</v>
      </c>
      <c r="B379" s="4" t="s">
        <v>1219</v>
      </c>
      <c r="C379" s="4" t="s">
        <v>39</v>
      </c>
      <c r="D379" s="5">
        <v>42445.682384259257</v>
      </c>
      <c r="E379" s="5" t="s">
        <v>2082</v>
      </c>
      <c r="F379" s="4" t="s">
        <v>26</v>
      </c>
      <c r="G379" s="4" t="s">
        <v>349</v>
      </c>
      <c r="H379" s="4" t="s">
        <v>349</v>
      </c>
      <c r="I379" s="4" t="s">
        <v>29</v>
      </c>
      <c r="J379" s="4" t="s">
        <v>1220</v>
      </c>
      <c r="K379" s="4" t="s">
        <v>31</v>
      </c>
      <c r="L379" s="5">
        <v>42453.916666666664</v>
      </c>
      <c r="M379" s="5">
        <v>42454.208333333336</v>
      </c>
      <c r="N379" s="5">
        <v>42454.25</v>
      </c>
      <c r="O379" s="4" t="s">
        <v>32</v>
      </c>
      <c r="P379" s="4" t="s">
        <v>33</v>
      </c>
      <c r="Q379" s="4" t="s">
        <v>76</v>
      </c>
      <c r="R379" s="4" t="s">
        <v>625</v>
      </c>
      <c r="S379" s="6" t="s">
        <v>77</v>
      </c>
      <c r="T379" s="4" t="s">
        <v>36</v>
      </c>
      <c r="U379" s="4" t="s">
        <v>37</v>
      </c>
      <c r="V379" s="4" t="s">
        <v>1221</v>
      </c>
      <c r="W379" s="4" t="s">
        <v>37</v>
      </c>
      <c r="X379" s="4" t="s">
        <v>37</v>
      </c>
      <c r="Y379" s="4" t="s">
        <v>36</v>
      </c>
      <c r="Z379" s="4" t="s">
        <v>39</v>
      </c>
      <c r="AA379" s="4" t="s">
        <v>676</v>
      </c>
    </row>
    <row r="380" spans="1:27" s="1" customFormat="1" x14ac:dyDescent="0.3">
      <c r="A380" s="19">
        <v>19699</v>
      </c>
      <c r="B380" s="4" t="s">
        <v>1222</v>
      </c>
      <c r="C380" s="4" t="s">
        <v>2111</v>
      </c>
      <c r="D380" s="5">
        <v>42446.44740740741</v>
      </c>
      <c r="E380" s="5" t="s">
        <v>2082</v>
      </c>
      <c r="F380" s="4" t="s">
        <v>26</v>
      </c>
      <c r="G380" s="4" t="s">
        <v>146</v>
      </c>
      <c r="H380" s="4" t="s">
        <v>146</v>
      </c>
      <c r="I380" s="4" t="s">
        <v>42</v>
      </c>
      <c r="J380" s="4" t="s">
        <v>148</v>
      </c>
      <c r="K380" s="4" t="s">
        <v>31</v>
      </c>
      <c r="L380" s="5">
        <v>42446.916666666664</v>
      </c>
      <c r="M380" s="5">
        <v>42447</v>
      </c>
      <c r="N380" s="5">
        <v>42447.083333333336</v>
      </c>
      <c r="O380" s="4" t="s">
        <v>710</v>
      </c>
      <c r="P380" s="4" t="s">
        <v>33</v>
      </c>
      <c r="Q380" s="4" t="s">
        <v>76</v>
      </c>
      <c r="R380" s="4"/>
      <c r="S380" s="4"/>
      <c r="T380" s="4" t="s">
        <v>37</v>
      </c>
      <c r="U380" s="4" t="s">
        <v>37</v>
      </c>
      <c r="V380" s="4" t="s">
        <v>1039</v>
      </c>
      <c r="W380" s="4" t="s">
        <v>37</v>
      </c>
      <c r="X380" s="4" t="s">
        <v>37</v>
      </c>
      <c r="Y380" s="4" t="s">
        <v>36</v>
      </c>
      <c r="Z380" s="4"/>
      <c r="AA380" s="4"/>
    </row>
    <row r="381" spans="1:27" s="1" customFormat="1" x14ac:dyDescent="0.3">
      <c r="A381" s="19">
        <v>19703</v>
      </c>
      <c r="B381" s="4" t="s">
        <v>1223</v>
      </c>
      <c r="C381" s="4">
        <v>0</v>
      </c>
      <c r="D381" s="5">
        <v>42446.645601851851</v>
      </c>
      <c r="E381" s="5" t="s">
        <v>2082</v>
      </c>
      <c r="F381" s="4" t="s">
        <v>26</v>
      </c>
      <c r="G381" s="4" t="s">
        <v>852</v>
      </c>
      <c r="H381" s="4" t="s">
        <v>852</v>
      </c>
      <c r="I381" s="4" t="s">
        <v>213</v>
      </c>
      <c r="J381" s="4" t="s">
        <v>853</v>
      </c>
      <c r="K381" s="4" t="s">
        <v>31</v>
      </c>
      <c r="L381" s="5">
        <v>42446.833333333336</v>
      </c>
      <c r="M381" s="5">
        <v>42447.208333333336</v>
      </c>
      <c r="N381" s="5">
        <v>42447.25</v>
      </c>
      <c r="O381" s="4" t="s">
        <v>250</v>
      </c>
      <c r="P381" s="4" t="s">
        <v>89</v>
      </c>
      <c r="Q381" s="4" t="s">
        <v>251</v>
      </c>
      <c r="R381" s="6" t="s">
        <v>77</v>
      </c>
      <c r="S381" s="6" t="s">
        <v>77</v>
      </c>
      <c r="T381" s="4" t="s">
        <v>36</v>
      </c>
      <c r="U381" s="4" t="s">
        <v>36</v>
      </c>
      <c r="V381" s="4" t="s">
        <v>177</v>
      </c>
      <c r="W381" s="4" t="s">
        <v>37</v>
      </c>
      <c r="X381" s="4" t="s">
        <v>37</v>
      </c>
      <c r="Y381" s="4" t="s">
        <v>36</v>
      </c>
      <c r="Z381" s="4" t="s">
        <v>1224</v>
      </c>
      <c r="AA381" s="4" t="s">
        <v>676</v>
      </c>
    </row>
    <row r="382" spans="1:27" s="1" customFormat="1" x14ac:dyDescent="0.3">
      <c r="A382" s="19">
        <v>19705</v>
      </c>
      <c r="B382" s="4" t="s">
        <v>1225</v>
      </c>
      <c r="C382" s="4" t="s">
        <v>2152</v>
      </c>
      <c r="D382" s="5">
        <v>42446.659849537034</v>
      </c>
      <c r="E382" s="5" t="s">
        <v>2082</v>
      </c>
      <c r="F382" s="4" t="s">
        <v>26</v>
      </c>
      <c r="G382" s="4" t="s">
        <v>513</v>
      </c>
      <c r="H382" s="4" t="s">
        <v>1188</v>
      </c>
      <c r="I382" s="4" t="s">
        <v>127</v>
      </c>
      <c r="J382" s="4" t="s">
        <v>30</v>
      </c>
      <c r="K382" s="4" t="s">
        <v>31</v>
      </c>
      <c r="L382" s="5">
        <v>42461.041666666664</v>
      </c>
      <c r="M382" s="5">
        <v>42461.125</v>
      </c>
      <c r="N382" s="5">
        <v>42461.166666666664</v>
      </c>
      <c r="O382" s="4" t="s">
        <v>32</v>
      </c>
      <c r="P382" s="4" t="s">
        <v>33</v>
      </c>
      <c r="Q382" s="4" t="s">
        <v>34</v>
      </c>
      <c r="R382" s="6" t="s">
        <v>77</v>
      </c>
      <c r="S382" s="4"/>
      <c r="T382" s="4" t="s">
        <v>37</v>
      </c>
      <c r="U382" s="4" t="s">
        <v>37</v>
      </c>
      <c r="V382" s="4" t="s">
        <v>1226</v>
      </c>
      <c r="W382" s="4" t="s">
        <v>37</v>
      </c>
      <c r="X382" s="4" t="s">
        <v>37</v>
      </c>
      <c r="Y382" s="4" t="s">
        <v>36</v>
      </c>
      <c r="Z382" s="4"/>
      <c r="AA382" s="4" t="s">
        <v>179</v>
      </c>
    </row>
    <row r="383" spans="1:27" s="1" customFormat="1" x14ac:dyDescent="0.3">
      <c r="A383" s="19">
        <v>19706</v>
      </c>
      <c r="B383" s="4" t="s">
        <v>1227</v>
      </c>
      <c r="C383" s="4">
        <v>0</v>
      </c>
      <c r="D383" s="5">
        <v>42446.664201388892</v>
      </c>
      <c r="E383" s="5" t="s">
        <v>2082</v>
      </c>
      <c r="F383" s="4" t="s">
        <v>26</v>
      </c>
      <c r="G383" s="4" t="s">
        <v>98</v>
      </c>
      <c r="H383" s="4" t="s">
        <v>98</v>
      </c>
      <c r="I383" s="4" t="s">
        <v>217</v>
      </c>
      <c r="J383" s="4" t="s">
        <v>256</v>
      </c>
      <c r="K383" s="4" t="s">
        <v>31</v>
      </c>
      <c r="L383" s="5">
        <v>42456.291666666664</v>
      </c>
      <c r="M383" s="5">
        <v>42456.625</v>
      </c>
      <c r="N383" s="5">
        <v>42456.625</v>
      </c>
      <c r="O383" s="4" t="s">
        <v>32</v>
      </c>
      <c r="P383" s="4" t="s">
        <v>33</v>
      </c>
      <c r="Q383" s="4" t="s">
        <v>76</v>
      </c>
      <c r="R383" s="6" t="s">
        <v>77</v>
      </c>
      <c r="S383" s="6" t="s">
        <v>77</v>
      </c>
      <c r="T383" s="4" t="s">
        <v>37</v>
      </c>
      <c r="U383" s="4" t="s">
        <v>37</v>
      </c>
      <c r="V383" s="4" t="s">
        <v>254</v>
      </c>
      <c r="W383" s="4" t="s">
        <v>37</v>
      </c>
      <c r="X383" s="4" t="s">
        <v>37</v>
      </c>
      <c r="Y383" s="4" t="s">
        <v>36</v>
      </c>
      <c r="Z383" s="4"/>
      <c r="AA383" s="4" t="s">
        <v>358</v>
      </c>
    </row>
    <row r="384" spans="1:27" s="1" customFormat="1" x14ac:dyDescent="0.3">
      <c r="A384" s="19">
        <v>19708</v>
      </c>
      <c r="B384" s="4" t="s">
        <v>1228</v>
      </c>
      <c r="C384" s="4" t="s">
        <v>2111</v>
      </c>
      <c r="D384" s="5">
        <v>42446.721134259256</v>
      </c>
      <c r="E384" s="5" t="s">
        <v>2082</v>
      </c>
      <c r="F384" s="4" t="s">
        <v>26</v>
      </c>
      <c r="G384" s="4" t="s">
        <v>1097</v>
      </c>
      <c r="H384" s="4" t="s">
        <v>264</v>
      </c>
      <c r="I384" s="4" t="s">
        <v>118</v>
      </c>
      <c r="J384" s="4" t="s">
        <v>30</v>
      </c>
      <c r="K384" s="4" t="s">
        <v>31</v>
      </c>
      <c r="L384" s="5">
        <v>42449.916666666664</v>
      </c>
      <c r="M384" s="5">
        <v>42450.354166666664</v>
      </c>
      <c r="N384" s="5">
        <v>42450.75</v>
      </c>
      <c r="O384" s="4" t="s">
        <v>710</v>
      </c>
      <c r="P384" s="4" t="s">
        <v>89</v>
      </c>
      <c r="Q384" s="4" t="s">
        <v>76</v>
      </c>
      <c r="R384" s="4" t="s">
        <v>291</v>
      </c>
      <c r="S384" s="6" t="s">
        <v>77</v>
      </c>
      <c r="T384" s="4" t="s">
        <v>37</v>
      </c>
      <c r="U384" s="4" t="s">
        <v>37</v>
      </c>
      <c r="V384" s="4" t="s">
        <v>292</v>
      </c>
      <c r="W384" s="4" t="s">
        <v>37</v>
      </c>
      <c r="X384" s="4" t="s">
        <v>37</v>
      </c>
      <c r="Y384" s="4" t="s">
        <v>36</v>
      </c>
      <c r="Z384" s="4" t="s">
        <v>1229</v>
      </c>
      <c r="AA384" s="4" t="s">
        <v>40</v>
      </c>
    </row>
    <row r="385" spans="1:27" s="1" customFormat="1" x14ac:dyDescent="0.3">
      <c r="A385" s="19">
        <v>19709</v>
      </c>
      <c r="B385" s="4" t="s">
        <v>1155</v>
      </c>
      <c r="C385" s="4">
        <v>0</v>
      </c>
      <c r="D385" s="5">
        <v>42446.742638888885</v>
      </c>
      <c r="E385" s="5" t="s">
        <v>2082</v>
      </c>
      <c r="F385" s="4" t="s">
        <v>26</v>
      </c>
      <c r="G385" s="4" t="s">
        <v>348</v>
      </c>
      <c r="H385" s="4" t="s">
        <v>1230</v>
      </c>
      <c r="I385" s="4" t="s">
        <v>88</v>
      </c>
      <c r="J385" s="4" t="s">
        <v>30</v>
      </c>
      <c r="K385" s="4" t="s">
        <v>31</v>
      </c>
      <c r="L385" s="5">
        <v>42458.916666666664</v>
      </c>
      <c r="M385" s="5">
        <v>42459.166666666664</v>
      </c>
      <c r="N385" s="5">
        <v>42459.25</v>
      </c>
      <c r="O385" s="4" t="s">
        <v>32</v>
      </c>
      <c r="P385" s="4" t="s">
        <v>33</v>
      </c>
      <c r="Q385" s="4" t="s">
        <v>34</v>
      </c>
      <c r="R385" s="4" t="s">
        <v>1156</v>
      </c>
      <c r="S385" s="4" t="s">
        <v>1156</v>
      </c>
      <c r="T385" s="4" t="s">
        <v>36</v>
      </c>
      <c r="U385" s="4" t="s">
        <v>37</v>
      </c>
      <c r="V385" s="4" t="s">
        <v>1157</v>
      </c>
      <c r="W385" s="4" t="s">
        <v>37</v>
      </c>
      <c r="X385" s="4" t="s">
        <v>37</v>
      </c>
      <c r="Y385" s="4" t="s">
        <v>36</v>
      </c>
      <c r="Z385" s="4"/>
      <c r="AA385" s="4" t="s">
        <v>179</v>
      </c>
    </row>
    <row r="386" spans="1:27" s="1" customFormat="1" x14ac:dyDescent="0.3">
      <c r="A386" s="19">
        <v>19710</v>
      </c>
      <c r="B386" s="4" t="s">
        <v>651</v>
      </c>
      <c r="C386" s="4">
        <v>0</v>
      </c>
      <c r="D386" s="5">
        <v>42447.379131944443</v>
      </c>
      <c r="E386" s="5" t="s">
        <v>2082</v>
      </c>
      <c r="F386" s="4" t="s">
        <v>26</v>
      </c>
      <c r="G386" s="4" t="s">
        <v>652</v>
      </c>
      <c r="H386" s="4" t="s">
        <v>652</v>
      </c>
      <c r="I386" s="4" t="s">
        <v>221</v>
      </c>
      <c r="J386" s="4" t="s">
        <v>30</v>
      </c>
      <c r="K386" s="4" t="s">
        <v>31</v>
      </c>
      <c r="L386" s="5">
        <v>42452.916666666664</v>
      </c>
      <c r="M386" s="5">
        <v>42453.25</v>
      </c>
      <c r="N386" s="5">
        <v>42453.270833333336</v>
      </c>
      <c r="O386" s="4" t="s">
        <v>32</v>
      </c>
      <c r="P386" s="4" t="s">
        <v>33</v>
      </c>
      <c r="Q386" s="4" t="s">
        <v>34</v>
      </c>
      <c r="R386" s="4" t="s">
        <v>653</v>
      </c>
      <c r="S386" s="4" t="s">
        <v>653</v>
      </c>
      <c r="T386" s="4" t="s">
        <v>37</v>
      </c>
      <c r="U386" s="4" t="s">
        <v>37</v>
      </c>
      <c r="V386" s="4" t="s">
        <v>654</v>
      </c>
      <c r="W386" s="4" t="s">
        <v>37</v>
      </c>
      <c r="X386" s="4" t="s">
        <v>37</v>
      </c>
      <c r="Y386" s="4" t="s">
        <v>36</v>
      </c>
      <c r="Z386" s="4" t="s">
        <v>39</v>
      </c>
      <c r="AA386" s="4" t="s">
        <v>93</v>
      </c>
    </row>
    <row r="387" spans="1:27" s="1" customFormat="1" x14ac:dyDescent="0.3">
      <c r="A387" s="19">
        <v>19711</v>
      </c>
      <c r="B387" s="4" t="s">
        <v>1231</v>
      </c>
      <c r="C387" s="4">
        <v>0</v>
      </c>
      <c r="D387" s="5">
        <v>42447.421967592592</v>
      </c>
      <c r="E387" s="5" t="s">
        <v>2082</v>
      </c>
      <c r="F387" s="4" t="s">
        <v>26</v>
      </c>
      <c r="G387" s="4" t="s">
        <v>274</v>
      </c>
      <c r="H387" s="4" t="s">
        <v>274</v>
      </c>
      <c r="I387" s="4" t="s">
        <v>208</v>
      </c>
      <c r="J387" s="4" t="s">
        <v>357</v>
      </c>
      <c r="K387" s="4" t="s">
        <v>31</v>
      </c>
      <c r="L387" s="5">
        <v>42456.000694444447</v>
      </c>
      <c r="M387" s="5">
        <v>42456.208333333336</v>
      </c>
      <c r="N387" s="5">
        <v>42456.25</v>
      </c>
      <c r="O387" s="4" t="s">
        <v>32</v>
      </c>
      <c r="P387" s="4" t="s">
        <v>33</v>
      </c>
      <c r="Q387" s="4" t="s">
        <v>34</v>
      </c>
      <c r="R387" s="6" t="s">
        <v>77</v>
      </c>
      <c r="S387" s="4" t="s">
        <v>282</v>
      </c>
      <c r="T387" s="4" t="s">
        <v>37</v>
      </c>
      <c r="U387" s="4" t="s">
        <v>37</v>
      </c>
      <c r="V387" s="4" t="s">
        <v>276</v>
      </c>
      <c r="W387" s="4" t="s">
        <v>37</v>
      </c>
      <c r="X387" s="4" t="s">
        <v>36</v>
      </c>
      <c r="Y387" s="4" t="s">
        <v>36</v>
      </c>
      <c r="Z387" s="4"/>
      <c r="AA387" s="4" t="s">
        <v>358</v>
      </c>
    </row>
    <row r="388" spans="1:27" s="1" customFormat="1" x14ac:dyDescent="0.3">
      <c r="A388" s="19">
        <v>19712</v>
      </c>
      <c r="B388" s="4" t="s">
        <v>1232</v>
      </c>
      <c r="C388" s="4">
        <v>0</v>
      </c>
      <c r="D388" s="5">
        <v>42447.439814814818</v>
      </c>
      <c r="E388" s="5" t="s">
        <v>2082</v>
      </c>
      <c r="F388" s="4" t="s">
        <v>26</v>
      </c>
      <c r="G388" s="4" t="s">
        <v>464</v>
      </c>
      <c r="H388" s="4" t="s">
        <v>464</v>
      </c>
      <c r="I388" s="4" t="s">
        <v>213</v>
      </c>
      <c r="J388" s="4" t="s">
        <v>30</v>
      </c>
      <c r="K388" s="4" t="s">
        <v>31</v>
      </c>
      <c r="L388" s="5">
        <v>42453.993055555555</v>
      </c>
      <c r="M388" s="5">
        <v>42454.208333333336</v>
      </c>
      <c r="N388" s="5">
        <v>42454.243055555555</v>
      </c>
      <c r="O388" s="4" t="s">
        <v>32</v>
      </c>
      <c r="P388" s="4" t="s">
        <v>89</v>
      </c>
      <c r="Q388" s="4" t="s">
        <v>76</v>
      </c>
      <c r="R388" s="4" t="s">
        <v>1233</v>
      </c>
      <c r="S388" s="4" t="s">
        <v>1233</v>
      </c>
      <c r="T388" s="4" t="s">
        <v>36</v>
      </c>
      <c r="U388" s="4" t="s">
        <v>37</v>
      </c>
      <c r="V388" s="4" t="s">
        <v>1234</v>
      </c>
      <c r="W388" s="4" t="s">
        <v>37</v>
      </c>
      <c r="X388" s="4" t="s">
        <v>37</v>
      </c>
      <c r="Y388" s="4" t="s">
        <v>36</v>
      </c>
      <c r="Z388" s="4" t="s">
        <v>1235</v>
      </c>
      <c r="AA388" s="4" t="s">
        <v>40</v>
      </c>
    </row>
    <row r="389" spans="1:27" s="1" customFormat="1" x14ac:dyDescent="0.3">
      <c r="A389" s="19">
        <v>19714</v>
      </c>
      <c r="B389" s="4" t="s">
        <v>1201</v>
      </c>
      <c r="C389" s="4" t="s">
        <v>2111</v>
      </c>
      <c r="D389" s="5">
        <v>42447.460474537038</v>
      </c>
      <c r="E389" s="5" t="s">
        <v>2082</v>
      </c>
      <c r="F389" s="4" t="s">
        <v>26</v>
      </c>
      <c r="G389" s="4" t="s">
        <v>310</v>
      </c>
      <c r="H389" s="4" t="s">
        <v>1137</v>
      </c>
      <c r="I389" s="4" t="s">
        <v>214</v>
      </c>
      <c r="J389" s="4" t="s">
        <v>49</v>
      </c>
      <c r="K389" s="4" t="s">
        <v>31</v>
      </c>
      <c r="L389" s="5">
        <v>42447.916666666664</v>
      </c>
      <c r="M389" s="5">
        <v>42448.041666666664</v>
      </c>
      <c r="N389" s="5">
        <v>42448.083333333336</v>
      </c>
      <c r="O389" s="4" t="s">
        <v>710</v>
      </c>
      <c r="P389" s="4" t="s">
        <v>33</v>
      </c>
      <c r="Q389" s="4" t="s">
        <v>76</v>
      </c>
      <c r="R389" s="4" t="s">
        <v>1236</v>
      </c>
      <c r="S389" s="6" t="s">
        <v>77</v>
      </c>
      <c r="T389" s="4" t="s">
        <v>36</v>
      </c>
      <c r="U389" s="4" t="s">
        <v>37</v>
      </c>
      <c r="V389" s="4" t="s">
        <v>1139</v>
      </c>
      <c r="W389" s="4" t="s">
        <v>37</v>
      </c>
      <c r="X389" s="4" t="s">
        <v>36</v>
      </c>
      <c r="Y389" s="4" t="s">
        <v>37</v>
      </c>
      <c r="Z389" s="4"/>
      <c r="AA389" s="4"/>
    </row>
    <row r="390" spans="1:27" s="1" customFormat="1" x14ac:dyDescent="0.3">
      <c r="A390" s="19">
        <v>19715</v>
      </c>
      <c r="B390" s="4" t="s">
        <v>1237</v>
      </c>
      <c r="C390" s="4" t="s">
        <v>2112</v>
      </c>
      <c r="D390" s="5">
        <v>42447.471701388888</v>
      </c>
      <c r="E390" s="5" t="s">
        <v>2082</v>
      </c>
      <c r="F390" s="4" t="s">
        <v>26</v>
      </c>
      <c r="G390" s="4" t="s">
        <v>712</v>
      </c>
      <c r="H390" s="4" t="s">
        <v>712</v>
      </c>
      <c r="I390" s="4" t="s">
        <v>203</v>
      </c>
      <c r="J390" s="4" t="s">
        <v>49</v>
      </c>
      <c r="K390" s="4" t="s">
        <v>31</v>
      </c>
      <c r="L390" s="5">
        <v>42456.375</v>
      </c>
      <c r="M390" s="5">
        <v>42456.625</v>
      </c>
      <c r="N390" s="5">
        <v>42457.416666666664</v>
      </c>
      <c r="O390" s="4" t="s">
        <v>32</v>
      </c>
      <c r="P390" s="4" t="s">
        <v>89</v>
      </c>
      <c r="Q390" s="4" t="s">
        <v>34</v>
      </c>
      <c r="R390" s="4" t="s">
        <v>337</v>
      </c>
      <c r="S390" s="4" t="s">
        <v>337</v>
      </c>
      <c r="T390" s="4" t="s">
        <v>36</v>
      </c>
      <c r="U390" s="4" t="s">
        <v>36</v>
      </c>
      <c r="V390" s="4" t="s">
        <v>338</v>
      </c>
      <c r="W390" s="4" t="s">
        <v>37</v>
      </c>
      <c r="X390" s="4" t="s">
        <v>37</v>
      </c>
      <c r="Y390" s="4" t="s">
        <v>36</v>
      </c>
      <c r="Z390" s="4" t="s">
        <v>592</v>
      </c>
      <c r="AA390" s="4"/>
    </row>
    <row r="391" spans="1:27" s="1" customFormat="1" x14ac:dyDescent="0.3">
      <c r="A391" s="19">
        <v>19717</v>
      </c>
      <c r="B391" s="4" t="s">
        <v>1238</v>
      </c>
      <c r="C391" s="4">
        <v>0</v>
      </c>
      <c r="D391" s="5">
        <v>42447.562060185184</v>
      </c>
      <c r="E391" s="5" t="s">
        <v>2082</v>
      </c>
      <c r="F391" s="4" t="s">
        <v>26</v>
      </c>
      <c r="G391" s="4" t="s">
        <v>244</v>
      </c>
      <c r="H391" s="4" t="s">
        <v>922</v>
      </c>
      <c r="I391" s="4" t="s">
        <v>118</v>
      </c>
      <c r="J391" s="4" t="s">
        <v>30</v>
      </c>
      <c r="K391" s="4" t="s">
        <v>31</v>
      </c>
      <c r="L391" s="5">
        <v>42451.916666666664</v>
      </c>
      <c r="M391" s="5">
        <v>42452.5</v>
      </c>
      <c r="N391" s="5">
        <v>42452.75</v>
      </c>
      <c r="O391" s="4" t="s">
        <v>250</v>
      </c>
      <c r="P391" s="4" t="s">
        <v>89</v>
      </c>
      <c r="Q391" s="4" t="s">
        <v>251</v>
      </c>
      <c r="R391" s="6" t="s">
        <v>77</v>
      </c>
      <c r="S391" s="4" t="s">
        <v>517</v>
      </c>
      <c r="T391" s="4" t="s">
        <v>36</v>
      </c>
      <c r="U391" s="4" t="s">
        <v>37</v>
      </c>
      <c r="V391" s="4" t="s">
        <v>365</v>
      </c>
      <c r="W391" s="4" t="s">
        <v>37</v>
      </c>
      <c r="X391" s="4" t="s">
        <v>37</v>
      </c>
      <c r="Y391" s="4" t="s">
        <v>36</v>
      </c>
      <c r="Z391" s="4" t="s">
        <v>1239</v>
      </c>
      <c r="AA391" s="4" t="s">
        <v>179</v>
      </c>
    </row>
    <row r="392" spans="1:27" s="1" customFormat="1" x14ac:dyDescent="0.3">
      <c r="A392" s="19">
        <v>19721</v>
      </c>
      <c r="B392" s="4" t="s">
        <v>434</v>
      </c>
      <c r="C392" s="4" t="s">
        <v>2144</v>
      </c>
      <c r="D392" s="5">
        <v>42447.647106481483</v>
      </c>
      <c r="E392" s="5" t="s">
        <v>2082</v>
      </c>
      <c r="F392" s="4" t="s">
        <v>26</v>
      </c>
      <c r="G392" s="4" t="s">
        <v>542</v>
      </c>
      <c r="H392" s="4" t="s">
        <v>435</v>
      </c>
      <c r="I392" s="4" t="s">
        <v>118</v>
      </c>
      <c r="J392" s="4" t="s">
        <v>30</v>
      </c>
      <c r="K392" s="4" t="s">
        <v>31</v>
      </c>
      <c r="L392" s="5">
        <v>42452.291666666664</v>
      </c>
      <c r="M392" s="5">
        <v>42452.416666666664</v>
      </c>
      <c r="N392" s="5">
        <v>42452.458333333336</v>
      </c>
      <c r="O392" s="4" t="s">
        <v>32</v>
      </c>
      <c r="P392" s="4" t="s">
        <v>89</v>
      </c>
      <c r="Q392" s="4" t="s">
        <v>119</v>
      </c>
      <c r="R392" s="4" t="s">
        <v>436</v>
      </c>
      <c r="S392" s="4" t="s">
        <v>436</v>
      </c>
      <c r="T392" s="4" t="s">
        <v>37</v>
      </c>
      <c r="U392" s="4" t="s">
        <v>37</v>
      </c>
      <c r="V392" s="4" t="s">
        <v>1240</v>
      </c>
      <c r="W392" s="4" t="s">
        <v>37</v>
      </c>
      <c r="X392" s="4" t="s">
        <v>37</v>
      </c>
      <c r="Y392" s="4" t="s">
        <v>36</v>
      </c>
      <c r="Z392" s="4" t="s">
        <v>1241</v>
      </c>
      <c r="AA392" s="4" t="s">
        <v>179</v>
      </c>
    </row>
    <row r="393" spans="1:27" s="1" customFormat="1" x14ac:dyDescent="0.3">
      <c r="A393" s="19">
        <v>19723</v>
      </c>
      <c r="B393" s="4" t="s">
        <v>1242</v>
      </c>
      <c r="C393" s="4" t="s">
        <v>2111</v>
      </c>
      <c r="D393" s="5">
        <v>42447.661620370367</v>
      </c>
      <c r="E393" s="5" t="s">
        <v>2082</v>
      </c>
      <c r="F393" s="4" t="s">
        <v>26</v>
      </c>
      <c r="G393" s="4" t="s">
        <v>263</v>
      </c>
      <c r="H393" s="4" t="s">
        <v>922</v>
      </c>
      <c r="I393" s="4" t="s">
        <v>203</v>
      </c>
      <c r="J393" s="4" t="s">
        <v>30</v>
      </c>
      <c r="K393" s="4" t="s">
        <v>31</v>
      </c>
      <c r="L393" s="5">
        <v>42449.916666666664</v>
      </c>
      <c r="M393" s="5">
        <v>42450.458333333336</v>
      </c>
      <c r="N393" s="5">
        <v>42450.541666666664</v>
      </c>
      <c r="O393" s="4" t="s">
        <v>710</v>
      </c>
      <c r="P393" s="4" t="s">
        <v>89</v>
      </c>
      <c r="Q393" s="4" t="s">
        <v>76</v>
      </c>
      <c r="R393" s="4" t="s">
        <v>1243</v>
      </c>
      <c r="S393" s="4" t="s">
        <v>1244</v>
      </c>
      <c r="T393" s="4" t="s">
        <v>37</v>
      </c>
      <c r="U393" s="4" t="s">
        <v>37</v>
      </c>
      <c r="V393" s="4" t="s">
        <v>267</v>
      </c>
      <c r="W393" s="4" t="s">
        <v>37</v>
      </c>
      <c r="X393" s="4" t="s">
        <v>37</v>
      </c>
      <c r="Y393" s="4" t="s">
        <v>36</v>
      </c>
      <c r="Z393" s="4" t="s">
        <v>1245</v>
      </c>
      <c r="AA393" s="4" t="s">
        <v>40</v>
      </c>
    </row>
    <row r="394" spans="1:27" s="1" customFormat="1" x14ac:dyDescent="0.3">
      <c r="A394" s="19">
        <v>19724</v>
      </c>
      <c r="B394" s="4" t="s">
        <v>1177</v>
      </c>
      <c r="C394" s="4" t="s">
        <v>2116</v>
      </c>
      <c r="D394" s="5">
        <v>42447.722592592596</v>
      </c>
      <c r="E394" s="5" t="s">
        <v>2082</v>
      </c>
      <c r="F394" s="4" t="s">
        <v>26</v>
      </c>
      <c r="G394" s="4" t="s">
        <v>310</v>
      </c>
      <c r="H394" s="4" t="s">
        <v>1246</v>
      </c>
      <c r="I394" s="4" t="s">
        <v>42</v>
      </c>
      <c r="J394" s="4" t="s">
        <v>49</v>
      </c>
      <c r="K394" s="4" t="s">
        <v>31</v>
      </c>
      <c r="L394" s="5">
        <v>42452.916666666664</v>
      </c>
      <c r="M394" s="5">
        <v>42453.083333333336</v>
      </c>
      <c r="N394" s="5">
        <v>42453.125</v>
      </c>
      <c r="O394" s="4" t="s">
        <v>32</v>
      </c>
      <c r="P394" s="4" t="s">
        <v>149</v>
      </c>
      <c r="Q394" s="4" t="s">
        <v>76</v>
      </c>
      <c r="R394" s="4" t="s">
        <v>972</v>
      </c>
      <c r="S394" s="6" t="s">
        <v>77</v>
      </c>
      <c r="T394" s="4" t="s">
        <v>36</v>
      </c>
      <c r="U394" s="4" t="s">
        <v>37</v>
      </c>
      <c r="V394" s="4" t="s">
        <v>1247</v>
      </c>
      <c r="W394" s="4" t="s">
        <v>37</v>
      </c>
      <c r="X394" s="4" t="s">
        <v>37</v>
      </c>
      <c r="Y394" s="4" t="s">
        <v>36</v>
      </c>
      <c r="Z394" s="4"/>
      <c r="AA394" s="4"/>
    </row>
    <row r="395" spans="1:27" s="1" customFormat="1" x14ac:dyDescent="0.3">
      <c r="A395" s="19">
        <v>19725</v>
      </c>
      <c r="B395" s="4" t="s">
        <v>1248</v>
      </c>
      <c r="C395" s="4" t="s">
        <v>2153</v>
      </c>
      <c r="D395" s="5">
        <v>42447.724629629629</v>
      </c>
      <c r="E395" s="5" t="s">
        <v>2082</v>
      </c>
      <c r="F395" s="4" t="s">
        <v>26</v>
      </c>
      <c r="G395" s="4" t="s">
        <v>274</v>
      </c>
      <c r="H395" s="4" t="s">
        <v>852</v>
      </c>
      <c r="I395" s="4" t="s">
        <v>213</v>
      </c>
      <c r="J395" s="4" t="s">
        <v>49</v>
      </c>
      <c r="K395" s="4" t="s">
        <v>31</v>
      </c>
      <c r="L395" s="5">
        <v>42455.916666666664</v>
      </c>
      <c r="M395" s="5">
        <v>42456.25</v>
      </c>
      <c r="N395" s="5">
        <v>42456.291666666664</v>
      </c>
      <c r="O395" s="4" t="s">
        <v>32</v>
      </c>
      <c r="P395" s="4" t="s">
        <v>149</v>
      </c>
      <c r="Q395" s="4" t="s">
        <v>34</v>
      </c>
      <c r="R395" s="6" t="s">
        <v>77</v>
      </c>
      <c r="S395" s="4" t="s">
        <v>282</v>
      </c>
      <c r="T395" s="4" t="s">
        <v>36</v>
      </c>
      <c r="U395" s="4" t="s">
        <v>37</v>
      </c>
      <c r="V395" s="4" t="s">
        <v>1249</v>
      </c>
      <c r="W395" s="4" t="s">
        <v>37</v>
      </c>
      <c r="X395" s="4" t="s">
        <v>37</v>
      </c>
      <c r="Y395" s="4" t="s">
        <v>36</v>
      </c>
      <c r="Z395" s="4"/>
      <c r="AA395" s="4"/>
    </row>
    <row r="396" spans="1:27" s="1" customFormat="1" x14ac:dyDescent="0.3">
      <c r="A396" s="19">
        <v>19727</v>
      </c>
      <c r="B396" s="4" t="s">
        <v>1250</v>
      </c>
      <c r="C396" s="4">
        <v>0</v>
      </c>
      <c r="D396" s="5">
        <v>42447.871689814812</v>
      </c>
      <c r="E396" s="5" t="s">
        <v>2082</v>
      </c>
      <c r="F396" s="4" t="s">
        <v>26</v>
      </c>
      <c r="G396" s="4" t="s">
        <v>152</v>
      </c>
      <c r="H396" s="4" t="s">
        <v>152</v>
      </c>
      <c r="I396" s="4" t="s">
        <v>158</v>
      </c>
      <c r="J396" s="4" t="s">
        <v>535</v>
      </c>
      <c r="K396" s="4" t="s">
        <v>31</v>
      </c>
      <c r="L396" s="5">
        <v>42461.958333333336</v>
      </c>
      <c r="M396" s="5">
        <v>42462.208333333336</v>
      </c>
      <c r="N396" s="5">
        <v>42462.229166666664</v>
      </c>
      <c r="O396" s="4" t="s">
        <v>32</v>
      </c>
      <c r="P396" s="4" t="s">
        <v>33</v>
      </c>
      <c r="Q396" s="4" t="s">
        <v>34</v>
      </c>
      <c r="R396" s="6" t="s">
        <v>77</v>
      </c>
      <c r="S396" s="4" t="s">
        <v>409</v>
      </c>
      <c r="T396" s="4" t="s">
        <v>36</v>
      </c>
      <c r="U396" s="4" t="s">
        <v>36</v>
      </c>
      <c r="V396" s="4" t="s">
        <v>1251</v>
      </c>
      <c r="W396" s="4" t="s">
        <v>37</v>
      </c>
      <c r="X396" s="4" t="s">
        <v>37</v>
      </c>
      <c r="Y396" s="4" t="s">
        <v>36</v>
      </c>
      <c r="Z396" s="4"/>
      <c r="AA396" s="4" t="s">
        <v>179</v>
      </c>
    </row>
    <row r="397" spans="1:27" s="1" customFormat="1" x14ac:dyDescent="0.3">
      <c r="A397" s="19">
        <v>19729</v>
      </c>
      <c r="B397" s="4" t="s">
        <v>1213</v>
      </c>
      <c r="C397" s="4">
        <v>0</v>
      </c>
      <c r="D397" s="5">
        <v>42450.343298611115</v>
      </c>
      <c r="E397" s="5" t="s">
        <v>2082</v>
      </c>
      <c r="F397" s="4" t="s">
        <v>26</v>
      </c>
      <c r="G397" s="4" t="s">
        <v>374</v>
      </c>
      <c r="H397" s="4" t="s">
        <v>375</v>
      </c>
      <c r="I397" s="4" t="s">
        <v>221</v>
      </c>
      <c r="J397" s="4" t="s">
        <v>30</v>
      </c>
      <c r="K397" s="4" t="s">
        <v>31</v>
      </c>
      <c r="L397" s="5">
        <v>42451.916666666664</v>
      </c>
      <c r="M397" s="5">
        <v>42452.208333333336</v>
      </c>
      <c r="N397" s="5">
        <v>42452.25</v>
      </c>
      <c r="O397" s="4" t="s">
        <v>250</v>
      </c>
      <c r="P397" s="4" t="s">
        <v>149</v>
      </c>
      <c r="Q397" s="4" t="s">
        <v>119</v>
      </c>
      <c r="R397" s="6" t="s">
        <v>77</v>
      </c>
      <c r="S397" s="4" t="s">
        <v>1252</v>
      </c>
      <c r="T397" s="4" t="s">
        <v>37</v>
      </c>
      <c r="U397" s="4" t="s">
        <v>37</v>
      </c>
      <c r="V397" s="4" t="s">
        <v>1253</v>
      </c>
      <c r="W397" s="4" t="s">
        <v>37</v>
      </c>
      <c r="X397" s="4" t="s">
        <v>37</v>
      </c>
      <c r="Y397" s="4" t="s">
        <v>36</v>
      </c>
      <c r="Z397" s="4"/>
      <c r="AA397" s="4" t="s">
        <v>40</v>
      </c>
    </row>
    <row r="398" spans="1:27" s="1" customFormat="1" x14ac:dyDescent="0.3">
      <c r="A398" s="19">
        <v>19732</v>
      </c>
      <c r="B398" s="4" t="s">
        <v>883</v>
      </c>
      <c r="C398" s="4">
        <v>0</v>
      </c>
      <c r="D398" s="5">
        <v>42450.608032407406</v>
      </c>
      <c r="E398" s="5" t="s">
        <v>2082</v>
      </c>
      <c r="F398" s="4" t="s">
        <v>26</v>
      </c>
      <c r="G398" s="4" t="s">
        <v>116</v>
      </c>
      <c r="H398" s="4" t="s">
        <v>117</v>
      </c>
      <c r="I398" s="4" t="s">
        <v>118</v>
      </c>
      <c r="J398" s="4" t="s">
        <v>30</v>
      </c>
      <c r="K398" s="4" t="s">
        <v>31</v>
      </c>
      <c r="L398" s="5">
        <v>42458.916666666664</v>
      </c>
      <c r="M398" s="5">
        <v>42459.5</v>
      </c>
      <c r="N398" s="5">
        <v>42459.5</v>
      </c>
      <c r="O398" s="4" t="s">
        <v>32</v>
      </c>
      <c r="P398" s="4" t="s">
        <v>33</v>
      </c>
      <c r="Q398" s="4" t="s">
        <v>119</v>
      </c>
      <c r="R398" s="4" t="s">
        <v>884</v>
      </c>
      <c r="S398" s="4" t="s">
        <v>884</v>
      </c>
      <c r="T398" s="4" t="s">
        <v>37</v>
      </c>
      <c r="U398" s="4" t="s">
        <v>37</v>
      </c>
      <c r="V398" s="4" t="s">
        <v>202</v>
      </c>
      <c r="W398" s="4" t="s">
        <v>37</v>
      </c>
      <c r="X398" s="4" t="s">
        <v>36</v>
      </c>
      <c r="Y398" s="4" t="s">
        <v>37</v>
      </c>
      <c r="Z398" s="4" t="s">
        <v>1254</v>
      </c>
      <c r="AA398" s="4" t="s">
        <v>40</v>
      </c>
    </row>
    <row r="399" spans="1:27" s="1" customFormat="1" x14ac:dyDescent="0.3">
      <c r="A399" s="19">
        <v>19734</v>
      </c>
      <c r="B399" s="4" t="s">
        <v>1255</v>
      </c>
      <c r="C399" s="4">
        <v>0</v>
      </c>
      <c r="D399" s="5">
        <v>42450.649155092593</v>
      </c>
      <c r="E399" s="5" t="s">
        <v>2082</v>
      </c>
      <c r="F399" s="4" t="s">
        <v>26</v>
      </c>
      <c r="G399" s="4" t="s">
        <v>478</v>
      </c>
      <c r="H399" s="4" t="s">
        <v>478</v>
      </c>
      <c r="I399" s="4" t="s">
        <v>71</v>
      </c>
      <c r="J399" s="4" t="s">
        <v>479</v>
      </c>
      <c r="K399" s="4" t="s">
        <v>31</v>
      </c>
      <c r="L399" s="5">
        <v>42461.916666666664</v>
      </c>
      <c r="M399" s="5">
        <v>42462</v>
      </c>
      <c r="N399" s="5">
        <v>42462.208333333336</v>
      </c>
      <c r="O399" s="4" t="s">
        <v>32</v>
      </c>
      <c r="P399" s="4" t="s">
        <v>33</v>
      </c>
      <c r="Q399" s="4" t="s">
        <v>34</v>
      </c>
      <c r="R399" s="6" t="s">
        <v>77</v>
      </c>
      <c r="S399" s="4" t="s">
        <v>1256</v>
      </c>
      <c r="T399" s="4" t="s">
        <v>37</v>
      </c>
      <c r="U399" s="4" t="s">
        <v>37</v>
      </c>
      <c r="V399" s="4" t="s">
        <v>837</v>
      </c>
      <c r="W399" s="4" t="s">
        <v>37</v>
      </c>
      <c r="X399" s="4" t="s">
        <v>37</v>
      </c>
      <c r="Y399" s="4" t="s">
        <v>36</v>
      </c>
      <c r="Z399" s="4"/>
      <c r="AA399" s="4" t="s">
        <v>481</v>
      </c>
    </row>
    <row r="400" spans="1:27" s="1" customFormat="1" x14ac:dyDescent="0.3">
      <c r="A400" s="19">
        <v>19738</v>
      </c>
      <c r="B400" s="4" t="s">
        <v>1257</v>
      </c>
      <c r="C400" s="4" t="s">
        <v>39</v>
      </c>
      <c r="D400" s="5">
        <v>42450.70140046296</v>
      </c>
      <c r="E400" s="5" t="s">
        <v>2082</v>
      </c>
      <c r="F400" s="4" t="s">
        <v>26</v>
      </c>
      <c r="G400" s="4" t="s">
        <v>565</v>
      </c>
      <c r="H400" s="4" t="s">
        <v>1258</v>
      </c>
      <c r="I400" s="4" t="s">
        <v>29</v>
      </c>
      <c r="J400" s="4" t="s">
        <v>466</v>
      </c>
      <c r="K400" s="4" t="s">
        <v>31</v>
      </c>
      <c r="L400" s="5">
        <v>42451</v>
      </c>
      <c r="M400" s="5">
        <v>42451.041666666664</v>
      </c>
      <c r="N400" s="5">
        <v>42451.083333333336</v>
      </c>
      <c r="O400" s="4" t="s">
        <v>250</v>
      </c>
      <c r="P400" s="4" t="s">
        <v>89</v>
      </c>
      <c r="Q400" s="4" t="s">
        <v>251</v>
      </c>
      <c r="R400" s="4" t="s">
        <v>1259</v>
      </c>
      <c r="S400" s="4" t="s">
        <v>1259</v>
      </c>
      <c r="T400" s="4" t="s">
        <v>37</v>
      </c>
      <c r="U400" s="4" t="s">
        <v>37</v>
      </c>
      <c r="V400" s="4" t="s">
        <v>1260</v>
      </c>
      <c r="W400" s="4" t="s">
        <v>37</v>
      </c>
      <c r="X400" s="4" t="s">
        <v>37</v>
      </c>
      <c r="Y400" s="4" t="s">
        <v>36</v>
      </c>
      <c r="Z400" s="4" t="s">
        <v>39</v>
      </c>
      <c r="AA400" s="4" t="s">
        <v>744</v>
      </c>
    </row>
    <row r="401" spans="1:27" s="1" customFormat="1" x14ac:dyDescent="0.3">
      <c r="A401" s="19">
        <v>19742</v>
      </c>
      <c r="B401" s="4" t="s">
        <v>1261</v>
      </c>
      <c r="C401" s="4" t="s">
        <v>2111</v>
      </c>
      <c r="D401" s="5">
        <v>42450.759942129633</v>
      </c>
      <c r="E401" s="5" t="s">
        <v>2082</v>
      </c>
      <c r="F401" s="4" t="s">
        <v>26</v>
      </c>
      <c r="G401" s="4" t="s">
        <v>720</v>
      </c>
      <c r="H401" s="4" t="s">
        <v>720</v>
      </c>
      <c r="I401" s="4" t="s">
        <v>68</v>
      </c>
      <c r="J401" s="4" t="s">
        <v>49</v>
      </c>
      <c r="K401" s="4" t="s">
        <v>31</v>
      </c>
      <c r="L401" s="5">
        <v>42451.833333333336</v>
      </c>
      <c r="M401" s="5">
        <v>42451.993055555555</v>
      </c>
      <c r="N401" s="5">
        <v>42452.041666666664</v>
      </c>
      <c r="O401" s="4" t="s">
        <v>710</v>
      </c>
      <c r="P401" s="4" t="s">
        <v>89</v>
      </c>
      <c r="Q401" s="4" t="s">
        <v>76</v>
      </c>
      <c r="R401" s="6" t="s">
        <v>77</v>
      </c>
      <c r="S401" s="6" t="s">
        <v>77</v>
      </c>
      <c r="T401" s="4" t="s">
        <v>37</v>
      </c>
      <c r="U401" s="4" t="s">
        <v>37</v>
      </c>
      <c r="V401" s="4" t="s">
        <v>1262</v>
      </c>
      <c r="W401" s="4" t="s">
        <v>37</v>
      </c>
      <c r="X401" s="4" t="s">
        <v>37</v>
      </c>
      <c r="Y401" s="4" t="s">
        <v>36</v>
      </c>
      <c r="Z401" s="4" t="s">
        <v>1263</v>
      </c>
      <c r="AA401" s="4"/>
    </row>
    <row r="402" spans="1:27" s="1" customFormat="1" x14ac:dyDescent="0.3">
      <c r="A402" s="19">
        <v>19743</v>
      </c>
      <c r="B402" s="4" t="s">
        <v>1264</v>
      </c>
      <c r="C402" s="4" t="s">
        <v>1266</v>
      </c>
      <c r="D402" s="5">
        <v>42451.448391203703</v>
      </c>
      <c r="E402" s="5" t="s">
        <v>2082</v>
      </c>
      <c r="F402" s="4" t="s">
        <v>26</v>
      </c>
      <c r="G402" s="4" t="s">
        <v>421</v>
      </c>
      <c r="H402" s="4" t="s">
        <v>922</v>
      </c>
      <c r="I402" s="4" t="s">
        <v>118</v>
      </c>
      <c r="J402" s="4" t="s">
        <v>30</v>
      </c>
      <c r="K402" s="4" t="s">
        <v>31</v>
      </c>
      <c r="L402" s="5">
        <v>42458.916666666664</v>
      </c>
      <c r="M402" s="5">
        <v>42459.125</v>
      </c>
      <c r="N402" s="5">
        <v>42459.75</v>
      </c>
      <c r="O402" s="4" t="s">
        <v>32</v>
      </c>
      <c r="P402" s="4" t="s">
        <v>149</v>
      </c>
      <c r="Q402" s="4" t="s">
        <v>76</v>
      </c>
      <c r="R402" s="6" t="s">
        <v>77</v>
      </c>
      <c r="S402" s="4" t="s">
        <v>291</v>
      </c>
      <c r="T402" s="4" t="s">
        <v>37</v>
      </c>
      <c r="U402" s="4" t="s">
        <v>37</v>
      </c>
      <c r="V402" s="4" t="s">
        <v>1265</v>
      </c>
      <c r="W402" s="4" t="s">
        <v>37</v>
      </c>
      <c r="X402" s="4" t="s">
        <v>37</v>
      </c>
      <c r="Y402" s="4" t="s">
        <v>37</v>
      </c>
      <c r="Z402" s="4" t="s">
        <v>1266</v>
      </c>
      <c r="AA402" s="4" t="s">
        <v>40</v>
      </c>
    </row>
    <row r="403" spans="1:27" s="1" customFormat="1" x14ac:dyDescent="0.3">
      <c r="A403" s="19">
        <v>19746</v>
      </c>
      <c r="B403" s="4" t="s">
        <v>1267</v>
      </c>
      <c r="C403" s="4" t="s">
        <v>2135</v>
      </c>
      <c r="D403" s="5">
        <v>42451.473541666666</v>
      </c>
      <c r="E403" s="5" t="s">
        <v>2082</v>
      </c>
      <c r="F403" s="4" t="s">
        <v>26</v>
      </c>
      <c r="G403" s="4" t="s">
        <v>615</v>
      </c>
      <c r="H403" s="4" t="s">
        <v>615</v>
      </c>
      <c r="I403" s="4" t="s">
        <v>169</v>
      </c>
      <c r="J403" s="4" t="s">
        <v>30</v>
      </c>
      <c r="K403" s="4" t="s">
        <v>31</v>
      </c>
      <c r="L403" s="5">
        <v>42456.333333333336</v>
      </c>
      <c r="M403" s="5">
        <v>42456.666666666664</v>
      </c>
      <c r="N403" s="5">
        <v>42456.791666666664</v>
      </c>
      <c r="O403" s="4" t="s">
        <v>32</v>
      </c>
      <c r="P403" s="4" t="s">
        <v>89</v>
      </c>
      <c r="Q403" s="4" t="s">
        <v>251</v>
      </c>
      <c r="R403" s="4" t="s">
        <v>178</v>
      </c>
      <c r="S403" s="4" t="s">
        <v>178</v>
      </c>
      <c r="T403" s="4" t="s">
        <v>36</v>
      </c>
      <c r="U403" s="4" t="s">
        <v>37</v>
      </c>
      <c r="V403" s="4" t="s">
        <v>1268</v>
      </c>
      <c r="W403" s="4" t="s">
        <v>37</v>
      </c>
      <c r="X403" s="4" t="s">
        <v>37</v>
      </c>
      <c r="Y403" s="4" t="s">
        <v>36</v>
      </c>
      <c r="Z403" s="4" t="s">
        <v>178</v>
      </c>
      <c r="AA403" s="4" t="s">
        <v>93</v>
      </c>
    </row>
    <row r="404" spans="1:27" s="1" customFormat="1" x14ac:dyDescent="0.3">
      <c r="A404" s="19">
        <v>19747</v>
      </c>
      <c r="B404" s="4" t="s">
        <v>1269</v>
      </c>
      <c r="C404" s="4" t="s">
        <v>2140</v>
      </c>
      <c r="D404" s="5">
        <v>42451.47828703704</v>
      </c>
      <c r="E404" s="5" t="s">
        <v>2082</v>
      </c>
      <c r="F404" s="4" t="s">
        <v>26</v>
      </c>
      <c r="G404" s="4" t="s">
        <v>1270</v>
      </c>
      <c r="H404" s="4" t="s">
        <v>729</v>
      </c>
      <c r="I404" s="4" t="s">
        <v>200</v>
      </c>
      <c r="J404" s="4" t="s">
        <v>49</v>
      </c>
      <c r="K404" s="4" t="s">
        <v>31</v>
      </c>
      <c r="L404" s="5">
        <v>42457.916666666664</v>
      </c>
      <c r="M404" s="5">
        <v>42462.291666666664</v>
      </c>
      <c r="N404" s="5">
        <v>42462.333333333336</v>
      </c>
      <c r="O404" s="4" t="s">
        <v>32</v>
      </c>
      <c r="P404" s="4" t="s">
        <v>89</v>
      </c>
      <c r="Q404" s="4" t="s">
        <v>50</v>
      </c>
      <c r="R404" s="4" t="s">
        <v>1271</v>
      </c>
      <c r="S404" s="4" t="s">
        <v>1271</v>
      </c>
      <c r="T404" s="4" t="s">
        <v>36</v>
      </c>
      <c r="U404" s="4" t="s">
        <v>36</v>
      </c>
      <c r="V404" s="4" t="s">
        <v>1272</v>
      </c>
      <c r="W404" s="4" t="s">
        <v>37</v>
      </c>
      <c r="X404" s="4" t="s">
        <v>37</v>
      </c>
      <c r="Y404" s="4" t="s">
        <v>36</v>
      </c>
      <c r="Z404" s="4" t="s">
        <v>77</v>
      </c>
      <c r="AA404" s="4"/>
    </row>
    <row r="405" spans="1:27" s="1" customFormat="1" x14ac:dyDescent="0.3">
      <c r="A405" s="19">
        <v>19748</v>
      </c>
      <c r="B405" s="4" t="s">
        <v>1273</v>
      </c>
      <c r="C405" s="4" t="s">
        <v>39</v>
      </c>
      <c r="D405" s="5">
        <v>42451.519548611112</v>
      </c>
      <c r="E405" s="5" t="s">
        <v>2082</v>
      </c>
      <c r="F405" s="4" t="s">
        <v>26</v>
      </c>
      <c r="G405" s="4" t="s">
        <v>86</v>
      </c>
      <c r="H405" s="4" t="s">
        <v>1274</v>
      </c>
      <c r="I405" s="4" t="s">
        <v>88</v>
      </c>
      <c r="J405" s="4" t="s">
        <v>740</v>
      </c>
      <c r="K405" s="4" t="s">
        <v>31</v>
      </c>
      <c r="L405" s="5">
        <v>42479.916666666664</v>
      </c>
      <c r="M405" s="5">
        <v>42480.208333333336</v>
      </c>
      <c r="N405" s="5">
        <v>42480.25</v>
      </c>
      <c r="O405" s="4" t="s">
        <v>32</v>
      </c>
      <c r="P405" s="4" t="s">
        <v>89</v>
      </c>
      <c r="Q405" s="4" t="s">
        <v>34</v>
      </c>
      <c r="R405" s="4" t="s">
        <v>1275</v>
      </c>
      <c r="S405" s="4" t="s">
        <v>1275</v>
      </c>
      <c r="T405" s="4" t="s">
        <v>37</v>
      </c>
      <c r="U405" s="4" t="s">
        <v>37</v>
      </c>
      <c r="V405" s="4" t="s">
        <v>1276</v>
      </c>
      <c r="W405" s="4" t="s">
        <v>37</v>
      </c>
      <c r="X405" s="4" t="s">
        <v>37</v>
      </c>
      <c r="Y405" s="4" t="s">
        <v>36</v>
      </c>
      <c r="Z405" s="4" t="s">
        <v>1277</v>
      </c>
      <c r="AA405" s="4" t="s">
        <v>358</v>
      </c>
    </row>
    <row r="406" spans="1:27" s="1" customFormat="1" x14ac:dyDescent="0.3">
      <c r="A406" s="19">
        <v>19751</v>
      </c>
      <c r="B406" s="4" t="s">
        <v>1278</v>
      </c>
      <c r="C406" s="4" t="s">
        <v>2115</v>
      </c>
      <c r="D406" s="5">
        <v>42451.649675925924</v>
      </c>
      <c r="E406" s="5" t="s">
        <v>2082</v>
      </c>
      <c r="F406" s="4" t="s">
        <v>26</v>
      </c>
      <c r="G406" s="4" t="s">
        <v>146</v>
      </c>
      <c r="H406" s="4" t="s">
        <v>146</v>
      </c>
      <c r="I406" s="4" t="s">
        <v>42</v>
      </c>
      <c r="J406" s="4" t="s">
        <v>148</v>
      </c>
      <c r="K406" s="4" t="s">
        <v>31</v>
      </c>
      <c r="L406" s="5">
        <v>42452.916666666664</v>
      </c>
      <c r="M406" s="5">
        <v>42453.083333333336</v>
      </c>
      <c r="N406" s="5">
        <v>42453.166666666664</v>
      </c>
      <c r="O406" s="4" t="s">
        <v>250</v>
      </c>
      <c r="P406" s="4" t="s">
        <v>149</v>
      </c>
      <c r="Q406" s="4" t="s">
        <v>119</v>
      </c>
      <c r="R406" s="4"/>
      <c r="S406" s="4"/>
      <c r="T406" s="4" t="s">
        <v>37</v>
      </c>
      <c r="U406" s="4" t="s">
        <v>37</v>
      </c>
      <c r="V406" s="4" t="s">
        <v>1279</v>
      </c>
      <c r="W406" s="4" t="s">
        <v>37</v>
      </c>
      <c r="X406" s="4" t="s">
        <v>37</v>
      </c>
      <c r="Y406" s="4" t="s">
        <v>37</v>
      </c>
      <c r="Z406" s="4"/>
      <c r="AA406" s="4"/>
    </row>
    <row r="407" spans="1:27" s="1" customFormat="1" x14ac:dyDescent="0.3">
      <c r="A407" s="19">
        <v>19752</v>
      </c>
      <c r="B407" s="4" t="s">
        <v>1280</v>
      </c>
      <c r="C407" s="4" t="s">
        <v>39</v>
      </c>
      <c r="D407" s="5">
        <v>42451.649756944447</v>
      </c>
      <c r="E407" s="5" t="s">
        <v>2082</v>
      </c>
      <c r="F407" s="4" t="s">
        <v>26</v>
      </c>
      <c r="G407" s="4" t="s">
        <v>86</v>
      </c>
      <c r="H407" s="4" t="s">
        <v>1274</v>
      </c>
      <c r="I407" s="4" t="s">
        <v>88</v>
      </c>
      <c r="J407" s="4" t="s">
        <v>740</v>
      </c>
      <c r="K407" s="4" t="s">
        <v>31</v>
      </c>
      <c r="L407" s="5">
        <v>42467.916666666664</v>
      </c>
      <c r="M407" s="5">
        <v>42468.208333333336</v>
      </c>
      <c r="N407" s="5">
        <v>42468.25</v>
      </c>
      <c r="O407" s="4" t="s">
        <v>32</v>
      </c>
      <c r="P407" s="4" t="s">
        <v>89</v>
      </c>
      <c r="Q407" s="4" t="s">
        <v>76</v>
      </c>
      <c r="R407" s="4" t="s">
        <v>1281</v>
      </c>
      <c r="S407" s="4" t="s">
        <v>1281</v>
      </c>
      <c r="T407" s="4" t="s">
        <v>37</v>
      </c>
      <c r="U407" s="4" t="s">
        <v>37</v>
      </c>
      <c r="V407" s="4" t="s">
        <v>1282</v>
      </c>
      <c r="W407" s="4" t="s">
        <v>37</v>
      </c>
      <c r="X407" s="4" t="s">
        <v>37</v>
      </c>
      <c r="Y407" s="4" t="s">
        <v>36</v>
      </c>
      <c r="Z407" s="4" t="s">
        <v>1283</v>
      </c>
      <c r="AA407" s="4" t="s">
        <v>93</v>
      </c>
    </row>
    <row r="408" spans="1:27" s="1" customFormat="1" x14ac:dyDescent="0.3">
      <c r="A408" s="19">
        <v>19753</v>
      </c>
      <c r="B408" s="4" t="s">
        <v>1284</v>
      </c>
      <c r="C408" s="4" t="s">
        <v>2111</v>
      </c>
      <c r="D408" s="5">
        <v>42451.683518518519</v>
      </c>
      <c r="E408" s="5" t="s">
        <v>2082</v>
      </c>
      <c r="F408" s="4" t="s">
        <v>26</v>
      </c>
      <c r="G408" s="4" t="s">
        <v>566</v>
      </c>
      <c r="H408" s="4" t="s">
        <v>566</v>
      </c>
      <c r="I408" s="4" t="s">
        <v>158</v>
      </c>
      <c r="J408" s="4" t="s">
        <v>30</v>
      </c>
      <c r="K408" s="4" t="s">
        <v>31</v>
      </c>
      <c r="L408" s="5">
        <v>42451.916666666664</v>
      </c>
      <c r="M408" s="5">
        <v>42451.958333333336</v>
      </c>
      <c r="N408" s="5">
        <v>42451.979166666664</v>
      </c>
      <c r="O408" s="4" t="s">
        <v>710</v>
      </c>
      <c r="P408" s="4" t="s">
        <v>33</v>
      </c>
      <c r="Q408" s="4" t="s">
        <v>76</v>
      </c>
      <c r="R408" s="6" t="s">
        <v>77</v>
      </c>
      <c r="S408" s="4"/>
      <c r="T408" s="4" t="s">
        <v>36</v>
      </c>
      <c r="U408" s="4" t="s">
        <v>37</v>
      </c>
      <c r="V408" s="4" t="s">
        <v>1285</v>
      </c>
      <c r="W408" s="4" t="s">
        <v>37</v>
      </c>
      <c r="X408" s="4" t="s">
        <v>37</v>
      </c>
      <c r="Y408" s="4" t="s">
        <v>36</v>
      </c>
      <c r="Z408" s="4" t="s">
        <v>1286</v>
      </c>
      <c r="AA408" s="4" t="s">
        <v>179</v>
      </c>
    </row>
    <row r="409" spans="1:27" s="1" customFormat="1" x14ac:dyDescent="0.3">
      <c r="A409" s="19">
        <v>19754</v>
      </c>
      <c r="B409" s="4" t="s">
        <v>1287</v>
      </c>
      <c r="C409" s="4" t="s">
        <v>2106</v>
      </c>
      <c r="D409" s="5">
        <v>42451.774513888886</v>
      </c>
      <c r="E409" s="5" t="s">
        <v>2082</v>
      </c>
      <c r="F409" s="4" t="s">
        <v>26</v>
      </c>
      <c r="G409" s="4" t="s">
        <v>243</v>
      </c>
      <c r="H409" s="4" t="s">
        <v>244</v>
      </c>
      <c r="I409" s="4" t="s">
        <v>216</v>
      </c>
      <c r="J409" s="4" t="s">
        <v>30</v>
      </c>
      <c r="K409" s="4" t="s">
        <v>31</v>
      </c>
      <c r="L409" s="5">
        <v>42458.916666666664</v>
      </c>
      <c r="M409" s="5">
        <v>42459.125</v>
      </c>
      <c r="N409" s="5">
        <v>42459.375</v>
      </c>
      <c r="O409" s="4" t="s">
        <v>32</v>
      </c>
      <c r="P409" s="4" t="s">
        <v>33</v>
      </c>
      <c r="Q409" s="4" t="s">
        <v>34</v>
      </c>
      <c r="R409" s="4" t="s">
        <v>245</v>
      </c>
      <c r="S409" s="4" t="s">
        <v>245</v>
      </c>
      <c r="T409" s="4" t="s">
        <v>37</v>
      </c>
      <c r="U409" s="4" t="s">
        <v>37</v>
      </c>
      <c r="V409" s="4" t="s">
        <v>246</v>
      </c>
      <c r="W409" s="4" t="s">
        <v>37</v>
      </c>
      <c r="X409" s="4" t="s">
        <v>37</v>
      </c>
      <c r="Y409" s="4" t="s">
        <v>37</v>
      </c>
      <c r="Z409" s="4"/>
      <c r="AA409" s="4" t="s">
        <v>179</v>
      </c>
    </row>
    <row r="410" spans="1:27" s="1" customFormat="1" x14ac:dyDescent="0.3">
      <c r="A410" s="19">
        <v>19757</v>
      </c>
      <c r="B410" s="4" t="s">
        <v>1213</v>
      </c>
      <c r="C410" s="4">
        <v>0</v>
      </c>
      <c r="D410" s="5">
        <v>42452.524259259262</v>
      </c>
      <c r="E410" s="5" t="s">
        <v>2082</v>
      </c>
      <c r="F410" s="4" t="s">
        <v>26</v>
      </c>
      <c r="G410" s="4" t="s">
        <v>375</v>
      </c>
      <c r="H410" s="4" t="s">
        <v>375</v>
      </c>
      <c r="I410" s="4" t="s">
        <v>221</v>
      </c>
      <c r="J410" s="4" t="s">
        <v>30</v>
      </c>
      <c r="K410" s="4" t="s">
        <v>31</v>
      </c>
      <c r="L410" s="5">
        <v>42452.916666666664</v>
      </c>
      <c r="M410" s="5">
        <v>42453.208333333336</v>
      </c>
      <c r="N410" s="5">
        <v>42453.25</v>
      </c>
      <c r="O410" s="4" t="s">
        <v>250</v>
      </c>
      <c r="P410" s="4" t="s">
        <v>149</v>
      </c>
      <c r="Q410" s="4" t="s">
        <v>119</v>
      </c>
      <c r="R410" s="6" t="s">
        <v>77</v>
      </c>
      <c r="S410" s="4" t="s">
        <v>1288</v>
      </c>
      <c r="T410" s="4" t="s">
        <v>37</v>
      </c>
      <c r="U410" s="4" t="s">
        <v>37</v>
      </c>
      <c r="V410" s="4" t="s">
        <v>1289</v>
      </c>
      <c r="W410" s="4" t="s">
        <v>37</v>
      </c>
      <c r="X410" s="4" t="s">
        <v>37</v>
      </c>
      <c r="Y410" s="4" t="s">
        <v>36</v>
      </c>
      <c r="Z410" s="4"/>
      <c r="AA410" s="4" t="s">
        <v>40</v>
      </c>
    </row>
    <row r="411" spans="1:27" s="1" customFormat="1" x14ac:dyDescent="0.3">
      <c r="A411" s="19">
        <v>19759</v>
      </c>
      <c r="B411" s="4" t="s">
        <v>1290</v>
      </c>
      <c r="C411" s="4" t="s">
        <v>2154</v>
      </c>
      <c r="D411" s="5">
        <v>42452.588634259257</v>
      </c>
      <c r="E411" s="5" t="s">
        <v>2082</v>
      </c>
      <c r="F411" s="4" t="s">
        <v>26</v>
      </c>
      <c r="G411" s="4" t="s">
        <v>310</v>
      </c>
      <c r="H411" s="4" t="s">
        <v>1291</v>
      </c>
      <c r="I411" s="4" t="s">
        <v>208</v>
      </c>
      <c r="J411" s="4" t="s">
        <v>30</v>
      </c>
      <c r="K411" s="4" t="s">
        <v>31</v>
      </c>
      <c r="L411" s="5">
        <v>42453.916666666664</v>
      </c>
      <c r="M411" s="5">
        <v>42453.979166666664</v>
      </c>
      <c r="N411" s="5">
        <v>42453.999305555553</v>
      </c>
      <c r="O411" s="4" t="s">
        <v>250</v>
      </c>
      <c r="P411" s="4" t="s">
        <v>149</v>
      </c>
      <c r="Q411" s="4" t="s">
        <v>251</v>
      </c>
      <c r="R411" s="4" t="s">
        <v>1292</v>
      </c>
      <c r="S411" s="6" t="s">
        <v>77</v>
      </c>
      <c r="T411" s="4" t="s">
        <v>36</v>
      </c>
      <c r="U411" s="4" t="s">
        <v>37</v>
      </c>
      <c r="V411" s="4" t="s">
        <v>1293</v>
      </c>
      <c r="W411" s="4" t="s">
        <v>37</v>
      </c>
      <c r="X411" s="4" t="s">
        <v>37</v>
      </c>
      <c r="Y411" s="4" t="s">
        <v>36</v>
      </c>
      <c r="Z411" s="4"/>
      <c r="AA411" s="4" t="s">
        <v>179</v>
      </c>
    </row>
    <row r="412" spans="1:27" s="1" customFormat="1" x14ac:dyDescent="0.3">
      <c r="A412" s="19">
        <v>19762</v>
      </c>
      <c r="B412" s="4" t="s">
        <v>1294</v>
      </c>
      <c r="C412" s="4" t="s">
        <v>2155</v>
      </c>
      <c r="D412" s="5">
        <v>42452.617847222224</v>
      </c>
      <c r="E412" s="5" t="s">
        <v>2082</v>
      </c>
      <c r="F412" s="4" t="s">
        <v>26</v>
      </c>
      <c r="G412" s="4" t="s">
        <v>289</v>
      </c>
      <c r="H412" s="4" t="s">
        <v>922</v>
      </c>
      <c r="I412" s="4" t="s">
        <v>118</v>
      </c>
      <c r="J412" s="4" t="s">
        <v>30</v>
      </c>
      <c r="K412" s="4" t="s">
        <v>31</v>
      </c>
      <c r="L412" s="5">
        <v>42458.916666666664</v>
      </c>
      <c r="M412" s="5">
        <v>42459.5</v>
      </c>
      <c r="N412" s="5">
        <v>42459.75</v>
      </c>
      <c r="O412" s="4" t="s">
        <v>32</v>
      </c>
      <c r="P412" s="4" t="s">
        <v>149</v>
      </c>
      <c r="Q412" s="4" t="s">
        <v>50</v>
      </c>
      <c r="R412" s="4" t="s">
        <v>1295</v>
      </c>
      <c r="S412" s="4" t="s">
        <v>291</v>
      </c>
      <c r="T412" s="4" t="s">
        <v>37</v>
      </c>
      <c r="U412" s="4" t="s">
        <v>37</v>
      </c>
      <c r="V412" s="4" t="s">
        <v>292</v>
      </c>
      <c r="W412" s="4" t="s">
        <v>37</v>
      </c>
      <c r="X412" s="4" t="s">
        <v>36</v>
      </c>
      <c r="Y412" s="4" t="s">
        <v>37</v>
      </c>
      <c r="Z412" s="4"/>
      <c r="AA412" s="4" t="s">
        <v>93</v>
      </c>
    </row>
    <row r="413" spans="1:27" s="1" customFormat="1" x14ac:dyDescent="0.3">
      <c r="A413" s="19">
        <v>19763</v>
      </c>
      <c r="B413" s="4" t="s">
        <v>1172</v>
      </c>
      <c r="C413" s="4" t="s">
        <v>2119</v>
      </c>
      <c r="D413" s="5">
        <v>42452.638321759259</v>
      </c>
      <c r="E413" s="5" t="s">
        <v>2082</v>
      </c>
      <c r="F413" s="4" t="s">
        <v>26</v>
      </c>
      <c r="G413" s="4" t="s">
        <v>513</v>
      </c>
      <c r="H413" s="4" t="s">
        <v>566</v>
      </c>
      <c r="I413" s="4" t="s">
        <v>127</v>
      </c>
      <c r="J413" s="4" t="s">
        <v>30</v>
      </c>
      <c r="K413" s="4" t="s">
        <v>31</v>
      </c>
      <c r="L413" s="5">
        <v>42458.625</v>
      </c>
      <c r="M413" s="5">
        <v>42458.75</v>
      </c>
      <c r="N413" s="5">
        <v>42458.791666666664</v>
      </c>
      <c r="O413" s="4" t="s">
        <v>32</v>
      </c>
      <c r="P413" s="4" t="s">
        <v>149</v>
      </c>
      <c r="Q413" s="4" t="s">
        <v>34</v>
      </c>
      <c r="R413" s="4"/>
      <c r="S413" s="6" t="s">
        <v>77</v>
      </c>
      <c r="T413" s="4" t="s">
        <v>37</v>
      </c>
      <c r="U413" s="4" t="s">
        <v>37</v>
      </c>
      <c r="V413" s="4" t="s">
        <v>805</v>
      </c>
      <c r="W413" s="4" t="s">
        <v>37</v>
      </c>
      <c r="X413" s="4" t="s">
        <v>37</v>
      </c>
      <c r="Y413" s="4" t="s">
        <v>36</v>
      </c>
      <c r="Z413" s="4"/>
      <c r="AA413" s="4" t="s">
        <v>179</v>
      </c>
    </row>
    <row r="414" spans="1:27" s="1" customFormat="1" x14ac:dyDescent="0.3">
      <c r="A414" s="19">
        <v>19766</v>
      </c>
      <c r="B414" s="4" t="s">
        <v>1296</v>
      </c>
      <c r="C414" s="4">
        <v>0</v>
      </c>
      <c r="D414" s="5">
        <v>42452.742858796293</v>
      </c>
      <c r="E414" s="5" t="s">
        <v>2082</v>
      </c>
      <c r="F414" s="4" t="s">
        <v>26</v>
      </c>
      <c r="G414" s="4" t="s">
        <v>1270</v>
      </c>
      <c r="H414" s="4" t="s">
        <v>1297</v>
      </c>
      <c r="I414" s="4" t="s">
        <v>158</v>
      </c>
      <c r="J414" s="4" t="s">
        <v>49</v>
      </c>
      <c r="K414" s="4" t="s">
        <v>31</v>
      </c>
      <c r="L414" s="5">
        <v>42458.916666666664</v>
      </c>
      <c r="M414" s="5">
        <v>42460.25</v>
      </c>
      <c r="N414" s="5">
        <v>42460.333333333336</v>
      </c>
      <c r="O414" s="4" t="s">
        <v>32</v>
      </c>
      <c r="P414" s="4" t="s">
        <v>89</v>
      </c>
      <c r="Q414" s="4" t="s">
        <v>119</v>
      </c>
      <c r="R414" s="4" t="s">
        <v>1298</v>
      </c>
      <c r="S414" s="4" t="s">
        <v>1298</v>
      </c>
      <c r="T414" s="4" t="s">
        <v>36</v>
      </c>
      <c r="U414" s="4" t="s">
        <v>36</v>
      </c>
      <c r="V414" s="4" t="s">
        <v>1299</v>
      </c>
      <c r="W414" s="4" t="s">
        <v>37</v>
      </c>
      <c r="X414" s="4" t="s">
        <v>37</v>
      </c>
      <c r="Y414" s="4" t="s">
        <v>36</v>
      </c>
      <c r="Z414" s="4" t="s">
        <v>77</v>
      </c>
      <c r="AA414" s="4"/>
    </row>
    <row r="415" spans="1:27" s="1" customFormat="1" x14ac:dyDescent="0.3">
      <c r="A415" s="19">
        <v>19767</v>
      </c>
      <c r="B415" s="4" t="s">
        <v>1300</v>
      </c>
      <c r="C415" s="4">
        <v>0</v>
      </c>
      <c r="D415" s="5">
        <v>42453.151388888888</v>
      </c>
      <c r="E415" s="5" t="s">
        <v>2082</v>
      </c>
      <c r="F415" s="4" t="s">
        <v>26</v>
      </c>
      <c r="G415" s="4" t="s">
        <v>1128</v>
      </c>
      <c r="H415" s="4" t="s">
        <v>1128</v>
      </c>
      <c r="I415" s="4" t="s">
        <v>203</v>
      </c>
      <c r="J415" s="4" t="s">
        <v>49</v>
      </c>
      <c r="K415" s="4" t="s">
        <v>31</v>
      </c>
      <c r="L415" s="5">
        <v>42459.916666666664</v>
      </c>
      <c r="M415" s="5">
        <v>42460.25</v>
      </c>
      <c r="N415" s="5">
        <v>42460.291666666664</v>
      </c>
      <c r="O415" s="4" t="s">
        <v>32</v>
      </c>
      <c r="P415" s="4" t="s">
        <v>33</v>
      </c>
      <c r="Q415" s="4" t="s">
        <v>76</v>
      </c>
      <c r="R415" s="4" t="s">
        <v>1301</v>
      </c>
      <c r="S415" s="4" t="s">
        <v>1301</v>
      </c>
      <c r="T415" s="4" t="s">
        <v>36</v>
      </c>
      <c r="U415" s="4" t="s">
        <v>37</v>
      </c>
      <c r="V415" s="4" t="s">
        <v>1302</v>
      </c>
      <c r="W415" s="4" t="s">
        <v>37</v>
      </c>
      <c r="X415" s="4" t="s">
        <v>37</v>
      </c>
      <c r="Y415" s="4" t="s">
        <v>36</v>
      </c>
      <c r="Z415" s="4" t="s">
        <v>1303</v>
      </c>
      <c r="AA415" s="4"/>
    </row>
    <row r="416" spans="1:27" s="1" customFormat="1" x14ac:dyDescent="0.3">
      <c r="A416" s="19">
        <v>19769</v>
      </c>
      <c r="B416" s="4" t="s">
        <v>1304</v>
      </c>
      <c r="C416" s="4" t="s">
        <v>2156</v>
      </c>
      <c r="D416" s="5">
        <v>42453.459548611114</v>
      </c>
      <c r="E416" s="5" t="s">
        <v>2082</v>
      </c>
      <c r="F416" s="4" t="s">
        <v>26</v>
      </c>
      <c r="G416" s="4" t="s">
        <v>146</v>
      </c>
      <c r="H416" s="4" t="s">
        <v>1128</v>
      </c>
      <c r="I416" s="4" t="s">
        <v>48</v>
      </c>
      <c r="J416" s="4" t="s">
        <v>30</v>
      </c>
      <c r="K416" s="4" t="s">
        <v>31</v>
      </c>
      <c r="L416" s="5">
        <v>42453.916666666664</v>
      </c>
      <c r="M416" s="5">
        <v>42454.041666666664</v>
      </c>
      <c r="N416" s="5">
        <v>42454.125</v>
      </c>
      <c r="O416" s="4" t="s">
        <v>250</v>
      </c>
      <c r="P416" s="4" t="s">
        <v>149</v>
      </c>
      <c r="Q416" s="4" t="s">
        <v>251</v>
      </c>
      <c r="R416" s="4"/>
      <c r="S416" s="4"/>
      <c r="T416" s="4" t="s">
        <v>36</v>
      </c>
      <c r="U416" s="4" t="s">
        <v>37</v>
      </c>
      <c r="V416" s="4" t="s">
        <v>1305</v>
      </c>
      <c r="W416" s="4" t="s">
        <v>37</v>
      </c>
      <c r="X416" s="4" t="s">
        <v>37</v>
      </c>
      <c r="Y416" s="4" t="s">
        <v>36</v>
      </c>
      <c r="Z416" s="4"/>
      <c r="AA416" s="4" t="s">
        <v>179</v>
      </c>
    </row>
    <row r="417" spans="1:27" s="1" customFormat="1" x14ac:dyDescent="0.3">
      <c r="A417" s="19">
        <v>19770</v>
      </c>
      <c r="B417" s="4" t="s">
        <v>1306</v>
      </c>
      <c r="C417" s="4">
        <v>0</v>
      </c>
      <c r="D417" s="5">
        <v>42453.466643518521</v>
      </c>
      <c r="E417" s="5" t="s">
        <v>2082</v>
      </c>
      <c r="F417" s="4" t="s">
        <v>26</v>
      </c>
      <c r="G417" s="4" t="s">
        <v>348</v>
      </c>
      <c r="H417" s="4" t="s">
        <v>348</v>
      </c>
      <c r="I417" s="4" t="s">
        <v>88</v>
      </c>
      <c r="J417" s="4" t="s">
        <v>30</v>
      </c>
      <c r="K417" s="4" t="s">
        <v>31</v>
      </c>
      <c r="L417" s="5">
        <v>42462.916666666664</v>
      </c>
      <c r="M417" s="5">
        <v>42463.25</v>
      </c>
      <c r="N417" s="5">
        <v>42463.291666666664</v>
      </c>
      <c r="O417" s="4" t="s">
        <v>32</v>
      </c>
      <c r="P417" s="4" t="s">
        <v>33</v>
      </c>
      <c r="Q417" s="4" t="s">
        <v>76</v>
      </c>
      <c r="R417" s="4" t="s">
        <v>1307</v>
      </c>
      <c r="S417" s="4" t="s">
        <v>1307</v>
      </c>
      <c r="T417" s="4" t="s">
        <v>36</v>
      </c>
      <c r="U417" s="4" t="s">
        <v>37</v>
      </c>
      <c r="V417" s="4" t="s">
        <v>1308</v>
      </c>
      <c r="W417" s="4" t="s">
        <v>37</v>
      </c>
      <c r="X417" s="4" t="s">
        <v>37</v>
      </c>
      <c r="Y417" s="4" t="s">
        <v>36</v>
      </c>
      <c r="Z417" s="4"/>
      <c r="AA417" s="4" t="s">
        <v>179</v>
      </c>
    </row>
    <row r="418" spans="1:27" s="1" customFormat="1" x14ac:dyDescent="0.3">
      <c r="A418" s="19">
        <v>19774</v>
      </c>
      <c r="B418" s="4" t="s">
        <v>1309</v>
      </c>
      <c r="C418" s="4" t="s">
        <v>2112</v>
      </c>
      <c r="D418" s="5">
        <v>42453.600023148145</v>
      </c>
      <c r="E418" s="5" t="s">
        <v>2082</v>
      </c>
      <c r="F418" s="4" t="s">
        <v>26</v>
      </c>
      <c r="G418" s="4" t="s">
        <v>712</v>
      </c>
      <c r="H418" s="4" t="s">
        <v>712</v>
      </c>
      <c r="I418" s="4" t="s">
        <v>203</v>
      </c>
      <c r="J418" s="4" t="s">
        <v>49</v>
      </c>
      <c r="K418" s="4" t="s">
        <v>31</v>
      </c>
      <c r="L418" s="5">
        <v>42463.375</v>
      </c>
      <c r="M418" s="5">
        <v>42463.625</v>
      </c>
      <c r="N418" s="5">
        <v>42464.416666666664</v>
      </c>
      <c r="O418" s="4" t="s">
        <v>32</v>
      </c>
      <c r="P418" s="4" t="s">
        <v>89</v>
      </c>
      <c r="Q418" s="4" t="s">
        <v>34</v>
      </c>
      <c r="R418" s="4" t="s">
        <v>337</v>
      </c>
      <c r="S418" s="4" t="s">
        <v>337</v>
      </c>
      <c r="T418" s="4" t="s">
        <v>36</v>
      </c>
      <c r="U418" s="4" t="s">
        <v>36</v>
      </c>
      <c r="V418" s="4" t="s">
        <v>338</v>
      </c>
      <c r="W418" s="4" t="s">
        <v>37</v>
      </c>
      <c r="X418" s="4" t="s">
        <v>37</v>
      </c>
      <c r="Y418" s="4" t="s">
        <v>36</v>
      </c>
      <c r="Z418" s="4" t="s">
        <v>592</v>
      </c>
      <c r="AA418" s="4"/>
    </row>
    <row r="419" spans="1:27" s="1" customFormat="1" x14ac:dyDescent="0.3">
      <c r="A419" s="19">
        <v>19776</v>
      </c>
      <c r="B419" s="4" t="s">
        <v>1310</v>
      </c>
      <c r="C419" s="4" t="s">
        <v>592</v>
      </c>
      <c r="D419" s="5">
        <v>42453.660509259258</v>
      </c>
      <c r="E419" s="5" t="s">
        <v>2082</v>
      </c>
      <c r="F419" s="4" t="s">
        <v>26</v>
      </c>
      <c r="G419" s="4" t="s">
        <v>648</v>
      </c>
      <c r="H419" s="4" t="s">
        <v>648</v>
      </c>
      <c r="I419" s="4" t="s">
        <v>203</v>
      </c>
      <c r="J419" s="4" t="s">
        <v>331</v>
      </c>
      <c r="K419" s="4" t="s">
        <v>31</v>
      </c>
      <c r="L419" s="5">
        <v>42459.916666666664</v>
      </c>
      <c r="M419" s="5">
        <v>42460.208333333336</v>
      </c>
      <c r="N419" s="5">
        <v>42460.25</v>
      </c>
      <c r="O419" s="4" t="s">
        <v>32</v>
      </c>
      <c r="P419" s="4" t="s">
        <v>33</v>
      </c>
      <c r="Q419" s="4" t="s">
        <v>119</v>
      </c>
      <c r="R419" s="4" t="s">
        <v>1311</v>
      </c>
      <c r="S419" s="4" t="s">
        <v>1311</v>
      </c>
      <c r="T419" s="4" t="s">
        <v>36</v>
      </c>
      <c r="U419" s="4" t="s">
        <v>37</v>
      </c>
      <c r="V419" s="4" t="s">
        <v>654</v>
      </c>
      <c r="W419" s="4" t="s">
        <v>37</v>
      </c>
      <c r="X419" s="4" t="s">
        <v>37</v>
      </c>
      <c r="Y419" s="4" t="s">
        <v>36</v>
      </c>
      <c r="Z419" s="4" t="s">
        <v>592</v>
      </c>
      <c r="AA419" s="4" t="s">
        <v>93</v>
      </c>
    </row>
    <row r="420" spans="1:27" s="1" customFormat="1" x14ac:dyDescent="0.3">
      <c r="A420" s="19">
        <v>19777</v>
      </c>
      <c r="B420" s="4" t="s">
        <v>1312</v>
      </c>
      <c r="C420" s="4" t="s">
        <v>2111</v>
      </c>
      <c r="D420" s="5">
        <v>42453.674583333333</v>
      </c>
      <c r="E420" s="5" t="s">
        <v>2082</v>
      </c>
      <c r="F420" s="4" t="s">
        <v>26</v>
      </c>
      <c r="G420" s="4" t="s">
        <v>263</v>
      </c>
      <c r="H420" s="4" t="s">
        <v>922</v>
      </c>
      <c r="I420" s="4" t="s">
        <v>203</v>
      </c>
      <c r="J420" s="4" t="s">
        <v>30</v>
      </c>
      <c r="K420" s="4" t="s">
        <v>31</v>
      </c>
      <c r="L420" s="5">
        <v>42453.916666666664</v>
      </c>
      <c r="M420" s="5">
        <v>42454.458333333336</v>
      </c>
      <c r="N420" s="5">
        <v>42454.541666666664</v>
      </c>
      <c r="O420" s="4" t="s">
        <v>710</v>
      </c>
      <c r="P420" s="4" t="s">
        <v>89</v>
      </c>
      <c r="Q420" s="4" t="s">
        <v>76</v>
      </c>
      <c r="R420" s="4" t="s">
        <v>1313</v>
      </c>
      <c r="S420" s="4" t="s">
        <v>1244</v>
      </c>
      <c r="T420" s="4" t="s">
        <v>37</v>
      </c>
      <c r="U420" s="4" t="s">
        <v>37</v>
      </c>
      <c r="V420" s="4" t="s">
        <v>267</v>
      </c>
      <c r="W420" s="4" t="s">
        <v>37</v>
      </c>
      <c r="X420" s="4" t="s">
        <v>37</v>
      </c>
      <c r="Y420" s="4" t="s">
        <v>36</v>
      </c>
      <c r="Z420" s="4" t="s">
        <v>39</v>
      </c>
      <c r="AA420" s="4" t="s">
        <v>40</v>
      </c>
    </row>
    <row r="421" spans="1:27" s="1" customFormat="1" x14ac:dyDescent="0.3">
      <c r="A421" s="19">
        <v>19780</v>
      </c>
      <c r="B421" s="4" t="s">
        <v>1314</v>
      </c>
      <c r="C421" s="4" t="s">
        <v>2116</v>
      </c>
      <c r="D421" s="5">
        <v>42453.711898148147</v>
      </c>
      <c r="E421" s="5" t="s">
        <v>2082</v>
      </c>
      <c r="F421" s="4" t="s">
        <v>26</v>
      </c>
      <c r="G421" s="4" t="s">
        <v>310</v>
      </c>
      <c r="H421" s="4" t="s">
        <v>1178</v>
      </c>
      <c r="I421" s="4" t="s">
        <v>42</v>
      </c>
      <c r="J421" s="4" t="s">
        <v>49</v>
      </c>
      <c r="K421" s="4" t="s">
        <v>31</v>
      </c>
      <c r="L421" s="5">
        <v>42458.916666666664</v>
      </c>
      <c r="M421" s="5">
        <v>42458.979166666664</v>
      </c>
      <c r="N421" s="5">
        <v>42458.999305555553</v>
      </c>
      <c r="O421" s="4" t="s">
        <v>32</v>
      </c>
      <c r="P421" s="4" t="s">
        <v>149</v>
      </c>
      <c r="Q421" s="4" t="s">
        <v>34</v>
      </c>
      <c r="R421" s="4" t="s">
        <v>972</v>
      </c>
      <c r="S421" s="6" t="s">
        <v>77</v>
      </c>
      <c r="T421" s="4" t="s">
        <v>37</v>
      </c>
      <c r="U421" s="4" t="s">
        <v>37</v>
      </c>
      <c r="V421" s="4" t="s">
        <v>1315</v>
      </c>
      <c r="W421" s="4" t="s">
        <v>37</v>
      </c>
      <c r="X421" s="4" t="s">
        <v>37</v>
      </c>
      <c r="Y421" s="4" t="s">
        <v>36</v>
      </c>
      <c r="Z421" s="4"/>
      <c r="AA421" s="4"/>
    </row>
    <row r="422" spans="1:27" s="1" customFormat="1" x14ac:dyDescent="0.3">
      <c r="A422" s="19">
        <v>19782</v>
      </c>
      <c r="B422" s="4" t="s">
        <v>1151</v>
      </c>
      <c r="C422" s="4" t="s">
        <v>2145</v>
      </c>
      <c r="D422" s="5">
        <v>42453.736828703702</v>
      </c>
      <c r="E422" s="5" t="s">
        <v>2082</v>
      </c>
      <c r="F422" s="4" t="s">
        <v>26</v>
      </c>
      <c r="G422" s="4" t="s">
        <v>27</v>
      </c>
      <c r="H422" s="4" t="s">
        <v>28</v>
      </c>
      <c r="I422" s="4" t="s">
        <v>205</v>
      </c>
      <c r="J422" s="4" t="s">
        <v>30</v>
      </c>
      <c r="K422" s="4" t="s">
        <v>31</v>
      </c>
      <c r="L422" s="5">
        <v>42466.958333333336</v>
      </c>
      <c r="M422" s="5">
        <v>42467.583333333336</v>
      </c>
      <c r="N422" s="5">
        <v>42467.583333333336</v>
      </c>
      <c r="O422" s="4" t="s">
        <v>32</v>
      </c>
      <c r="P422" s="4" t="s">
        <v>149</v>
      </c>
      <c r="Q422" s="4" t="s">
        <v>34</v>
      </c>
      <c r="R422" s="4" t="s">
        <v>1152</v>
      </c>
      <c r="S422" s="4" t="s">
        <v>1152</v>
      </c>
      <c r="T422" s="4" t="s">
        <v>36</v>
      </c>
      <c r="U422" s="4" t="s">
        <v>36</v>
      </c>
      <c r="V422" s="4" t="s">
        <v>1153</v>
      </c>
      <c r="W422" s="4" t="s">
        <v>37</v>
      </c>
      <c r="X422" s="4" t="s">
        <v>37</v>
      </c>
      <c r="Y422" s="4" t="s">
        <v>36</v>
      </c>
      <c r="Z422" s="4" t="s">
        <v>1154</v>
      </c>
      <c r="AA422" s="4" t="s">
        <v>40</v>
      </c>
    </row>
    <row r="423" spans="1:27" s="1" customFormat="1" x14ac:dyDescent="0.3">
      <c r="A423" s="19">
        <v>19786</v>
      </c>
      <c r="B423" s="4" t="s">
        <v>1316</v>
      </c>
      <c r="C423" s="4" t="s">
        <v>2155</v>
      </c>
      <c r="D423" s="5">
        <v>42457.482118055559</v>
      </c>
      <c r="E423" s="5" t="s">
        <v>2082</v>
      </c>
      <c r="F423" s="4" t="s">
        <v>26</v>
      </c>
      <c r="G423" s="4" t="s">
        <v>289</v>
      </c>
      <c r="H423" s="4" t="s">
        <v>922</v>
      </c>
      <c r="I423" s="4" t="s">
        <v>122</v>
      </c>
      <c r="J423" s="4" t="s">
        <v>30</v>
      </c>
      <c r="K423" s="4" t="s">
        <v>31</v>
      </c>
      <c r="L423" s="5">
        <v>42464.916666666664</v>
      </c>
      <c r="M423" s="5">
        <v>42465.5</v>
      </c>
      <c r="N423" s="5">
        <v>42465.75</v>
      </c>
      <c r="O423" s="4" t="s">
        <v>32</v>
      </c>
      <c r="P423" s="4" t="s">
        <v>149</v>
      </c>
      <c r="Q423" s="4" t="s">
        <v>50</v>
      </c>
      <c r="R423" s="4" t="s">
        <v>1317</v>
      </c>
      <c r="S423" s="4" t="s">
        <v>1317</v>
      </c>
      <c r="T423" s="4" t="s">
        <v>37</v>
      </c>
      <c r="U423" s="4" t="s">
        <v>37</v>
      </c>
      <c r="V423" s="4" t="s">
        <v>292</v>
      </c>
      <c r="W423" s="4" t="s">
        <v>37</v>
      </c>
      <c r="X423" s="4" t="s">
        <v>37</v>
      </c>
      <c r="Y423" s="4" t="s">
        <v>36</v>
      </c>
      <c r="Z423" s="4"/>
      <c r="AA423" s="4" t="s">
        <v>93</v>
      </c>
    </row>
    <row r="424" spans="1:27" s="1" customFormat="1" x14ac:dyDescent="0.3">
      <c r="A424" s="19">
        <v>19787</v>
      </c>
      <c r="B424" s="4" t="s">
        <v>1318</v>
      </c>
      <c r="C424" s="4" t="s">
        <v>2111</v>
      </c>
      <c r="D424" s="5">
        <v>42457.505069444444</v>
      </c>
      <c r="E424" s="5" t="s">
        <v>2082</v>
      </c>
      <c r="F424" s="4" t="s">
        <v>26</v>
      </c>
      <c r="G424" s="4" t="s">
        <v>27</v>
      </c>
      <c r="H424" s="4" t="s">
        <v>604</v>
      </c>
      <c r="I424" s="4" t="s">
        <v>48</v>
      </c>
      <c r="J424" s="4" t="s">
        <v>148</v>
      </c>
      <c r="K424" s="4" t="s">
        <v>31</v>
      </c>
      <c r="L424" s="5">
        <v>42457.958333333336</v>
      </c>
      <c r="M424" s="5">
        <v>42457.999305555553</v>
      </c>
      <c r="N424" s="5">
        <v>42458.083333333336</v>
      </c>
      <c r="O424" s="4" t="s">
        <v>710</v>
      </c>
      <c r="P424" s="4" t="s">
        <v>89</v>
      </c>
      <c r="Q424" s="4" t="s">
        <v>76</v>
      </c>
      <c r="R424" s="4" t="s">
        <v>1319</v>
      </c>
      <c r="S424" s="4" t="s">
        <v>1319</v>
      </c>
      <c r="T424" s="4" t="s">
        <v>36</v>
      </c>
      <c r="U424" s="4" t="s">
        <v>37</v>
      </c>
      <c r="V424" s="4" t="s">
        <v>1320</v>
      </c>
      <c r="W424" s="4" t="s">
        <v>37</v>
      </c>
      <c r="X424" s="4" t="s">
        <v>37</v>
      </c>
      <c r="Y424" s="4" t="s">
        <v>36</v>
      </c>
      <c r="Z424" s="4"/>
      <c r="AA424" s="4"/>
    </row>
    <row r="425" spans="1:27" s="1" customFormat="1" x14ac:dyDescent="0.3">
      <c r="A425" s="19">
        <v>19788</v>
      </c>
      <c r="B425" s="4" t="s">
        <v>1321</v>
      </c>
      <c r="C425" s="4" t="s">
        <v>2157</v>
      </c>
      <c r="D425" s="5">
        <v>42457.513611111113</v>
      </c>
      <c r="E425" s="5" t="s">
        <v>2082</v>
      </c>
      <c r="F425" s="4" t="s">
        <v>26</v>
      </c>
      <c r="G425" s="4" t="s">
        <v>513</v>
      </c>
      <c r="H425" s="4" t="s">
        <v>1322</v>
      </c>
      <c r="I425" s="4" t="s">
        <v>203</v>
      </c>
      <c r="J425" s="4" t="s">
        <v>1323</v>
      </c>
      <c r="K425" s="4" t="s">
        <v>31</v>
      </c>
      <c r="L425" s="5">
        <v>42471.458333333336</v>
      </c>
      <c r="M425" s="5">
        <v>42471.548611111109</v>
      </c>
      <c r="N425" s="5">
        <v>42471.590277777781</v>
      </c>
      <c r="O425" s="4" t="s">
        <v>32</v>
      </c>
      <c r="P425" s="4" t="s">
        <v>149</v>
      </c>
      <c r="Q425" s="4" t="s">
        <v>34</v>
      </c>
      <c r="R425" s="4" t="s">
        <v>1324</v>
      </c>
      <c r="S425" s="4" t="s">
        <v>1324</v>
      </c>
      <c r="T425" s="4" t="s">
        <v>37</v>
      </c>
      <c r="U425" s="4" t="s">
        <v>37</v>
      </c>
      <c r="V425" s="4" t="s">
        <v>1325</v>
      </c>
      <c r="W425" s="4" t="s">
        <v>37</v>
      </c>
      <c r="X425" s="4" t="s">
        <v>37</v>
      </c>
      <c r="Y425" s="4" t="s">
        <v>37</v>
      </c>
      <c r="Z425" s="4"/>
      <c r="AA425" s="4" t="s">
        <v>166</v>
      </c>
    </row>
    <row r="426" spans="1:27" s="1" customFormat="1" x14ac:dyDescent="0.3">
      <c r="A426" s="19">
        <v>19790</v>
      </c>
      <c r="B426" s="4" t="s">
        <v>1326</v>
      </c>
      <c r="C426" s="4" t="s">
        <v>2111</v>
      </c>
      <c r="D426" s="5">
        <v>42457.74417824074</v>
      </c>
      <c r="E426" s="5" t="s">
        <v>2082</v>
      </c>
      <c r="F426" s="4" t="s">
        <v>26</v>
      </c>
      <c r="G426" s="4" t="s">
        <v>263</v>
      </c>
      <c r="H426" s="4" t="s">
        <v>264</v>
      </c>
      <c r="I426" s="4" t="s">
        <v>203</v>
      </c>
      <c r="J426" s="4" t="s">
        <v>30</v>
      </c>
      <c r="K426" s="4" t="s">
        <v>31</v>
      </c>
      <c r="L426" s="5">
        <v>42458.916666666664</v>
      </c>
      <c r="M426" s="5">
        <v>42459.458333333336</v>
      </c>
      <c r="N426" s="5">
        <v>42459.541666666664</v>
      </c>
      <c r="O426" s="4" t="s">
        <v>710</v>
      </c>
      <c r="P426" s="4" t="s">
        <v>33</v>
      </c>
      <c r="Q426" s="4" t="s">
        <v>76</v>
      </c>
      <c r="R426" s="4" t="s">
        <v>1327</v>
      </c>
      <c r="S426" s="4" t="s">
        <v>1327</v>
      </c>
      <c r="T426" s="4" t="s">
        <v>37</v>
      </c>
      <c r="U426" s="4" t="s">
        <v>37</v>
      </c>
      <c r="V426" s="4" t="s">
        <v>267</v>
      </c>
      <c r="W426" s="4" t="s">
        <v>37</v>
      </c>
      <c r="X426" s="4" t="s">
        <v>37</v>
      </c>
      <c r="Y426" s="4" t="s">
        <v>36</v>
      </c>
      <c r="Z426" s="4" t="s">
        <v>1328</v>
      </c>
      <c r="AA426" s="4" t="s">
        <v>40</v>
      </c>
    </row>
    <row r="427" spans="1:27" s="1" customFormat="1" x14ac:dyDescent="0.3">
      <c r="A427" s="19">
        <v>19791</v>
      </c>
      <c r="B427" s="4" t="s">
        <v>1329</v>
      </c>
      <c r="C427" s="4" t="s">
        <v>2111</v>
      </c>
      <c r="D427" s="5">
        <v>42457.79546296296</v>
      </c>
      <c r="E427" s="5" t="s">
        <v>2082</v>
      </c>
      <c r="F427" s="4" t="s">
        <v>26</v>
      </c>
      <c r="G427" s="4" t="s">
        <v>259</v>
      </c>
      <c r="H427" s="4" t="s">
        <v>259</v>
      </c>
      <c r="I427" s="4" t="s">
        <v>83</v>
      </c>
      <c r="J427" s="4" t="s">
        <v>311</v>
      </c>
      <c r="K427" s="4" t="s">
        <v>31</v>
      </c>
      <c r="L427" s="5">
        <v>42464.916666666664</v>
      </c>
      <c r="M427" s="5">
        <v>42465.083333333336</v>
      </c>
      <c r="N427" s="5">
        <v>42465.208333333336</v>
      </c>
      <c r="O427" s="4" t="s">
        <v>710</v>
      </c>
      <c r="P427" s="4" t="s">
        <v>89</v>
      </c>
      <c r="Q427" s="4" t="s">
        <v>76</v>
      </c>
      <c r="R427" s="4" t="s">
        <v>1330</v>
      </c>
      <c r="S427" s="4" t="s">
        <v>1330</v>
      </c>
      <c r="T427" s="4" t="s">
        <v>36</v>
      </c>
      <c r="U427" s="4" t="s">
        <v>37</v>
      </c>
      <c r="V427" s="4" t="s">
        <v>1331</v>
      </c>
      <c r="W427" s="4" t="s">
        <v>37</v>
      </c>
      <c r="X427" s="4" t="s">
        <v>37</v>
      </c>
      <c r="Y427" s="4" t="s">
        <v>36</v>
      </c>
      <c r="Z427" s="4"/>
      <c r="AA427" s="4"/>
    </row>
    <row r="428" spans="1:27" s="1" customFormat="1" x14ac:dyDescent="0.3">
      <c r="A428" s="19">
        <v>19794</v>
      </c>
      <c r="B428" s="4" t="s">
        <v>288</v>
      </c>
      <c r="C428" s="4">
        <v>0</v>
      </c>
      <c r="D428" s="5">
        <v>42458.367326388892</v>
      </c>
      <c r="E428" s="5" t="s">
        <v>2082</v>
      </c>
      <c r="F428" s="4" t="s">
        <v>26</v>
      </c>
      <c r="G428" s="4" t="s">
        <v>289</v>
      </c>
      <c r="H428" s="4" t="s">
        <v>922</v>
      </c>
      <c r="I428" s="4" t="s">
        <v>118</v>
      </c>
      <c r="J428" s="4" t="s">
        <v>30</v>
      </c>
      <c r="K428" s="4" t="s">
        <v>31</v>
      </c>
      <c r="L428" s="5">
        <v>42465.916666666664</v>
      </c>
      <c r="M428" s="5">
        <v>42466.5</v>
      </c>
      <c r="N428" s="5">
        <v>42466.75</v>
      </c>
      <c r="O428" s="4" t="s">
        <v>32</v>
      </c>
      <c r="P428" s="4" t="s">
        <v>33</v>
      </c>
      <c r="Q428" s="4" t="s">
        <v>50</v>
      </c>
      <c r="R428" s="4" t="s">
        <v>291</v>
      </c>
      <c r="S428" s="4" t="s">
        <v>291</v>
      </c>
      <c r="T428" s="4" t="s">
        <v>37</v>
      </c>
      <c r="U428" s="4" t="s">
        <v>37</v>
      </c>
      <c r="V428" s="4" t="s">
        <v>292</v>
      </c>
      <c r="W428" s="4" t="s">
        <v>37</v>
      </c>
      <c r="X428" s="4" t="s">
        <v>37</v>
      </c>
      <c r="Y428" s="4" t="s">
        <v>36</v>
      </c>
      <c r="Z428" s="4"/>
      <c r="AA428" s="4" t="s">
        <v>40</v>
      </c>
    </row>
    <row r="429" spans="1:27" s="1" customFormat="1" x14ac:dyDescent="0.3">
      <c r="A429" s="19">
        <v>19795</v>
      </c>
      <c r="B429" s="4" t="s">
        <v>732</v>
      </c>
      <c r="C429" s="4">
        <v>0</v>
      </c>
      <c r="D429" s="5">
        <v>42458.38758101852</v>
      </c>
      <c r="E429" s="5" t="s">
        <v>2082</v>
      </c>
      <c r="F429" s="4" t="s">
        <v>26</v>
      </c>
      <c r="G429" s="4" t="s">
        <v>289</v>
      </c>
      <c r="H429" s="4" t="s">
        <v>922</v>
      </c>
      <c r="I429" s="4" t="s">
        <v>118</v>
      </c>
      <c r="J429" s="4" t="s">
        <v>30</v>
      </c>
      <c r="K429" s="4" t="s">
        <v>31</v>
      </c>
      <c r="L429" s="5">
        <v>42465.916666666664</v>
      </c>
      <c r="M429" s="5">
        <v>42466.5</v>
      </c>
      <c r="N429" s="5">
        <v>42466.75</v>
      </c>
      <c r="O429" s="4" t="s">
        <v>32</v>
      </c>
      <c r="P429" s="4" t="s">
        <v>33</v>
      </c>
      <c r="Q429" s="4" t="s">
        <v>50</v>
      </c>
      <c r="R429" s="4" t="s">
        <v>291</v>
      </c>
      <c r="S429" s="4" t="s">
        <v>291</v>
      </c>
      <c r="T429" s="4" t="s">
        <v>37</v>
      </c>
      <c r="U429" s="4" t="s">
        <v>37</v>
      </c>
      <c r="V429" s="4" t="s">
        <v>292</v>
      </c>
      <c r="W429" s="4" t="s">
        <v>37</v>
      </c>
      <c r="X429" s="4" t="s">
        <v>37</v>
      </c>
      <c r="Y429" s="4" t="s">
        <v>36</v>
      </c>
      <c r="Z429" s="4"/>
      <c r="AA429" s="4" t="s">
        <v>40</v>
      </c>
    </row>
    <row r="430" spans="1:27" s="1" customFormat="1" x14ac:dyDescent="0.3">
      <c r="A430" s="19">
        <v>19796</v>
      </c>
      <c r="B430" s="4" t="s">
        <v>1332</v>
      </c>
      <c r="C430" s="4">
        <v>0</v>
      </c>
      <c r="D430" s="5">
        <v>42458.387615740743</v>
      </c>
      <c r="E430" s="5" t="s">
        <v>2082</v>
      </c>
      <c r="F430" s="4" t="s">
        <v>26</v>
      </c>
      <c r="G430" s="4" t="s">
        <v>47</v>
      </c>
      <c r="H430" s="4" t="s">
        <v>47</v>
      </c>
      <c r="I430" s="4" t="s">
        <v>48</v>
      </c>
      <c r="J430" s="4" t="s">
        <v>49</v>
      </c>
      <c r="K430" s="4" t="s">
        <v>31</v>
      </c>
      <c r="L430" s="5">
        <v>42466.458333333336</v>
      </c>
      <c r="M430" s="5">
        <v>42466.666666666664</v>
      </c>
      <c r="N430" s="5">
        <v>42466.708333333336</v>
      </c>
      <c r="O430" s="4" t="s">
        <v>32</v>
      </c>
      <c r="P430" s="4" t="s">
        <v>33</v>
      </c>
      <c r="Q430" s="4" t="s">
        <v>76</v>
      </c>
      <c r="R430" s="4" t="s">
        <v>1333</v>
      </c>
      <c r="S430" s="4" t="s">
        <v>1333</v>
      </c>
      <c r="T430" s="4" t="s">
        <v>36</v>
      </c>
      <c r="U430" s="4" t="s">
        <v>37</v>
      </c>
      <c r="V430" s="4" t="s">
        <v>1334</v>
      </c>
      <c r="W430" s="4" t="s">
        <v>37</v>
      </c>
      <c r="X430" s="4" t="s">
        <v>37</v>
      </c>
      <c r="Y430" s="4" t="s">
        <v>36</v>
      </c>
      <c r="Z430" s="4"/>
      <c r="AA430" s="4"/>
    </row>
    <row r="431" spans="1:27" s="1" customFormat="1" x14ac:dyDescent="0.3">
      <c r="A431" s="19">
        <v>19798</v>
      </c>
      <c r="B431" s="4" t="s">
        <v>1335</v>
      </c>
      <c r="C431" s="4">
        <v>0</v>
      </c>
      <c r="D431" s="5">
        <v>42458.46570601852</v>
      </c>
      <c r="E431" s="5" t="s">
        <v>2082</v>
      </c>
      <c r="F431" s="4" t="s">
        <v>26</v>
      </c>
      <c r="G431" s="4" t="s">
        <v>589</v>
      </c>
      <c r="H431" s="4" t="s">
        <v>589</v>
      </c>
      <c r="I431" s="4" t="s">
        <v>205</v>
      </c>
      <c r="J431" s="4" t="s">
        <v>162</v>
      </c>
      <c r="K431" s="4" t="s">
        <v>31</v>
      </c>
      <c r="L431" s="5">
        <v>42465.291666666664</v>
      </c>
      <c r="M431" s="5">
        <v>42465.541666666664</v>
      </c>
      <c r="N431" s="5">
        <v>42465.625</v>
      </c>
      <c r="O431" s="4" t="s">
        <v>32</v>
      </c>
      <c r="P431" s="4" t="s">
        <v>89</v>
      </c>
      <c r="Q431" s="4" t="s">
        <v>119</v>
      </c>
      <c r="R431" s="4"/>
      <c r="S431" s="4"/>
      <c r="T431" s="4" t="s">
        <v>37</v>
      </c>
      <c r="U431" s="4" t="s">
        <v>37</v>
      </c>
      <c r="V431" s="4" t="s">
        <v>1336</v>
      </c>
      <c r="W431" s="4" t="s">
        <v>37</v>
      </c>
      <c r="X431" s="4" t="s">
        <v>37</v>
      </c>
      <c r="Y431" s="4" t="s">
        <v>36</v>
      </c>
      <c r="Z431" s="4" t="s">
        <v>592</v>
      </c>
      <c r="AA431" s="4"/>
    </row>
    <row r="432" spans="1:27" s="1" customFormat="1" x14ac:dyDescent="0.3">
      <c r="A432" s="19">
        <v>19800</v>
      </c>
      <c r="B432" s="4" t="s">
        <v>1337</v>
      </c>
      <c r="C432" s="4" t="s">
        <v>2111</v>
      </c>
      <c r="D432" s="5">
        <v>42458.623333333337</v>
      </c>
      <c r="E432" s="5" t="s">
        <v>2082</v>
      </c>
      <c r="F432" s="4" t="s">
        <v>26</v>
      </c>
      <c r="G432" s="4" t="s">
        <v>146</v>
      </c>
      <c r="H432" s="4" t="s">
        <v>146</v>
      </c>
      <c r="I432" s="4" t="s">
        <v>42</v>
      </c>
      <c r="J432" s="4" t="s">
        <v>148</v>
      </c>
      <c r="K432" s="4" t="s">
        <v>31</v>
      </c>
      <c r="L432" s="5">
        <v>42460.916666666664</v>
      </c>
      <c r="M432" s="5">
        <v>42461.083333333336</v>
      </c>
      <c r="N432" s="5">
        <v>42461.166666666664</v>
      </c>
      <c r="O432" s="4" t="s">
        <v>710</v>
      </c>
      <c r="P432" s="4" t="s">
        <v>33</v>
      </c>
      <c r="Q432" s="4" t="s">
        <v>76</v>
      </c>
      <c r="R432" s="4"/>
      <c r="S432" s="4"/>
      <c r="T432" s="4" t="s">
        <v>37</v>
      </c>
      <c r="U432" s="4" t="s">
        <v>37</v>
      </c>
      <c r="V432" s="4" t="s">
        <v>1338</v>
      </c>
      <c r="W432" s="4" t="s">
        <v>36</v>
      </c>
      <c r="X432" s="4" t="s">
        <v>37</v>
      </c>
      <c r="Y432" s="4" t="s">
        <v>36</v>
      </c>
      <c r="Z432" s="4"/>
      <c r="AA432" s="4"/>
    </row>
    <row r="433" spans="1:27" s="1" customFormat="1" x14ac:dyDescent="0.3">
      <c r="A433" s="19">
        <v>19803</v>
      </c>
      <c r="B433" s="4" t="s">
        <v>1339</v>
      </c>
      <c r="C433" s="4">
        <v>0</v>
      </c>
      <c r="D433" s="5">
        <v>42458.66065972222</v>
      </c>
      <c r="E433" s="5" t="s">
        <v>2082</v>
      </c>
      <c r="F433" s="4" t="s">
        <v>26</v>
      </c>
      <c r="G433" s="4" t="s">
        <v>1340</v>
      </c>
      <c r="H433" s="4" t="s">
        <v>1340</v>
      </c>
      <c r="I433" s="4" t="s">
        <v>161</v>
      </c>
      <c r="J433" s="4" t="s">
        <v>162</v>
      </c>
      <c r="K433" s="4" t="s">
        <v>31</v>
      </c>
      <c r="L433" s="5">
        <v>42472.333333333336</v>
      </c>
      <c r="M433" s="5">
        <v>42473.741666666669</v>
      </c>
      <c r="N433" s="5">
        <v>42473.783333333333</v>
      </c>
      <c r="O433" s="4" t="s">
        <v>32</v>
      </c>
      <c r="P433" s="4" t="s">
        <v>33</v>
      </c>
      <c r="Q433" s="4" t="s">
        <v>50</v>
      </c>
      <c r="R433" s="6" t="s">
        <v>77</v>
      </c>
      <c r="S433" s="4" t="s">
        <v>1341</v>
      </c>
      <c r="T433" s="4" t="s">
        <v>36</v>
      </c>
      <c r="U433" s="4" t="s">
        <v>37</v>
      </c>
      <c r="V433" s="4" t="s">
        <v>1342</v>
      </c>
      <c r="W433" s="4" t="s">
        <v>37</v>
      </c>
      <c r="X433" s="4" t="s">
        <v>37</v>
      </c>
      <c r="Y433" s="4" t="s">
        <v>36</v>
      </c>
      <c r="Z433" s="4"/>
      <c r="AA433" s="4"/>
    </row>
    <row r="434" spans="1:27" s="1" customFormat="1" x14ac:dyDescent="0.3">
      <c r="A434" s="19">
        <v>19806</v>
      </c>
      <c r="B434" s="4" t="s">
        <v>1343</v>
      </c>
      <c r="C434" s="4">
        <v>0</v>
      </c>
      <c r="D434" s="5">
        <v>42458.969039351854</v>
      </c>
      <c r="E434" s="5" t="s">
        <v>2082</v>
      </c>
      <c r="F434" s="4" t="s">
        <v>26</v>
      </c>
      <c r="G434" s="4" t="s">
        <v>1128</v>
      </c>
      <c r="H434" s="4" t="s">
        <v>1128</v>
      </c>
      <c r="I434" s="4" t="s">
        <v>203</v>
      </c>
      <c r="J434" s="4" t="s">
        <v>49</v>
      </c>
      <c r="K434" s="4" t="s">
        <v>31</v>
      </c>
      <c r="L434" s="5">
        <v>42465.9375</v>
      </c>
      <c r="M434" s="5">
        <v>42466.25</v>
      </c>
      <c r="N434" s="5">
        <v>42466.291666666664</v>
      </c>
      <c r="O434" s="4" t="s">
        <v>32</v>
      </c>
      <c r="P434" s="4" t="s">
        <v>33</v>
      </c>
      <c r="Q434" s="4" t="s">
        <v>76</v>
      </c>
      <c r="R434" s="4" t="s">
        <v>1344</v>
      </c>
      <c r="S434" s="4" t="s">
        <v>1344</v>
      </c>
      <c r="T434" s="4" t="s">
        <v>36</v>
      </c>
      <c r="U434" s="4" t="s">
        <v>37</v>
      </c>
      <c r="V434" s="4" t="s">
        <v>1302</v>
      </c>
      <c r="W434" s="4" t="s">
        <v>37</v>
      </c>
      <c r="X434" s="4" t="s">
        <v>37</v>
      </c>
      <c r="Y434" s="4" t="s">
        <v>36</v>
      </c>
      <c r="Z434" s="4" t="s">
        <v>1345</v>
      </c>
      <c r="AA434" s="4"/>
    </row>
    <row r="435" spans="1:27" s="1" customFormat="1" x14ac:dyDescent="0.3">
      <c r="A435" s="19">
        <v>19807</v>
      </c>
      <c r="B435" s="4" t="s">
        <v>54</v>
      </c>
      <c r="C435" s="4">
        <v>0</v>
      </c>
      <c r="D435" s="5">
        <v>42459.028310185182</v>
      </c>
      <c r="E435" s="5" t="s">
        <v>2082</v>
      </c>
      <c r="F435" s="4" t="s">
        <v>26</v>
      </c>
      <c r="G435" s="4" t="s">
        <v>1128</v>
      </c>
      <c r="H435" s="4" t="s">
        <v>1128</v>
      </c>
      <c r="I435" s="4" t="s">
        <v>203</v>
      </c>
      <c r="J435" s="4" t="s">
        <v>49</v>
      </c>
      <c r="K435" s="4" t="s">
        <v>31</v>
      </c>
      <c r="L435" s="5">
        <v>42466.9375</v>
      </c>
      <c r="M435" s="5">
        <v>42467.208333333336</v>
      </c>
      <c r="N435" s="5">
        <v>42467.25</v>
      </c>
      <c r="O435" s="4" t="s">
        <v>32</v>
      </c>
      <c r="P435" s="4" t="s">
        <v>33</v>
      </c>
      <c r="Q435" s="4" t="s">
        <v>76</v>
      </c>
      <c r="R435" s="4" t="s">
        <v>1346</v>
      </c>
      <c r="S435" s="4" t="s">
        <v>1346</v>
      </c>
      <c r="T435" s="4" t="s">
        <v>36</v>
      </c>
      <c r="U435" s="4" t="s">
        <v>37</v>
      </c>
      <c r="V435" s="4" t="s">
        <v>1302</v>
      </c>
      <c r="W435" s="4" t="s">
        <v>37</v>
      </c>
      <c r="X435" s="4" t="s">
        <v>37</v>
      </c>
      <c r="Y435" s="4" t="s">
        <v>36</v>
      </c>
      <c r="Z435" s="4" t="s">
        <v>1347</v>
      </c>
      <c r="AA435" s="4"/>
    </row>
    <row r="436" spans="1:27" s="1" customFormat="1" x14ac:dyDescent="0.3">
      <c r="A436" s="19">
        <v>19808</v>
      </c>
      <c r="B436" s="4" t="s">
        <v>1348</v>
      </c>
      <c r="C436" s="4" t="s">
        <v>2111</v>
      </c>
      <c r="D436" s="5">
        <v>42459.406724537039</v>
      </c>
      <c r="E436" s="5" t="s">
        <v>2082</v>
      </c>
      <c r="F436" s="4" t="s">
        <v>26</v>
      </c>
      <c r="G436" s="4" t="s">
        <v>310</v>
      </c>
      <c r="H436" s="4" t="s">
        <v>1137</v>
      </c>
      <c r="I436" s="4" t="s">
        <v>75</v>
      </c>
      <c r="J436" s="4" t="s">
        <v>49</v>
      </c>
      <c r="K436" s="4" t="s">
        <v>31</v>
      </c>
      <c r="L436" s="5">
        <v>42460.791666666664</v>
      </c>
      <c r="M436" s="5">
        <v>42460.833333333336</v>
      </c>
      <c r="N436" s="5">
        <v>42460.854166666664</v>
      </c>
      <c r="O436" s="4" t="s">
        <v>710</v>
      </c>
      <c r="P436" s="4" t="s">
        <v>33</v>
      </c>
      <c r="Q436" s="4" t="s">
        <v>76</v>
      </c>
      <c r="R436" s="4" t="s">
        <v>1349</v>
      </c>
      <c r="S436" s="6" t="s">
        <v>77</v>
      </c>
      <c r="T436" s="4" t="s">
        <v>36</v>
      </c>
      <c r="U436" s="4" t="s">
        <v>37</v>
      </c>
      <c r="V436" s="4" t="s">
        <v>1139</v>
      </c>
      <c r="W436" s="4" t="s">
        <v>37</v>
      </c>
      <c r="X436" s="4" t="s">
        <v>37</v>
      </c>
      <c r="Y436" s="4" t="s">
        <v>36</v>
      </c>
      <c r="Z436" s="4"/>
      <c r="AA436" s="4"/>
    </row>
    <row r="437" spans="1:27" s="1" customFormat="1" x14ac:dyDescent="0.3">
      <c r="A437" s="19">
        <v>19809</v>
      </c>
      <c r="B437" s="4" t="s">
        <v>883</v>
      </c>
      <c r="C437" s="4">
        <v>0</v>
      </c>
      <c r="D437" s="5">
        <v>42459.406782407408</v>
      </c>
      <c r="E437" s="5" t="s">
        <v>2082</v>
      </c>
      <c r="F437" s="4" t="s">
        <v>26</v>
      </c>
      <c r="G437" s="4" t="s">
        <v>1193</v>
      </c>
      <c r="H437" s="4" t="s">
        <v>117</v>
      </c>
      <c r="I437" s="4" t="s">
        <v>118</v>
      </c>
      <c r="J437" s="4" t="s">
        <v>30</v>
      </c>
      <c r="K437" s="4" t="s">
        <v>31</v>
      </c>
      <c r="L437" s="5">
        <v>42465.583333333336</v>
      </c>
      <c r="M437" s="5">
        <v>42466.5</v>
      </c>
      <c r="N437" s="5">
        <v>42466.5</v>
      </c>
      <c r="O437" s="4" t="s">
        <v>32</v>
      </c>
      <c r="P437" s="4" t="s">
        <v>149</v>
      </c>
      <c r="Q437" s="4" t="s">
        <v>119</v>
      </c>
      <c r="R437" s="4" t="s">
        <v>201</v>
      </c>
      <c r="S437" s="4" t="s">
        <v>201</v>
      </c>
      <c r="T437" s="4" t="s">
        <v>37</v>
      </c>
      <c r="U437" s="4" t="s">
        <v>37</v>
      </c>
      <c r="V437" s="4" t="s">
        <v>1350</v>
      </c>
      <c r="W437" s="4" t="s">
        <v>37</v>
      </c>
      <c r="X437" s="4" t="s">
        <v>37</v>
      </c>
      <c r="Y437" s="4" t="s">
        <v>37</v>
      </c>
      <c r="Z437" s="4" t="s">
        <v>1351</v>
      </c>
      <c r="AA437" s="4" t="s">
        <v>40</v>
      </c>
    </row>
    <row r="438" spans="1:27" s="1" customFormat="1" x14ac:dyDescent="0.3">
      <c r="A438" s="19">
        <v>19810</v>
      </c>
      <c r="B438" s="4" t="s">
        <v>1269</v>
      </c>
      <c r="C438" s="4" t="s">
        <v>2140</v>
      </c>
      <c r="D438" s="5">
        <v>42459.415590277778</v>
      </c>
      <c r="E438" s="5" t="s">
        <v>2082</v>
      </c>
      <c r="F438" s="4" t="s">
        <v>26</v>
      </c>
      <c r="G438" s="4" t="s">
        <v>1270</v>
      </c>
      <c r="H438" s="4" t="s">
        <v>729</v>
      </c>
      <c r="I438" s="4" t="s">
        <v>200</v>
      </c>
      <c r="J438" s="4" t="s">
        <v>49</v>
      </c>
      <c r="K438" s="4" t="s">
        <v>31</v>
      </c>
      <c r="L438" s="5">
        <v>42464.916666666664</v>
      </c>
      <c r="M438" s="5">
        <v>42469.25</v>
      </c>
      <c r="N438" s="5">
        <v>42469.333333333336</v>
      </c>
      <c r="O438" s="4" t="s">
        <v>32</v>
      </c>
      <c r="P438" s="4" t="s">
        <v>89</v>
      </c>
      <c r="Q438" s="4" t="s">
        <v>50</v>
      </c>
      <c r="R438" s="4" t="s">
        <v>1352</v>
      </c>
      <c r="S438" s="4" t="s">
        <v>1352</v>
      </c>
      <c r="T438" s="4" t="s">
        <v>36</v>
      </c>
      <c r="U438" s="4" t="s">
        <v>36</v>
      </c>
      <c r="V438" s="4" t="s">
        <v>1272</v>
      </c>
      <c r="W438" s="4" t="s">
        <v>37</v>
      </c>
      <c r="X438" s="4" t="s">
        <v>37</v>
      </c>
      <c r="Y438" s="4" t="s">
        <v>36</v>
      </c>
      <c r="Z438" s="4" t="s">
        <v>77</v>
      </c>
      <c r="AA438" s="4"/>
    </row>
    <row r="439" spans="1:27" s="1" customFormat="1" x14ac:dyDescent="0.3">
      <c r="A439" s="19">
        <v>19811</v>
      </c>
      <c r="B439" s="4" t="s">
        <v>1353</v>
      </c>
      <c r="C439" s="4" t="s">
        <v>2111</v>
      </c>
      <c r="D439" s="5">
        <v>42459.426168981481</v>
      </c>
      <c r="E439" s="5" t="s">
        <v>2082</v>
      </c>
      <c r="F439" s="4" t="s">
        <v>26</v>
      </c>
      <c r="G439" s="4" t="s">
        <v>310</v>
      </c>
      <c r="H439" s="4" t="s">
        <v>1137</v>
      </c>
      <c r="I439" s="4" t="s">
        <v>200</v>
      </c>
      <c r="J439" s="4" t="s">
        <v>49</v>
      </c>
      <c r="K439" s="4" t="s">
        <v>31</v>
      </c>
      <c r="L439" s="5">
        <v>42460.833333333336</v>
      </c>
      <c r="M439" s="5">
        <v>42460.875</v>
      </c>
      <c r="N439" s="5">
        <v>42460.895833333336</v>
      </c>
      <c r="O439" s="4" t="s">
        <v>710</v>
      </c>
      <c r="P439" s="4" t="s">
        <v>33</v>
      </c>
      <c r="Q439" s="4" t="s">
        <v>76</v>
      </c>
      <c r="R439" s="4" t="s">
        <v>1354</v>
      </c>
      <c r="S439" s="6" t="s">
        <v>77</v>
      </c>
      <c r="T439" s="4" t="s">
        <v>36</v>
      </c>
      <c r="U439" s="4" t="s">
        <v>37</v>
      </c>
      <c r="V439" s="4" t="s">
        <v>1139</v>
      </c>
      <c r="W439" s="4" t="s">
        <v>37</v>
      </c>
      <c r="X439" s="4" t="s">
        <v>37</v>
      </c>
      <c r="Y439" s="4" t="s">
        <v>36</v>
      </c>
      <c r="Z439" s="4"/>
      <c r="AA439" s="4"/>
    </row>
    <row r="440" spans="1:27" s="1" customFormat="1" x14ac:dyDescent="0.3">
      <c r="A440" s="19">
        <v>19814</v>
      </c>
      <c r="B440" s="4" t="s">
        <v>1355</v>
      </c>
      <c r="C440" s="4" t="s">
        <v>2111</v>
      </c>
      <c r="D440" s="5">
        <v>42459.622881944444</v>
      </c>
      <c r="E440" s="5" t="s">
        <v>2082</v>
      </c>
      <c r="F440" s="4" t="s">
        <v>26</v>
      </c>
      <c r="G440" s="4" t="s">
        <v>1356</v>
      </c>
      <c r="H440" s="4" t="s">
        <v>1356</v>
      </c>
      <c r="I440" s="4" t="s">
        <v>56</v>
      </c>
      <c r="J440" s="4" t="s">
        <v>484</v>
      </c>
      <c r="K440" s="4" t="s">
        <v>31</v>
      </c>
      <c r="L440" s="5">
        <v>42459.916666666664</v>
      </c>
      <c r="M440" s="5">
        <v>42459.958333333336</v>
      </c>
      <c r="N440" s="5">
        <v>42460</v>
      </c>
      <c r="O440" s="4" t="s">
        <v>710</v>
      </c>
      <c r="P440" s="4" t="s">
        <v>89</v>
      </c>
      <c r="Q440" s="4" t="s">
        <v>76</v>
      </c>
      <c r="R440" s="6" t="s">
        <v>77</v>
      </c>
      <c r="S440" s="4" t="s">
        <v>1357</v>
      </c>
      <c r="T440" s="4" t="s">
        <v>37</v>
      </c>
      <c r="U440" s="4" t="s">
        <v>37</v>
      </c>
      <c r="V440" s="4" t="s">
        <v>1358</v>
      </c>
      <c r="W440" s="4" t="s">
        <v>37</v>
      </c>
      <c r="X440" s="4" t="s">
        <v>37</v>
      </c>
      <c r="Y440" s="4" t="s">
        <v>36</v>
      </c>
      <c r="Z440" s="4" t="s">
        <v>39</v>
      </c>
      <c r="AA440" s="4" t="s">
        <v>179</v>
      </c>
    </row>
    <row r="441" spans="1:27" s="1" customFormat="1" x14ac:dyDescent="0.3">
      <c r="A441" s="19">
        <v>19816</v>
      </c>
      <c r="B441" s="4" t="s">
        <v>1359</v>
      </c>
      <c r="C441" s="4">
        <v>0</v>
      </c>
      <c r="D441" s="5">
        <v>42459.674872685187</v>
      </c>
      <c r="E441" s="5" t="s">
        <v>2082</v>
      </c>
      <c r="F441" s="4" t="s">
        <v>26</v>
      </c>
      <c r="G441" s="4" t="s">
        <v>892</v>
      </c>
      <c r="H441" s="4" t="s">
        <v>892</v>
      </c>
      <c r="I441" s="4" t="s">
        <v>169</v>
      </c>
      <c r="J441" s="4" t="s">
        <v>30</v>
      </c>
      <c r="K441" s="4" t="s">
        <v>31</v>
      </c>
      <c r="L441" s="5">
        <v>42466.916666666664</v>
      </c>
      <c r="M441" s="5">
        <v>42466.9375</v>
      </c>
      <c r="N441" s="5">
        <v>42466.999305555553</v>
      </c>
      <c r="O441" s="4" t="s">
        <v>32</v>
      </c>
      <c r="P441" s="4" t="s">
        <v>33</v>
      </c>
      <c r="Q441" s="4" t="s">
        <v>76</v>
      </c>
      <c r="R441" s="6" t="s">
        <v>77</v>
      </c>
      <c r="S441" s="4" t="s">
        <v>1041</v>
      </c>
      <c r="T441" s="4" t="s">
        <v>37</v>
      </c>
      <c r="U441" s="4" t="s">
        <v>37</v>
      </c>
      <c r="V441" s="4" t="s">
        <v>1360</v>
      </c>
      <c r="W441" s="4" t="s">
        <v>37</v>
      </c>
      <c r="X441" s="4" t="s">
        <v>37</v>
      </c>
      <c r="Y441" s="4" t="s">
        <v>36</v>
      </c>
      <c r="Z441" s="4"/>
      <c r="AA441" s="4" t="s">
        <v>93</v>
      </c>
    </row>
    <row r="442" spans="1:27" s="1" customFormat="1" x14ac:dyDescent="0.3">
      <c r="A442" s="19">
        <v>19817</v>
      </c>
      <c r="B442" s="4" t="s">
        <v>1361</v>
      </c>
      <c r="C442" s="4">
        <v>0</v>
      </c>
      <c r="D442" s="5">
        <v>42459.684016203704</v>
      </c>
      <c r="E442" s="5" t="s">
        <v>2082</v>
      </c>
      <c r="F442" s="4" t="s">
        <v>26</v>
      </c>
      <c r="G442" s="4" t="s">
        <v>310</v>
      </c>
      <c r="H442" s="4" t="s">
        <v>310</v>
      </c>
      <c r="I442" s="4" t="s">
        <v>29</v>
      </c>
      <c r="J442" s="4" t="s">
        <v>30</v>
      </c>
      <c r="K442" s="4" t="s">
        <v>31</v>
      </c>
      <c r="L442" s="5">
        <v>42464.916666666664</v>
      </c>
      <c r="M442" s="5">
        <v>42465.125</v>
      </c>
      <c r="N442" s="5">
        <v>42465.166666666664</v>
      </c>
      <c r="O442" s="4" t="s">
        <v>32</v>
      </c>
      <c r="P442" s="4" t="s">
        <v>149</v>
      </c>
      <c r="Q442" s="4" t="s">
        <v>50</v>
      </c>
      <c r="R442" s="4" t="s">
        <v>1362</v>
      </c>
      <c r="S442" s="6" t="s">
        <v>77</v>
      </c>
      <c r="T442" s="4" t="s">
        <v>36</v>
      </c>
      <c r="U442" s="4" t="s">
        <v>37</v>
      </c>
      <c r="V442" s="4" t="s">
        <v>1363</v>
      </c>
      <c r="W442" s="4" t="s">
        <v>37</v>
      </c>
      <c r="X442" s="4" t="s">
        <v>37</v>
      </c>
      <c r="Y442" s="4" t="s">
        <v>36</v>
      </c>
      <c r="Z442" s="4"/>
      <c r="AA442" s="4" t="s">
        <v>179</v>
      </c>
    </row>
    <row r="443" spans="1:27" s="1" customFormat="1" x14ac:dyDescent="0.3">
      <c r="A443" s="19">
        <v>19818</v>
      </c>
      <c r="B443" s="4" t="s">
        <v>1364</v>
      </c>
      <c r="C443" s="4" t="s">
        <v>2112</v>
      </c>
      <c r="D443" s="5">
        <v>42459.690960648149</v>
      </c>
      <c r="E443" s="5" t="s">
        <v>2082</v>
      </c>
      <c r="F443" s="4" t="s">
        <v>26</v>
      </c>
      <c r="G443" s="4" t="s">
        <v>712</v>
      </c>
      <c r="H443" s="4" t="s">
        <v>712</v>
      </c>
      <c r="I443" s="4" t="s">
        <v>203</v>
      </c>
      <c r="J443" s="4" t="s">
        <v>49</v>
      </c>
      <c r="K443" s="4" t="s">
        <v>31</v>
      </c>
      <c r="L443" s="5">
        <v>42459.833333333336</v>
      </c>
      <c r="M443" s="5">
        <v>42459.958333333336</v>
      </c>
      <c r="N443" s="5">
        <v>42460.416666666664</v>
      </c>
      <c r="O443" s="4" t="s">
        <v>250</v>
      </c>
      <c r="P443" s="4" t="s">
        <v>89</v>
      </c>
      <c r="Q443" s="4" t="s">
        <v>251</v>
      </c>
      <c r="R443" s="4" t="s">
        <v>337</v>
      </c>
      <c r="S443" s="4" t="s">
        <v>337</v>
      </c>
      <c r="T443" s="4" t="s">
        <v>36</v>
      </c>
      <c r="U443" s="4" t="s">
        <v>36</v>
      </c>
      <c r="V443" s="4" t="s">
        <v>338</v>
      </c>
      <c r="W443" s="4" t="s">
        <v>37</v>
      </c>
      <c r="X443" s="4" t="s">
        <v>37</v>
      </c>
      <c r="Y443" s="4" t="s">
        <v>36</v>
      </c>
      <c r="Z443" s="4" t="s">
        <v>592</v>
      </c>
      <c r="AA443" s="4"/>
    </row>
    <row r="444" spans="1:27" s="1" customFormat="1" x14ac:dyDescent="0.3">
      <c r="A444" s="19">
        <v>19819</v>
      </c>
      <c r="B444" s="4" t="s">
        <v>1365</v>
      </c>
      <c r="C444" s="4" t="s">
        <v>2111</v>
      </c>
      <c r="D444" s="5">
        <v>42459.723946759259</v>
      </c>
      <c r="E444" s="5" t="s">
        <v>2082</v>
      </c>
      <c r="F444" s="4" t="s">
        <v>26</v>
      </c>
      <c r="G444" s="4" t="s">
        <v>520</v>
      </c>
      <c r="H444" s="4" t="s">
        <v>264</v>
      </c>
      <c r="I444" s="4" t="s">
        <v>203</v>
      </c>
      <c r="J444" s="4" t="s">
        <v>30</v>
      </c>
      <c r="K444" s="4" t="s">
        <v>31</v>
      </c>
      <c r="L444" s="5">
        <v>42459.916666666664</v>
      </c>
      <c r="M444" s="5">
        <v>42460.458333333336</v>
      </c>
      <c r="N444" s="5">
        <v>42460.541666666664</v>
      </c>
      <c r="O444" s="4" t="s">
        <v>710</v>
      </c>
      <c r="P444" s="4" t="s">
        <v>33</v>
      </c>
      <c r="Q444" s="4" t="s">
        <v>76</v>
      </c>
      <c r="R444" s="4" t="s">
        <v>1327</v>
      </c>
      <c r="S444" s="4" t="s">
        <v>1327</v>
      </c>
      <c r="T444" s="4" t="s">
        <v>37</v>
      </c>
      <c r="U444" s="4" t="s">
        <v>37</v>
      </c>
      <c r="V444" s="4" t="s">
        <v>267</v>
      </c>
      <c r="W444" s="4" t="s">
        <v>37</v>
      </c>
      <c r="X444" s="4" t="s">
        <v>37</v>
      </c>
      <c r="Y444" s="4" t="s">
        <v>36</v>
      </c>
      <c r="Z444" s="4" t="s">
        <v>1366</v>
      </c>
      <c r="AA444" s="4" t="s">
        <v>40</v>
      </c>
    </row>
    <row r="445" spans="1:27" s="1" customFormat="1" x14ac:dyDescent="0.3">
      <c r="A445" s="19">
        <v>19822</v>
      </c>
      <c r="B445" s="4" t="s">
        <v>1367</v>
      </c>
      <c r="C445" s="4">
        <v>0</v>
      </c>
      <c r="D445" s="5">
        <v>42460.474085648151</v>
      </c>
      <c r="E445" s="5" t="s">
        <v>2082</v>
      </c>
      <c r="F445" s="4" t="s">
        <v>26</v>
      </c>
      <c r="G445" s="4" t="s">
        <v>195</v>
      </c>
      <c r="H445" s="4" t="s">
        <v>195</v>
      </c>
      <c r="I445" s="4" t="s">
        <v>42</v>
      </c>
      <c r="J445" s="4" t="s">
        <v>30</v>
      </c>
      <c r="K445" s="4" t="s">
        <v>31</v>
      </c>
      <c r="L445" s="5">
        <v>42475.958333333336</v>
      </c>
      <c r="M445" s="5">
        <v>42476.25</v>
      </c>
      <c r="N445" s="5">
        <v>42478.583333333336</v>
      </c>
      <c r="O445" s="4" t="s">
        <v>32</v>
      </c>
      <c r="P445" s="4" t="s">
        <v>33</v>
      </c>
      <c r="Q445" s="4" t="s">
        <v>76</v>
      </c>
      <c r="R445" s="4" t="s">
        <v>1368</v>
      </c>
      <c r="S445" s="4" t="s">
        <v>1368</v>
      </c>
      <c r="T445" s="4" t="s">
        <v>37</v>
      </c>
      <c r="U445" s="4" t="s">
        <v>37</v>
      </c>
      <c r="V445" s="4" t="s">
        <v>1369</v>
      </c>
      <c r="W445" s="4" t="s">
        <v>37</v>
      </c>
      <c r="X445" s="4" t="s">
        <v>37</v>
      </c>
      <c r="Y445" s="4" t="s">
        <v>36</v>
      </c>
      <c r="Z445" s="4"/>
      <c r="AA445" s="4" t="s">
        <v>231</v>
      </c>
    </row>
    <row r="446" spans="1:27" s="1" customFormat="1" x14ac:dyDescent="0.3">
      <c r="A446" s="19">
        <v>19824</v>
      </c>
      <c r="B446" s="4" t="s">
        <v>1370</v>
      </c>
      <c r="C446" s="4" t="s">
        <v>2158</v>
      </c>
      <c r="D446" s="5">
        <v>42460.619363425925</v>
      </c>
      <c r="E446" s="5" t="s">
        <v>2082</v>
      </c>
      <c r="F446" s="4" t="s">
        <v>26</v>
      </c>
      <c r="G446" s="4" t="s">
        <v>566</v>
      </c>
      <c r="H446" s="4" t="s">
        <v>435</v>
      </c>
      <c r="I446" s="4" t="s">
        <v>118</v>
      </c>
      <c r="J446" s="4" t="s">
        <v>30</v>
      </c>
      <c r="K446" s="4" t="s">
        <v>31</v>
      </c>
      <c r="L446" s="5">
        <v>42465.291666666664</v>
      </c>
      <c r="M446" s="5">
        <v>42465.416666666664</v>
      </c>
      <c r="N446" s="5">
        <v>42465.458333333336</v>
      </c>
      <c r="O446" s="4" t="s">
        <v>32</v>
      </c>
      <c r="P446" s="4" t="s">
        <v>149</v>
      </c>
      <c r="Q446" s="4" t="s">
        <v>119</v>
      </c>
      <c r="R446" s="4" t="s">
        <v>436</v>
      </c>
      <c r="S446" s="4" t="s">
        <v>436</v>
      </c>
      <c r="T446" s="4" t="s">
        <v>37</v>
      </c>
      <c r="U446" s="4" t="s">
        <v>37</v>
      </c>
      <c r="V446" s="4" t="s">
        <v>597</v>
      </c>
      <c r="W446" s="4" t="s">
        <v>37</v>
      </c>
      <c r="X446" s="4" t="s">
        <v>37</v>
      </c>
      <c r="Y446" s="4" t="s">
        <v>36</v>
      </c>
      <c r="Z446" s="4" t="s">
        <v>1371</v>
      </c>
      <c r="AA446" s="4" t="s">
        <v>179</v>
      </c>
    </row>
    <row r="447" spans="1:27" s="1" customFormat="1" x14ac:dyDescent="0.3">
      <c r="A447" s="19">
        <v>19826</v>
      </c>
      <c r="B447" s="4" t="s">
        <v>1372</v>
      </c>
      <c r="C447" s="4">
        <v>0</v>
      </c>
      <c r="D447" s="5">
        <v>42460.642974537041</v>
      </c>
      <c r="E447" s="5" t="s">
        <v>2082</v>
      </c>
      <c r="F447" s="4" t="s">
        <v>26</v>
      </c>
      <c r="G447" s="4" t="s">
        <v>1373</v>
      </c>
      <c r="H447" s="4" t="s">
        <v>1374</v>
      </c>
      <c r="I447" s="4" t="s">
        <v>128</v>
      </c>
      <c r="J447" s="4" t="s">
        <v>30</v>
      </c>
      <c r="K447" s="4" t="s">
        <v>31</v>
      </c>
      <c r="L447" s="5">
        <v>42461</v>
      </c>
      <c r="M447" s="5">
        <v>42461.1875</v>
      </c>
      <c r="N447" s="5">
        <v>42461.208333333336</v>
      </c>
      <c r="O447" s="4" t="s">
        <v>250</v>
      </c>
      <c r="P447" s="4" t="s">
        <v>89</v>
      </c>
      <c r="Q447" s="4" t="s">
        <v>251</v>
      </c>
      <c r="R447" s="4" t="s">
        <v>1375</v>
      </c>
      <c r="S447" s="4" t="s">
        <v>1375</v>
      </c>
      <c r="T447" s="4" t="s">
        <v>37</v>
      </c>
      <c r="U447" s="4" t="s">
        <v>37</v>
      </c>
      <c r="V447" s="4" t="s">
        <v>1376</v>
      </c>
      <c r="W447" s="4" t="s">
        <v>37</v>
      </c>
      <c r="X447" s="4" t="s">
        <v>37</v>
      </c>
      <c r="Y447" s="4" t="s">
        <v>36</v>
      </c>
      <c r="Z447" s="4" t="s">
        <v>1377</v>
      </c>
      <c r="AA447" s="4" t="s">
        <v>179</v>
      </c>
    </row>
    <row r="448" spans="1:27" s="1" customFormat="1" x14ac:dyDescent="0.3">
      <c r="A448" s="19">
        <v>19830</v>
      </c>
      <c r="B448" s="4" t="s">
        <v>1378</v>
      </c>
      <c r="C448" s="4" t="s">
        <v>2159</v>
      </c>
      <c r="D448" s="5">
        <v>42460.750648148147</v>
      </c>
      <c r="E448" s="5" t="s">
        <v>2082</v>
      </c>
      <c r="F448" s="4" t="s">
        <v>26</v>
      </c>
      <c r="G448" s="4" t="s">
        <v>422</v>
      </c>
      <c r="H448" s="4" t="s">
        <v>922</v>
      </c>
      <c r="I448" s="4" t="s">
        <v>118</v>
      </c>
      <c r="J448" s="4" t="s">
        <v>30</v>
      </c>
      <c r="K448" s="4" t="s">
        <v>31</v>
      </c>
      <c r="L448" s="5">
        <v>42466.916666666664</v>
      </c>
      <c r="M448" s="5">
        <v>42467.5</v>
      </c>
      <c r="N448" s="5">
        <v>42467.75</v>
      </c>
      <c r="O448" s="4" t="s">
        <v>32</v>
      </c>
      <c r="P448" s="4" t="s">
        <v>33</v>
      </c>
      <c r="Q448" s="4" t="s">
        <v>119</v>
      </c>
      <c r="R448" s="6" t="s">
        <v>77</v>
      </c>
      <c r="S448" s="4" t="s">
        <v>470</v>
      </c>
      <c r="T448" s="4" t="s">
        <v>36</v>
      </c>
      <c r="U448" s="4" t="s">
        <v>37</v>
      </c>
      <c r="V448" s="4" t="s">
        <v>365</v>
      </c>
      <c r="W448" s="4" t="s">
        <v>37</v>
      </c>
      <c r="X448" s="4" t="s">
        <v>37</v>
      </c>
      <c r="Y448" s="4" t="s">
        <v>36</v>
      </c>
      <c r="Z448" s="4"/>
      <c r="AA448" s="4" t="s">
        <v>179</v>
      </c>
    </row>
    <row r="449" spans="1:27" s="1" customFormat="1" x14ac:dyDescent="0.3">
      <c r="A449" s="19">
        <v>19831</v>
      </c>
      <c r="B449" s="4" t="s">
        <v>1379</v>
      </c>
      <c r="C449" s="4" t="s">
        <v>2160</v>
      </c>
      <c r="D449" s="5">
        <v>42460.756689814814</v>
      </c>
      <c r="E449" s="5" t="s">
        <v>2082</v>
      </c>
      <c r="F449" s="4" t="s">
        <v>26</v>
      </c>
      <c r="G449" s="4" t="s">
        <v>1380</v>
      </c>
      <c r="H449" s="4" t="s">
        <v>922</v>
      </c>
      <c r="I449" s="4" t="s">
        <v>118</v>
      </c>
      <c r="J449" s="4" t="s">
        <v>30</v>
      </c>
      <c r="K449" s="4" t="s">
        <v>31</v>
      </c>
      <c r="L449" s="5">
        <v>42466.916666666664</v>
      </c>
      <c r="M449" s="5">
        <v>42467.5</v>
      </c>
      <c r="N449" s="5">
        <v>42467.75</v>
      </c>
      <c r="O449" s="4" t="s">
        <v>32</v>
      </c>
      <c r="P449" s="4" t="s">
        <v>33</v>
      </c>
      <c r="Q449" s="4" t="s">
        <v>50</v>
      </c>
      <c r="R449" s="6" t="s">
        <v>77</v>
      </c>
      <c r="S449" s="4" t="s">
        <v>517</v>
      </c>
      <c r="T449" s="4" t="s">
        <v>36</v>
      </c>
      <c r="U449" s="4" t="s">
        <v>37</v>
      </c>
      <c r="V449" s="4" t="s">
        <v>365</v>
      </c>
      <c r="W449" s="4" t="s">
        <v>37</v>
      </c>
      <c r="X449" s="4" t="s">
        <v>37</v>
      </c>
      <c r="Y449" s="4" t="s">
        <v>36</v>
      </c>
      <c r="Z449" s="4" t="s">
        <v>1381</v>
      </c>
      <c r="AA449" s="4" t="s">
        <v>179</v>
      </c>
    </row>
    <row r="450" spans="1:27" s="1" customFormat="1" x14ac:dyDescent="0.3">
      <c r="A450" s="19">
        <v>19832</v>
      </c>
      <c r="B450" s="4" t="s">
        <v>54</v>
      </c>
      <c r="C450" s="4">
        <v>0</v>
      </c>
      <c r="D450" s="5">
        <v>42461.220254629632</v>
      </c>
      <c r="E450" s="5" t="s">
        <v>2083</v>
      </c>
      <c r="F450" s="4" t="s">
        <v>26</v>
      </c>
      <c r="G450" s="4" t="s">
        <v>1128</v>
      </c>
      <c r="H450" s="4" t="s">
        <v>1128</v>
      </c>
      <c r="I450" s="4" t="s">
        <v>203</v>
      </c>
      <c r="J450" s="4" t="s">
        <v>49</v>
      </c>
      <c r="K450" s="4" t="s">
        <v>31</v>
      </c>
      <c r="L450" s="5">
        <v>42467.9375</v>
      </c>
      <c r="M450" s="5">
        <v>42468.208333333336</v>
      </c>
      <c r="N450" s="5">
        <v>42468.25</v>
      </c>
      <c r="O450" s="4" t="s">
        <v>32</v>
      </c>
      <c r="P450" s="4" t="s">
        <v>33</v>
      </c>
      <c r="Q450" s="4" t="s">
        <v>76</v>
      </c>
      <c r="R450" s="4" t="s">
        <v>1382</v>
      </c>
      <c r="S450" s="4" t="s">
        <v>1382</v>
      </c>
      <c r="T450" s="4" t="s">
        <v>36</v>
      </c>
      <c r="U450" s="4" t="s">
        <v>37</v>
      </c>
      <c r="V450" s="4" t="s">
        <v>1302</v>
      </c>
      <c r="W450" s="4" t="s">
        <v>37</v>
      </c>
      <c r="X450" s="4" t="s">
        <v>37</v>
      </c>
      <c r="Y450" s="4" t="s">
        <v>36</v>
      </c>
      <c r="Z450" s="4" t="s">
        <v>1383</v>
      </c>
      <c r="AA450" s="4"/>
    </row>
    <row r="451" spans="1:27" s="1" customFormat="1" x14ac:dyDescent="0.3">
      <c r="A451" s="19">
        <v>19833</v>
      </c>
      <c r="B451" s="4" t="s">
        <v>54</v>
      </c>
      <c r="C451" s="4">
        <v>0</v>
      </c>
      <c r="D451" s="5">
        <v>42461.25644675926</v>
      </c>
      <c r="E451" s="5" t="s">
        <v>2083</v>
      </c>
      <c r="F451" s="4" t="s">
        <v>26</v>
      </c>
      <c r="G451" s="4" t="s">
        <v>1128</v>
      </c>
      <c r="H451" s="4" t="s">
        <v>1128</v>
      </c>
      <c r="I451" s="4" t="s">
        <v>203</v>
      </c>
      <c r="J451" s="4" t="s">
        <v>49</v>
      </c>
      <c r="K451" s="4" t="s">
        <v>31</v>
      </c>
      <c r="L451" s="5">
        <v>42468.9375</v>
      </c>
      <c r="M451" s="5">
        <v>42469.208333333336</v>
      </c>
      <c r="N451" s="5">
        <v>42469.25</v>
      </c>
      <c r="O451" s="4" t="s">
        <v>32</v>
      </c>
      <c r="P451" s="4" t="s">
        <v>33</v>
      </c>
      <c r="Q451" s="4" t="s">
        <v>76</v>
      </c>
      <c r="R451" s="4" t="s">
        <v>1384</v>
      </c>
      <c r="S451" s="4" t="s">
        <v>1384</v>
      </c>
      <c r="T451" s="4" t="s">
        <v>36</v>
      </c>
      <c r="U451" s="4" t="s">
        <v>37</v>
      </c>
      <c r="V451" s="4" t="s">
        <v>1302</v>
      </c>
      <c r="W451" s="4" t="s">
        <v>37</v>
      </c>
      <c r="X451" s="4" t="s">
        <v>37</v>
      </c>
      <c r="Y451" s="4" t="s">
        <v>36</v>
      </c>
      <c r="Z451" s="4" t="s">
        <v>1385</v>
      </c>
      <c r="AA451" s="4"/>
    </row>
    <row r="452" spans="1:27" s="1" customFormat="1" x14ac:dyDescent="0.3">
      <c r="A452" s="19">
        <v>19834</v>
      </c>
      <c r="B452" s="4" t="s">
        <v>1386</v>
      </c>
      <c r="C452" s="4" t="s">
        <v>2161</v>
      </c>
      <c r="D452" s="5">
        <v>42461.366226851853</v>
      </c>
      <c r="E452" s="5" t="s">
        <v>2083</v>
      </c>
      <c r="F452" s="4" t="s">
        <v>26</v>
      </c>
      <c r="G452" s="4" t="s">
        <v>274</v>
      </c>
      <c r="H452" s="4" t="s">
        <v>274</v>
      </c>
      <c r="I452" s="4" t="s">
        <v>208</v>
      </c>
      <c r="J452" s="4" t="s">
        <v>357</v>
      </c>
      <c r="K452" s="4" t="s">
        <v>31</v>
      </c>
      <c r="L452" s="5">
        <v>42470.958333333336</v>
      </c>
      <c r="M452" s="5">
        <v>42471.25</v>
      </c>
      <c r="N452" s="5">
        <v>42471.291666666664</v>
      </c>
      <c r="O452" s="4" t="s">
        <v>32</v>
      </c>
      <c r="P452" s="4" t="s">
        <v>149</v>
      </c>
      <c r="Q452" s="4" t="s">
        <v>50</v>
      </c>
      <c r="R452" s="6" t="s">
        <v>77</v>
      </c>
      <c r="S452" s="4" t="s">
        <v>282</v>
      </c>
      <c r="T452" s="4" t="s">
        <v>36</v>
      </c>
      <c r="U452" s="4" t="s">
        <v>37</v>
      </c>
      <c r="V452" s="4" t="s">
        <v>276</v>
      </c>
      <c r="W452" s="4" t="s">
        <v>37</v>
      </c>
      <c r="X452" s="4" t="s">
        <v>37</v>
      </c>
      <c r="Y452" s="4" t="s">
        <v>36</v>
      </c>
      <c r="Z452" s="4"/>
      <c r="AA452" s="4" t="s">
        <v>358</v>
      </c>
    </row>
    <row r="453" spans="1:27" s="1" customFormat="1" x14ac:dyDescent="0.3">
      <c r="A453" s="19">
        <v>19836</v>
      </c>
      <c r="B453" s="4" t="s">
        <v>1387</v>
      </c>
      <c r="C453" s="4" t="s">
        <v>39</v>
      </c>
      <c r="D453" s="5">
        <v>42461.588090277779</v>
      </c>
      <c r="E453" s="5" t="s">
        <v>2083</v>
      </c>
      <c r="F453" s="4" t="s">
        <v>26</v>
      </c>
      <c r="G453" s="4" t="s">
        <v>417</v>
      </c>
      <c r="H453" s="4" t="s">
        <v>417</v>
      </c>
      <c r="I453" s="4" t="s">
        <v>83</v>
      </c>
      <c r="J453" s="4" t="s">
        <v>484</v>
      </c>
      <c r="K453" s="4" t="s">
        <v>31</v>
      </c>
      <c r="L453" s="5">
        <v>42470.375</v>
      </c>
      <c r="M453" s="5">
        <v>42470.833333333336</v>
      </c>
      <c r="N453" s="5">
        <v>42470.958333333336</v>
      </c>
      <c r="O453" s="4" t="s">
        <v>32</v>
      </c>
      <c r="P453" s="4" t="s">
        <v>33</v>
      </c>
      <c r="Q453" s="4" t="s">
        <v>50</v>
      </c>
      <c r="R453" s="4" t="s">
        <v>485</v>
      </c>
      <c r="S453" s="4" t="s">
        <v>485</v>
      </c>
      <c r="T453" s="4" t="s">
        <v>36</v>
      </c>
      <c r="U453" s="4" t="s">
        <v>37</v>
      </c>
      <c r="V453" s="4" t="s">
        <v>1388</v>
      </c>
      <c r="W453" s="4" t="s">
        <v>37</v>
      </c>
      <c r="X453" s="4" t="s">
        <v>37</v>
      </c>
      <c r="Y453" s="4" t="s">
        <v>36</v>
      </c>
      <c r="Z453" s="4" t="s">
        <v>1389</v>
      </c>
      <c r="AA453" s="4" t="s">
        <v>346</v>
      </c>
    </row>
    <row r="454" spans="1:27" s="1" customFormat="1" x14ac:dyDescent="0.3">
      <c r="A454" s="19">
        <v>19838</v>
      </c>
      <c r="B454" s="4" t="s">
        <v>1390</v>
      </c>
      <c r="C454" s="4">
        <v>0</v>
      </c>
      <c r="D454" s="5">
        <v>42461.616620370369</v>
      </c>
      <c r="E454" s="5" t="s">
        <v>2083</v>
      </c>
      <c r="F454" s="4" t="s">
        <v>26</v>
      </c>
      <c r="G454" s="4" t="s">
        <v>1064</v>
      </c>
      <c r="H454" s="4" t="s">
        <v>1391</v>
      </c>
      <c r="I454" s="4" t="s">
        <v>221</v>
      </c>
      <c r="J454" s="4" t="s">
        <v>30</v>
      </c>
      <c r="K454" s="4" t="s">
        <v>31</v>
      </c>
      <c r="L454" s="5">
        <v>42467.916666666664</v>
      </c>
      <c r="M454" s="5">
        <v>42468.208333333336</v>
      </c>
      <c r="N454" s="5">
        <v>42468.208333333336</v>
      </c>
      <c r="O454" s="4" t="s">
        <v>32</v>
      </c>
      <c r="P454" s="4" t="s">
        <v>33</v>
      </c>
      <c r="Q454" s="4" t="s">
        <v>50</v>
      </c>
      <c r="R454" s="6" t="s">
        <v>77</v>
      </c>
      <c r="S454" s="4" t="s">
        <v>1392</v>
      </c>
      <c r="T454" s="4" t="s">
        <v>37</v>
      </c>
      <c r="U454" s="4" t="s">
        <v>37</v>
      </c>
      <c r="V454" s="4" t="s">
        <v>1393</v>
      </c>
      <c r="W454" s="4" t="s">
        <v>37</v>
      </c>
      <c r="X454" s="4" t="s">
        <v>37</v>
      </c>
      <c r="Y454" s="4" t="s">
        <v>36</v>
      </c>
      <c r="Z454" s="4" t="s">
        <v>1394</v>
      </c>
      <c r="AA454" s="4" t="s">
        <v>93</v>
      </c>
    </row>
    <row r="455" spans="1:27" s="1" customFormat="1" x14ac:dyDescent="0.3">
      <c r="A455" s="19">
        <v>19840</v>
      </c>
      <c r="B455" s="4" t="s">
        <v>1395</v>
      </c>
      <c r="C455" s="4" t="s">
        <v>2112</v>
      </c>
      <c r="D455" s="5">
        <v>42461.639016203706</v>
      </c>
      <c r="E455" s="5" t="s">
        <v>2083</v>
      </c>
      <c r="F455" s="4" t="s">
        <v>26</v>
      </c>
      <c r="G455" s="4" t="s">
        <v>712</v>
      </c>
      <c r="H455" s="4" t="s">
        <v>712</v>
      </c>
      <c r="I455" s="4" t="s">
        <v>203</v>
      </c>
      <c r="J455" s="4" t="s">
        <v>49</v>
      </c>
      <c r="K455" s="4" t="s">
        <v>31</v>
      </c>
      <c r="L455" s="5">
        <v>42470.375</v>
      </c>
      <c r="M455" s="5">
        <v>42470.625</v>
      </c>
      <c r="N455" s="5">
        <v>42471.416666666664</v>
      </c>
      <c r="O455" s="4" t="s">
        <v>32</v>
      </c>
      <c r="P455" s="4" t="s">
        <v>89</v>
      </c>
      <c r="Q455" s="4" t="s">
        <v>34</v>
      </c>
      <c r="R455" s="4" t="s">
        <v>337</v>
      </c>
      <c r="S455" s="4" t="s">
        <v>337</v>
      </c>
      <c r="T455" s="4" t="s">
        <v>36</v>
      </c>
      <c r="U455" s="4" t="s">
        <v>36</v>
      </c>
      <c r="V455" s="4" t="s">
        <v>338</v>
      </c>
      <c r="W455" s="4" t="s">
        <v>37</v>
      </c>
      <c r="X455" s="4" t="s">
        <v>37</v>
      </c>
      <c r="Y455" s="4" t="s">
        <v>36</v>
      </c>
      <c r="Z455" s="4" t="s">
        <v>592</v>
      </c>
      <c r="AA455" s="4"/>
    </row>
    <row r="456" spans="1:27" s="1" customFormat="1" x14ac:dyDescent="0.3">
      <c r="A456" s="19">
        <v>19841</v>
      </c>
      <c r="B456" s="4" t="s">
        <v>1396</v>
      </c>
      <c r="C456" s="4">
        <v>0</v>
      </c>
      <c r="D456" s="5">
        <v>42461.696342592593</v>
      </c>
      <c r="E456" s="5" t="s">
        <v>2083</v>
      </c>
      <c r="F456" s="4" t="s">
        <v>26</v>
      </c>
      <c r="G456" s="4" t="s">
        <v>342</v>
      </c>
      <c r="H456" s="4" t="s">
        <v>342</v>
      </c>
      <c r="I456" s="4" t="s">
        <v>68</v>
      </c>
      <c r="J456" s="4" t="s">
        <v>343</v>
      </c>
      <c r="K456" s="4" t="s">
        <v>31</v>
      </c>
      <c r="L456" s="5">
        <v>42484.333333333336</v>
      </c>
      <c r="M456" s="5">
        <v>42484.583333333336</v>
      </c>
      <c r="N456" s="5">
        <v>42485.208333333336</v>
      </c>
      <c r="O456" s="4" t="s">
        <v>32</v>
      </c>
      <c r="P456" s="4" t="s">
        <v>33</v>
      </c>
      <c r="Q456" s="4" t="s">
        <v>34</v>
      </c>
      <c r="R456" s="4" t="s">
        <v>344</v>
      </c>
      <c r="S456" s="4" t="s">
        <v>344</v>
      </c>
      <c r="T456" s="4" t="s">
        <v>36</v>
      </c>
      <c r="U456" s="4" t="s">
        <v>37</v>
      </c>
      <c r="V456" s="4" t="s">
        <v>345</v>
      </c>
      <c r="W456" s="4" t="s">
        <v>37</v>
      </c>
      <c r="X456" s="4" t="s">
        <v>37</v>
      </c>
      <c r="Y456" s="4" t="s">
        <v>36</v>
      </c>
      <c r="Z456" s="4"/>
      <c r="AA456" s="4" t="s">
        <v>346</v>
      </c>
    </row>
    <row r="457" spans="1:27" s="1" customFormat="1" x14ac:dyDescent="0.3">
      <c r="A457" s="19">
        <v>19842</v>
      </c>
      <c r="B457" s="4" t="s">
        <v>1397</v>
      </c>
      <c r="C457" s="4">
        <v>0</v>
      </c>
      <c r="D457" s="5">
        <v>42461.724432870367</v>
      </c>
      <c r="E457" s="5" t="s">
        <v>2083</v>
      </c>
      <c r="F457" s="4" t="s">
        <v>26</v>
      </c>
      <c r="G457" s="4" t="s">
        <v>892</v>
      </c>
      <c r="H457" s="4" t="s">
        <v>892</v>
      </c>
      <c r="I457" s="4" t="s">
        <v>169</v>
      </c>
      <c r="J457" s="4" t="s">
        <v>30</v>
      </c>
      <c r="K457" s="4" t="s">
        <v>31</v>
      </c>
      <c r="L457" s="5">
        <v>42467.916666666664</v>
      </c>
      <c r="M457" s="5">
        <v>42467.958333333336</v>
      </c>
      <c r="N457" s="5">
        <v>42467.979166666664</v>
      </c>
      <c r="O457" s="4" t="s">
        <v>32</v>
      </c>
      <c r="P457" s="4" t="s">
        <v>33</v>
      </c>
      <c r="Q457" s="4" t="s">
        <v>34</v>
      </c>
      <c r="R457" s="6" t="s">
        <v>77</v>
      </c>
      <c r="S457" s="4" t="s">
        <v>1398</v>
      </c>
      <c r="T457" s="4" t="s">
        <v>37</v>
      </c>
      <c r="U457" s="4" t="s">
        <v>37</v>
      </c>
      <c r="V457" s="4" t="s">
        <v>1399</v>
      </c>
      <c r="W457" s="4" t="s">
        <v>37</v>
      </c>
      <c r="X457" s="4" t="s">
        <v>37</v>
      </c>
      <c r="Y457" s="4" t="s">
        <v>36</v>
      </c>
      <c r="Z457" s="4"/>
      <c r="AA457" s="4" t="s">
        <v>93</v>
      </c>
    </row>
    <row r="458" spans="1:27" s="1" customFormat="1" x14ac:dyDescent="0.3">
      <c r="A458" s="19">
        <v>19843</v>
      </c>
      <c r="B458" s="4" t="s">
        <v>54</v>
      </c>
      <c r="C458" s="4">
        <v>0</v>
      </c>
      <c r="D458" s="5">
        <v>42462.174351851849</v>
      </c>
      <c r="E458" s="5" t="s">
        <v>2083</v>
      </c>
      <c r="F458" s="4" t="s">
        <v>26</v>
      </c>
      <c r="G458" s="4" t="s">
        <v>1128</v>
      </c>
      <c r="H458" s="4" t="s">
        <v>1128</v>
      </c>
      <c r="I458" s="4" t="s">
        <v>203</v>
      </c>
      <c r="J458" s="4" t="s">
        <v>49</v>
      </c>
      <c r="K458" s="4" t="s">
        <v>31</v>
      </c>
      <c r="L458" s="5">
        <v>42471.9375</v>
      </c>
      <c r="M458" s="5">
        <v>42472.25</v>
      </c>
      <c r="N458" s="5">
        <v>42472.291666666664</v>
      </c>
      <c r="O458" s="4" t="s">
        <v>32</v>
      </c>
      <c r="P458" s="4" t="s">
        <v>33</v>
      </c>
      <c r="Q458" s="4" t="s">
        <v>76</v>
      </c>
      <c r="R458" s="4" t="s">
        <v>1400</v>
      </c>
      <c r="S458" s="4" t="s">
        <v>1400</v>
      </c>
      <c r="T458" s="4" t="s">
        <v>36</v>
      </c>
      <c r="U458" s="4" t="s">
        <v>37</v>
      </c>
      <c r="V458" s="4" t="s">
        <v>1302</v>
      </c>
      <c r="W458" s="4" t="s">
        <v>37</v>
      </c>
      <c r="X458" s="4" t="s">
        <v>37</v>
      </c>
      <c r="Y458" s="4" t="s">
        <v>36</v>
      </c>
      <c r="Z458" s="4"/>
      <c r="AA458" s="4"/>
    </row>
    <row r="459" spans="1:27" s="1" customFormat="1" x14ac:dyDescent="0.3">
      <c r="A459" s="19">
        <v>19844</v>
      </c>
      <c r="B459" s="4" t="s">
        <v>883</v>
      </c>
      <c r="C459" s="4">
        <v>0</v>
      </c>
      <c r="D459" s="5">
        <v>42464.37122685185</v>
      </c>
      <c r="E459" s="5" t="s">
        <v>2083</v>
      </c>
      <c r="F459" s="4" t="s">
        <v>26</v>
      </c>
      <c r="G459" s="4" t="s">
        <v>116</v>
      </c>
      <c r="H459" s="4" t="s">
        <v>117</v>
      </c>
      <c r="I459" s="4" t="s">
        <v>118</v>
      </c>
      <c r="J459" s="4" t="s">
        <v>30</v>
      </c>
      <c r="K459" s="4" t="s">
        <v>31</v>
      </c>
      <c r="L459" s="5">
        <v>42473.916666666664</v>
      </c>
      <c r="M459" s="5">
        <v>42474.5</v>
      </c>
      <c r="N459" s="5">
        <v>42474.5</v>
      </c>
      <c r="O459" s="4" t="s">
        <v>32</v>
      </c>
      <c r="P459" s="4" t="s">
        <v>33</v>
      </c>
      <c r="Q459" s="4" t="s">
        <v>119</v>
      </c>
      <c r="R459" s="4" t="s">
        <v>884</v>
      </c>
      <c r="S459" s="4" t="s">
        <v>884</v>
      </c>
      <c r="T459" s="4" t="s">
        <v>37</v>
      </c>
      <c r="U459" s="4" t="s">
        <v>37</v>
      </c>
      <c r="V459" s="4" t="s">
        <v>202</v>
      </c>
      <c r="W459" s="4"/>
      <c r="X459" s="4"/>
      <c r="Y459" s="4"/>
      <c r="Z459" s="4" t="s">
        <v>1401</v>
      </c>
      <c r="AA459" s="4" t="s">
        <v>40</v>
      </c>
    </row>
    <row r="460" spans="1:27" s="1" customFormat="1" x14ac:dyDescent="0.3">
      <c r="A460" s="19">
        <v>19846</v>
      </c>
      <c r="B460" s="4" t="s">
        <v>722</v>
      </c>
      <c r="C460" s="4">
        <v>0</v>
      </c>
      <c r="D460" s="5">
        <v>42464.470983796295</v>
      </c>
      <c r="E460" s="5" t="s">
        <v>2083</v>
      </c>
      <c r="F460" s="4" t="s">
        <v>26</v>
      </c>
      <c r="G460" s="4" t="s">
        <v>140</v>
      </c>
      <c r="H460" s="4" t="s">
        <v>140</v>
      </c>
      <c r="I460" s="4" t="s">
        <v>29</v>
      </c>
      <c r="J460" s="4" t="s">
        <v>141</v>
      </c>
      <c r="K460" s="4" t="s">
        <v>31</v>
      </c>
      <c r="L460" s="5">
        <v>42490.916666666664</v>
      </c>
      <c r="M460" s="5">
        <v>42491.25</v>
      </c>
      <c r="N460" s="5">
        <v>42491.250694444447</v>
      </c>
      <c r="O460" s="4" t="s">
        <v>32</v>
      </c>
      <c r="P460" s="4" t="s">
        <v>33</v>
      </c>
      <c r="Q460" s="4" t="s">
        <v>50</v>
      </c>
      <c r="R460" s="6" t="s">
        <v>77</v>
      </c>
      <c r="S460" s="4" t="s">
        <v>142</v>
      </c>
      <c r="T460" s="4" t="s">
        <v>37</v>
      </c>
      <c r="U460" s="4" t="s">
        <v>37</v>
      </c>
      <c r="V460" s="4" t="s">
        <v>143</v>
      </c>
      <c r="W460" s="4" t="s">
        <v>37</v>
      </c>
      <c r="X460" s="4" t="s">
        <v>37</v>
      </c>
      <c r="Y460" s="4" t="s">
        <v>36</v>
      </c>
      <c r="Z460" s="4"/>
      <c r="AA460" s="4" t="s">
        <v>144</v>
      </c>
    </row>
    <row r="461" spans="1:27" s="1" customFormat="1" x14ac:dyDescent="0.3">
      <c r="A461" s="19">
        <v>19849</v>
      </c>
      <c r="B461" s="4" t="s">
        <v>1402</v>
      </c>
      <c r="C461" s="4" t="s">
        <v>2111</v>
      </c>
      <c r="D461" s="5">
        <v>42464.632592592592</v>
      </c>
      <c r="E461" s="5" t="s">
        <v>2083</v>
      </c>
      <c r="F461" s="4" t="s">
        <v>26</v>
      </c>
      <c r="G461" s="4" t="s">
        <v>243</v>
      </c>
      <c r="H461" s="4" t="s">
        <v>243</v>
      </c>
      <c r="I461" s="4" t="s">
        <v>216</v>
      </c>
      <c r="J461" s="4" t="s">
        <v>30</v>
      </c>
      <c r="K461" s="4" t="s">
        <v>31</v>
      </c>
      <c r="L461" s="5">
        <v>42465.916666666664</v>
      </c>
      <c r="M461" s="5">
        <v>42466.125</v>
      </c>
      <c r="N461" s="5">
        <v>42466.375</v>
      </c>
      <c r="O461" s="4" t="s">
        <v>710</v>
      </c>
      <c r="P461" s="4" t="s">
        <v>33</v>
      </c>
      <c r="Q461" s="4" t="s">
        <v>76</v>
      </c>
      <c r="R461" s="4" t="s">
        <v>245</v>
      </c>
      <c r="S461" s="4" t="s">
        <v>245</v>
      </c>
      <c r="T461" s="4" t="s">
        <v>37</v>
      </c>
      <c r="U461" s="4" t="s">
        <v>37</v>
      </c>
      <c r="V461" s="4" t="s">
        <v>246</v>
      </c>
      <c r="W461" s="4" t="s">
        <v>37</v>
      </c>
      <c r="X461" s="4" t="s">
        <v>37</v>
      </c>
      <c r="Y461" s="4" t="s">
        <v>37</v>
      </c>
      <c r="Z461" s="4"/>
      <c r="AA461" s="4" t="s">
        <v>179</v>
      </c>
    </row>
    <row r="462" spans="1:27" s="1" customFormat="1" x14ac:dyDescent="0.3">
      <c r="A462" s="19">
        <v>19850</v>
      </c>
      <c r="B462" s="4" t="s">
        <v>1403</v>
      </c>
      <c r="C462" s="4" t="s">
        <v>2162</v>
      </c>
      <c r="D462" s="5">
        <v>42464.662453703706</v>
      </c>
      <c r="E462" s="5" t="s">
        <v>2083</v>
      </c>
      <c r="F462" s="4" t="s">
        <v>26</v>
      </c>
      <c r="G462" s="4" t="s">
        <v>173</v>
      </c>
      <c r="H462" s="4" t="s">
        <v>173</v>
      </c>
      <c r="I462" s="4" t="s">
        <v>174</v>
      </c>
      <c r="J462" s="4" t="s">
        <v>175</v>
      </c>
      <c r="K462" s="4" t="s">
        <v>31</v>
      </c>
      <c r="L462" s="5">
        <v>42476.958333333336</v>
      </c>
      <c r="M462" s="5">
        <v>42477.208333333336</v>
      </c>
      <c r="N462" s="5">
        <v>42477.229166666664</v>
      </c>
      <c r="O462" s="4" t="s">
        <v>32</v>
      </c>
      <c r="P462" s="4" t="s">
        <v>33</v>
      </c>
      <c r="Q462" s="4" t="s">
        <v>76</v>
      </c>
      <c r="R462" s="4" t="s">
        <v>176</v>
      </c>
      <c r="S462" s="4" t="s">
        <v>176</v>
      </c>
      <c r="T462" s="4" t="s">
        <v>37</v>
      </c>
      <c r="U462" s="4" t="s">
        <v>37</v>
      </c>
      <c r="V462" s="4" t="s">
        <v>1404</v>
      </c>
      <c r="W462" s="4" t="s">
        <v>37</v>
      </c>
      <c r="X462" s="4" t="s">
        <v>37</v>
      </c>
      <c r="Y462" s="4" t="s">
        <v>36</v>
      </c>
      <c r="Z462" s="4" t="s">
        <v>178</v>
      </c>
      <c r="AA462" s="4" t="s">
        <v>179</v>
      </c>
    </row>
    <row r="463" spans="1:27" s="1" customFormat="1" x14ac:dyDescent="0.3">
      <c r="A463" s="19">
        <v>19851</v>
      </c>
      <c r="B463" s="4" t="s">
        <v>772</v>
      </c>
      <c r="C463" s="4" t="s">
        <v>772</v>
      </c>
      <c r="D463" s="5">
        <v>42464.671469907407</v>
      </c>
      <c r="E463" s="5" t="s">
        <v>2083</v>
      </c>
      <c r="F463" s="4" t="s">
        <v>26</v>
      </c>
      <c r="G463" s="4" t="s">
        <v>74</v>
      </c>
      <c r="H463" s="4" t="s">
        <v>74</v>
      </c>
      <c r="I463" s="4" t="s">
        <v>75</v>
      </c>
      <c r="J463" s="4" t="s">
        <v>49</v>
      </c>
      <c r="K463" s="4" t="s">
        <v>31</v>
      </c>
      <c r="L463" s="5">
        <v>42474.833333333336</v>
      </c>
      <c r="M463" s="5">
        <v>42474.916666666664</v>
      </c>
      <c r="N463" s="5">
        <v>42475.333333333336</v>
      </c>
      <c r="O463" s="4" t="s">
        <v>32</v>
      </c>
      <c r="P463" s="4" t="s">
        <v>33</v>
      </c>
      <c r="Q463" s="4" t="s">
        <v>76</v>
      </c>
      <c r="R463" s="6" t="s">
        <v>77</v>
      </c>
      <c r="S463" s="4" t="s">
        <v>1405</v>
      </c>
      <c r="T463" s="4" t="s">
        <v>37</v>
      </c>
      <c r="U463" s="4" t="s">
        <v>37</v>
      </c>
      <c r="V463" s="4" t="s">
        <v>646</v>
      </c>
      <c r="W463" s="4" t="s">
        <v>37</v>
      </c>
      <c r="X463" s="4" t="s">
        <v>37</v>
      </c>
      <c r="Y463" s="4" t="s">
        <v>36</v>
      </c>
      <c r="Z463" s="4" t="s">
        <v>39</v>
      </c>
      <c r="AA463" s="4"/>
    </row>
    <row r="464" spans="1:27" s="1" customFormat="1" x14ac:dyDescent="0.3">
      <c r="A464" s="19">
        <v>19852</v>
      </c>
      <c r="B464" s="4" t="s">
        <v>1406</v>
      </c>
      <c r="C464" s="4" t="s">
        <v>20</v>
      </c>
      <c r="D464" s="5">
        <v>42464.742488425924</v>
      </c>
      <c r="E464" s="5" t="s">
        <v>2083</v>
      </c>
      <c r="F464" s="4" t="s">
        <v>26</v>
      </c>
      <c r="G464" s="4" t="s">
        <v>507</v>
      </c>
      <c r="H464" s="4" t="s">
        <v>455</v>
      </c>
      <c r="I464" s="4" t="s">
        <v>80</v>
      </c>
      <c r="J464" s="4" t="s">
        <v>185</v>
      </c>
      <c r="K464" s="4" t="s">
        <v>31</v>
      </c>
      <c r="L464" s="5">
        <v>42479.958333333336</v>
      </c>
      <c r="M464" s="5">
        <v>42480.208333333336</v>
      </c>
      <c r="N464" s="5">
        <v>42480.25</v>
      </c>
      <c r="O464" s="4" t="s">
        <v>32</v>
      </c>
      <c r="P464" s="4" t="s">
        <v>89</v>
      </c>
      <c r="Q464" s="4" t="s">
        <v>251</v>
      </c>
      <c r="R464" s="6" t="s">
        <v>77</v>
      </c>
      <c r="S464" s="6" t="s">
        <v>77</v>
      </c>
      <c r="T464" s="4" t="s">
        <v>37</v>
      </c>
      <c r="U464" s="4" t="s">
        <v>37</v>
      </c>
      <c r="V464" s="4" t="s">
        <v>1407</v>
      </c>
      <c r="W464" s="4" t="s">
        <v>37</v>
      </c>
      <c r="X464" s="4" t="s">
        <v>37</v>
      </c>
      <c r="Y464" s="4" t="s">
        <v>36</v>
      </c>
      <c r="Z464" s="4" t="s">
        <v>1408</v>
      </c>
      <c r="AA464" s="4" t="s">
        <v>187</v>
      </c>
    </row>
    <row r="465" spans="1:27" s="1" customFormat="1" x14ac:dyDescent="0.3">
      <c r="A465" s="19">
        <v>19853</v>
      </c>
      <c r="B465" s="4" t="s">
        <v>109</v>
      </c>
      <c r="C465" s="4">
        <v>0</v>
      </c>
      <c r="D465" s="5">
        <v>42465.074259259258</v>
      </c>
      <c r="E465" s="5" t="s">
        <v>2083</v>
      </c>
      <c r="F465" s="4" t="s">
        <v>26</v>
      </c>
      <c r="G465" s="4" t="s">
        <v>1128</v>
      </c>
      <c r="H465" s="4" t="s">
        <v>1128</v>
      </c>
      <c r="I465" s="4" t="s">
        <v>203</v>
      </c>
      <c r="J465" s="4" t="s">
        <v>49</v>
      </c>
      <c r="K465" s="4" t="s">
        <v>31</v>
      </c>
      <c r="L465" s="5">
        <v>42472.9375</v>
      </c>
      <c r="M465" s="5">
        <v>42473.25</v>
      </c>
      <c r="N465" s="5">
        <v>42473.291666666664</v>
      </c>
      <c r="O465" s="4" t="s">
        <v>32</v>
      </c>
      <c r="P465" s="4" t="s">
        <v>33</v>
      </c>
      <c r="Q465" s="4" t="s">
        <v>76</v>
      </c>
      <c r="R465" s="4" t="s">
        <v>1409</v>
      </c>
      <c r="S465" s="4" t="s">
        <v>1409</v>
      </c>
      <c r="T465" s="4" t="s">
        <v>36</v>
      </c>
      <c r="U465" s="4" t="s">
        <v>37</v>
      </c>
      <c r="V465" s="4" t="s">
        <v>1302</v>
      </c>
      <c r="W465" s="4" t="s">
        <v>37</v>
      </c>
      <c r="X465" s="4" t="s">
        <v>37</v>
      </c>
      <c r="Y465" s="4" t="s">
        <v>36</v>
      </c>
      <c r="Z465" s="4" t="s">
        <v>1410</v>
      </c>
      <c r="AA465" s="4"/>
    </row>
    <row r="466" spans="1:27" s="1" customFormat="1" x14ac:dyDescent="0.3">
      <c r="A466" s="19">
        <v>19854</v>
      </c>
      <c r="B466" s="4" t="s">
        <v>109</v>
      </c>
      <c r="C466" s="4">
        <v>0</v>
      </c>
      <c r="D466" s="5">
        <v>42465.255277777775</v>
      </c>
      <c r="E466" s="5" t="s">
        <v>2083</v>
      </c>
      <c r="F466" s="4" t="s">
        <v>26</v>
      </c>
      <c r="G466" s="4" t="s">
        <v>1128</v>
      </c>
      <c r="H466" s="4" t="s">
        <v>1128</v>
      </c>
      <c r="I466" s="4" t="s">
        <v>203</v>
      </c>
      <c r="J466" s="4" t="s">
        <v>49</v>
      </c>
      <c r="K466" s="4" t="s">
        <v>31</v>
      </c>
      <c r="L466" s="5">
        <v>42473.9375</v>
      </c>
      <c r="M466" s="5">
        <v>42474.25</v>
      </c>
      <c r="N466" s="5">
        <v>42474.291666666664</v>
      </c>
      <c r="O466" s="4" t="s">
        <v>32</v>
      </c>
      <c r="P466" s="4" t="s">
        <v>33</v>
      </c>
      <c r="Q466" s="4" t="s">
        <v>76</v>
      </c>
      <c r="R466" s="4" t="s">
        <v>1411</v>
      </c>
      <c r="S466" s="4" t="s">
        <v>1411</v>
      </c>
      <c r="T466" s="4" t="s">
        <v>36</v>
      </c>
      <c r="U466" s="4" t="s">
        <v>37</v>
      </c>
      <c r="V466" s="4" t="s">
        <v>1302</v>
      </c>
      <c r="W466" s="4" t="s">
        <v>37</v>
      </c>
      <c r="X466" s="4" t="s">
        <v>37</v>
      </c>
      <c r="Y466" s="4" t="s">
        <v>36</v>
      </c>
      <c r="Z466" s="4" t="s">
        <v>1412</v>
      </c>
      <c r="AA466" s="4"/>
    </row>
    <row r="467" spans="1:27" s="1" customFormat="1" x14ac:dyDescent="0.3">
      <c r="A467" s="19">
        <v>19856</v>
      </c>
      <c r="B467" s="4" t="s">
        <v>1184</v>
      </c>
      <c r="C467" s="4" t="s">
        <v>2148</v>
      </c>
      <c r="D467" s="5">
        <v>42465.375555555554</v>
      </c>
      <c r="E467" s="5" t="s">
        <v>2083</v>
      </c>
      <c r="F467" s="4" t="s">
        <v>26</v>
      </c>
      <c r="G467" s="4" t="s">
        <v>743</v>
      </c>
      <c r="H467" s="4" t="s">
        <v>743</v>
      </c>
      <c r="I467" s="4" t="s">
        <v>48</v>
      </c>
      <c r="J467" s="4" t="s">
        <v>43</v>
      </c>
      <c r="K467" s="4" t="s">
        <v>31</v>
      </c>
      <c r="L467" s="5">
        <v>42471.375</v>
      </c>
      <c r="M467" s="5">
        <v>42471.666666666664</v>
      </c>
      <c r="N467" s="5">
        <v>42471.666666666664</v>
      </c>
      <c r="O467" s="4" t="s">
        <v>32</v>
      </c>
      <c r="P467" s="4" t="s">
        <v>149</v>
      </c>
      <c r="Q467" s="4" t="s">
        <v>76</v>
      </c>
      <c r="R467" s="4" t="s">
        <v>889</v>
      </c>
      <c r="S467" s="4" t="s">
        <v>889</v>
      </c>
      <c r="T467" s="4" t="s">
        <v>37</v>
      </c>
      <c r="U467" s="4" t="s">
        <v>37</v>
      </c>
      <c r="V467" s="4" t="s">
        <v>890</v>
      </c>
      <c r="W467" s="4" t="s">
        <v>37</v>
      </c>
      <c r="X467" s="4" t="s">
        <v>37</v>
      </c>
      <c r="Y467" s="4" t="s">
        <v>36</v>
      </c>
      <c r="Z467" s="4" t="s">
        <v>39</v>
      </c>
      <c r="AA467" s="4" t="s">
        <v>744</v>
      </c>
    </row>
    <row r="468" spans="1:27" s="1" customFormat="1" x14ac:dyDescent="0.3">
      <c r="A468" s="19">
        <v>19863</v>
      </c>
      <c r="B468" s="4" t="s">
        <v>1413</v>
      </c>
      <c r="C468" s="4" t="s">
        <v>2163</v>
      </c>
      <c r="D468" s="5">
        <v>42465.471412037034</v>
      </c>
      <c r="E468" s="5" t="s">
        <v>2083</v>
      </c>
      <c r="F468" s="4" t="s">
        <v>26</v>
      </c>
      <c r="G468" s="4" t="s">
        <v>263</v>
      </c>
      <c r="H468" s="4" t="s">
        <v>264</v>
      </c>
      <c r="I468" s="4" t="s">
        <v>203</v>
      </c>
      <c r="J468" s="4" t="s">
        <v>30</v>
      </c>
      <c r="K468" s="4" t="s">
        <v>31</v>
      </c>
      <c r="L468" s="5">
        <v>42473.916666666664</v>
      </c>
      <c r="M468" s="5">
        <v>42474.458333333336</v>
      </c>
      <c r="N468" s="5">
        <v>42474.541666666664</v>
      </c>
      <c r="O468" s="4" t="s">
        <v>32</v>
      </c>
      <c r="P468" s="4" t="s">
        <v>89</v>
      </c>
      <c r="Q468" s="4" t="s">
        <v>251</v>
      </c>
      <c r="R468" s="4" t="s">
        <v>923</v>
      </c>
      <c r="S468" s="4" t="s">
        <v>521</v>
      </c>
      <c r="T468" s="4" t="s">
        <v>37</v>
      </c>
      <c r="U468" s="4" t="s">
        <v>37</v>
      </c>
      <c r="V468" s="4" t="s">
        <v>267</v>
      </c>
      <c r="W468" s="4" t="s">
        <v>37</v>
      </c>
      <c r="X468" s="4" t="s">
        <v>37</v>
      </c>
      <c r="Y468" s="4" t="s">
        <v>36</v>
      </c>
      <c r="Z468" s="4" t="s">
        <v>1414</v>
      </c>
      <c r="AA468" s="4" t="s">
        <v>40</v>
      </c>
    </row>
    <row r="469" spans="1:27" s="1" customFormat="1" x14ac:dyDescent="0.3">
      <c r="A469" s="19">
        <v>19864</v>
      </c>
      <c r="B469" s="4" t="s">
        <v>1415</v>
      </c>
      <c r="C469" s="4">
        <v>0</v>
      </c>
      <c r="D469" s="5">
        <v>42465.510092592594</v>
      </c>
      <c r="E469" s="5" t="s">
        <v>2083</v>
      </c>
      <c r="F469" s="4" t="s">
        <v>26</v>
      </c>
      <c r="G469" s="4" t="s">
        <v>342</v>
      </c>
      <c r="H469" s="4" t="s">
        <v>224</v>
      </c>
      <c r="I469" s="4" t="s">
        <v>216</v>
      </c>
      <c r="J469" s="4" t="s">
        <v>528</v>
      </c>
      <c r="K469" s="4" t="s">
        <v>31</v>
      </c>
      <c r="L469" s="5">
        <v>42474.833333333336</v>
      </c>
      <c r="M469" s="5">
        <v>42475.208333333336</v>
      </c>
      <c r="N469" s="5">
        <v>42478.208333333336</v>
      </c>
      <c r="O469" s="4" t="s">
        <v>32</v>
      </c>
      <c r="P469" s="4" t="s">
        <v>33</v>
      </c>
      <c r="Q469" s="4" t="s">
        <v>50</v>
      </c>
      <c r="R469" s="6" t="s">
        <v>77</v>
      </c>
      <c r="S469" s="4" t="s">
        <v>844</v>
      </c>
      <c r="T469" s="4" t="s">
        <v>36</v>
      </c>
      <c r="U469" s="4" t="s">
        <v>37</v>
      </c>
      <c r="V469" s="4" t="s">
        <v>556</v>
      </c>
      <c r="W469" s="4" t="s">
        <v>37</v>
      </c>
      <c r="X469" s="4" t="s">
        <v>37</v>
      </c>
      <c r="Y469" s="4" t="s">
        <v>36</v>
      </c>
      <c r="Z469" s="4"/>
      <c r="AA469" s="4" t="s">
        <v>231</v>
      </c>
    </row>
    <row r="470" spans="1:27" s="1" customFormat="1" x14ac:dyDescent="0.3">
      <c r="A470" s="19">
        <v>19867</v>
      </c>
      <c r="B470" s="4" t="s">
        <v>1416</v>
      </c>
      <c r="C470" s="4">
        <v>0</v>
      </c>
      <c r="D470" s="5">
        <v>42465.651608796295</v>
      </c>
      <c r="E470" s="5" t="s">
        <v>2083</v>
      </c>
      <c r="F470" s="4" t="s">
        <v>26</v>
      </c>
      <c r="G470" s="4" t="s">
        <v>98</v>
      </c>
      <c r="H470" s="4" t="s">
        <v>98</v>
      </c>
      <c r="I470" s="4" t="s">
        <v>88</v>
      </c>
      <c r="J470" s="4" t="s">
        <v>30</v>
      </c>
      <c r="K470" s="4" t="s">
        <v>31</v>
      </c>
      <c r="L470" s="5">
        <v>42466.833333333336</v>
      </c>
      <c r="M470" s="5">
        <v>42467.25</v>
      </c>
      <c r="N470" s="5">
        <v>42467.25</v>
      </c>
      <c r="O470" s="4" t="s">
        <v>250</v>
      </c>
      <c r="P470" s="4" t="s">
        <v>89</v>
      </c>
      <c r="Q470" s="4" t="s">
        <v>119</v>
      </c>
      <c r="R470" s="6" t="s">
        <v>77</v>
      </c>
      <c r="S470" s="6" t="s">
        <v>77</v>
      </c>
      <c r="T470" s="4" t="s">
        <v>36</v>
      </c>
      <c r="U470" s="4" t="s">
        <v>37</v>
      </c>
      <c r="V470" s="4" t="s">
        <v>1417</v>
      </c>
      <c r="W470" s="4" t="s">
        <v>36</v>
      </c>
      <c r="X470" s="4" t="s">
        <v>37</v>
      </c>
      <c r="Y470" s="4" t="s">
        <v>36</v>
      </c>
      <c r="Z470" s="4">
        <v>0</v>
      </c>
      <c r="AA470" s="4" t="s">
        <v>358</v>
      </c>
    </row>
    <row r="471" spans="1:27" s="1" customFormat="1" x14ac:dyDescent="0.3">
      <c r="A471" s="19">
        <v>19868</v>
      </c>
      <c r="B471" s="4" t="s">
        <v>1418</v>
      </c>
      <c r="C471" s="4">
        <v>0</v>
      </c>
      <c r="D471" s="5">
        <v>42465.676701388889</v>
      </c>
      <c r="E471" s="5" t="s">
        <v>2083</v>
      </c>
      <c r="F471" s="4" t="s">
        <v>26</v>
      </c>
      <c r="G471" s="4" t="s">
        <v>1133</v>
      </c>
      <c r="H471" s="4" t="s">
        <v>1133</v>
      </c>
      <c r="I471" s="4" t="s">
        <v>80</v>
      </c>
      <c r="J471" s="4" t="s">
        <v>185</v>
      </c>
      <c r="K471" s="4" t="s">
        <v>31</v>
      </c>
      <c r="L471" s="5">
        <v>42483.916666666664</v>
      </c>
      <c r="M471" s="5">
        <v>42484.208333333336</v>
      </c>
      <c r="N471" s="5">
        <v>42484.208333333336</v>
      </c>
      <c r="O471" s="4" t="s">
        <v>32</v>
      </c>
      <c r="P471" s="4" t="s">
        <v>33</v>
      </c>
      <c r="Q471" s="4" t="s">
        <v>76</v>
      </c>
      <c r="R471" s="6" t="s">
        <v>77</v>
      </c>
      <c r="S471" s="4" t="s">
        <v>1419</v>
      </c>
      <c r="T471" s="4" t="s">
        <v>37</v>
      </c>
      <c r="U471" s="4" t="s">
        <v>37</v>
      </c>
      <c r="V471" s="4" t="s">
        <v>1135</v>
      </c>
      <c r="W471" s="4" t="s">
        <v>37</v>
      </c>
      <c r="X471" s="4" t="s">
        <v>37</v>
      </c>
      <c r="Y471" s="4" t="s">
        <v>36</v>
      </c>
      <c r="Z471" s="4"/>
      <c r="AA471" s="4" t="s">
        <v>187</v>
      </c>
    </row>
    <row r="472" spans="1:27" s="1" customFormat="1" x14ac:dyDescent="0.3">
      <c r="A472" s="19">
        <v>19870</v>
      </c>
      <c r="B472" s="4" t="s">
        <v>1420</v>
      </c>
      <c r="C472" s="4" t="s">
        <v>2111</v>
      </c>
      <c r="D472" s="5">
        <v>42465.714606481481</v>
      </c>
      <c r="E472" s="5" t="s">
        <v>2083</v>
      </c>
      <c r="F472" s="4" t="s">
        <v>26</v>
      </c>
      <c r="G472" s="4" t="s">
        <v>663</v>
      </c>
      <c r="H472" s="4" t="s">
        <v>1421</v>
      </c>
      <c r="I472" s="4" t="s">
        <v>158</v>
      </c>
      <c r="J472" s="4" t="s">
        <v>1422</v>
      </c>
      <c r="K472" s="4" t="s">
        <v>31</v>
      </c>
      <c r="L472" s="5">
        <v>42466.958333333336</v>
      </c>
      <c r="M472" s="5">
        <v>42467.208333333336</v>
      </c>
      <c r="N472" s="5">
        <v>42467.25</v>
      </c>
      <c r="O472" s="4" t="s">
        <v>710</v>
      </c>
      <c r="P472" s="4" t="s">
        <v>89</v>
      </c>
      <c r="Q472" s="4" t="s">
        <v>76</v>
      </c>
      <c r="R472" s="4" t="s">
        <v>1423</v>
      </c>
      <c r="S472" s="4" t="s">
        <v>1423</v>
      </c>
      <c r="T472" s="4" t="s">
        <v>36</v>
      </c>
      <c r="U472" s="4" t="s">
        <v>37</v>
      </c>
      <c r="V472" s="4" t="s">
        <v>1424</v>
      </c>
      <c r="W472" s="4" t="s">
        <v>37</v>
      </c>
      <c r="X472" s="4" t="s">
        <v>37</v>
      </c>
      <c r="Y472" s="4" t="s">
        <v>36</v>
      </c>
      <c r="Z472" s="4"/>
      <c r="AA472" s="4" t="s">
        <v>346</v>
      </c>
    </row>
    <row r="473" spans="1:27" s="1" customFormat="1" x14ac:dyDescent="0.3">
      <c r="A473" s="19">
        <v>19873</v>
      </c>
      <c r="B473" s="4" t="s">
        <v>1425</v>
      </c>
      <c r="C473" s="4" t="s">
        <v>2111</v>
      </c>
      <c r="D473" s="5">
        <v>42465.816250000003</v>
      </c>
      <c r="E473" s="5" t="s">
        <v>2083</v>
      </c>
      <c r="F473" s="4" t="s">
        <v>26</v>
      </c>
      <c r="G473" s="4" t="s">
        <v>349</v>
      </c>
      <c r="H473" s="4" t="s">
        <v>349</v>
      </c>
      <c r="I473" s="4" t="s">
        <v>205</v>
      </c>
      <c r="J473" s="4" t="s">
        <v>30</v>
      </c>
      <c r="K473" s="4" t="s">
        <v>31</v>
      </c>
      <c r="L473" s="5">
        <v>42465.916666666664</v>
      </c>
      <c r="M473" s="5">
        <v>42465.958333333336</v>
      </c>
      <c r="N473" s="5">
        <v>42466.25</v>
      </c>
      <c r="O473" s="4" t="s">
        <v>710</v>
      </c>
      <c r="P473" s="4" t="s">
        <v>33</v>
      </c>
      <c r="Q473" s="4" t="s">
        <v>76</v>
      </c>
      <c r="R473" s="4" t="s">
        <v>1426</v>
      </c>
      <c r="S473" s="4" t="s">
        <v>1426</v>
      </c>
      <c r="T473" s="4" t="s">
        <v>37</v>
      </c>
      <c r="U473" s="4" t="s">
        <v>37</v>
      </c>
      <c r="V473" s="4" t="s">
        <v>1427</v>
      </c>
      <c r="W473" s="4" t="s">
        <v>37</v>
      </c>
      <c r="X473" s="4" t="s">
        <v>37</v>
      </c>
      <c r="Y473" s="4" t="s">
        <v>36</v>
      </c>
      <c r="Z473" s="4"/>
      <c r="AA473" s="4" t="s">
        <v>676</v>
      </c>
    </row>
    <row r="474" spans="1:27" s="1" customFormat="1" x14ac:dyDescent="0.3">
      <c r="A474" s="19">
        <v>19874</v>
      </c>
      <c r="B474" s="4" t="s">
        <v>1112</v>
      </c>
      <c r="C474" s="4">
        <v>0</v>
      </c>
      <c r="D474" s="5">
        <v>42466.393657407411</v>
      </c>
      <c r="E474" s="5" t="s">
        <v>2083</v>
      </c>
      <c r="F474" s="4" t="s">
        <v>26</v>
      </c>
      <c r="G474" s="4" t="s">
        <v>489</v>
      </c>
      <c r="H474" s="4" t="s">
        <v>489</v>
      </c>
      <c r="I474" s="4" t="s">
        <v>219</v>
      </c>
      <c r="J474" s="4" t="s">
        <v>30</v>
      </c>
      <c r="K474" s="4" t="s">
        <v>31</v>
      </c>
      <c r="L474" s="5">
        <v>42475.958333333336</v>
      </c>
      <c r="M474" s="5">
        <v>42476.208333333336</v>
      </c>
      <c r="N474" s="5">
        <v>42476.25</v>
      </c>
      <c r="O474" s="4" t="s">
        <v>32</v>
      </c>
      <c r="P474" s="4" t="s">
        <v>33</v>
      </c>
      <c r="Q474" s="4" t="s">
        <v>34</v>
      </c>
      <c r="R474" s="6" t="s">
        <v>77</v>
      </c>
      <c r="S474" s="4" t="s">
        <v>1113</v>
      </c>
      <c r="T474" s="4" t="s">
        <v>37</v>
      </c>
      <c r="U474" s="4" t="s">
        <v>37</v>
      </c>
      <c r="V474" s="4" t="s">
        <v>490</v>
      </c>
      <c r="W474" s="4" t="s">
        <v>37</v>
      </c>
      <c r="X474" s="4" t="s">
        <v>37</v>
      </c>
      <c r="Y474" s="4" t="s">
        <v>36</v>
      </c>
      <c r="Z474" s="4"/>
      <c r="AA474" s="4" t="s">
        <v>40</v>
      </c>
    </row>
    <row r="475" spans="1:27" s="1" customFormat="1" x14ac:dyDescent="0.3">
      <c r="A475" s="19">
        <v>19876</v>
      </c>
      <c r="B475" s="4" t="s">
        <v>1402</v>
      </c>
      <c r="C475" s="4" t="s">
        <v>2111</v>
      </c>
      <c r="D475" s="5">
        <v>42466.465266203704</v>
      </c>
      <c r="E475" s="5" t="s">
        <v>2083</v>
      </c>
      <c r="F475" s="4" t="s">
        <v>26</v>
      </c>
      <c r="G475" s="4" t="s">
        <v>243</v>
      </c>
      <c r="H475" s="4" t="s">
        <v>243</v>
      </c>
      <c r="I475" s="4" t="s">
        <v>216</v>
      </c>
      <c r="J475" s="4" t="s">
        <v>30</v>
      </c>
      <c r="K475" s="4" t="s">
        <v>31</v>
      </c>
      <c r="L475" s="5">
        <v>42466.916666666664</v>
      </c>
      <c r="M475" s="5">
        <v>42467.125</v>
      </c>
      <c r="N475" s="5">
        <v>42467.375</v>
      </c>
      <c r="O475" s="4" t="s">
        <v>710</v>
      </c>
      <c r="P475" s="4" t="s">
        <v>33</v>
      </c>
      <c r="Q475" s="4" t="s">
        <v>76</v>
      </c>
      <c r="R475" s="4" t="s">
        <v>245</v>
      </c>
      <c r="S475" s="4" t="s">
        <v>245</v>
      </c>
      <c r="T475" s="4" t="s">
        <v>37</v>
      </c>
      <c r="U475" s="4" t="s">
        <v>37</v>
      </c>
      <c r="V475" s="4" t="s">
        <v>246</v>
      </c>
      <c r="W475" s="4" t="s">
        <v>37</v>
      </c>
      <c r="X475" s="4" t="s">
        <v>37</v>
      </c>
      <c r="Y475" s="4" t="s">
        <v>37</v>
      </c>
      <c r="Z475" s="4"/>
      <c r="AA475" s="4" t="s">
        <v>179</v>
      </c>
    </row>
    <row r="476" spans="1:27" s="1" customFormat="1" x14ac:dyDescent="0.3">
      <c r="A476" s="19">
        <v>19877</v>
      </c>
      <c r="B476" s="4" t="s">
        <v>1329</v>
      </c>
      <c r="C476" s="4" t="s">
        <v>2111</v>
      </c>
      <c r="D476" s="5">
        <v>42466.583784722221</v>
      </c>
      <c r="E476" s="5" t="s">
        <v>2083</v>
      </c>
      <c r="F476" s="4" t="s">
        <v>26</v>
      </c>
      <c r="G476" s="4" t="s">
        <v>259</v>
      </c>
      <c r="H476" s="4" t="s">
        <v>259</v>
      </c>
      <c r="I476" s="4" t="s">
        <v>203</v>
      </c>
      <c r="J476" s="4" t="s">
        <v>311</v>
      </c>
      <c r="K476" s="4" t="s">
        <v>31</v>
      </c>
      <c r="L476" s="5">
        <v>42472.916666666664</v>
      </c>
      <c r="M476" s="5">
        <v>42473.041666666664</v>
      </c>
      <c r="N476" s="5">
        <v>42473.083333333336</v>
      </c>
      <c r="O476" s="4" t="s">
        <v>710</v>
      </c>
      <c r="P476" s="4" t="s">
        <v>33</v>
      </c>
      <c r="Q476" s="4" t="s">
        <v>76</v>
      </c>
      <c r="R476" s="4" t="s">
        <v>1428</v>
      </c>
      <c r="S476" s="4" t="s">
        <v>1428</v>
      </c>
      <c r="T476" s="4" t="s">
        <v>36</v>
      </c>
      <c r="U476" s="4" t="s">
        <v>37</v>
      </c>
      <c r="V476" s="4" t="s">
        <v>1331</v>
      </c>
      <c r="W476" s="4"/>
      <c r="X476" s="4"/>
      <c r="Y476" s="4"/>
      <c r="Z476" s="4"/>
      <c r="AA476" s="4"/>
    </row>
    <row r="477" spans="1:27" s="1" customFormat="1" x14ac:dyDescent="0.3">
      <c r="A477" s="19">
        <v>19878</v>
      </c>
      <c r="B477" s="4" t="s">
        <v>1429</v>
      </c>
      <c r="C477" s="4">
        <v>0</v>
      </c>
      <c r="D477" s="5">
        <v>42466.586238425924</v>
      </c>
      <c r="E477" s="5" t="s">
        <v>2083</v>
      </c>
      <c r="F477" s="4" t="s">
        <v>26</v>
      </c>
      <c r="G477" s="4" t="s">
        <v>1193</v>
      </c>
      <c r="H477" s="4" t="s">
        <v>117</v>
      </c>
      <c r="I477" s="4" t="s">
        <v>118</v>
      </c>
      <c r="J477" s="4" t="s">
        <v>30</v>
      </c>
      <c r="K477" s="4" t="s">
        <v>31</v>
      </c>
      <c r="L477" s="5">
        <v>42466.916666666664</v>
      </c>
      <c r="M477" s="5">
        <v>42467.5</v>
      </c>
      <c r="N477" s="5">
        <v>42467.5</v>
      </c>
      <c r="O477" s="4" t="s">
        <v>250</v>
      </c>
      <c r="P477" s="4" t="s">
        <v>89</v>
      </c>
      <c r="Q477" s="4" t="s">
        <v>119</v>
      </c>
      <c r="R477" s="4" t="s">
        <v>201</v>
      </c>
      <c r="S477" s="4" t="s">
        <v>201</v>
      </c>
      <c r="T477" s="4" t="s">
        <v>37</v>
      </c>
      <c r="U477" s="4" t="s">
        <v>37</v>
      </c>
      <c r="V477" s="4" t="s">
        <v>202</v>
      </c>
      <c r="W477" s="4" t="s">
        <v>37</v>
      </c>
      <c r="X477" s="4" t="s">
        <v>37</v>
      </c>
      <c r="Y477" s="4" t="s">
        <v>36</v>
      </c>
      <c r="Z477" s="4" t="s">
        <v>1351</v>
      </c>
      <c r="AA477" s="4" t="s">
        <v>40</v>
      </c>
    </row>
    <row r="478" spans="1:27" s="1" customFormat="1" x14ac:dyDescent="0.3">
      <c r="A478" s="19">
        <v>19879</v>
      </c>
      <c r="B478" s="4" t="s">
        <v>1430</v>
      </c>
      <c r="C478" s="4" t="s">
        <v>39</v>
      </c>
      <c r="D478" s="5">
        <v>42466.636111111111</v>
      </c>
      <c r="E478" s="5" t="s">
        <v>2083</v>
      </c>
      <c r="F478" s="4" t="s">
        <v>26</v>
      </c>
      <c r="G478" s="4" t="s">
        <v>86</v>
      </c>
      <c r="H478" s="4" t="s">
        <v>259</v>
      </c>
      <c r="I478" s="4" t="s">
        <v>88</v>
      </c>
      <c r="J478" s="4" t="s">
        <v>30</v>
      </c>
      <c r="K478" s="4" t="s">
        <v>31</v>
      </c>
      <c r="L478" s="5">
        <v>42472.958333333336</v>
      </c>
      <c r="M478" s="5">
        <v>42473.041666666664</v>
      </c>
      <c r="N478" s="5">
        <v>42473.0625</v>
      </c>
      <c r="O478" s="4" t="s">
        <v>32</v>
      </c>
      <c r="P478" s="4" t="s">
        <v>89</v>
      </c>
      <c r="Q478" s="4" t="s">
        <v>76</v>
      </c>
      <c r="R478" s="4" t="s">
        <v>1431</v>
      </c>
      <c r="S478" s="4" t="s">
        <v>1431</v>
      </c>
      <c r="T478" s="4" t="s">
        <v>37</v>
      </c>
      <c r="U478" s="4" t="s">
        <v>37</v>
      </c>
      <c r="V478" s="4" t="s">
        <v>1432</v>
      </c>
      <c r="W478" s="4" t="s">
        <v>37</v>
      </c>
      <c r="X478" s="4" t="s">
        <v>37</v>
      </c>
      <c r="Y478" s="4" t="s">
        <v>36</v>
      </c>
      <c r="Z478" s="4" t="s">
        <v>39</v>
      </c>
      <c r="AA478" s="4" t="s">
        <v>257</v>
      </c>
    </row>
    <row r="479" spans="1:27" s="1" customFormat="1" x14ac:dyDescent="0.3">
      <c r="A479" s="19">
        <v>19880</v>
      </c>
      <c r="B479" s="4" t="s">
        <v>1433</v>
      </c>
      <c r="C479" s="4">
        <v>0</v>
      </c>
      <c r="D479" s="5">
        <v>42466.664953703701</v>
      </c>
      <c r="E479" s="5" t="s">
        <v>2083</v>
      </c>
      <c r="F479" s="4" t="s">
        <v>26</v>
      </c>
      <c r="G479" s="4" t="s">
        <v>195</v>
      </c>
      <c r="H479" s="4" t="s">
        <v>195</v>
      </c>
      <c r="I479" s="4" t="s">
        <v>42</v>
      </c>
      <c r="J479" s="4" t="s">
        <v>30</v>
      </c>
      <c r="K479" s="4" t="s">
        <v>31</v>
      </c>
      <c r="L479" s="5">
        <v>42483.333333333336</v>
      </c>
      <c r="M479" s="5">
        <v>42483.541666666664</v>
      </c>
      <c r="N479" s="5">
        <v>42485.583333333336</v>
      </c>
      <c r="O479" s="4" t="s">
        <v>32</v>
      </c>
      <c r="P479" s="4" t="s">
        <v>33</v>
      </c>
      <c r="Q479" s="4" t="s">
        <v>76</v>
      </c>
      <c r="R479" s="4" t="s">
        <v>658</v>
      </c>
      <c r="S479" s="4" t="s">
        <v>658</v>
      </c>
      <c r="T479" s="4" t="s">
        <v>37</v>
      </c>
      <c r="U479" s="4" t="s">
        <v>37</v>
      </c>
      <c r="V479" s="4" t="s">
        <v>1434</v>
      </c>
      <c r="W479" s="4" t="s">
        <v>37</v>
      </c>
      <c r="X479" s="4" t="s">
        <v>37</v>
      </c>
      <c r="Y479" s="4" t="s">
        <v>36</v>
      </c>
      <c r="Z479" s="4"/>
      <c r="AA479" s="4" t="s">
        <v>231</v>
      </c>
    </row>
    <row r="480" spans="1:27" s="1" customFormat="1" x14ac:dyDescent="0.3">
      <c r="A480" s="19">
        <v>19881</v>
      </c>
      <c r="B480" s="4" t="s">
        <v>1269</v>
      </c>
      <c r="C480" s="4" t="s">
        <v>2140</v>
      </c>
      <c r="D480" s="5">
        <v>42466.708912037036</v>
      </c>
      <c r="E480" s="5" t="s">
        <v>2083</v>
      </c>
      <c r="F480" s="4" t="s">
        <v>26</v>
      </c>
      <c r="G480" s="4" t="s">
        <v>1270</v>
      </c>
      <c r="H480" s="4" t="s">
        <v>729</v>
      </c>
      <c r="I480" s="4" t="s">
        <v>200</v>
      </c>
      <c r="J480" s="4" t="s">
        <v>49</v>
      </c>
      <c r="K480" s="4" t="s">
        <v>31</v>
      </c>
      <c r="L480" s="5">
        <v>42471.916666666664</v>
      </c>
      <c r="M480" s="5">
        <v>42475.291666666664</v>
      </c>
      <c r="N480" s="5">
        <v>42475.3125</v>
      </c>
      <c r="O480" s="4" t="s">
        <v>32</v>
      </c>
      <c r="P480" s="4" t="s">
        <v>89</v>
      </c>
      <c r="Q480" s="4" t="s">
        <v>50</v>
      </c>
      <c r="R480" s="4" t="s">
        <v>1435</v>
      </c>
      <c r="S480" s="4" t="s">
        <v>1435</v>
      </c>
      <c r="T480" s="4" t="s">
        <v>36</v>
      </c>
      <c r="U480" s="4" t="s">
        <v>36</v>
      </c>
      <c r="V480" s="4" t="s">
        <v>1272</v>
      </c>
      <c r="W480" s="4" t="s">
        <v>37</v>
      </c>
      <c r="X480" s="4" t="s">
        <v>37</v>
      </c>
      <c r="Y480" s="4" t="s">
        <v>36</v>
      </c>
      <c r="Z480" s="4" t="s">
        <v>77</v>
      </c>
      <c r="AA480" s="4"/>
    </row>
    <row r="481" spans="1:27" s="1" customFormat="1" x14ac:dyDescent="0.3">
      <c r="A481" s="19">
        <v>19882</v>
      </c>
      <c r="B481" s="4" t="s">
        <v>1436</v>
      </c>
      <c r="C481" s="4" t="s">
        <v>2107</v>
      </c>
      <c r="D481" s="5">
        <v>42466.710833333331</v>
      </c>
      <c r="E481" s="5" t="s">
        <v>2083</v>
      </c>
      <c r="F481" s="4" t="s">
        <v>26</v>
      </c>
      <c r="G481" s="4" t="s">
        <v>27</v>
      </c>
      <c r="H481" s="4" t="s">
        <v>1437</v>
      </c>
      <c r="I481" s="4" t="s">
        <v>218</v>
      </c>
      <c r="J481" s="4" t="s">
        <v>148</v>
      </c>
      <c r="K481" s="4" t="s">
        <v>31</v>
      </c>
      <c r="L481" s="5">
        <v>42475.958333333336</v>
      </c>
      <c r="M481" s="5">
        <v>42476.8125</v>
      </c>
      <c r="N481" s="5">
        <v>42476.8125</v>
      </c>
      <c r="O481" s="4" t="s">
        <v>32</v>
      </c>
      <c r="P481" s="4" t="s">
        <v>149</v>
      </c>
      <c r="Q481" s="4" t="s">
        <v>50</v>
      </c>
      <c r="R481" s="4" t="s">
        <v>1438</v>
      </c>
      <c r="S481" s="4" t="s">
        <v>1438</v>
      </c>
      <c r="T481" s="4" t="s">
        <v>36</v>
      </c>
      <c r="U481" s="4" t="s">
        <v>37</v>
      </c>
      <c r="V481" s="4" t="s">
        <v>1439</v>
      </c>
      <c r="W481" s="4" t="s">
        <v>37</v>
      </c>
      <c r="X481" s="4" t="s">
        <v>37</v>
      </c>
      <c r="Y481" s="4" t="s">
        <v>37</v>
      </c>
      <c r="Z481" s="4" t="s">
        <v>1440</v>
      </c>
      <c r="AA481" s="4"/>
    </row>
    <row r="482" spans="1:27" s="1" customFormat="1" x14ac:dyDescent="0.3">
      <c r="A482" s="19">
        <v>19883</v>
      </c>
      <c r="B482" s="4" t="s">
        <v>1441</v>
      </c>
      <c r="C482" s="4" t="s">
        <v>2164</v>
      </c>
      <c r="D482" s="5">
        <v>42467.351469907408</v>
      </c>
      <c r="E482" s="5" t="s">
        <v>2083</v>
      </c>
      <c r="F482" s="4" t="s">
        <v>26</v>
      </c>
      <c r="G482" s="4" t="s">
        <v>173</v>
      </c>
      <c r="H482" s="4" t="s">
        <v>173</v>
      </c>
      <c r="I482" s="4" t="s">
        <v>174</v>
      </c>
      <c r="J482" s="4" t="s">
        <v>175</v>
      </c>
      <c r="K482" s="4" t="s">
        <v>31</v>
      </c>
      <c r="L482" s="5">
        <v>42483.958333333336</v>
      </c>
      <c r="M482" s="5">
        <v>42484.208333333336</v>
      </c>
      <c r="N482" s="5">
        <v>42484.25</v>
      </c>
      <c r="O482" s="4" t="s">
        <v>32</v>
      </c>
      <c r="P482" s="4" t="s">
        <v>33</v>
      </c>
      <c r="Q482" s="4" t="s">
        <v>76</v>
      </c>
      <c r="R482" s="4" t="s">
        <v>196</v>
      </c>
      <c r="S482" s="4" t="s">
        <v>196</v>
      </c>
      <c r="T482" s="4" t="s">
        <v>37</v>
      </c>
      <c r="U482" s="4" t="s">
        <v>37</v>
      </c>
      <c r="V482" s="4" t="s">
        <v>1442</v>
      </c>
      <c r="W482" s="4" t="s">
        <v>37</v>
      </c>
      <c r="X482" s="4" t="s">
        <v>37</v>
      </c>
      <c r="Y482" s="4" t="s">
        <v>36</v>
      </c>
      <c r="Z482" s="4" t="s">
        <v>178</v>
      </c>
      <c r="AA482" s="4" t="s">
        <v>179</v>
      </c>
    </row>
    <row r="483" spans="1:27" s="1" customFormat="1" x14ac:dyDescent="0.3">
      <c r="A483" s="19">
        <v>19886</v>
      </c>
      <c r="B483" s="4" t="s">
        <v>352</v>
      </c>
      <c r="C483" s="4">
        <v>0</v>
      </c>
      <c r="D483" s="5">
        <v>42467.465439814812</v>
      </c>
      <c r="E483" s="5" t="s">
        <v>2083</v>
      </c>
      <c r="F483" s="4" t="s">
        <v>26</v>
      </c>
      <c r="G483" s="4" t="s">
        <v>168</v>
      </c>
      <c r="H483" s="4" t="s">
        <v>168</v>
      </c>
      <c r="I483" s="4" t="s">
        <v>221</v>
      </c>
      <c r="J483" s="4" t="s">
        <v>30</v>
      </c>
      <c r="K483" s="4" t="s">
        <v>31</v>
      </c>
      <c r="L483" s="5">
        <v>42489.875</v>
      </c>
      <c r="M483" s="5">
        <v>42490.166666666664</v>
      </c>
      <c r="N483" s="5">
        <v>42490.208333333336</v>
      </c>
      <c r="O483" s="4" t="s">
        <v>32</v>
      </c>
      <c r="P483" s="4" t="s">
        <v>33</v>
      </c>
      <c r="Q483" s="4" t="s">
        <v>34</v>
      </c>
      <c r="R483" s="6" t="s">
        <v>77</v>
      </c>
      <c r="S483" s="4" t="s">
        <v>323</v>
      </c>
      <c r="T483" s="4" t="s">
        <v>36</v>
      </c>
      <c r="U483" s="4" t="s">
        <v>37</v>
      </c>
      <c r="V483" s="4" t="s">
        <v>171</v>
      </c>
      <c r="W483" s="4" t="s">
        <v>37</v>
      </c>
      <c r="X483" s="4" t="s">
        <v>37</v>
      </c>
      <c r="Y483" s="4" t="s">
        <v>36</v>
      </c>
      <c r="Z483" s="4"/>
      <c r="AA483" s="4" t="s">
        <v>93</v>
      </c>
    </row>
    <row r="484" spans="1:27" s="1" customFormat="1" x14ac:dyDescent="0.3">
      <c r="A484" s="19">
        <v>19887</v>
      </c>
      <c r="B484" s="4" t="s">
        <v>334</v>
      </c>
      <c r="C484" s="4">
        <v>0</v>
      </c>
      <c r="D484" s="5">
        <v>42467.485486111109</v>
      </c>
      <c r="E484" s="5" t="s">
        <v>2083</v>
      </c>
      <c r="F484" s="4" t="s">
        <v>26</v>
      </c>
      <c r="G484" s="4" t="s">
        <v>168</v>
      </c>
      <c r="H484" s="4" t="s">
        <v>168</v>
      </c>
      <c r="I484" s="4" t="s">
        <v>221</v>
      </c>
      <c r="J484" s="4" t="s">
        <v>30</v>
      </c>
      <c r="K484" s="4" t="s">
        <v>31</v>
      </c>
      <c r="L484" s="5">
        <v>42489.916666666664</v>
      </c>
      <c r="M484" s="5">
        <v>42490.166666666664</v>
      </c>
      <c r="N484" s="5">
        <v>42490.208333333336</v>
      </c>
      <c r="O484" s="4" t="s">
        <v>32</v>
      </c>
      <c r="P484" s="4" t="s">
        <v>33</v>
      </c>
      <c r="Q484" s="4" t="s">
        <v>34</v>
      </c>
      <c r="R484" s="6" t="s">
        <v>77</v>
      </c>
      <c r="S484" s="4" t="s">
        <v>323</v>
      </c>
      <c r="T484" s="4" t="s">
        <v>36</v>
      </c>
      <c r="U484" s="4" t="s">
        <v>37</v>
      </c>
      <c r="V484" s="4" t="s">
        <v>171</v>
      </c>
      <c r="W484" s="4" t="s">
        <v>37</v>
      </c>
      <c r="X484" s="4" t="s">
        <v>37</v>
      </c>
      <c r="Y484" s="4" t="s">
        <v>36</v>
      </c>
      <c r="Z484" s="4"/>
      <c r="AA484" s="4" t="s">
        <v>93</v>
      </c>
    </row>
    <row r="485" spans="1:27" s="1" customFormat="1" x14ac:dyDescent="0.3">
      <c r="A485" s="19">
        <v>19888</v>
      </c>
      <c r="B485" s="4" t="s">
        <v>1443</v>
      </c>
      <c r="C485" s="4" t="s">
        <v>2166</v>
      </c>
      <c r="D485" s="5">
        <v>42467.502476851849</v>
      </c>
      <c r="E485" s="5" t="s">
        <v>2083</v>
      </c>
      <c r="F485" s="4" t="s">
        <v>26</v>
      </c>
      <c r="G485" s="4" t="s">
        <v>27</v>
      </c>
      <c r="H485" s="4" t="s">
        <v>413</v>
      </c>
      <c r="I485" s="4" t="s">
        <v>216</v>
      </c>
      <c r="J485" s="4" t="s">
        <v>49</v>
      </c>
      <c r="K485" s="4" t="s">
        <v>31</v>
      </c>
      <c r="L485" s="5">
        <v>42473.958333333336</v>
      </c>
      <c r="M485" s="5">
        <v>42474.041666666664</v>
      </c>
      <c r="N485" s="5">
        <v>42474.083333333336</v>
      </c>
      <c r="O485" s="4" t="s">
        <v>32</v>
      </c>
      <c r="P485" s="4" t="s">
        <v>149</v>
      </c>
      <c r="Q485" s="4" t="s">
        <v>76</v>
      </c>
      <c r="R485" s="4" t="s">
        <v>1444</v>
      </c>
      <c r="S485" s="4" t="s">
        <v>1444</v>
      </c>
      <c r="T485" s="4" t="s">
        <v>37</v>
      </c>
      <c r="U485" s="4" t="s">
        <v>37</v>
      </c>
      <c r="V485" s="4" t="s">
        <v>1445</v>
      </c>
      <c r="W485" s="4" t="s">
        <v>37</v>
      </c>
      <c r="X485" s="4" t="s">
        <v>37</v>
      </c>
      <c r="Y485" s="4" t="s">
        <v>36</v>
      </c>
      <c r="Z485" s="4" t="s">
        <v>1446</v>
      </c>
      <c r="AA485" s="4"/>
    </row>
    <row r="486" spans="1:27" s="1" customFormat="1" x14ac:dyDescent="0.3">
      <c r="A486" s="19">
        <v>19889</v>
      </c>
      <c r="B486" s="4" t="s">
        <v>1447</v>
      </c>
      <c r="C486" s="4" t="s">
        <v>2111</v>
      </c>
      <c r="D486" s="5">
        <v>42467.613796296297</v>
      </c>
      <c r="E486" s="5" t="s">
        <v>2083</v>
      </c>
      <c r="F486" s="4" t="s">
        <v>26</v>
      </c>
      <c r="G486" s="4" t="s">
        <v>397</v>
      </c>
      <c r="H486" s="4" t="s">
        <v>397</v>
      </c>
      <c r="I486" s="4" t="s">
        <v>205</v>
      </c>
      <c r="J486" s="4" t="s">
        <v>30</v>
      </c>
      <c r="K486" s="4" t="s">
        <v>31</v>
      </c>
      <c r="L486" s="5">
        <v>42470.010416666664</v>
      </c>
      <c r="M486" s="5">
        <v>42470.208333333336</v>
      </c>
      <c r="N486" s="5">
        <v>42470.25</v>
      </c>
      <c r="O486" s="4" t="s">
        <v>710</v>
      </c>
      <c r="P486" s="4" t="s">
        <v>33</v>
      </c>
      <c r="Q486" s="4" t="s">
        <v>76</v>
      </c>
      <c r="R486" s="4" t="s">
        <v>1448</v>
      </c>
      <c r="S486" s="4" t="s">
        <v>1448</v>
      </c>
      <c r="T486" s="4" t="s">
        <v>36</v>
      </c>
      <c r="U486" s="4" t="s">
        <v>37</v>
      </c>
      <c r="V486" s="4" t="s">
        <v>1449</v>
      </c>
      <c r="W486" s="4" t="s">
        <v>37</v>
      </c>
      <c r="X486" s="4" t="s">
        <v>37</v>
      </c>
      <c r="Y486" s="4" t="s">
        <v>36</v>
      </c>
      <c r="Z486" s="4"/>
      <c r="AA486" s="4" t="s">
        <v>179</v>
      </c>
    </row>
    <row r="487" spans="1:27" s="1" customFormat="1" x14ac:dyDescent="0.3">
      <c r="A487" s="19">
        <v>19890</v>
      </c>
      <c r="B487" s="4" t="s">
        <v>1402</v>
      </c>
      <c r="C487" s="4" t="s">
        <v>2111</v>
      </c>
      <c r="D487" s="5">
        <v>42467.614386574074</v>
      </c>
      <c r="E487" s="5" t="s">
        <v>2083</v>
      </c>
      <c r="F487" s="4" t="s">
        <v>26</v>
      </c>
      <c r="G487" s="4" t="s">
        <v>243</v>
      </c>
      <c r="H487" s="4" t="s">
        <v>243</v>
      </c>
      <c r="I487" s="4" t="s">
        <v>216</v>
      </c>
      <c r="J487" s="4" t="s">
        <v>30</v>
      </c>
      <c r="K487" s="4" t="s">
        <v>31</v>
      </c>
      <c r="L487" s="5">
        <v>42467.916666666664</v>
      </c>
      <c r="M487" s="5">
        <v>42468.125</v>
      </c>
      <c r="N487" s="5">
        <v>42468.375</v>
      </c>
      <c r="O487" s="4" t="s">
        <v>710</v>
      </c>
      <c r="P487" s="4" t="s">
        <v>33</v>
      </c>
      <c r="Q487" s="4" t="s">
        <v>76</v>
      </c>
      <c r="R487" s="4" t="s">
        <v>245</v>
      </c>
      <c r="S487" s="4" t="s">
        <v>245</v>
      </c>
      <c r="T487" s="4" t="s">
        <v>37</v>
      </c>
      <c r="U487" s="4" t="s">
        <v>37</v>
      </c>
      <c r="V487" s="4" t="s">
        <v>246</v>
      </c>
      <c r="W487" s="4" t="s">
        <v>37</v>
      </c>
      <c r="X487" s="4" t="s">
        <v>37</v>
      </c>
      <c r="Y487" s="4" t="s">
        <v>36</v>
      </c>
      <c r="Z487" s="4"/>
      <c r="AA487" s="4" t="s">
        <v>179</v>
      </c>
    </row>
    <row r="488" spans="1:27" s="1" customFormat="1" x14ac:dyDescent="0.3">
      <c r="A488" s="19">
        <v>19893</v>
      </c>
      <c r="B488" s="4" t="s">
        <v>1450</v>
      </c>
      <c r="C488" s="4" t="s">
        <v>2167</v>
      </c>
      <c r="D488" s="5">
        <v>42467.660277777781</v>
      </c>
      <c r="E488" s="5" t="s">
        <v>2083</v>
      </c>
      <c r="F488" s="4" t="s">
        <v>26</v>
      </c>
      <c r="G488" s="4" t="s">
        <v>428</v>
      </c>
      <c r="H488" s="4" t="s">
        <v>428</v>
      </c>
      <c r="I488" s="4" t="s">
        <v>83</v>
      </c>
      <c r="J488" s="4" t="s">
        <v>1451</v>
      </c>
      <c r="K488" s="4" t="s">
        <v>31</v>
      </c>
      <c r="L488" s="5">
        <v>42482.916666666664</v>
      </c>
      <c r="M488" s="5">
        <v>42483.25</v>
      </c>
      <c r="N488" s="5">
        <v>42487.665972222225</v>
      </c>
      <c r="O488" s="4" t="s">
        <v>32</v>
      </c>
      <c r="P488" s="4" t="s">
        <v>33</v>
      </c>
      <c r="Q488" s="4" t="s">
        <v>76</v>
      </c>
      <c r="R488" s="6" t="s">
        <v>77</v>
      </c>
      <c r="S488" s="6" t="s">
        <v>77</v>
      </c>
      <c r="T488" s="4" t="s">
        <v>37</v>
      </c>
      <c r="U488" s="4" t="s">
        <v>37</v>
      </c>
      <c r="V488" s="4" t="s">
        <v>395</v>
      </c>
      <c r="W488" s="4" t="s">
        <v>37</v>
      </c>
      <c r="X488" s="4" t="s">
        <v>37</v>
      </c>
      <c r="Y488" s="4" t="s">
        <v>36</v>
      </c>
      <c r="Z488" s="4"/>
      <c r="AA488" s="4" t="s">
        <v>166</v>
      </c>
    </row>
    <row r="489" spans="1:27" s="1" customFormat="1" x14ac:dyDescent="0.3">
      <c r="A489" s="19">
        <v>19895</v>
      </c>
      <c r="B489" s="4" t="s">
        <v>1370</v>
      </c>
      <c r="C489" s="4" t="s">
        <v>2144</v>
      </c>
      <c r="D489" s="5">
        <v>42467.677199074074</v>
      </c>
      <c r="E489" s="5" t="s">
        <v>2083</v>
      </c>
      <c r="F489" s="4" t="s">
        <v>26</v>
      </c>
      <c r="G489" s="4" t="s">
        <v>435</v>
      </c>
      <c r="H489" s="4" t="s">
        <v>435</v>
      </c>
      <c r="I489" s="4" t="s">
        <v>118</v>
      </c>
      <c r="J489" s="4" t="s">
        <v>30</v>
      </c>
      <c r="K489" s="4" t="s">
        <v>31</v>
      </c>
      <c r="L489" s="5">
        <v>42473.291666666664</v>
      </c>
      <c r="M489" s="5">
        <v>42473.375</v>
      </c>
      <c r="N489" s="5">
        <v>42473.416666666664</v>
      </c>
      <c r="O489" s="4" t="s">
        <v>32</v>
      </c>
      <c r="P489" s="4" t="s">
        <v>33</v>
      </c>
      <c r="Q489" s="4" t="s">
        <v>76</v>
      </c>
      <c r="R489" s="4" t="s">
        <v>436</v>
      </c>
      <c r="S489" s="4" t="s">
        <v>436</v>
      </c>
      <c r="T489" s="4" t="s">
        <v>37</v>
      </c>
      <c r="U489" s="4" t="s">
        <v>37</v>
      </c>
      <c r="V489" s="4" t="s">
        <v>597</v>
      </c>
      <c r="W489" s="4" t="s">
        <v>37</v>
      </c>
      <c r="X489" s="4" t="s">
        <v>37</v>
      </c>
      <c r="Y489" s="4" t="s">
        <v>36</v>
      </c>
      <c r="Z489" s="4" t="s">
        <v>1452</v>
      </c>
      <c r="AA489" s="4" t="s">
        <v>179</v>
      </c>
    </row>
    <row r="490" spans="1:27" s="1" customFormat="1" x14ac:dyDescent="0.3">
      <c r="A490" s="19">
        <v>19896</v>
      </c>
      <c r="B490" s="4" t="s">
        <v>1453</v>
      </c>
      <c r="C490" s="4">
        <v>0</v>
      </c>
      <c r="D490" s="5">
        <v>42467.681932870371</v>
      </c>
      <c r="E490" s="5" t="s">
        <v>2083</v>
      </c>
      <c r="F490" s="4" t="s">
        <v>26</v>
      </c>
      <c r="G490" s="4" t="s">
        <v>428</v>
      </c>
      <c r="H490" s="4" t="s">
        <v>428</v>
      </c>
      <c r="I490" s="4" t="s">
        <v>56</v>
      </c>
      <c r="J490" s="4" t="s">
        <v>1057</v>
      </c>
      <c r="K490" s="4" t="s">
        <v>31</v>
      </c>
      <c r="L490" s="5">
        <v>42475.916666666664</v>
      </c>
      <c r="M490" s="5">
        <v>42476.25</v>
      </c>
      <c r="N490" s="5">
        <v>42480.692361111112</v>
      </c>
      <c r="O490" s="4" t="s">
        <v>32</v>
      </c>
      <c r="P490" s="4" t="s">
        <v>33</v>
      </c>
      <c r="Q490" s="4" t="s">
        <v>76</v>
      </c>
      <c r="R490" s="6" t="s">
        <v>77</v>
      </c>
      <c r="S490" s="6" t="s">
        <v>77</v>
      </c>
      <c r="T490" s="4" t="s">
        <v>37</v>
      </c>
      <c r="U490" s="4" t="s">
        <v>37</v>
      </c>
      <c r="V490" s="4" t="s">
        <v>395</v>
      </c>
      <c r="W490" s="4" t="s">
        <v>37</v>
      </c>
      <c r="X490" s="4" t="s">
        <v>37</v>
      </c>
      <c r="Y490" s="4" t="s">
        <v>37</v>
      </c>
      <c r="Z490" s="4"/>
      <c r="AA490" s="4" t="s">
        <v>346</v>
      </c>
    </row>
    <row r="491" spans="1:27" s="1" customFormat="1" x14ac:dyDescent="0.3">
      <c r="A491" s="19">
        <v>19901</v>
      </c>
      <c r="B491" s="4" t="s">
        <v>1454</v>
      </c>
      <c r="C491" s="4" t="s">
        <v>2165</v>
      </c>
      <c r="D491" s="5">
        <v>42468.41914351852</v>
      </c>
      <c r="E491" s="5" t="s">
        <v>2083</v>
      </c>
      <c r="F491" s="4" t="s">
        <v>26</v>
      </c>
      <c r="G491" s="4" t="s">
        <v>146</v>
      </c>
      <c r="H491" s="4" t="s">
        <v>1455</v>
      </c>
      <c r="I491" s="4" t="s">
        <v>212</v>
      </c>
      <c r="J491" s="4" t="s">
        <v>311</v>
      </c>
      <c r="K491" s="4" t="s">
        <v>31</v>
      </c>
      <c r="L491" s="5">
        <v>42474.916666666664</v>
      </c>
      <c r="M491" s="5">
        <v>42475.083333333336</v>
      </c>
      <c r="N491" s="5">
        <v>42475.166666666664</v>
      </c>
      <c r="O491" s="4" t="s">
        <v>32</v>
      </c>
      <c r="P491" s="4" t="s">
        <v>149</v>
      </c>
      <c r="Q491" s="4" t="s">
        <v>50</v>
      </c>
      <c r="R491" s="4" t="s">
        <v>1456</v>
      </c>
      <c r="S491" s="4" t="s">
        <v>1456</v>
      </c>
      <c r="T491" s="4" t="s">
        <v>37</v>
      </c>
      <c r="U491" s="4" t="s">
        <v>37</v>
      </c>
      <c r="V491" s="4" t="s">
        <v>1457</v>
      </c>
      <c r="W491" s="4"/>
      <c r="X491" s="4"/>
      <c r="Y491" s="4"/>
      <c r="Z491" s="4"/>
      <c r="AA491" s="4"/>
    </row>
    <row r="492" spans="1:27" s="1" customFormat="1" x14ac:dyDescent="0.3">
      <c r="A492" s="19">
        <v>19902</v>
      </c>
      <c r="B492" s="4" t="s">
        <v>1458</v>
      </c>
      <c r="C492" s="4" t="s">
        <v>2111</v>
      </c>
      <c r="D492" s="5">
        <v>42468.486041666663</v>
      </c>
      <c r="E492" s="5" t="s">
        <v>2083</v>
      </c>
      <c r="F492" s="4" t="s">
        <v>26</v>
      </c>
      <c r="G492" s="4" t="s">
        <v>243</v>
      </c>
      <c r="H492" s="4" t="s">
        <v>243</v>
      </c>
      <c r="I492" s="4" t="s">
        <v>216</v>
      </c>
      <c r="J492" s="4" t="s">
        <v>30</v>
      </c>
      <c r="K492" s="4" t="s">
        <v>31</v>
      </c>
      <c r="L492" s="5">
        <v>42468.916666666664</v>
      </c>
      <c r="M492" s="5">
        <v>42469.125</v>
      </c>
      <c r="N492" s="5">
        <v>42469.375</v>
      </c>
      <c r="O492" s="4" t="s">
        <v>710</v>
      </c>
      <c r="P492" s="4" t="s">
        <v>33</v>
      </c>
      <c r="Q492" s="4" t="s">
        <v>76</v>
      </c>
      <c r="R492" s="4" t="s">
        <v>245</v>
      </c>
      <c r="S492" s="4" t="s">
        <v>245</v>
      </c>
      <c r="T492" s="4" t="s">
        <v>37</v>
      </c>
      <c r="U492" s="4" t="s">
        <v>37</v>
      </c>
      <c r="V492" s="4" t="s">
        <v>246</v>
      </c>
      <c r="W492" s="4" t="s">
        <v>37</v>
      </c>
      <c r="X492" s="4" t="s">
        <v>37</v>
      </c>
      <c r="Y492" s="4" t="s">
        <v>37</v>
      </c>
      <c r="Z492" s="4"/>
      <c r="AA492" s="4" t="s">
        <v>179</v>
      </c>
    </row>
    <row r="493" spans="1:27" s="1" customFormat="1" x14ac:dyDescent="0.3">
      <c r="A493" s="19">
        <v>19903</v>
      </c>
      <c r="B493" s="4" t="s">
        <v>1459</v>
      </c>
      <c r="C493" s="4">
        <v>0</v>
      </c>
      <c r="D493" s="5">
        <v>42468.560613425929</v>
      </c>
      <c r="E493" s="5" t="s">
        <v>2083</v>
      </c>
      <c r="F493" s="4" t="s">
        <v>26</v>
      </c>
      <c r="G493" s="4" t="s">
        <v>279</v>
      </c>
      <c r="H493" s="4" t="s">
        <v>279</v>
      </c>
      <c r="I493" s="4" t="s">
        <v>158</v>
      </c>
      <c r="J493" s="4" t="s">
        <v>535</v>
      </c>
      <c r="K493" s="4" t="s">
        <v>31</v>
      </c>
      <c r="L493" s="5">
        <v>42475.916666666664</v>
      </c>
      <c r="M493" s="5">
        <v>42476.083333333336</v>
      </c>
      <c r="N493" s="5">
        <v>42476.125</v>
      </c>
      <c r="O493" s="4" t="s">
        <v>32</v>
      </c>
      <c r="P493" s="4" t="s">
        <v>33</v>
      </c>
      <c r="Q493" s="4" t="s">
        <v>50</v>
      </c>
      <c r="R493" s="4" t="s">
        <v>1460</v>
      </c>
      <c r="S493" s="4" t="s">
        <v>1460</v>
      </c>
      <c r="T493" s="4" t="s">
        <v>36</v>
      </c>
      <c r="U493" s="4" t="s">
        <v>36</v>
      </c>
      <c r="V493" s="4" t="s">
        <v>1461</v>
      </c>
      <c r="W493" s="4"/>
      <c r="X493" s="4"/>
      <c r="Y493" s="4"/>
      <c r="Z493" s="4"/>
      <c r="AA493" s="4" t="s">
        <v>358</v>
      </c>
    </row>
    <row r="494" spans="1:27" s="1" customFormat="1" x14ac:dyDescent="0.3">
      <c r="A494" s="19">
        <v>19904</v>
      </c>
      <c r="B494" s="4" t="s">
        <v>1462</v>
      </c>
      <c r="C494" s="4">
        <v>0</v>
      </c>
      <c r="D494" s="5">
        <v>42468.578622685185</v>
      </c>
      <c r="E494" s="5" t="s">
        <v>2083</v>
      </c>
      <c r="F494" s="4" t="s">
        <v>26</v>
      </c>
      <c r="G494" s="4" t="s">
        <v>274</v>
      </c>
      <c r="H494" s="4" t="s">
        <v>274</v>
      </c>
      <c r="I494" s="4" t="s">
        <v>208</v>
      </c>
      <c r="J494" s="4" t="s">
        <v>357</v>
      </c>
      <c r="K494" s="4" t="s">
        <v>31</v>
      </c>
      <c r="L494" s="5">
        <v>42484.000694444447</v>
      </c>
      <c r="M494" s="5">
        <v>42484.25</v>
      </c>
      <c r="N494" s="5">
        <v>42484.291666666664</v>
      </c>
      <c r="O494" s="4" t="s">
        <v>32</v>
      </c>
      <c r="P494" s="4" t="s">
        <v>33</v>
      </c>
      <c r="Q494" s="4" t="s">
        <v>34</v>
      </c>
      <c r="R494" s="6" t="s">
        <v>77</v>
      </c>
      <c r="S494" s="4" t="s">
        <v>282</v>
      </c>
      <c r="T494" s="4" t="s">
        <v>37</v>
      </c>
      <c r="U494" s="4" t="s">
        <v>37</v>
      </c>
      <c r="V494" s="4" t="s">
        <v>276</v>
      </c>
      <c r="W494" s="4" t="s">
        <v>37</v>
      </c>
      <c r="X494" s="4" t="s">
        <v>37</v>
      </c>
      <c r="Y494" s="4" t="s">
        <v>36</v>
      </c>
      <c r="Z494" s="4"/>
      <c r="AA494" s="4" t="s">
        <v>358</v>
      </c>
    </row>
    <row r="495" spans="1:27" s="1" customFormat="1" x14ac:dyDescent="0.3">
      <c r="A495" s="19">
        <v>19905</v>
      </c>
      <c r="B495" s="4" t="s">
        <v>1463</v>
      </c>
      <c r="C495" s="4">
        <v>0</v>
      </c>
      <c r="D495" s="5">
        <v>42468.578946759262</v>
      </c>
      <c r="E495" s="5" t="s">
        <v>2083</v>
      </c>
      <c r="F495" s="4" t="s">
        <v>26</v>
      </c>
      <c r="G495" s="4" t="s">
        <v>98</v>
      </c>
      <c r="H495" s="4" t="s">
        <v>98</v>
      </c>
      <c r="I495" s="4" t="s">
        <v>88</v>
      </c>
      <c r="J495" s="4" t="s">
        <v>99</v>
      </c>
      <c r="K495" s="4" t="s">
        <v>31</v>
      </c>
      <c r="L495" s="5">
        <v>42469.916666666664</v>
      </c>
      <c r="M495" s="5">
        <v>42470.166666666664</v>
      </c>
      <c r="N495" s="5">
        <v>42470.166666666664</v>
      </c>
      <c r="O495" s="4" t="s">
        <v>250</v>
      </c>
      <c r="P495" s="4" t="s">
        <v>89</v>
      </c>
      <c r="Q495" s="4" t="s">
        <v>119</v>
      </c>
      <c r="R495" s="6" t="s">
        <v>77</v>
      </c>
      <c r="S495" s="6" t="s">
        <v>77</v>
      </c>
      <c r="T495" s="4" t="s">
        <v>37</v>
      </c>
      <c r="U495" s="4" t="s">
        <v>37</v>
      </c>
      <c r="V495" s="4" t="s">
        <v>1464</v>
      </c>
      <c r="W495" s="4" t="s">
        <v>37</v>
      </c>
      <c r="X495" s="4" t="s">
        <v>37</v>
      </c>
      <c r="Y495" s="4" t="s">
        <v>36</v>
      </c>
      <c r="Z495" s="4">
        <v>0</v>
      </c>
      <c r="AA495" s="4" t="s">
        <v>255</v>
      </c>
    </row>
    <row r="496" spans="1:27" s="1" customFormat="1" x14ac:dyDescent="0.3">
      <c r="A496" s="19">
        <v>19906</v>
      </c>
      <c r="B496" s="4" t="s">
        <v>1465</v>
      </c>
      <c r="C496" s="4" t="s">
        <v>2168</v>
      </c>
      <c r="D496" s="5">
        <v>42468.604502314818</v>
      </c>
      <c r="E496" s="5" t="s">
        <v>2083</v>
      </c>
      <c r="F496" s="4" t="s">
        <v>26</v>
      </c>
      <c r="G496" s="4" t="s">
        <v>27</v>
      </c>
      <c r="H496" s="4" t="s">
        <v>1466</v>
      </c>
      <c r="I496" s="4" t="s">
        <v>216</v>
      </c>
      <c r="J496" s="4" t="s">
        <v>49</v>
      </c>
      <c r="K496" s="4" t="s">
        <v>31</v>
      </c>
      <c r="L496" s="5">
        <v>42474.958333333336</v>
      </c>
      <c r="M496" s="5">
        <v>42475.041666666664</v>
      </c>
      <c r="N496" s="5">
        <v>42475.083333333336</v>
      </c>
      <c r="O496" s="4" t="s">
        <v>32</v>
      </c>
      <c r="P496" s="4" t="s">
        <v>149</v>
      </c>
      <c r="Q496" s="4" t="s">
        <v>76</v>
      </c>
      <c r="R496" s="4" t="s">
        <v>1444</v>
      </c>
      <c r="S496" s="4" t="s">
        <v>1444</v>
      </c>
      <c r="T496" s="4" t="s">
        <v>37</v>
      </c>
      <c r="U496" s="4" t="s">
        <v>37</v>
      </c>
      <c r="V496" s="4" t="s">
        <v>1467</v>
      </c>
      <c r="W496" s="4" t="s">
        <v>37</v>
      </c>
      <c r="X496" s="4" t="s">
        <v>37</v>
      </c>
      <c r="Y496" s="4" t="s">
        <v>36</v>
      </c>
      <c r="Z496" s="4" t="s">
        <v>1468</v>
      </c>
      <c r="AA496" s="4"/>
    </row>
    <row r="497" spans="1:27" s="1" customFormat="1" x14ac:dyDescent="0.3">
      <c r="A497" s="19">
        <v>19907</v>
      </c>
      <c r="B497" s="4" t="s">
        <v>1469</v>
      </c>
      <c r="C497" s="4" t="s">
        <v>2169</v>
      </c>
      <c r="D497" s="5">
        <v>42468.607222222221</v>
      </c>
      <c r="E497" s="5" t="s">
        <v>2083</v>
      </c>
      <c r="F497" s="4" t="s">
        <v>26</v>
      </c>
      <c r="G497" s="4" t="s">
        <v>27</v>
      </c>
      <c r="H497" s="4" t="s">
        <v>1470</v>
      </c>
      <c r="I497" s="4" t="s">
        <v>216</v>
      </c>
      <c r="J497" s="4" t="s">
        <v>49</v>
      </c>
      <c r="K497" s="4" t="s">
        <v>31</v>
      </c>
      <c r="L497" s="5">
        <v>42480.958333333336</v>
      </c>
      <c r="M497" s="5">
        <v>42481.131944444445</v>
      </c>
      <c r="N497" s="5">
        <v>42481.173611111109</v>
      </c>
      <c r="O497" s="4" t="s">
        <v>32</v>
      </c>
      <c r="P497" s="4" t="s">
        <v>149</v>
      </c>
      <c r="Q497" s="4" t="s">
        <v>76</v>
      </c>
      <c r="R497" s="4" t="s">
        <v>1471</v>
      </c>
      <c r="S497" s="4" t="s">
        <v>1471</v>
      </c>
      <c r="T497" s="4" t="s">
        <v>37</v>
      </c>
      <c r="U497" s="4" t="s">
        <v>37</v>
      </c>
      <c r="V497" s="4" t="s">
        <v>1472</v>
      </c>
      <c r="W497" s="4" t="s">
        <v>37</v>
      </c>
      <c r="X497" s="4" t="s">
        <v>37</v>
      </c>
      <c r="Y497" s="4" t="s">
        <v>36</v>
      </c>
      <c r="Z497" s="4" t="s">
        <v>1473</v>
      </c>
      <c r="AA497" s="4"/>
    </row>
    <row r="498" spans="1:27" s="1" customFormat="1" x14ac:dyDescent="0.3">
      <c r="A498" s="19">
        <v>19908</v>
      </c>
      <c r="B498" s="4" t="s">
        <v>1474</v>
      </c>
      <c r="C498" s="4" t="s">
        <v>2170</v>
      </c>
      <c r="D498" s="5">
        <v>42468.609490740739</v>
      </c>
      <c r="E498" s="5" t="s">
        <v>2083</v>
      </c>
      <c r="F498" s="4" t="s">
        <v>26</v>
      </c>
      <c r="G498" s="4" t="s">
        <v>27</v>
      </c>
      <c r="H498" s="4" t="s">
        <v>1470</v>
      </c>
      <c r="I498" s="4" t="s">
        <v>216</v>
      </c>
      <c r="J498" s="4" t="s">
        <v>49</v>
      </c>
      <c r="K498" s="4" t="s">
        <v>31</v>
      </c>
      <c r="L498" s="5">
        <v>42485.958333333336</v>
      </c>
      <c r="M498" s="5">
        <v>42486.048611111109</v>
      </c>
      <c r="N498" s="5">
        <v>42486.090277777781</v>
      </c>
      <c r="O498" s="4" t="s">
        <v>32</v>
      </c>
      <c r="P498" s="4" t="s">
        <v>149</v>
      </c>
      <c r="Q498" s="4" t="s">
        <v>76</v>
      </c>
      <c r="R498" s="4" t="s">
        <v>1471</v>
      </c>
      <c r="S498" s="4" t="s">
        <v>1471</v>
      </c>
      <c r="T498" s="4" t="s">
        <v>37</v>
      </c>
      <c r="U498" s="4" t="s">
        <v>37</v>
      </c>
      <c r="V498" s="4" t="s">
        <v>1475</v>
      </c>
      <c r="W498" s="4" t="s">
        <v>37</v>
      </c>
      <c r="X498" s="4" t="s">
        <v>37</v>
      </c>
      <c r="Y498" s="4" t="s">
        <v>36</v>
      </c>
      <c r="Z498" s="4" t="s">
        <v>1476</v>
      </c>
      <c r="AA498" s="4"/>
    </row>
    <row r="499" spans="1:27" s="1" customFormat="1" x14ac:dyDescent="0.3">
      <c r="A499" s="19">
        <v>19910</v>
      </c>
      <c r="B499" s="4" t="s">
        <v>1477</v>
      </c>
      <c r="C499" s="4">
        <v>0</v>
      </c>
      <c r="D499" s="5">
        <v>42468.650416666664</v>
      </c>
      <c r="E499" s="5" t="s">
        <v>2083</v>
      </c>
      <c r="F499" s="4" t="s">
        <v>26</v>
      </c>
      <c r="G499" s="4" t="s">
        <v>249</v>
      </c>
      <c r="H499" s="4" t="s">
        <v>249</v>
      </c>
      <c r="I499" s="4" t="s">
        <v>126</v>
      </c>
      <c r="J499" s="4" t="s">
        <v>30</v>
      </c>
      <c r="K499" s="4" t="s">
        <v>31</v>
      </c>
      <c r="L499" s="5">
        <v>42474.916666666664</v>
      </c>
      <c r="M499" s="5">
        <v>42475.208333333336</v>
      </c>
      <c r="N499" s="5">
        <v>42475.208333333336</v>
      </c>
      <c r="O499" s="4" t="s">
        <v>32</v>
      </c>
      <c r="P499" s="4" t="s">
        <v>33</v>
      </c>
      <c r="Q499" s="4" t="s">
        <v>76</v>
      </c>
      <c r="R499" s="6" t="s">
        <v>77</v>
      </c>
      <c r="S499" s="4" t="s">
        <v>1478</v>
      </c>
      <c r="T499" s="4" t="s">
        <v>37</v>
      </c>
      <c r="U499" s="4" t="s">
        <v>37</v>
      </c>
      <c r="V499" s="4" t="s">
        <v>1479</v>
      </c>
      <c r="W499" s="4" t="s">
        <v>37</v>
      </c>
      <c r="X499" s="4" t="s">
        <v>37</v>
      </c>
      <c r="Y499" s="4" t="s">
        <v>36</v>
      </c>
      <c r="Z499" s="4" t="s">
        <v>1480</v>
      </c>
      <c r="AA499" s="4" t="s">
        <v>179</v>
      </c>
    </row>
    <row r="500" spans="1:27" s="1" customFormat="1" x14ac:dyDescent="0.3">
      <c r="A500" s="19">
        <v>19912</v>
      </c>
      <c r="B500" s="4" t="s">
        <v>1481</v>
      </c>
      <c r="C500" s="4">
        <v>0</v>
      </c>
      <c r="D500" s="5">
        <v>42468.708969907406</v>
      </c>
      <c r="E500" s="5" t="s">
        <v>2083</v>
      </c>
      <c r="F500" s="4" t="s">
        <v>26</v>
      </c>
      <c r="G500" s="4" t="s">
        <v>892</v>
      </c>
      <c r="H500" s="4" t="s">
        <v>892</v>
      </c>
      <c r="I500" s="4" t="s">
        <v>221</v>
      </c>
      <c r="J500" s="4" t="s">
        <v>30</v>
      </c>
      <c r="K500" s="4" t="s">
        <v>31</v>
      </c>
      <c r="L500" s="5">
        <v>42479.916666666664</v>
      </c>
      <c r="M500" s="5">
        <v>42479.951388888891</v>
      </c>
      <c r="N500" s="5">
        <v>42479.999305555553</v>
      </c>
      <c r="O500" s="4" t="s">
        <v>32</v>
      </c>
      <c r="P500" s="4" t="s">
        <v>33</v>
      </c>
      <c r="Q500" s="4" t="s">
        <v>76</v>
      </c>
      <c r="R500" s="6" t="s">
        <v>77</v>
      </c>
      <c r="S500" s="4" t="s">
        <v>1398</v>
      </c>
      <c r="T500" s="4" t="s">
        <v>37</v>
      </c>
      <c r="U500" s="4" t="s">
        <v>37</v>
      </c>
      <c r="V500" s="4" t="s">
        <v>1482</v>
      </c>
      <c r="W500" s="4"/>
      <c r="X500" s="4"/>
      <c r="Y500" s="4"/>
      <c r="Z500" s="4"/>
      <c r="AA500" s="4" t="s">
        <v>93</v>
      </c>
    </row>
    <row r="501" spans="1:27" s="1" customFormat="1" x14ac:dyDescent="0.3">
      <c r="A501" s="19">
        <v>19913</v>
      </c>
      <c r="B501" s="4" t="s">
        <v>1483</v>
      </c>
      <c r="C501" s="4" t="s">
        <v>2111</v>
      </c>
      <c r="D501" s="5">
        <v>42468.717372685183</v>
      </c>
      <c r="E501" s="5" t="s">
        <v>2083</v>
      </c>
      <c r="F501" s="4" t="s">
        <v>26</v>
      </c>
      <c r="G501" s="4" t="s">
        <v>27</v>
      </c>
      <c r="H501" s="4" t="s">
        <v>604</v>
      </c>
      <c r="I501" s="4" t="s">
        <v>205</v>
      </c>
      <c r="J501" s="4" t="s">
        <v>30</v>
      </c>
      <c r="K501" s="4" t="s">
        <v>31</v>
      </c>
      <c r="L501" s="5">
        <v>42468.75</v>
      </c>
      <c r="M501" s="5">
        <v>42468.791666666664</v>
      </c>
      <c r="N501" s="5">
        <v>42468.833333333336</v>
      </c>
      <c r="O501" s="4" t="s">
        <v>710</v>
      </c>
      <c r="P501" s="4" t="s">
        <v>89</v>
      </c>
      <c r="Q501" s="4" t="s">
        <v>76</v>
      </c>
      <c r="R501" s="4" t="s">
        <v>1484</v>
      </c>
      <c r="S501" s="4" t="s">
        <v>1484</v>
      </c>
      <c r="T501" s="4" t="s">
        <v>36</v>
      </c>
      <c r="U501" s="4" t="s">
        <v>36</v>
      </c>
      <c r="V501" s="4" t="s">
        <v>1485</v>
      </c>
      <c r="W501" s="4" t="s">
        <v>37</v>
      </c>
      <c r="X501" s="4" t="s">
        <v>37</v>
      </c>
      <c r="Y501" s="4" t="s">
        <v>36</v>
      </c>
      <c r="Z501" s="4" t="s">
        <v>1486</v>
      </c>
      <c r="AA501" s="4" t="s">
        <v>40</v>
      </c>
    </row>
    <row r="502" spans="1:27" s="1" customFormat="1" x14ac:dyDescent="0.3">
      <c r="A502" s="19">
        <v>19916</v>
      </c>
      <c r="B502" s="4" t="s">
        <v>1487</v>
      </c>
      <c r="C502" s="4">
        <v>0</v>
      </c>
      <c r="D502" s="5">
        <v>42471.406342592592</v>
      </c>
      <c r="E502" s="5" t="s">
        <v>2083</v>
      </c>
      <c r="F502" s="4" t="s">
        <v>26</v>
      </c>
      <c r="G502" s="4" t="s">
        <v>656</v>
      </c>
      <c r="H502" s="4" t="s">
        <v>656</v>
      </c>
      <c r="I502" s="4" t="s">
        <v>203</v>
      </c>
      <c r="J502" s="4" t="s">
        <v>657</v>
      </c>
      <c r="K502" s="4" t="s">
        <v>31</v>
      </c>
      <c r="L502" s="5">
        <v>42490.333333333336</v>
      </c>
      <c r="M502" s="5">
        <v>42490.75</v>
      </c>
      <c r="N502" s="5">
        <v>42492.407638888886</v>
      </c>
      <c r="O502" s="4" t="s">
        <v>32</v>
      </c>
      <c r="P502" s="4" t="s">
        <v>33</v>
      </c>
      <c r="Q502" s="4" t="s">
        <v>119</v>
      </c>
      <c r="R502" s="4" t="s">
        <v>658</v>
      </c>
      <c r="S502" s="4" t="s">
        <v>658</v>
      </c>
      <c r="T502" s="4" t="s">
        <v>37</v>
      </c>
      <c r="U502" s="4" t="s">
        <v>37</v>
      </c>
      <c r="V502" s="4" t="s">
        <v>659</v>
      </c>
      <c r="W502" s="4" t="s">
        <v>37</v>
      </c>
      <c r="X502" s="4" t="s">
        <v>37</v>
      </c>
      <c r="Y502" s="4" t="s">
        <v>37</v>
      </c>
      <c r="Z502" s="4"/>
      <c r="AA502" s="4" t="s">
        <v>660</v>
      </c>
    </row>
    <row r="503" spans="1:27" s="1" customFormat="1" x14ac:dyDescent="0.3">
      <c r="A503" s="19">
        <v>19917</v>
      </c>
      <c r="B503" s="4" t="s">
        <v>527</v>
      </c>
      <c r="C503" s="4" t="s">
        <v>1959</v>
      </c>
      <c r="D503" s="5">
        <v>42471.443541666667</v>
      </c>
      <c r="E503" s="5" t="s">
        <v>2083</v>
      </c>
      <c r="F503" s="4" t="s">
        <v>26</v>
      </c>
      <c r="G503" s="4" t="s">
        <v>224</v>
      </c>
      <c r="H503" s="4" t="s">
        <v>224</v>
      </c>
      <c r="I503" s="4" t="s">
        <v>216</v>
      </c>
      <c r="J503" s="4" t="s">
        <v>528</v>
      </c>
      <c r="K503" s="4" t="s">
        <v>31</v>
      </c>
      <c r="L503" s="5">
        <v>42482.916666666664</v>
      </c>
      <c r="M503" s="5">
        <v>42483.208333333336</v>
      </c>
      <c r="N503" s="5">
        <v>42483.25</v>
      </c>
      <c r="O503" s="4" t="s">
        <v>32</v>
      </c>
      <c r="P503" s="4" t="s">
        <v>89</v>
      </c>
      <c r="Q503" s="4" t="s">
        <v>34</v>
      </c>
      <c r="R503" s="6" t="s">
        <v>77</v>
      </c>
      <c r="S503" s="4" t="s">
        <v>39</v>
      </c>
      <c r="T503" s="4" t="s">
        <v>37</v>
      </c>
      <c r="U503" s="4" t="s">
        <v>37</v>
      </c>
      <c r="V503" s="4" t="s">
        <v>529</v>
      </c>
      <c r="W503" s="4" t="s">
        <v>36</v>
      </c>
      <c r="X503" s="4" t="s">
        <v>37</v>
      </c>
      <c r="Y503" s="4" t="s">
        <v>36</v>
      </c>
      <c r="Z503" s="4" t="s">
        <v>39</v>
      </c>
      <c r="AA503" s="4" t="s">
        <v>231</v>
      </c>
    </row>
    <row r="504" spans="1:27" s="1" customFormat="1" x14ac:dyDescent="0.3">
      <c r="A504" s="19">
        <v>19918</v>
      </c>
      <c r="B504" s="4" t="s">
        <v>1488</v>
      </c>
      <c r="C504" s="4" t="s">
        <v>2112</v>
      </c>
      <c r="D504" s="5">
        <v>42471.454444444447</v>
      </c>
      <c r="E504" s="5" t="s">
        <v>2083</v>
      </c>
      <c r="F504" s="4" t="s">
        <v>26</v>
      </c>
      <c r="G504" s="4" t="s">
        <v>336</v>
      </c>
      <c r="H504" s="4" t="s">
        <v>336</v>
      </c>
      <c r="I504" s="4" t="s">
        <v>203</v>
      </c>
      <c r="J504" s="4" t="s">
        <v>49</v>
      </c>
      <c r="K504" s="4" t="s">
        <v>31</v>
      </c>
      <c r="L504" s="5">
        <v>42477.375</v>
      </c>
      <c r="M504" s="5">
        <v>42477.75</v>
      </c>
      <c r="N504" s="5">
        <v>42477.791666666664</v>
      </c>
      <c r="O504" s="4" t="s">
        <v>32</v>
      </c>
      <c r="P504" s="4" t="s">
        <v>89</v>
      </c>
      <c r="Q504" s="4" t="s">
        <v>34</v>
      </c>
      <c r="R504" s="4" t="s">
        <v>337</v>
      </c>
      <c r="S504" s="4" t="s">
        <v>337</v>
      </c>
      <c r="T504" s="4" t="s">
        <v>36</v>
      </c>
      <c r="U504" s="4" t="s">
        <v>36</v>
      </c>
      <c r="V504" s="4" t="s">
        <v>338</v>
      </c>
      <c r="W504" s="4" t="s">
        <v>37</v>
      </c>
      <c r="X504" s="4" t="s">
        <v>37</v>
      </c>
      <c r="Y504" s="4" t="s">
        <v>36</v>
      </c>
      <c r="Z504" s="4" t="s">
        <v>592</v>
      </c>
      <c r="AA504" s="4"/>
    </row>
    <row r="505" spans="1:27" s="1" customFormat="1" x14ac:dyDescent="0.3">
      <c r="A505" s="19">
        <v>19919</v>
      </c>
      <c r="B505" s="4" t="s">
        <v>1489</v>
      </c>
      <c r="C505" s="4" t="s">
        <v>2111</v>
      </c>
      <c r="D505" s="5">
        <v>42471.472592592596</v>
      </c>
      <c r="E505" s="5" t="s">
        <v>2083</v>
      </c>
      <c r="F505" s="4" t="s">
        <v>26</v>
      </c>
      <c r="G505" s="4" t="s">
        <v>244</v>
      </c>
      <c r="H505" s="4" t="s">
        <v>244</v>
      </c>
      <c r="I505" s="4" t="s">
        <v>118</v>
      </c>
      <c r="J505" s="4" t="s">
        <v>30</v>
      </c>
      <c r="K505" s="4" t="s">
        <v>31</v>
      </c>
      <c r="L505" s="5">
        <v>42472.916666666664</v>
      </c>
      <c r="M505" s="5">
        <v>42473.5</v>
      </c>
      <c r="N505" s="5">
        <v>42473.75</v>
      </c>
      <c r="O505" s="4" t="s">
        <v>710</v>
      </c>
      <c r="P505" s="4" t="s">
        <v>33</v>
      </c>
      <c r="Q505" s="4" t="s">
        <v>76</v>
      </c>
      <c r="R505" s="6" t="s">
        <v>77</v>
      </c>
      <c r="S505" s="4" t="s">
        <v>517</v>
      </c>
      <c r="T505" s="4" t="s">
        <v>37</v>
      </c>
      <c r="U505" s="4" t="s">
        <v>37</v>
      </c>
      <c r="V505" s="4" t="s">
        <v>365</v>
      </c>
      <c r="W505" s="4" t="s">
        <v>37</v>
      </c>
      <c r="X505" s="4" t="s">
        <v>37</v>
      </c>
      <c r="Y505" s="4" t="s">
        <v>36</v>
      </c>
      <c r="Z505" s="4"/>
      <c r="AA505" s="4" t="s">
        <v>179</v>
      </c>
    </row>
    <row r="506" spans="1:27" s="1" customFormat="1" x14ac:dyDescent="0.3">
      <c r="A506" s="19">
        <v>19920</v>
      </c>
      <c r="B506" s="4" t="s">
        <v>1490</v>
      </c>
      <c r="C506" s="4" t="s">
        <v>2111</v>
      </c>
      <c r="D506" s="5">
        <v>42471.492615740739</v>
      </c>
      <c r="E506" s="5" t="s">
        <v>2083</v>
      </c>
      <c r="F506" s="4" t="s">
        <v>26</v>
      </c>
      <c r="G506" s="4" t="s">
        <v>244</v>
      </c>
      <c r="H506" s="4" t="s">
        <v>244</v>
      </c>
      <c r="I506" s="4" t="s">
        <v>118</v>
      </c>
      <c r="J506" s="4" t="s">
        <v>30</v>
      </c>
      <c r="K506" s="4" t="s">
        <v>31</v>
      </c>
      <c r="L506" s="5">
        <v>42472.916666666664</v>
      </c>
      <c r="M506" s="5">
        <v>42473.5</v>
      </c>
      <c r="N506" s="5">
        <v>42473.75</v>
      </c>
      <c r="O506" s="4" t="s">
        <v>710</v>
      </c>
      <c r="P506" s="4" t="s">
        <v>33</v>
      </c>
      <c r="Q506" s="4" t="s">
        <v>76</v>
      </c>
      <c r="R506" s="6" t="s">
        <v>77</v>
      </c>
      <c r="S506" s="4" t="s">
        <v>517</v>
      </c>
      <c r="T506" s="4" t="s">
        <v>37</v>
      </c>
      <c r="U506" s="4" t="s">
        <v>37</v>
      </c>
      <c r="V506" s="4" t="s">
        <v>365</v>
      </c>
      <c r="W506" s="4" t="s">
        <v>37</v>
      </c>
      <c r="X506" s="4" t="s">
        <v>36</v>
      </c>
      <c r="Y506" s="4" t="s">
        <v>37</v>
      </c>
      <c r="Z506" s="4"/>
      <c r="AA506" s="4" t="s">
        <v>179</v>
      </c>
    </row>
    <row r="507" spans="1:27" s="1" customFormat="1" x14ac:dyDescent="0.3">
      <c r="A507" s="19">
        <v>19921</v>
      </c>
      <c r="B507" s="4" t="s">
        <v>1491</v>
      </c>
      <c r="C507" s="4">
        <v>0</v>
      </c>
      <c r="D507" s="5">
        <v>42471.516886574071</v>
      </c>
      <c r="E507" s="5" t="s">
        <v>2083</v>
      </c>
      <c r="F507" s="4" t="s">
        <v>26</v>
      </c>
      <c r="G507" s="4" t="s">
        <v>656</v>
      </c>
      <c r="H507" s="4" t="s">
        <v>656</v>
      </c>
      <c r="I507" s="4" t="s">
        <v>203</v>
      </c>
      <c r="J507" s="4" t="s">
        <v>657</v>
      </c>
      <c r="K507" s="4" t="s">
        <v>31</v>
      </c>
      <c r="L507" s="5">
        <v>42488.916666666664</v>
      </c>
      <c r="M507" s="5">
        <v>42490.25</v>
      </c>
      <c r="N507" s="5">
        <v>42492.518055555556</v>
      </c>
      <c r="O507" s="4" t="s">
        <v>32</v>
      </c>
      <c r="P507" s="4" t="s">
        <v>33</v>
      </c>
      <c r="Q507" s="4" t="s">
        <v>119</v>
      </c>
      <c r="R507" s="4" t="s">
        <v>1492</v>
      </c>
      <c r="S507" s="4" t="s">
        <v>1492</v>
      </c>
      <c r="T507" s="4" t="s">
        <v>37</v>
      </c>
      <c r="U507" s="4" t="s">
        <v>37</v>
      </c>
      <c r="V507" s="4" t="s">
        <v>659</v>
      </c>
      <c r="W507" s="4" t="s">
        <v>37</v>
      </c>
      <c r="X507" s="4" t="s">
        <v>37</v>
      </c>
      <c r="Y507" s="4" t="s">
        <v>36</v>
      </c>
      <c r="Z507" s="4"/>
      <c r="AA507" s="4" t="s">
        <v>660</v>
      </c>
    </row>
    <row r="508" spans="1:27" s="1" customFormat="1" x14ac:dyDescent="0.3">
      <c r="A508" s="19">
        <v>19922</v>
      </c>
      <c r="B508" s="4" t="s">
        <v>1493</v>
      </c>
      <c r="C508" s="4">
        <v>0</v>
      </c>
      <c r="D508" s="5">
        <v>42471.52847222222</v>
      </c>
      <c r="E508" s="5" t="s">
        <v>2083</v>
      </c>
      <c r="F508" s="4" t="s">
        <v>26</v>
      </c>
      <c r="G508" s="4" t="s">
        <v>98</v>
      </c>
      <c r="H508" s="4" t="s">
        <v>98</v>
      </c>
      <c r="I508" s="4" t="s">
        <v>88</v>
      </c>
      <c r="J508" s="4" t="s">
        <v>30</v>
      </c>
      <c r="K508" s="4" t="s">
        <v>31</v>
      </c>
      <c r="L508" s="5">
        <v>42476.916666666664</v>
      </c>
      <c r="M508" s="5">
        <v>42477.25</v>
      </c>
      <c r="N508" s="5">
        <v>42477.25</v>
      </c>
      <c r="O508" s="4" t="s">
        <v>32</v>
      </c>
      <c r="P508" s="4" t="s">
        <v>33</v>
      </c>
      <c r="Q508" s="4" t="s">
        <v>34</v>
      </c>
      <c r="R508" s="6" t="s">
        <v>77</v>
      </c>
      <c r="S508" s="6" t="s">
        <v>77</v>
      </c>
      <c r="T508" s="4" t="s">
        <v>37</v>
      </c>
      <c r="U508" s="4" t="s">
        <v>37</v>
      </c>
      <c r="V508" s="4" t="s">
        <v>1494</v>
      </c>
      <c r="W508" s="4" t="s">
        <v>37</v>
      </c>
      <c r="X508" s="4" t="s">
        <v>37</v>
      </c>
      <c r="Y508" s="4" t="s">
        <v>36</v>
      </c>
      <c r="Z508" s="4">
        <v>0</v>
      </c>
      <c r="AA508" s="4" t="s">
        <v>231</v>
      </c>
    </row>
    <row r="509" spans="1:27" s="1" customFormat="1" x14ac:dyDescent="0.3">
      <c r="A509" s="19">
        <v>19924</v>
      </c>
      <c r="B509" s="4" t="s">
        <v>1495</v>
      </c>
      <c r="C509" s="4" t="s">
        <v>2111</v>
      </c>
      <c r="D509" s="5">
        <v>42471.623715277776</v>
      </c>
      <c r="E509" s="5" t="s">
        <v>2083</v>
      </c>
      <c r="F509" s="4" t="s">
        <v>26</v>
      </c>
      <c r="G509" s="4" t="s">
        <v>243</v>
      </c>
      <c r="H509" s="4" t="s">
        <v>243</v>
      </c>
      <c r="I509" s="4" t="s">
        <v>216</v>
      </c>
      <c r="J509" s="4" t="s">
        <v>30</v>
      </c>
      <c r="K509" s="4" t="s">
        <v>31</v>
      </c>
      <c r="L509" s="5">
        <v>42471.916666666664</v>
      </c>
      <c r="M509" s="5">
        <v>42472.125</v>
      </c>
      <c r="N509" s="5">
        <v>42472.375</v>
      </c>
      <c r="O509" s="4" t="s">
        <v>710</v>
      </c>
      <c r="P509" s="4" t="s">
        <v>33</v>
      </c>
      <c r="Q509" s="4" t="s">
        <v>76</v>
      </c>
      <c r="R509" s="4" t="s">
        <v>1496</v>
      </c>
      <c r="S509" s="4" t="s">
        <v>1496</v>
      </c>
      <c r="T509" s="4" t="s">
        <v>37</v>
      </c>
      <c r="U509" s="4" t="s">
        <v>37</v>
      </c>
      <c r="V509" s="4" t="s">
        <v>246</v>
      </c>
      <c r="W509" s="4" t="s">
        <v>37</v>
      </c>
      <c r="X509" s="4" t="s">
        <v>37</v>
      </c>
      <c r="Y509" s="4" t="s">
        <v>36</v>
      </c>
      <c r="Z509" s="4"/>
      <c r="AA509" s="4" t="s">
        <v>179</v>
      </c>
    </row>
    <row r="510" spans="1:27" s="1" customFormat="1" x14ac:dyDescent="0.3">
      <c r="A510" s="19">
        <v>19925</v>
      </c>
      <c r="B510" s="4" t="s">
        <v>1497</v>
      </c>
      <c r="C510" s="4" t="s">
        <v>2116</v>
      </c>
      <c r="D510" s="5">
        <v>42471.639976851853</v>
      </c>
      <c r="E510" s="5" t="s">
        <v>2083</v>
      </c>
      <c r="F510" s="4" t="s">
        <v>26</v>
      </c>
      <c r="G510" s="4" t="s">
        <v>310</v>
      </c>
      <c r="H510" s="4" t="s">
        <v>1498</v>
      </c>
      <c r="I510" s="4" t="s">
        <v>42</v>
      </c>
      <c r="J510" s="4" t="s">
        <v>49</v>
      </c>
      <c r="K510" s="4" t="s">
        <v>31</v>
      </c>
      <c r="L510" s="5">
        <v>42472.916666666664</v>
      </c>
      <c r="M510" s="5">
        <v>42473.083333333336</v>
      </c>
      <c r="N510" s="5">
        <v>42473.125</v>
      </c>
      <c r="O510" s="4" t="s">
        <v>250</v>
      </c>
      <c r="P510" s="4" t="s">
        <v>149</v>
      </c>
      <c r="Q510" s="4" t="s">
        <v>251</v>
      </c>
      <c r="R510" s="4" t="s">
        <v>1499</v>
      </c>
      <c r="S510" s="6" t="s">
        <v>77</v>
      </c>
      <c r="T510" s="4" t="s">
        <v>37</v>
      </c>
      <c r="U510" s="4" t="s">
        <v>37</v>
      </c>
      <c r="V510" s="4" t="s">
        <v>1500</v>
      </c>
      <c r="W510" s="4" t="s">
        <v>37</v>
      </c>
      <c r="X510" s="4" t="s">
        <v>37</v>
      </c>
      <c r="Y510" s="4" t="s">
        <v>36</v>
      </c>
      <c r="Z510" s="4"/>
      <c r="AA510" s="4"/>
    </row>
    <row r="511" spans="1:27" s="1" customFormat="1" x14ac:dyDescent="0.3">
      <c r="A511" s="19">
        <v>19926</v>
      </c>
      <c r="B511" s="4" t="s">
        <v>1501</v>
      </c>
      <c r="C511" s="4">
        <v>0</v>
      </c>
      <c r="D511" s="5">
        <v>42471.640497685185</v>
      </c>
      <c r="E511" s="5" t="s">
        <v>2083</v>
      </c>
      <c r="F511" s="4" t="s">
        <v>26</v>
      </c>
      <c r="G511" s="4" t="s">
        <v>274</v>
      </c>
      <c r="H511" s="4" t="s">
        <v>274</v>
      </c>
      <c r="I511" s="4" t="s">
        <v>208</v>
      </c>
      <c r="J511" s="4" t="s">
        <v>357</v>
      </c>
      <c r="K511" s="4" t="s">
        <v>31</v>
      </c>
      <c r="L511" s="5">
        <v>42484.000694444447</v>
      </c>
      <c r="M511" s="5">
        <v>42484.25</v>
      </c>
      <c r="N511" s="5">
        <v>42484.291666666664</v>
      </c>
      <c r="O511" s="4" t="s">
        <v>32</v>
      </c>
      <c r="P511" s="4" t="s">
        <v>33</v>
      </c>
      <c r="Q511" s="4" t="s">
        <v>50</v>
      </c>
      <c r="R511" s="6" t="s">
        <v>77</v>
      </c>
      <c r="S511" s="4" t="s">
        <v>230</v>
      </c>
      <c r="T511" s="4" t="s">
        <v>36</v>
      </c>
      <c r="U511" s="4" t="s">
        <v>37</v>
      </c>
      <c r="V511" s="4" t="s">
        <v>276</v>
      </c>
      <c r="W511" s="4" t="s">
        <v>37</v>
      </c>
      <c r="X511" s="4" t="s">
        <v>37</v>
      </c>
      <c r="Y511" s="4" t="s">
        <v>36</v>
      </c>
      <c r="Z511" s="4"/>
      <c r="AA511" s="4" t="s">
        <v>358</v>
      </c>
    </row>
    <row r="512" spans="1:27" s="1" customFormat="1" x14ac:dyDescent="0.3">
      <c r="A512" s="19">
        <v>19928</v>
      </c>
      <c r="B512" s="4" t="s">
        <v>1502</v>
      </c>
      <c r="C512" s="4" t="s">
        <v>2171</v>
      </c>
      <c r="D512" s="5">
        <v>42471.680358796293</v>
      </c>
      <c r="E512" s="5" t="s">
        <v>2083</v>
      </c>
      <c r="F512" s="4" t="s">
        <v>26</v>
      </c>
      <c r="G512" s="4" t="s">
        <v>140</v>
      </c>
      <c r="H512" s="4" t="s">
        <v>140</v>
      </c>
      <c r="I512" s="4" t="s">
        <v>29</v>
      </c>
      <c r="J512" s="4" t="s">
        <v>141</v>
      </c>
      <c r="K512" s="4" t="s">
        <v>31</v>
      </c>
      <c r="L512" s="5">
        <v>42505.333333333336</v>
      </c>
      <c r="M512" s="5">
        <v>42526.708333333336</v>
      </c>
      <c r="N512" s="5">
        <v>42526.75</v>
      </c>
      <c r="O512" s="4" t="s">
        <v>32</v>
      </c>
      <c r="P512" s="4" t="s">
        <v>33</v>
      </c>
      <c r="Q512" s="4" t="s">
        <v>50</v>
      </c>
      <c r="R512" s="6" t="s">
        <v>77</v>
      </c>
      <c r="S512" s="6" t="s">
        <v>77</v>
      </c>
      <c r="T512" s="4" t="s">
        <v>37</v>
      </c>
      <c r="U512" s="4" t="s">
        <v>37</v>
      </c>
      <c r="V512" s="4" t="s">
        <v>1503</v>
      </c>
      <c r="W512" s="4" t="s">
        <v>37</v>
      </c>
      <c r="X512" s="4" t="s">
        <v>37</v>
      </c>
      <c r="Y512" s="4" t="s">
        <v>36</v>
      </c>
      <c r="Z512" s="4"/>
      <c r="AA512" s="4" t="s">
        <v>1504</v>
      </c>
    </row>
    <row r="513" spans="1:27" s="1" customFormat="1" x14ac:dyDescent="0.3">
      <c r="A513" s="19">
        <v>19929</v>
      </c>
      <c r="B513" s="4" t="s">
        <v>1505</v>
      </c>
      <c r="C513" s="4">
        <v>0</v>
      </c>
      <c r="D513" s="5">
        <v>42471.762291666666</v>
      </c>
      <c r="E513" s="5" t="s">
        <v>2083</v>
      </c>
      <c r="F513" s="4" t="s">
        <v>26</v>
      </c>
      <c r="G513" s="4" t="s">
        <v>1506</v>
      </c>
      <c r="H513" s="4" t="s">
        <v>1507</v>
      </c>
      <c r="I513" s="4" t="s">
        <v>88</v>
      </c>
      <c r="J513" s="4" t="s">
        <v>30</v>
      </c>
      <c r="K513" s="4" t="s">
        <v>31</v>
      </c>
      <c r="L513" s="5">
        <v>42476.958333333336</v>
      </c>
      <c r="M513" s="5">
        <v>42477.125</v>
      </c>
      <c r="N513" s="5">
        <v>42477.208333333336</v>
      </c>
      <c r="O513" s="4" t="s">
        <v>32</v>
      </c>
      <c r="P513" s="4" t="s">
        <v>89</v>
      </c>
      <c r="Q513" s="4" t="s">
        <v>34</v>
      </c>
      <c r="R513" s="4" t="s">
        <v>1508</v>
      </c>
      <c r="S513" s="4" t="s">
        <v>1508</v>
      </c>
      <c r="T513" s="4" t="s">
        <v>36</v>
      </c>
      <c r="U513" s="4" t="s">
        <v>37</v>
      </c>
      <c r="V513" s="4" t="s">
        <v>1509</v>
      </c>
      <c r="W513" s="4" t="s">
        <v>37</v>
      </c>
      <c r="X513" s="4" t="s">
        <v>37</v>
      </c>
      <c r="Y513" s="4" t="s">
        <v>36</v>
      </c>
      <c r="Z513" s="4" t="s">
        <v>39</v>
      </c>
      <c r="AA513" s="4" t="s">
        <v>676</v>
      </c>
    </row>
    <row r="514" spans="1:27" s="1" customFormat="1" x14ac:dyDescent="0.3">
      <c r="A514" s="19">
        <v>19930</v>
      </c>
      <c r="B514" s="4" t="s">
        <v>1510</v>
      </c>
      <c r="C514" s="4">
        <v>0</v>
      </c>
      <c r="D514" s="5">
        <v>42471.808668981481</v>
      </c>
      <c r="E514" s="5" t="s">
        <v>2083</v>
      </c>
      <c r="F514" s="4" t="s">
        <v>26</v>
      </c>
      <c r="G514" s="4" t="s">
        <v>762</v>
      </c>
      <c r="H514" s="4" t="s">
        <v>762</v>
      </c>
      <c r="I514" s="4" t="s">
        <v>214</v>
      </c>
      <c r="J514" s="4" t="s">
        <v>1511</v>
      </c>
      <c r="K514" s="4" t="s">
        <v>31</v>
      </c>
      <c r="L514" s="5">
        <v>42471.989583333336</v>
      </c>
      <c r="M514" s="5">
        <v>42472.208333333336</v>
      </c>
      <c r="N514" s="5">
        <v>42472.208333333336</v>
      </c>
      <c r="O514" s="4" t="s">
        <v>250</v>
      </c>
      <c r="P514" s="4" t="s">
        <v>89</v>
      </c>
      <c r="Q514" s="4" t="s">
        <v>251</v>
      </c>
      <c r="R514" s="4" t="s">
        <v>1512</v>
      </c>
      <c r="S514" s="4" t="s">
        <v>1512</v>
      </c>
      <c r="T514" s="4" t="s">
        <v>36</v>
      </c>
      <c r="U514" s="4" t="s">
        <v>37</v>
      </c>
      <c r="V514" s="4" t="s">
        <v>1513</v>
      </c>
      <c r="W514" s="4" t="s">
        <v>37</v>
      </c>
      <c r="X514" s="4" t="s">
        <v>37</v>
      </c>
      <c r="Y514" s="4" t="s">
        <v>37</v>
      </c>
      <c r="Z514" s="4" t="s">
        <v>1514</v>
      </c>
      <c r="AA514" s="4" t="s">
        <v>1515</v>
      </c>
    </row>
    <row r="515" spans="1:27" s="1" customFormat="1" x14ac:dyDescent="0.3">
      <c r="A515" s="19">
        <v>19931</v>
      </c>
      <c r="B515" s="4" t="s">
        <v>232</v>
      </c>
      <c r="C515" s="4" t="s">
        <v>2172</v>
      </c>
      <c r="D515" s="5">
        <v>42472.391481481478</v>
      </c>
      <c r="E515" s="5" t="s">
        <v>2083</v>
      </c>
      <c r="F515" s="4" t="s">
        <v>26</v>
      </c>
      <c r="G515" s="4" t="s">
        <v>471</v>
      </c>
      <c r="H515" s="4" t="s">
        <v>234</v>
      </c>
      <c r="I515" s="4" t="s">
        <v>203</v>
      </c>
      <c r="J515" s="4" t="s">
        <v>49</v>
      </c>
      <c r="K515" s="4" t="s">
        <v>31</v>
      </c>
      <c r="L515" s="5">
        <v>42487</v>
      </c>
      <c r="M515" s="5">
        <v>42487.298611111109</v>
      </c>
      <c r="N515" s="5">
        <v>42487.298611111109</v>
      </c>
      <c r="O515" s="4" t="s">
        <v>32</v>
      </c>
      <c r="P515" s="4" t="s">
        <v>33</v>
      </c>
      <c r="Q515" s="4" t="s">
        <v>34</v>
      </c>
      <c r="R515" s="4" t="s">
        <v>1516</v>
      </c>
      <c r="S515" s="4" t="s">
        <v>1516</v>
      </c>
      <c r="T515" s="4" t="s">
        <v>36</v>
      </c>
      <c r="U515" s="4" t="s">
        <v>37</v>
      </c>
      <c r="V515" s="4" t="s">
        <v>236</v>
      </c>
      <c r="W515" s="4" t="s">
        <v>37</v>
      </c>
      <c r="X515" s="4" t="s">
        <v>37</v>
      </c>
      <c r="Y515" s="4" t="s">
        <v>36</v>
      </c>
      <c r="Z515" s="4" t="s">
        <v>1517</v>
      </c>
      <c r="AA515" s="4"/>
    </row>
    <row r="516" spans="1:27" s="1" customFormat="1" x14ac:dyDescent="0.3">
      <c r="A516" s="19">
        <v>19932</v>
      </c>
      <c r="B516" s="4" t="s">
        <v>1518</v>
      </c>
      <c r="C516" s="4" t="s">
        <v>2111</v>
      </c>
      <c r="D516" s="5">
        <v>42472.418240740742</v>
      </c>
      <c r="E516" s="5" t="s">
        <v>2083</v>
      </c>
      <c r="F516" s="4" t="s">
        <v>26</v>
      </c>
      <c r="G516" s="4" t="s">
        <v>1258</v>
      </c>
      <c r="H516" s="4" t="s">
        <v>1519</v>
      </c>
      <c r="I516" s="4" t="s">
        <v>29</v>
      </c>
      <c r="J516" s="4" t="s">
        <v>30</v>
      </c>
      <c r="K516" s="4" t="s">
        <v>31</v>
      </c>
      <c r="L516" s="5">
        <v>42472.541666666664</v>
      </c>
      <c r="M516" s="5">
        <v>42472.583333333336</v>
      </c>
      <c r="N516" s="5">
        <v>42472.625</v>
      </c>
      <c r="O516" s="4" t="s">
        <v>710</v>
      </c>
      <c r="P516" s="4" t="s">
        <v>89</v>
      </c>
      <c r="Q516" s="4" t="s">
        <v>76</v>
      </c>
      <c r="R516" s="6" t="s">
        <v>77</v>
      </c>
      <c r="S516" s="4"/>
      <c r="T516" s="4" t="s">
        <v>37</v>
      </c>
      <c r="U516" s="4" t="s">
        <v>37</v>
      </c>
      <c r="V516" s="4" t="s">
        <v>1157</v>
      </c>
      <c r="W516" s="4" t="s">
        <v>37</v>
      </c>
      <c r="X516" s="4" t="s">
        <v>37</v>
      </c>
      <c r="Y516" s="4" t="s">
        <v>36</v>
      </c>
      <c r="Z516" s="4" t="s">
        <v>1520</v>
      </c>
      <c r="AA516" s="4" t="s">
        <v>40</v>
      </c>
    </row>
    <row r="517" spans="1:27" s="1" customFormat="1" x14ac:dyDescent="0.3">
      <c r="A517" s="19">
        <v>19933</v>
      </c>
      <c r="B517" s="4" t="s">
        <v>1521</v>
      </c>
      <c r="C517" s="4">
        <v>0</v>
      </c>
      <c r="D517" s="5">
        <v>42472.428877314815</v>
      </c>
      <c r="E517" s="5" t="s">
        <v>2083</v>
      </c>
      <c r="F517" s="4" t="s">
        <v>26</v>
      </c>
      <c r="G517" s="4" t="s">
        <v>152</v>
      </c>
      <c r="H517" s="4" t="s">
        <v>152</v>
      </c>
      <c r="I517" s="4" t="s">
        <v>153</v>
      </c>
      <c r="J517" s="4" t="s">
        <v>154</v>
      </c>
      <c r="K517" s="4" t="s">
        <v>31</v>
      </c>
      <c r="L517" s="5">
        <v>42482.916666666664</v>
      </c>
      <c r="M517" s="5">
        <v>42483.125</v>
      </c>
      <c r="N517" s="5">
        <v>42483.145833333336</v>
      </c>
      <c r="O517" s="4" t="s">
        <v>32</v>
      </c>
      <c r="P517" s="4" t="s">
        <v>33</v>
      </c>
      <c r="Q517" s="4" t="s">
        <v>76</v>
      </c>
      <c r="R517" s="6" t="s">
        <v>77</v>
      </c>
      <c r="S517" s="4" t="s">
        <v>409</v>
      </c>
      <c r="T517" s="4" t="s">
        <v>37</v>
      </c>
      <c r="U517" s="4" t="s">
        <v>37</v>
      </c>
      <c r="V517" s="4" t="s">
        <v>1522</v>
      </c>
      <c r="W517" s="4" t="s">
        <v>37</v>
      </c>
      <c r="X517" s="4" t="s">
        <v>36</v>
      </c>
      <c r="Y517" s="4" t="s">
        <v>36</v>
      </c>
      <c r="Z517" s="4"/>
      <c r="AA517" s="4" t="s">
        <v>157</v>
      </c>
    </row>
    <row r="518" spans="1:27" s="1" customFormat="1" x14ac:dyDescent="0.3">
      <c r="A518" s="19">
        <v>19934</v>
      </c>
      <c r="B518" s="4" t="s">
        <v>1523</v>
      </c>
      <c r="C518" s="4">
        <v>0</v>
      </c>
      <c r="D518" s="5">
        <v>42472.442499999997</v>
      </c>
      <c r="E518" s="5" t="s">
        <v>2083</v>
      </c>
      <c r="F518" s="4" t="s">
        <v>26</v>
      </c>
      <c r="G518" s="4" t="s">
        <v>279</v>
      </c>
      <c r="H518" s="4" t="s">
        <v>279</v>
      </c>
      <c r="I518" s="4" t="s">
        <v>216</v>
      </c>
      <c r="J518" s="4" t="s">
        <v>49</v>
      </c>
      <c r="K518" s="4" t="s">
        <v>31</v>
      </c>
      <c r="L518" s="5">
        <v>42487.916666666664</v>
      </c>
      <c r="M518" s="5">
        <v>42488.083333333336</v>
      </c>
      <c r="N518" s="5">
        <v>42488.125</v>
      </c>
      <c r="O518" s="4" t="s">
        <v>32</v>
      </c>
      <c r="P518" s="4" t="s">
        <v>89</v>
      </c>
      <c r="Q518" s="4" t="s">
        <v>50</v>
      </c>
      <c r="R518" s="4" t="s">
        <v>1524</v>
      </c>
      <c r="S518" s="4" t="s">
        <v>1524</v>
      </c>
      <c r="T518" s="4" t="s">
        <v>36</v>
      </c>
      <c r="U518" s="4" t="s">
        <v>36</v>
      </c>
      <c r="V518" s="4" t="s">
        <v>1525</v>
      </c>
      <c r="W518" s="4" t="s">
        <v>37</v>
      </c>
      <c r="X518" s="4" t="s">
        <v>37</v>
      </c>
      <c r="Y518" s="4" t="s">
        <v>36</v>
      </c>
      <c r="Z518" s="4">
        <v>0</v>
      </c>
      <c r="AA518" s="4"/>
    </row>
    <row r="519" spans="1:27" s="1" customFormat="1" x14ac:dyDescent="0.3">
      <c r="A519" s="19">
        <v>19935</v>
      </c>
      <c r="B519" s="4" t="s">
        <v>1526</v>
      </c>
      <c r="C519" s="4" t="s">
        <v>2173</v>
      </c>
      <c r="D519" s="5">
        <v>42472.446516203701</v>
      </c>
      <c r="E519" s="5" t="s">
        <v>2083</v>
      </c>
      <c r="F519" s="4" t="s">
        <v>26</v>
      </c>
      <c r="G519" s="4" t="s">
        <v>146</v>
      </c>
      <c r="H519" s="4" t="s">
        <v>1455</v>
      </c>
      <c r="I519" s="4" t="s">
        <v>221</v>
      </c>
      <c r="J519" s="4" t="s">
        <v>311</v>
      </c>
      <c r="K519" s="4" t="s">
        <v>31</v>
      </c>
      <c r="L519" s="5">
        <v>42478.916666666664</v>
      </c>
      <c r="M519" s="5">
        <v>42479.083333333336</v>
      </c>
      <c r="N519" s="5">
        <v>42479.166666666664</v>
      </c>
      <c r="O519" s="4" t="s">
        <v>32</v>
      </c>
      <c r="P519" s="4" t="s">
        <v>149</v>
      </c>
      <c r="Q519" s="4" t="s">
        <v>76</v>
      </c>
      <c r="R519" s="4" t="s">
        <v>1527</v>
      </c>
      <c r="S519" s="4" t="s">
        <v>1527</v>
      </c>
      <c r="T519" s="4" t="s">
        <v>37</v>
      </c>
      <c r="U519" s="4" t="s">
        <v>37</v>
      </c>
      <c r="V519" s="4" t="s">
        <v>1528</v>
      </c>
      <c r="W519" s="4" t="s">
        <v>37</v>
      </c>
      <c r="X519" s="4" t="s">
        <v>37</v>
      </c>
      <c r="Y519" s="4" t="s">
        <v>36</v>
      </c>
      <c r="Z519" s="4"/>
      <c r="AA519" s="4"/>
    </row>
    <row r="520" spans="1:27" s="1" customFormat="1" x14ac:dyDescent="0.3">
      <c r="A520" s="19">
        <v>19936</v>
      </c>
      <c r="B520" s="4" t="s">
        <v>1529</v>
      </c>
      <c r="C520" s="4" t="s">
        <v>2174</v>
      </c>
      <c r="D520" s="5">
        <v>42472.491354166668</v>
      </c>
      <c r="E520" s="5" t="s">
        <v>2083</v>
      </c>
      <c r="F520" s="4" t="s">
        <v>26</v>
      </c>
      <c r="G520" s="4" t="s">
        <v>146</v>
      </c>
      <c r="H520" s="4" t="s">
        <v>1455</v>
      </c>
      <c r="I520" s="4" t="s">
        <v>219</v>
      </c>
      <c r="J520" s="4" t="s">
        <v>30</v>
      </c>
      <c r="K520" s="4" t="s">
        <v>31</v>
      </c>
      <c r="L520" s="5">
        <v>42479.916666666664</v>
      </c>
      <c r="M520" s="5">
        <v>42480.083333333336</v>
      </c>
      <c r="N520" s="5">
        <v>42480.166666666664</v>
      </c>
      <c r="O520" s="4" t="s">
        <v>32</v>
      </c>
      <c r="P520" s="4" t="s">
        <v>149</v>
      </c>
      <c r="Q520" s="4" t="s">
        <v>76</v>
      </c>
      <c r="R520" s="4" t="s">
        <v>1530</v>
      </c>
      <c r="S520" s="4" t="s">
        <v>1530</v>
      </c>
      <c r="T520" s="4" t="s">
        <v>37</v>
      </c>
      <c r="U520" s="4" t="s">
        <v>37</v>
      </c>
      <c r="V520" s="4" t="s">
        <v>1531</v>
      </c>
      <c r="W520" s="4" t="s">
        <v>37</v>
      </c>
      <c r="X520" s="4" t="s">
        <v>37</v>
      </c>
      <c r="Y520" s="4" t="s">
        <v>37</v>
      </c>
      <c r="Z520" s="4"/>
      <c r="AA520" s="4" t="s">
        <v>93</v>
      </c>
    </row>
    <row r="521" spans="1:27" s="1" customFormat="1" x14ac:dyDescent="0.3">
      <c r="A521" s="19">
        <v>19937</v>
      </c>
      <c r="B521" s="4" t="s">
        <v>1532</v>
      </c>
      <c r="C521" s="4" t="s">
        <v>39</v>
      </c>
      <c r="D521" s="5">
        <v>42472.495833333334</v>
      </c>
      <c r="E521" s="5" t="s">
        <v>2083</v>
      </c>
      <c r="F521" s="4" t="s">
        <v>26</v>
      </c>
      <c r="G521" s="4" t="s">
        <v>417</v>
      </c>
      <c r="H521" s="4" t="s">
        <v>417</v>
      </c>
      <c r="I521" s="4" t="s">
        <v>56</v>
      </c>
      <c r="J521" s="4" t="s">
        <v>418</v>
      </c>
      <c r="K521" s="4" t="s">
        <v>31</v>
      </c>
      <c r="L521" s="5">
        <v>42490.5625</v>
      </c>
      <c r="M521" s="5">
        <v>42490.6875</v>
      </c>
      <c r="N521" s="5">
        <v>42490.729166666664</v>
      </c>
      <c r="O521" s="4" t="s">
        <v>32</v>
      </c>
      <c r="P521" s="4" t="s">
        <v>33</v>
      </c>
      <c r="Q521" s="4" t="s">
        <v>50</v>
      </c>
      <c r="R521" s="4" t="s">
        <v>1533</v>
      </c>
      <c r="S521" s="4" t="s">
        <v>1533</v>
      </c>
      <c r="T521" s="4" t="s">
        <v>36</v>
      </c>
      <c r="U521" s="4" t="s">
        <v>37</v>
      </c>
      <c r="V521" s="4" t="s">
        <v>1534</v>
      </c>
      <c r="W521" s="4"/>
      <c r="X521" s="4"/>
      <c r="Y521" s="4"/>
      <c r="Z521" s="4" t="s">
        <v>39</v>
      </c>
      <c r="AA521" s="4" t="s">
        <v>179</v>
      </c>
    </row>
    <row r="522" spans="1:27" s="1" customFormat="1" x14ac:dyDescent="0.3">
      <c r="A522" s="19">
        <v>19938</v>
      </c>
      <c r="B522" s="4" t="s">
        <v>1535</v>
      </c>
      <c r="C522" s="4" t="s">
        <v>39</v>
      </c>
      <c r="D522" s="5">
        <v>42472.496898148151</v>
      </c>
      <c r="E522" s="5" t="s">
        <v>2083</v>
      </c>
      <c r="F522" s="4" t="s">
        <v>26</v>
      </c>
      <c r="G522" s="4" t="s">
        <v>417</v>
      </c>
      <c r="H522" s="4" t="s">
        <v>417</v>
      </c>
      <c r="I522" s="4" t="s">
        <v>83</v>
      </c>
      <c r="J522" s="4" t="s">
        <v>600</v>
      </c>
      <c r="K522" s="4" t="s">
        <v>31</v>
      </c>
      <c r="L522" s="5">
        <v>42480.000694444447</v>
      </c>
      <c r="M522" s="5">
        <v>42480.166666666664</v>
      </c>
      <c r="N522" s="5">
        <v>42480.208333333336</v>
      </c>
      <c r="O522" s="4" t="s">
        <v>32</v>
      </c>
      <c r="P522" s="4" t="s">
        <v>33</v>
      </c>
      <c r="Q522" s="4" t="s">
        <v>50</v>
      </c>
      <c r="R522" s="4" t="s">
        <v>601</v>
      </c>
      <c r="S522" s="4" t="s">
        <v>601</v>
      </c>
      <c r="T522" s="4" t="s">
        <v>37</v>
      </c>
      <c r="U522" s="4" t="s">
        <v>37</v>
      </c>
      <c r="V522" s="4" t="s">
        <v>1536</v>
      </c>
      <c r="W522" s="4" t="s">
        <v>36</v>
      </c>
      <c r="X522" s="4" t="s">
        <v>37</v>
      </c>
      <c r="Y522" s="4" t="s">
        <v>36</v>
      </c>
      <c r="Z522" s="4" t="s">
        <v>1537</v>
      </c>
      <c r="AA522" s="4" t="s">
        <v>93</v>
      </c>
    </row>
    <row r="523" spans="1:27" s="1" customFormat="1" x14ac:dyDescent="0.3">
      <c r="A523" s="19">
        <v>19939</v>
      </c>
      <c r="B523" s="4" t="s">
        <v>1538</v>
      </c>
      <c r="C523" s="4" t="s">
        <v>39</v>
      </c>
      <c r="D523" s="5">
        <v>42472.498553240737</v>
      </c>
      <c r="E523" s="5" t="s">
        <v>2083</v>
      </c>
      <c r="F523" s="4" t="s">
        <v>26</v>
      </c>
      <c r="G523" s="4" t="s">
        <v>417</v>
      </c>
      <c r="H523" s="4" t="s">
        <v>417</v>
      </c>
      <c r="I523" s="4" t="s">
        <v>56</v>
      </c>
      <c r="J523" s="4" t="s">
        <v>418</v>
      </c>
      <c r="K523" s="4" t="s">
        <v>31</v>
      </c>
      <c r="L523" s="5">
        <v>42517.75</v>
      </c>
      <c r="M523" s="5">
        <v>42517.833333333336</v>
      </c>
      <c r="N523" s="5">
        <v>42517.875</v>
      </c>
      <c r="O523" s="4" t="s">
        <v>32</v>
      </c>
      <c r="P523" s="4" t="s">
        <v>33</v>
      </c>
      <c r="Q523" s="4" t="s">
        <v>50</v>
      </c>
      <c r="R523" s="4" t="s">
        <v>419</v>
      </c>
      <c r="S523" s="4" t="s">
        <v>419</v>
      </c>
      <c r="T523" s="4" t="s">
        <v>36</v>
      </c>
      <c r="U523" s="4" t="s">
        <v>37</v>
      </c>
      <c r="V523" s="4" t="s">
        <v>1539</v>
      </c>
      <c r="W523" s="4" t="s">
        <v>37</v>
      </c>
      <c r="X523" s="4" t="s">
        <v>37</v>
      </c>
      <c r="Y523" s="4" t="s">
        <v>36</v>
      </c>
      <c r="Z523" s="4" t="s">
        <v>39</v>
      </c>
      <c r="AA523" s="4" t="s">
        <v>179</v>
      </c>
    </row>
    <row r="524" spans="1:27" s="1" customFormat="1" x14ac:dyDescent="0.3">
      <c r="A524" s="19">
        <v>19940</v>
      </c>
      <c r="B524" s="4" t="s">
        <v>1538</v>
      </c>
      <c r="C524" s="4" t="s">
        <v>39</v>
      </c>
      <c r="D524" s="5">
        <v>42472.500034722223</v>
      </c>
      <c r="E524" s="5" t="s">
        <v>2083</v>
      </c>
      <c r="F524" s="4" t="s">
        <v>26</v>
      </c>
      <c r="G524" s="4" t="s">
        <v>417</v>
      </c>
      <c r="H524" s="4" t="s">
        <v>417</v>
      </c>
      <c r="I524" s="4" t="s">
        <v>56</v>
      </c>
      <c r="J524" s="4" t="s">
        <v>418</v>
      </c>
      <c r="K524" s="4" t="s">
        <v>31</v>
      </c>
      <c r="L524" s="5">
        <v>42499.75</v>
      </c>
      <c r="M524" s="5">
        <v>42499.833333333336</v>
      </c>
      <c r="N524" s="5">
        <v>42499.875</v>
      </c>
      <c r="O524" s="4" t="s">
        <v>32</v>
      </c>
      <c r="P524" s="4" t="s">
        <v>33</v>
      </c>
      <c r="Q524" s="4" t="s">
        <v>50</v>
      </c>
      <c r="R524" s="4" t="s">
        <v>419</v>
      </c>
      <c r="S524" s="4" t="s">
        <v>419</v>
      </c>
      <c r="T524" s="4" t="s">
        <v>36</v>
      </c>
      <c r="U524" s="4" t="s">
        <v>37</v>
      </c>
      <c r="V524" s="4" t="s">
        <v>1540</v>
      </c>
      <c r="W524" s="4"/>
      <c r="X524" s="4"/>
      <c r="Y524" s="4"/>
      <c r="Z524" s="4" t="s">
        <v>39</v>
      </c>
      <c r="AA524" s="4" t="s">
        <v>179</v>
      </c>
    </row>
    <row r="525" spans="1:27" s="1" customFormat="1" x14ac:dyDescent="0.3">
      <c r="A525" s="19">
        <v>19941</v>
      </c>
      <c r="B525" s="4" t="s">
        <v>1541</v>
      </c>
      <c r="C525" s="4" t="s">
        <v>39</v>
      </c>
      <c r="D525" s="5">
        <v>42472.501273148147</v>
      </c>
      <c r="E525" s="5" t="s">
        <v>2083</v>
      </c>
      <c r="F525" s="4" t="s">
        <v>26</v>
      </c>
      <c r="G525" s="4" t="s">
        <v>417</v>
      </c>
      <c r="H525" s="4" t="s">
        <v>417</v>
      </c>
      <c r="I525" s="4" t="s">
        <v>56</v>
      </c>
      <c r="J525" s="4" t="s">
        <v>418</v>
      </c>
      <c r="K525" s="4" t="s">
        <v>31</v>
      </c>
      <c r="L525" s="5">
        <v>42487.000694444447</v>
      </c>
      <c r="M525" s="5">
        <v>42487.125</v>
      </c>
      <c r="N525" s="5">
        <v>42487.166666666664</v>
      </c>
      <c r="O525" s="4" t="s">
        <v>32</v>
      </c>
      <c r="P525" s="4" t="s">
        <v>89</v>
      </c>
      <c r="Q525" s="4" t="s">
        <v>50</v>
      </c>
      <c r="R525" s="4" t="s">
        <v>1533</v>
      </c>
      <c r="S525" s="4" t="s">
        <v>1533</v>
      </c>
      <c r="T525" s="4" t="s">
        <v>37</v>
      </c>
      <c r="U525" s="4" t="s">
        <v>37</v>
      </c>
      <c r="V525" s="4" t="s">
        <v>1542</v>
      </c>
      <c r="W525" s="4" t="s">
        <v>37</v>
      </c>
      <c r="X525" s="4" t="s">
        <v>37</v>
      </c>
      <c r="Y525" s="4" t="s">
        <v>36</v>
      </c>
      <c r="Z525" s="4" t="s">
        <v>39</v>
      </c>
      <c r="AA525" s="4" t="s">
        <v>179</v>
      </c>
    </row>
    <row r="526" spans="1:27" s="1" customFormat="1" x14ac:dyDescent="0.3">
      <c r="A526" s="19">
        <v>19943</v>
      </c>
      <c r="B526" s="4" t="s">
        <v>477</v>
      </c>
      <c r="C526" s="4">
        <v>0</v>
      </c>
      <c r="D526" s="5">
        <v>42472.650740740741</v>
      </c>
      <c r="E526" s="5" t="s">
        <v>2083</v>
      </c>
      <c r="F526" s="4" t="s">
        <v>26</v>
      </c>
      <c r="G526" s="4" t="s">
        <v>478</v>
      </c>
      <c r="H526" s="4" t="s">
        <v>478</v>
      </c>
      <c r="I526" s="4" t="s">
        <v>71</v>
      </c>
      <c r="J526" s="4" t="s">
        <v>479</v>
      </c>
      <c r="K526" s="4" t="s">
        <v>31</v>
      </c>
      <c r="L526" s="5">
        <v>42489.9375</v>
      </c>
      <c r="M526" s="5">
        <v>42489.979166666664</v>
      </c>
      <c r="N526" s="5">
        <v>42490.208333333336</v>
      </c>
      <c r="O526" s="4" t="s">
        <v>32</v>
      </c>
      <c r="P526" s="4" t="s">
        <v>33</v>
      </c>
      <c r="Q526" s="4" t="s">
        <v>50</v>
      </c>
      <c r="R526" s="6" t="s">
        <v>77</v>
      </c>
      <c r="S526" s="4" t="s">
        <v>230</v>
      </c>
      <c r="T526" s="4" t="s">
        <v>37</v>
      </c>
      <c r="U526" s="4" t="s">
        <v>37</v>
      </c>
      <c r="V526" s="4" t="s">
        <v>480</v>
      </c>
      <c r="W526" s="4" t="s">
        <v>37</v>
      </c>
      <c r="X526" s="4" t="s">
        <v>37</v>
      </c>
      <c r="Y526" s="4" t="s">
        <v>36</v>
      </c>
      <c r="Z526" s="4"/>
      <c r="AA526" s="4" t="s">
        <v>481</v>
      </c>
    </row>
    <row r="527" spans="1:27" s="1" customFormat="1" x14ac:dyDescent="0.3">
      <c r="A527" s="19">
        <v>19945</v>
      </c>
      <c r="B527" s="4" t="s">
        <v>1543</v>
      </c>
      <c r="C527" s="4" t="s">
        <v>2148</v>
      </c>
      <c r="D527" s="5">
        <v>42472.675162037034</v>
      </c>
      <c r="E527" s="5" t="s">
        <v>2083</v>
      </c>
      <c r="F527" s="4" t="s">
        <v>26</v>
      </c>
      <c r="G527" s="4" t="s">
        <v>743</v>
      </c>
      <c r="H527" s="4" t="s">
        <v>743</v>
      </c>
      <c r="I527" s="4" t="s">
        <v>48</v>
      </c>
      <c r="J527" s="4" t="s">
        <v>43</v>
      </c>
      <c r="K527" s="4" t="s">
        <v>31</v>
      </c>
      <c r="L527" s="5">
        <v>42479.916666666664</v>
      </c>
      <c r="M527" s="5">
        <v>42479.999305555553</v>
      </c>
      <c r="N527" s="5">
        <v>42479.999305555553</v>
      </c>
      <c r="O527" s="4" t="s">
        <v>32</v>
      </c>
      <c r="P527" s="4" t="s">
        <v>149</v>
      </c>
      <c r="Q527" s="4" t="s">
        <v>76</v>
      </c>
      <c r="R527" s="4"/>
      <c r="S527" s="4"/>
      <c r="T527" s="4" t="s">
        <v>37</v>
      </c>
      <c r="U527" s="4" t="s">
        <v>37</v>
      </c>
      <c r="V527" s="4" t="s">
        <v>1544</v>
      </c>
      <c r="W527" s="4" t="s">
        <v>37</v>
      </c>
      <c r="X527" s="4" t="s">
        <v>37</v>
      </c>
      <c r="Y527" s="4" t="s">
        <v>36</v>
      </c>
      <c r="Z527" s="4" t="s">
        <v>39</v>
      </c>
      <c r="AA527" s="4" t="s">
        <v>744</v>
      </c>
    </row>
    <row r="528" spans="1:27" s="1" customFormat="1" x14ac:dyDescent="0.3">
      <c r="A528" s="19">
        <v>19946</v>
      </c>
      <c r="B528" s="4" t="s">
        <v>1545</v>
      </c>
      <c r="C528" s="4">
        <v>0</v>
      </c>
      <c r="D528" s="5">
        <v>42472.705868055556</v>
      </c>
      <c r="E528" s="5" t="s">
        <v>2083</v>
      </c>
      <c r="F528" s="4" t="s">
        <v>26</v>
      </c>
      <c r="G528" s="4" t="s">
        <v>1373</v>
      </c>
      <c r="H528" s="4" t="s">
        <v>1546</v>
      </c>
      <c r="I528" s="4" t="s">
        <v>214</v>
      </c>
      <c r="J528" s="4" t="s">
        <v>1511</v>
      </c>
      <c r="K528" s="4" t="s">
        <v>31</v>
      </c>
      <c r="L528" s="5">
        <v>42476.989583333336</v>
      </c>
      <c r="M528" s="5">
        <v>42477.208333333336</v>
      </c>
      <c r="N528" s="5">
        <v>42477.229166666664</v>
      </c>
      <c r="O528" s="4" t="s">
        <v>250</v>
      </c>
      <c r="P528" s="4" t="s">
        <v>89</v>
      </c>
      <c r="Q528" s="4" t="s">
        <v>251</v>
      </c>
      <c r="R528" s="4" t="s">
        <v>1512</v>
      </c>
      <c r="S528" s="4" t="s">
        <v>1547</v>
      </c>
      <c r="T528" s="4" t="s">
        <v>37</v>
      </c>
      <c r="U528" s="4" t="s">
        <v>37</v>
      </c>
      <c r="V528" s="4" t="s">
        <v>1548</v>
      </c>
      <c r="W528" s="4" t="s">
        <v>37</v>
      </c>
      <c r="X528" s="4" t="s">
        <v>37</v>
      </c>
      <c r="Y528" s="4" t="s">
        <v>36</v>
      </c>
      <c r="Z528" s="4" t="s">
        <v>1514</v>
      </c>
      <c r="AA528" s="4" t="s">
        <v>1515</v>
      </c>
    </row>
    <row r="529" spans="1:27" s="1" customFormat="1" x14ac:dyDescent="0.3">
      <c r="A529" s="19">
        <v>19948</v>
      </c>
      <c r="B529" s="4" t="s">
        <v>687</v>
      </c>
      <c r="C529" s="4">
        <v>0</v>
      </c>
      <c r="D529" s="5">
        <v>42472.742534722223</v>
      </c>
      <c r="E529" s="5" t="s">
        <v>2083</v>
      </c>
      <c r="F529" s="4" t="s">
        <v>26</v>
      </c>
      <c r="G529" s="4" t="s">
        <v>392</v>
      </c>
      <c r="H529" s="4" t="s">
        <v>392</v>
      </c>
      <c r="I529" s="4" t="s">
        <v>200</v>
      </c>
      <c r="J529" s="4" t="s">
        <v>311</v>
      </c>
      <c r="K529" s="4" t="s">
        <v>31</v>
      </c>
      <c r="L529" s="5">
        <v>42487.833333333336</v>
      </c>
      <c r="M529" s="5">
        <v>42488</v>
      </c>
      <c r="N529" s="5">
        <v>42488.020833333336</v>
      </c>
      <c r="O529" s="4" t="s">
        <v>32</v>
      </c>
      <c r="P529" s="4" t="s">
        <v>33</v>
      </c>
      <c r="Q529" s="4" t="s">
        <v>76</v>
      </c>
      <c r="R529" s="6" t="s">
        <v>77</v>
      </c>
      <c r="S529" s="6" t="s">
        <v>77</v>
      </c>
      <c r="T529" s="4" t="s">
        <v>37</v>
      </c>
      <c r="U529" s="4" t="s">
        <v>37</v>
      </c>
      <c r="V529" s="4" t="s">
        <v>646</v>
      </c>
      <c r="W529" s="4" t="s">
        <v>37</v>
      </c>
      <c r="X529" s="4" t="s">
        <v>37</v>
      </c>
      <c r="Y529" s="4" t="s">
        <v>36</v>
      </c>
      <c r="Z529" s="4"/>
      <c r="AA529" s="4"/>
    </row>
    <row r="530" spans="1:27" s="1" customFormat="1" x14ac:dyDescent="0.3">
      <c r="A530" s="19">
        <v>19949</v>
      </c>
      <c r="B530" s="4" t="s">
        <v>1549</v>
      </c>
      <c r="C530" s="4">
        <v>0</v>
      </c>
      <c r="D530" s="5">
        <v>42472.756284722222</v>
      </c>
      <c r="E530" s="5" t="s">
        <v>2083</v>
      </c>
      <c r="F530" s="4" t="s">
        <v>26</v>
      </c>
      <c r="G530" s="4" t="s">
        <v>98</v>
      </c>
      <c r="H530" s="4" t="s">
        <v>98</v>
      </c>
      <c r="I530" s="4" t="s">
        <v>88</v>
      </c>
      <c r="J530" s="4" t="s">
        <v>30</v>
      </c>
      <c r="K530" s="4" t="s">
        <v>31</v>
      </c>
      <c r="L530" s="5">
        <v>42476.916666666664</v>
      </c>
      <c r="M530" s="5">
        <v>42477.25</v>
      </c>
      <c r="N530" s="5">
        <v>42477.25</v>
      </c>
      <c r="O530" s="4" t="s">
        <v>250</v>
      </c>
      <c r="P530" s="4" t="s">
        <v>89</v>
      </c>
      <c r="Q530" s="4" t="s">
        <v>251</v>
      </c>
      <c r="R530" s="6" t="s">
        <v>77</v>
      </c>
      <c r="S530" s="6" t="s">
        <v>77</v>
      </c>
      <c r="T530" s="4" t="s">
        <v>37</v>
      </c>
      <c r="U530" s="4" t="s">
        <v>37</v>
      </c>
      <c r="V530" s="4" t="s">
        <v>1550</v>
      </c>
      <c r="W530" s="4" t="s">
        <v>37</v>
      </c>
      <c r="X530" s="4" t="s">
        <v>37</v>
      </c>
      <c r="Y530" s="4" t="s">
        <v>36</v>
      </c>
      <c r="Z530" s="4">
        <v>0</v>
      </c>
      <c r="AA530" s="4" t="s">
        <v>676</v>
      </c>
    </row>
    <row r="531" spans="1:27" s="1" customFormat="1" x14ac:dyDescent="0.3">
      <c r="A531" s="19">
        <v>19950</v>
      </c>
      <c r="B531" s="4" t="s">
        <v>1551</v>
      </c>
      <c r="C531" s="4" t="s">
        <v>2111</v>
      </c>
      <c r="D531" s="5">
        <v>42473.474965277775</v>
      </c>
      <c r="E531" s="5" t="s">
        <v>2083</v>
      </c>
      <c r="F531" s="4" t="s">
        <v>26</v>
      </c>
      <c r="G531" s="4" t="s">
        <v>243</v>
      </c>
      <c r="H531" s="4" t="s">
        <v>243</v>
      </c>
      <c r="I531" s="4" t="s">
        <v>216</v>
      </c>
      <c r="J531" s="4" t="s">
        <v>30</v>
      </c>
      <c r="K531" s="4" t="s">
        <v>31</v>
      </c>
      <c r="L531" s="5">
        <v>42473.916666666664</v>
      </c>
      <c r="M531" s="5">
        <v>42474.125</v>
      </c>
      <c r="N531" s="5">
        <v>42474.375</v>
      </c>
      <c r="O531" s="4" t="s">
        <v>710</v>
      </c>
      <c r="P531" s="4" t="s">
        <v>33</v>
      </c>
      <c r="Q531" s="4" t="s">
        <v>76</v>
      </c>
      <c r="R531" s="4" t="s">
        <v>245</v>
      </c>
      <c r="S531" s="4" t="s">
        <v>245</v>
      </c>
      <c r="T531" s="4" t="s">
        <v>37</v>
      </c>
      <c r="U531" s="4" t="s">
        <v>37</v>
      </c>
      <c r="V531" s="4" t="s">
        <v>246</v>
      </c>
      <c r="W531" s="4" t="s">
        <v>37</v>
      </c>
      <c r="X531" s="4" t="s">
        <v>37</v>
      </c>
      <c r="Y531" s="4" t="s">
        <v>36</v>
      </c>
      <c r="Z531" s="4"/>
      <c r="AA531" s="4" t="s">
        <v>179</v>
      </c>
    </row>
    <row r="532" spans="1:27" s="1" customFormat="1" x14ac:dyDescent="0.3">
      <c r="A532" s="19">
        <v>19951</v>
      </c>
      <c r="B532" s="4" t="s">
        <v>1552</v>
      </c>
      <c r="C532" s="4" t="s">
        <v>2157</v>
      </c>
      <c r="D532" s="5">
        <v>42473.490115740744</v>
      </c>
      <c r="E532" s="5" t="s">
        <v>2083</v>
      </c>
      <c r="F532" s="4" t="s">
        <v>26</v>
      </c>
      <c r="G532" s="4" t="s">
        <v>513</v>
      </c>
      <c r="H532" s="4" t="s">
        <v>1322</v>
      </c>
      <c r="I532" s="4" t="s">
        <v>200</v>
      </c>
      <c r="J532" s="4" t="s">
        <v>30</v>
      </c>
      <c r="K532" s="4" t="s">
        <v>31</v>
      </c>
      <c r="L532" s="5">
        <v>42478.729166666664</v>
      </c>
      <c r="M532" s="5">
        <v>42478.861111111109</v>
      </c>
      <c r="N532" s="5">
        <v>42478.881944444445</v>
      </c>
      <c r="O532" s="4" t="s">
        <v>32</v>
      </c>
      <c r="P532" s="4" t="s">
        <v>33</v>
      </c>
      <c r="Q532" s="4" t="s">
        <v>76</v>
      </c>
      <c r="R532" s="4" t="s">
        <v>1324</v>
      </c>
      <c r="S532" s="4" t="s">
        <v>1324</v>
      </c>
      <c r="T532" s="4" t="s">
        <v>37</v>
      </c>
      <c r="U532" s="4" t="s">
        <v>37</v>
      </c>
      <c r="V532" s="4" t="s">
        <v>1553</v>
      </c>
      <c r="W532" s="4" t="s">
        <v>37</v>
      </c>
      <c r="X532" s="4" t="s">
        <v>37</v>
      </c>
      <c r="Y532" s="4" t="s">
        <v>36</v>
      </c>
      <c r="Z532" s="4"/>
      <c r="AA532" s="4" t="s">
        <v>179</v>
      </c>
    </row>
    <row r="533" spans="1:27" s="1" customFormat="1" x14ac:dyDescent="0.3">
      <c r="A533" s="19">
        <v>19952</v>
      </c>
      <c r="B533" s="4" t="s">
        <v>1554</v>
      </c>
      <c r="C533" s="4" t="s">
        <v>2134</v>
      </c>
      <c r="D533" s="5">
        <v>42473.494722222225</v>
      </c>
      <c r="E533" s="5" t="s">
        <v>2083</v>
      </c>
      <c r="F533" s="4" t="s">
        <v>26</v>
      </c>
      <c r="G533" s="4" t="s">
        <v>513</v>
      </c>
      <c r="H533" s="4" t="s">
        <v>566</v>
      </c>
      <c r="I533" s="4" t="s">
        <v>130</v>
      </c>
      <c r="J533" s="4" t="s">
        <v>30</v>
      </c>
      <c r="K533" s="4" t="s">
        <v>31</v>
      </c>
      <c r="L533" s="5">
        <v>42478.625</v>
      </c>
      <c r="M533" s="5">
        <v>42478.75</v>
      </c>
      <c r="N533" s="5">
        <v>42478.791666666664</v>
      </c>
      <c r="O533" s="4" t="s">
        <v>32</v>
      </c>
      <c r="P533" s="4" t="s">
        <v>149</v>
      </c>
      <c r="Q533" s="4" t="s">
        <v>34</v>
      </c>
      <c r="R533" s="4"/>
      <c r="S533" s="6" t="s">
        <v>77</v>
      </c>
      <c r="T533" s="4" t="s">
        <v>37</v>
      </c>
      <c r="U533" s="4" t="s">
        <v>37</v>
      </c>
      <c r="V533" s="4" t="s">
        <v>805</v>
      </c>
      <c r="W533" s="4" t="s">
        <v>37</v>
      </c>
      <c r="X533" s="4" t="s">
        <v>37</v>
      </c>
      <c r="Y533" s="4" t="s">
        <v>36</v>
      </c>
      <c r="Z533" s="4"/>
      <c r="AA533" s="4" t="s">
        <v>179</v>
      </c>
    </row>
    <row r="534" spans="1:27" s="1" customFormat="1" x14ac:dyDescent="0.3">
      <c r="A534" s="19">
        <v>19953</v>
      </c>
      <c r="B534" s="4" t="s">
        <v>1108</v>
      </c>
      <c r="C534" s="4" t="s">
        <v>2175</v>
      </c>
      <c r="D534" s="5">
        <v>42473.54828703704</v>
      </c>
      <c r="E534" s="5" t="s">
        <v>2083</v>
      </c>
      <c r="F534" s="4" t="s">
        <v>26</v>
      </c>
      <c r="G534" s="4" t="s">
        <v>1109</v>
      </c>
      <c r="H534" s="4" t="s">
        <v>922</v>
      </c>
      <c r="I534" s="4" t="s">
        <v>118</v>
      </c>
      <c r="J534" s="4" t="s">
        <v>30</v>
      </c>
      <c r="K534" s="4" t="s">
        <v>31</v>
      </c>
      <c r="L534" s="5">
        <v>42487.916666666664</v>
      </c>
      <c r="M534" s="5">
        <v>42488.5</v>
      </c>
      <c r="N534" s="5">
        <v>42488.75</v>
      </c>
      <c r="O534" s="4" t="s">
        <v>32</v>
      </c>
      <c r="P534" s="4" t="s">
        <v>33</v>
      </c>
      <c r="Q534" s="4" t="s">
        <v>76</v>
      </c>
      <c r="R534" s="4" t="s">
        <v>1555</v>
      </c>
      <c r="S534" s="4" t="s">
        <v>1555</v>
      </c>
      <c r="T534" s="4" t="s">
        <v>37</v>
      </c>
      <c r="U534" s="4" t="s">
        <v>37</v>
      </c>
      <c r="V534" s="4" t="s">
        <v>292</v>
      </c>
      <c r="W534" s="4" t="s">
        <v>37</v>
      </c>
      <c r="X534" s="4" t="s">
        <v>37</v>
      </c>
      <c r="Y534" s="4" t="s">
        <v>36</v>
      </c>
      <c r="Z534" s="4" t="s">
        <v>1556</v>
      </c>
      <c r="AA534" s="4" t="s">
        <v>40</v>
      </c>
    </row>
    <row r="535" spans="1:27" s="1" customFormat="1" x14ac:dyDescent="0.3">
      <c r="A535" s="19">
        <v>19956</v>
      </c>
      <c r="B535" s="4" t="s">
        <v>1557</v>
      </c>
      <c r="C535" s="4" t="s">
        <v>2111</v>
      </c>
      <c r="D535" s="5">
        <v>42473.701180555552</v>
      </c>
      <c r="E535" s="5" t="s">
        <v>2083</v>
      </c>
      <c r="F535" s="4" t="s">
        <v>26</v>
      </c>
      <c r="G535" s="4" t="s">
        <v>244</v>
      </c>
      <c r="H535" s="4" t="s">
        <v>244</v>
      </c>
      <c r="I535" s="4" t="s">
        <v>118</v>
      </c>
      <c r="J535" s="4" t="s">
        <v>30</v>
      </c>
      <c r="K535" s="4" t="s">
        <v>31</v>
      </c>
      <c r="L535" s="5">
        <v>42473.916666666664</v>
      </c>
      <c r="M535" s="5">
        <v>42474.5</v>
      </c>
      <c r="N535" s="5">
        <v>42474.75</v>
      </c>
      <c r="O535" s="4" t="s">
        <v>710</v>
      </c>
      <c r="P535" s="4" t="s">
        <v>33</v>
      </c>
      <c r="Q535" s="4" t="s">
        <v>76</v>
      </c>
      <c r="R535" s="6" t="s">
        <v>77</v>
      </c>
      <c r="S535" s="4" t="s">
        <v>517</v>
      </c>
      <c r="T535" s="4" t="s">
        <v>37</v>
      </c>
      <c r="U535" s="4" t="s">
        <v>37</v>
      </c>
      <c r="V535" s="4" t="s">
        <v>365</v>
      </c>
      <c r="W535" s="4" t="s">
        <v>37</v>
      </c>
      <c r="X535" s="4" t="s">
        <v>37</v>
      </c>
      <c r="Y535" s="4" t="s">
        <v>36</v>
      </c>
      <c r="Z535" s="4"/>
      <c r="AA535" s="4" t="s">
        <v>179</v>
      </c>
    </row>
    <row r="536" spans="1:27" s="1" customFormat="1" x14ac:dyDescent="0.3">
      <c r="A536" s="19">
        <v>19957</v>
      </c>
      <c r="B536" s="4" t="s">
        <v>1558</v>
      </c>
      <c r="C536" s="4">
        <v>0</v>
      </c>
      <c r="D536" s="5">
        <v>42473.701724537037</v>
      </c>
      <c r="E536" s="5" t="s">
        <v>2083</v>
      </c>
      <c r="F536" s="4" t="s">
        <v>26</v>
      </c>
      <c r="G536" s="4" t="s">
        <v>892</v>
      </c>
      <c r="H536" s="4" t="s">
        <v>892</v>
      </c>
      <c r="I536" s="4" t="s">
        <v>169</v>
      </c>
      <c r="J536" s="4" t="s">
        <v>30</v>
      </c>
      <c r="K536" s="4" t="s">
        <v>31</v>
      </c>
      <c r="L536" s="5">
        <v>42499.916666666664</v>
      </c>
      <c r="M536" s="5">
        <v>42499.944444444445</v>
      </c>
      <c r="N536" s="5">
        <v>42499.958333333336</v>
      </c>
      <c r="O536" s="4" t="s">
        <v>32</v>
      </c>
      <c r="P536" s="4" t="s">
        <v>33</v>
      </c>
      <c r="Q536" s="4" t="s">
        <v>34</v>
      </c>
      <c r="R536" s="6" t="s">
        <v>77</v>
      </c>
      <c r="S536" s="4" t="s">
        <v>1559</v>
      </c>
      <c r="T536" s="4" t="s">
        <v>37</v>
      </c>
      <c r="U536" s="4" t="s">
        <v>37</v>
      </c>
      <c r="V536" s="4" t="s">
        <v>1560</v>
      </c>
      <c r="W536" s="4"/>
      <c r="X536" s="4"/>
      <c r="Y536" s="4"/>
      <c r="Z536" s="4"/>
      <c r="AA536" s="4" t="s">
        <v>93</v>
      </c>
    </row>
    <row r="537" spans="1:27" s="1" customFormat="1" x14ac:dyDescent="0.3">
      <c r="A537" s="19">
        <v>19958</v>
      </c>
      <c r="B537" s="4" t="s">
        <v>1269</v>
      </c>
      <c r="C537" s="4" t="s">
        <v>2140</v>
      </c>
      <c r="D537" s="5">
        <v>42473.735405092593</v>
      </c>
      <c r="E537" s="5" t="s">
        <v>2083</v>
      </c>
      <c r="F537" s="4" t="s">
        <v>26</v>
      </c>
      <c r="G537" s="4" t="s">
        <v>1270</v>
      </c>
      <c r="H537" s="4" t="s">
        <v>729</v>
      </c>
      <c r="I537" s="4" t="s">
        <v>203</v>
      </c>
      <c r="J537" s="4" t="s">
        <v>49</v>
      </c>
      <c r="K537" s="4" t="s">
        <v>31</v>
      </c>
      <c r="L537" s="5">
        <v>42478.916666666664</v>
      </c>
      <c r="M537" s="5">
        <v>42482.291666666664</v>
      </c>
      <c r="N537" s="5">
        <v>42482.3125</v>
      </c>
      <c r="O537" s="4" t="s">
        <v>32</v>
      </c>
      <c r="P537" s="4" t="s">
        <v>89</v>
      </c>
      <c r="Q537" s="4" t="s">
        <v>50</v>
      </c>
      <c r="R537" s="4" t="s">
        <v>1561</v>
      </c>
      <c r="S537" s="4" t="s">
        <v>1561</v>
      </c>
      <c r="T537" s="4" t="s">
        <v>36</v>
      </c>
      <c r="U537" s="4" t="s">
        <v>36</v>
      </c>
      <c r="V537" s="4" t="s">
        <v>1272</v>
      </c>
      <c r="W537" s="4" t="s">
        <v>37</v>
      </c>
      <c r="X537" s="4" t="s">
        <v>37</v>
      </c>
      <c r="Y537" s="4" t="s">
        <v>36</v>
      </c>
      <c r="Z537" s="4" t="s">
        <v>77</v>
      </c>
      <c r="AA537" s="4"/>
    </row>
    <row r="538" spans="1:27" s="1" customFormat="1" x14ac:dyDescent="0.3">
      <c r="A538" s="19">
        <v>19959</v>
      </c>
      <c r="B538" s="4" t="s">
        <v>1562</v>
      </c>
      <c r="C538" s="4" t="s">
        <v>2111</v>
      </c>
      <c r="D538" s="5">
        <v>42473.750821759262</v>
      </c>
      <c r="E538" s="5" t="s">
        <v>2083</v>
      </c>
      <c r="F538" s="4" t="s">
        <v>26</v>
      </c>
      <c r="G538" s="4" t="s">
        <v>27</v>
      </c>
      <c r="H538" s="4" t="s">
        <v>234</v>
      </c>
      <c r="I538" s="4" t="s">
        <v>42</v>
      </c>
      <c r="J538" s="4" t="s">
        <v>30</v>
      </c>
      <c r="K538" s="4" t="s">
        <v>31</v>
      </c>
      <c r="L538" s="5">
        <v>42473.999305555553</v>
      </c>
      <c r="M538" s="5">
        <v>42474.083333333336</v>
      </c>
      <c r="N538" s="5">
        <v>42474.166666666664</v>
      </c>
      <c r="O538" s="4" t="s">
        <v>710</v>
      </c>
      <c r="P538" s="4" t="s">
        <v>33</v>
      </c>
      <c r="Q538" s="4" t="s">
        <v>76</v>
      </c>
      <c r="R538" s="4" t="s">
        <v>1563</v>
      </c>
      <c r="S538" s="4" t="s">
        <v>1563</v>
      </c>
      <c r="T538" s="4" t="s">
        <v>37</v>
      </c>
      <c r="U538" s="4" t="s">
        <v>37</v>
      </c>
      <c r="V538" s="4" t="s">
        <v>1564</v>
      </c>
      <c r="W538" s="4" t="s">
        <v>37</v>
      </c>
      <c r="X538" s="4" t="s">
        <v>37</v>
      </c>
      <c r="Y538" s="4" t="s">
        <v>36</v>
      </c>
      <c r="Z538" s="4" t="s">
        <v>1565</v>
      </c>
      <c r="AA538" s="4" t="s">
        <v>257</v>
      </c>
    </row>
    <row r="539" spans="1:27" s="1" customFormat="1" x14ac:dyDescent="0.3">
      <c r="A539" s="19">
        <v>19960</v>
      </c>
      <c r="B539" s="4" t="s">
        <v>1566</v>
      </c>
      <c r="C539" s="4" t="s">
        <v>2111</v>
      </c>
      <c r="D539" s="5">
        <v>42473.766782407409</v>
      </c>
      <c r="E539" s="5" t="s">
        <v>2083</v>
      </c>
      <c r="F539" s="4" t="s">
        <v>26</v>
      </c>
      <c r="G539" s="4" t="s">
        <v>1109</v>
      </c>
      <c r="H539" s="4" t="s">
        <v>1567</v>
      </c>
      <c r="I539" s="4" t="s">
        <v>118</v>
      </c>
      <c r="J539" s="4" t="s">
        <v>30</v>
      </c>
      <c r="K539" s="4" t="s">
        <v>31</v>
      </c>
      <c r="L539" s="5">
        <v>42473.916666666664</v>
      </c>
      <c r="M539" s="5">
        <v>42474.5</v>
      </c>
      <c r="N539" s="5">
        <v>42474.75</v>
      </c>
      <c r="O539" s="4" t="s">
        <v>710</v>
      </c>
      <c r="P539" s="4" t="s">
        <v>33</v>
      </c>
      <c r="Q539" s="4" t="s">
        <v>76</v>
      </c>
      <c r="R539" s="4" t="s">
        <v>291</v>
      </c>
      <c r="S539" s="4" t="s">
        <v>291</v>
      </c>
      <c r="T539" s="4" t="s">
        <v>37</v>
      </c>
      <c r="U539" s="4" t="s">
        <v>37</v>
      </c>
      <c r="V539" s="4" t="s">
        <v>292</v>
      </c>
      <c r="W539" s="4" t="s">
        <v>37</v>
      </c>
      <c r="X539" s="4" t="s">
        <v>37</v>
      </c>
      <c r="Y539" s="4" t="s">
        <v>36</v>
      </c>
      <c r="Z539" s="4" t="s">
        <v>1568</v>
      </c>
      <c r="AA539" s="4" t="s">
        <v>40</v>
      </c>
    </row>
    <row r="540" spans="1:27" s="1" customFormat="1" x14ac:dyDescent="0.3">
      <c r="A540" s="19">
        <v>19961</v>
      </c>
      <c r="B540" s="4" t="s">
        <v>1569</v>
      </c>
      <c r="C540" s="4">
        <v>0</v>
      </c>
      <c r="D540" s="5">
        <v>42473.949143518519</v>
      </c>
      <c r="E540" s="5" t="s">
        <v>2083</v>
      </c>
      <c r="F540" s="4" t="s">
        <v>26</v>
      </c>
      <c r="G540" s="4" t="s">
        <v>1128</v>
      </c>
      <c r="H540" s="4" t="s">
        <v>1128</v>
      </c>
      <c r="I540" s="4" t="s">
        <v>48</v>
      </c>
      <c r="J540" s="4" t="s">
        <v>49</v>
      </c>
      <c r="K540" s="4" t="s">
        <v>31</v>
      </c>
      <c r="L540" s="5">
        <v>42481.9375</v>
      </c>
      <c r="M540" s="5">
        <v>42483.291666666664</v>
      </c>
      <c r="N540" s="5">
        <v>42483.75</v>
      </c>
      <c r="O540" s="4" t="s">
        <v>32</v>
      </c>
      <c r="P540" s="4" t="s">
        <v>33</v>
      </c>
      <c r="Q540" s="4" t="s">
        <v>34</v>
      </c>
      <c r="R540" s="4" t="s">
        <v>1570</v>
      </c>
      <c r="S540" s="4" t="s">
        <v>1570</v>
      </c>
      <c r="T540" s="4" t="s">
        <v>37</v>
      </c>
      <c r="U540" s="4" t="s">
        <v>37</v>
      </c>
      <c r="V540" s="4" t="s">
        <v>1571</v>
      </c>
      <c r="W540" s="4" t="s">
        <v>37</v>
      </c>
      <c r="X540" s="4" t="s">
        <v>37</v>
      </c>
      <c r="Y540" s="4" t="s">
        <v>37</v>
      </c>
      <c r="Z540" s="4"/>
      <c r="AA540" s="4"/>
    </row>
    <row r="541" spans="1:27" s="1" customFormat="1" x14ac:dyDescent="0.3">
      <c r="A541" s="19">
        <v>19962</v>
      </c>
      <c r="B541" s="4" t="s">
        <v>1572</v>
      </c>
      <c r="C541" s="4">
        <v>0</v>
      </c>
      <c r="D541" s="5">
        <v>42474.513101851851</v>
      </c>
      <c r="E541" s="5" t="s">
        <v>2083</v>
      </c>
      <c r="F541" s="4" t="s">
        <v>26</v>
      </c>
      <c r="G541" s="4" t="s">
        <v>195</v>
      </c>
      <c r="H541" s="4" t="s">
        <v>195</v>
      </c>
      <c r="I541" s="4" t="s">
        <v>42</v>
      </c>
      <c r="J541" s="4" t="s">
        <v>30</v>
      </c>
      <c r="K541" s="4" t="s">
        <v>31</v>
      </c>
      <c r="L541" s="5">
        <v>42490.333333333336</v>
      </c>
      <c r="M541" s="5">
        <v>42490.75</v>
      </c>
      <c r="N541" s="5">
        <v>42492.583333333336</v>
      </c>
      <c r="O541" s="4" t="s">
        <v>32</v>
      </c>
      <c r="P541" s="4" t="s">
        <v>33</v>
      </c>
      <c r="Q541" s="4" t="s">
        <v>76</v>
      </c>
      <c r="R541" s="4" t="s">
        <v>1573</v>
      </c>
      <c r="S541" s="4" t="s">
        <v>1573</v>
      </c>
      <c r="T541" s="4" t="s">
        <v>37</v>
      </c>
      <c r="U541" s="4" t="s">
        <v>37</v>
      </c>
      <c r="V541" s="4" t="s">
        <v>1574</v>
      </c>
      <c r="W541" s="4" t="s">
        <v>37</v>
      </c>
      <c r="X541" s="4" t="s">
        <v>37</v>
      </c>
      <c r="Y541" s="4" t="s">
        <v>36</v>
      </c>
      <c r="Z541" s="4"/>
      <c r="AA541" s="4" t="s">
        <v>231</v>
      </c>
    </row>
    <row r="542" spans="1:27" s="1" customFormat="1" x14ac:dyDescent="0.3">
      <c r="A542" s="19">
        <v>19963</v>
      </c>
      <c r="B542" s="4" t="s">
        <v>1575</v>
      </c>
      <c r="C542" s="4" t="s">
        <v>2176</v>
      </c>
      <c r="D542" s="5">
        <v>42474.533715277779</v>
      </c>
      <c r="E542" s="5" t="s">
        <v>2083</v>
      </c>
      <c r="F542" s="4" t="s">
        <v>26</v>
      </c>
      <c r="G542" s="4" t="s">
        <v>1576</v>
      </c>
      <c r="H542" s="4" t="s">
        <v>1576</v>
      </c>
      <c r="I542" s="4" t="s">
        <v>200</v>
      </c>
      <c r="J542" s="4" t="s">
        <v>30</v>
      </c>
      <c r="K542" s="4" t="s">
        <v>31</v>
      </c>
      <c r="L542" s="5">
        <v>42478.291666666664</v>
      </c>
      <c r="M542" s="5">
        <v>42478.590277777781</v>
      </c>
      <c r="N542" s="5">
        <v>42478.590277777781</v>
      </c>
      <c r="O542" s="4" t="s">
        <v>250</v>
      </c>
      <c r="P542" s="4" t="s">
        <v>89</v>
      </c>
      <c r="Q542" s="4" t="s">
        <v>119</v>
      </c>
      <c r="R542" s="4" t="s">
        <v>1577</v>
      </c>
      <c r="S542" s="4" t="s">
        <v>1577</v>
      </c>
      <c r="T542" s="4" t="s">
        <v>36</v>
      </c>
      <c r="U542" s="4" t="s">
        <v>37</v>
      </c>
      <c r="V542" s="4" t="s">
        <v>1578</v>
      </c>
      <c r="W542" s="4" t="s">
        <v>37</v>
      </c>
      <c r="X542" s="4" t="s">
        <v>37</v>
      </c>
      <c r="Y542" s="4" t="s">
        <v>36</v>
      </c>
      <c r="Z542" s="4" t="s">
        <v>1579</v>
      </c>
      <c r="AA542" s="4" t="s">
        <v>231</v>
      </c>
    </row>
    <row r="543" spans="1:27" s="1" customFormat="1" x14ac:dyDescent="0.3">
      <c r="A543" s="19">
        <v>19964</v>
      </c>
      <c r="B543" s="4" t="s">
        <v>1580</v>
      </c>
      <c r="C543" s="4" t="s">
        <v>2111</v>
      </c>
      <c r="D543" s="5">
        <v>42474.708009259259</v>
      </c>
      <c r="E543" s="5" t="s">
        <v>2083</v>
      </c>
      <c r="F543" s="4" t="s">
        <v>26</v>
      </c>
      <c r="G543" s="4" t="s">
        <v>692</v>
      </c>
      <c r="H543" s="4" t="s">
        <v>692</v>
      </c>
      <c r="I543" s="4" t="s">
        <v>29</v>
      </c>
      <c r="J543" s="4" t="s">
        <v>30</v>
      </c>
      <c r="K543" s="4" t="s">
        <v>31</v>
      </c>
      <c r="L543" s="5">
        <v>42475.875</v>
      </c>
      <c r="M543" s="5">
        <v>42475.916666666664</v>
      </c>
      <c r="N543" s="5">
        <v>42475.916666666664</v>
      </c>
      <c r="O543" s="4" t="s">
        <v>710</v>
      </c>
      <c r="P543" s="4" t="s">
        <v>89</v>
      </c>
      <c r="Q543" s="4" t="s">
        <v>76</v>
      </c>
      <c r="R543" s="4" t="s">
        <v>693</v>
      </c>
      <c r="S543" s="6" t="s">
        <v>77</v>
      </c>
      <c r="T543" s="4" t="s">
        <v>37</v>
      </c>
      <c r="U543" s="4" t="s">
        <v>37</v>
      </c>
      <c r="V543" s="4" t="s">
        <v>1581</v>
      </c>
      <c r="W543" s="4" t="s">
        <v>37</v>
      </c>
      <c r="X543" s="4" t="s">
        <v>37</v>
      </c>
      <c r="Y543" s="4" t="s">
        <v>36</v>
      </c>
      <c r="Z543" s="4" t="s">
        <v>1582</v>
      </c>
      <c r="AA543" s="4" t="s">
        <v>40</v>
      </c>
    </row>
    <row r="544" spans="1:27" s="1" customFormat="1" x14ac:dyDescent="0.3">
      <c r="A544" s="19">
        <v>19967</v>
      </c>
      <c r="B544" s="4" t="s">
        <v>1583</v>
      </c>
      <c r="C544" s="4" t="s">
        <v>2111</v>
      </c>
      <c r="D544" s="5">
        <v>42474.789930555555</v>
      </c>
      <c r="E544" s="5" t="s">
        <v>2083</v>
      </c>
      <c r="F544" s="4" t="s">
        <v>26</v>
      </c>
      <c r="G544" s="4" t="s">
        <v>422</v>
      </c>
      <c r="H544" s="4" t="s">
        <v>922</v>
      </c>
      <c r="I544" s="4" t="s">
        <v>118</v>
      </c>
      <c r="J544" s="4" t="s">
        <v>30</v>
      </c>
      <c r="K544" s="4" t="s">
        <v>31</v>
      </c>
      <c r="L544" s="5">
        <v>42474.916666666664</v>
      </c>
      <c r="M544" s="5">
        <v>42475.5</v>
      </c>
      <c r="N544" s="5">
        <v>42475.625</v>
      </c>
      <c r="O544" s="4" t="s">
        <v>710</v>
      </c>
      <c r="P544" s="4" t="s">
        <v>33</v>
      </c>
      <c r="Q544" s="4" t="s">
        <v>76</v>
      </c>
      <c r="R544" s="6" t="s">
        <v>77</v>
      </c>
      <c r="S544" s="4" t="s">
        <v>517</v>
      </c>
      <c r="T544" s="4" t="s">
        <v>37</v>
      </c>
      <c r="U544" s="4" t="s">
        <v>37</v>
      </c>
      <c r="V544" s="4" t="s">
        <v>365</v>
      </c>
      <c r="W544" s="4" t="s">
        <v>37</v>
      </c>
      <c r="X544" s="4" t="s">
        <v>37</v>
      </c>
      <c r="Y544" s="4" t="s">
        <v>36</v>
      </c>
      <c r="Z544" s="4"/>
      <c r="AA544" s="4" t="s">
        <v>179</v>
      </c>
    </row>
    <row r="545" spans="1:27" s="1" customFormat="1" x14ac:dyDescent="0.3">
      <c r="A545" s="19">
        <v>19969</v>
      </c>
      <c r="B545" s="4" t="s">
        <v>1584</v>
      </c>
      <c r="C545" s="4" t="s">
        <v>2111</v>
      </c>
      <c r="D545" s="5">
        <v>42475.43209490741</v>
      </c>
      <c r="E545" s="5" t="s">
        <v>2083</v>
      </c>
      <c r="F545" s="4" t="s">
        <v>26</v>
      </c>
      <c r="G545" s="4" t="s">
        <v>244</v>
      </c>
      <c r="H545" s="4" t="s">
        <v>244</v>
      </c>
      <c r="I545" s="4" t="s">
        <v>118</v>
      </c>
      <c r="J545" s="4" t="s">
        <v>30</v>
      </c>
      <c r="K545" s="4" t="s">
        <v>31</v>
      </c>
      <c r="L545" s="5">
        <v>42478.916666666664</v>
      </c>
      <c r="M545" s="5">
        <v>42479.5</v>
      </c>
      <c r="N545" s="5">
        <v>42479.75</v>
      </c>
      <c r="O545" s="4" t="s">
        <v>710</v>
      </c>
      <c r="P545" s="4" t="s">
        <v>33</v>
      </c>
      <c r="Q545" s="4" t="s">
        <v>76</v>
      </c>
      <c r="R545" s="6" t="s">
        <v>77</v>
      </c>
      <c r="S545" s="4" t="s">
        <v>517</v>
      </c>
      <c r="T545" s="4" t="s">
        <v>37</v>
      </c>
      <c r="U545" s="4" t="s">
        <v>37</v>
      </c>
      <c r="V545" s="4" t="s">
        <v>365</v>
      </c>
      <c r="W545" s="4" t="s">
        <v>37</v>
      </c>
      <c r="X545" s="4" t="s">
        <v>37</v>
      </c>
      <c r="Y545" s="4" t="s">
        <v>36</v>
      </c>
      <c r="Z545" s="4"/>
      <c r="AA545" s="4" t="s">
        <v>179</v>
      </c>
    </row>
    <row r="546" spans="1:27" s="1" customFormat="1" x14ac:dyDescent="0.3">
      <c r="A546" s="19">
        <v>19970</v>
      </c>
      <c r="B546" s="4" t="s">
        <v>1585</v>
      </c>
      <c r="C546" s="4" t="s">
        <v>2144</v>
      </c>
      <c r="D546" s="5">
        <v>42475.441423611112</v>
      </c>
      <c r="E546" s="5" t="s">
        <v>2083</v>
      </c>
      <c r="F546" s="4" t="s">
        <v>26</v>
      </c>
      <c r="G546" s="4" t="s">
        <v>435</v>
      </c>
      <c r="H546" s="4" t="s">
        <v>435</v>
      </c>
      <c r="I546" s="4" t="s">
        <v>118</v>
      </c>
      <c r="J546" s="4" t="s">
        <v>30</v>
      </c>
      <c r="K546" s="4" t="s">
        <v>31</v>
      </c>
      <c r="L546" s="5">
        <v>42480.291666666664</v>
      </c>
      <c r="M546" s="5">
        <v>42480.375</v>
      </c>
      <c r="N546" s="5">
        <v>42480.416666666664</v>
      </c>
      <c r="O546" s="4" t="s">
        <v>32</v>
      </c>
      <c r="P546" s="4" t="s">
        <v>33</v>
      </c>
      <c r="Q546" s="4" t="s">
        <v>76</v>
      </c>
      <c r="R546" s="4" t="s">
        <v>436</v>
      </c>
      <c r="S546" s="4" t="s">
        <v>436</v>
      </c>
      <c r="T546" s="4" t="s">
        <v>37</v>
      </c>
      <c r="U546" s="4" t="s">
        <v>37</v>
      </c>
      <c r="V546" s="4" t="s">
        <v>597</v>
      </c>
      <c r="W546" s="4" t="s">
        <v>37</v>
      </c>
      <c r="X546" s="4" t="s">
        <v>37</v>
      </c>
      <c r="Y546" s="4" t="s">
        <v>36</v>
      </c>
      <c r="Z546" s="4" t="s">
        <v>1586</v>
      </c>
      <c r="AA546" s="4" t="s">
        <v>179</v>
      </c>
    </row>
    <row r="547" spans="1:27" s="1" customFormat="1" x14ac:dyDescent="0.3">
      <c r="A547" s="19">
        <v>19971</v>
      </c>
      <c r="B547" s="4" t="s">
        <v>1587</v>
      </c>
      <c r="C547" s="4" t="s">
        <v>2111</v>
      </c>
      <c r="D547" s="5">
        <v>42475.445185185185</v>
      </c>
      <c r="E547" s="5" t="s">
        <v>2083</v>
      </c>
      <c r="F547" s="4" t="s">
        <v>26</v>
      </c>
      <c r="G547" s="4" t="s">
        <v>244</v>
      </c>
      <c r="H547" s="4" t="s">
        <v>244</v>
      </c>
      <c r="I547" s="4" t="s">
        <v>118</v>
      </c>
      <c r="J547" s="4" t="s">
        <v>30</v>
      </c>
      <c r="K547" s="4" t="s">
        <v>31</v>
      </c>
      <c r="L547" s="5">
        <v>42478.916666666664</v>
      </c>
      <c r="M547" s="5">
        <v>42479.5</v>
      </c>
      <c r="N547" s="5">
        <v>42479.75</v>
      </c>
      <c r="O547" s="4" t="s">
        <v>710</v>
      </c>
      <c r="P547" s="4" t="s">
        <v>33</v>
      </c>
      <c r="Q547" s="4" t="s">
        <v>76</v>
      </c>
      <c r="R547" s="6" t="s">
        <v>77</v>
      </c>
      <c r="S547" s="4" t="s">
        <v>517</v>
      </c>
      <c r="T547" s="4" t="s">
        <v>37</v>
      </c>
      <c r="U547" s="4" t="s">
        <v>37</v>
      </c>
      <c r="V547" s="4" t="s">
        <v>365</v>
      </c>
      <c r="W547" s="4" t="s">
        <v>37</v>
      </c>
      <c r="X547" s="4" t="s">
        <v>37</v>
      </c>
      <c r="Y547" s="4" t="s">
        <v>36</v>
      </c>
      <c r="Z547" s="4"/>
      <c r="AA547" s="4" t="s">
        <v>179</v>
      </c>
    </row>
    <row r="548" spans="1:27" s="1" customFormat="1" x14ac:dyDescent="0.3">
      <c r="A548" s="19">
        <v>19972</v>
      </c>
      <c r="B548" s="4" t="s">
        <v>1477</v>
      </c>
      <c r="C548" s="4">
        <v>0</v>
      </c>
      <c r="D548" s="5">
        <v>42475.541296296295</v>
      </c>
      <c r="E548" s="5" t="s">
        <v>2083</v>
      </c>
      <c r="F548" s="4" t="s">
        <v>26</v>
      </c>
      <c r="G548" s="4" t="s">
        <v>249</v>
      </c>
      <c r="H548" s="4" t="s">
        <v>249</v>
      </c>
      <c r="I548" s="4" t="s">
        <v>127</v>
      </c>
      <c r="J548" s="4" t="s">
        <v>30</v>
      </c>
      <c r="K548" s="4" t="s">
        <v>31</v>
      </c>
      <c r="L548" s="5">
        <v>42482.916666666664</v>
      </c>
      <c r="M548" s="5">
        <v>42483.208333333336</v>
      </c>
      <c r="N548" s="5">
        <v>42483.208333333336</v>
      </c>
      <c r="O548" s="4" t="s">
        <v>32</v>
      </c>
      <c r="P548" s="4" t="s">
        <v>33</v>
      </c>
      <c r="Q548" s="4" t="s">
        <v>76</v>
      </c>
      <c r="R548" s="6" t="s">
        <v>77</v>
      </c>
      <c r="S548" s="4" t="s">
        <v>1588</v>
      </c>
      <c r="T548" s="4" t="s">
        <v>37</v>
      </c>
      <c r="U548" s="4" t="s">
        <v>37</v>
      </c>
      <c r="V548" s="4" t="s">
        <v>1589</v>
      </c>
      <c r="W548" s="4" t="s">
        <v>37</v>
      </c>
      <c r="X548" s="4" t="s">
        <v>37</v>
      </c>
      <c r="Y548" s="4" t="s">
        <v>36</v>
      </c>
      <c r="Z548" s="4" t="s">
        <v>1590</v>
      </c>
      <c r="AA548" s="4" t="s">
        <v>179</v>
      </c>
    </row>
    <row r="549" spans="1:27" s="1" customFormat="1" x14ac:dyDescent="0.3">
      <c r="A549" s="19">
        <v>19973</v>
      </c>
      <c r="B549" s="4" t="s">
        <v>1591</v>
      </c>
      <c r="C549" s="4" t="s">
        <v>2111</v>
      </c>
      <c r="D549" s="5">
        <v>42475.673020833332</v>
      </c>
      <c r="E549" s="5" t="s">
        <v>2083</v>
      </c>
      <c r="F549" s="4" t="s">
        <v>26</v>
      </c>
      <c r="G549" s="4" t="s">
        <v>792</v>
      </c>
      <c r="H549" s="4" t="s">
        <v>1592</v>
      </c>
      <c r="I549" s="4" t="s">
        <v>56</v>
      </c>
      <c r="J549" s="4" t="s">
        <v>49</v>
      </c>
      <c r="K549" s="4" t="s">
        <v>31</v>
      </c>
      <c r="L549" s="5">
        <v>42476</v>
      </c>
      <c r="M549" s="5">
        <v>42479.208333333336</v>
      </c>
      <c r="N549" s="5">
        <v>42479.25</v>
      </c>
      <c r="O549" s="4" t="s">
        <v>710</v>
      </c>
      <c r="P549" s="4" t="s">
        <v>89</v>
      </c>
      <c r="Q549" s="4" t="s">
        <v>76</v>
      </c>
      <c r="R549" s="4" t="s">
        <v>1593</v>
      </c>
      <c r="S549" s="4" t="s">
        <v>1594</v>
      </c>
      <c r="T549" s="4" t="s">
        <v>36</v>
      </c>
      <c r="U549" s="4" t="s">
        <v>37</v>
      </c>
      <c r="V549" s="4" t="s">
        <v>1595</v>
      </c>
      <c r="W549" s="4" t="s">
        <v>37</v>
      </c>
      <c r="X549" s="4" t="s">
        <v>37</v>
      </c>
      <c r="Y549" s="4" t="s">
        <v>36</v>
      </c>
      <c r="Z549" s="4" t="s">
        <v>1596</v>
      </c>
      <c r="AA549" s="4"/>
    </row>
    <row r="550" spans="1:27" s="1" customFormat="1" x14ac:dyDescent="0.3">
      <c r="A550" s="19">
        <v>19975</v>
      </c>
      <c r="B550" s="4" t="s">
        <v>1597</v>
      </c>
      <c r="C550" s="4">
        <v>0</v>
      </c>
      <c r="D550" s="5">
        <v>42478.346203703702</v>
      </c>
      <c r="E550" s="5" t="s">
        <v>2083</v>
      </c>
      <c r="F550" s="4" t="s">
        <v>26</v>
      </c>
      <c r="G550" s="4" t="s">
        <v>98</v>
      </c>
      <c r="H550" s="4" t="s">
        <v>98</v>
      </c>
      <c r="I550" s="4" t="s">
        <v>217</v>
      </c>
      <c r="J550" s="4" t="s">
        <v>901</v>
      </c>
      <c r="K550" s="4" t="s">
        <v>31</v>
      </c>
      <c r="L550" s="5">
        <v>42484.291666666664</v>
      </c>
      <c r="M550" s="5">
        <v>42484.625</v>
      </c>
      <c r="N550" s="5">
        <v>42484.625</v>
      </c>
      <c r="O550" s="4" t="s">
        <v>32</v>
      </c>
      <c r="P550" s="4" t="s">
        <v>33</v>
      </c>
      <c r="Q550" s="4" t="s">
        <v>76</v>
      </c>
      <c r="R550" s="6" t="s">
        <v>77</v>
      </c>
      <c r="S550" s="6" t="s">
        <v>77</v>
      </c>
      <c r="T550" s="4" t="s">
        <v>37</v>
      </c>
      <c r="U550" s="4" t="s">
        <v>37</v>
      </c>
      <c r="V550" s="4" t="s">
        <v>1598</v>
      </c>
      <c r="W550" s="4" t="s">
        <v>37</v>
      </c>
      <c r="X550" s="4" t="s">
        <v>37</v>
      </c>
      <c r="Y550" s="4" t="s">
        <v>36</v>
      </c>
      <c r="Z550" s="4">
        <v>0</v>
      </c>
      <c r="AA550" s="4" t="s">
        <v>358</v>
      </c>
    </row>
    <row r="551" spans="1:27" s="1" customFormat="1" x14ac:dyDescent="0.3">
      <c r="A551" s="19">
        <v>19976</v>
      </c>
      <c r="B551" s="4" t="s">
        <v>1599</v>
      </c>
      <c r="C551" s="4">
        <v>0</v>
      </c>
      <c r="D551" s="5">
        <v>42478.352407407408</v>
      </c>
      <c r="E551" s="5" t="s">
        <v>2083</v>
      </c>
      <c r="F551" s="4" t="s">
        <v>26</v>
      </c>
      <c r="G551" s="4" t="s">
        <v>98</v>
      </c>
      <c r="H551" s="4" t="s">
        <v>98</v>
      </c>
      <c r="I551" s="4" t="s">
        <v>88</v>
      </c>
      <c r="J551" s="4" t="s">
        <v>99</v>
      </c>
      <c r="K551" s="4" t="s">
        <v>31</v>
      </c>
      <c r="L551" s="5">
        <v>42484.291666666664</v>
      </c>
      <c r="M551" s="5">
        <v>42484.625</v>
      </c>
      <c r="N551" s="5">
        <v>42484.625</v>
      </c>
      <c r="O551" s="4" t="s">
        <v>32</v>
      </c>
      <c r="P551" s="4" t="s">
        <v>33</v>
      </c>
      <c r="Q551" s="4" t="s">
        <v>76</v>
      </c>
      <c r="R551" s="6" t="s">
        <v>77</v>
      </c>
      <c r="S551" s="6" t="s">
        <v>77</v>
      </c>
      <c r="T551" s="4" t="s">
        <v>37</v>
      </c>
      <c r="U551" s="4" t="s">
        <v>37</v>
      </c>
      <c r="V551" s="4" t="s">
        <v>1598</v>
      </c>
      <c r="W551" s="4" t="s">
        <v>37</v>
      </c>
      <c r="X551" s="4" t="s">
        <v>37</v>
      </c>
      <c r="Y551" s="4" t="s">
        <v>36</v>
      </c>
      <c r="Z551" s="4">
        <v>0</v>
      </c>
      <c r="AA551" s="4" t="s">
        <v>255</v>
      </c>
    </row>
    <row r="552" spans="1:27" s="1" customFormat="1" x14ac:dyDescent="0.3">
      <c r="A552" s="19">
        <v>19977</v>
      </c>
      <c r="B552" s="4" t="s">
        <v>1600</v>
      </c>
      <c r="C552" s="4">
        <v>0</v>
      </c>
      <c r="D552" s="5">
        <v>42478.390393518515</v>
      </c>
      <c r="E552" s="5" t="s">
        <v>2083</v>
      </c>
      <c r="F552" s="4" t="s">
        <v>26</v>
      </c>
      <c r="G552" s="4" t="s">
        <v>98</v>
      </c>
      <c r="H552" s="4" t="s">
        <v>98</v>
      </c>
      <c r="I552" s="4" t="s">
        <v>88</v>
      </c>
      <c r="J552" s="4" t="s">
        <v>99</v>
      </c>
      <c r="K552" s="4" t="s">
        <v>31</v>
      </c>
      <c r="L552" s="5">
        <v>42484.291666666664</v>
      </c>
      <c r="M552" s="5">
        <v>42484.625</v>
      </c>
      <c r="N552" s="5">
        <v>42484.625</v>
      </c>
      <c r="O552" s="4" t="s">
        <v>32</v>
      </c>
      <c r="P552" s="4" t="s">
        <v>33</v>
      </c>
      <c r="Q552" s="4" t="s">
        <v>34</v>
      </c>
      <c r="R552" s="6" t="s">
        <v>77</v>
      </c>
      <c r="S552" s="6" t="s">
        <v>77</v>
      </c>
      <c r="T552" s="4" t="s">
        <v>37</v>
      </c>
      <c r="U552" s="4" t="s">
        <v>37</v>
      </c>
      <c r="V552" s="4" t="s">
        <v>1598</v>
      </c>
      <c r="W552" s="4" t="s">
        <v>37</v>
      </c>
      <c r="X552" s="4" t="s">
        <v>37</v>
      </c>
      <c r="Y552" s="4" t="s">
        <v>36</v>
      </c>
      <c r="Z552" s="4">
        <v>0</v>
      </c>
      <c r="AA552" s="4" t="s">
        <v>255</v>
      </c>
    </row>
    <row r="553" spans="1:27" s="1" customFormat="1" x14ac:dyDescent="0.3">
      <c r="A553" s="19">
        <v>19979</v>
      </c>
      <c r="B553" s="4" t="s">
        <v>1601</v>
      </c>
      <c r="C553" s="4" t="s">
        <v>1602</v>
      </c>
      <c r="D553" s="5">
        <v>42478.428518518522</v>
      </c>
      <c r="E553" s="5" t="s">
        <v>2083</v>
      </c>
      <c r="F553" s="4" t="s">
        <v>26</v>
      </c>
      <c r="G553" s="4" t="s">
        <v>1115</v>
      </c>
      <c r="H553" s="4" t="s">
        <v>1116</v>
      </c>
      <c r="I553" s="4" t="s">
        <v>203</v>
      </c>
      <c r="J553" s="4" t="s">
        <v>49</v>
      </c>
      <c r="K553" s="4" t="s">
        <v>31</v>
      </c>
      <c r="L553" s="5">
        <v>42487.875</v>
      </c>
      <c r="M553" s="5">
        <v>42488.180555555555</v>
      </c>
      <c r="N553" s="5">
        <v>42488.305555555555</v>
      </c>
      <c r="O553" s="4" t="s">
        <v>32</v>
      </c>
      <c r="P553" s="4" t="s">
        <v>149</v>
      </c>
      <c r="Q553" s="4" t="s">
        <v>34</v>
      </c>
      <c r="R553" s="4" t="s">
        <v>1117</v>
      </c>
      <c r="S553" s="4" t="s">
        <v>1117</v>
      </c>
      <c r="T553" s="4" t="s">
        <v>37</v>
      </c>
      <c r="U553" s="4" t="s">
        <v>36</v>
      </c>
      <c r="V553" s="4" t="s">
        <v>1118</v>
      </c>
      <c r="W553" s="4" t="s">
        <v>37</v>
      </c>
      <c r="X553" s="4" t="s">
        <v>37</v>
      </c>
      <c r="Y553" s="4" t="s">
        <v>36</v>
      </c>
      <c r="Z553" s="4" t="s">
        <v>1602</v>
      </c>
      <c r="AA553" s="4"/>
    </row>
    <row r="554" spans="1:27" s="1" customFormat="1" x14ac:dyDescent="0.3">
      <c r="A554" s="19">
        <v>19980</v>
      </c>
      <c r="B554" s="4" t="s">
        <v>1603</v>
      </c>
      <c r="C554" s="4" t="s">
        <v>1603</v>
      </c>
      <c r="D554" s="5">
        <v>42478.4528587963</v>
      </c>
      <c r="E554" s="5" t="s">
        <v>2083</v>
      </c>
      <c r="F554" s="4" t="s">
        <v>26</v>
      </c>
      <c r="G554" s="4" t="s">
        <v>1604</v>
      </c>
      <c r="H554" s="4" t="s">
        <v>1604</v>
      </c>
      <c r="I554" s="4" t="s">
        <v>161</v>
      </c>
      <c r="J554" s="4" t="s">
        <v>162</v>
      </c>
      <c r="K554" s="4" t="s">
        <v>31</v>
      </c>
      <c r="L554" s="5">
        <v>42486.333333333336</v>
      </c>
      <c r="M554" s="5">
        <v>42486.75</v>
      </c>
      <c r="N554" s="5">
        <v>42486.791666666664</v>
      </c>
      <c r="O554" s="4" t="s">
        <v>32</v>
      </c>
      <c r="P554" s="4" t="s">
        <v>33</v>
      </c>
      <c r="Q554" s="4" t="s">
        <v>76</v>
      </c>
      <c r="R554" s="6" t="s">
        <v>77</v>
      </c>
      <c r="S554" s="4" t="s">
        <v>1605</v>
      </c>
      <c r="T554" s="4" t="s">
        <v>37</v>
      </c>
      <c r="U554" s="4" t="s">
        <v>37</v>
      </c>
      <c r="V554" s="4" t="s">
        <v>1606</v>
      </c>
      <c r="W554" s="4" t="s">
        <v>37</v>
      </c>
      <c r="X554" s="4" t="s">
        <v>37</v>
      </c>
      <c r="Y554" s="4" t="s">
        <v>36</v>
      </c>
      <c r="Z554" s="4" t="s">
        <v>39</v>
      </c>
      <c r="AA554" s="4"/>
    </row>
    <row r="555" spans="1:27" s="1" customFormat="1" x14ac:dyDescent="0.3">
      <c r="A555" s="19">
        <v>19982</v>
      </c>
      <c r="B555" s="4" t="s">
        <v>1607</v>
      </c>
      <c r="C555" s="4" t="s">
        <v>2106</v>
      </c>
      <c r="D555" s="5">
        <v>42478.634722222225</v>
      </c>
      <c r="E555" s="5" t="s">
        <v>2083</v>
      </c>
      <c r="F555" s="4" t="s">
        <v>26</v>
      </c>
      <c r="G555" s="4" t="s">
        <v>243</v>
      </c>
      <c r="H555" s="4" t="s">
        <v>244</v>
      </c>
      <c r="I555" s="4" t="s">
        <v>216</v>
      </c>
      <c r="J555" s="4" t="s">
        <v>30</v>
      </c>
      <c r="K555" s="4" t="s">
        <v>31</v>
      </c>
      <c r="L555" s="5">
        <v>42487.916666666664</v>
      </c>
      <c r="M555" s="5">
        <v>42488.125</v>
      </c>
      <c r="N555" s="5">
        <v>42488.375</v>
      </c>
      <c r="O555" s="4" t="s">
        <v>32</v>
      </c>
      <c r="P555" s="4" t="s">
        <v>33</v>
      </c>
      <c r="Q555" s="4" t="s">
        <v>34</v>
      </c>
      <c r="R555" s="4" t="s">
        <v>245</v>
      </c>
      <c r="S555" s="4" t="s">
        <v>245</v>
      </c>
      <c r="T555" s="4" t="s">
        <v>37</v>
      </c>
      <c r="U555" s="4" t="s">
        <v>37</v>
      </c>
      <c r="V555" s="4" t="s">
        <v>246</v>
      </c>
      <c r="W555" s="4" t="s">
        <v>37</v>
      </c>
      <c r="X555" s="4" t="s">
        <v>37</v>
      </c>
      <c r="Y555" s="4" t="s">
        <v>36</v>
      </c>
      <c r="Z555" s="4"/>
      <c r="AA555" s="4" t="s">
        <v>179</v>
      </c>
    </row>
    <row r="556" spans="1:27" s="1" customFormat="1" x14ac:dyDescent="0.3">
      <c r="A556" s="19">
        <v>19984</v>
      </c>
      <c r="B556" s="4" t="s">
        <v>1608</v>
      </c>
      <c r="C556" s="4">
        <v>0</v>
      </c>
      <c r="D556" s="5">
        <v>42478.645543981482</v>
      </c>
      <c r="E556" s="5" t="s">
        <v>2083</v>
      </c>
      <c r="F556" s="4" t="s">
        <v>26</v>
      </c>
      <c r="G556" s="4" t="s">
        <v>116</v>
      </c>
      <c r="H556" s="4" t="s">
        <v>117</v>
      </c>
      <c r="I556" s="4" t="s">
        <v>118</v>
      </c>
      <c r="J556" s="4" t="s">
        <v>30</v>
      </c>
      <c r="K556" s="4" t="s">
        <v>31</v>
      </c>
      <c r="L556" s="5">
        <v>42487.916666666664</v>
      </c>
      <c r="M556" s="5">
        <v>42488.5</v>
      </c>
      <c r="N556" s="5">
        <v>42488.5</v>
      </c>
      <c r="O556" s="4" t="s">
        <v>32</v>
      </c>
      <c r="P556" s="4" t="s">
        <v>33</v>
      </c>
      <c r="Q556" s="4" t="s">
        <v>119</v>
      </c>
      <c r="R556" s="4" t="s">
        <v>884</v>
      </c>
      <c r="S556" s="4" t="s">
        <v>884</v>
      </c>
      <c r="T556" s="4" t="s">
        <v>37</v>
      </c>
      <c r="U556" s="4" t="s">
        <v>37</v>
      </c>
      <c r="V556" s="4" t="s">
        <v>202</v>
      </c>
      <c r="W556" s="4" t="s">
        <v>37</v>
      </c>
      <c r="X556" s="4" t="s">
        <v>37</v>
      </c>
      <c r="Y556" s="4" t="s">
        <v>36</v>
      </c>
      <c r="Z556" s="4" t="s">
        <v>1609</v>
      </c>
      <c r="AA556" s="4" t="s">
        <v>40</v>
      </c>
    </row>
    <row r="557" spans="1:27" s="1" customFormat="1" x14ac:dyDescent="0.3">
      <c r="A557" s="19">
        <v>19986</v>
      </c>
      <c r="B557" s="4" t="s">
        <v>1610</v>
      </c>
      <c r="C557" s="4" t="s">
        <v>2111</v>
      </c>
      <c r="D557" s="5">
        <v>42478.67696759259</v>
      </c>
      <c r="E557" s="5" t="s">
        <v>2083</v>
      </c>
      <c r="F557" s="4" t="s">
        <v>26</v>
      </c>
      <c r="G557" s="4" t="s">
        <v>310</v>
      </c>
      <c r="H557" s="4" t="s">
        <v>1137</v>
      </c>
      <c r="I557" s="4" t="s">
        <v>68</v>
      </c>
      <c r="J557" s="4" t="s">
        <v>49</v>
      </c>
      <c r="K557" s="4" t="s">
        <v>31</v>
      </c>
      <c r="L557" s="5">
        <v>42479.958333333336</v>
      </c>
      <c r="M557" s="5">
        <v>42480.041666666664</v>
      </c>
      <c r="N557" s="5">
        <v>42480.0625</v>
      </c>
      <c r="O557" s="4" t="s">
        <v>710</v>
      </c>
      <c r="P557" s="4" t="s">
        <v>33</v>
      </c>
      <c r="Q557" s="4" t="s">
        <v>76</v>
      </c>
      <c r="R557" s="4" t="s">
        <v>1611</v>
      </c>
      <c r="S557" s="6" t="s">
        <v>77</v>
      </c>
      <c r="T557" s="4" t="s">
        <v>36</v>
      </c>
      <c r="U557" s="4" t="s">
        <v>37</v>
      </c>
      <c r="V557" s="4" t="s">
        <v>1139</v>
      </c>
      <c r="W557" s="4" t="s">
        <v>37</v>
      </c>
      <c r="X557" s="4" t="s">
        <v>37</v>
      </c>
      <c r="Y557" s="4" t="s">
        <v>37</v>
      </c>
      <c r="Z557" s="4"/>
      <c r="AA557" s="4"/>
    </row>
    <row r="558" spans="1:27" s="1" customFormat="1" x14ac:dyDescent="0.3">
      <c r="A558" s="19">
        <v>19988</v>
      </c>
      <c r="B558" s="4" t="s">
        <v>1562</v>
      </c>
      <c r="C558" s="4" t="s">
        <v>2111</v>
      </c>
      <c r="D558" s="5">
        <v>42478.727037037039</v>
      </c>
      <c r="E558" s="5" t="s">
        <v>2083</v>
      </c>
      <c r="F558" s="4" t="s">
        <v>26</v>
      </c>
      <c r="G558" s="4" t="s">
        <v>27</v>
      </c>
      <c r="H558" s="4" t="s">
        <v>234</v>
      </c>
      <c r="I558" s="4" t="s">
        <v>42</v>
      </c>
      <c r="J558" s="4" t="s">
        <v>30</v>
      </c>
      <c r="K558" s="4" t="s">
        <v>31</v>
      </c>
      <c r="L558" s="5">
        <v>42478.999305555553</v>
      </c>
      <c r="M558" s="5">
        <v>42479.083333333336</v>
      </c>
      <c r="N558" s="5">
        <v>42479.166666666664</v>
      </c>
      <c r="O558" s="4" t="s">
        <v>710</v>
      </c>
      <c r="P558" s="4" t="s">
        <v>33</v>
      </c>
      <c r="Q558" s="4" t="s">
        <v>76</v>
      </c>
      <c r="R558" s="4" t="s">
        <v>1563</v>
      </c>
      <c r="S558" s="4" t="s">
        <v>1563</v>
      </c>
      <c r="T558" s="4" t="s">
        <v>37</v>
      </c>
      <c r="U558" s="4" t="s">
        <v>37</v>
      </c>
      <c r="V558" s="4" t="s">
        <v>1612</v>
      </c>
      <c r="W558" s="4" t="s">
        <v>37</v>
      </c>
      <c r="X558" s="4" t="s">
        <v>37</v>
      </c>
      <c r="Y558" s="4" t="s">
        <v>36</v>
      </c>
      <c r="Z558" s="4" t="s">
        <v>1565</v>
      </c>
      <c r="AA558" s="4" t="s">
        <v>257</v>
      </c>
    </row>
    <row r="559" spans="1:27" s="1" customFormat="1" x14ac:dyDescent="0.3">
      <c r="A559" s="19">
        <v>19989</v>
      </c>
      <c r="B559" s="4" t="s">
        <v>1613</v>
      </c>
      <c r="C559" s="4" t="s">
        <v>2178</v>
      </c>
      <c r="D559" s="5">
        <v>42479.33934027778</v>
      </c>
      <c r="E559" s="5" t="s">
        <v>2083</v>
      </c>
      <c r="F559" s="4" t="s">
        <v>26</v>
      </c>
      <c r="G559" s="4" t="s">
        <v>520</v>
      </c>
      <c r="H559" s="4" t="s">
        <v>264</v>
      </c>
      <c r="I559" s="4" t="s">
        <v>203</v>
      </c>
      <c r="J559" s="4" t="s">
        <v>30</v>
      </c>
      <c r="K559" s="4" t="s">
        <v>31</v>
      </c>
      <c r="L559" s="5">
        <v>42487.916666666664</v>
      </c>
      <c r="M559" s="5">
        <v>42488.458333333336</v>
      </c>
      <c r="N559" s="5">
        <v>42488.541666666664</v>
      </c>
      <c r="O559" s="4" t="s">
        <v>32</v>
      </c>
      <c r="P559" s="4" t="s">
        <v>89</v>
      </c>
      <c r="Q559" s="4" t="s">
        <v>251</v>
      </c>
      <c r="R559" s="4" t="s">
        <v>1614</v>
      </c>
      <c r="S559" s="4" t="s">
        <v>1614</v>
      </c>
      <c r="T559" s="4" t="s">
        <v>37</v>
      </c>
      <c r="U559" s="4" t="s">
        <v>37</v>
      </c>
      <c r="V559" s="4" t="s">
        <v>267</v>
      </c>
      <c r="W559" s="4" t="s">
        <v>37</v>
      </c>
      <c r="X559" s="4" t="s">
        <v>37</v>
      </c>
      <c r="Y559" s="4" t="s">
        <v>36</v>
      </c>
      <c r="Z559" s="4" t="s">
        <v>1615</v>
      </c>
      <c r="AA559" s="4" t="s">
        <v>40</v>
      </c>
    </row>
    <row r="560" spans="1:27" s="1" customFormat="1" x14ac:dyDescent="0.3">
      <c r="A560" s="19">
        <v>19991</v>
      </c>
      <c r="B560" s="4" t="s">
        <v>1616</v>
      </c>
      <c r="C560" s="4">
        <v>0</v>
      </c>
      <c r="D560" s="5">
        <v>42479.446828703702</v>
      </c>
      <c r="E560" s="5" t="s">
        <v>2083</v>
      </c>
      <c r="F560" s="4" t="s">
        <v>26</v>
      </c>
      <c r="G560" s="4" t="s">
        <v>892</v>
      </c>
      <c r="H560" s="4" t="s">
        <v>892</v>
      </c>
      <c r="I560" s="4" t="s">
        <v>169</v>
      </c>
      <c r="J560" s="4" t="s">
        <v>30</v>
      </c>
      <c r="K560" s="4" t="s">
        <v>31</v>
      </c>
      <c r="L560" s="5">
        <v>42488.916666666664</v>
      </c>
      <c r="M560" s="5">
        <v>42488.979166666664</v>
      </c>
      <c r="N560" s="5">
        <v>42488.999305555553</v>
      </c>
      <c r="O560" s="4" t="s">
        <v>32</v>
      </c>
      <c r="P560" s="4" t="s">
        <v>149</v>
      </c>
      <c r="Q560" s="4" t="s">
        <v>76</v>
      </c>
      <c r="R560" s="6" t="s">
        <v>77</v>
      </c>
      <c r="S560" s="4" t="s">
        <v>1617</v>
      </c>
      <c r="T560" s="4" t="s">
        <v>37</v>
      </c>
      <c r="U560" s="4" t="s">
        <v>37</v>
      </c>
      <c r="V560" s="4" t="s">
        <v>1618</v>
      </c>
      <c r="W560" s="4" t="s">
        <v>37</v>
      </c>
      <c r="X560" s="4" t="s">
        <v>37</v>
      </c>
      <c r="Y560" s="4" t="s">
        <v>36</v>
      </c>
      <c r="Z560" s="4"/>
      <c r="AA560" s="4" t="s">
        <v>93</v>
      </c>
    </row>
    <row r="561" spans="1:27" s="1" customFormat="1" x14ac:dyDescent="0.3">
      <c r="A561" s="19">
        <v>19992</v>
      </c>
      <c r="B561" s="4" t="s">
        <v>1619</v>
      </c>
      <c r="C561" s="4">
        <v>0</v>
      </c>
      <c r="D561" s="5">
        <v>42479.4608912037</v>
      </c>
      <c r="E561" s="5" t="s">
        <v>2083</v>
      </c>
      <c r="F561" s="4" t="s">
        <v>26</v>
      </c>
      <c r="G561" s="4" t="s">
        <v>392</v>
      </c>
      <c r="H561" s="4" t="s">
        <v>392</v>
      </c>
      <c r="I561" s="4" t="s">
        <v>204</v>
      </c>
      <c r="J561" s="4" t="s">
        <v>302</v>
      </c>
      <c r="K561" s="4" t="s">
        <v>31</v>
      </c>
      <c r="L561" s="5">
        <v>42488.833333333336</v>
      </c>
      <c r="M561" s="5">
        <v>42489.083333333336</v>
      </c>
      <c r="N561" s="5">
        <v>42489.104166666664</v>
      </c>
      <c r="O561" s="4" t="s">
        <v>32</v>
      </c>
      <c r="P561" s="4" t="s">
        <v>33</v>
      </c>
      <c r="Q561" s="4" t="s">
        <v>76</v>
      </c>
      <c r="R561" s="6" t="s">
        <v>77</v>
      </c>
      <c r="S561" s="6" t="s">
        <v>77</v>
      </c>
      <c r="T561" s="4" t="s">
        <v>37</v>
      </c>
      <c r="U561" s="4" t="s">
        <v>37</v>
      </c>
      <c r="V561" s="4" t="s">
        <v>646</v>
      </c>
      <c r="W561" s="4" t="s">
        <v>37</v>
      </c>
      <c r="X561" s="4" t="s">
        <v>37</v>
      </c>
      <c r="Y561" s="4" t="s">
        <v>36</v>
      </c>
      <c r="Z561" s="4"/>
      <c r="AA561" s="4" t="s">
        <v>187</v>
      </c>
    </row>
    <row r="562" spans="1:27" s="1" customFormat="1" x14ac:dyDescent="0.3">
      <c r="A562" s="19">
        <v>19993</v>
      </c>
      <c r="B562" s="4" t="s">
        <v>1074</v>
      </c>
      <c r="C562" s="4">
        <v>0</v>
      </c>
      <c r="D562" s="5">
        <v>42479.48809027778</v>
      </c>
      <c r="E562" s="5" t="s">
        <v>2083</v>
      </c>
      <c r="F562" s="4" t="s">
        <v>26</v>
      </c>
      <c r="G562" s="4" t="s">
        <v>354</v>
      </c>
      <c r="H562" s="4" t="s">
        <v>354</v>
      </c>
      <c r="I562" s="4" t="s">
        <v>203</v>
      </c>
      <c r="J562" s="4" t="s">
        <v>30</v>
      </c>
      <c r="K562" s="4" t="s">
        <v>31</v>
      </c>
      <c r="L562" s="5">
        <v>42499</v>
      </c>
      <c r="M562" s="5">
        <v>42499.999305555553</v>
      </c>
      <c r="N562" s="5">
        <v>42500.25</v>
      </c>
      <c r="O562" s="4" t="s">
        <v>32</v>
      </c>
      <c r="P562" s="4" t="s">
        <v>149</v>
      </c>
      <c r="Q562" s="4" t="s">
        <v>76</v>
      </c>
      <c r="R562" s="4"/>
      <c r="S562" s="4"/>
      <c r="T562" s="4" t="s">
        <v>37</v>
      </c>
      <c r="U562" s="4" t="s">
        <v>37</v>
      </c>
      <c r="V562" s="4" t="s">
        <v>433</v>
      </c>
      <c r="W562" s="4" t="s">
        <v>37</v>
      </c>
      <c r="X562" s="4" t="s">
        <v>37</v>
      </c>
      <c r="Y562" s="4" t="s">
        <v>37</v>
      </c>
      <c r="Z562" s="4"/>
      <c r="AA562" s="4" t="s">
        <v>179</v>
      </c>
    </row>
    <row r="563" spans="1:27" s="1" customFormat="1" x14ac:dyDescent="0.3">
      <c r="A563" s="19">
        <v>19994</v>
      </c>
      <c r="B563" s="4" t="s">
        <v>488</v>
      </c>
      <c r="C563" s="4">
        <v>0</v>
      </c>
      <c r="D563" s="5">
        <v>42479.496168981481</v>
      </c>
      <c r="E563" s="5" t="s">
        <v>2083</v>
      </c>
      <c r="F563" s="4" t="s">
        <v>26</v>
      </c>
      <c r="G563" s="4" t="s">
        <v>489</v>
      </c>
      <c r="H563" s="4" t="s">
        <v>489</v>
      </c>
      <c r="I563" s="4" t="s">
        <v>219</v>
      </c>
      <c r="J563" s="4" t="s">
        <v>30</v>
      </c>
      <c r="K563" s="4" t="s">
        <v>31</v>
      </c>
      <c r="L563" s="5">
        <v>42488.958333333336</v>
      </c>
      <c r="M563" s="5">
        <v>42489.208333333336</v>
      </c>
      <c r="N563" s="5">
        <v>42489.25</v>
      </c>
      <c r="O563" s="4" t="s">
        <v>32</v>
      </c>
      <c r="P563" s="4" t="s">
        <v>33</v>
      </c>
      <c r="Q563" s="4" t="s">
        <v>34</v>
      </c>
      <c r="R563" s="6" t="s">
        <v>77</v>
      </c>
      <c r="S563" s="4" t="s">
        <v>176</v>
      </c>
      <c r="T563" s="4" t="s">
        <v>37</v>
      </c>
      <c r="U563" s="4" t="s">
        <v>37</v>
      </c>
      <c r="V563" s="4" t="s">
        <v>490</v>
      </c>
      <c r="W563" s="4" t="s">
        <v>37</v>
      </c>
      <c r="X563" s="4" t="s">
        <v>37</v>
      </c>
      <c r="Y563" s="4" t="s">
        <v>36</v>
      </c>
      <c r="Z563" s="4"/>
      <c r="AA563" s="4" t="s">
        <v>40</v>
      </c>
    </row>
    <row r="564" spans="1:27" s="1" customFormat="1" x14ac:dyDescent="0.3">
      <c r="A564" s="19">
        <v>19995</v>
      </c>
      <c r="B564" s="4" t="s">
        <v>1620</v>
      </c>
      <c r="C564" s="4" t="s">
        <v>2172</v>
      </c>
      <c r="D564" s="5">
        <v>42479.609826388885</v>
      </c>
      <c r="E564" s="5" t="s">
        <v>2083</v>
      </c>
      <c r="F564" s="4" t="s">
        <v>26</v>
      </c>
      <c r="G564" s="4" t="s">
        <v>387</v>
      </c>
      <c r="H564" s="4" t="s">
        <v>117</v>
      </c>
      <c r="I564" s="4" t="s">
        <v>118</v>
      </c>
      <c r="J564" s="4" t="s">
        <v>30</v>
      </c>
      <c r="K564" s="4" t="s">
        <v>31</v>
      </c>
      <c r="L564" s="5">
        <v>42480.916666666664</v>
      </c>
      <c r="M564" s="5">
        <v>42481.5</v>
      </c>
      <c r="N564" s="5">
        <v>42481.583333333336</v>
      </c>
      <c r="O564" s="4" t="s">
        <v>250</v>
      </c>
      <c r="P564" s="4" t="s">
        <v>89</v>
      </c>
      <c r="Q564" s="4" t="s">
        <v>119</v>
      </c>
      <c r="R564" s="4" t="s">
        <v>1621</v>
      </c>
      <c r="S564" s="4" t="s">
        <v>1621</v>
      </c>
      <c r="T564" s="4" t="s">
        <v>37</v>
      </c>
      <c r="U564" s="4" t="s">
        <v>37</v>
      </c>
      <c r="V564" s="4" t="s">
        <v>202</v>
      </c>
      <c r="W564" s="4" t="s">
        <v>37</v>
      </c>
      <c r="X564" s="4" t="s">
        <v>37</v>
      </c>
      <c r="Y564" s="4" t="s">
        <v>36</v>
      </c>
      <c r="Z564" s="4" t="s">
        <v>1622</v>
      </c>
      <c r="AA564" s="4" t="s">
        <v>93</v>
      </c>
    </row>
    <row r="565" spans="1:27" s="1" customFormat="1" x14ac:dyDescent="0.3">
      <c r="A565" s="19">
        <v>19996</v>
      </c>
      <c r="B565" s="4" t="s">
        <v>1623</v>
      </c>
      <c r="C565" s="4" t="s">
        <v>2111</v>
      </c>
      <c r="D565" s="5">
        <v>42479.617025462961</v>
      </c>
      <c r="E565" s="5" t="s">
        <v>2083</v>
      </c>
      <c r="F565" s="4" t="s">
        <v>26</v>
      </c>
      <c r="G565" s="4" t="s">
        <v>310</v>
      </c>
      <c r="H565" s="4" t="s">
        <v>1137</v>
      </c>
      <c r="I565" s="4" t="s">
        <v>212</v>
      </c>
      <c r="J565" s="4" t="s">
        <v>49</v>
      </c>
      <c r="K565" s="4" t="s">
        <v>31</v>
      </c>
      <c r="L565" s="5">
        <v>42480.958333333336</v>
      </c>
      <c r="M565" s="5">
        <v>42481.041666666664</v>
      </c>
      <c r="N565" s="5">
        <v>42481.0625</v>
      </c>
      <c r="O565" s="4" t="s">
        <v>710</v>
      </c>
      <c r="P565" s="4" t="s">
        <v>33</v>
      </c>
      <c r="Q565" s="4" t="s">
        <v>76</v>
      </c>
      <c r="R565" s="4" t="s">
        <v>1624</v>
      </c>
      <c r="S565" s="6" t="s">
        <v>77</v>
      </c>
      <c r="T565" s="4" t="s">
        <v>36</v>
      </c>
      <c r="U565" s="4" t="s">
        <v>37</v>
      </c>
      <c r="V565" s="4" t="s">
        <v>1139</v>
      </c>
      <c r="W565" s="4" t="s">
        <v>37</v>
      </c>
      <c r="X565" s="4" t="s">
        <v>37</v>
      </c>
      <c r="Y565" s="4" t="s">
        <v>37</v>
      </c>
      <c r="Z565" s="4"/>
      <c r="AA565" s="4"/>
    </row>
    <row r="566" spans="1:27" s="1" customFormat="1" x14ac:dyDescent="0.3">
      <c r="A566" s="19">
        <v>19997</v>
      </c>
      <c r="B566" s="4" t="s">
        <v>1625</v>
      </c>
      <c r="C566" s="4">
        <v>0</v>
      </c>
      <c r="D566" s="5">
        <v>42479.620069444441</v>
      </c>
      <c r="E566" s="5" t="s">
        <v>2083</v>
      </c>
      <c r="F566" s="4" t="s">
        <v>26</v>
      </c>
      <c r="G566" s="4" t="s">
        <v>489</v>
      </c>
      <c r="H566" s="4" t="s">
        <v>489</v>
      </c>
      <c r="I566" s="4" t="s">
        <v>219</v>
      </c>
      <c r="J566" s="4" t="s">
        <v>30</v>
      </c>
      <c r="K566" s="4" t="s">
        <v>31</v>
      </c>
      <c r="L566" s="5">
        <v>42488.958333333336</v>
      </c>
      <c r="M566" s="5">
        <v>42489.208333333336</v>
      </c>
      <c r="N566" s="5">
        <v>42489.25</v>
      </c>
      <c r="O566" s="4" t="s">
        <v>32</v>
      </c>
      <c r="P566" s="4" t="s">
        <v>33</v>
      </c>
      <c r="Q566" s="4" t="s">
        <v>34</v>
      </c>
      <c r="R566" s="6" t="s">
        <v>77</v>
      </c>
      <c r="S566" s="4" t="s">
        <v>181</v>
      </c>
      <c r="T566" s="4" t="s">
        <v>37</v>
      </c>
      <c r="U566" s="4" t="s">
        <v>37</v>
      </c>
      <c r="V566" s="4" t="s">
        <v>1626</v>
      </c>
      <c r="W566" s="4" t="s">
        <v>37</v>
      </c>
      <c r="X566" s="4" t="s">
        <v>37</v>
      </c>
      <c r="Y566" s="4" t="s">
        <v>36</v>
      </c>
      <c r="Z566" s="4"/>
      <c r="AA566" s="4" t="s">
        <v>40</v>
      </c>
    </row>
    <row r="567" spans="1:27" s="1" customFormat="1" x14ac:dyDescent="0.3">
      <c r="A567" s="19">
        <v>19998</v>
      </c>
      <c r="B567" s="4" t="s">
        <v>1269</v>
      </c>
      <c r="C567" s="4" t="s">
        <v>2140</v>
      </c>
      <c r="D567" s="5">
        <v>42479.644745370373</v>
      </c>
      <c r="E567" s="5" t="s">
        <v>2083</v>
      </c>
      <c r="F567" s="4" t="s">
        <v>26</v>
      </c>
      <c r="G567" s="4" t="s">
        <v>1089</v>
      </c>
      <c r="H567" s="4" t="s">
        <v>729</v>
      </c>
      <c r="I567" s="4" t="s">
        <v>200</v>
      </c>
      <c r="J567" s="4" t="s">
        <v>49</v>
      </c>
      <c r="K567" s="4" t="s">
        <v>31</v>
      </c>
      <c r="L567" s="5">
        <v>42485.916666666664</v>
      </c>
      <c r="M567" s="5">
        <v>42489.291666666664</v>
      </c>
      <c r="N567" s="5">
        <v>42489.3125</v>
      </c>
      <c r="O567" s="4" t="s">
        <v>32</v>
      </c>
      <c r="P567" s="4" t="s">
        <v>89</v>
      </c>
      <c r="Q567" s="4" t="s">
        <v>50</v>
      </c>
      <c r="R567" s="4" t="s">
        <v>1627</v>
      </c>
      <c r="S567" s="4" t="s">
        <v>1627</v>
      </c>
      <c r="T567" s="4" t="s">
        <v>36</v>
      </c>
      <c r="U567" s="4" t="s">
        <v>36</v>
      </c>
      <c r="V567" s="4" t="s">
        <v>1272</v>
      </c>
      <c r="W567" s="4" t="s">
        <v>37</v>
      </c>
      <c r="X567" s="4" t="s">
        <v>37</v>
      </c>
      <c r="Y567" s="4" t="s">
        <v>36</v>
      </c>
      <c r="Z567" s="4" t="s">
        <v>77</v>
      </c>
      <c r="AA567" s="4"/>
    </row>
    <row r="568" spans="1:27" s="1" customFormat="1" x14ac:dyDescent="0.3">
      <c r="A568" s="19">
        <v>20000</v>
      </c>
      <c r="B568" s="4" t="s">
        <v>1628</v>
      </c>
      <c r="C568" s="4">
        <v>0</v>
      </c>
      <c r="D568" s="5">
        <v>42479.688414351855</v>
      </c>
      <c r="E568" s="5" t="s">
        <v>2083</v>
      </c>
      <c r="F568" s="4" t="s">
        <v>26</v>
      </c>
      <c r="G568" s="4" t="s">
        <v>428</v>
      </c>
      <c r="H568" s="4" t="s">
        <v>428</v>
      </c>
      <c r="I568" s="4" t="s">
        <v>83</v>
      </c>
      <c r="J568" s="4" t="s">
        <v>1629</v>
      </c>
      <c r="K568" s="4" t="s">
        <v>31</v>
      </c>
      <c r="L568" s="5">
        <v>42485.916666666664</v>
      </c>
      <c r="M568" s="5">
        <v>42486.25</v>
      </c>
      <c r="N568" s="5">
        <v>42488.693749999999</v>
      </c>
      <c r="O568" s="4" t="s">
        <v>32</v>
      </c>
      <c r="P568" s="4" t="s">
        <v>33</v>
      </c>
      <c r="Q568" s="4" t="s">
        <v>34</v>
      </c>
      <c r="R568" s="6" t="s">
        <v>77</v>
      </c>
      <c r="S568" s="6" t="s">
        <v>77</v>
      </c>
      <c r="T568" s="4" t="s">
        <v>37</v>
      </c>
      <c r="U568" s="4" t="s">
        <v>37</v>
      </c>
      <c r="V568" s="4" t="s">
        <v>395</v>
      </c>
      <c r="W568" s="4" t="s">
        <v>37</v>
      </c>
      <c r="X568" s="4" t="s">
        <v>37</v>
      </c>
      <c r="Y568" s="4" t="s">
        <v>37</v>
      </c>
      <c r="Z568" s="4"/>
      <c r="AA568" s="4" t="s">
        <v>818</v>
      </c>
    </row>
    <row r="569" spans="1:27" s="1" customFormat="1" x14ac:dyDescent="0.3">
      <c r="A569" s="19">
        <v>20001</v>
      </c>
      <c r="B569" s="4" t="s">
        <v>1630</v>
      </c>
      <c r="C569" s="4" t="s">
        <v>2111</v>
      </c>
      <c r="D569" s="5">
        <v>42479.711168981485</v>
      </c>
      <c r="E569" s="5" t="s">
        <v>2083</v>
      </c>
      <c r="F569" s="4" t="s">
        <v>26</v>
      </c>
      <c r="G569" s="4" t="s">
        <v>27</v>
      </c>
      <c r="H569" s="4" t="s">
        <v>234</v>
      </c>
      <c r="I569" s="4" t="s">
        <v>42</v>
      </c>
      <c r="J569" s="4" t="s">
        <v>30</v>
      </c>
      <c r="K569" s="4" t="s">
        <v>31</v>
      </c>
      <c r="L569" s="5">
        <v>42479.999305555553</v>
      </c>
      <c r="M569" s="5">
        <v>42480.083333333336</v>
      </c>
      <c r="N569" s="5">
        <v>42480.166666666664</v>
      </c>
      <c r="O569" s="4" t="s">
        <v>710</v>
      </c>
      <c r="P569" s="4" t="s">
        <v>33</v>
      </c>
      <c r="Q569" s="4" t="s">
        <v>76</v>
      </c>
      <c r="R569" s="4" t="s">
        <v>1563</v>
      </c>
      <c r="S569" s="4" t="s">
        <v>1563</v>
      </c>
      <c r="T569" s="4" t="s">
        <v>37</v>
      </c>
      <c r="U569" s="4" t="s">
        <v>37</v>
      </c>
      <c r="V569" s="4" t="s">
        <v>1631</v>
      </c>
      <c r="W569" s="4" t="s">
        <v>37</v>
      </c>
      <c r="X569" s="4" t="s">
        <v>37</v>
      </c>
      <c r="Y569" s="4" t="s">
        <v>36</v>
      </c>
      <c r="Z569" s="4" t="s">
        <v>1565</v>
      </c>
      <c r="AA569" s="4" t="s">
        <v>257</v>
      </c>
    </row>
    <row r="570" spans="1:27" s="1" customFormat="1" x14ac:dyDescent="0.3">
      <c r="A570" s="19">
        <v>20003</v>
      </c>
      <c r="B570" s="4" t="s">
        <v>1632</v>
      </c>
      <c r="C570" s="4" t="s">
        <v>2107</v>
      </c>
      <c r="D570" s="5">
        <v>42479.742939814816</v>
      </c>
      <c r="E570" s="5" t="s">
        <v>2083</v>
      </c>
      <c r="F570" s="4" t="s">
        <v>26</v>
      </c>
      <c r="G570" s="4" t="s">
        <v>27</v>
      </c>
      <c r="H570" s="4" t="s">
        <v>1633</v>
      </c>
      <c r="I570" s="4" t="s">
        <v>218</v>
      </c>
      <c r="J570" s="4" t="s">
        <v>148</v>
      </c>
      <c r="K570" s="4" t="s">
        <v>31</v>
      </c>
      <c r="L570" s="5">
        <v>42489.958333333336</v>
      </c>
      <c r="M570" s="5">
        <v>42490.8125</v>
      </c>
      <c r="N570" s="5">
        <v>42490.8125</v>
      </c>
      <c r="O570" s="4" t="s">
        <v>32</v>
      </c>
      <c r="P570" s="4" t="s">
        <v>149</v>
      </c>
      <c r="Q570" s="4" t="s">
        <v>50</v>
      </c>
      <c r="R570" s="4" t="s">
        <v>1438</v>
      </c>
      <c r="S570" s="4" t="s">
        <v>1438</v>
      </c>
      <c r="T570" s="4" t="s">
        <v>36</v>
      </c>
      <c r="U570" s="4" t="s">
        <v>37</v>
      </c>
      <c r="V570" s="4" t="s">
        <v>1634</v>
      </c>
      <c r="W570" s="4" t="s">
        <v>37</v>
      </c>
      <c r="X570" s="4" t="s">
        <v>37</v>
      </c>
      <c r="Y570" s="4" t="s">
        <v>36</v>
      </c>
      <c r="Z570" s="4" t="s">
        <v>1440</v>
      </c>
      <c r="AA570" s="4"/>
    </row>
    <row r="571" spans="1:27" s="1" customFormat="1" x14ac:dyDescent="0.3">
      <c r="A571" s="19">
        <v>20004</v>
      </c>
      <c r="B571" s="4" t="s">
        <v>1635</v>
      </c>
      <c r="C571" s="4">
        <v>0</v>
      </c>
      <c r="D571" s="5">
        <v>42479.744189814817</v>
      </c>
      <c r="E571" s="5" t="s">
        <v>2083</v>
      </c>
      <c r="F571" s="4" t="s">
        <v>26</v>
      </c>
      <c r="G571" s="4" t="s">
        <v>27</v>
      </c>
      <c r="H571" s="4" t="s">
        <v>28</v>
      </c>
      <c r="I571" s="4" t="s">
        <v>206</v>
      </c>
      <c r="J571" s="4" t="s">
        <v>43</v>
      </c>
      <c r="K571" s="4" t="s">
        <v>31</v>
      </c>
      <c r="L571" s="5">
        <v>42492.999305555553</v>
      </c>
      <c r="M571" s="5">
        <v>42493.75</v>
      </c>
      <c r="N571" s="5">
        <v>42493.791666666664</v>
      </c>
      <c r="O571" s="4" t="s">
        <v>32</v>
      </c>
      <c r="P571" s="4" t="s">
        <v>89</v>
      </c>
      <c r="Q571" s="4" t="s">
        <v>50</v>
      </c>
      <c r="R571" s="4" t="s">
        <v>1636</v>
      </c>
      <c r="S571" s="4" t="s">
        <v>1636</v>
      </c>
      <c r="T571" s="4" t="s">
        <v>36</v>
      </c>
      <c r="U571" s="4" t="s">
        <v>37</v>
      </c>
      <c r="V571" s="4" t="s">
        <v>1637</v>
      </c>
      <c r="W571" s="4" t="s">
        <v>37</v>
      </c>
      <c r="X571" s="4" t="s">
        <v>37</v>
      </c>
      <c r="Y571" s="4" t="s">
        <v>36</v>
      </c>
      <c r="Z571" s="4" t="s">
        <v>1638</v>
      </c>
      <c r="AA571" s="4" t="s">
        <v>93</v>
      </c>
    </row>
    <row r="572" spans="1:27" s="1" customFormat="1" x14ac:dyDescent="0.3">
      <c r="A572" s="19">
        <v>20007</v>
      </c>
      <c r="B572" s="4" t="s">
        <v>1639</v>
      </c>
      <c r="C572" s="4" t="s">
        <v>39</v>
      </c>
      <c r="D572" s="5">
        <v>42480.350370370368</v>
      </c>
      <c r="E572" s="5" t="s">
        <v>2083</v>
      </c>
      <c r="F572" s="4" t="s">
        <v>26</v>
      </c>
      <c r="G572" s="4" t="s">
        <v>440</v>
      </c>
      <c r="H572" s="4" t="s">
        <v>440</v>
      </c>
      <c r="I572" s="4" t="s">
        <v>88</v>
      </c>
      <c r="J572" s="4" t="s">
        <v>30</v>
      </c>
      <c r="K572" s="4" t="s">
        <v>31</v>
      </c>
      <c r="L572" s="5">
        <v>42487.9375</v>
      </c>
      <c r="M572" s="5">
        <v>42487.986111111109</v>
      </c>
      <c r="N572" s="5">
        <v>42487.999305555553</v>
      </c>
      <c r="O572" s="4" t="s">
        <v>32</v>
      </c>
      <c r="P572" s="4" t="s">
        <v>149</v>
      </c>
      <c r="Q572" s="4" t="s">
        <v>76</v>
      </c>
      <c r="R572" s="4" t="s">
        <v>1640</v>
      </c>
      <c r="S572" s="4" t="s">
        <v>1640</v>
      </c>
      <c r="T572" s="4" t="s">
        <v>37</v>
      </c>
      <c r="U572" s="4" t="s">
        <v>37</v>
      </c>
      <c r="V572" s="4" t="s">
        <v>1641</v>
      </c>
      <c r="W572" s="4" t="s">
        <v>37</v>
      </c>
      <c r="X572" s="4" t="s">
        <v>37</v>
      </c>
      <c r="Y572" s="4" t="s">
        <v>36</v>
      </c>
      <c r="Z572" s="4" t="s">
        <v>1642</v>
      </c>
      <c r="AA572" s="4" t="s">
        <v>93</v>
      </c>
    </row>
    <row r="573" spans="1:27" s="1" customFormat="1" x14ac:dyDescent="0.3">
      <c r="A573" s="19">
        <v>20008</v>
      </c>
      <c r="B573" s="4" t="s">
        <v>1267</v>
      </c>
      <c r="C573" s="4" t="s">
        <v>2135</v>
      </c>
      <c r="D573" s="5">
        <v>42480.38244212963</v>
      </c>
      <c r="E573" s="5" t="s">
        <v>2083</v>
      </c>
      <c r="F573" s="4" t="s">
        <v>26</v>
      </c>
      <c r="G573" s="4" t="s">
        <v>615</v>
      </c>
      <c r="H573" s="4" t="s">
        <v>615</v>
      </c>
      <c r="I573" s="4" t="s">
        <v>169</v>
      </c>
      <c r="J573" s="4" t="s">
        <v>30</v>
      </c>
      <c r="K573" s="4" t="s">
        <v>31</v>
      </c>
      <c r="L573" s="5">
        <v>42484.333333333336</v>
      </c>
      <c r="M573" s="5">
        <v>42484.75</v>
      </c>
      <c r="N573" s="5">
        <v>42484.791666666664</v>
      </c>
      <c r="O573" s="4" t="s">
        <v>250</v>
      </c>
      <c r="P573" s="4" t="s">
        <v>89</v>
      </c>
      <c r="Q573" s="4" t="s">
        <v>251</v>
      </c>
      <c r="R573" s="4" t="s">
        <v>178</v>
      </c>
      <c r="S573" s="4" t="s">
        <v>178</v>
      </c>
      <c r="T573" s="4" t="s">
        <v>36</v>
      </c>
      <c r="U573" s="4" t="s">
        <v>37</v>
      </c>
      <c r="V573" s="4" t="s">
        <v>1268</v>
      </c>
      <c r="W573" s="4" t="s">
        <v>37</v>
      </c>
      <c r="X573" s="4" t="s">
        <v>37</v>
      </c>
      <c r="Y573" s="4" t="s">
        <v>36</v>
      </c>
      <c r="Z573" s="4" t="s">
        <v>178</v>
      </c>
      <c r="AA573" s="4" t="s">
        <v>93</v>
      </c>
    </row>
    <row r="574" spans="1:27" s="1" customFormat="1" x14ac:dyDescent="0.3">
      <c r="A574" s="19">
        <v>20011</v>
      </c>
      <c r="B574" s="4" t="s">
        <v>1643</v>
      </c>
      <c r="C574" s="4" t="s">
        <v>2177</v>
      </c>
      <c r="D574" s="5">
        <v>42480.608101851853</v>
      </c>
      <c r="E574" s="5" t="s">
        <v>2083</v>
      </c>
      <c r="F574" s="4" t="s">
        <v>26</v>
      </c>
      <c r="G574" s="4" t="s">
        <v>1187</v>
      </c>
      <c r="H574" s="4" t="s">
        <v>455</v>
      </c>
      <c r="I574" s="4" t="s">
        <v>88</v>
      </c>
      <c r="J574" s="4" t="s">
        <v>30</v>
      </c>
      <c r="K574" s="4" t="s">
        <v>31</v>
      </c>
      <c r="L574" s="5">
        <v>42489.041666666664</v>
      </c>
      <c r="M574" s="5">
        <v>42489.166666666664</v>
      </c>
      <c r="N574" s="5">
        <v>42489.291666666664</v>
      </c>
      <c r="O574" s="4" t="s">
        <v>32</v>
      </c>
      <c r="P574" s="4" t="s">
        <v>33</v>
      </c>
      <c r="Q574" s="4" t="s">
        <v>50</v>
      </c>
      <c r="R574" s="6" t="s">
        <v>77</v>
      </c>
      <c r="S574" s="6" t="s">
        <v>77</v>
      </c>
      <c r="T574" s="4" t="s">
        <v>37</v>
      </c>
      <c r="U574" s="4" t="s">
        <v>37</v>
      </c>
      <c r="V574" s="4" t="s">
        <v>1644</v>
      </c>
      <c r="W574" s="4" t="s">
        <v>37</v>
      </c>
      <c r="X574" s="4" t="s">
        <v>37</v>
      </c>
      <c r="Y574" s="4" t="s">
        <v>36</v>
      </c>
      <c r="Z574" s="4" t="s">
        <v>1191</v>
      </c>
      <c r="AA574" s="4" t="s">
        <v>676</v>
      </c>
    </row>
    <row r="575" spans="1:27" s="1" customFormat="1" x14ac:dyDescent="0.3">
      <c r="A575" s="19">
        <v>20013</v>
      </c>
      <c r="B575" s="4" t="s">
        <v>1643</v>
      </c>
      <c r="C575" s="4" t="s">
        <v>2177</v>
      </c>
      <c r="D575" s="5">
        <v>42480.613900462966</v>
      </c>
      <c r="E575" s="5" t="s">
        <v>2083</v>
      </c>
      <c r="F575" s="4" t="s">
        <v>26</v>
      </c>
      <c r="G575" s="4" t="s">
        <v>1187</v>
      </c>
      <c r="H575" s="4" t="s">
        <v>455</v>
      </c>
      <c r="I575" s="4" t="s">
        <v>207</v>
      </c>
      <c r="J575" s="4" t="s">
        <v>30</v>
      </c>
      <c r="K575" s="4" t="s">
        <v>31</v>
      </c>
      <c r="L575" s="5">
        <v>42514.041666666664</v>
      </c>
      <c r="M575" s="5">
        <v>42514.166666666664</v>
      </c>
      <c r="N575" s="5">
        <v>42514.375</v>
      </c>
      <c r="O575" s="4" t="s">
        <v>32</v>
      </c>
      <c r="P575" s="4" t="s">
        <v>33</v>
      </c>
      <c r="Q575" s="4" t="s">
        <v>34</v>
      </c>
      <c r="R575" s="4" t="s">
        <v>1645</v>
      </c>
      <c r="S575" s="4" t="s">
        <v>1645</v>
      </c>
      <c r="T575" s="4" t="s">
        <v>37</v>
      </c>
      <c r="U575" s="4" t="s">
        <v>37</v>
      </c>
      <c r="V575" s="4" t="s">
        <v>1646</v>
      </c>
      <c r="W575" s="4" t="s">
        <v>37</v>
      </c>
      <c r="X575" s="4" t="s">
        <v>37</v>
      </c>
      <c r="Y575" s="4" t="s">
        <v>36</v>
      </c>
      <c r="Z575" s="4" t="s">
        <v>1191</v>
      </c>
      <c r="AA575" s="4" t="s">
        <v>676</v>
      </c>
    </row>
    <row r="576" spans="1:27" s="1" customFormat="1" x14ac:dyDescent="0.3">
      <c r="A576" s="19">
        <v>20014</v>
      </c>
      <c r="B576" s="4" t="s">
        <v>1647</v>
      </c>
      <c r="C576" s="4" t="s">
        <v>2111</v>
      </c>
      <c r="D576" s="5">
        <v>42480.617442129631</v>
      </c>
      <c r="E576" s="5" t="s">
        <v>2083</v>
      </c>
      <c r="F576" s="4" t="s">
        <v>26</v>
      </c>
      <c r="G576" s="4" t="s">
        <v>259</v>
      </c>
      <c r="H576" s="4" t="s">
        <v>259</v>
      </c>
      <c r="I576" s="4" t="s">
        <v>211</v>
      </c>
      <c r="J576" s="4" t="s">
        <v>311</v>
      </c>
      <c r="K576" s="4" t="s">
        <v>31</v>
      </c>
      <c r="L576" s="5">
        <v>42487.583333333336</v>
      </c>
      <c r="M576" s="5">
        <v>42487.625</v>
      </c>
      <c r="N576" s="5">
        <v>42487.666666666664</v>
      </c>
      <c r="O576" s="4" t="s">
        <v>710</v>
      </c>
      <c r="P576" s="4" t="s">
        <v>33</v>
      </c>
      <c r="Q576" s="4" t="s">
        <v>76</v>
      </c>
      <c r="R576" s="6" t="s">
        <v>77</v>
      </c>
      <c r="S576" s="6" t="s">
        <v>77</v>
      </c>
      <c r="T576" s="4" t="s">
        <v>37</v>
      </c>
      <c r="U576" s="4" t="s">
        <v>37</v>
      </c>
      <c r="V576" s="4" t="s">
        <v>1648</v>
      </c>
      <c r="W576" s="4" t="s">
        <v>37</v>
      </c>
      <c r="X576" s="4" t="s">
        <v>37</v>
      </c>
      <c r="Y576" s="4" t="s">
        <v>36</v>
      </c>
      <c r="Z576" s="4"/>
      <c r="AA576" s="4"/>
    </row>
    <row r="577" spans="1:27" s="1" customFormat="1" x14ac:dyDescent="0.3">
      <c r="A577" s="19">
        <v>20015</v>
      </c>
      <c r="B577" s="4" t="s">
        <v>1643</v>
      </c>
      <c r="C577" s="4" t="s">
        <v>2177</v>
      </c>
      <c r="D577" s="5">
        <v>42480.620775462965</v>
      </c>
      <c r="E577" s="5" t="s">
        <v>2083</v>
      </c>
      <c r="F577" s="4" t="s">
        <v>26</v>
      </c>
      <c r="G577" s="4" t="s">
        <v>1187</v>
      </c>
      <c r="H577" s="4" t="s">
        <v>455</v>
      </c>
      <c r="I577" s="4" t="s">
        <v>207</v>
      </c>
      <c r="J577" s="4" t="s">
        <v>30</v>
      </c>
      <c r="K577" s="4" t="s">
        <v>31</v>
      </c>
      <c r="L577" s="5">
        <v>42516.041666666664</v>
      </c>
      <c r="M577" s="5">
        <v>42516.166666666664</v>
      </c>
      <c r="N577" s="5">
        <v>42516.375</v>
      </c>
      <c r="O577" s="4" t="s">
        <v>32</v>
      </c>
      <c r="P577" s="4" t="s">
        <v>33</v>
      </c>
      <c r="Q577" s="4" t="s">
        <v>34</v>
      </c>
      <c r="R577" s="4" t="s">
        <v>1649</v>
      </c>
      <c r="S577" s="4" t="s">
        <v>1649</v>
      </c>
      <c r="T577" s="4" t="s">
        <v>37</v>
      </c>
      <c r="U577" s="4" t="s">
        <v>37</v>
      </c>
      <c r="V577" s="4" t="s">
        <v>1646</v>
      </c>
      <c r="W577" s="4" t="s">
        <v>37</v>
      </c>
      <c r="X577" s="4" t="s">
        <v>37</v>
      </c>
      <c r="Y577" s="4" t="s">
        <v>36</v>
      </c>
      <c r="Z577" s="4" t="s">
        <v>1191</v>
      </c>
      <c r="AA577" s="4" t="s">
        <v>676</v>
      </c>
    </row>
    <row r="578" spans="1:27" s="1" customFormat="1" x14ac:dyDescent="0.3">
      <c r="A578" s="19">
        <v>20019</v>
      </c>
      <c r="B578" s="4" t="s">
        <v>1650</v>
      </c>
      <c r="C578" s="4">
        <v>0</v>
      </c>
      <c r="D578" s="5">
        <v>42480.661203703705</v>
      </c>
      <c r="E578" s="5" t="s">
        <v>2083</v>
      </c>
      <c r="F578" s="4" t="s">
        <v>26</v>
      </c>
      <c r="G578" s="4" t="s">
        <v>1651</v>
      </c>
      <c r="H578" s="4" t="s">
        <v>1470</v>
      </c>
      <c r="I578" s="4" t="s">
        <v>216</v>
      </c>
      <c r="J578" s="4" t="s">
        <v>49</v>
      </c>
      <c r="K578" s="4" t="s">
        <v>31</v>
      </c>
      <c r="L578" s="5">
        <v>42487.958333333336</v>
      </c>
      <c r="M578" s="5">
        <v>42488.048611111109</v>
      </c>
      <c r="N578" s="5">
        <v>42488.090277777781</v>
      </c>
      <c r="O578" s="4" t="s">
        <v>32</v>
      </c>
      <c r="P578" s="4" t="s">
        <v>33</v>
      </c>
      <c r="Q578" s="4" t="s">
        <v>76</v>
      </c>
      <c r="R578" s="4" t="s">
        <v>1471</v>
      </c>
      <c r="S578" s="4" t="s">
        <v>1471</v>
      </c>
      <c r="T578" s="4" t="s">
        <v>37</v>
      </c>
      <c r="U578" s="4" t="s">
        <v>37</v>
      </c>
      <c r="V578" s="4" t="s">
        <v>1652</v>
      </c>
      <c r="W578" s="4" t="s">
        <v>37</v>
      </c>
      <c r="X578" s="4" t="s">
        <v>37</v>
      </c>
      <c r="Y578" s="4" t="s">
        <v>36</v>
      </c>
      <c r="Z578" s="4" t="s">
        <v>1653</v>
      </c>
      <c r="AA578" s="4"/>
    </row>
    <row r="579" spans="1:27" s="1" customFormat="1" x14ac:dyDescent="0.3">
      <c r="A579" s="19">
        <v>20020</v>
      </c>
      <c r="B579" s="4" t="s">
        <v>1654</v>
      </c>
      <c r="C579" s="4">
        <v>0</v>
      </c>
      <c r="D579" s="5">
        <v>42480.663240740738</v>
      </c>
      <c r="E579" s="5" t="s">
        <v>2083</v>
      </c>
      <c r="F579" s="4" t="s">
        <v>26</v>
      </c>
      <c r="G579" s="4" t="s">
        <v>1651</v>
      </c>
      <c r="H579" s="4" t="s">
        <v>1470</v>
      </c>
      <c r="I579" s="4" t="s">
        <v>216</v>
      </c>
      <c r="J579" s="4" t="s">
        <v>49</v>
      </c>
      <c r="K579" s="4" t="s">
        <v>31</v>
      </c>
      <c r="L579" s="5">
        <v>42488.958333333336</v>
      </c>
      <c r="M579" s="5">
        <v>42489.048611111109</v>
      </c>
      <c r="N579" s="5">
        <v>42489.090277777781</v>
      </c>
      <c r="O579" s="4" t="s">
        <v>32</v>
      </c>
      <c r="P579" s="4" t="s">
        <v>33</v>
      </c>
      <c r="Q579" s="4" t="s">
        <v>76</v>
      </c>
      <c r="R579" s="4" t="s">
        <v>1471</v>
      </c>
      <c r="S579" s="4" t="s">
        <v>1471</v>
      </c>
      <c r="T579" s="4" t="s">
        <v>37</v>
      </c>
      <c r="U579" s="4" t="s">
        <v>37</v>
      </c>
      <c r="V579" s="4" t="s">
        <v>1652</v>
      </c>
      <c r="W579" s="4" t="s">
        <v>37</v>
      </c>
      <c r="X579" s="4" t="s">
        <v>37</v>
      </c>
      <c r="Y579" s="4" t="s">
        <v>36</v>
      </c>
      <c r="Z579" s="4" t="s">
        <v>1655</v>
      </c>
      <c r="AA579" s="4"/>
    </row>
    <row r="580" spans="1:27" s="1" customFormat="1" x14ac:dyDescent="0.3">
      <c r="A580" s="19">
        <v>20022</v>
      </c>
      <c r="B580" s="4" t="s">
        <v>1656</v>
      </c>
      <c r="C580" s="4">
        <v>0</v>
      </c>
      <c r="D580" s="5">
        <v>42480.664664351854</v>
      </c>
      <c r="E580" s="5" t="s">
        <v>2083</v>
      </c>
      <c r="F580" s="4" t="s">
        <v>26</v>
      </c>
      <c r="G580" s="4" t="s">
        <v>1651</v>
      </c>
      <c r="H580" s="4" t="s">
        <v>413</v>
      </c>
      <c r="I580" s="4" t="s">
        <v>216</v>
      </c>
      <c r="J580" s="4" t="s">
        <v>49</v>
      </c>
      <c r="K580" s="4" t="s">
        <v>31</v>
      </c>
      <c r="L580" s="5">
        <v>42492.958333333336</v>
      </c>
      <c r="M580" s="5">
        <v>42493.048611111109</v>
      </c>
      <c r="N580" s="5">
        <v>42493.090277777781</v>
      </c>
      <c r="O580" s="4" t="s">
        <v>32</v>
      </c>
      <c r="P580" s="4" t="s">
        <v>33</v>
      </c>
      <c r="Q580" s="4" t="s">
        <v>76</v>
      </c>
      <c r="R580" s="4" t="s">
        <v>1444</v>
      </c>
      <c r="S580" s="4" t="s">
        <v>1444</v>
      </c>
      <c r="T580" s="4" t="s">
        <v>37</v>
      </c>
      <c r="U580" s="4" t="s">
        <v>37</v>
      </c>
      <c r="V580" s="4" t="s">
        <v>1657</v>
      </c>
      <c r="W580" s="4" t="s">
        <v>37</v>
      </c>
      <c r="X580" s="4" t="s">
        <v>37</v>
      </c>
      <c r="Y580" s="4" t="s">
        <v>36</v>
      </c>
      <c r="Z580" s="4" t="s">
        <v>1658</v>
      </c>
      <c r="AA580" s="4"/>
    </row>
    <row r="581" spans="1:27" s="1" customFormat="1" x14ac:dyDescent="0.3">
      <c r="A581" s="19">
        <v>20023</v>
      </c>
      <c r="B581" s="4" t="s">
        <v>1659</v>
      </c>
      <c r="C581" s="4" t="s">
        <v>2179</v>
      </c>
      <c r="D581" s="5">
        <v>42480.669386574074</v>
      </c>
      <c r="E581" s="5" t="s">
        <v>2083</v>
      </c>
      <c r="F581" s="4" t="s">
        <v>26</v>
      </c>
      <c r="G581" s="4" t="s">
        <v>146</v>
      </c>
      <c r="H581" s="4" t="s">
        <v>762</v>
      </c>
      <c r="I581" s="4" t="s">
        <v>56</v>
      </c>
      <c r="J581" s="4" t="s">
        <v>30</v>
      </c>
      <c r="K581" s="4" t="s">
        <v>31</v>
      </c>
      <c r="L581" s="5">
        <v>42485.875</v>
      </c>
      <c r="M581" s="5">
        <v>42486.083333333336</v>
      </c>
      <c r="N581" s="5">
        <v>42486.166666666664</v>
      </c>
      <c r="O581" s="4" t="s">
        <v>32</v>
      </c>
      <c r="P581" s="4" t="s">
        <v>149</v>
      </c>
      <c r="Q581" s="4" t="s">
        <v>76</v>
      </c>
      <c r="R581" s="4" t="s">
        <v>1660</v>
      </c>
      <c r="S581" s="4" t="s">
        <v>1660</v>
      </c>
      <c r="T581" s="4" t="s">
        <v>37</v>
      </c>
      <c r="U581" s="4" t="s">
        <v>37</v>
      </c>
      <c r="V581" s="4" t="s">
        <v>1661</v>
      </c>
      <c r="W581" s="4" t="s">
        <v>36</v>
      </c>
      <c r="X581" s="4" t="s">
        <v>37</v>
      </c>
      <c r="Y581" s="4" t="s">
        <v>36</v>
      </c>
      <c r="Z581" s="4"/>
      <c r="AA581" s="4" t="s">
        <v>40</v>
      </c>
    </row>
    <row r="582" spans="1:27" s="1" customFormat="1" x14ac:dyDescent="0.3">
      <c r="A582" s="19">
        <v>20024</v>
      </c>
      <c r="B582" s="4" t="s">
        <v>1662</v>
      </c>
      <c r="C582" s="4" t="s">
        <v>2111</v>
      </c>
      <c r="D582" s="5">
        <v>42480.672673611109</v>
      </c>
      <c r="E582" s="5" t="s">
        <v>2083</v>
      </c>
      <c r="F582" s="4" t="s">
        <v>26</v>
      </c>
      <c r="G582" s="4" t="s">
        <v>421</v>
      </c>
      <c r="H582" s="4" t="s">
        <v>922</v>
      </c>
      <c r="I582" s="4" t="s">
        <v>118</v>
      </c>
      <c r="J582" s="4" t="s">
        <v>30</v>
      </c>
      <c r="K582" s="4" t="s">
        <v>31</v>
      </c>
      <c r="L582" s="5">
        <v>42482.916666666664</v>
      </c>
      <c r="M582" s="5">
        <v>42483.125</v>
      </c>
      <c r="N582" s="5">
        <v>42483.75</v>
      </c>
      <c r="O582" s="4" t="s">
        <v>710</v>
      </c>
      <c r="P582" s="4" t="s">
        <v>33</v>
      </c>
      <c r="Q582" s="4" t="s">
        <v>76</v>
      </c>
      <c r="R582" s="6" t="s">
        <v>77</v>
      </c>
      <c r="S582" s="4" t="s">
        <v>291</v>
      </c>
      <c r="T582" s="4" t="s">
        <v>37</v>
      </c>
      <c r="U582" s="4" t="s">
        <v>37</v>
      </c>
      <c r="V582" s="4" t="s">
        <v>1265</v>
      </c>
      <c r="W582" s="4" t="s">
        <v>37</v>
      </c>
      <c r="X582" s="4" t="s">
        <v>37</v>
      </c>
      <c r="Y582" s="4" t="s">
        <v>36</v>
      </c>
      <c r="Z582" s="4" t="s">
        <v>1663</v>
      </c>
      <c r="AA582" s="4" t="s">
        <v>40</v>
      </c>
    </row>
    <row r="583" spans="1:27" s="1" customFormat="1" x14ac:dyDescent="0.3">
      <c r="A583" s="19">
        <v>20025</v>
      </c>
      <c r="B583" s="4" t="s">
        <v>1664</v>
      </c>
      <c r="C583" s="4">
        <v>0</v>
      </c>
      <c r="D583" s="5">
        <v>42480.675879629627</v>
      </c>
      <c r="E583" s="5" t="s">
        <v>2083</v>
      </c>
      <c r="F583" s="4" t="s">
        <v>26</v>
      </c>
      <c r="G583" s="4" t="s">
        <v>428</v>
      </c>
      <c r="H583" s="4" t="s">
        <v>428</v>
      </c>
      <c r="I583" s="4" t="s">
        <v>56</v>
      </c>
      <c r="J583" s="4" t="s">
        <v>543</v>
      </c>
      <c r="K583" s="4" t="s">
        <v>31</v>
      </c>
      <c r="L583" s="5">
        <v>42489.916666666664</v>
      </c>
      <c r="M583" s="5">
        <v>42490.25</v>
      </c>
      <c r="N583" s="5">
        <v>42859.677777777775</v>
      </c>
      <c r="O583" s="4" t="s">
        <v>32</v>
      </c>
      <c r="P583" s="4" t="s">
        <v>33</v>
      </c>
      <c r="Q583" s="4" t="s">
        <v>76</v>
      </c>
      <c r="R583" s="6" t="s">
        <v>77</v>
      </c>
      <c r="S583" s="6" t="s">
        <v>77</v>
      </c>
      <c r="T583" s="4" t="s">
        <v>37</v>
      </c>
      <c r="U583" s="4" t="s">
        <v>37</v>
      </c>
      <c r="V583" s="4" t="s">
        <v>395</v>
      </c>
      <c r="W583" s="4" t="s">
        <v>37</v>
      </c>
      <c r="X583" s="4" t="s">
        <v>37</v>
      </c>
      <c r="Y583" s="4" t="s">
        <v>36</v>
      </c>
      <c r="Z583" s="4"/>
      <c r="AA583" s="4"/>
    </row>
    <row r="584" spans="1:27" s="1" customFormat="1" x14ac:dyDescent="0.3">
      <c r="A584" s="19">
        <v>20026</v>
      </c>
      <c r="B584" s="4" t="s">
        <v>1665</v>
      </c>
      <c r="C584" s="4" t="s">
        <v>2111</v>
      </c>
      <c r="D584" s="5">
        <v>42480.686388888891</v>
      </c>
      <c r="E584" s="5" t="s">
        <v>2083</v>
      </c>
      <c r="F584" s="4" t="s">
        <v>26</v>
      </c>
      <c r="G584" s="4" t="s">
        <v>792</v>
      </c>
      <c r="H584" s="4" t="s">
        <v>1666</v>
      </c>
      <c r="I584" s="4" t="s">
        <v>203</v>
      </c>
      <c r="J584" s="4" t="s">
        <v>49</v>
      </c>
      <c r="K584" s="4" t="s">
        <v>31</v>
      </c>
      <c r="L584" s="5">
        <v>42480.916666666664</v>
      </c>
      <c r="M584" s="5">
        <v>42481.25</v>
      </c>
      <c r="N584" s="5">
        <v>42481.25</v>
      </c>
      <c r="O584" s="4" t="s">
        <v>710</v>
      </c>
      <c r="P584" s="4" t="s">
        <v>89</v>
      </c>
      <c r="Q584" s="4" t="s">
        <v>76</v>
      </c>
      <c r="R584" s="4" t="s">
        <v>1667</v>
      </c>
      <c r="S584" s="4" t="s">
        <v>1667</v>
      </c>
      <c r="T584" s="4" t="s">
        <v>36</v>
      </c>
      <c r="U584" s="4" t="s">
        <v>37</v>
      </c>
      <c r="V584" s="4" t="s">
        <v>1668</v>
      </c>
      <c r="W584" s="4" t="s">
        <v>37</v>
      </c>
      <c r="X584" s="4" t="s">
        <v>37</v>
      </c>
      <c r="Y584" s="4" t="s">
        <v>36</v>
      </c>
      <c r="Z584" s="4" t="s">
        <v>1669</v>
      </c>
      <c r="AA584" s="4"/>
    </row>
    <row r="585" spans="1:27" s="1" customFormat="1" x14ac:dyDescent="0.3">
      <c r="A585" s="19">
        <v>20028</v>
      </c>
      <c r="B585" s="4" t="s">
        <v>1670</v>
      </c>
      <c r="C585" s="4" t="s">
        <v>2180</v>
      </c>
      <c r="D585" s="5">
        <v>42480.737650462965</v>
      </c>
      <c r="E585" s="5" t="s">
        <v>2083</v>
      </c>
      <c r="F585" s="4" t="s">
        <v>26</v>
      </c>
      <c r="G585" s="4" t="s">
        <v>146</v>
      </c>
      <c r="H585" s="4" t="s">
        <v>762</v>
      </c>
      <c r="I585" s="4" t="s">
        <v>83</v>
      </c>
      <c r="J585" s="4" t="s">
        <v>484</v>
      </c>
      <c r="K585" s="4" t="s">
        <v>31</v>
      </c>
      <c r="L585" s="5">
        <v>42486.875</v>
      </c>
      <c r="M585" s="5">
        <v>42487.041666666664</v>
      </c>
      <c r="N585" s="5">
        <v>42487.125</v>
      </c>
      <c r="O585" s="4" t="s">
        <v>32</v>
      </c>
      <c r="P585" s="4" t="s">
        <v>149</v>
      </c>
      <c r="Q585" s="4" t="s">
        <v>76</v>
      </c>
      <c r="R585" s="4" t="s">
        <v>1671</v>
      </c>
      <c r="S585" s="4" t="s">
        <v>1671</v>
      </c>
      <c r="T585" s="4" t="s">
        <v>37</v>
      </c>
      <c r="U585" s="4" t="s">
        <v>37</v>
      </c>
      <c r="V585" s="4" t="s">
        <v>1672</v>
      </c>
      <c r="W585" s="4" t="s">
        <v>37</v>
      </c>
      <c r="X585" s="4" t="s">
        <v>37</v>
      </c>
      <c r="Y585" s="4" t="s">
        <v>36</v>
      </c>
      <c r="Z585" s="4"/>
      <c r="AA585" s="4" t="s">
        <v>179</v>
      </c>
    </row>
    <row r="586" spans="1:27" s="1" customFormat="1" x14ac:dyDescent="0.3">
      <c r="A586" s="19">
        <v>20029</v>
      </c>
      <c r="B586" s="4" t="s">
        <v>1673</v>
      </c>
      <c r="C586" s="4">
        <v>0</v>
      </c>
      <c r="D586" s="5">
        <v>42480.764733796299</v>
      </c>
      <c r="E586" s="5" t="s">
        <v>2083</v>
      </c>
      <c r="F586" s="4" t="s">
        <v>26</v>
      </c>
      <c r="G586" s="4" t="s">
        <v>852</v>
      </c>
      <c r="H586" s="4" t="s">
        <v>852</v>
      </c>
      <c r="I586" s="4" t="s">
        <v>205</v>
      </c>
      <c r="J586" s="4" t="s">
        <v>275</v>
      </c>
      <c r="K586" s="4" t="s">
        <v>31</v>
      </c>
      <c r="L586" s="5">
        <v>42490.916666666664</v>
      </c>
      <c r="M586" s="5">
        <v>42491.208333333336</v>
      </c>
      <c r="N586" s="5">
        <v>42491.25</v>
      </c>
      <c r="O586" s="4" t="s">
        <v>32</v>
      </c>
      <c r="P586" s="4" t="s">
        <v>33</v>
      </c>
      <c r="Q586" s="4" t="s">
        <v>76</v>
      </c>
      <c r="R586" s="4" t="s">
        <v>1674</v>
      </c>
      <c r="S586" s="4" t="s">
        <v>1674</v>
      </c>
      <c r="T586" s="4" t="s">
        <v>37</v>
      </c>
      <c r="U586" s="4" t="s">
        <v>37</v>
      </c>
      <c r="V586" s="4" t="s">
        <v>177</v>
      </c>
      <c r="W586" s="4" t="s">
        <v>37</v>
      </c>
      <c r="X586" s="4" t="s">
        <v>37</v>
      </c>
      <c r="Y586" s="4" t="s">
        <v>36</v>
      </c>
      <c r="Z586" s="4"/>
      <c r="AA586" s="4" t="s">
        <v>676</v>
      </c>
    </row>
    <row r="587" spans="1:27" s="1" customFormat="1" x14ac:dyDescent="0.3">
      <c r="A587" s="19">
        <v>20030</v>
      </c>
      <c r="B587" s="4" t="s">
        <v>1675</v>
      </c>
      <c r="C587" s="4" t="s">
        <v>2181</v>
      </c>
      <c r="D587" s="5">
        <v>42480.769189814811</v>
      </c>
      <c r="E587" s="5" t="s">
        <v>2083</v>
      </c>
      <c r="F587" s="4" t="s">
        <v>26</v>
      </c>
      <c r="G587" s="4" t="s">
        <v>146</v>
      </c>
      <c r="H587" s="4" t="s">
        <v>762</v>
      </c>
      <c r="I587" s="4" t="s">
        <v>216</v>
      </c>
      <c r="J587" s="4" t="s">
        <v>30</v>
      </c>
      <c r="K587" s="4" t="s">
        <v>31</v>
      </c>
      <c r="L587" s="5">
        <v>42487.875</v>
      </c>
      <c r="M587" s="5">
        <v>42488.083333333336</v>
      </c>
      <c r="N587" s="5">
        <v>42488.125</v>
      </c>
      <c r="O587" s="4" t="s">
        <v>32</v>
      </c>
      <c r="P587" s="4" t="s">
        <v>149</v>
      </c>
      <c r="Q587" s="4" t="s">
        <v>76</v>
      </c>
      <c r="R587" s="4" t="s">
        <v>1676</v>
      </c>
      <c r="S587" s="4" t="s">
        <v>1676</v>
      </c>
      <c r="T587" s="4" t="s">
        <v>37</v>
      </c>
      <c r="U587" s="4" t="s">
        <v>37</v>
      </c>
      <c r="V587" s="4" t="s">
        <v>1677</v>
      </c>
      <c r="W587" s="4" t="s">
        <v>37</v>
      </c>
      <c r="X587" s="4" t="s">
        <v>37</v>
      </c>
      <c r="Y587" s="4" t="s">
        <v>36</v>
      </c>
      <c r="Z587" s="4"/>
      <c r="AA587" s="4" t="s">
        <v>179</v>
      </c>
    </row>
    <row r="588" spans="1:27" s="1" customFormat="1" x14ac:dyDescent="0.3">
      <c r="A588" s="19">
        <v>20032</v>
      </c>
      <c r="B588" s="4" t="s">
        <v>1678</v>
      </c>
      <c r="C588" s="4" t="s">
        <v>2111</v>
      </c>
      <c r="D588" s="5">
        <v>42482.599259259259</v>
      </c>
      <c r="E588" s="5" t="s">
        <v>2083</v>
      </c>
      <c r="F588" s="4" t="s">
        <v>26</v>
      </c>
      <c r="G588" s="4" t="s">
        <v>132</v>
      </c>
      <c r="H588" s="4" t="s">
        <v>729</v>
      </c>
      <c r="I588" s="4" t="s">
        <v>80</v>
      </c>
      <c r="J588" s="4" t="s">
        <v>30</v>
      </c>
      <c r="K588" s="4" t="s">
        <v>31</v>
      </c>
      <c r="L588" s="5">
        <v>42485.958333333336</v>
      </c>
      <c r="M588" s="5">
        <v>42486.166666666664</v>
      </c>
      <c r="N588" s="5">
        <v>42486.25</v>
      </c>
      <c r="O588" s="4" t="s">
        <v>710</v>
      </c>
      <c r="P588" s="4" t="s">
        <v>33</v>
      </c>
      <c r="Q588" s="4" t="s">
        <v>76</v>
      </c>
      <c r="R588" s="4" t="s">
        <v>1679</v>
      </c>
      <c r="S588" s="4" t="s">
        <v>1679</v>
      </c>
      <c r="T588" s="4" t="s">
        <v>36</v>
      </c>
      <c r="U588" s="4" t="s">
        <v>37</v>
      </c>
      <c r="V588" s="4" t="s">
        <v>1680</v>
      </c>
      <c r="W588" s="4" t="s">
        <v>37</v>
      </c>
      <c r="X588" s="4" t="s">
        <v>37</v>
      </c>
      <c r="Y588" s="4" t="s">
        <v>36</v>
      </c>
      <c r="Z588" s="4"/>
      <c r="AA588" s="4" t="s">
        <v>40</v>
      </c>
    </row>
    <row r="589" spans="1:27" s="1" customFormat="1" x14ac:dyDescent="0.3">
      <c r="A589" s="19">
        <v>20033</v>
      </c>
      <c r="B589" s="4" t="s">
        <v>1681</v>
      </c>
      <c r="C589" s="4" t="s">
        <v>2111</v>
      </c>
      <c r="D589" s="5">
        <v>42485.389166666668</v>
      </c>
      <c r="E589" s="5" t="s">
        <v>2083</v>
      </c>
      <c r="F589" s="4" t="s">
        <v>26</v>
      </c>
      <c r="G589" s="4" t="s">
        <v>244</v>
      </c>
      <c r="H589" s="4" t="s">
        <v>244</v>
      </c>
      <c r="I589" s="4" t="s">
        <v>118</v>
      </c>
      <c r="J589" s="4" t="s">
        <v>30</v>
      </c>
      <c r="K589" s="4" t="s">
        <v>31</v>
      </c>
      <c r="L589" s="5">
        <v>42486.916666666664</v>
      </c>
      <c r="M589" s="5">
        <v>42487.5</v>
      </c>
      <c r="N589" s="5">
        <v>42487.75</v>
      </c>
      <c r="O589" s="4" t="s">
        <v>710</v>
      </c>
      <c r="P589" s="4" t="s">
        <v>33</v>
      </c>
      <c r="Q589" s="4" t="s">
        <v>76</v>
      </c>
      <c r="R589" s="6" t="s">
        <v>77</v>
      </c>
      <c r="S589" s="4" t="s">
        <v>517</v>
      </c>
      <c r="T589" s="4" t="s">
        <v>37</v>
      </c>
      <c r="U589" s="4" t="s">
        <v>37</v>
      </c>
      <c r="V589" s="4" t="s">
        <v>365</v>
      </c>
      <c r="W589" s="4" t="s">
        <v>37</v>
      </c>
      <c r="X589" s="4" t="s">
        <v>37</v>
      </c>
      <c r="Y589" s="4" t="s">
        <v>36</v>
      </c>
      <c r="Z589" s="4"/>
      <c r="AA589" s="4" t="s">
        <v>179</v>
      </c>
    </row>
    <row r="590" spans="1:27" s="1" customFormat="1" x14ac:dyDescent="0.3">
      <c r="A590" s="19">
        <v>20034</v>
      </c>
      <c r="B590" s="4" t="s">
        <v>1682</v>
      </c>
      <c r="C590" s="4" t="s">
        <v>2111</v>
      </c>
      <c r="D590" s="5">
        <v>42485.402407407404</v>
      </c>
      <c r="E590" s="5" t="s">
        <v>2083</v>
      </c>
      <c r="F590" s="4" t="s">
        <v>26</v>
      </c>
      <c r="G590" s="4" t="s">
        <v>244</v>
      </c>
      <c r="H590" s="4" t="s">
        <v>244</v>
      </c>
      <c r="I590" s="4" t="s">
        <v>118</v>
      </c>
      <c r="J590" s="4" t="s">
        <v>30</v>
      </c>
      <c r="K590" s="4" t="s">
        <v>31</v>
      </c>
      <c r="L590" s="5">
        <v>42486.916666666664</v>
      </c>
      <c r="M590" s="5">
        <v>42487.5</v>
      </c>
      <c r="N590" s="5">
        <v>42487.75</v>
      </c>
      <c r="O590" s="4" t="s">
        <v>710</v>
      </c>
      <c r="P590" s="4" t="s">
        <v>33</v>
      </c>
      <c r="Q590" s="4" t="s">
        <v>76</v>
      </c>
      <c r="R590" s="6" t="s">
        <v>77</v>
      </c>
      <c r="S590" s="4" t="s">
        <v>517</v>
      </c>
      <c r="T590" s="4" t="s">
        <v>37</v>
      </c>
      <c r="U590" s="4" t="s">
        <v>37</v>
      </c>
      <c r="V590" s="4" t="s">
        <v>365</v>
      </c>
      <c r="W590" s="4" t="s">
        <v>37</v>
      </c>
      <c r="X590" s="4" t="s">
        <v>37</v>
      </c>
      <c r="Y590" s="4" t="s">
        <v>36</v>
      </c>
      <c r="Z590" s="4"/>
      <c r="AA590" s="4" t="s">
        <v>179</v>
      </c>
    </row>
    <row r="591" spans="1:27" s="1" customFormat="1" x14ac:dyDescent="0.3">
      <c r="A591" s="19">
        <v>20036</v>
      </c>
      <c r="B591" s="4" t="s">
        <v>1683</v>
      </c>
      <c r="C591" s="4" t="s">
        <v>2111</v>
      </c>
      <c r="D591" s="5">
        <v>42485.452789351853</v>
      </c>
      <c r="E591" s="5" t="s">
        <v>2083</v>
      </c>
      <c r="F591" s="4" t="s">
        <v>26</v>
      </c>
      <c r="G591" s="4" t="s">
        <v>146</v>
      </c>
      <c r="H591" s="4" t="s">
        <v>234</v>
      </c>
      <c r="I591" s="4" t="s">
        <v>42</v>
      </c>
      <c r="J591" s="4" t="s">
        <v>418</v>
      </c>
      <c r="K591" s="4" t="s">
        <v>31</v>
      </c>
      <c r="L591" s="5">
        <v>42486.916666666664</v>
      </c>
      <c r="M591" s="5">
        <v>42486.958333333336</v>
      </c>
      <c r="N591" s="5">
        <v>42487.041666666664</v>
      </c>
      <c r="O591" s="4" t="s">
        <v>710</v>
      </c>
      <c r="P591" s="4" t="s">
        <v>33</v>
      </c>
      <c r="Q591" s="4" t="s">
        <v>76</v>
      </c>
      <c r="R591" s="4" t="s">
        <v>1684</v>
      </c>
      <c r="S591" s="4" t="s">
        <v>1684</v>
      </c>
      <c r="T591" s="4" t="s">
        <v>37</v>
      </c>
      <c r="U591" s="4" t="s">
        <v>37</v>
      </c>
      <c r="V591" s="4" t="s">
        <v>1685</v>
      </c>
      <c r="W591" s="4" t="s">
        <v>37</v>
      </c>
      <c r="X591" s="4" t="s">
        <v>37</v>
      </c>
      <c r="Y591" s="4" t="s">
        <v>37</v>
      </c>
      <c r="Z591" s="4"/>
      <c r="AA591" s="4" t="s">
        <v>179</v>
      </c>
    </row>
    <row r="592" spans="1:27" s="1" customFormat="1" x14ac:dyDescent="0.3">
      <c r="A592" s="19">
        <v>20037</v>
      </c>
      <c r="B592" s="4" t="s">
        <v>1686</v>
      </c>
      <c r="C592" s="4" t="s">
        <v>2111</v>
      </c>
      <c r="D592" s="5">
        <v>42485.475671296299</v>
      </c>
      <c r="E592" s="5" t="s">
        <v>2083</v>
      </c>
      <c r="F592" s="4" t="s">
        <v>26</v>
      </c>
      <c r="G592" s="4" t="s">
        <v>387</v>
      </c>
      <c r="H592" s="4" t="s">
        <v>387</v>
      </c>
      <c r="I592" s="4" t="s">
        <v>118</v>
      </c>
      <c r="J592" s="4" t="s">
        <v>30</v>
      </c>
      <c r="K592" s="4" t="s">
        <v>31</v>
      </c>
      <c r="L592" s="5">
        <v>42485.916666666664</v>
      </c>
      <c r="M592" s="5">
        <v>42486.041666666664</v>
      </c>
      <c r="N592" s="5">
        <v>42486.125</v>
      </c>
      <c r="O592" s="4" t="s">
        <v>710</v>
      </c>
      <c r="P592" s="4" t="s">
        <v>33</v>
      </c>
      <c r="Q592" s="4" t="s">
        <v>76</v>
      </c>
      <c r="R592" s="4" t="s">
        <v>201</v>
      </c>
      <c r="S592" s="4" t="s">
        <v>201</v>
      </c>
      <c r="T592" s="4" t="s">
        <v>37</v>
      </c>
      <c r="U592" s="4" t="s">
        <v>37</v>
      </c>
      <c r="V592" s="4" t="s">
        <v>1687</v>
      </c>
      <c r="W592" s="4" t="s">
        <v>37</v>
      </c>
      <c r="X592" s="4" t="s">
        <v>37</v>
      </c>
      <c r="Y592" s="4" t="s">
        <v>36</v>
      </c>
      <c r="Z592" s="4"/>
      <c r="AA592" s="4" t="s">
        <v>93</v>
      </c>
    </row>
    <row r="593" spans="1:27" s="1" customFormat="1" x14ac:dyDescent="0.3">
      <c r="A593" s="19">
        <v>20039</v>
      </c>
      <c r="B593" s="4" t="s">
        <v>1688</v>
      </c>
      <c r="C593" s="4" t="s">
        <v>39</v>
      </c>
      <c r="D593" s="5">
        <v>42485.486145833333</v>
      </c>
      <c r="E593" s="5" t="s">
        <v>2083</v>
      </c>
      <c r="F593" s="4" t="s">
        <v>26</v>
      </c>
      <c r="G593" s="4" t="s">
        <v>147</v>
      </c>
      <c r="H593" s="4" t="s">
        <v>147</v>
      </c>
      <c r="I593" s="4" t="s">
        <v>48</v>
      </c>
      <c r="J593" s="4" t="s">
        <v>1689</v>
      </c>
      <c r="K593" s="4" t="s">
        <v>31</v>
      </c>
      <c r="L593" s="5">
        <v>42493.916666666664</v>
      </c>
      <c r="M593" s="5">
        <v>42494.208333333336</v>
      </c>
      <c r="N593" s="5">
        <v>42494.25</v>
      </c>
      <c r="O593" s="4" t="s">
        <v>32</v>
      </c>
      <c r="P593" s="4" t="s">
        <v>89</v>
      </c>
      <c r="Q593" s="4" t="s">
        <v>119</v>
      </c>
      <c r="R593" s="4" t="s">
        <v>1690</v>
      </c>
      <c r="S593" s="4" t="s">
        <v>1690</v>
      </c>
      <c r="T593" s="4" t="s">
        <v>36</v>
      </c>
      <c r="U593" s="4" t="s">
        <v>37</v>
      </c>
      <c r="V593" s="4" t="s">
        <v>1691</v>
      </c>
      <c r="W593" s="4" t="s">
        <v>37</v>
      </c>
      <c r="X593" s="4" t="s">
        <v>37</v>
      </c>
      <c r="Y593" s="4" t="s">
        <v>37</v>
      </c>
      <c r="Z593" s="4" t="s">
        <v>39</v>
      </c>
      <c r="AA593" s="4" t="s">
        <v>672</v>
      </c>
    </row>
    <row r="594" spans="1:27" s="1" customFormat="1" x14ac:dyDescent="0.3">
      <c r="A594" s="19">
        <v>20045</v>
      </c>
      <c r="B594" s="4" t="s">
        <v>1692</v>
      </c>
      <c r="C594" s="4" t="s">
        <v>2111</v>
      </c>
      <c r="D594" s="5">
        <v>42485.562858796293</v>
      </c>
      <c r="E594" s="5" t="s">
        <v>2083</v>
      </c>
      <c r="F594" s="4" t="s">
        <v>26</v>
      </c>
      <c r="G594" s="4" t="s">
        <v>379</v>
      </c>
      <c r="H594" s="4" t="s">
        <v>471</v>
      </c>
      <c r="I594" s="4" t="s">
        <v>203</v>
      </c>
      <c r="J594" s="4" t="s">
        <v>49</v>
      </c>
      <c r="K594" s="4" t="s">
        <v>31</v>
      </c>
      <c r="L594" s="5">
        <v>42485.583333333336</v>
      </c>
      <c r="M594" s="5">
        <v>42485.979166666664</v>
      </c>
      <c r="N594" s="5">
        <v>42486.583333333336</v>
      </c>
      <c r="O594" s="4" t="s">
        <v>710</v>
      </c>
      <c r="P594" s="4" t="s">
        <v>89</v>
      </c>
      <c r="Q594" s="4" t="s">
        <v>76</v>
      </c>
      <c r="R594" s="4" t="s">
        <v>381</v>
      </c>
      <c r="S594" s="4" t="s">
        <v>381</v>
      </c>
      <c r="T594" s="4" t="s">
        <v>37</v>
      </c>
      <c r="U594" s="4" t="s">
        <v>37</v>
      </c>
      <c r="V594" s="4" t="s">
        <v>1693</v>
      </c>
      <c r="W594" s="4" t="s">
        <v>37</v>
      </c>
      <c r="X594" s="4" t="s">
        <v>37</v>
      </c>
      <c r="Y594" s="4" t="s">
        <v>36</v>
      </c>
      <c r="Z594" s="4" t="s">
        <v>39</v>
      </c>
      <c r="AA594" s="4"/>
    </row>
    <row r="595" spans="1:27" s="1" customFormat="1" x14ac:dyDescent="0.3">
      <c r="A595" s="19">
        <v>20047</v>
      </c>
      <c r="B595" s="4" t="s">
        <v>1694</v>
      </c>
      <c r="C595" s="4" t="s">
        <v>2111</v>
      </c>
      <c r="D595" s="5">
        <v>42485.620324074072</v>
      </c>
      <c r="E595" s="5" t="s">
        <v>2083</v>
      </c>
      <c r="F595" s="4" t="s">
        <v>26</v>
      </c>
      <c r="G595" s="4" t="s">
        <v>1032</v>
      </c>
      <c r="H595" s="4" t="s">
        <v>1032</v>
      </c>
      <c r="I595" s="4" t="s">
        <v>123</v>
      </c>
      <c r="J595" s="4" t="s">
        <v>30</v>
      </c>
      <c r="K595" s="4" t="s">
        <v>31</v>
      </c>
      <c r="L595" s="5">
        <v>42486.354166666664</v>
      </c>
      <c r="M595" s="5">
        <v>42486.416666666664</v>
      </c>
      <c r="N595" s="5">
        <v>42486.4375</v>
      </c>
      <c r="O595" s="4" t="s">
        <v>710</v>
      </c>
      <c r="P595" s="4" t="s">
        <v>33</v>
      </c>
      <c r="Q595" s="4" t="s">
        <v>76</v>
      </c>
      <c r="R595" s="6" t="s">
        <v>77</v>
      </c>
      <c r="S595" s="6" t="s">
        <v>77</v>
      </c>
      <c r="T595" s="4" t="s">
        <v>37</v>
      </c>
      <c r="U595" s="4" t="s">
        <v>37</v>
      </c>
      <c r="V595" s="4" t="s">
        <v>1695</v>
      </c>
      <c r="W595" s="4" t="s">
        <v>37</v>
      </c>
      <c r="X595" s="4" t="s">
        <v>37</v>
      </c>
      <c r="Y595" s="4" t="s">
        <v>36</v>
      </c>
      <c r="Z595" s="4" t="s">
        <v>1696</v>
      </c>
      <c r="AA595" s="4" t="s">
        <v>40</v>
      </c>
    </row>
    <row r="596" spans="1:27" s="1" customFormat="1" x14ac:dyDescent="0.3">
      <c r="A596" s="19">
        <v>20049</v>
      </c>
      <c r="B596" s="4" t="s">
        <v>1697</v>
      </c>
      <c r="C596" s="4" t="s">
        <v>2182</v>
      </c>
      <c r="D596" s="5">
        <v>42486.480312500003</v>
      </c>
      <c r="E596" s="5" t="s">
        <v>2083</v>
      </c>
      <c r="F596" s="4" t="s">
        <v>26</v>
      </c>
      <c r="G596" s="4" t="s">
        <v>146</v>
      </c>
      <c r="H596" s="4" t="s">
        <v>762</v>
      </c>
      <c r="I596" s="4" t="s">
        <v>56</v>
      </c>
      <c r="J596" s="4" t="s">
        <v>311</v>
      </c>
      <c r="K596" s="4" t="s">
        <v>31</v>
      </c>
      <c r="L596" s="5">
        <v>42488.875</v>
      </c>
      <c r="M596" s="5">
        <v>42488.958333333336</v>
      </c>
      <c r="N596" s="5">
        <v>42489.041666666664</v>
      </c>
      <c r="O596" s="4" t="s">
        <v>250</v>
      </c>
      <c r="P596" s="4" t="s">
        <v>149</v>
      </c>
      <c r="Q596" s="4" t="s">
        <v>119</v>
      </c>
      <c r="R596" s="4" t="s">
        <v>1698</v>
      </c>
      <c r="S596" s="4" t="s">
        <v>1698</v>
      </c>
      <c r="T596" s="4" t="s">
        <v>37</v>
      </c>
      <c r="U596" s="4" t="s">
        <v>37</v>
      </c>
      <c r="V596" s="4" t="s">
        <v>1677</v>
      </c>
      <c r="W596" s="4" t="s">
        <v>36</v>
      </c>
      <c r="X596" s="4" t="s">
        <v>36</v>
      </c>
      <c r="Y596" s="4" t="s">
        <v>37</v>
      </c>
      <c r="Z596" s="4"/>
      <c r="AA596" s="4"/>
    </row>
    <row r="597" spans="1:27" s="1" customFormat="1" x14ac:dyDescent="0.3">
      <c r="A597" s="19">
        <v>20053</v>
      </c>
      <c r="B597" s="4" t="s">
        <v>1699</v>
      </c>
      <c r="C597" s="4" t="s">
        <v>2111</v>
      </c>
      <c r="D597" s="5">
        <v>42486.538657407407</v>
      </c>
      <c r="E597" s="5" t="s">
        <v>2083</v>
      </c>
      <c r="F597" s="4" t="s">
        <v>26</v>
      </c>
      <c r="G597" s="4" t="s">
        <v>279</v>
      </c>
      <c r="H597" s="4" t="s">
        <v>729</v>
      </c>
      <c r="I597" s="4" t="s">
        <v>83</v>
      </c>
      <c r="J597" s="4" t="s">
        <v>49</v>
      </c>
      <c r="K597" s="4" t="s">
        <v>31</v>
      </c>
      <c r="L597" s="5">
        <v>42486.916666666664</v>
      </c>
      <c r="M597" s="5">
        <v>42487.166666666664</v>
      </c>
      <c r="N597" s="5">
        <v>42487.208333333336</v>
      </c>
      <c r="O597" s="4" t="s">
        <v>710</v>
      </c>
      <c r="P597" s="4" t="s">
        <v>89</v>
      </c>
      <c r="Q597" s="4" t="s">
        <v>76</v>
      </c>
      <c r="R597" s="4" t="s">
        <v>1700</v>
      </c>
      <c r="S597" s="4" t="s">
        <v>1700</v>
      </c>
      <c r="T597" s="4" t="s">
        <v>36</v>
      </c>
      <c r="U597" s="4" t="s">
        <v>36</v>
      </c>
      <c r="V597" s="4" t="s">
        <v>1701</v>
      </c>
      <c r="W597" s="4" t="s">
        <v>37</v>
      </c>
      <c r="X597" s="4" t="s">
        <v>37</v>
      </c>
      <c r="Y597" s="4" t="s">
        <v>36</v>
      </c>
      <c r="Z597" s="4"/>
      <c r="AA597" s="4"/>
    </row>
    <row r="598" spans="1:27" s="1" customFormat="1" x14ac:dyDescent="0.3">
      <c r="A598" s="19">
        <v>20055</v>
      </c>
      <c r="B598" s="4" t="s">
        <v>1702</v>
      </c>
      <c r="C598" s="4">
        <v>0</v>
      </c>
      <c r="D598" s="5">
        <v>42486.610752314817</v>
      </c>
      <c r="E598" s="5" t="s">
        <v>2083</v>
      </c>
      <c r="F598" s="4" t="s">
        <v>26</v>
      </c>
      <c r="G598" s="4" t="s">
        <v>387</v>
      </c>
      <c r="H598" s="4" t="s">
        <v>117</v>
      </c>
      <c r="I598" s="4" t="s">
        <v>118</v>
      </c>
      <c r="J598" s="4" t="s">
        <v>30</v>
      </c>
      <c r="K598" s="4" t="s">
        <v>31</v>
      </c>
      <c r="L598" s="5">
        <v>42493.625</v>
      </c>
      <c r="M598" s="5">
        <v>42494.5</v>
      </c>
      <c r="N598" s="5">
        <v>42494.5</v>
      </c>
      <c r="O598" s="4" t="s">
        <v>32</v>
      </c>
      <c r="P598" s="4" t="s">
        <v>33</v>
      </c>
      <c r="Q598" s="4" t="s">
        <v>34</v>
      </c>
      <c r="R598" s="4" t="s">
        <v>1621</v>
      </c>
      <c r="S598" s="4" t="s">
        <v>1621</v>
      </c>
      <c r="T598" s="4" t="s">
        <v>37</v>
      </c>
      <c r="U598" s="4" t="s">
        <v>37</v>
      </c>
      <c r="V598" s="4" t="s">
        <v>202</v>
      </c>
      <c r="W598" s="4" t="s">
        <v>37</v>
      </c>
      <c r="X598" s="4" t="s">
        <v>37</v>
      </c>
      <c r="Y598" s="4" t="s">
        <v>36</v>
      </c>
      <c r="Z598" s="4" t="s">
        <v>1703</v>
      </c>
      <c r="AA598" s="4" t="s">
        <v>93</v>
      </c>
    </row>
    <row r="599" spans="1:27" s="1" customFormat="1" x14ac:dyDescent="0.3">
      <c r="A599" s="19">
        <v>20059</v>
      </c>
      <c r="B599" s="4" t="s">
        <v>1704</v>
      </c>
      <c r="C599" s="4">
        <v>0</v>
      </c>
      <c r="D599" s="5">
        <v>42487.572488425925</v>
      </c>
      <c r="E599" s="5" t="s">
        <v>2083</v>
      </c>
      <c r="F599" s="4" t="s">
        <v>26</v>
      </c>
      <c r="G599" s="4" t="s">
        <v>1651</v>
      </c>
      <c r="H599" s="4" t="s">
        <v>1466</v>
      </c>
      <c r="I599" s="4" t="s">
        <v>216</v>
      </c>
      <c r="J599" s="4" t="s">
        <v>49</v>
      </c>
      <c r="K599" s="4" t="s">
        <v>31</v>
      </c>
      <c r="L599" s="5">
        <v>42499.958333333336</v>
      </c>
      <c r="M599" s="5">
        <v>42500.000694444447</v>
      </c>
      <c r="N599" s="5">
        <v>42500.041666666664</v>
      </c>
      <c r="O599" s="4" t="s">
        <v>32</v>
      </c>
      <c r="P599" s="4" t="s">
        <v>33</v>
      </c>
      <c r="Q599" s="4" t="s">
        <v>34</v>
      </c>
      <c r="R599" s="4" t="s">
        <v>1705</v>
      </c>
      <c r="S599" s="4" t="s">
        <v>1705</v>
      </c>
      <c r="T599" s="4" t="s">
        <v>36</v>
      </c>
      <c r="U599" s="4" t="s">
        <v>36</v>
      </c>
      <c r="V599" s="4" t="s">
        <v>1706</v>
      </c>
      <c r="W599" s="4" t="s">
        <v>37</v>
      </c>
      <c r="X599" s="4" t="s">
        <v>37</v>
      </c>
      <c r="Y599" s="4" t="s">
        <v>36</v>
      </c>
      <c r="Z599" s="4" t="s">
        <v>1707</v>
      </c>
      <c r="AA599" s="4"/>
    </row>
    <row r="600" spans="1:27" s="1" customFormat="1" x14ac:dyDescent="0.3">
      <c r="A600" s="19">
        <v>20062</v>
      </c>
      <c r="B600" s="4" t="s">
        <v>1708</v>
      </c>
      <c r="C600" s="4" t="s">
        <v>2111</v>
      </c>
      <c r="D600" s="5">
        <v>42487.637384259258</v>
      </c>
      <c r="E600" s="5" t="s">
        <v>2083</v>
      </c>
      <c r="F600" s="4" t="s">
        <v>26</v>
      </c>
      <c r="G600" s="4" t="s">
        <v>146</v>
      </c>
      <c r="H600" s="4" t="s">
        <v>1709</v>
      </c>
      <c r="I600" s="4" t="s">
        <v>48</v>
      </c>
      <c r="J600" s="4" t="s">
        <v>418</v>
      </c>
      <c r="K600" s="4" t="s">
        <v>31</v>
      </c>
      <c r="L600" s="5">
        <v>42488.916666666664</v>
      </c>
      <c r="M600" s="5">
        <v>42488.958333333336</v>
      </c>
      <c r="N600" s="5">
        <v>42489.041666666664</v>
      </c>
      <c r="O600" s="4" t="s">
        <v>710</v>
      </c>
      <c r="P600" s="4" t="s">
        <v>33</v>
      </c>
      <c r="Q600" s="4" t="s">
        <v>76</v>
      </c>
      <c r="R600" s="4" t="s">
        <v>1710</v>
      </c>
      <c r="S600" s="4" t="s">
        <v>1710</v>
      </c>
      <c r="T600" s="4" t="s">
        <v>37</v>
      </c>
      <c r="U600" s="4" t="s">
        <v>37</v>
      </c>
      <c r="V600" s="4" t="s">
        <v>1711</v>
      </c>
      <c r="W600" s="4" t="s">
        <v>37</v>
      </c>
      <c r="X600" s="4" t="s">
        <v>37</v>
      </c>
      <c r="Y600" s="4" t="s">
        <v>36</v>
      </c>
      <c r="Z600" s="4"/>
      <c r="AA600" s="4" t="s">
        <v>179</v>
      </c>
    </row>
    <row r="601" spans="1:27" s="1" customFormat="1" x14ac:dyDescent="0.3">
      <c r="A601" s="19">
        <v>20063</v>
      </c>
      <c r="B601" s="4" t="s">
        <v>1712</v>
      </c>
      <c r="C601" s="4">
        <v>0</v>
      </c>
      <c r="D601" s="5">
        <v>42487.669641203705</v>
      </c>
      <c r="E601" s="5" t="s">
        <v>2083</v>
      </c>
      <c r="F601" s="4" t="s">
        <v>26</v>
      </c>
      <c r="G601" s="4" t="s">
        <v>279</v>
      </c>
      <c r="H601" s="4" t="s">
        <v>729</v>
      </c>
      <c r="I601" s="4" t="s">
        <v>205</v>
      </c>
      <c r="J601" s="4" t="s">
        <v>49</v>
      </c>
      <c r="K601" s="4" t="s">
        <v>31</v>
      </c>
      <c r="L601" s="5">
        <v>42501.916666666664</v>
      </c>
      <c r="M601" s="5">
        <v>42502.166666666664</v>
      </c>
      <c r="N601" s="5">
        <v>42502.208333333336</v>
      </c>
      <c r="O601" s="4" t="s">
        <v>32</v>
      </c>
      <c r="P601" s="4" t="s">
        <v>33</v>
      </c>
      <c r="Q601" s="4" t="s">
        <v>50</v>
      </c>
      <c r="R601" s="4" t="s">
        <v>1713</v>
      </c>
      <c r="S601" s="4" t="s">
        <v>1713</v>
      </c>
      <c r="T601" s="4" t="s">
        <v>36</v>
      </c>
      <c r="U601" s="4" t="s">
        <v>36</v>
      </c>
      <c r="V601" s="4" t="s">
        <v>1714</v>
      </c>
      <c r="W601" s="4" t="s">
        <v>37</v>
      </c>
      <c r="X601" s="4" t="s">
        <v>37</v>
      </c>
      <c r="Y601" s="4" t="s">
        <v>36</v>
      </c>
      <c r="Z601" s="4"/>
      <c r="AA601" s="4"/>
    </row>
    <row r="602" spans="1:27" s="1" customFormat="1" x14ac:dyDescent="0.3">
      <c r="A602" s="19">
        <v>20067</v>
      </c>
      <c r="B602" s="4" t="s">
        <v>1269</v>
      </c>
      <c r="C602" s="4" t="s">
        <v>2140</v>
      </c>
      <c r="D602" s="5">
        <v>42488.380995370368</v>
      </c>
      <c r="E602" s="5" t="s">
        <v>2083</v>
      </c>
      <c r="F602" s="4" t="s">
        <v>26</v>
      </c>
      <c r="G602" s="4" t="s">
        <v>1270</v>
      </c>
      <c r="H602" s="4" t="s">
        <v>729</v>
      </c>
      <c r="I602" s="4" t="s">
        <v>203</v>
      </c>
      <c r="J602" s="4" t="s">
        <v>49</v>
      </c>
      <c r="K602" s="4" t="s">
        <v>31</v>
      </c>
      <c r="L602" s="5">
        <v>42499.916666666664</v>
      </c>
      <c r="M602" s="5">
        <v>42504.291666666664</v>
      </c>
      <c r="N602" s="5">
        <v>42504.3125</v>
      </c>
      <c r="O602" s="4" t="s">
        <v>32</v>
      </c>
      <c r="P602" s="4" t="s">
        <v>89</v>
      </c>
      <c r="Q602" s="4" t="s">
        <v>50</v>
      </c>
      <c r="R602" s="4" t="s">
        <v>1715</v>
      </c>
      <c r="S602" s="4" t="s">
        <v>1715</v>
      </c>
      <c r="T602" s="4" t="s">
        <v>36</v>
      </c>
      <c r="U602" s="4" t="s">
        <v>36</v>
      </c>
      <c r="V602" s="4" t="s">
        <v>1272</v>
      </c>
      <c r="W602" s="4" t="s">
        <v>37</v>
      </c>
      <c r="X602" s="4" t="s">
        <v>37</v>
      </c>
      <c r="Y602" s="4" t="s">
        <v>36</v>
      </c>
      <c r="Z602" s="4" t="s">
        <v>77</v>
      </c>
      <c r="AA602" s="4"/>
    </row>
    <row r="603" spans="1:27" s="1" customFormat="1" x14ac:dyDescent="0.3">
      <c r="A603" s="19">
        <v>20068</v>
      </c>
      <c r="B603" s="4" t="s">
        <v>1716</v>
      </c>
      <c r="C603" s="4">
        <v>0</v>
      </c>
      <c r="D603" s="5">
        <v>42488.409247685187</v>
      </c>
      <c r="E603" s="5" t="s">
        <v>2083</v>
      </c>
      <c r="F603" s="4" t="s">
        <v>26</v>
      </c>
      <c r="G603" s="4" t="s">
        <v>279</v>
      </c>
      <c r="H603" s="4" t="s">
        <v>729</v>
      </c>
      <c r="I603" s="4" t="s">
        <v>174</v>
      </c>
      <c r="J603" s="4" t="s">
        <v>49</v>
      </c>
      <c r="K603" s="4" t="s">
        <v>31</v>
      </c>
      <c r="L603" s="5">
        <v>42502.916666666664</v>
      </c>
      <c r="M603" s="5">
        <v>42503.166666666664</v>
      </c>
      <c r="N603" s="5">
        <v>42503.208333333336</v>
      </c>
      <c r="O603" s="4" t="s">
        <v>32</v>
      </c>
      <c r="P603" s="4" t="s">
        <v>33</v>
      </c>
      <c r="Q603" s="4" t="s">
        <v>50</v>
      </c>
      <c r="R603" s="4" t="s">
        <v>1717</v>
      </c>
      <c r="S603" s="4" t="s">
        <v>1717</v>
      </c>
      <c r="T603" s="4" t="s">
        <v>36</v>
      </c>
      <c r="U603" s="4" t="s">
        <v>36</v>
      </c>
      <c r="V603" s="4" t="s">
        <v>1714</v>
      </c>
      <c r="W603" s="4" t="s">
        <v>37</v>
      </c>
      <c r="X603" s="4" t="s">
        <v>37</v>
      </c>
      <c r="Y603" s="4" t="s">
        <v>36</v>
      </c>
      <c r="Z603" s="4"/>
      <c r="AA603" s="4"/>
    </row>
    <row r="604" spans="1:27" s="1" customFormat="1" x14ac:dyDescent="0.3">
      <c r="A604" s="19">
        <v>20070</v>
      </c>
      <c r="B604" s="4" t="s">
        <v>1718</v>
      </c>
      <c r="C604" s="4" t="s">
        <v>2111</v>
      </c>
      <c r="D604" s="5">
        <v>42488.510821759257</v>
      </c>
      <c r="E604" s="5" t="s">
        <v>2083</v>
      </c>
      <c r="F604" s="4" t="s">
        <v>26</v>
      </c>
      <c r="G604" s="4" t="s">
        <v>244</v>
      </c>
      <c r="H604" s="4" t="s">
        <v>244</v>
      </c>
      <c r="I604" s="4" t="s">
        <v>118</v>
      </c>
      <c r="J604" s="4" t="s">
        <v>30</v>
      </c>
      <c r="K604" s="4" t="s">
        <v>31</v>
      </c>
      <c r="L604" s="5">
        <v>42488.916666666664</v>
      </c>
      <c r="M604" s="5">
        <v>42489.5</v>
      </c>
      <c r="N604" s="5">
        <v>42489.75</v>
      </c>
      <c r="O604" s="4" t="s">
        <v>710</v>
      </c>
      <c r="P604" s="4" t="s">
        <v>33</v>
      </c>
      <c r="Q604" s="4" t="s">
        <v>76</v>
      </c>
      <c r="R604" s="6" t="s">
        <v>77</v>
      </c>
      <c r="S604" s="4" t="s">
        <v>517</v>
      </c>
      <c r="T604" s="4" t="s">
        <v>37</v>
      </c>
      <c r="U604" s="4" t="s">
        <v>37</v>
      </c>
      <c r="V604" s="4" t="s">
        <v>365</v>
      </c>
      <c r="W604" s="4" t="s">
        <v>37</v>
      </c>
      <c r="X604" s="4" t="s">
        <v>37</v>
      </c>
      <c r="Y604" s="4" t="s">
        <v>36</v>
      </c>
      <c r="Z604" s="4"/>
      <c r="AA604" s="4" t="s">
        <v>179</v>
      </c>
    </row>
    <row r="605" spans="1:27" s="1" customFormat="1" x14ac:dyDescent="0.3">
      <c r="A605" s="19">
        <v>20071</v>
      </c>
      <c r="B605" s="4" t="s">
        <v>1719</v>
      </c>
      <c r="C605" s="4" t="s">
        <v>2111</v>
      </c>
      <c r="D605" s="5">
        <v>42488.634953703702</v>
      </c>
      <c r="E605" s="5" t="s">
        <v>2083</v>
      </c>
      <c r="F605" s="4" t="s">
        <v>26</v>
      </c>
      <c r="G605" s="4" t="s">
        <v>289</v>
      </c>
      <c r="H605" s="4" t="s">
        <v>922</v>
      </c>
      <c r="I605" s="4" t="s">
        <v>118</v>
      </c>
      <c r="J605" s="4" t="s">
        <v>30</v>
      </c>
      <c r="K605" s="4" t="s">
        <v>31</v>
      </c>
      <c r="L605" s="5">
        <v>42488.916666666664</v>
      </c>
      <c r="M605" s="5">
        <v>42489.5</v>
      </c>
      <c r="N605" s="5">
        <v>42489.75</v>
      </c>
      <c r="O605" s="4" t="s">
        <v>710</v>
      </c>
      <c r="P605" s="4" t="s">
        <v>89</v>
      </c>
      <c r="Q605" s="4" t="s">
        <v>76</v>
      </c>
      <c r="R605" s="4" t="s">
        <v>1720</v>
      </c>
      <c r="S605" s="4" t="s">
        <v>1720</v>
      </c>
      <c r="T605" s="4" t="s">
        <v>37</v>
      </c>
      <c r="U605" s="4" t="s">
        <v>37</v>
      </c>
      <c r="V605" s="4" t="s">
        <v>292</v>
      </c>
      <c r="W605" s="4" t="s">
        <v>37</v>
      </c>
      <c r="X605" s="4" t="s">
        <v>37</v>
      </c>
      <c r="Y605" s="4" t="s">
        <v>36</v>
      </c>
      <c r="Z605" s="4" t="s">
        <v>39</v>
      </c>
      <c r="AA605" s="4" t="s">
        <v>40</v>
      </c>
    </row>
    <row r="606" spans="1:27" s="1" customFormat="1" x14ac:dyDescent="0.3">
      <c r="A606" s="19">
        <v>20072</v>
      </c>
      <c r="B606" s="4" t="s">
        <v>1721</v>
      </c>
      <c r="C606" s="4">
        <v>0</v>
      </c>
      <c r="D606" s="5">
        <v>42488.671666666669</v>
      </c>
      <c r="E606" s="5" t="s">
        <v>2083</v>
      </c>
      <c r="F606" s="4" t="s">
        <v>26</v>
      </c>
      <c r="G606" s="4" t="s">
        <v>244</v>
      </c>
      <c r="H606" s="4" t="s">
        <v>922</v>
      </c>
      <c r="I606" s="4" t="s">
        <v>118</v>
      </c>
      <c r="J606" s="4" t="s">
        <v>30</v>
      </c>
      <c r="K606" s="4" t="s">
        <v>31</v>
      </c>
      <c r="L606" s="5">
        <v>42494.916666666664</v>
      </c>
      <c r="M606" s="5">
        <v>42495.5</v>
      </c>
      <c r="N606" s="5">
        <v>42495.75</v>
      </c>
      <c r="O606" s="4" t="s">
        <v>32</v>
      </c>
      <c r="P606" s="4" t="s">
        <v>33</v>
      </c>
      <c r="Q606" s="4" t="s">
        <v>50</v>
      </c>
      <c r="R606" s="6" t="s">
        <v>77</v>
      </c>
      <c r="S606" s="4" t="s">
        <v>1722</v>
      </c>
      <c r="T606" s="4" t="s">
        <v>36</v>
      </c>
      <c r="U606" s="4" t="s">
        <v>37</v>
      </c>
      <c r="V606" s="4" t="s">
        <v>365</v>
      </c>
      <c r="W606" s="4" t="s">
        <v>37</v>
      </c>
      <c r="X606" s="4" t="s">
        <v>37</v>
      </c>
      <c r="Y606" s="4" t="s">
        <v>36</v>
      </c>
      <c r="Z606" s="4"/>
      <c r="AA606" s="4" t="s">
        <v>179</v>
      </c>
    </row>
    <row r="607" spans="1:27" s="1" customFormat="1" x14ac:dyDescent="0.3">
      <c r="A607" s="19">
        <v>20073</v>
      </c>
      <c r="B607" s="4" t="s">
        <v>1723</v>
      </c>
      <c r="C607" s="4">
        <v>0</v>
      </c>
      <c r="D607" s="5">
        <v>42488.686574074076</v>
      </c>
      <c r="E607" s="5" t="s">
        <v>2083</v>
      </c>
      <c r="F607" s="4" t="s">
        <v>26</v>
      </c>
      <c r="G607" s="4" t="s">
        <v>244</v>
      </c>
      <c r="H607" s="4" t="s">
        <v>922</v>
      </c>
      <c r="I607" s="4" t="s">
        <v>118</v>
      </c>
      <c r="J607" s="4" t="s">
        <v>30</v>
      </c>
      <c r="K607" s="4" t="s">
        <v>31</v>
      </c>
      <c r="L607" s="5">
        <v>42494.916666666664</v>
      </c>
      <c r="M607" s="5">
        <v>42495.5</v>
      </c>
      <c r="N607" s="5">
        <v>42495.75</v>
      </c>
      <c r="O607" s="4" t="s">
        <v>32</v>
      </c>
      <c r="P607" s="4" t="s">
        <v>33</v>
      </c>
      <c r="Q607" s="4" t="s">
        <v>50</v>
      </c>
      <c r="R607" s="6" t="s">
        <v>77</v>
      </c>
      <c r="S607" s="4" t="s">
        <v>1724</v>
      </c>
      <c r="T607" s="4" t="s">
        <v>36</v>
      </c>
      <c r="U607" s="4" t="s">
        <v>37</v>
      </c>
      <c r="V607" s="4" t="s">
        <v>365</v>
      </c>
      <c r="W607" s="4" t="s">
        <v>37</v>
      </c>
      <c r="X607" s="4" t="s">
        <v>37</v>
      </c>
      <c r="Y607" s="4" t="s">
        <v>36</v>
      </c>
      <c r="Z607" s="4"/>
      <c r="AA607" s="4" t="s">
        <v>179</v>
      </c>
    </row>
    <row r="608" spans="1:27" s="1" customFormat="1" x14ac:dyDescent="0.3">
      <c r="A608" s="19">
        <v>20074</v>
      </c>
      <c r="B608" s="4" t="s">
        <v>1725</v>
      </c>
      <c r="C608" s="4" t="s">
        <v>2111</v>
      </c>
      <c r="D608" s="5">
        <v>42488.727175925924</v>
      </c>
      <c r="E608" s="5" t="s">
        <v>2083</v>
      </c>
      <c r="F608" s="4" t="s">
        <v>26</v>
      </c>
      <c r="G608" s="4" t="s">
        <v>559</v>
      </c>
      <c r="H608" s="4" t="s">
        <v>559</v>
      </c>
      <c r="I608" s="4" t="s">
        <v>158</v>
      </c>
      <c r="J608" s="4" t="s">
        <v>311</v>
      </c>
      <c r="K608" s="4" t="s">
        <v>31</v>
      </c>
      <c r="L608" s="5">
        <v>42509.416666666664</v>
      </c>
      <c r="M608" s="5">
        <v>42509.4375</v>
      </c>
      <c r="N608" s="5">
        <v>42509.458333333336</v>
      </c>
      <c r="O608" s="4" t="s">
        <v>710</v>
      </c>
      <c r="P608" s="4" t="s">
        <v>33</v>
      </c>
      <c r="Q608" s="4" t="s">
        <v>76</v>
      </c>
      <c r="R608" s="4" t="s">
        <v>1726</v>
      </c>
      <c r="S608" s="4" t="s">
        <v>1726</v>
      </c>
      <c r="T608" s="4" t="s">
        <v>36</v>
      </c>
      <c r="U608" s="4" t="s">
        <v>37</v>
      </c>
      <c r="V608" s="4" t="s">
        <v>1727</v>
      </c>
      <c r="W608" s="4" t="s">
        <v>37</v>
      </c>
      <c r="X608" s="4" t="s">
        <v>37</v>
      </c>
      <c r="Y608" s="4" t="s">
        <v>36</v>
      </c>
      <c r="Z608" s="4"/>
      <c r="AA608" s="4"/>
    </row>
    <row r="609" spans="1:27" s="1" customFormat="1" x14ac:dyDescent="0.3">
      <c r="A609" s="19">
        <v>20077</v>
      </c>
      <c r="B609" s="4" t="s">
        <v>1728</v>
      </c>
      <c r="C609" s="4">
        <v>0</v>
      </c>
      <c r="D609" s="5">
        <v>42489.404085648152</v>
      </c>
      <c r="E609" s="5" t="s">
        <v>2083</v>
      </c>
      <c r="F609" s="4" t="s">
        <v>26</v>
      </c>
      <c r="G609" s="4" t="s">
        <v>279</v>
      </c>
      <c r="H609" s="4" t="s">
        <v>1729</v>
      </c>
      <c r="I609" s="4" t="s">
        <v>48</v>
      </c>
      <c r="J609" s="4" t="s">
        <v>49</v>
      </c>
      <c r="K609" s="4" t="s">
        <v>31</v>
      </c>
      <c r="L609" s="5">
        <v>42500.916666666664</v>
      </c>
      <c r="M609" s="5">
        <v>42501.125</v>
      </c>
      <c r="N609" s="5">
        <v>42501.208333333336</v>
      </c>
      <c r="O609" s="4" t="s">
        <v>32</v>
      </c>
      <c r="P609" s="4" t="s">
        <v>33</v>
      </c>
      <c r="Q609" s="4" t="s">
        <v>50</v>
      </c>
      <c r="R609" s="4" t="s">
        <v>1730</v>
      </c>
      <c r="S609" s="4" t="s">
        <v>1730</v>
      </c>
      <c r="T609" s="4" t="s">
        <v>36</v>
      </c>
      <c r="U609" s="4" t="s">
        <v>36</v>
      </c>
      <c r="V609" s="4" t="s">
        <v>1731</v>
      </c>
      <c r="W609" s="4" t="s">
        <v>37</v>
      </c>
      <c r="X609" s="4" t="s">
        <v>37</v>
      </c>
      <c r="Y609" s="4" t="s">
        <v>36</v>
      </c>
      <c r="Z609" s="4"/>
      <c r="AA609" s="4"/>
    </row>
    <row r="610" spans="1:27" s="1" customFormat="1" x14ac:dyDescent="0.3">
      <c r="A610" s="19">
        <v>20080</v>
      </c>
      <c r="B610" s="4" t="s">
        <v>848</v>
      </c>
      <c r="C610" s="4">
        <v>0</v>
      </c>
      <c r="D610" s="5">
        <v>42489.436157407406</v>
      </c>
      <c r="E610" s="5" t="s">
        <v>2083</v>
      </c>
      <c r="F610" s="4" t="s">
        <v>26</v>
      </c>
      <c r="G610" s="4" t="s">
        <v>849</v>
      </c>
      <c r="H610" s="4" t="s">
        <v>849</v>
      </c>
      <c r="I610" s="4" t="s">
        <v>218</v>
      </c>
      <c r="J610" s="4" t="s">
        <v>185</v>
      </c>
      <c r="K610" s="4" t="s">
        <v>31</v>
      </c>
      <c r="L610" s="5">
        <v>42503.916666666664</v>
      </c>
      <c r="M610" s="5">
        <v>42505.208333333336</v>
      </c>
      <c r="N610" s="5">
        <v>42505.25</v>
      </c>
      <c r="O610" s="4" t="s">
        <v>32</v>
      </c>
      <c r="P610" s="4" t="s">
        <v>33</v>
      </c>
      <c r="Q610" s="4" t="s">
        <v>76</v>
      </c>
      <c r="R610" s="4" t="s">
        <v>850</v>
      </c>
      <c r="S610" s="4" t="s">
        <v>850</v>
      </c>
      <c r="T610" s="4" t="s">
        <v>37</v>
      </c>
      <c r="U610" s="4" t="s">
        <v>37</v>
      </c>
      <c r="V610" s="4" t="s">
        <v>659</v>
      </c>
      <c r="W610" s="4" t="s">
        <v>37</v>
      </c>
      <c r="X610" s="4" t="s">
        <v>37</v>
      </c>
      <c r="Y610" s="4" t="s">
        <v>36</v>
      </c>
      <c r="Z610" s="4"/>
      <c r="AA610" s="4" t="s">
        <v>187</v>
      </c>
    </row>
    <row r="611" spans="1:27" s="1" customFormat="1" x14ac:dyDescent="0.3">
      <c r="A611" s="19">
        <v>20081</v>
      </c>
      <c r="B611" s="4" t="s">
        <v>1732</v>
      </c>
      <c r="C611" s="4">
        <v>0</v>
      </c>
      <c r="D611" s="5">
        <v>42489.475486111114</v>
      </c>
      <c r="E611" s="5" t="s">
        <v>2083</v>
      </c>
      <c r="F611" s="4" t="s">
        <v>26</v>
      </c>
      <c r="G611" s="4" t="s">
        <v>1115</v>
      </c>
      <c r="H611" s="4" t="s">
        <v>1733</v>
      </c>
      <c r="I611" s="4" t="s">
        <v>203</v>
      </c>
      <c r="J611" s="4" t="s">
        <v>49</v>
      </c>
      <c r="K611" s="4" t="s">
        <v>31</v>
      </c>
      <c r="L611" s="5">
        <v>42512.416666666664</v>
      </c>
      <c r="M611" s="5">
        <v>42513.156944444447</v>
      </c>
      <c r="N611" s="5">
        <v>42513.156944444447</v>
      </c>
      <c r="O611" s="4" t="s">
        <v>32</v>
      </c>
      <c r="P611" s="4" t="s">
        <v>33</v>
      </c>
      <c r="Q611" s="4" t="s">
        <v>34</v>
      </c>
      <c r="R611" s="4" t="s">
        <v>1734</v>
      </c>
      <c r="S611" s="4" t="s">
        <v>1735</v>
      </c>
      <c r="T611" s="4" t="s">
        <v>36</v>
      </c>
      <c r="U611" s="4" t="s">
        <v>36</v>
      </c>
      <c r="V611" s="4" t="s">
        <v>1118</v>
      </c>
      <c r="W611" s="4" t="s">
        <v>37</v>
      </c>
      <c r="X611" s="4" t="s">
        <v>37</v>
      </c>
      <c r="Y611" s="4" t="s">
        <v>36</v>
      </c>
      <c r="Z611" s="4"/>
      <c r="AA611" s="4"/>
    </row>
    <row r="612" spans="1:27" s="1" customFormat="1" x14ac:dyDescent="0.3">
      <c r="A612" s="19">
        <v>20082</v>
      </c>
      <c r="B612" s="4" t="s">
        <v>1396</v>
      </c>
      <c r="C612" s="4">
        <v>0</v>
      </c>
      <c r="D612" s="5">
        <v>42489.51462962963</v>
      </c>
      <c r="E612" s="5" t="s">
        <v>2083</v>
      </c>
      <c r="F612" s="4" t="s">
        <v>26</v>
      </c>
      <c r="G612" s="4" t="s">
        <v>342</v>
      </c>
      <c r="H612" s="4" t="s">
        <v>342</v>
      </c>
      <c r="I612" s="4" t="s">
        <v>68</v>
      </c>
      <c r="J612" s="4" t="s">
        <v>1736</v>
      </c>
      <c r="K612" s="4" t="s">
        <v>31</v>
      </c>
      <c r="L612" s="5">
        <v>42512.333333333336</v>
      </c>
      <c r="M612" s="5">
        <v>42512.583333333336</v>
      </c>
      <c r="N612" s="5">
        <v>42513.208333333336</v>
      </c>
      <c r="O612" s="4" t="s">
        <v>32</v>
      </c>
      <c r="P612" s="4" t="s">
        <v>33</v>
      </c>
      <c r="Q612" s="4" t="s">
        <v>34</v>
      </c>
      <c r="R612" s="4" t="s">
        <v>344</v>
      </c>
      <c r="S612" s="4" t="s">
        <v>344</v>
      </c>
      <c r="T612" s="4" t="s">
        <v>36</v>
      </c>
      <c r="U612" s="4" t="s">
        <v>37</v>
      </c>
      <c r="V612" s="4" t="s">
        <v>345</v>
      </c>
      <c r="W612" s="4" t="s">
        <v>37</v>
      </c>
      <c r="X612" s="4" t="s">
        <v>37</v>
      </c>
      <c r="Y612" s="4" t="s">
        <v>36</v>
      </c>
      <c r="Z612" s="4"/>
      <c r="AA612" s="4" t="s">
        <v>179</v>
      </c>
    </row>
    <row r="613" spans="1:27" s="1" customFormat="1" x14ac:dyDescent="0.3">
      <c r="A613" s="19">
        <v>20083</v>
      </c>
      <c r="B613" s="4" t="s">
        <v>1737</v>
      </c>
      <c r="C613" s="4" t="s">
        <v>2111</v>
      </c>
      <c r="D613" s="5">
        <v>42489.5153587963</v>
      </c>
      <c r="E613" s="5" t="s">
        <v>2083</v>
      </c>
      <c r="F613" s="4" t="s">
        <v>26</v>
      </c>
      <c r="G613" s="4" t="s">
        <v>1738</v>
      </c>
      <c r="H613" s="4" t="s">
        <v>1738</v>
      </c>
      <c r="I613" s="4" t="s">
        <v>203</v>
      </c>
      <c r="J613" s="4" t="s">
        <v>49</v>
      </c>
      <c r="K613" s="4" t="s">
        <v>31</v>
      </c>
      <c r="L613" s="5">
        <v>42490.5</v>
      </c>
      <c r="M613" s="5">
        <v>42490.729166666664</v>
      </c>
      <c r="N613" s="5">
        <v>42490.958333333336</v>
      </c>
      <c r="O613" s="4" t="s">
        <v>710</v>
      </c>
      <c r="P613" s="4" t="s">
        <v>33</v>
      </c>
      <c r="Q613" s="4" t="s">
        <v>76</v>
      </c>
      <c r="R613" s="6" t="s">
        <v>77</v>
      </c>
      <c r="S613" s="6" t="s">
        <v>77</v>
      </c>
      <c r="T613" s="4" t="s">
        <v>36</v>
      </c>
      <c r="U613" s="4" t="s">
        <v>37</v>
      </c>
      <c r="V613" s="4" t="s">
        <v>1739</v>
      </c>
      <c r="W613" s="4" t="s">
        <v>37</v>
      </c>
      <c r="X613" s="4" t="s">
        <v>37</v>
      </c>
      <c r="Y613" s="4" t="s">
        <v>37</v>
      </c>
      <c r="Z613" s="4" t="s">
        <v>1740</v>
      </c>
      <c r="AA613" s="4"/>
    </row>
    <row r="614" spans="1:27" s="1" customFormat="1" x14ac:dyDescent="0.3">
      <c r="A614" s="19">
        <v>20085</v>
      </c>
      <c r="B614" s="4" t="s">
        <v>1741</v>
      </c>
      <c r="C614" s="4" t="s">
        <v>2183</v>
      </c>
      <c r="D614" s="5">
        <v>42489.531111111108</v>
      </c>
      <c r="E614" s="5" t="s">
        <v>2083</v>
      </c>
      <c r="F614" s="4" t="s">
        <v>26</v>
      </c>
      <c r="G614" s="4" t="s">
        <v>1604</v>
      </c>
      <c r="H614" s="4" t="s">
        <v>1604</v>
      </c>
      <c r="I614" s="4" t="s">
        <v>161</v>
      </c>
      <c r="J614" s="4" t="s">
        <v>162</v>
      </c>
      <c r="K614" s="4" t="s">
        <v>31</v>
      </c>
      <c r="L614" s="5">
        <v>42505.25</v>
      </c>
      <c r="M614" s="5">
        <v>42505.833333333336</v>
      </c>
      <c r="N614" s="5">
        <v>42506</v>
      </c>
      <c r="O614" s="4" t="s">
        <v>32</v>
      </c>
      <c r="P614" s="4" t="s">
        <v>33</v>
      </c>
      <c r="Q614" s="4" t="s">
        <v>76</v>
      </c>
      <c r="R614" s="6" t="s">
        <v>77</v>
      </c>
      <c r="S614" s="4"/>
      <c r="T614" s="4" t="s">
        <v>36</v>
      </c>
      <c r="U614" s="4" t="s">
        <v>37</v>
      </c>
      <c r="V614" s="4" t="s">
        <v>1606</v>
      </c>
      <c r="W614" s="4" t="s">
        <v>37</v>
      </c>
      <c r="X614" s="4" t="s">
        <v>37</v>
      </c>
      <c r="Y614" s="4" t="s">
        <v>36</v>
      </c>
      <c r="Z614" s="4"/>
      <c r="AA614" s="4"/>
    </row>
    <row r="615" spans="1:27" s="1" customFormat="1" x14ac:dyDescent="0.3">
      <c r="A615" s="19">
        <v>20090</v>
      </c>
      <c r="B615" s="4" t="s">
        <v>1742</v>
      </c>
      <c r="C615" s="4">
        <v>0</v>
      </c>
      <c r="D615" s="5">
        <v>42489.703402777777</v>
      </c>
      <c r="E615" s="5" t="s">
        <v>2083</v>
      </c>
      <c r="F615" s="4" t="s">
        <v>26</v>
      </c>
      <c r="G615" s="4" t="s">
        <v>849</v>
      </c>
      <c r="H615" s="4" t="s">
        <v>849</v>
      </c>
      <c r="I615" s="4" t="s">
        <v>215</v>
      </c>
      <c r="J615" s="4" t="s">
        <v>543</v>
      </c>
      <c r="K615" s="4" t="s">
        <v>31</v>
      </c>
      <c r="L615" s="5">
        <v>42489.979166666664</v>
      </c>
      <c r="M615" s="5">
        <v>42490.25</v>
      </c>
      <c r="N615" s="5">
        <v>42490.291666666664</v>
      </c>
      <c r="O615" s="4" t="s">
        <v>250</v>
      </c>
      <c r="P615" s="4" t="s">
        <v>89</v>
      </c>
      <c r="Q615" s="4" t="s">
        <v>119</v>
      </c>
      <c r="R615" s="4" t="s">
        <v>1743</v>
      </c>
      <c r="S615" s="4" t="s">
        <v>1743</v>
      </c>
      <c r="T615" s="4" t="s">
        <v>36</v>
      </c>
      <c r="U615" s="4" t="s">
        <v>37</v>
      </c>
      <c r="V615" s="4" t="s">
        <v>1744</v>
      </c>
      <c r="W615" s="4" t="s">
        <v>37</v>
      </c>
      <c r="X615" s="4" t="s">
        <v>37</v>
      </c>
      <c r="Y615" s="4" t="s">
        <v>36</v>
      </c>
      <c r="Z615" s="4" t="s">
        <v>1745</v>
      </c>
      <c r="AA615" s="4"/>
    </row>
    <row r="616" spans="1:27" s="1" customFormat="1" x14ac:dyDescent="0.3">
      <c r="A616" s="19">
        <v>20092</v>
      </c>
      <c r="B616" s="4" t="s">
        <v>1746</v>
      </c>
      <c r="C616" s="4" t="s">
        <v>2112</v>
      </c>
      <c r="D616" s="5">
        <v>42489.708379629628</v>
      </c>
      <c r="E616" s="5" t="s">
        <v>2083</v>
      </c>
      <c r="F616" s="4" t="s">
        <v>26</v>
      </c>
      <c r="G616" s="4" t="s">
        <v>712</v>
      </c>
      <c r="H616" s="4" t="s">
        <v>712</v>
      </c>
      <c r="I616" s="4" t="s">
        <v>203</v>
      </c>
      <c r="J616" s="4" t="s">
        <v>49</v>
      </c>
      <c r="K616" s="4" t="s">
        <v>31</v>
      </c>
      <c r="L616" s="5">
        <v>42505.375</v>
      </c>
      <c r="M616" s="5">
        <v>42505.625</v>
      </c>
      <c r="N616" s="5">
        <v>42506.416666666664</v>
      </c>
      <c r="O616" s="4" t="s">
        <v>32</v>
      </c>
      <c r="P616" s="4" t="s">
        <v>89</v>
      </c>
      <c r="Q616" s="4" t="s">
        <v>76</v>
      </c>
      <c r="R616" s="4" t="s">
        <v>337</v>
      </c>
      <c r="S616" s="4" t="s">
        <v>337</v>
      </c>
      <c r="T616" s="4" t="s">
        <v>36</v>
      </c>
      <c r="U616" s="4" t="s">
        <v>36</v>
      </c>
      <c r="V616" s="4" t="s">
        <v>338</v>
      </c>
      <c r="W616" s="4" t="s">
        <v>37</v>
      </c>
      <c r="X616" s="4" t="s">
        <v>37</v>
      </c>
      <c r="Y616" s="4" t="s">
        <v>36</v>
      </c>
      <c r="Z616" s="4" t="s">
        <v>39</v>
      </c>
      <c r="AA616" s="4"/>
    </row>
    <row r="617" spans="1:27" s="1" customFormat="1" x14ac:dyDescent="0.3">
      <c r="A617" s="19">
        <v>20097</v>
      </c>
      <c r="B617" s="4" t="s">
        <v>1269</v>
      </c>
      <c r="C617" s="4" t="s">
        <v>2140</v>
      </c>
      <c r="D617" s="5">
        <v>42492.41747685185</v>
      </c>
      <c r="E617" s="5" t="s">
        <v>2084</v>
      </c>
      <c r="F617" s="4" t="s">
        <v>26</v>
      </c>
      <c r="G617" s="4" t="s">
        <v>1270</v>
      </c>
      <c r="H617" s="4" t="s">
        <v>729</v>
      </c>
      <c r="I617" s="4" t="s">
        <v>203</v>
      </c>
      <c r="J617" s="4" t="s">
        <v>49</v>
      </c>
      <c r="K617" s="4" t="s">
        <v>31</v>
      </c>
      <c r="L617" s="5">
        <v>42506.916666666664</v>
      </c>
      <c r="M617" s="5">
        <v>42511.291666666664</v>
      </c>
      <c r="N617" s="5">
        <v>42511.3125</v>
      </c>
      <c r="O617" s="4" t="s">
        <v>32</v>
      </c>
      <c r="P617" s="4" t="s">
        <v>89</v>
      </c>
      <c r="Q617" s="4" t="s">
        <v>50</v>
      </c>
      <c r="R617" s="4" t="s">
        <v>1747</v>
      </c>
      <c r="S617" s="4" t="s">
        <v>1747</v>
      </c>
      <c r="T617" s="4" t="s">
        <v>36</v>
      </c>
      <c r="U617" s="4" t="s">
        <v>36</v>
      </c>
      <c r="V617" s="4" t="s">
        <v>1272</v>
      </c>
      <c r="W617" s="4" t="s">
        <v>37</v>
      </c>
      <c r="X617" s="4" t="s">
        <v>37</v>
      </c>
      <c r="Y617" s="4" t="s">
        <v>36</v>
      </c>
      <c r="Z617" s="4" t="s">
        <v>77</v>
      </c>
      <c r="AA617" s="4"/>
    </row>
    <row r="618" spans="1:27" s="1" customFormat="1" x14ac:dyDescent="0.3">
      <c r="A618" s="19">
        <v>20098</v>
      </c>
      <c r="B618" s="4" t="s">
        <v>1748</v>
      </c>
      <c r="C618" s="4">
        <v>0</v>
      </c>
      <c r="D618" s="5">
        <v>42492.43949074074</v>
      </c>
      <c r="E618" s="5" t="s">
        <v>2084</v>
      </c>
      <c r="F618" s="4" t="s">
        <v>26</v>
      </c>
      <c r="G618" s="4" t="s">
        <v>98</v>
      </c>
      <c r="H618" s="4" t="s">
        <v>98</v>
      </c>
      <c r="I618" s="4" t="s">
        <v>88</v>
      </c>
      <c r="J618" s="4" t="s">
        <v>99</v>
      </c>
      <c r="K618" s="4" t="s">
        <v>31</v>
      </c>
      <c r="L618" s="5">
        <v>42505.25</v>
      </c>
      <c r="M618" s="5">
        <v>42505.5</v>
      </c>
      <c r="N618" s="5">
        <v>42505.5</v>
      </c>
      <c r="O618" s="4" t="s">
        <v>32</v>
      </c>
      <c r="P618" s="4" t="s">
        <v>33</v>
      </c>
      <c r="Q618" s="4" t="s">
        <v>34</v>
      </c>
      <c r="R618" s="6" t="s">
        <v>77</v>
      </c>
      <c r="S618" s="6" t="s">
        <v>77</v>
      </c>
      <c r="T618" s="4" t="s">
        <v>37</v>
      </c>
      <c r="U618" s="4" t="s">
        <v>37</v>
      </c>
      <c r="V618" s="4" t="s">
        <v>1749</v>
      </c>
      <c r="W618" s="4" t="s">
        <v>37</v>
      </c>
      <c r="X618" s="4" t="s">
        <v>37</v>
      </c>
      <c r="Y618" s="4" t="s">
        <v>36</v>
      </c>
      <c r="Z618" s="4">
        <v>0</v>
      </c>
      <c r="AA618" s="4" t="s">
        <v>255</v>
      </c>
    </row>
    <row r="619" spans="1:27" s="1" customFormat="1" x14ac:dyDescent="0.3">
      <c r="A619" s="19">
        <v>20099</v>
      </c>
      <c r="B619" s="4" t="s">
        <v>651</v>
      </c>
      <c r="C619" s="4">
        <v>0</v>
      </c>
      <c r="D619" s="5">
        <v>42492.452222222222</v>
      </c>
      <c r="E619" s="5" t="s">
        <v>2084</v>
      </c>
      <c r="F619" s="4" t="s">
        <v>26</v>
      </c>
      <c r="G619" s="4" t="s">
        <v>652</v>
      </c>
      <c r="H619" s="4" t="s">
        <v>652</v>
      </c>
      <c r="I619" s="4" t="s">
        <v>221</v>
      </c>
      <c r="J619" s="4" t="s">
        <v>30</v>
      </c>
      <c r="K619" s="4" t="s">
        <v>31</v>
      </c>
      <c r="L619" s="5">
        <v>42502.916666666664</v>
      </c>
      <c r="M619" s="5">
        <v>42503.208333333336</v>
      </c>
      <c r="N619" s="5">
        <v>42503.25</v>
      </c>
      <c r="O619" s="4" t="s">
        <v>32</v>
      </c>
      <c r="P619" s="4" t="s">
        <v>33</v>
      </c>
      <c r="Q619" s="4" t="s">
        <v>34</v>
      </c>
      <c r="R619" s="4" t="s">
        <v>653</v>
      </c>
      <c r="S619" s="4" t="s">
        <v>653</v>
      </c>
      <c r="T619" s="4" t="s">
        <v>36</v>
      </c>
      <c r="U619" s="4" t="s">
        <v>37</v>
      </c>
      <c r="V619" s="4" t="s">
        <v>654</v>
      </c>
      <c r="W619" s="4" t="s">
        <v>37</v>
      </c>
      <c r="X619" s="4" t="s">
        <v>37</v>
      </c>
      <c r="Y619" s="4" t="s">
        <v>36</v>
      </c>
      <c r="Z619" s="4"/>
      <c r="AA619" s="4" t="s">
        <v>93</v>
      </c>
    </row>
    <row r="620" spans="1:27" s="1" customFormat="1" x14ac:dyDescent="0.3">
      <c r="A620" s="19">
        <v>20101</v>
      </c>
      <c r="B620" s="4" t="s">
        <v>1750</v>
      </c>
      <c r="C620" s="4" t="s">
        <v>1750</v>
      </c>
      <c r="D620" s="5">
        <v>42492.49627314815</v>
      </c>
      <c r="E620" s="5" t="s">
        <v>2084</v>
      </c>
      <c r="F620" s="4" t="s">
        <v>26</v>
      </c>
      <c r="G620" s="4" t="s">
        <v>74</v>
      </c>
      <c r="H620" s="4" t="s">
        <v>74</v>
      </c>
      <c r="I620" s="4" t="s">
        <v>75</v>
      </c>
      <c r="J620" s="4" t="s">
        <v>49</v>
      </c>
      <c r="K620" s="4" t="s">
        <v>31</v>
      </c>
      <c r="L620" s="5">
        <v>42515.875</v>
      </c>
      <c r="M620" s="5">
        <v>42515.958333333336</v>
      </c>
      <c r="N620" s="5">
        <v>42517.333333333336</v>
      </c>
      <c r="O620" s="4" t="s">
        <v>32</v>
      </c>
      <c r="P620" s="4" t="s">
        <v>33</v>
      </c>
      <c r="Q620" s="4" t="s">
        <v>76</v>
      </c>
      <c r="R620" s="6" t="s">
        <v>77</v>
      </c>
      <c r="S620" s="4" t="s">
        <v>1405</v>
      </c>
      <c r="T620" s="4" t="s">
        <v>37</v>
      </c>
      <c r="U620" s="4" t="s">
        <v>37</v>
      </c>
      <c r="V620" s="4" t="s">
        <v>1751</v>
      </c>
      <c r="W620" s="4" t="s">
        <v>37</v>
      </c>
      <c r="X620" s="4" t="s">
        <v>37</v>
      </c>
      <c r="Y620" s="4" t="s">
        <v>36</v>
      </c>
      <c r="Z620" s="4" t="s">
        <v>39</v>
      </c>
      <c r="AA620" s="4"/>
    </row>
    <row r="621" spans="1:27" s="1" customFormat="1" x14ac:dyDescent="0.3">
      <c r="A621" s="19">
        <v>20102</v>
      </c>
      <c r="B621" s="4" t="s">
        <v>1752</v>
      </c>
      <c r="C621" s="4" t="s">
        <v>39</v>
      </c>
      <c r="D621" s="5">
        <v>42492.57372685185</v>
      </c>
      <c r="E621" s="5" t="s">
        <v>2084</v>
      </c>
      <c r="F621" s="4" t="s">
        <v>26</v>
      </c>
      <c r="G621" s="4" t="s">
        <v>349</v>
      </c>
      <c r="H621" s="4" t="s">
        <v>349</v>
      </c>
      <c r="I621" s="4" t="s">
        <v>29</v>
      </c>
      <c r="J621" s="4" t="s">
        <v>30</v>
      </c>
      <c r="K621" s="4" t="s">
        <v>31</v>
      </c>
      <c r="L621" s="5">
        <v>42501.916666666664</v>
      </c>
      <c r="M621" s="5">
        <v>42502.208333333336</v>
      </c>
      <c r="N621" s="5">
        <v>42502.291666666664</v>
      </c>
      <c r="O621" s="4" t="s">
        <v>32</v>
      </c>
      <c r="P621" s="4" t="s">
        <v>33</v>
      </c>
      <c r="Q621" s="4" t="s">
        <v>76</v>
      </c>
      <c r="R621" s="4" t="s">
        <v>625</v>
      </c>
      <c r="S621" s="6" t="s">
        <v>77</v>
      </c>
      <c r="T621" s="4" t="s">
        <v>36</v>
      </c>
      <c r="U621" s="4" t="s">
        <v>37</v>
      </c>
      <c r="V621" s="4" t="s">
        <v>1221</v>
      </c>
      <c r="W621" s="4" t="s">
        <v>37</v>
      </c>
      <c r="X621" s="4" t="s">
        <v>37</v>
      </c>
      <c r="Y621" s="4" t="s">
        <v>36</v>
      </c>
      <c r="Z621" s="4" t="s">
        <v>39</v>
      </c>
      <c r="AA621" s="4" t="s">
        <v>40</v>
      </c>
    </row>
    <row r="622" spans="1:27" s="1" customFormat="1" x14ac:dyDescent="0.3">
      <c r="A622" s="19">
        <v>20103</v>
      </c>
      <c r="B622" s="4" t="s">
        <v>1753</v>
      </c>
      <c r="C622" s="4" t="s">
        <v>1791</v>
      </c>
      <c r="D622" s="5">
        <v>42492.685844907406</v>
      </c>
      <c r="E622" s="5" t="s">
        <v>2084</v>
      </c>
      <c r="F622" s="4" t="s">
        <v>26</v>
      </c>
      <c r="G622" s="4" t="s">
        <v>289</v>
      </c>
      <c r="H622" s="4" t="s">
        <v>922</v>
      </c>
      <c r="I622" s="4" t="s">
        <v>118</v>
      </c>
      <c r="J622" s="4" t="s">
        <v>30</v>
      </c>
      <c r="K622" s="4" t="s">
        <v>31</v>
      </c>
      <c r="L622" s="5">
        <v>42493.916666666664</v>
      </c>
      <c r="M622" s="5">
        <v>42494.5</v>
      </c>
      <c r="N622" s="5">
        <v>42494.75</v>
      </c>
      <c r="O622" s="4" t="s">
        <v>250</v>
      </c>
      <c r="P622" s="4" t="s">
        <v>149</v>
      </c>
      <c r="Q622" s="4" t="s">
        <v>119</v>
      </c>
      <c r="R622" s="4" t="s">
        <v>291</v>
      </c>
      <c r="S622" s="4" t="s">
        <v>291</v>
      </c>
      <c r="T622" s="4" t="s">
        <v>37</v>
      </c>
      <c r="U622" s="4" t="s">
        <v>37</v>
      </c>
      <c r="V622" s="4" t="s">
        <v>292</v>
      </c>
      <c r="W622" s="4" t="s">
        <v>37</v>
      </c>
      <c r="X622" s="4" t="s">
        <v>37</v>
      </c>
      <c r="Y622" s="4" t="s">
        <v>36</v>
      </c>
      <c r="Z622" s="4"/>
      <c r="AA622" s="4" t="s">
        <v>40</v>
      </c>
    </row>
    <row r="623" spans="1:27" s="1" customFormat="1" x14ac:dyDescent="0.3">
      <c r="A623" s="19">
        <v>20106</v>
      </c>
      <c r="B623" s="4" t="s">
        <v>1754</v>
      </c>
      <c r="C623" s="4" t="s">
        <v>2111</v>
      </c>
      <c r="D623" s="5">
        <v>42492.711655092593</v>
      </c>
      <c r="E623" s="5" t="s">
        <v>2084</v>
      </c>
      <c r="F623" s="4" t="s">
        <v>26</v>
      </c>
      <c r="G623" s="4" t="s">
        <v>1755</v>
      </c>
      <c r="H623" s="4" t="s">
        <v>1755</v>
      </c>
      <c r="I623" s="4" t="s">
        <v>203</v>
      </c>
      <c r="J623" s="4" t="s">
        <v>49</v>
      </c>
      <c r="K623" s="4" t="s">
        <v>31</v>
      </c>
      <c r="L623" s="5">
        <v>42493.583333333336</v>
      </c>
      <c r="M623" s="5">
        <v>42493.625</v>
      </c>
      <c r="N623" s="5">
        <v>42493.666666666664</v>
      </c>
      <c r="O623" s="4" t="s">
        <v>710</v>
      </c>
      <c r="P623" s="4" t="s">
        <v>33</v>
      </c>
      <c r="Q623" s="4" t="s">
        <v>76</v>
      </c>
      <c r="R623" s="6" t="s">
        <v>77</v>
      </c>
      <c r="S623" s="4" t="s">
        <v>1756</v>
      </c>
      <c r="T623" s="4" t="s">
        <v>37</v>
      </c>
      <c r="U623" s="4" t="s">
        <v>37</v>
      </c>
      <c r="V623" s="4" t="s">
        <v>1757</v>
      </c>
      <c r="W623" s="4" t="s">
        <v>37</v>
      </c>
      <c r="X623" s="4" t="s">
        <v>37</v>
      </c>
      <c r="Y623" s="4" t="s">
        <v>36</v>
      </c>
      <c r="Z623" s="4"/>
      <c r="AA623" s="4"/>
    </row>
    <row r="624" spans="1:27" s="1" customFormat="1" x14ac:dyDescent="0.3">
      <c r="A624" s="19">
        <v>20108</v>
      </c>
      <c r="B624" s="4" t="s">
        <v>1758</v>
      </c>
      <c r="C624" s="4" t="s">
        <v>2184</v>
      </c>
      <c r="D624" s="5">
        <v>42493.392372685186</v>
      </c>
      <c r="E624" s="5" t="s">
        <v>2084</v>
      </c>
      <c r="F624" s="4" t="s">
        <v>26</v>
      </c>
      <c r="G624" s="4" t="s">
        <v>513</v>
      </c>
      <c r="H624" s="4" t="s">
        <v>1322</v>
      </c>
      <c r="I624" s="4" t="s">
        <v>200</v>
      </c>
      <c r="J624" s="4" t="s">
        <v>30</v>
      </c>
      <c r="K624" s="4" t="s">
        <v>31</v>
      </c>
      <c r="L624" s="5">
        <v>42499.75</v>
      </c>
      <c r="M624" s="5">
        <v>42499.8125</v>
      </c>
      <c r="N624" s="5">
        <v>42499.8125</v>
      </c>
      <c r="O624" s="4" t="s">
        <v>32</v>
      </c>
      <c r="P624" s="4" t="s">
        <v>33</v>
      </c>
      <c r="Q624" s="4" t="s">
        <v>76</v>
      </c>
      <c r="R624" s="4" t="s">
        <v>1324</v>
      </c>
      <c r="S624" s="4" t="s">
        <v>1324</v>
      </c>
      <c r="T624" s="4" t="s">
        <v>36</v>
      </c>
      <c r="U624" s="4" t="s">
        <v>36</v>
      </c>
      <c r="V624" s="4" t="s">
        <v>1759</v>
      </c>
      <c r="W624" s="4" t="s">
        <v>37</v>
      </c>
      <c r="X624" s="4" t="s">
        <v>37</v>
      </c>
      <c r="Y624" s="4" t="s">
        <v>36</v>
      </c>
      <c r="Z624" s="4"/>
      <c r="AA624" s="4" t="s">
        <v>179</v>
      </c>
    </row>
    <row r="625" spans="1:27" s="1" customFormat="1" x14ac:dyDescent="0.3">
      <c r="A625" s="19">
        <v>20110</v>
      </c>
      <c r="B625" s="4" t="s">
        <v>1760</v>
      </c>
      <c r="C625" s="4">
        <v>0</v>
      </c>
      <c r="D625" s="5">
        <v>42493.460486111115</v>
      </c>
      <c r="E625" s="5" t="s">
        <v>2084</v>
      </c>
      <c r="F625" s="4" t="s">
        <v>26</v>
      </c>
      <c r="G625" s="4" t="s">
        <v>195</v>
      </c>
      <c r="H625" s="4" t="s">
        <v>195</v>
      </c>
      <c r="I625" s="4" t="s">
        <v>42</v>
      </c>
      <c r="J625" s="4" t="s">
        <v>30</v>
      </c>
      <c r="K625" s="4" t="s">
        <v>31</v>
      </c>
      <c r="L625" s="5">
        <v>42511.333333333336</v>
      </c>
      <c r="M625" s="5">
        <v>42511.5</v>
      </c>
      <c r="N625" s="5">
        <v>42513.583333333336</v>
      </c>
      <c r="O625" s="4" t="s">
        <v>32</v>
      </c>
      <c r="P625" s="4" t="s">
        <v>33</v>
      </c>
      <c r="Q625" s="4" t="s">
        <v>76</v>
      </c>
      <c r="R625" s="4" t="s">
        <v>658</v>
      </c>
      <c r="S625" s="4" t="s">
        <v>658</v>
      </c>
      <c r="T625" s="4" t="s">
        <v>37</v>
      </c>
      <c r="U625" s="4" t="s">
        <v>37</v>
      </c>
      <c r="V625" s="4" t="s">
        <v>1761</v>
      </c>
      <c r="W625" s="4" t="s">
        <v>37</v>
      </c>
      <c r="X625" s="4" t="s">
        <v>37</v>
      </c>
      <c r="Y625" s="4" t="s">
        <v>36</v>
      </c>
      <c r="Z625" s="4"/>
      <c r="AA625" s="4" t="s">
        <v>231</v>
      </c>
    </row>
    <row r="626" spans="1:27" s="1" customFormat="1" x14ac:dyDescent="0.3">
      <c r="A626" s="19">
        <v>20111</v>
      </c>
      <c r="B626" s="4" t="s">
        <v>1762</v>
      </c>
      <c r="C626" s="4">
        <v>0</v>
      </c>
      <c r="D626" s="5">
        <v>42493.464537037034</v>
      </c>
      <c r="E626" s="5" t="s">
        <v>2084</v>
      </c>
      <c r="F626" s="4" t="s">
        <v>26</v>
      </c>
      <c r="G626" s="4" t="s">
        <v>289</v>
      </c>
      <c r="H626" s="4" t="s">
        <v>922</v>
      </c>
      <c r="I626" s="4" t="s">
        <v>118</v>
      </c>
      <c r="J626" s="4" t="s">
        <v>30</v>
      </c>
      <c r="K626" s="4" t="s">
        <v>31</v>
      </c>
      <c r="L626" s="5">
        <v>42501.916666666664</v>
      </c>
      <c r="M626" s="5">
        <v>42502.5</v>
      </c>
      <c r="N626" s="5">
        <v>42502.75</v>
      </c>
      <c r="O626" s="4" t="s">
        <v>32</v>
      </c>
      <c r="P626" s="4" t="s">
        <v>33</v>
      </c>
      <c r="Q626" s="4" t="s">
        <v>50</v>
      </c>
      <c r="R626" s="4" t="s">
        <v>291</v>
      </c>
      <c r="S626" s="4" t="s">
        <v>291</v>
      </c>
      <c r="T626" s="4" t="s">
        <v>37</v>
      </c>
      <c r="U626" s="4" t="s">
        <v>37</v>
      </c>
      <c r="V626" s="4" t="s">
        <v>292</v>
      </c>
      <c r="W626" s="4"/>
      <c r="X626" s="4"/>
      <c r="Y626" s="4"/>
      <c r="Z626" s="4" t="s">
        <v>1763</v>
      </c>
      <c r="AA626" s="4" t="s">
        <v>93</v>
      </c>
    </row>
    <row r="627" spans="1:27" s="1" customFormat="1" x14ac:dyDescent="0.3">
      <c r="A627" s="19">
        <v>20112</v>
      </c>
      <c r="B627" s="4" t="s">
        <v>1521</v>
      </c>
      <c r="C627" s="4">
        <v>0</v>
      </c>
      <c r="D627" s="5">
        <v>42493.465115740742</v>
      </c>
      <c r="E627" s="5" t="s">
        <v>2084</v>
      </c>
      <c r="F627" s="4" t="s">
        <v>26</v>
      </c>
      <c r="G627" s="4" t="s">
        <v>152</v>
      </c>
      <c r="H627" s="4" t="s">
        <v>152</v>
      </c>
      <c r="I627" s="4" t="s">
        <v>153</v>
      </c>
      <c r="J627" s="4" t="s">
        <v>154</v>
      </c>
      <c r="K627" s="4" t="s">
        <v>31</v>
      </c>
      <c r="L627" s="5">
        <v>42510.916666666664</v>
      </c>
      <c r="M627" s="5">
        <v>42511.041666666664</v>
      </c>
      <c r="N627" s="5">
        <v>42511.0625</v>
      </c>
      <c r="O627" s="4" t="s">
        <v>32</v>
      </c>
      <c r="P627" s="4" t="s">
        <v>33</v>
      </c>
      <c r="Q627" s="4" t="s">
        <v>76</v>
      </c>
      <c r="R627" s="6" t="s">
        <v>77</v>
      </c>
      <c r="S627" s="4" t="s">
        <v>1764</v>
      </c>
      <c r="T627" s="4" t="s">
        <v>37</v>
      </c>
      <c r="U627" s="4" t="s">
        <v>37</v>
      </c>
      <c r="V627" s="4" t="s">
        <v>1522</v>
      </c>
      <c r="W627" s="4" t="s">
        <v>37</v>
      </c>
      <c r="X627" s="4" t="s">
        <v>37</v>
      </c>
      <c r="Y627" s="4" t="s">
        <v>36</v>
      </c>
      <c r="Z627" s="4"/>
      <c r="AA627" s="4" t="s">
        <v>157</v>
      </c>
    </row>
    <row r="628" spans="1:27" s="1" customFormat="1" x14ac:dyDescent="0.3">
      <c r="A628" s="19">
        <v>20113</v>
      </c>
      <c r="B628" s="4" t="s">
        <v>1765</v>
      </c>
      <c r="C628" s="4">
        <v>0</v>
      </c>
      <c r="D628" s="5">
        <v>42493.485162037039</v>
      </c>
      <c r="E628" s="5" t="s">
        <v>2084</v>
      </c>
      <c r="F628" s="4" t="s">
        <v>26</v>
      </c>
      <c r="G628" s="4" t="s">
        <v>224</v>
      </c>
      <c r="H628" s="4" t="s">
        <v>224</v>
      </c>
      <c r="I628" s="4" t="s">
        <v>216</v>
      </c>
      <c r="J628" s="4" t="s">
        <v>528</v>
      </c>
      <c r="K628" s="4" t="s">
        <v>31</v>
      </c>
      <c r="L628" s="5">
        <v>42503.916666666664</v>
      </c>
      <c r="M628" s="5">
        <v>42504.208333333336</v>
      </c>
      <c r="N628" s="5">
        <v>42504.25</v>
      </c>
      <c r="O628" s="4" t="s">
        <v>32</v>
      </c>
      <c r="P628" s="4" t="s">
        <v>33</v>
      </c>
      <c r="Q628" s="4" t="s">
        <v>34</v>
      </c>
      <c r="R628" s="6" t="s">
        <v>77</v>
      </c>
      <c r="S628" s="4" t="s">
        <v>226</v>
      </c>
      <c r="T628" s="4" t="s">
        <v>37</v>
      </c>
      <c r="U628" s="4" t="s">
        <v>37</v>
      </c>
      <c r="V628" s="4" t="s">
        <v>556</v>
      </c>
      <c r="W628" s="4" t="s">
        <v>37</v>
      </c>
      <c r="X628" s="4" t="s">
        <v>37</v>
      </c>
      <c r="Y628" s="4" t="s">
        <v>36</v>
      </c>
      <c r="Z628" s="4" t="s">
        <v>1766</v>
      </c>
      <c r="AA628" s="4" t="s">
        <v>231</v>
      </c>
    </row>
    <row r="629" spans="1:27" s="1" customFormat="1" x14ac:dyDescent="0.3">
      <c r="A629" s="19">
        <v>20114</v>
      </c>
      <c r="B629" s="4" t="s">
        <v>1767</v>
      </c>
      <c r="C629" s="4" t="s">
        <v>2185</v>
      </c>
      <c r="D629" s="5">
        <v>42493.492743055554</v>
      </c>
      <c r="E629" s="5" t="s">
        <v>2084</v>
      </c>
      <c r="F629" s="4" t="s">
        <v>26</v>
      </c>
      <c r="G629" s="4" t="s">
        <v>336</v>
      </c>
      <c r="H629" s="4" t="s">
        <v>336</v>
      </c>
      <c r="I629" s="4" t="s">
        <v>203</v>
      </c>
      <c r="J629" s="4" t="s">
        <v>49</v>
      </c>
      <c r="K629" s="4" t="s">
        <v>31</v>
      </c>
      <c r="L629" s="5">
        <v>42500.75</v>
      </c>
      <c r="M629" s="5">
        <v>42500.791666666664</v>
      </c>
      <c r="N629" s="5">
        <v>42500.833333333336</v>
      </c>
      <c r="O629" s="4" t="s">
        <v>32</v>
      </c>
      <c r="P629" s="4" t="s">
        <v>149</v>
      </c>
      <c r="Q629" s="4" t="s">
        <v>76</v>
      </c>
      <c r="R629" s="4" t="s">
        <v>1768</v>
      </c>
      <c r="S629" s="4" t="s">
        <v>1768</v>
      </c>
      <c r="T629" s="4" t="s">
        <v>37</v>
      </c>
      <c r="U629" s="4" t="s">
        <v>37</v>
      </c>
      <c r="V629" s="4" t="s">
        <v>1769</v>
      </c>
      <c r="W629" s="4" t="s">
        <v>37</v>
      </c>
      <c r="X629" s="4" t="s">
        <v>36</v>
      </c>
      <c r="Y629" s="4" t="s">
        <v>36</v>
      </c>
      <c r="Z629" s="4" t="s">
        <v>592</v>
      </c>
      <c r="AA629" s="4"/>
    </row>
    <row r="630" spans="1:27" s="1" customFormat="1" x14ac:dyDescent="0.3">
      <c r="A630" s="19">
        <v>20115</v>
      </c>
      <c r="B630" s="4" t="s">
        <v>1643</v>
      </c>
      <c r="C630" s="4" t="s">
        <v>2177</v>
      </c>
      <c r="D630" s="5">
        <v>42493.514849537038</v>
      </c>
      <c r="E630" s="5" t="s">
        <v>2084</v>
      </c>
      <c r="F630" s="4" t="s">
        <v>26</v>
      </c>
      <c r="G630" s="4" t="s">
        <v>1187</v>
      </c>
      <c r="H630" s="4" t="s">
        <v>455</v>
      </c>
      <c r="I630" s="4" t="s">
        <v>174</v>
      </c>
      <c r="J630" s="4" t="s">
        <v>30</v>
      </c>
      <c r="K630" s="4" t="s">
        <v>31</v>
      </c>
      <c r="L630" s="5">
        <v>42521.041666666664</v>
      </c>
      <c r="M630" s="5">
        <v>42521.166666666664</v>
      </c>
      <c r="N630" s="5">
        <v>42521.375</v>
      </c>
      <c r="O630" s="4" t="s">
        <v>32</v>
      </c>
      <c r="P630" s="4" t="s">
        <v>33</v>
      </c>
      <c r="Q630" s="4" t="s">
        <v>34</v>
      </c>
      <c r="R630" s="4" t="s">
        <v>1770</v>
      </c>
      <c r="S630" s="4" t="s">
        <v>1770</v>
      </c>
      <c r="T630" s="4" t="s">
        <v>37</v>
      </c>
      <c r="U630" s="4" t="s">
        <v>37</v>
      </c>
      <c r="V630" s="4" t="s">
        <v>1646</v>
      </c>
      <c r="W630" s="4" t="s">
        <v>37</v>
      </c>
      <c r="X630" s="4" t="s">
        <v>37</v>
      </c>
      <c r="Y630" s="4" t="s">
        <v>36</v>
      </c>
      <c r="Z630" s="4" t="s">
        <v>1191</v>
      </c>
      <c r="AA630" s="4" t="s">
        <v>676</v>
      </c>
    </row>
    <row r="631" spans="1:27" s="1" customFormat="1" x14ac:dyDescent="0.3">
      <c r="A631" s="19">
        <v>20117</v>
      </c>
      <c r="B631" s="4" t="s">
        <v>749</v>
      </c>
      <c r="C631" s="4">
        <v>0</v>
      </c>
      <c r="D631" s="5">
        <v>42493.581990740742</v>
      </c>
      <c r="E631" s="5" t="s">
        <v>2084</v>
      </c>
      <c r="F631" s="4" t="s">
        <v>26</v>
      </c>
      <c r="G631" s="4" t="s">
        <v>140</v>
      </c>
      <c r="H631" s="4" t="s">
        <v>140</v>
      </c>
      <c r="I631" s="4" t="s">
        <v>29</v>
      </c>
      <c r="J631" s="4" t="s">
        <v>141</v>
      </c>
      <c r="K631" s="4" t="s">
        <v>31</v>
      </c>
      <c r="L631" s="5">
        <v>42511.916666666664</v>
      </c>
      <c r="M631" s="5">
        <v>42512.208333333336</v>
      </c>
      <c r="N631" s="5">
        <v>42512.25</v>
      </c>
      <c r="O631" s="4" t="s">
        <v>32</v>
      </c>
      <c r="P631" s="4" t="s">
        <v>33</v>
      </c>
      <c r="Q631" s="4" t="s">
        <v>50</v>
      </c>
      <c r="R631" s="6" t="s">
        <v>77</v>
      </c>
      <c r="S631" s="4" t="s">
        <v>754</v>
      </c>
      <c r="T631" s="4" t="s">
        <v>37</v>
      </c>
      <c r="U631" s="4" t="s">
        <v>37</v>
      </c>
      <c r="V631" s="4" t="s">
        <v>1771</v>
      </c>
      <c r="W631" s="4" t="s">
        <v>37</v>
      </c>
      <c r="X631" s="4" t="s">
        <v>37</v>
      </c>
      <c r="Y631" s="4" t="s">
        <v>36</v>
      </c>
      <c r="Z631" s="4"/>
      <c r="AA631" s="4" t="s">
        <v>144</v>
      </c>
    </row>
    <row r="632" spans="1:27" s="1" customFormat="1" x14ac:dyDescent="0.3">
      <c r="A632" s="19">
        <v>20120</v>
      </c>
      <c r="B632" s="4" t="s">
        <v>1772</v>
      </c>
      <c r="C632" s="4">
        <v>0</v>
      </c>
      <c r="D632" s="5">
        <v>42493.6093287037</v>
      </c>
      <c r="E632" s="5" t="s">
        <v>2084</v>
      </c>
      <c r="F632" s="4" t="s">
        <v>26</v>
      </c>
      <c r="G632" s="4" t="s">
        <v>274</v>
      </c>
      <c r="H632" s="4" t="s">
        <v>274</v>
      </c>
      <c r="I632" s="4" t="s">
        <v>208</v>
      </c>
      <c r="J632" s="4" t="s">
        <v>357</v>
      </c>
      <c r="K632" s="4" t="s">
        <v>31</v>
      </c>
      <c r="L632" s="5">
        <v>42511.000694444447</v>
      </c>
      <c r="M632" s="5">
        <v>42512.25</v>
      </c>
      <c r="N632" s="5">
        <v>42512.291666666664</v>
      </c>
      <c r="O632" s="4" t="s">
        <v>32</v>
      </c>
      <c r="P632" s="4" t="s">
        <v>33</v>
      </c>
      <c r="Q632" s="4" t="s">
        <v>34</v>
      </c>
      <c r="R632" s="6" t="s">
        <v>77</v>
      </c>
      <c r="S632" s="4" t="s">
        <v>1773</v>
      </c>
      <c r="T632" s="4" t="s">
        <v>36</v>
      </c>
      <c r="U632" s="4" t="s">
        <v>37</v>
      </c>
      <c r="V632" s="4" t="s">
        <v>276</v>
      </c>
      <c r="W632" s="4" t="s">
        <v>37</v>
      </c>
      <c r="X632" s="4" t="s">
        <v>37</v>
      </c>
      <c r="Y632" s="4" t="s">
        <v>36</v>
      </c>
      <c r="Z632" s="4"/>
      <c r="AA632" s="4" t="s">
        <v>358</v>
      </c>
    </row>
    <row r="633" spans="1:27" s="1" customFormat="1" x14ac:dyDescent="0.3">
      <c r="A633" s="19">
        <v>20122</v>
      </c>
      <c r="B633" s="4" t="s">
        <v>1774</v>
      </c>
      <c r="C633" s="4">
        <v>0</v>
      </c>
      <c r="D633" s="5">
        <v>42493.714375000003</v>
      </c>
      <c r="E633" s="5" t="s">
        <v>2084</v>
      </c>
      <c r="F633" s="4" t="s">
        <v>26</v>
      </c>
      <c r="G633" s="4" t="s">
        <v>392</v>
      </c>
      <c r="H633" s="4" t="s">
        <v>392</v>
      </c>
      <c r="I633" s="4" t="s">
        <v>200</v>
      </c>
      <c r="J633" s="4" t="s">
        <v>311</v>
      </c>
      <c r="K633" s="4" t="s">
        <v>31</v>
      </c>
      <c r="L633" s="5">
        <v>42494.833333333336</v>
      </c>
      <c r="M633" s="5">
        <v>42495.375</v>
      </c>
      <c r="N633" s="5">
        <v>42495.416666666664</v>
      </c>
      <c r="O633" s="4" t="s">
        <v>250</v>
      </c>
      <c r="P633" s="4" t="s">
        <v>89</v>
      </c>
      <c r="Q633" s="4" t="s">
        <v>251</v>
      </c>
      <c r="R633" s="6" t="s">
        <v>77</v>
      </c>
      <c r="S633" s="6" t="s">
        <v>77</v>
      </c>
      <c r="T633" s="4" t="s">
        <v>36</v>
      </c>
      <c r="U633" s="4" t="s">
        <v>37</v>
      </c>
      <c r="V633" s="4" t="s">
        <v>1775</v>
      </c>
      <c r="W633" s="4" t="s">
        <v>37</v>
      </c>
      <c r="X633" s="4" t="s">
        <v>37</v>
      </c>
      <c r="Y633" s="4" t="s">
        <v>36</v>
      </c>
      <c r="Z633" s="4" t="s">
        <v>1776</v>
      </c>
      <c r="AA633" s="4"/>
    </row>
    <row r="634" spans="1:27" s="1" customFormat="1" x14ac:dyDescent="0.3">
      <c r="A634" s="19">
        <v>20127</v>
      </c>
      <c r="B634" s="4" t="s">
        <v>1777</v>
      </c>
      <c r="C634" s="4" t="s">
        <v>2111</v>
      </c>
      <c r="D634" s="5">
        <v>42494.595995370371</v>
      </c>
      <c r="E634" s="5" t="s">
        <v>2084</v>
      </c>
      <c r="F634" s="4" t="s">
        <v>26</v>
      </c>
      <c r="G634" s="4" t="s">
        <v>244</v>
      </c>
      <c r="H634" s="4" t="s">
        <v>244</v>
      </c>
      <c r="I634" s="4" t="s">
        <v>118</v>
      </c>
      <c r="J634" s="4" t="s">
        <v>30</v>
      </c>
      <c r="K634" s="4" t="s">
        <v>31</v>
      </c>
      <c r="L634" s="5">
        <v>42494.916666666664</v>
      </c>
      <c r="M634" s="5">
        <v>42495.5</v>
      </c>
      <c r="N634" s="5">
        <v>42495.75</v>
      </c>
      <c r="O634" s="4" t="s">
        <v>710</v>
      </c>
      <c r="P634" s="4" t="s">
        <v>33</v>
      </c>
      <c r="Q634" s="4" t="s">
        <v>76</v>
      </c>
      <c r="R634" s="6" t="s">
        <v>77</v>
      </c>
      <c r="S634" s="4" t="s">
        <v>517</v>
      </c>
      <c r="T634" s="4" t="s">
        <v>37</v>
      </c>
      <c r="U634" s="4" t="s">
        <v>37</v>
      </c>
      <c r="V634" s="4" t="s">
        <v>365</v>
      </c>
      <c r="W634" s="4" t="s">
        <v>37</v>
      </c>
      <c r="X634" s="4" t="s">
        <v>37</v>
      </c>
      <c r="Y634" s="4" t="s">
        <v>36</v>
      </c>
      <c r="Z634" s="4"/>
      <c r="AA634" s="4" t="s">
        <v>179</v>
      </c>
    </row>
    <row r="635" spans="1:27" s="1" customFormat="1" x14ac:dyDescent="0.3">
      <c r="A635" s="19">
        <v>20129</v>
      </c>
      <c r="B635" s="4" t="s">
        <v>334</v>
      </c>
      <c r="C635" s="4">
        <v>0</v>
      </c>
      <c r="D635" s="5">
        <v>42494.629027777781</v>
      </c>
      <c r="E635" s="5" t="s">
        <v>2084</v>
      </c>
      <c r="F635" s="4" t="s">
        <v>26</v>
      </c>
      <c r="G635" s="4" t="s">
        <v>168</v>
      </c>
      <c r="H635" s="4" t="s">
        <v>168</v>
      </c>
      <c r="I635" s="4" t="s">
        <v>169</v>
      </c>
      <c r="J635" s="4" t="s">
        <v>30</v>
      </c>
      <c r="K635" s="4" t="s">
        <v>31</v>
      </c>
      <c r="L635" s="5">
        <v>42510.875</v>
      </c>
      <c r="M635" s="5">
        <v>42511.166666666664</v>
      </c>
      <c r="N635" s="5">
        <v>42511.208333333336</v>
      </c>
      <c r="O635" s="4" t="s">
        <v>32</v>
      </c>
      <c r="P635" s="4" t="s">
        <v>33</v>
      </c>
      <c r="Q635" s="4" t="s">
        <v>34</v>
      </c>
      <c r="R635" s="6" t="s">
        <v>77</v>
      </c>
      <c r="S635" s="4" t="s">
        <v>323</v>
      </c>
      <c r="T635" s="4" t="s">
        <v>36</v>
      </c>
      <c r="U635" s="4" t="s">
        <v>37</v>
      </c>
      <c r="V635" s="4" t="s">
        <v>171</v>
      </c>
      <c r="W635" s="4" t="s">
        <v>37</v>
      </c>
      <c r="X635" s="4" t="s">
        <v>37</v>
      </c>
      <c r="Y635" s="4" t="s">
        <v>36</v>
      </c>
      <c r="Z635" s="4"/>
      <c r="AA635" s="4" t="s">
        <v>93</v>
      </c>
    </row>
    <row r="636" spans="1:27" s="1" customFormat="1" x14ac:dyDescent="0.3">
      <c r="A636" s="19">
        <v>20130</v>
      </c>
      <c r="B636" s="4" t="s">
        <v>352</v>
      </c>
      <c r="C636" s="4">
        <v>0</v>
      </c>
      <c r="D636" s="5">
        <v>42494.645543981482</v>
      </c>
      <c r="E636" s="5" t="s">
        <v>2084</v>
      </c>
      <c r="F636" s="4" t="s">
        <v>26</v>
      </c>
      <c r="G636" s="4" t="s">
        <v>168</v>
      </c>
      <c r="H636" s="4" t="s">
        <v>168</v>
      </c>
      <c r="I636" s="4" t="s">
        <v>221</v>
      </c>
      <c r="J636" s="4" t="s">
        <v>30</v>
      </c>
      <c r="K636" s="4" t="s">
        <v>31</v>
      </c>
      <c r="L636" s="5">
        <v>42510.875</v>
      </c>
      <c r="M636" s="5">
        <v>42511.166666666664</v>
      </c>
      <c r="N636" s="5">
        <v>42511.208333333336</v>
      </c>
      <c r="O636" s="4" t="s">
        <v>32</v>
      </c>
      <c r="P636" s="4" t="s">
        <v>33</v>
      </c>
      <c r="Q636" s="4" t="s">
        <v>34</v>
      </c>
      <c r="R636" s="6" t="s">
        <v>77</v>
      </c>
      <c r="S636" s="4" t="s">
        <v>323</v>
      </c>
      <c r="T636" s="4" t="s">
        <v>36</v>
      </c>
      <c r="U636" s="4" t="s">
        <v>37</v>
      </c>
      <c r="V636" s="4" t="s">
        <v>171</v>
      </c>
      <c r="W636" s="4" t="s">
        <v>37</v>
      </c>
      <c r="X636" s="4" t="s">
        <v>37</v>
      </c>
      <c r="Y636" s="4" t="s">
        <v>36</v>
      </c>
      <c r="Z636" s="4"/>
      <c r="AA636" s="4" t="s">
        <v>93</v>
      </c>
    </row>
    <row r="637" spans="1:27" s="1" customFormat="1" x14ac:dyDescent="0.3">
      <c r="A637" s="19">
        <v>20131</v>
      </c>
      <c r="B637" s="4" t="s">
        <v>1418</v>
      </c>
      <c r="C637" s="4">
        <v>0</v>
      </c>
      <c r="D637" s="5">
        <v>42494.674155092594</v>
      </c>
      <c r="E637" s="5" t="s">
        <v>2084</v>
      </c>
      <c r="F637" s="4" t="s">
        <v>26</v>
      </c>
      <c r="G637" s="4" t="s">
        <v>1133</v>
      </c>
      <c r="H637" s="4" t="s">
        <v>1133</v>
      </c>
      <c r="I637" s="4" t="s">
        <v>80</v>
      </c>
      <c r="J637" s="4" t="s">
        <v>185</v>
      </c>
      <c r="K637" s="4" t="s">
        <v>31</v>
      </c>
      <c r="L637" s="5">
        <v>42518.916666666664</v>
      </c>
      <c r="M637" s="5">
        <v>42519.208333333336</v>
      </c>
      <c r="N637" s="5">
        <v>42519.208333333336</v>
      </c>
      <c r="O637" s="4" t="s">
        <v>32</v>
      </c>
      <c r="P637" s="4" t="s">
        <v>33</v>
      </c>
      <c r="Q637" s="4" t="s">
        <v>76</v>
      </c>
      <c r="R637" s="6" t="s">
        <v>77</v>
      </c>
      <c r="S637" s="4" t="s">
        <v>1134</v>
      </c>
      <c r="T637" s="4" t="s">
        <v>37</v>
      </c>
      <c r="U637" s="4" t="s">
        <v>37</v>
      </c>
      <c r="V637" s="4" t="s">
        <v>1135</v>
      </c>
      <c r="W637" s="4" t="s">
        <v>37</v>
      </c>
      <c r="X637" s="4" t="s">
        <v>37</v>
      </c>
      <c r="Y637" s="4" t="s">
        <v>36</v>
      </c>
      <c r="Z637" s="4"/>
      <c r="AA637" s="4" t="s">
        <v>187</v>
      </c>
    </row>
    <row r="638" spans="1:27" s="1" customFormat="1" x14ac:dyDescent="0.3">
      <c r="A638" s="19">
        <v>20132</v>
      </c>
      <c r="B638" s="4" t="s">
        <v>1778</v>
      </c>
      <c r="C638" s="4">
        <v>0</v>
      </c>
      <c r="D638" s="5">
        <v>42494.675127314818</v>
      </c>
      <c r="E638" s="5" t="s">
        <v>2084</v>
      </c>
      <c r="F638" s="4" t="s">
        <v>26</v>
      </c>
      <c r="G638" s="4" t="s">
        <v>354</v>
      </c>
      <c r="H638" s="4" t="s">
        <v>354</v>
      </c>
      <c r="I638" s="4" t="s">
        <v>203</v>
      </c>
      <c r="J638" s="4" t="s">
        <v>331</v>
      </c>
      <c r="K638" s="4" t="s">
        <v>31</v>
      </c>
      <c r="L638" s="5">
        <v>42504.333333333336</v>
      </c>
      <c r="M638" s="5">
        <v>42504.999305555553</v>
      </c>
      <c r="N638" s="5">
        <v>42505.25</v>
      </c>
      <c r="O638" s="4" t="s">
        <v>32</v>
      </c>
      <c r="P638" s="4" t="s">
        <v>149</v>
      </c>
      <c r="Q638" s="4" t="s">
        <v>76</v>
      </c>
      <c r="R638" s="4"/>
      <c r="S638" s="4"/>
      <c r="T638" s="4" t="s">
        <v>37</v>
      </c>
      <c r="U638" s="4" t="s">
        <v>37</v>
      </c>
      <c r="V638" s="4" t="s">
        <v>433</v>
      </c>
      <c r="W638" s="4" t="s">
        <v>37</v>
      </c>
      <c r="X638" s="4" t="s">
        <v>37</v>
      </c>
      <c r="Y638" s="4" t="s">
        <v>36</v>
      </c>
      <c r="Z638" s="4"/>
      <c r="AA638" s="4" t="s">
        <v>93</v>
      </c>
    </row>
    <row r="639" spans="1:27" s="1" customFormat="1" x14ac:dyDescent="0.3">
      <c r="A639" s="19">
        <v>20133</v>
      </c>
      <c r="B639" s="4" t="s">
        <v>1779</v>
      </c>
      <c r="C639" s="4">
        <v>0</v>
      </c>
      <c r="D639" s="5">
        <v>42494.69023148148</v>
      </c>
      <c r="E639" s="5" t="s">
        <v>2084</v>
      </c>
      <c r="F639" s="4" t="s">
        <v>26</v>
      </c>
      <c r="G639" s="4" t="s">
        <v>1133</v>
      </c>
      <c r="H639" s="4" t="s">
        <v>1133</v>
      </c>
      <c r="I639" s="4" t="s">
        <v>80</v>
      </c>
      <c r="J639" s="4" t="s">
        <v>185</v>
      </c>
      <c r="K639" s="4" t="s">
        <v>31</v>
      </c>
      <c r="L639" s="5">
        <v>42509.916666666664</v>
      </c>
      <c r="M639" s="5">
        <v>42510.208333333336</v>
      </c>
      <c r="N639" s="5">
        <v>42510.208333333336</v>
      </c>
      <c r="O639" s="4" t="s">
        <v>32</v>
      </c>
      <c r="P639" s="4" t="s">
        <v>33</v>
      </c>
      <c r="Q639" s="4" t="s">
        <v>76</v>
      </c>
      <c r="R639" s="6" t="s">
        <v>77</v>
      </c>
      <c r="S639" s="4" t="s">
        <v>1780</v>
      </c>
      <c r="T639" s="4" t="s">
        <v>37</v>
      </c>
      <c r="U639" s="4" t="s">
        <v>37</v>
      </c>
      <c r="V639" s="4" t="s">
        <v>1781</v>
      </c>
      <c r="W639" s="4" t="s">
        <v>37</v>
      </c>
      <c r="X639" s="4" t="s">
        <v>37</v>
      </c>
      <c r="Y639" s="4" t="s">
        <v>36</v>
      </c>
      <c r="Z639" s="4"/>
      <c r="AA639" s="4" t="s">
        <v>187</v>
      </c>
    </row>
    <row r="640" spans="1:27" s="1" customFormat="1" x14ac:dyDescent="0.3">
      <c r="A640" s="19">
        <v>20134</v>
      </c>
      <c r="B640" s="4" t="s">
        <v>1782</v>
      </c>
      <c r="C640" s="4">
        <v>0</v>
      </c>
      <c r="D640" s="5">
        <v>42494.756064814814</v>
      </c>
      <c r="E640" s="5" t="s">
        <v>2084</v>
      </c>
      <c r="F640" s="4" t="s">
        <v>26</v>
      </c>
      <c r="G640" s="4" t="s">
        <v>224</v>
      </c>
      <c r="H640" s="4" t="s">
        <v>224</v>
      </c>
      <c r="I640" s="4" t="s">
        <v>216</v>
      </c>
      <c r="J640" s="4" t="s">
        <v>528</v>
      </c>
      <c r="K640" s="4" t="s">
        <v>31</v>
      </c>
      <c r="L640" s="5">
        <v>42503.916666666664</v>
      </c>
      <c r="M640" s="5">
        <v>42504.208333333336</v>
      </c>
      <c r="N640" s="5">
        <v>42504.25</v>
      </c>
      <c r="O640" s="4" t="s">
        <v>32</v>
      </c>
      <c r="P640" s="4" t="s">
        <v>33</v>
      </c>
      <c r="Q640" s="4" t="s">
        <v>34</v>
      </c>
      <c r="R640" s="6" t="s">
        <v>77</v>
      </c>
      <c r="S640" s="4" t="s">
        <v>1783</v>
      </c>
      <c r="T640" s="4" t="s">
        <v>37</v>
      </c>
      <c r="U640" s="4" t="s">
        <v>37</v>
      </c>
      <c r="V640" s="4" t="s">
        <v>556</v>
      </c>
      <c r="W640" s="4" t="s">
        <v>37</v>
      </c>
      <c r="X640" s="4" t="s">
        <v>37</v>
      </c>
      <c r="Y640" s="4" t="s">
        <v>36</v>
      </c>
      <c r="Z640" s="4" t="s">
        <v>1766</v>
      </c>
      <c r="AA640" s="4" t="s">
        <v>231</v>
      </c>
    </row>
    <row r="641" spans="1:27" s="1" customFormat="1" x14ac:dyDescent="0.3">
      <c r="A641" s="19">
        <v>20135</v>
      </c>
      <c r="B641" s="4" t="s">
        <v>1784</v>
      </c>
      <c r="C641" s="4" t="s">
        <v>2186</v>
      </c>
      <c r="D641" s="5">
        <v>42494.775104166663</v>
      </c>
      <c r="E641" s="5" t="s">
        <v>2084</v>
      </c>
      <c r="F641" s="4" t="s">
        <v>26</v>
      </c>
      <c r="G641" s="4" t="s">
        <v>379</v>
      </c>
      <c r="H641" s="4" t="s">
        <v>1785</v>
      </c>
      <c r="I641" s="4" t="s">
        <v>203</v>
      </c>
      <c r="J641" s="4" t="s">
        <v>49</v>
      </c>
      <c r="K641" s="4" t="s">
        <v>31</v>
      </c>
      <c r="L641" s="5">
        <v>42502.583333333336</v>
      </c>
      <c r="M641" s="5">
        <v>42506.416666666664</v>
      </c>
      <c r="N641" s="5">
        <v>42506.5</v>
      </c>
      <c r="O641" s="4" t="s">
        <v>32</v>
      </c>
      <c r="P641" s="4" t="s">
        <v>33</v>
      </c>
      <c r="Q641" s="4" t="s">
        <v>50</v>
      </c>
      <c r="R641" s="4" t="s">
        <v>1786</v>
      </c>
      <c r="S641" s="4" t="s">
        <v>1786</v>
      </c>
      <c r="T641" s="4" t="s">
        <v>36</v>
      </c>
      <c r="U641" s="4" t="s">
        <v>36</v>
      </c>
      <c r="V641" s="4" t="s">
        <v>1787</v>
      </c>
      <c r="W641" s="4" t="s">
        <v>37</v>
      </c>
      <c r="X641" s="4" t="s">
        <v>37</v>
      </c>
      <c r="Y641" s="4" t="s">
        <v>36</v>
      </c>
      <c r="Z641" s="4" t="s">
        <v>39</v>
      </c>
      <c r="AA641" s="4"/>
    </row>
    <row r="642" spans="1:27" s="1" customFormat="1" x14ac:dyDescent="0.3">
      <c r="A642" s="19">
        <v>20136</v>
      </c>
      <c r="B642" s="4" t="s">
        <v>1788</v>
      </c>
      <c r="C642" s="4">
        <v>0</v>
      </c>
      <c r="D642" s="5">
        <v>42494.776712962965</v>
      </c>
      <c r="E642" s="5" t="s">
        <v>2084</v>
      </c>
      <c r="F642" s="4" t="s">
        <v>26</v>
      </c>
      <c r="G642" s="4" t="s">
        <v>342</v>
      </c>
      <c r="H642" s="4" t="s">
        <v>342</v>
      </c>
      <c r="I642" s="4" t="s">
        <v>68</v>
      </c>
      <c r="J642" s="4" t="s">
        <v>343</v>
      </c>
      <c r="K642" s="4" t="s">
        <v>31</v>
      </c>
      <c r="L642" s="5">
        <v>42504.916666666664</v>
      </c>
      <c r="M642" s="5">
        <v>42505.208333333336</v>
      </c>
      <c r="N642" s="5">
        <v>42506.208333333336</v>
      </c>
      <c r="O642" s="4" t="s">
        <v>32</v>
      </c>
      <c r="P642" s="4" t="s">
        <v>33</v>
      </c>
      <c r="Q642" s="4" t="s">
        <v>50</v>
      </c>
      <c r="R642" s="4"/>
      <c r="S642" s="4"/>
      <c r="T642" s="4" t="s">
        <v>36</v>
      </c>
      <c r="U642" s="4" t="s">
        <v>37</v>
      </c>
      <c r="V642" s="4" t="s">
        <v>1122</v>
      </c>
      <c r="W642" s="4" t="s">
        <v>37</v>
      </c>
      <c r="X642" s="4" t="s">
        <v>37</v>
      </c>
      <c r="Y642" s="4" t="s">
        <v>36</v>
      </c>
      <c r="Z642" s="4"/>
      <c r="AA642" s="4" t="s">
        <v>346</v>
      </c>
    </row>
    <row r="643" spans="1:27" s="1" customFormat="1" x14ac:dyDescent="0.3">
      <c r="A643" s="19">
        <v>20138</v>
      </c>
      <c r="B643" s="4" t="s">
        <v>1789</v>
      </c>
      <c r="C643" s="4" t="s">
        <v>2126</v>
      </c>
      <c r="D643" s="5">
        <v>42495.410243055558</v>
      </c>
      <c r="E643" s="5" t="s">
        <v>2084</v>
      </c>
      <c r="F643" s="4" t="s">
        <v>26</v>
      </c>
      <c r="G643" s="4" t="s">
        <v>173</v>
      </c>
      <c r="H643" s="4" t="s">
        <v>173</v>
      </c>
      <c r="I643" s="4" t="s">
        <v>174</v>
      </c>
      <c r="J643" s="4" t="s">
        <v>175</v>
      </c>
      <c r="K643" s="4" t="s">
        <v>31</v>
      </c>
      <c r="L643" s="5">
        <v>42511.958333333336</v>
      </c>
      <c r="M643" s="5">
        <v>42512.208333333336</v>
      </c>
      <c r="N643" s="5">
        <v>42512.25</v>
      </c>
      <c r="O643" s="4" t="s">
        <v>32</v>
      </c>
      <c r="P643" s="4" t="s">
        <v>33</v>
      </c>
      <c r="Q643" s="4" t="s">
        <v>76</v>
      </c>
      <c r="R643" s="4" t="s">
        <v>323</v>
      </c>
      <c r="S643" s="4" t="s">
        <v>323</v>
      </c>
      <c r="T643" s="4" t="s">
        <v>37</v>
      </c>
      <c r="U643" s="4" t="s">
        <v>37</v>
      </c>
      <c r="V643" s="4" t="s">
        <v>1007</v>
      </c>
      <c r="W643" s="4" t="s">
        <v>37</v>
      </c>
      <c r="X643" s="4" t="s">
        <v>37</v>
      </c>
      <c r="Y643" s="4" t="s">
        <v>36</v>
      </c>
      <c r="Z643" s="4" t="s">
        <v>178</v>
      </c>
      <c r="AA643" s="4" t="s">
        <v>179</v>
      </c>
    </row>
    <row r="644" spans="1:27" s="1" customFormat="1" x14ac:dyDescent="0.3">
      <c r="A644" s="19">
        <v>20139</v>
      </c>
      <c r="B644" s="4" t="s">
        <v>1790</v>
      </c>
      <c r="C644" s="4" t="s">
        <v>2111</v>
      </c>
      <c r="D644" s="5">
        <v>42495.414131944446</v>
      </c>
      <c r="E644" s="5" t="s">
        <v>2084</v>
      </c>
      <c r="F644" s="4" t="s">
        <v>26</v>
      </c>
      <c r="G644" s="4" t="s">
        <v>421</v>
      </c>
      <c r="H644" s="4" t="s">
        <v>922</v>
      </c>
      <c r="I644" s="4" t="s">
        <v>118</v>
      </c>
      <c r="J644" s="4" t="s">
        <v>30</v>
      </c>
      <c r="K644" s="4" t="s">
        <v>31</v>
      </c>
      <c r="L644" s="5">
        <v>42495.916666666664</v>
      </c>
      <c r="M644" s="5">
        <v>42496.583333333336</v>
      </c>
      <c r="N644" s="5">
        <v>42496.75</v>
      </c>
      <c r="O644" s="4" t="s">
        <v>710</v>
      </c>
      <c r="P644" s="4" t="s">
        <v>89</v>
      </c>
      <c r="Q644" s="4" t="s">
        <v>76</v>
      </c>
      <c r="R644" s="4" t="s">
        <v>291</v>
      </c>
      <c r="S644" s="4" t="s">
        <v>291</v>
      </c>
      <c r="T644" s="4" t="s">
        <v>37</v>
      </c>
      <c r="U644" s="4" t="s">
        <v>37</v>
      </c>
      <c r="V644" s="4" t="s">
        <v>292</v>
      </c>
      <c r="W644" s="4" t="s">
        <v>37</v>
      </c>
      <c r="X644" s="4" t="s">
        <v>37</v>
      </c>
      <c r="Y644" s="4" t="s">
        <v>36</v>
      </c>
      <c r="Z644" s="4" t="s">
        <v>1791</v>
      </c>
      <c r="AA644" s="4" t="s">
        <v>40</v>
      </c>
    </row>
    <row r="645" spans="1:27" s="1" customFormat="1" x14ac:dyDescent="0.3">
      <c r="A645" s="19">
        <v>20143</v>
      </c>
      <c r="B645" s="4" t="s">
        <v>1792</v>
      </c>
      <c r="C645" s="4">
        <v>0</v>
      </c>
      <c r="D645" s="5">
        <v>42495.545428240737</v>
      </c>
      <c r="E645" s="5" t="s">
        <v>2084</v>
      </c>
      <c r="F645" s="4" t="s">
        <v>26</v>
      </c>
      <c r="G645" s="4" t="s">
        <v>279</v>
      </c>
      <c r="H645" s="4" t="s">
        <v>729</v>
      </c>
      <c r="I645" s="4" t="s">
        <v>158</v>
      </c>
      <c r="J645" s="4" t="s">
        <v>49</v>
      </c>
      <c r="K645" s="4" t="s">
        <v>31</v>
      </c>
      <c r="L645" s="5">
        <v>42501.916666666664</v>
      </c>
      <c r="M645" s="5">
        <v>42502.125</v>
      </c>
      <c r="N645" s="5">
        <v>42502.166666666664</v>
      </c>
      <c r="O645" s="4" t="s">
        <v>32</v>
      </c>
      <c r="P645" s="4" t="s">
        <v>33</v>
      </c>
      <c r="Q645" s="4" t="s">
        <v>50</v>
      </c>
      <c r="R645" s="4" t="s">
        <v>1793</v>
      </c>
      <c r="S645" s="4" t="s">
        <v>1793</v>
      </c>
      <c r="T645" s="4" t="s">
        <v>36</v>
      </c>
      <c r="U645" s="4" t="s">
        <v>36</v>
      </c>
      <c r="V645" s="4" t="s">
        <v>1794</v>
      </c>
      <c r="W645" s="4" t="s">
        <v>37</v>
      </c>
      <c r="X645" s="4" t="s">
        <v>37</v>
      </c>
      <c r="Y645" s="4" t="s">
        <v>36</v>
      </c>
      <c r="Z645" s="4"/>
      <c r="AA645" s="4"/>
    </row>
    <row r="646" spans="1:27" s="1" customFormat="1" x14ac:dyDescent="0.3">
      <c r="A646" s="19">
        <v>20144</v>
      </c>
      <c r="B646" s="4" t="s">
        <v>1795</v>
      </c>
      <c r="C646" s="4">
        <v>0</v>
      </c>
      <c r="D646" s="5">
        <v>42495.577037037037</v>
      </c>
      <c r="E646" s="5" t="s">
        <v>2084</v>
      </c>
      <c r="F646" s="4" t="s">
        <v>26</v>
      </c>
      <c r="G646" s="4" t="s">
        <v>244</v>
      </c>
      <c r="H646" s="4" t="s">
        <v>922</v>
      </c>
      <c r="I646" s="4" t="s">
        <v>118</v>
      </c>
      <c r="J646" s="4" t="s">
        <v>30</v>
      </c>
      <c r="K646" s="4" t="s">
        <v>31</v>
      </c>
      <c r="L646" s="5">
        <v>42500.916666666664</v>
      </c>
      <c r="M646" s="5">
        <v>42501.5</v>
      </c>
      <c r="N646" s="5">
        <v>42501.75</v>
      </c>
      <c r="O646" s="4" t="s">
        <v>32</v>
      </c>
      <c r="P646" s="4" t="s">
        <v>33</v>
      </c>
      <c r="Q646" s="4" t="s">
        <v>50</v>
      </c>
      <c r="R646" s="6" t="s">
        <v>77</v>
      </c>
      <c r="S646" s="4" t="s">
        <v>517</v>
      </c>
      <c r="T646" s="4" t="s">
        <v>36</v>
      </c>
      <c r="U646" s="4" t="s">
        <v>37</v>
      </c>
      <c r="V646" s="4" t="s">
        <v>365</v>
      </c>
      <c r="W646" s="4" t="s">
        <v>37</v>
      </c>
      <c r="X646" s="4" t="s">
        <v>37</v>
      </c>
      <c r="Y646" s="4" t="s">
        <v>36</v>
      </c>
      <c r="Z646" s="4"/>
      <c r="AA646" s="4" t="s">
        <v>179</v>
      </c>
    </row>
    <row r="647" spans="1:27" s="1" customFormat="1" x14ac:dyDescent="0.3">
      <c r="A647" s="19">
        <v>20146</v>
      </c>
      <c r="B647" s="4" t="s">
        <v>1796</v>
      </c>
      <c r="C647" s="4" t="s">
        <v>2187</v>
      </c>
      <c r="D647" s="5">
        <v>42495.589571759258</v>
      </c>
      <c r="E647" s="5" t="s">
        <v>2084</v>
      </c>
      <c r="F647" s="4" t="s">
        <v>26</v>
      </c>
      <c r="G647" s="4" t="s">
        <v>1109</v>
      </c>
      <c r="H647" s="4" t="s">
        <v>922</v>
      </c>
      <c r="I647" s="4" t="s">
        <v>200</v>
      </c>
      <c r="J647" s="4" t="s">
        <v>30</v>
      </c>
      <c r="K647" s="4" t="s">
        <v>31</v>
      </c>
      <c r="L647" s="5">
        <v>42507.916666666664</v>
      </c>
      <c r="M647" s="5">
        <v>42508.208333333336</v>
      </c>
      <c r="N647" s="5">
        <v>42508.75</v>
      </c>
      <c r="O647" s="4" t="s">
        <v>32</v>
      </c>
      <c r="P647" s="4" t="s">
        <v>149</v>
      </c>
      <c r="Q647" s="4" t="s">
        <v>76</v>
      </c>
      <c r="R647" s="4" t="s">
        <v>291</v>
      </c>
      <c r="S647" s="4" t="s">
        <v>291</v>
      </c>
      <c r="T647" s="4" t="s">
        <v>37</v>
      </c>
      <c r="U647" s="4" t="s">
        <v>37</v>
      </c>
      <c r="V647" s="4" t="s">
        <v>1265</v>
      </c>
      <c r="W647" s="4" t="s">
        <v>37</v>
      </c>
      <c r="X647" s="4" t="s">
        <v>37</v>
      </c>
      <c r="Y647" s="4" t="s">
        <v>36</v>
      </c>
      <c r="Z647" s="4" t="s">
        <v>1797</v>
      </c>
      <c r="AA647" s="4" t="s">
        <v>40</v>
      </c>
    </row>
    <row r="648" spans="1:27" s="1" customFormat="1" x14ac:dyDescent="0.3">
      <c r="A648" s="19">
        <v>20147</v>
      </c>
      <c r="B648" s="4" t="s">
        <v>1798</v>
      </c>
      <c r="C648" s="4">
        <v>0</v>
      </c>
      <c r="D648" s="5">
        <v>42495.595451388886</v>
      </c>
      <c r="E648" s="5" t="s">
        <v>2084</v>
      </c>
      <c r="F648" s="4" t="s">
        <v>26</v>
      </c>
      <c r="G648" s="4" t="s">
        <v>244</v>
      </c>
      <c r="H648" s="4" t="s">
        <v>922</v>
      </c>
      <c r="I648" s="4" t="s">
        <v>118</v>
      </c>
      <c r="J648" s="4" t="s">
        <v>30</v>
      </c>
      <c r="K648" s="4" t="s">
        <v>31</v>
      </c>
      <c r="L648" s="5">
        <v>42500.916666666664</v>
      </c>
      <c r="M648" s="5">
        <v>42501.5</v>
      </c>
      <c r="N648" s="5">
        <v>42501.75</v>
      </c>
      <c r="O648" s="4" t="s">
        <v>32</v>
      </c>
      <c r="P648" s="4" t="s">
        <v>33</v>
      </c>
      <c r="Q648" s="4" t="s">
        <v>50</v>
      </c>
      <c r="R648" s="6" t="s">
        <v>77</v>
      </c>
      <c r="S648" s="4" t="s">
        <v>517</v>
      </c>
      <c r="T648" s="4" t="s">
        <v>36</v>
      </c>
      <c r="U648" s="4" t="s">
        <v>37</v>
      </c>
      <c r="V648" s="4" t="s">
        <v>365</v>
      </c>
      <c r="W648" s="4" t="s">
        <v>37</v>
      </c>
      <c r="X648" s="4" t="s">
        <v>37</v>
      </c>
      <c r="Y648" s="4" t="s">
        <v>36</v>
      </c>
      <c r="Z648" s="4"/>
      <c r="AA648" s="4" t="s">
        <v>179</v>
      </c>
    </row>
    <row r="649" spans="1:27" s="1" customFormat="1" x14ac:dyDescent="0.3">
      <c r="A649" s="19">
        <v>20149</v>
      </c>
      <c r="B649" s="4" t="s">
        <v>1799</v>
      </c>
      <c r="C649" s="4">
        <v>0</v>
      </c>
      <c r="D649" s="5">
        <v>42495.642025462963</v>
      </c>
      <c r="E649" s="5" t="s">
        <v>2084</v>
      </c>
      <c r="F649" s="4" t="s">
        <v>26</v>
      </c>
      <c r="G649" s="4" t="s">
        <v>1651</v>
      </c>
      <c r="H649" s="4" t="s">
        <v>1470</v>
      </c>
      <c r="I649" s="4" t="s">
        <v>216</v>
      </c>
      <c r="J649" s="4" t="s">
        <v>49</v>
      </c>
      <c r="K649" s="4" t="s">
        <v>31</v>
      </c>
      <c r="L649" s="5">
        <v>42502.958333333336</v>
      </c>
      <c r="M649" s="5">
        <v>42503.041666666664</v>
      </c>
      <c r="N649" s="5">
        <v>42503.083333333336</v>
      </c>
      <c r="O649" s="4" t="s">
        <v>32</v>
      </c>
      <c r="P649" s="4" t="s">
        <v>33</v>
      </c>
      <c r="Q649" s="4" t="s">
        <v>34</v>
      </c>
      <c r="R649" s="4" t="s">
        <v>1705</v>
      </c>
      <c r="S649" s="4" t="s">
        <v>1705</v>
      </c>
      <c r="T649" s="4" t="s">
        <v>37</v>
      </c>
      <c r="U649" s="4" t="s">
        <v>37</v>
      </c>
      <c r="V649" s="4" t="s">
        <v>1800</v>
      </c>
      <c r="W649" s="4" t="s">
        <v>37</v>
      </c>
      <c r="X649" s="4" t="s">
        <v>37</v>
      </c>
      <c r="Y649" s="4" t="s">
        <v>36</v>
      </c>
      <c r="Z649" s="4" t="s">
        <v>1801</v>
      </c>
      <c r="AA649" s="4"/>
    </row>
    <row r="650" spans="1:27" s="1" customFormat="1" x14ac:dyDescent="0.3">
      <c r="A650" s="19">
        <v>20155</v>
      </c>
      <c r="B650" s="4" t="s">
        <v>1802</v>
      </c>
      <c r="C650" s="4" t="s">
        <v>2106</v>
      </c>
      <c r="D650" s="5">
        <v>42496.397893518515</v>
      </c>
      <c r="E650" s="5" t="s">
        <v>2084</v>
      </c>
      <c r="F650" s="4" t="s">
        <v>26</v>
      </c>
      <c r="G650" s="4" t="s">
        <v>243</v>
      </c>
      <c r="H650" s="4" t="s">
        <v>244</v>
      </c>
      <c r="I650" s="4" t="s">
        <v>216</v>
      </c>
      <c r="J650" s="4" t="s">
        <v>30</v>
      </c>
      <c r="K650" s="4" t="s">
        <v>31</v>
      </c>
      <c r="L650" s="5">
        <v>42506.916666666664</v>
      </c>
      <c r="M650" s="5">
        <v>42507.125</v>
      </c>
      <c r="N650" s="5">
        <v>42507.375</v>
      </c>
      <c r="O650" s="4" t="s">
        <v>32</v>
      </c>
      <c r="P650" s="4" t="s">
        <v>33</v>
      </c>
      <c r="Q650" s="4" t="s">
        <v>34</v>
      </c>
      <c r="R650" s="4" t="s">
        <v>245</v>
      </c>
      <c r="S650" s="4" t="s">
        <v>245</v>
      </c>
      <c r="T650" s="4" t="s">
        <v>37</v>
      </c>
      <c r="U650" s="4" t="s">
        <v>37</v>
      </c>
      <c r="V650" s="4" t="s">
        <v>246</v>
      </c>
      <c r="W650" s="4" t="s">
        <v>37</v>
      </c>
      <c r="X650" s="4" t="s">
        <v>37</v>
      </c>
      <c r="Y650" s="4" t="s">
        <v>36</v>
      </c>
      <c r="Z650" s="4"/>
      <c r="AA650" s="4" t="s">
        <v>179</v>
      </c>
    </row>
    <row r="651" spans="1:27" s="1" customFormat="1" x14ac:dyDescent="0.3">
      <c r="A651" s="19">
        <v>20156</v>
      </c>
      <c r="B651" s="4" t="s">
        <v>1803</v>
      </c>
      <c r="C651" s="4">
        <v>0</v>
      </c>
      <c r="D651" s="5">
        <v>42496.421851851854</v>
      </c>
      <c r="E651" s="5" t="s">
        <v>2084</v>
      </c>
      <c r="F651" s="4" t="s">
        <v>26</v>
      </c>
      <c r="G651" s="4" t="s">
        <v>917</v>
      </c>
      <c r="H651" s="4" t="s">
        <v>935</v>
      </c>
      <c r="I651" s="4" t="s">
        <v>88</v>
      </c>
      <c r="J651" s="4" t="s">
        <v>30</v>
      </c>
      <c r="K651" s="4" t="s">
        <v>31</v>
      </c>
      <c r="L651" s="5">
        <v>42501.916666666664</v>
      </c>
      <c r="M651" s="5">
        <v>42502</v>
      </c>
      <c r="N651" s="5">
        <v>42502.041666666664</v>
      </c>
      <c r="O651" s="4" t="s">
        <v>32</v>
      </c>
      <c r="P651" s="4" t="s">
        <v>89</v>
      </c>
      <c r="Q651" s="4" t="s">
        <v>34</v>
      </c>
      <c r="R651" s="4" t="s">
        <v>1804</v>
      </c>
      <c r="S651" s="4" t="s">
        <v>1804</v>
      </c>
      <c r="T651" s="4" t="s">
        <v>37</v>
      </c>
      <c r="U651" s="4" t="s">
        <v>37</v>
      </c>
      <c r="V651" s="4" t="s">
        <v>1805</v>
      </c>
      <c r="W651" s="4" t="s">
        <v>37</v>
      </c>
      <c r="X651" s="4" t="s">
        <v>37</v>
      </c>
      <c r="Y651" s="4" t="s">
        <v>36</v>
      </c>
      <c r="Z651" s="4" t="s">
        <v>1806</v>
      </c>
      <c r="AA651" s="4" t="s">
        <v>179</v>
      </c>
    </row>
    <row r="652" spans="1:27" s="1" customFormat="1" x14ac:dyDescent="0.3">
      <c r="A652" s="19">
        <v>20160</v>
      </c>
      <c r="B652" s="4" t="s">
        <v>1807</v>
      </c>
      <c r="C652" s="4" t="s">
        <v>2126</v>
      </c>
      <c r="D652" s="5">
        <v>42496.481932870367</v>
      </c>
      <c r="E652" s="5" t="s">
        <v>2084</v>
      </c>
      <c r="F652" s="4" t="s">
        <v>26</v>
      </c>
      <c r="G652" s="4" t="s">
        <v>173</v>
      </c>
      <c r="H652" s="4" t="s">
        <v>173</v>
      </c>
      <c r="I652" s="4" t="s">
        <v>174</v>
      </c>
      <c r="J652" s="4" t="s">
        <v>175</v>
      </c>
      <c r="K652" s="4" t="s">
        <v>31</v>
      </c>
      <c r="L652" s="5">
        <v>42511.916666666664</v>
      </c>
      <c r="M652" s="5">
        <v>42512.208333333336</v>
      </c>
      <c r="N652" s="5">
        <v>42512.229166666664</v>
      </c>
      <c r="O652" s="4" t="s">
        <v>32</v>
      </c>
      <c r="P652" s="4" t="s">
        <v>33</v>
      </c>
      <c r="Q652" s="4" t="s">
        <v>76</v>
      </c>
      <c r="R652" s="4" t="s">
        <v>196</v>
      </c>
      <c r="S652" s="4" t="s">
        <v>196</v>
      </c>
      <c r="T652" s="4" t="s">
        <v>37</v>
      </c>
      <c r="U652" s="4" t="s">
        <v>37</v>
      </c>
      <c r="V652" s="4" t="s">
        <v>1808</v>
      </c>
      <c r="W652" s="4" t="s">
        <v>37</v>
      </c>
      <c r="X652" s="4" t="s">
        <v>37</v>
      </c>
      <c r="Y652" s="4" t="s">
        <v>36</v>
      </c>
      <c r="Z652" s="4" t="s">
        <v>178</v>
      </c>
      <c r="AA652" s="4" t="s">
        <v>179</v>
      </c>
    </row>
    <row r="653" spans="1:27" s="1" customFormat="1" x14ac:dyDescent="0.3">
      <c r="A653" s="19">
        <v>20161</v>
      </c>
      <c r="B653" s="4" t="s">
        <v>1809</v>
      </c>
      <c r="C653" s="4" t="s">
        <v>2188</v>
      </c>
      <c r="D653" s="5">
        <v>42496.505844907406</v>
      </c>
      <c r="E653" s="5" t="s">
        <v>2084</v>
      </c>
      <c r="F653" s="4" t="s">
        <v>26</v>
      </c>
      <c r="G653" s="4" t="s">
        <v>892</v>
      </c>
      <c r="H653" s="4" t="s">
        <v>892</v>
      </c>
      <c r="I653" s="4" t="s">
        <v>88</v>
      </c>
      <c r="J653" s="4" t="s">
        <v>30</v>
      </c>
      <c r="K653" s="4" t="s">
        <v>31</v>
      </c>
      <c r="L653" s="5">
        <v>42506.833333333336</v>
      </c>
      <c r="M653" s="5">
        <v>42506.999305555553</v>
      </c>
      <c r="N653" s="5">
        <v>42507.208333333336</v>
      </c>
      <c r="O653" s="4" t="s">
        <v>32</v>
      </c>
      <c r="P653" s="4" t="s">
        <v>149</v>
      </c>
      <c r="Q653" s="4" t="s">
        <v>76</v>
      </c>
      <c r="R653" s="6" t="s">
        <v>77</v>
      </c>
      <c r="S653" s="4" t="s">
        <v>1810</v>
      </c>
      <c r="T653" s="4" t="s">
        <v>37</v>
      </c>
      <c r="U653" s="4" t="s">
        <v>37</v>
      </c>
      <c r="V653" s="4" t="s">
        <v>1811</v>
      </c>
      <c r="W653" s="4" t="s">
        <v>37</v>
      </c>
      <c r="X653" s="4" t="s">
        <v>37</v>
      </c>
      <c r="Y653" s="4" t="s">
        <v>36</v>
      </c>
      <c r="Z653" s="4"/>
      <c r="AA653" s="4" t="s">
        <v>93</v>
      </c>
    </row>
    <row r="654" spans="1:27" s="1" customFormat="1" x14ac:dyDescent="0.3">
      <c r="A654" s="19">
        <v>20163</v>
      </c>
      <c r="B654" s="4" t="s">
        <v>1812</v>
      </c>
      <c r="C654" s="4" t="s">
        <v>2111</v>
      </c>
      <c r="D654" s="5">
        <v>42496.541990740741</v>
      </c>
      <c r="E654" s="5" t="s">
        <v>2084</v>
      </c>
      <c r="F654" s="4" t="s">
        <v>26</v>
      </c>
      <c r="G654" s="4" t="s">
        <v>27</v>
      </c>
      <c r="H654" s="4" t="s">
        <v>1813</v>
      </c>
      <c r="I654" s="4" t="s">
        <v>206</v>
      </c>
      <c r="J654" s="4" t="s">
        <v>43</v>
      </c>
      <c r="K654" s="4" t="s">
        <v>31</v>
      </c>
      <c r="L654" s="5">
        <v>42499.916666666664</v>
      </c>
      <c r="M654" s="5">
        <v>42499.958333333336</v>
      </c>
      <c r="N654" s="5">
        <v>42499.999305555553</v>
      </c>
      <c r="O654" s="4" t="s">
        <v>710</v>
      </c>
      <c r="P654" s="4" t="s">
        <v>89</v>
      </c>
      <c r="Q654" s="4" t="s">
        <v>76</v>
      </c>
      <c r="R654" s="4" t="s">
        <v>1814</v>
      </c>
      <c r="S654" s="4" t="s">
        <v>1814</v>
      </c>
      <c r="T654" s="4" t="s">
        <v>37</v>
      </c>
      <c r="U654" s="4" t="s">
        <v>37</v>
      </c>
      <c r="V654" s="4" t="s">
        <v>1815</v>
      </c>
      <c r="W654" s="4" t="s">
        <v>37</v>
      </c>
      <c r="X654" s="4" t="s">
        <v>37</v>
      </c>
      <c r="Y654" s="4" t="s">
        <v>36</v>
      </c>
      <c r="Z654" s="4" t="s">
        <v>1638</v>
      </c>
      <c r="AA654" s="4" t="s">
        <v>45</v>
      </c>
    </row>
    <row r="655" spans="1:27" s="1" customFormat="1" x14ac:dyDescent="0.3">
      <c r="A655" s="19">
        <v>20164</v>
      </c>
      <c r="B655" s="4" t="s">
        <v>1816</v>
      </c>
      <c r="C655" s="4">
        <v>0</v>
      </c>
      <c r="D655" s="5">
        <v>42496.585879629631</v>
      </c>
      <c r="E655" s="5" t="s">
        <v>2084</v>
      </c>
      <c r="F655" s="4" t="s">
        <v>26</v>
      </c>
      <c r="G655" s="4" t="s">
        <v>387</v>
      </c>
      <c r="H655" s="4" t="s">
        <v>387</v>
      </c>
      <c r="I655" s="4" t="s">
        <v>118</v>
      </c>
      <c r="J655" s="4" t="s">
        <v>30</v>
      </c>
      <c r="K655" s="4" t="s">
        <v>31</v>
      </c>
      <c r="L655" s="5">
        <v>42502.916666666664</v>
      </c>
      <c r="M655" s="5">
        <v>42503.5</v>
      </c>
      <c r="N655" s="5">
        <v>42503.5</v>
      </c>
      <c r="O655" s="4" t="s">
        <v>32</v>
      </c>
      <c r="P655" s="4" t="s">
        <v>33</v>
      </c>
      <c r="Q655" s="4" t="s">
        <v>119</v>
      </c>
      <c r="R655" s="4" t="s">
        <v>884</v>
      </c>
      <c r="S655" s="4" t="s">
        <v>884</v>
      </c>
      <c r="T655" s="4" t="s">
        <v>37</v>
      </c>
      <c r="U655" s="4" t="s">
        <v>37</v>
      </c>
      <c r="V655" s="4" t="s">
        <v>202</v>
      </c>
      <c r="W655" s="4" t="s">
        <v>37</v>
      </c>
      <c r="X655" s="4" t="s">
        <v>37</v>
      </c>
      <c r="Y655" s="4" t="s">
        <v>36</v>
      </c>
      <c r="Z655" s="4" t="s">
        <v>1817</v>
      </c>
      <c r="AA655" s="4" t="s">
        <v>40</v>
      </c>
    </row>
    <row r="656" spans="1:27" s="1" customFormat="1" x14ac:dyDescent="0.3">
      <c r="A656" s="19">
        <v>20165</v>
      </c>
      <c r="B656" s="4" t="s">
        <v>1818</v>
      </c>
      <c r="C656" s="4" t="s">
        <v>1818</v>
      </c>
      <c r="D656" s="5">
        <v>42496.589224537034</v>
      </c>
      <c r="E656" s="5" t="s">
        <v>2084</v>
      </c>
      <c r="F656" s="4" t="s">
        <v>26</v>
      </c>
      <c r="G656" s="4" t="s">
        <v>1651</v>
      </c>
      <c r="H656" s="4" t="s">
        <v>1819</v>
      </c>
      <c r="I656" s="4" t="s">
        <v>216</v>
      </c>
      <c r="J656" s="4" t="s">
        <v>49</v>
      </c>
      <c r="K656" s="4" t="s">
        <v>31</v>
      </c>
      <c r="L656" s="5">
        <v>42506.958333333336</v>
      </c>
      <c r="M656" s="5">
        <v>42506.986111111109</v>
      </c>
      <c r="N656" s="5">
        <v>42507.027777777781</v>
      </c>
      <c r="O656" s="4" t="s">
        <v>32</v>
      </c>
      <c r="P656" s="4" t="s">
        <v>33</v>
      </c>
      <c r="Q656" s="4" t="s">
        <v>76</v>
      </c>
      <c r="R656" s="4" t="s">
        <v>1705</v>
      </c>
      <c r="S656" s="4" t="s">
        <v>1705</v>
      </c>
      <c r="T656" s="4" t="s">
        <v>37</v>
      </c>
      <c r="U656" s="4" t="s">
        <v>37</v>
      </c>
      <c r="V656" s="4" t="s">
        <v>1820</v>
      </c>
      <c r="W656" s="4" t="s">
        <v>37</v>
      </c>
      <c r="X656" s="4" t="s">
        <v>37</v>
      </c>
      <c r="Y656" s="4" t="s">
        <v>36</v>
      </c>
      <c r="Z656" s="4" t="s">
        <v>1821</v>
      </c>
      <c r="AA656" s="4"/>
    </row>
    <row r="657" spans="1:27" s="1" customFormat="1" x14ac:dyDescent="0.3">
      <c r="A657" s="19">
        <v>20166</v>
      </c>
      <c r="B657" s="4" t="s">
        <v>593</v>
      </c>
      <c r="C657" s="4">
        <v>0</v>
      </c>
      <c r="D657" s="5">
        <v>42496.61378472222</v>
      </c>
      <c r="E657" s="5" t="s">
        <v>2084</v>
      </c>
      <c r="F657" s="4" t="s">
        <v>26</v>
      </c>
      <c r="G657" s="4" t="s">
        <v>489</v>
      </c>
      <c r="H657" s="4" t="s">
        <v>489</v>
      </c>
      <c r="I657" s="4" t="s">
        <v>219</v>
      </c>
      <c r="J657" s="4" t="s">
        <v>30</v>
      </c>
      <c r="K657" s="4" t="s">
        <v>31</v>
      </c>
      <c r="L657" s="5">
        <v>42503.916666666664</v>
      </c>
      <c r="M657" s="5">
        <v>42504.208333333336</v>
      </c>
      <c r="N657" s="5">
        <v>42504.25</v>
      </c>
      <c r="O657" s="4" t="s">
        <v>32</v>
      </c>
      <c r="P657" s="4" t="s">
        <v>33</v>
      </c>
      <c r="Q657" s="4" t="s">
        <v>34</v>
      </c>
      <c r="R657" s="6" t="s">
        <v>77</v>
      </c>
      <c r="S657" s="4" t="s">
        <v>181</v>
      </c>
      <c r="T657" s="4" t="s">
        <v>36</v>
      </c>
      <c r="U657" s="4" t="s">
        <v>37</v>
      </c>
      <c r="V657" s="4" t="s">
        <v>1626</v>
      </c>
      <c r="W657" s="4" t="s">
        <v>37</v>
      </c>
      <c r="X657" s="4" t="s">
        <v>37</v>
      </c>
      <c r="Y657" s="4" t="s">
        <v>36</v>
      </c>
      <c r="Z657" s="4"/>
      <c r="AA657" s="4" t="s">
        <v>40</v>
      </c>
    </row>
    <row r="658" spans="1:27" s="1" customFormat="1" x14ac:dyDescent="0.3">
      <c r="A658" s="19">
        <v>20167</v>
      </c>
      <c r="B658" s="4" t="s">
        <v>1822</v>
      </c>
      <c r="C658" s="4" t="s">
        <v>1822</v>
      </c>
      <c r="D658" s="5">
        <v>42496.639120370368</v>
      </c>
      <c r="E658" s="5" t="s">
        <v>2084</v>
      </c>
      <c r="F658" s="4" t="s">
        <v>26</v>
      </c>
      <c r="G658" s="4" t="s">
        <v>1651</v>
      </c>
      <c r="H658" s="4" t="s">
        <v>1819</v>
      </c>
      <c r="I658" s="4" t="s">
        <v>216</v>
      </c>
      <c r="J658" s="4" t="s">
        <v>49</v>
      </c>
      <c r="K658" s="4" t="s">
        <v>31</v>
      </c>
      <c r="L658" s="5">
        <v>42507.958333333336</v>
      </c>
      <c r="M658" s="5">
        <v>42507.986111111109</v>
      </c>
      <c r="N658" s="5">
        <v>42508.027777777781</v>
      </c>
      <c r="O658" s="4" t="s">
        <v>32</v>
      </c>
      <c r="P658" s="4" t="s">
        <v>149</v>
      </c>
      <c r="Q658" s="4" t="s">
        <v>76</v>
      </c>
      <c r="R658" s="4" t="s">
        <v>1705</v>
      </c>
      <c r="S658" s="4" t="s">
        <v>1705</v>
      </c>
      <c r="T658" s="4" t="s">
        <v>37</v>
      </c>
      <c r="U658" s="4" t="s">
        <v>37</v>
      </c>
      <c r="V658" s="4" t="s">
        <v>1823</v>
      </c>
      <c r="W658" s="4" t="s">
        <v>37</v>
      </c>
      <c r="X658" s="4" t="s">
        <v>37</v>
      </c>
      <c r="Y658" s="4" t="s">
        <v>36</v>
      </c>
      <c r="Z658" s="4" t="s">
        <v>1824</v>
      </c>
      <c r="AA658" s="4"/>
    </row>
    <row r="659" spans="1:27" s="1" customFormat="1" x14ac:dyDescent="0.3">
      <c r="A659" s="19">
        <v>20168</v>
      </c>
      <c r="B659" s="4" t="s">
        <v>1825</v>
      </c>
      <c r="C659" s="4">
        <v>0</v>
      </c>
      <c r="D659" s="5">
        <v>42496.664513888885</v>
      </c>
      <c r="E659" s="5" t="s">
        <v>2084</v>
      </c>
      <c r="F659" s="4" t="s">
        <v>26</v>
      </c>
      <c r="G659" s="4" t="s">
        <v>892</v>
      </c>
      <c r="H659" s="4" t="s">
        <v>1826</v>
      </c>
      <c r="I659" s="4" t="s">
        <v>88</v>
      </c>
      <c r="J659" s="4" t="s">
        <v>30</v>
      </c>
      <c r="K659" s="4" t="s">
        <v>31</v>
      </c>
      <c r="L659" s="5">
        <v>42502.291666666664</v>
      </c>
      <c r="M659" s="5">
        <v>42502.333333333336</v>
      </c>
      <c r="N659" s="5">
        <v>42502.583333333336</v>
      </c>
      <c r="O659" s="4" t="s">
        <v>32</v>
      </c>
      <c r="P659" s="4" t="s">
        <v>33</v>
      </c>
      <c r="Q659" s="4" t="s">
        <v>76</v>
      </c>
      <c r="R659" s="6" t="s">
        <v>77</v>
      </c>
      <c r="S659" s="4"/>
      <c r="T659" s="4" t="s">
        <v>37</v>
      </c>
      <c r="U659" s="4" t="s">
        <v>37</v>
      </c>
      <c r="V659" s="4" t="s">
        <v>1827</v>
      </c>
      <c r="W659" s="4" t="s">
        <v>37</v>
      </c>
      <c r="X659" s="4" t="s">
        <v>37</v>
      </c>
      <c r="Y659" s="4" t="s">
        <v>36</v>
      </c>
      <c r="Z659" s="4"/>
      <c r="AA659" s="4" t="s">
        <v>93</v>
      </c>
    </row>
    <row r="660" spans="1:27" s="1" customFormat="1" x14ac:dyDescent="0.3">
      <c r="A660" s="19">
        <v>20170</v>
      </c>
      <c r="B660" s="4" t="s">
        <v>1828</v>
      </c>
      <c r="C660" s="4" t="s">
        <v>2178</v>
      </c>
      <c r="D660" s="5">
        <v>42496.681620370371</v>
      </c>
      <c r="E660" s="5" t="s">
        <v>2084</v>
      </c>
      <c r="F660" s="4" t="s">
        <v>26</v>
      </c>
      <c r="G660" s="4" t="s">
        <v>520</v>
      </c>
      <c r="H660" s="4" t="s">
        <v>264</v>
      </c>
      <c r="I660" s="4" t="s">
        <v>203</v>
      </c>
      <c r="J660" s="4" t="s">
        <v>30</v>
      </c>
      <c r="K660" s="4" t="s">
        <v>31</v>
      </c>
      <c r="L660" s="5">
        <v>42506.916666666664</v>
      </c>
      <c r="M660" s="5">
        <v>42507.458333333336</v>
      </c>
      <c r="N660" s="5">
        <v>42507.541666666664</v>
      </c>
      <c r="O660" s="4" t="s">
        <v>32</v>
      </c>
      <c r="P660" s="4" t="s">
        <v>89</v>
      </c>
      <c r="Q660" s="4" t="s">
        <v>251</v>
      </c>
      <c r="R660" s="4" t="s">
        <v>1614</v>
      </c>
      <c r="S660" s="4" t="s">
        <v>1614</v>
      </c>
      <c r="T660" s="4" t="s">
        <v>37</v>
      </c>
      <c r="U660" s="4" t="s">
        <v>37</v>
      </c>
      <c r="V660" s="4" t="s">
        <v>267</v>
      </c>
      <c r="W660" s="4" t="s">
        <v>37</v>
      </c>
      <c r="X660" s="4" t="s">
        <v>37</v>
      </c>
      <c r="Y660" s="4" t="s">
        <v>36</v>
      </c>
      <c r="Z660" s="4" t="s">
        <v>1829</v>
      </c>
      <c r="AA660" s="4" t="s">
        <v>40</v>
      </c>
    </row>
    <row r="661" spans="1:27" s="1" customFormat="1" x14ac:dyDescent="0.3">
      <c r="A661" s="19">
        <v>20173</v>
      </c>
      <c r="B661" s="4" t="s">
        <v>1830</v>
      </c>
      <c r="C661" s="4" t="s">
        <v>1830</v>
      </c>
      <c r="D661" s="5">
        <v>42496.72383101852</v>
      </c>
      <c r="E661" s="5" t="s">
        <v>2084</v>
      </c>
      <c r="F661" s="4" t="s">
        <v>26</v>
      </c>
      <c r="G661" s="4" t="s">
        <v>1651</v>
      </c>
      <c r="H661" s="4" t="s">
        <v>1819</v>
      </c>
      <c r="I661" s="4" t="s">
        <v>216</v>
      </c>
      <c r="J661" s="4" t="s">
        <v>49</v>
      </c>
      <c r="K661" s="4" t="s">
        <v>31</v>
      </c>
      <c r="L661" s="5">
        <v>42501.958333333336</v>
      </c>
      <c r="M661" s="5">
        <v>42502.020833333336</v>
      </c>
      <c r="N661" s="5">
        <v>42502.0625</v>
      </c>
      <c r="O661" s="4" t="s">
        <v>32</v>
      </c>
      <c r="P661" s="4" t="s">
        <v>149</v>
      </c>
      <c r="Q661" s="4" t="s">
        <v>34</v>
      </c>
      <c r="R661" s="4" t="s">
        <v>1705</v>
      </c>
      <c r="S661" s="4" t="s">
        <v>1705</v>
      </c>
      <c r="T661" s="4" t="s">
        <v>37</v>
      </c>
      <c r="U661" s="4" t="s">
        <v>37</v>
      </c>
      <c r="V661" s="4" t="s">
        <v>1831</v>
      </c>
      <c r="W661" s="4" t="s">
        <v>37</v>
      </c>
      <c r="X661" s="4" t="s">
        <v>37</v>
      </c>
      <c r="Y661" s="4" t="s">
        <v>36</v>
      </c>
      <c r="Z661" s="4" t="s">
        <v>1832</v>
      </c>
      <c r="AA661" s="4"/>
    </row>
    <row r="662" spans="1:27" s="1" customFormat="1" x14ac:dyDescent="0.3">
      <c r="A662" s="19">
        <v>20174</v>
      </c>
      <c r="B662" s="4" t="s">
        <v>1833</v>
      </c>
      <c r="C662" s="4" t="s">
        <v>2189</v>
      </c>
      <c r="D662" s="5">
        <v>42496.736793981479</v>
      </c>
      <c r="E662" s="5" t="s">
        <v>2084</v>
      </c>
      <c r="F662" s="4" t="s">
        <v>26</v>
      </c>
      <c r="G662" s="4" t="s">
        <v>1651</v>
      </c>
      <c r="H662" s="4" t="s">
        <v>1466</v>
      </c>
      <c r="I662" s="4" t="s">
        <v>216</v>
      </c>
      <c r="J662" s="4" t="s">
        <v>49</v>
      </c>
      <c r="K662" s="4" t="s">
        <v>31</v>
      </c>
      <c r="L662" s="5">
        <v>42508.958333333336</v>
      </c>
      <c r="M662" s="5">
        <v>42509.052083333336</v>
      </c>
      <c r="N662" s="5">
        <v>42509.09375</v>
      </c>
      <c r="O662" s="4" t="s">
        <v>32</v>
      </c>
      <c r="P662" s="4" t="s">
        <v>149</v>
      </c>
      <c r="Q662" s="4" t="s">
        <v>76</v>
      </c>
      <c r="R662" s="4" t="s">
        <v>1705</v>
      </c>
      <c r="S662" s="4" t="s">
        <v>1705</v>
      </c>
      <c r="T662" s="4" t="s">
        <v>37</v>
      </c>
      <c r="U662" s="4" t="s">
        <v>37</v>
      </c>
      <c r="V662" s="4" t="s">
        <v>1834</v>
      </c>
      <c r="W662" s="4" t="s">
        <v>37</v>
      </c>
      <c r="X662" s="4" t="s">
        <v>37</v>
      </c>
      <c r="Y662" s="4" t="s">
        <v>36</v>
      </c>
      <c r="Z662" s="4" t="s">
        <v>1835</v>
      </c>
      <c r="AA662" s="4"/>
    </row>
    <row r="663" spans="1:27" s="1" customFormat="1" x14ac:dyDescent="0.3">
      <c r="A663" s="19">
        <v>20175</v>
      </c>
      <c r="B663" s="4" t="s">
        <v>1836</v>
      </c>
      <c r="C663" s="4" t="s">
        <v>2148</v>
      </c>
      <c r="D663" s="5">
        <v>42496.739027777781</v>
      </c>
      <c r="E663" s="5" t="s">
        <v>2084</v>
      </c>
      <c r="F663" s="4" t="s">
        <v>26</v>
      </c>
      <c r="G663" s="4" t="s">
        <v>743</v>
      </c>
      <c r="H663" s="4" t="s">
        <v>743</v>
      </c>
      <c r="I663" s="4" t="s">
        <v>42</v>
      </c>
      <c r="J663" s="4" t="s">
        <v>43</v>
      </c>
      <c r="K663" s="4" t="s">
        <v>31</v>
      </c>
      <c r="L663" s="5">
        <v>42502.916666666664</v>
      </c>
      <c r="M663" s="5">
        <v>42503.208333333336</v>
      </c>
      <c r="N663" s="5">
        <v>42503.208333333336</v>
      </c>
      <c r="O663" s="4" t="s">
        <v>32</v>
      </c>
      <c r="P663" s="4" t="s">
        <v>89</v>
      </c>
      <c r="Q663" s="4" t="s">
        <v>76</v>
      </c>
      <c r="R663" s="4" t="s">
        <v>1837</v>
      </c>
      <c r="S663" s="4" t="s">
        <v>1837</v>
      </c>
      <c r="T663" s="4" t="s">
        <v>37</v>
      </c>
      <c r="U663" s="4" t="s">
        <v>37</v>
      </c>
      <c r="V663" s="4" t="s">
        <v>1838</v>
      </c>
      <c r="W663" s="4" t="s">
        <v>37</v>
      </c>
      <c r="X663" s="4" t="s">
        <v>37</v>
      </c>
      <c r="Y663" s="4" t="s">
        <v>36</v>
      </c>
      <c r="Z663" s="4" t="s">
        <v>39</v>
      </c>
      <c r="AA663" s="4" t="s">
        <v>744</v>
      </c>
    </row>
    <row r="664" spans="1:27" s="1" customFormat="1" x14ac:dyDescent="0.3">
      <c r="A664" s="19">
        <v>20178</v>
      </c>
      <c r="B664" s="4" t="s">
        <v>1839</v>
      </c>
      <c r="C664" s="4" t="s">
        <v>2111</v>
      </c>
      <c r="D664" s="5">
        <v>42496.773043981484</v>
      </c>
      <c r="E664" s="5" t="s">
        <v>2084</v>
      </c>
      <c r="F664" s="4" t="s">
        <v>26</v>
      </c>
      <c r="G664" s="4" t="s">
        <v>146</v>
      </c>
      <c r="H664" s="4" t="s">
        <v>1840</v>
      </c>
      <c r="I664" s="4" t="s">
        <v>203</v>
      </c>
      <c r="J664" s="4" t="s">
        <v>302</v>
      </c>
      <c r="K664" s="4" t="s">
        <v>31</v>
      </c>
      <c r="L664" s="5">
        <v>42500.041666666664</v>
      </c>
      <c r="M664" s="5">
        <v>42500.083333333336</v>
      </c>
      <c r="N664" s="5">
        <v>42500.125</v>
      </c>
      <c r="O664" s="4" t="s">
        <v>710</v>
      </c>
      <c r="P664" s="4" t="s">
        <v>33</v>
      </c>
      <c r="Q664" s="4" t="s">
        <v>76</v>
      </c>
      <c r="R664" s="4" t="s">
        <v>1841</v>
      </c>
      <c r="S664" s="4" t="s">
        <v>1841</v>
      </c>
      <c r="T664" s="4" t="s">
        <v>37</v>
      </c>
      <c r="U664" s="4" t="s">
        <v>37</v>
      </c>
      <c r="V664" s="4" t="s">
        <v>1842</v>
      </c>
      <c r="W664" s="4" t="s">
        <v>37</v>
      </c>
      <c r="X664" s="4" t="s">
        <v>36</v>
      </c>
      <c r="Y664" s="4" t="s">
        <v>37</v>
      </c>
      <c r="Z664" s="4"/>
      <c r="AA664" s="4" t="s">
        <v>187</v>
      </c>
    </row>
    <row r="665" spans="1:27" s="1" customFormat="1" x14ac:dyDescent="0.3">
      <c r="A665" s="19">
        <v>20181</v>
      </c>
      <c r="B665" s="4" t="s">
        <v>1843</v>
      </c>
      <c r="C665" s="4" t="s">
        <v>1844</v>
      </c>
      <c r="D665" s="5">
        <v>42499.40829861111</v>
      </c>
      <c r="E665" s="5" t="s">
        <v>2084</v>
      </c>
      <c r="F665" s="4" t="s">
        <v>26</v>
      </c>
      <c r="G665" s="4" t="s">
        <v>421</v>
      </c>
      <c r="H665" s="4" t="s">
        <v>922</v>
      </c>
      <c r="I665" s="4" t="s">
        <v>118</v>
      </c>
      <c r="J665" s="4" t="s">
        <v>30</v>
      </c>
      <c r="K665" s="4" t="s">
        <v>31</v>
      </c>
      <c r="L665" s="5">
        <v>42506.916666666664</v>
      </c>
      <c r="M665" s="5">
        <v>42507.125</v>
      </c>
      <c r="N665" s="5">
        <v>42507.75</v>
      </c>
      <c r="O665" s="4" t="s">
        <v>32</v>
      </c>
      <c r="P665" s="4" t="s">
        <v>149</v>
      </c>
      <c r="Q665" s="4" t="s">
        <v>76</v>
      </c>
      <c r="R665" s="6" t="s">
        <v>77</v>
      </c>
      <c r="S665" s="4" t="s">
        <v>291</v>
      </c>
      <c r="T665" s="4" t="s">
        <v>37</v>
      </c>
      <c r="U665" s="4" t="s">
        <v>37</v>
      </c>
      <c r="V665" s="4" t="s">
        <v>1265</v>
      </c>
      <c r="W665" s="4" t="s">
        <v>37</v>
      </c>
      <c r="X665" s="4" t="s">
        <v>37</v>
      </c>
      <c r="Y665" s="4" t="s">
        <v>36</v>
      </c>
      <c r="Z665" s="4" t="s">
        <v>1844</v>
      </c>
      <c r="AA665" s="4" t="s">
        <v>40</v>
      </c>
    </row>
    <row r="666" spans="1:27" s="1" customFormat="1" x14ac:dyDescent="0.3">
      <c r="A666" s="19">
        <v>20184</v>
      </c>
      <c r="B666" s="4" t="s">
        <v>1845</v>
      </c>
      <c r="C666" s="4">
        <v>0</v>
      </c>
      <c r="D666" s="5">
        <v>42499.418611111112</v>
      </c>
      <c r="E666" s="5" t="s">
        <v>2084</v>
      </c>
      <c r="F666" s="4" t="s">
        <v>26</v>
      </c>
      <c r="G666" s="4" t="s">
        <v>354</v>
      </c>
      <c r="H666" s="4" t="s">
        <v>354</v>
      </c>
      <c r="I666" s="4" t="s">
        <v>203</v>
      </c>
      <c r="J666" s="4" t="s">
        <v>331</v>
      </c>
      <c r="K666" s="4" t="s">
        <v>31</v>
      </c>
      <c r="L666" s="5">
        <v>42505.000694444447</v>
      </c>
      <c r="M666" s="5">
        <v>42512.999305555553</v>
      </c>
      <c r="N666" s="5">
        <v>42513.25</v>
      </c>
      <c r="O666" s="4" t="s">
        <v>32</v>
      </c>
      <c r="P666" s="4" t="s">
        <v>149</v>
      </c>
      <c r="Q666" s="4" t="s">
        <v>76</v>
      </c>
      <c r="R666" s="4"/>
      <c r="S666" s="4"/>
      <c r="T666" s="4" t="s">
        <v>37</v>
      </c>
      <c r="U666" s="4" t="s">
        <v>37</v>
      </c>
      <c r="V666" s="4" t="s">
        <v>1846</v>
      </c>
      <c r="W666" s="4" t="s">
        <v>37</v>
      </c>
      <c r="X666" s="4" t="s">
        <v>37</v>
      </c>
      <c r="Y666" s="4" t="s">
        <v>36</v>
      </c>
      <c r="Z666" s="4"/>
      <c r="AA666" s="4" t="s">
        <v>93</v>
      </c>
    </row>
    <row r="667" spans="1:27" s="1" customFormat="1" x14ac:dyDescent="0.3">
      <c r="A667" s="19">
        <v>20185</v>
      </c>
      <c r="B667" s="4" t="s">
        <v>687</v>
      </c>
      <c r="C667" s="4">
        <v>0</v>
      </c>
      <c r="D667" s="5">
        <v>42499.48982638889</v>
      </c>
      <c r="E667" s="5" t="s">
        <v>2084</v>
      </c>
      <c r="F667" s="4" t="s">
        <v>26</v>
      </c>
      <c r="G667" s="4" t="s">
        <v>392</v>
      </c>
      <c r="H667" s="4" t="s">
        <v>392</v>
      </c>
      <c r="I667" s="4" t="s">
        <v>200</v>
      </c>
      <c r="J667" s="4" t="s">
        <v>311</v>
      </c>
      <c r="K667" s="4" t="s">
        <v>31</v>
      </c>
      <c r="L667" s="5">
        <v>42515.833333333336</v>
      </c>
      <c r="M667" s="5">
        <v>42516.083333333336</v>
      </c>
      <c r="N667" s="5">
        <v>42516.104166666664</v>
      </c>
      <c r="O667" s="4" t="s">
        <v>32</v>
      </c>
      <c r="P667" s="4" t="s">
        <v>33</v>
      </c>
      <c r="Q667" s="4" t="s">
        <v>76</v>
      </c>
      <c r="R667" s="6" t="s">
        <v>77</v>
      </c>
      <c r="S667" s="6" t="s">
        <v>77</v>
      </c>
      <c r="T667" s="4" t="s">
        <v>37</v>
      </c>
      <c r="U667" s="4" t="s">
        <v>37</v>
      </c>
      <c r="V667" s="4" t="s">
        <v>646</v>
      </c>
      <c r="W667" s="4" t="s">
        <v>37</v>
      </c>
      <c r="X667" s="4" t="s">
        <v>37</v>
      </c>
      <c r="Y667" s="4" t="s">
        <v>36</v>
      </c>
      <c r="Z667" s="4"/>
      <c r="AA667" s="4"/>
    </row>
    <row r="668" spans="1:27" s="1" customFormat="1" x14ac:dyDescent="0.3">
      <c r="A668" s="19">
        <v>20186</v>
      </c>
      <c r="B668" s="4" t="s">
        <v>1447</v>
      </c>
      <c r="C668" s="4" t="s">
        <v>2111</v>
      </c>
      <c r="D668" s="5">
        <v>42499.529305555552</v>
      </c>
      <c r="E668" s="5" t="s">
        <v>2084</v>
      </c>
      <c r="F668" s="4" t="s">
        <v>26</v>
      </c>
      <c r="G668" s="4" t="s">
        <v>397</v>
      </c>
      <c r="H668" s="4" t="s">
        <v>397</v>
      </c>
      <c r="I668" s="4" t="s">
        <v>205</v>
      </c>
      <c r="J668" s="4" t="s">
        <v>30</v>
      </c>
      <c r="K668" s="4" t="s">
        <v>31</v>
      </c>
      <c r="L668" s="5">
        <v>42505.010416666664</v>
      </c>
      <c r="M668" s="5">
        <v>42505.208333333336</v>
      </c>
      <c r="N668" s="5">
        <v>42505.25</v>
      </c>
      <c r="O668" s="4" t="s">
        <v>710</v>
      </c>
      <c r="P668" s="4" t="s">
        <v>33</v>
      </c>
      <c r="Q668" s="4" t="s">
        <v>76</v>
      </c>
      <c r="R668" s="4" t="s">
        <v>1847</v>
      </c>
      <c r="S668" s="4" t="s">
        <v>1847</v>
      </c>
      <c r="T668" s="4" t="s">
        <v>36</v>
      </c>
      <c r="U668" s="4" t="s">
        <v>37</v>
      </c>
      <c r="V668" s="4" t="s">
        <v>1449</v>
      </c>
      <c r="W668" s="4" t="s">
        <v>37</v>
      </c>
      <c r="X668" s="4" t="s">
        <v>37</v>
      </c>
      <c r="Y668" s="4" t="s">
        <v>36</v>
      </c>
      <c r="Z668" s="4"/>
      <c r="AA668" s="4" t="s">
        <v>179</v>
      </c>
    </row>
    <row r="669" spans="1:27" s="1" customFormat="1" x14ac:dyDescent="0.3">
      <c r="A669" s="19">
        <v>20187</v>
      </c>
      <c r="B669" s="4" t="s">
        <v>1447</v>
      </c>
      <c r="C669" s="4" t="s">
        <v>2111</v>
      </c>
      <c r="D669" s="5">
        <v>42499.532812500001</v>
      </c>
      <c r="E669" s="5" t="s">
        <v>2084</v>
      </c>
      <c r="F669" s="4" t="s">
        <v>26</v>
      </c>
      <c r="G669" s="4" t="s">
        <v>397</v>
      </c>
      <c r="H669" s="4" t="s">
        <v>397</v>
      </c>
      <c r="I669" s="4" t="s">
        <v>205</v>
      </c>
      <c r="J669" s="4" t="s">
        <v>30</v>
      </c>
      <c r="K669" s="4" t="s">
        <v>31</v>
      </c>
      <c r="L669" s="5">
        <v>42519.010416666664</v>
      </c>
      <c r="M669" s="5">
        <v>42519.208333333336</v>
      </c>
      <c r="N669" s="5">
        <v>42519.25</v>
      </c>
      <c r="O669" s="4" t="s">
        <v>710</v>
      </c>
      <c r="P669" s="4" t="s">
        <v>33</v>
      </c>
      <c r="Q669" s="4" t="s">
        <v>76</v>
      </c>
      <c r="R669" s="4" t="s">
        <v>1847</v>
      </c>
      <c r="S669" s="4" t="s">
        <v>1847</v>
      </c>
      <c r="T669" s="4" t="s">
        <v>36</v>
      </c>
      <c r="U669" s="4" t="s">
        <v>37</v>
      </c>
      <c r="V669" s="4" t="s">
        <v>1449</v>
      </c>
      <c r="W669" s="4" t="s">
        <v>37</v>
      </c>
      <c r="X669" s="4" t="s">
        <v>37</v>
      </c>
      <c r="Y669" s="4" t="s">
        <v>37</v>
      </c>
      <c r="Z669" s="4"/>
      <c r="AA669" s="4" t="s">
        <v>179</v>
      </c>
    </row>
    <row r="670" spans="1:27" s="1" customFormat="1" x14ac:dyDescent="0.3">
      <c r="A670" s="19">
        <v>20191</v>
      </c>
      <c r="B670" s="4" t="s">
        <v>232</v>
      </c>
      <c r="C670" s="4">
        <v>0</v>
      </c>
      <c r="D670" s="5">
        <v>42499.565891203703</v>
      </c>
      <c r="E670" s="5" t="s">
        <v>2084</v>
      </c>
      <c r="F670" s="4" t="s">
        <v>26</v>
      </c>
      <c r="G670" s="4" t="s">
        <v>471</v>
      </c>
      <c r="H670" s="4" t="s">
        <v>234</v>
      </c>
      <c r="I670" s="4" t="s">
        <v>203</v>
      </c>
      <c r="J670" s="4" t="s">
        <v>49</v>
      </c>
      <c r="K670" s="4" t="s">
        <v>31</v>
      </c>
      <c r="L670" s="5">
        <v>42509</v>
      </c>
      <c r="M670" s="5">
        <v>42509.298611111109</v>
      </c>
      <c r="N670" s="5">
        <v>42509.298611111109</v>
      </c>
      <c r="O670" s="4" t="s">
        <v>32</v>
      </c>
      <c r="P670" s="4" t="s">
        <v>33</v>
      </c>
      <c r="Q670" s="4" t="s">
        <v>34</v>
      </c>
      <c r="R670" s="4" t="s">
        <v>1848</v>
      </c>
      <c r="S670" s="4" t="s">
        <v>1848</v>
      </c>
      <c r="T670" s="4" t="s">
        <v>36</v>
      </c>
      <c r="U670" s="4" t="s">
        <v>37</v>
      </c>
      <c r="V670" s="4" t="s">
        <v>236</v>
      </c>
      <c r="W670" s="4" t="s">
        <v>37</v>
      </c>
      <c r="X670" s="4" t="s">
        <v>37</v>
      </c>
      <c r="Y670" s="4" t="s">
        <v>36</v>
      </c>
      <c r="Z670" s="4"/>
      <c r="AA670" s="4"/>
    </row>
    <row r="671" spans="1:27" s="1" customFormat="1" x14ac:dyDescent="0.3">
      <c r="A671" s="19">
        <v>20192</v>
      </c>
      <c r="B671" s="4" t="s">
        <v>1849</v>
      </c>
      <c r="C671" s="4">
        <v>0</v>
      </c>
      <c r="D671" s="5">
        <v>42499.567060185182</v>
      </c>
      <c r="E671" s="5" t="s">
        <v>2084</v>
      </c>
      <c r="F671" s="4" t="s">
        <v>26</v>
      </c>
      <c r="G671" s="4" t="s">
        <v>428</v>
      </c>
      <c r="H671" s="4" t="s">
        <v>428</v>
      </c>
      <c r="I671" s="4" t="s">
        <v>56</v>
      </c>
      <c r="J671" s="4" t="s">
        <v>543</v>
      </c>
      <c r="K671" s="4" t="s">
        <v>31</v>
      </c>
      <c r="L671" s="5">
        <v>42504.291666666664</v>
      </c>
      <c r="M671" s="5">
        <v>42505.75</v>
      </c>
      <c r="N671" s="5">
        <v>42508.570138888892</v>
      </c>
      <c r="O671" s="4" t="s">
        <v>32</v>
      </c>
      <c r="P671" s="4" t="s">
        <v>33</v>
      </c>
      <c r="Q671" s="4" t="s">
        <v>76</v>
      </c>
      <c r="R671" s="6" t="s">
        <v>77</v>
      </c>
      <c r="S671" s="6" t="s">
        <v>77</v>
      </c>
      <c r="T671" s="4" t="s">
        <v>37</v>
      </c>
      <c r="U671" s="4" t="s">
        <v>37</v>
      </c>
      <c r="V671" s="4" t="s">
        <v>395</v>
      </c>
      <c r="W671" s="4" t="s">
        <v>37</v>
      </c>
      <c r="X671" s="4" t="s">
        <v>37</v>
      </c>
      <c r="Y671" s="4" t="s">
        <v>36</v>
      </c>
      <c r="Z671" s="4"/>
      <c r="AA671" s="4"/>
    </row>
    <row r="672" spans="1:27" s="1" customFormat="1" x14ac:dyDescent="0.3">
      <c r="A672" s="19">
        <v>20193</v>
      </c>
      <c r="B672" s="4" t="s">
        <v>1850</v>
      </c>
      <c r="C672" s="4" t="s">
        <v>2111</v>
      </c>
      <c r="D672" s="5">
        <v>42499.625775462962</v>
      </c>
      <c r="E672" s="5" t="s">
        <v>2084</v>
      </c>
      <c r="F672" s="4" t="s">
        <v>26</v>
      </c>
      <c r="G672" s="4" t="s">
        <v>310</v>
      </c>
      <c r="H672" s="4" t="s">
        <v>1137</v>
      </c>
      <c r="I672" s="4" t="s">
        <v>83</v>
      </c>
      <c r="J672" s="4" t="s">
        <v>49</v>
      </c>
      <c r="K672" s="4" t="s">
        <v>31</v>
      </c>
      <c r="L672" s="5">
        <v>42500.958333333336</v>
      </c>
      <c r="M672" s="5">
        <v>42501.0625</v>
      </c>
      <c r="N672" s="5">
        <v>42501.083333333336</v>
      </c>
      <c r="O672" s="4" t="s">
        <v>710</v>
      </c>
      <c r="P672" s="4" t="s">
        <v>33</v>
      </c>
      <c r="Q672" s="4" t="s">
        <v>76</v>
      </c>
      <c r="R672" s="4" t="s">
        <v>1851</v>
      </c>
      <c r="S672" s="6" t="s">
        <v>77</v>
      </c>
      <c r="T672" s="4" t="s">
        <v>36</v>
      </c>
      <c r="U672" s="4" t="s">
        <v>37</v>
      </c>
      <c r="V672" s="4" t="s">
        <v>1139</v>
      </c>
      <c r="W672" s="4" t="s">
        <v>37</v>
      </c>
      <c r="X672" s="4" t="s">
        <v>37</v>
      </c>
      <c r="Y672" s="4" t="s">
        <v>36</v>
      </c>
      <c r="Z672" s="4"/>
      <c r="AA672" s="4"/>
    </row>
    <row r="673" spans="1:27" s="1" customFormat="1" x14ac:dyDescent="0.3">
      <c r="A673" s="19">
        <v>20194</v>
      </c>
      <c r="B673" s="4" t="s">
        <v>1852</v>
      </c>
      <c r="C673" s="4">
        <v>0</v>
      </c>
      <c r="D673" s="5">
        <v>42499.629965277774</v>
      </c>
      <c r="E673" s="5" t="s">
        <v>2084</v>
      </c>
      <c r="F673" s="4" t="s">
        <v>26</v>
      </c>
      <c r="G673" s="4" t="s">
        <v>348</v>
      </c>
      <c r="H673" s="4" t="s">
        <v>1853</v>
      </c>
      <c r="I673" s="4" t="s">
        <v>88</v>
      </c>
      <c r="J673" s="4" t="s">
        <v>30</v>
      </c>
      <c r="K673" s="4" t="s">
        <v>31</v>
      </c>
      <c r="L673" s="5">
        <v>42504.916666666664</v>
      </c>
      <c r="M673" s="5">
        <v>42505.208333333336</v>
      </c>
      <c r="N673" s="5">
        <v>42505.291666666664</v>
      </c>
      <c r="O673" s="4" t="s">
        <v>32</v>
      </c>
      <c r="P673" s="4" t="s">
        <v>33</v>
      </c>
      <c r="Q673" s="4" t="s">
        <v>76</v>
      </c>
      <c r="R673" s="4" t="s">
        <v>1854</v>
      </c>
      <c r="S673" s="4" t="s">
        <v>1854</v>
      </c>
      <c r="T673" s="4" t="s">
        <v>36</v>
      </c>
      <c r="U673" s="4" t="s">
        <v>37</v>
      </c>
      <c r="V673" s="4" t="s">
        <v>1308</v>
      </c>
      <c r="W673" s="4" t="s">
        <v>37</v>
      </c>
      <c r="X673" s="4" t="s">
        <v>37</v>
      </c>
      <c r="Y673" s="4" t="s">
        <v>36</v>
      </c>
      <c r="Z673" s="4"/>
      <c r="AA673" s="4" t="s">
        <v>179</v>
      </c>
    </row>
    <row r="674" spans="1:27" s="1" customFormat="1" x14ac:dyDescent="0.3">
      <c r="A674" s="19">
        <v>20195</v>
      </c>
      <c r="B674" s="4" t="s">
        <v>1855</v>
      </c>
      <c r="C674" s="4" t="s">
        <v>2111</v>
      </c>
      <c r="D674" s="5">
        <v>42499.644942129627</v>
      </c>
      <c r="E674" s="5" t="s">
        <v>2084</v>
      </c>
      <c r="F674" s="4" t="s">
        <v>26</v>
      </c>
      <c r="G674" s="4" t="s">
        <v>1576</v>
      </c>
      <c r="H674" s="4" t="s">
        <v>1576</v>
      </c>
      <c r="I674" s="4" t="s">
        <v>203</v>
      </c>
      <c r="J674" s="4" t="s">
        <v>30</v>
      </c>
      <c r="K674" s="4" t="s">
        <v>31</v>
      </c>
      <c r="L674" s="5">
        <v>42500.291666666664</v>
      </c>
      <c r="M674" s="5">
        <v>42500.409722222219</v>
      </c>
      <c r="N674" s="5">
        <v>42500.409722222219</v>
      </c>
      <c r="O674" s="4" t="s">
        <v>710</v>
      </c>
      <c r="P674" s="4" t="s">
        <v>89</v>
      </c>
      <c r="Q674" s="4" t="s">
        <v>76</v>
      </c>
      <c r="R674" s="6" t="s">
        <v>77</v>
      </c>
      <c r="S674" s="4" t="s">
        <v>1856</v>
      </c>
      <c r="T674" s="4" t="s">
        <v>36</v>
      </c>
      <c r="U674" s="4" t="s">
        <v>36</v>
      </c>
      <c r="V674" s="4" t="s">
        <v>1857</v>
      </c>
      <c r="W674" s="4" t="s">
        <v>37</v>
      </c>
      <c r="X674" s="4" t="s">
        <v>37</v>
      </c>
      <c r="Y674" s="4" t="s">
        <v>36</v>
      </c>
      <c r="Z674" s="4" t="s">
        <v>1858</v>
      </c>
      <c r="AA674" s="4" t="s">
        <v>231</v>
      </c>
    </row>
    <row r="675" spans="1:27" s="1" customFormat="1" x14ac:dyDescent="0.3">
      <c r="A675" s="19">
        <v>20196</v>
      </c>
      <c r="B675" s="4" t="s">
        <v>1859</v>
      </c>
      <c r="C675" s="4">
        <v>0</v>
      </c>
      <c r="D675" s="5">
        <v>42499.665960648148</v>
      </c>
      <c r="E675" s="5" t="s">
        <v>2084</v>
      </c>
      <c r="F675" s="4" t="s">
        <v>26</v>
      </c>
      <c r="G675" s="4" t="s">
        <v>507</v>
      </c>
      <c r="H675" s="4" t="s">
        <v>455</v>
      </c>
      <c r="I675" s="4" t="s">
        <v>80</v>
      </c>
      <c r="J675" s="4" t="s">
        <v>185</v>
      </c>
      <c r="K675" s="4" t="s">
        <v>31</v>
      </c>
      <c r="L675" s="5">
        <v>42515.958333333336</v>
      </c>
      <c r="M675" s="5">
        <v>42516.208333333336</v>
      </c>
      <c r="N675" s="5">
        <v>42516.25</v>
      </c>
      <c r="O675" s="4" t="s">
        <v>32</v>
      </c>
      <c r="P675" s="4" t="s">
        <v>89</v>
      </c>
      <c r="Q675" s="4" t="s">
        <v>34</v>
      </c>
      <c r="R675" s="6" t="s">
        <v>77</v>
      </c>
      <c r="S675" s="6" t="s">
        <v>77</v>
      </c>
      <c r="T675" s="4" t="s">
        <v>37</v>
      </c>
      <c r="U675" s="4" t="s">
        <v>37</v>
      </c>
      <c r="V675" s="4" t="s">
        <v>1860</v>
      </c>
      <c r="W675" s="4" t="s">
        <v>37</v>
      </c>
      <c r="X675" s="4" t="s">
        <v>37</v>
      </c>
      <c r="Y675" s="4" t="s">
        <v>36</v>
      </c>
      <c r="Z675" s="4" t="s">
        <v>1408</v>
      </c>
      <c r="AA675" s="4" t="s">
        <v>187</v>
      </c>
    </row>
    <row r="676" spans="1:27" s="1" customFormat="1" x14ac:dyDescent="0.3">
      <c r="A676" s="19">
        <v>20197</v>
      </c>
      <c r="B676" s="4" t="s">
        <v>1861</v>
      </c>
      <c r="C676" s="4">
        <v>0</v>
      </c>
      <c r="D676" s="5">
        <v>42499.730578703704</v>
      </c>
      <c r="E676" s="5" t="s">
        <v>2084</v>
      </c>
      <c r="F676" s="4" t="s">
        <v>26</v>
      </c>
      <c r="G676" s="4" t="s">
        <v>224</v>
      </c>
      <c r="H676" s="4" t="s">
        <v>224</v>
      </c>
      <c r="I676" s="4" t="s">
        <v>216</v>
      </c>
      <c r="J676" s="4" t="s">
        <v>528</v>
      </c>
      <c r="K676" s="4" t="s">
        <v>31</v>
      </c>
      <c r="L676" s="5">
        <v>42510.916666666664</v>
      </c>
      <c r="M676" s="5">
        <v>42513.208333333336</v>
      </c>
      <c r="N676" s="5">
        <v>42513.25</v>
      </c>
      <c r="O676" s="4" t="s">
        <v>32</v>
      </c>
      <c r="P676" s="4" t="s">
        <v>33</v>
      </c>
      <c r="Q676" s="4" t="s">
        <v>50</v>
      </c>
      <c r="R676" s="6" t="s">
        <v>77</v>
      </c>
      <c r="S676" s="4" t="s">
        <v>39</v>
      </c>
      <c r="T676" s="4" t="s">
        <v>37</v>
      </c>
      <c r="U676" s="4" t="s">
        <v>37</v>
      </c>
      <c r="V676" s="4" t="s">
        <v>529</v>
      </c>
      <c r="W676" s="4" t="s">
        <v>37</v>
      </c>
      <c r="X676" s="4" t="s">
        <v>37</v>
      </c>
      <c r="Y676" s="4" t="s">
        <v>36</v>
      </c>
      <c r="Z676" s="4" t="s">
        <v>1766</v>
      </c>
      <c r="AA676" s="4" t="s">
        <v>231</v>
      </c>
    </row>
    <row r="677" spans="1:27" s="1" customFormat="1" x14ac:dyDescent="0.3">
      <c r="A677" s="19">
        <v>20198</v>
      </c>
      <c r="B677" s="4" t="s">
        <v>477</v>
      </c>
      <c r="C677" s="4">
        <v>0</v>
      </c>
      <c r="D677" s="5">
        <v>42499.829270833332</v>
      </c>
      <c r="E677" s="5" t="s">
        <v>2084</v>
      </c>
      <c r="F677" s="4" t="s">
        <v>26</v>
      </c>
      <c r="G677" s="4" t="s">
        <v>945</v>
      </c>
      <c r="H677" s="4" t="s">
        <v>945</v>
      </c>
      <c r="I677" s="4" t="s">
        <v>212</v>
      </c>
      <c r="J677" s="4" t="s">
        <v>946</v>
      </c>
      <c r="K677" s="4" t="s">
        <v>31</v>
      </c>
      <c r="L677" s="5">
        <v>42517.916666666664</v>
      </c>
      <c r="M677" s="5">
        <v>42517.999305555553</v>
      </c>
      <c r="N677" s="5">
        <v>42518.208333333336</v>
      </c>
      <c r="O677" s="4" t="s">
        <v>32</v>
      </c>
      <c r="P677" s="4" t="s">
        <v>33</v>
      </c>
      <c r="Q677" s="4" t="s">
        <v>50</v>
      </c>
      <c r="R677" s="6" t="s">
        <v>77</v>
      </c>
      <c r="S677" s="4" t="s">
        <v>230</v>
      </c>
      <c r="T677" s="4" t="s">
        <v>37</v>
      </c>
      <c r="U677" s="4" t="s">
        <v>37</v>
      </c>
      <c r="V677" s="4" t="s">
        <v>480</v>
      </c>
      <c r="W677" s="4" t="s">
        <v>37</v>
      </c>
      <c r="X677" s="4" t="s">
        <v>37</v>
      </c>
      <c r="Y677" s="4" t="s">
        <v>36</v>
      </c>
      <c r="Z677" s="4"/>
      <c r="AA677" s="4" t="s">
        <v>481</v>
      </c>
    </row>
    <row r="678" spans="1:27" s="1" customFormat="1" x14ac:dyDescent="0.3">
      <c r="A678" s="19">
        <v>20199</v>
      </c>
      <c r="B678" s="4" t="s">
        <v>1862</v>
      </c>
      <c r="C678" s="4">
        <v>0</v>
      </c>
      <c r="D678" s="5">
        <v>42499.9997337963</v>
      </c>
      <c r="E678" s="5" t="s">
        <v>2084</v>
      </c>
      <c r="F678" s="4" t="s">
        <v>26</v>
      </c>
      <c r="G678" s="4" t="s">
        <v>1128</v>
      </c>
      <c r="H678" s="4" t="s">
        <v>1128</v>
      </c>
      <c r="I678" s="4" t="s">
        <v>203</v>
      </c>
      <c r="J678" s="4" t="s">
        <v>49</v>
      </c>
      <c r="K678" s="4" t="s">
        <v>31</v>
      </c>
      <c r="L678" s="5">
        <v>42507.9375</v>
      </c>
      <c r="M678" s="5">
        <v>42508.25</v>
      </c>
      <c r="N678" s="5">
        <v>42508.291666666664</v>
      </c>
      <c r="O678" s="4" t="s">
        <v>32</v>
      </c>
      <c r="P678" s="4" t="s">
        <v>33</v>
      </c>
      <c r="Q678" s="4" t="s">
        <v>76</v>
      </c>
      <c r="R678" s="4" t="s">
        <v>1863</v>
      </c>
      <c r="S678" s="4" t="s">
        <v>1863</v>
      </c>
      <c r="T678" s="4" t="s">
        <v>36</v>
      </c>
      <c r="U678" s="4" t="s">
        <v>37</v>
      </c>
      <c r="V678" s="4" t="s">
        <v>1302</v>
      </c>
      <c r="W678" s="4" t="s">
        <v>36</v>
      </c>
      <c r="X678" s="4" t="s">
        <v>37</v>
      </c>
      <c r="Y678" s="4" t="s">
        <v>37</v>
      </c>
      <c r="Z678" s="4" t="s">
        <v>1864</v>
      </c>
      <c r="AA678" s="4"/>
    </row>
    <row r="679" spans="1:27" s="1" customFormat="1" x14ac:dyDescent="0.3">
      <c r="A679" s="19">
        <v>20201</v>
      </c>
      <c r="B679" s="4" t="s">
        <v>1862</v>
      </c>
      <c r="C679" s="4">
        <v>0</v>
      </c>
      <c r="D679" s="5">
        <v>42500.118252314816</v>
      </c>
      <c r="E679" s="5" t="s">
        <v>2084</v>
      </c>
      <c r="F679" s="4" t="s">
        <v>26</v>
      </c>
      <c r="G679" s="4" t="s">
        <v>1128</v>
      </c>
      <c r="H679" s="4" t="s">
        <v>1128</v>
      </c>
      <c r="I679" s="4" t="s">
        <v>203</v>
      </c>
      <c r="J679" s="4" t="s">
        <v>49</v>
      </c>
      <c r="K679" s="4" t="s">
        <v>31</v>
      </c>
      <c r="L679" s="5">
        <v>42509.9375</v>
      </c>
      <c r="M679" s="5">
        <v>42510.25</v>
      </c>
      <c r="N679" s="5">
        <v>42510.291666666664</v>
      </c>
      <c r="O679" s="4" t="s">
        <v>32</v>
      </c>
      <c r="P679" s="4" t="s">
        <v>33</v>
      </c>
      <c r="Q679" s="4" t="s">
        <v>76</v>
      </c>
      <c r="R679" s="4" t="s">
        <v>1865</v>
      </c>
      <c r="S679" s="4" t="s">
        <v>1865</v>
      </c>
      <c r="T679" s="4" t="s">
        <v>36</v>
      </c>
      <c r="U679" s="4" t="s">
        <v>37</v>
      </c>
      <c r="V679" s="4" t="s">
        <v>1302</v>
      </c>
      <c r="W679" s="4" t="s">
        <v>37</v>
      </c>
      <c r="X679" s="4" t="s">
        <v>37</v>
      </c>
      <c r="Y679" s="4" t="s">
        <v>37</v>
      </c>
      <c r="Z679" s="4" t="s">
        <v>1866</v>
      </c>
      <c r="AA679" s="4"/>
    </row>
    <row r="680" spans="1:27" s="1" customFormat="1" x14ac:dyDescent="0.3">
      <c r="A680" s="19">
        <v>20202</v>
      </c>
      <c r="B680" s="4" t="s">
        <v>131</v>
      </c>
      <c r="C680" s="4">
        <v>0</v>
      </c>
      <c r="D680" s="5">
        <v>42500.152141203704</v>
      </c>
      <c r="E680" s="5" t="s">
        <v>2084</v>
      </c>
      <c r="F680" s="4" t="s">
        <v>26</v>
      </c>
      <c r="G680" s="4" t="s">
        <v>1128</v>
      </c>
      <c r="H680" s="4" t="s">
        <v>1128</v>
      </c>
      <c r="I680" s="4" t="s">
        <v>200</v>
      </c>
      <c r="J680" s="4" t="s">
        <v>49</v>
      </c>
      <c r="K680" s="4" t="s">
        <v>31</v>
      </c>
      <c r="L680" s="5">
        <v>42510.9375</v>
      </c>
      <c r="M680" s="5">
        <v>42511.25</v>
      </c>
      <c r="N680" s="5">
        <v>42511.291666666664</v>
      </c>
      <c r="O680" s="4" t="s">
        <v>32</v>
      </c>
      <c r="P680" s="4" t="s">
        <v>33</v>
      </c>
      <c r="Q680" s="4" t="s">
        <v>76</v>
      </c>
      <c r="R680" s="4" t="s">
        <v>1867</v>
      </c>
      <c r="S680" s="4" t="s">
        <v>1867</v>
      </c>
      <c r="T680" s="4" t="s">
        <v>36</v>
      </c>
      <c r="U680" s="4" t="s">
        <v>37</v>
      </c>
      <c r="V680" s="4" t="s">
        <v>1302</v>
      </c>
      <c r="W680" s="4" t="s">
        <v>37</v>
      </c>
      <c r="X680" s="4" t="s">
        <v>37</v>
      </c>
      <c r="Y680" s="4" t="s">
        <v>36</v>
      </c>
      <c r="Z680" s="4"/>
      <c r="AA680" s="4"/>
    </row>
    <row r="681" spans="1:27" s="1" customFormat="1" x14ac:dyDescent="0.3">
      <c r="A681" s="19">
        <v>20204</v>
      </c>
      <c r="B681" s="4" t="s">
        <v>1623</v>
      </c>
      <c r="C681" s="4" t="s">
        <v>2111</v>
      </c>
      <c r="D681" s="5">
        <v>42500.413831018515</v>
      </c>
      <c r="E681" s="5" t="s">
        <v>2084</v>
      </c>
      <c r="F681" s="4" t="s">
        <v>26</v>
      </c>
      <c r="G681" s="4" t="s">
        <v>310</v>
      </c>
      <c r="H681" s="4" t="s">
        <v>1137</v>
      </c>
      <c r="I681" s="4" t="s">
        <v>212</v>
      </c>
      <c r="J681" s="4" t="s">
        <v>49</v>
      </c>
      <c r="K681" s="4" t="s">
        <v>31</v>
      </c>
      <c r="L681" s="5">
        <v>42502.958333333336</v>
      </c>
      <c r="M681" s="5">
        <v>42502.958333333336</v>
      </c>
      <c r="N681" s="5">
        <v>42503.020833333336</v>
      </c>
      <c r="O681" s="4" t="s">
        <v>710</v>
      </c>
      <c r="P681" s="4" t="s">
        <v>33</v>
      </c>
      <c r="Q681" s="4" t="s">
        <v>76</v>
      </c>
      <c r="R681" s="4" t="s">
        <v>1624</v>
      </c>
      <c r="S681" s="6" t="s">
        <v>77</v>
      </c>
      <c r="T681" s="4" t="s">
        <v>36</v>
      </c>
      <c r="U681" s="4" t="s">
        <v>37</v>
      </c>
      <c r="V681" s="4" t="s">
        <v>1139</v>
      </c>
      <c r="W681" s="4" t="s">
        <v>37</v>
      </c>
      <c r="X681" s="4" t="s">
        <v>37</v>
      </c>
      <c r="Y681" s="4" t="s">
        <v>36</v>
      </c>
      <c r="Z681" s="4"/>
      <c r="AA681" s="4"/>
    </row>
    <row r="682" spans="1:27" s="1" customFormat="1" x14ac:dyDescent="0.3">
      <c r="A682" s="19">
        <v>20205</v>
      </c>
      <c r="B682" s="4" t="s">
        <v>1712</v>
      </c>
      <c r="C682" s="4">
        <v>0</v>
      </c>
      <c r="D682" s="5">
        <v>42500.446747685186</v>
      </c>
      <c r="E682" s="5" t="s">
        <v>2084</v>
      </c>
      <c r="F682" s="4" t="s">
        <v>26</v>
      </c>
      <c r="G682" s="4" t="s">
        <v>279</v>
      </c>
      <c r="H682" s="4" t="s">
        <v>729</v>
      </c>
      <c r="I682" s="4" t="s">
        <v>88</v>
      </c>
      <c r="J682" s="4" t="s">
        <v>49</v>
      </c>
      <c r="K682" s="4" t="s">
        <v>31</v>
      </c>
      <c r="L682" s="5">
        <v>42508.916666666664</v>
      </c>
      <c r="M682" s="5">
        <v>42509.166666666664</v>
      </c>
      <c r="N682" s="5">
        <v>42509.208333333336</v>
      </c>
      <c r="O682" s="4" t="s">
        <v>32</v>
      </c>
      <c r="P682" s="4" t="s">
        <v>33</v>
      </c>
      <c r="Q682" s="4" t="s">
        <v>50</v>
      </c>
      <c r="R682" s="4" t="s">
        <v>1868</v>
      </c>
      <c r="S682" s="4" t="s">
        <v>1868</v>
      </c>
      <c r="T682" s="4" t="s">
        <v>36</v>
      </c>
      <c r="U682" s="4" t="s">
        <v>36</v>
      </c>
      <c r="V682" s="4" t="s">
        <v>1714</v>
      </c>
      <c r="W682" s="4" t="s">
        <v>37</v>
      </c>
      <c r="X682" s="4" t="s">
        <v>37</v>
      </c>
      <c r="Y682" s="4" t="s">
        <v>36</v>
      </c>
      <c r="Z682" s="4"/>
      <c r="AA682" s="4"/>
    </row>
    <row r="683" spans="1:27" s="1" customFormat="1" x14ac:dyDescent="0.3">
      <c r="A683" s="19">
        <v>20207</v>
      </c>
      <c r="B683" s="4" t="s">
        <v>1869</v>
      </c>
      <c r="C683" s="4">
        <v>0</v>
      </c>
      <c r="D683" s="5">
        <v>42500.48101851852</v>
      </c>
      <c r="E683" s="5" t="s">
        <v>2084</v>
      </c>
      <c r="F683" s="4" t="s">
        <v>26</v>
      </c>
      <c r="G683" s="4" t="s">
        <v>47</v>
      </c>
      <c r="H683" s="4" t="s">
        <v>47</v>
      </c>
      <c r="I683" s="4" t="s">
        <v>200</v>
      </c>
      <c r="J683" s="4" t="s">
        <v>49</v>
      </c>
      <c r="K683" s="4" t="s">
        <v>31</v>
      </c>
      <c r="L683" s="5">
        <v>42500.666666666664</v>
      </c>
      <c r="M683" s="5">
        <v>42502.625</v>
      </c>
      <c r="N683" s="5">
        <v>42502.666666666664</v>
      </c>
      <c r="O683" s="4" t="s">
        <v>250</v>
      </c>
      <c r="P683" s="4" t="s">
        <v>89</v>
      </c>
      <c r="Q683" s="4" t="s">
        <v>119</v>
      </c>
      <c r="R683" s="6" t="s">
        <v>77</v>
      </c>
      <c r="S683" s="6" t="s">
        <v>77</v>
      </c>
      <c r="T683" s="4" t="s">
        <v>37</v>
      </c>
      <c r="U683" s="4" t="s">
        <v>37</v>
      </c>
      <c r="V683" s="4" t="s">
        <v>1870</v>
      </c>
      <c r="W683" s="4" t="s">
        <v>37</v>
      </c>
      <c r="X683" s="4" t="s">
        <v>37</v>
      </c>
      <c r="Y683" s="4" t="s">
        <v>36</v>
      </c>
      <c r="Z683" s="4" t="s">
        <v>611</v>
      </c>
      <c r="AA683" s="4"/>
    </row>
    <row r="684" spans="1:27" s="1" customFormat="1" x14ac:dyDescent="0.3">
      <c r="A684" s="19">
        <v>20208</v>
      </c>
      <c r="B684" s="4" t="s">
        <v>1871</v>
      </c>
      <c r="C684" s="4" t="s">
        <v>2111</v>
      </c>
      <c r="D684" s="5">
        <v>42500.521273148152</v>
      </c>
      <c r="E684" s="5" t="s">
        <v>2084</v>
      </c>
      <c r="F684" s="4" t="s">
        <v>26</v>
      </c>
      <c r="G684" s="4" t="s">
        <v>387</v>
      </c>
      <c r="H684" s="4" t="s">
        <v>387</v>
      </c>
      <c r="I684" s="4" t="s">
        <v>118</v>
      </c>
      <c r="J684" s="4" t="s">
        <v>30</v>
      </c>
      <c r="K684" s="4" t="s">
        <v>31</v>
      </c>
      <c r="L684" s="5">
        <v>42500.916666666664</v>
      </c>
      <c r="M684" s="5">
        <v>42501.083333333336</v>
      </c>
      <c r="N684" s="5">
        <v>42501.166666666664</v>
      </c>
      <c r="O684" s="4" t="s">
        <v>710</v>
      </c>
      <c r="P684" s="4" t="s">
        <v>33</v>
      </c>
      <c r="Q684" s="4" t="s">
        <v>76</v>
      </c>
      <c r="R684" s="4" t="s">
        <v>201</v>
      </c>
      <c r="S684" s="4" t="s">
        <v>201</v>
      </c>
      <c r="T684" s="4" t="s">
        <v>37</v>
      </c>
      <c r="U684" s="4" t="s">
        <v>37</v>
      </c>
      <c r="V684" s="4" t="s">
        <v>1872</v>
      </c>
      <c r="W684" s="4" t="s">
        <v>37</v>
      </c>
      <c r="X684" s="4" t="s">
        <v>37</v>
      </c>
      <c r="Y684" s="4" t="s">
        <v>36</v>
      </c>
      <c r="Z684" s="4" t="s">
        <v>1873</v>
      </c>
      <c r="AA684" s="4" t="s">
        <v>93</v>
      </c>
    </row>
    <row r="685" spans="1:27" s="1" customFormat="1" x14ac:dyDescent="0.3">
      <c r="A685" s="19">
        <v>20209</v>
      </c>
      <c r="B685" s="4" t="s">
        <v>1874</v>
      </c>
      <c r="C685" s="4">
        <v>0</v>
      </c>
      <c r="D685" s="5">
        <v>42500.621099537035</v>
      </c>
      <c r="E685" s="5" t="s">
        <v>2084</v>
      </c>
      <c r="F685" s="4" t="s">
        <v>26</v>
      </c>
      <c r="G685" s="4" t="s">
        <v>295</v>
      </c>
      <c r="H685" s="4" t="s">
        <v>692</v>
      </c>
      <c r="I685" s="4" t="s">
        <v>29</v>
      </c>
      <c r="J685" s="4" t="s">
        <v>30</v>
      </c>
      <c r="K685" s="4" t="s">
        <v>31</v>
      </c>
      <c r="L685" s="5">
        <v>42514.895833333336</v>
      </c>
      <c r="M685" s="5">
        <v>42514.999305555553</v>
      </c>
      <c r="N685" s="5">
        <v>42515.010416666664</v>
      </c>
      <c r="O685" s="4" t="s">
        <v>32</v>
      </c>
      <c r="P685" s="4" t="s">
        <v>33</v>
      </c>
      <c r="Q685" s="4" t="s">
        <v>76</v>
      </c>
      <c r="R685" s="4" t="s">
        <v>693</v>
      </c>
      <c r="S685" s="6" t="s">
        <v>77</v>
      </c>
      <c r="T685" s="4" t="s">
        <v>36</v>
      </c>
      <c r="U685" s="4" t="s">
        <v>37</v>
      </c>
      <c r="V685" s="4" t="s">
        <v>694</v>
      </c>
      <c r="W685" s="4" t="s">
        <v>37</v>
      </c>
      <c r="X685" s="4" t="s">
        <v>37</v>
      </c>
      <c r="Y685" s="4" t="s">
        <v>36</v>
      </c>
      <c r="Z685" s="4" t="s">
        <v>1875</v>
      </c>
      <c r="AA685" s="4" t="s">
        <v>40</v>
      </c>
    </row>
    <row r="686" spans="1:27" s="1" customFormat="1" x14ac:dyDescent="0.3">
      <c r="A686" s="19">
        <v>20210</v>
      </c>
      <c r="B686" s="4" t="s">
        <v>1876</v>
      </c>
      <c r="C686" s="4">
        <v>0</v>
      </c>
      <c r="D686" s="5">
        <v>42500.632245370369</v>
      </c>
      <c r="E686" s="5" t="s">
        <v>2084</v>
      </c>
      <c r="F686" s="4" t="s">
        <v>26</v>
      </c>
      <c r="G686" s="4" t="s">
        <v>392</v>
      </c>
      <c r="H686" s="4" t="s">
        <v>392</v>
      </c>
      <c r="I686" s="4" t="s">
        <v>204</v>
      </c>
      <c r="J686" s="4" t="s">
        <v>302</v>
      </c>
      <c r="K686" s="4" t="s">
        <v>31</v>
      </c>
      <c r="L686" s="5">
        <v>42520.833333333336</v>
      </c>
      <c r="M686" s="5">
        <v>42521.083333333336</v>
      </c>
      <c r="N686" s="5">
        <v>42521.104166666664</v>
      </c>
      <c r="O686" s="4" t="s">
        <v>32</v>
      </c>
      <c r="P686" s="4" t="s">
        <v>33</v>
      </c>
      <c r="Q686" s="4" t="s">
        <v>34</v>
      </c>
      <c r="R686" s="6" t="s">
        <v>77</v>
      </c>
      <c r="S686" s="6" t="s">
        <v>77</v>
      </c>
      <c r="T686" s="4" t="s">
        <v>37</v>
      </c>
      <c r="U686" s="4" t="s">
        <v>37</v>
      </c>
      <c r="V686" s="4" t="s">
        <v>646</v>
      </c>
      <c r="W686" s="4" t="s">
        <v>37</v>
      </c>
      <c r="X686" s="4" t="s">
        <v>37</v>
      </c>
      <c r="Y686" s="4" t="s">
        <v>36</v>
      </c>
      <c r="Z686" s="4"/>
      <c r="AA686" s="4" t="s">
        <v>187</v>
      </c>
    </row>
    <row r="687" spans="1:27" s="1" customFormat="1" x14ac:dyDescent="0.3">
      <c r="A687" s="19">
        <v>20211</v>
      </c>
      <c r="B687" s="4" t="s">
        <v>1877</v>
      </c>
      <c r="C687" s="4" t="s">
        <v>39</v>
      </c>
      <c r="D687" s="5">
        <v>42500.654594907406</v>
      </c>
      <c r="E687" s="5" t="s">
        <v>2084</v>
      </c>
      <c r="F687" s="4" t="s">
        <v>26</v>
      </c>
      <c r="G687" s="4" t="s">
        <v>417</v>
      </c>
      <c r="H687" s="4" t="s">
        <v>417</v>
      </c>
      <c r="I687" s="4" t="s">
        <v>83</v>
      </c>
      <c r="J687" s="4" t="s">
        <v>600</v>
      </c>
      <c r="K687" s="4" t="s">
        <v>31</v>
      </c>
      <c r="L687" s="5">
        <v>42508.000694444447</v>
      </c>
      <c r="M687" s="5">
        <v>42508.125694444447</v>
      </c>
      <c r="N687" s="5">
        <v>42508.167361111111</v>
      </c>
      <c r="O687" s="4" t="s">
        <v>32</v>
      </c>
      <c r="P687" s="4" t="s">
        <v>89</v>
      </c>
      <c r="Q687" s="4" t="s">
        <v>50</v>
      </c>
      <c r="R687" s="4" t="s">
        <v>601</v>
      </c>
      <c r="S687" s="4" t="s">
        <v>601</v>
      </c>
      <c r="T687" s="4" t="s">
        <v>36</v>
      </c>
      <c r="U687" s="4" t="s">
        <v>37</v>
      </c>
      <c r="V687" s="4" t="s">
        <v>1536</v>
      </c>
      <c r="W687" s="4" t="s">
        <v>37</v>
      </c>
      <c r="X687" s="4" t="s">
        <v>37</v>
      </c>
      <c r="Y687" s="4" t="s">
        <v>36</v>
      </c>
      <c r="Z687" s="4" t="s">
        <v>39</v>
      </c>
      <c r="AA687" s="4" t="s">
        <v>93</v>
      </c>
    </row>
    <row r="688" spans="1:27" s="1" customFormat="1" x14ac:dyDescent="0.3">
      <c r="A688" s="19">
        <v>20212</v>
      </c>
      <c r="B688" s="4" t="s">
        <v>722</v>
      </c>
      <c r="C688" s="4">
        <v>0</v>
      </c>
      <c r="D688" s="5">
        <v>42501.350902777776</v>
      </c>
      <c r="E688" s="5" t="s">
        <v>2084</v>
      </c>
      <c r="F688" s="4" t="s">
        <v>26</v>
      </c>
      <c r="G688" s="4" t="s">
        <v>140</v>
      </c>
      <c r="H688" s="4" t="s">
        <v>140</v>
      </c>
      <c r="I688" s="4" t="s">
        <v>29</v>
      </c>
      <c r="J688" s="4" t="s">
        <v>141</v>
      </c>
      <c r="K688" s="4" t="s">
        <v>31</v>
      </c>
      <c r="L688" s="5">
        <v>42517.357638888891</v>
      </c>
      <c r="M688" s="5">
        <v>42517.732638888891</v>
      </c>
      <c r="N688" s="5">
        <v>42517.75</v>
      </c>
      <c r="O688" s="4" t="s">
        <v>32</v>
      </c>
      <c r="P688" s="4" t="s">
        <v>33</v>
      </c>
      <c r="Q688" s="4" t="s">
        <v>50</v>
      </c>
      <c r="R688" s="6" t="s">
        <v>77</v>
      </c>
      <c r="S688" s="4" t="s">
        <v>142</v>
      </c>
      <c r="T688" s="4" t="s">
        <v>37</v>
      </c>
      <c r="U688" s="4" t="s">
        <v>37</v>
      </c>
      <c r="V688" s="4" t="s">
        <v>143</v>
      </c>
      <c r="W688" s="4" t="s">
        <v>37</v>
      </c>
      <c r="X688" s="4" t="s">
        <v>37</v>
      </c>
      <c r="Y688" s="4" t="s">
        <v>36</v>
      </c>
      <c r="Z688" s="4"/>
      <c r="AA688" s="4" t="s">
        <v>777</v>
      </c>
    </row>
    <row r="689" spans="1:27" s="1" customFormat="1" x14ac:dyDescent="0.3">
      <c r="A689" s="19">
        <v>20213</v>
      </c>
      <c r="B689" s="4" t="s">
        <v>1878</v>
      </c>
      <c r="C689" s="4" t="s">
        <v>1878</v>
      </c>
      <c r="D689" s="5">
        <v>42501.39502314815</v>
      </c>
      <c r="E689" s="5" t="s">
        <v>2084</v>
      </c>
      <c r="F689" s="4" t="s">
        <v>26</v>
      </c>
      <c r="G689" s="4" t="s">
        <v>1651</v>
      </c>
      <c r="H689" s="4" t="s">
        <v>1470</v>
      </c>
      <c r="I689" s="4" t="s">
        <v>216</v>
      </c>
      <c r="J689" s="4" t="s">
        <v>49</v>
      </c>
      <c r="K689" s="4" t="s">
        <v>31</v>
      </c>
      <c r="L689" s="5">
        <v>42509.958333333336</v>
      </c>
      <c r="M689" s="5">
        <v>42510.052083333336</v>
      </c>
      <c r="N689" s="5">
        <v>42510.09375</v>
      </c>
      <c r="O689" s="4" t="s">
        <v>32</v>
      </c>
      <c r="P689" s="4" t="s">
        <v>33</v>
      </c>
      <c r="Q689" s="4" t="s">
        <v>34</v>
      </c>
      <c r="R689" s="4" t="s">
        <v>1705</v>
      </c>
      <c r="S689" s="4" t="s">
        <v>1705</v>
      </c>
      <c r="T689" s="4" t="s">
        <v>37</v>
      </c>
      <c r="U689" s="4" t="s">
        <v>37</v>
      </c>
      <c r="V689" s="4" t="s">
        <v>1879</v>
      </c>
      <c r="W689" s="4" t="s">
        <v>37</v>
      </c>
      <c r="X689" s="4" t="s">
        <v>37</v>
      </c>
      <c r="Y689" s="4" t="s">
        <v>36</v>
      </c>
      <c r="Z689" s="4" t="s">
        <v>1880</v>
      </c>
      <c r="AA689" s="4"/>
    </row>
    <row r="690" spans="1:27" s="1" customFormat="1" x14ac:dyDescent="0.3">
      <c r="A690" s="19">
        <v>20214</v>
      </c>
      <c r="B690" s="4" t="s">
        <v>1881</v>
      </c>
      <c r="C690" s="4" t="s">
        <v>1881</v>
      </c>
      <c r="D690" s="5">
        <v>42501.407118055555</v>
      </c>
      <c r="E690" s="5" t="s">
        <v>2084</v>
      </c>
      <c r="F690" s="4" t="s">
        <v>26</v>
      </c>
      <c r="G690" s="4" t="s">
        <v>1651</v>
      </c>
      <c r="H690" s="4" t="s">
        <v>1470</v>
      </c>
      <c r="I690" s="4" t="s">
        <v>216</v>
      </c>
      <c r="J690" s="4" t="s">
        <v>49</v>
      </c>
      <c r="K690" s="4" t="s">
        <v>31</v>
      </c>
      <c r="L690" s="5">
        <v>42513.958333333336</v>
      </c>
      <c r="M690" s="5">
        <v>42514.010416666664</v>
      </c>
      <c r="N690" s="5">
        <v>42514.052083333336</v>
      </c>
      <c r="O690" s="4" t="s">
        <v>32</v>
      </c>
      <c r="P690" s="4" t="s">
        <v>33</v>
      </c>
      <c r="Q690" s="4" t="s">
        <v>34</v>
      </c>
      <c r="R690" s="4" t="s">
        <v>1705</v>
      </c>
      <c r="S690" s="4" t="s">
        <v>1705</v>
      </c>
      <c r="T690" s="4" t="s">
        <v>37</v>
      </c>
      <c r="U690" s="4" t="s">
        <v>37</v>
      </c>
      <c r="V690" s="4" t="s">
        <v>1882</v>
      </c>
      <c r="W690" s="4" t="s">
        <v>37</v>
      </c>
      <c r="X690" s="4" t="s">
        <v>37</v>
      </c>
      <c r="Y690" s="4" t="s">
        <v>36</v>
      </c>
      <c r="Z690" s="4" t="s">
        <v>1883</v>
      </c>
      <c r="AA690" s="4"/>
    </row>
    <row r="691" spans="1:27" s="1" customFormat="1" x14ac:dyDescent="0.3">
      <c r="A691" s="19">
        <v>20215</v>
      </c>
      <c r="B691" s="4" t="s">
        <v>1884</v>
      </c>
      <c r="C691" s="4" t="s">
        <v>2190</v>
      </c>
      <c r="D691" s="5">
        <v>42501.411446759259</v>
      </c>
      <c r="E691" s="5" t="s">
        <v>2084</v>
      </c>
      <c r="F691" s="4" t="s">
        <v>26</v>
      </c>
      <c r="G691" s="4" t="s">
        <v>1885</v>
      </c>
      <c r="H691" s="4" t="s">
        <v>1886</v>
      </c>
      <c r="I691" s="4" t="s">
        <v>118</v>
      </c>
      <c r="J691" s="4" t="s">
        <v>30</v>
      </c>
      <c r="K691" s="4" t="s">
        <v>31</v>
      </c>
      <c r="L691" s="5">
        <v>42511.916666666664</v>
      </c>
      <c r="M691" s="5">
        <v>42512.5</v>
      </c>
      <c r="N691" s="5">
        <v>42512.75</v>
      </c>
      <c r="O691" s="4" t="s">
        <v>32</v>
      </c>
      <c r="P691" s="4" t="s">
        <v>149</v>
      </c>
      <c r="Q691" s="4" t="s">
        <v>50</v>
      </c>
      <c r="R691" s="4" t="s">
        <v>291</v>
      </c>
      <c r="S691" s="4" t="s">
        <v>291</v>
      </c>
      <c r="T691" s="4" t="s">
        <v>37</v>
      </c>
      <c r="U691" s="4" t="s">
        <v>37</v>
      </c>
      <c r="V691" s="4" t="s">
        <v>292</v>
      </c>
      <c r="W691" s="4" t="s">
        <v>37</v>
      </c>
      <c r="X691" s="4" t="s">
        <v>37</v>
      </c>
      <c r="Y691" s="4" t="s">
        <v>36</v>
      </c>
      <c r="Z691" s="4" t="s">
        <v>1763</v>
      </c>
      <c r="AA691" s="4" t="s">
        <v>93</v>
      </c>
    </row>
    <row r="692" spans="1:27" s="1" customFormat="1" x14ac:dyDescent="0.3">
      <c r="A692" s="19">
        <v>20216</v>
      </c>
      <c r="B692" s="4" t="s">
        <v>1887</v>
      </c>
      <c r="C692" s="4" t="s">
        <v>2191</v>
      </c>
      <c r="D692" s="5">
        <v>42501.417488425926</v>
      </c>
      <c r="E692" s="5" t="s">
        <v>2084</v>
      </c>
      <c r="F692" s="4" t="s">
        <v>26</v>
      </c>
      <c r="G692" s="4" t="s">
        <v>1651</v>
      </c>
      <c r="H692" s="4" t="s">
        <v>1466</v>
      </c>
      <c r="I692" s="4" t="s">
        <v>216</v>
      </c>
      <c r="J692" s="4" t="s">
        <v>49</v>
      </c>
      <c r="K692" s="4" t="s">
        <v>31</v>
      </c>
      <c r="L692" s="5">
        <v>42514.958333333336</v>
      </c>
      <c r="M692" s="5">
        <v>42515.055555555555</v>
      </c>
      <c r="N692" s="5">
        <v>42515.097222222219</v>
      </c>
      <c r="O692" s="4" t="s">
        <v>32</v>
      </c>
      <c r="P692" s="4" t="s">
        <v>149</v>
      </c>
      <c r="Q692" s="4" t="s">
        <v>34</v>
      </c>
      <c r="R692" s="4" t="s">
        <v>1705</v>
      </c>
      <c r="S692" s="4" t="s">
        <v>1705</v>
      </c>
      <c r="T692" s="4" t="s">
        <v>37</v>
      </c>
      <c r="U692" s="4" t="s">
        <v>37</v>
      </c>
      <c r="V692" s="4" t="s">
        <v>1888</v>
      </c>
      <c r="W692" s="4" t="s">
        <v>37</v>
      </c>
      <c r="X692" s="4" t="s">
        <v>37</v>
      </c>
      <c r="Y692" s="4" t="s">
        <v>36</v>
      </c>
      <c r="Z692" s="4" t="s">
        <v>1889</v>
      </c>
      <c r="AA692" s="4"/>
    </row>
    <row r="693" spans="1:27" s="1" customFormat="1" x14ac:dyDescent="0.3">
      <c r="A693" s="19">
        <v>20217</v>
      </c>
      <c r="B693" s="4" t="s">
        <v>1890</v>
      </c>
      <c r="C693" s="4" t="s">
        <v>1989</v>
      </c>
      <c r="D693" s="5">
        <v>42501.443148148152</v>
      </c>
      <c r="E693" s="5" t="s">
        <v>2084</v>
      </c>
      <c r="F693" s="4" t="s">
        <v>26</v>
      </c>
      <c r="G693" s="4" t="s">
        <v>1885</v>
      </c>
      <c r="H693" s="4" t="s">
        <v>1380</v>
      </c>
      <c r="I693" s="4" t="s">
        <v>118</v>
      </c>
      <c r="J693" s="4" t="s">
        <v>30</v>
      </c>
      <c r="K693" s="4" t="s">
        <v>31</v>
      </c>
      <c r="L693" s="5">
        <v>42518.916666666664</v>
      </c>
      <c r="M693" s="5">
        <v>42519.5</v>
      </c>
      <c r="N693" s="5">
        <v>42519.75</v>
      </c>
      <c r="O693" s="4" t="s">
        <v>32</v>
      </c>
      <c r="P693" s="4" t="s">
        <v>149</v>
      </c>
      <c r="Q693" s="4" t="s">
        <v>50</v>
      </c>
      <c r="R693" s="4" t="s">
        <v>291</v>
      </c>
      <c r="S693" s="4" t="s">
        <v>291</v>
      </c>
      <c r="T693" s="4" t="s">
        <v>37</v>
      </c>
      <c r="U693" s="4" t="s">
        <v>37</v>
      </c>
      <c r="V693" s="4" t="s">
        <v>292</v>
      </c>
      <c r="W693" s="4" t="s">
        <v>37</v>
      </c>
      <c r="X693" s="4" t="s">
        <v>37</v>
      </c>
      <c r="Y693" s="4" t="s">
        <v>36</v>
      </c>
      <c r="Z693" s="4"/>
      <c r="AA693" s="4" t="s">
        <v>40</v>
      </c>
    </row>
    <row r="694" spans="1:27" s="1" customFormat="1" x14ac:dyDescent="0.3">
      <c r="A694" s="19">
        <v>20219</v>
      </c>
      <c r="B694" s="4" t="s">
        <v>1119</v>
      </c>
      <c r="C694" s="4">
        <v>0</v>
      </c>
      <c r="D694" s="5">
        <v>42501.450671296298</v>
      </c>
      <c r="E694" s="5" t="s">
        <v>2084</v>
      </c>
      <c r="F694" s="4" t="s">
        <v>26</v>
      </c>
      <c r="G694" s="4" t="s">
        <v>152</v>
      </c>
      <c r="H694" s="4" t="s">
        <v>152</v>
      </c>
      <c r="I694" s="4" t="s">
        <v>153</v>
      </c>
      <c r="J694" s="4" t="s">
        <v>154</v>
      </c>
      <c r="K694" s="4" t="s">
        <v>31</v>
      </c>
      <c r="L694" s="5">
        <v>42517.916666666664</v>
      </c>
      <c r="M694" s="5">
        <v>42518.041666666664</v>
      </c>
      <c r="N694" s="5">
        <v>42518.45208333333</v>
      </c>
      <c r="O694" s="4" t="s">
        <v>32</v>
      </c>
      <c r="P694" s="4" t="s">
        <v>33</v>
      </c>
      <c r="Q694" s="4" t="s">
        <v>76</v>
      </c>
      <c r="R694" s="6" t="s">
        <v>77</v>
      </c>
      <c r="S694" s="4" t="s">
        <v>323</v>
      </c>
      <c r="T694" s="4" t="s">
        <v>37</v>
      </c>
      <c r="U694" s="4" t="s">
        <v>37</v>
      </c>
      <c r="V694" s="4" t="s">
        <v>553</v>
      </c>
      <c r="W694" s="4" t="s">
        <v>36</v>
      </c>
      <c r="X694" s="4" t="s">
        <v>37</v>
      </c>
      <c r="Y694" s="4" t="s">
        <v>36</v>
      </c>
      <c r="Z694" s="4"/>
      <c r="AA694" s="4" t="s">
        <v>157</v>
      </c>
    </row>
    <row r="695" spans="1:27" s="1" customFormat="1" x14ac:dyDescent="0.3">
      <c r="A695" s="19">
        <v>20220</v>
      </c>
      <c r="B695" s="4" t="s">
        <v>1269</v>
      </c>
      <c r="C695" s="4" t="s">
        <v>2140</v>
      </c>
      <c r="D695" s="5">
        <v>42501.458101851851</v>
      </c>
      <c r="E695" s="5" t="s">
        <v>2084</v>
      </c>
      <c r="F695" s="4" t="s">
        <v>26</v>
      </c>
      <c r="G695" s="4" t="s">
        <v>1270</v>
      </c>
      <c r="H695" s="4" t="s">
        <v>729</v>
      </c>
      <c r="I695" s="4" t="s">
        <v>200</v>
      </c>
      <c r="J695" s="4" t="s">
        <v>49</v>
      </c>
      <c r="K695" s="4" t="s">
        <v>31</v>
      </c>
      <c r="L695" s="5">
        <v>42513.916666666664</v>
      </c>
      <c r="M695" s="5">
        <v>42518.291666666664</v>
      </c>
      <c r="N695" s="5">
        <v>42518.3125</v>
      </c>
      <c r="O695" s="4" t="s">
        <v>32</v>
      </c>
      <c r="P695" s="4" t="s">
        <v>89</v>
      </c>
      <c r="Q695" s="4" t="s">
        <v>50</v>
      </c>
      <c r="R695" s="4" t="s">
        <v>1891</v>
      </c>
      <c r="S695" s="4" t="s">
        <v>1891</v>
      </c>
      <c r="T695" s="4" t="s">
        <v>36</v>
      </c>
      <c r="U695" s="4" t="s">
        <v>36</v>
      </c>
      <c r="V695" s="4" t="s">
        <v>1272</v>
      </c>
      <c r="W695" s="4" t="s">
        <v>37</v>
      </c>
      <c r="X695" s="4" t="s">
        <v>37</v>
      </c>
      <c r="Y695" s="4" t="s">
        <v>36</v>
      </c>
      <c r="Z695" s="4" t="s">
        <v>77</v>
      </c>
      <c r="AA695" s="4"/>
    </row>
    <row r="696" spans="1:27" s="1" customFormat="1" x14ac:dyDescent="0.3">
      <c r="A696" s="19">
        <v>20221</v>
      </c>
      <c r="B696" s="4" t="s">
        <v>1892</v>
      </c>
      <c r="C696" s="4" t="s">
        <v>1989</v>
      </c>
      <c r="D696" s="5">
        <v>42501.463946759257</v>
      </c>
      <c r="E696" s="5" t="s">
        <v>2084</v>
      </c>
      <c r="F696" s="4" t="s">
        <v>26</v>
      </c>
      <c r="G696" s="4" t="s">
        <v>1885</v>
      </c>
      <c r="H696" s="4" t="s">
        <v>1380</v>
      </c>
      <c r="I696" s="4" t="s">
        <v>118</v>
      </c>
      <c r="J696" s="4" t="s">
        <v>30</v>
      </c>
      <c r="K696" s="4" t="s">
        <v>31</v>
      </c>
      <c r="L696" s="5">
        <v>42518.916666666664</v>
      </c>
      <c r="M696" s="5">
        <v>42519.5</v>
      </c>
      <c r="N696" s="5">
        <v>42519.75</v>
      </c>
      <c r="O696" s="4" t="s">
        <v>32</v>
      </c>
      <c r="P696" s="4" t="s">
        <v>149</v>
      </c>
      <c r="Q696" s="4" t="s">
        <v>50</v>
      </c>
      <c r="R696" s="4" t="s">
        <v>291</v>
      </c>
      <c r="S696" s="4" t="s">
        <v>291</v>
      </c>
      <c r="T696" s="4" t="s">
        <v>37</v>
      </c>
      <c r="U696" s="4" t="s">
        <v>37</v>
      </c>
      <c r="V696" s="4" t="s">
        <v>292</v>
      </c>
      <c r="W696" s="4"/>
      <c r="X696" s="4"/>
      <c r="Y696" s="4"/>
      <c r="Z696" s="4"/>
      <c r="AA696" s="4" t="s">
        <v>40</v>
      </c>
    </row>
    <row r="697" spans="1:27" s="1" customFormat="1" x14ac:dyDescent="0.3">
      <c r="A697" s="19">
        <v>20222</v>
      </c>
      <c r="B697" s="4" t="s">
        <v>1610</v>
      </c>
      <c r="C697" s="4" t="s">
        <v>2111</v>
      </c>
      <c r="D697" s="5">
        <v>42501.64</v>
      </c>
      <c r="E697" s="5" t="s">
        <v>2084</v>
      </c>
      <c r="F697" s="4" t="s">
        <v>26</v>
      </c>
      <c r="G697" s="4" t="s">
        <v>310</v>
      </c>
      <c r="H697" s="4" t="s">
        <v>1137</v>
      </c>
      <c r="I697" s="4" t="s">
        <v>68</v>
      </c>
      <c r="J697" s="4" t="s">
        <v>49</v>
      </c>
      <c r="K697" s="4" t="s">
        <v>31</v>
      </c>
      <c r="L697" s="5">
        <v>42502.861111111109</v>
      </c>
      <c r="M697" s="5">
        <v>42502.944444444445</v>
      </c>
      <c r="N697" s="5">
        <v>42502.958333333336</v>
      </c>
      <c r="O697" s="4" t="s">
        <v>710</v>
      </c>
      <c r="P697" s="4" t="s">
        <v>33</v>
      </c>
      <c r="Q697" s="4" t="s">
        <v>76</v>
      </c>
      <c r="R697" s="4" t="s">
        <v>1893</v>
      </c>
      <c r="S697" s="6" t="s">
        <v>77</v>
      </c>
      <c r="T697" s="4" t="s">
        <v>36</v>
      </c>
      <c r="U697" s="4" t="s">
        <v>37</v>
      </c>
      <c r="V697" s="4" t="s">
        <v>1139</v>
      </c>
      <c r="W697" s="4" t="s">
        <v>37</v>
      </c>
      <c r="X697" s="4" t="s">
        <v>37</v>
      </c>
      <c r="Y697" s="4" t="s">
        <v>36</v>
      </c>
      <c r="Z697" s="4"/>
      <c r="AA697" s="4"/>
    </row>
    <row r="698" spans="1:27" s="1" customFormat="1" x14ac:dyDescent="0.3">
      <c r="A698" s="19">
        <v>20225</v>
      </c>
      <c r="B698" s="4" t="s">
        <v>1894</v>
      </c>
      <c r="C698" s="4">
        <v>0</v>
      </c>
      <c r="D698" s="5">
        <v>42501.765625</v>
      </c>
      <c r="E698" s="5" t="s">
        <v>2084</v>
      </c>
      <c r="F698" s="4" t="s">
        <v>26</v>
      </c>
      <c r="G698" s="4" t="s">
        <v>852</v>
      </c>
      <c r="H698" s="4" t="s">
        <v>852</v>
      </c>
      <c r="I698" s="4" t="s">
        <v>205</v>
      </c>
      <c r="J698" s="4" t="s">
        <v>275</v>
      </c>
      <c r="K698" s="4" t="s">
        <v>31</v>
      </c>
      <c r="L698" s="5">
        <v>42512.916666666664</v>
      </c>
      <c r="M698" s="5">
        <v>42513.208333333336</v>
      </c>
      <c r="N698" s="5">
        <v>42513.25</v>
      </c>
      <c r="O698" s="4" t="s">
        <v>32</v>
      </c>
      <c r="P698" s="4" t="s">
        <v>33</v>
      </c>
      <c r="Q698" s="4" t="s">
        <v>50</v>
      </c>
      <c r="R698" s="4" t="s">
        <v>1895</v>
      </c>
      <c r="S698" s="4" t="s">
        <v>1895</v>
      </c>
      <c r="T698" s="4" t="s">
        <v>37</v>
      </c>
      <c r="U698" s="4" t="s">
        <v>37</v>
      </c>
      <c r="V698" s="4" t="s">
        <v>177</v>
      </c>
      <c r="W698" s="4" t="s">
        <v>37</v>
      </c>
      <c r="X698" s="4" t="s">
        <v>37</v>
      </c>
      <c r="Y698" s="4" t="s">
        <v>37</v>
      </c>
      <c r="Z698" s="4"/>
      <c r="AA698" s="4" t="s">
        <v>676</v>
      </c>
    </row>
    <row r="699" spans="1:27" s="1" customFormat="1" x14ac:dyDescent="0.3">
      <c r="A699" s="19">
        <v>20227</v>
      </c>
      <c r="B699" s="4" t="s">
        <v>1896</v>
      </c>
      <c r="C699" s="4" t="s">
        <v>2192</v>
      </c>
      <c r="D699" s="5">
        <v>42502.50204861111</v>
      </c>
      <c r="E699" s="5" t="s">
        <v>2084</v>
      </c>
      <c r="F699" s="4" t="s">
        <v>26</v>
      </c>
      <c r="G699" s="4" t="s">
        <v>417</v>
      </c>
      <c r="H699" s="4" t="s">
        <v>417</v>
      </c>
      <c r="I699" s="4" t="s">
        <v>83</v>
      </c>
      <c r="J699" s="4" t="s">
        <v>600</v>
      </c>
      <c r="K699" s="4" t="s">
        <v>31</v>
      </c>
      <c r="L699" s="5">
        <v>42509.979166666664</v>
      </c>
      <c r="M699" s="5">
        <v>42510.145833333336</v>
      </c>
      <c r="N699" s="5">
        <v>42510.1875</v>
      </c>
      <c r="O699" s="4" t="s">
        <v>32</v>
      </c>
      <c r="P699" s="4" t="s">
        <v>149</v>
      </c>
      <c r="Q699" s="4" t="s">
        <v>50</v>
      </c>
      <c r="R699" s="4" t="s">
        <v>601</v>
      </c>
      <c r="S699" s="4" t="s">
        <v>601</v>
      </c>
      <c r="T699" s="4" t="s">
        <v>36</v>
      </c>
      <c r="U699" s="4" t="s">
        <v>37</v>
      </c>
      <c r="V699" s="4" t="s">
        <v>1897</v>
      </c>
      <c r="W699" s="4" t="s">
        <v>37</v>
      </c>
      <c r="X699" s="4" t="s">
        <v>37</v>
      </c>
      <c r="Y699" s="4" t="s">
        <v>36</v>
      </c>
      <c r="Z699" s="4" t="s">
        <v>1898</v>
      </c>
      <c r="AA699" s="4" t="s">
        <v>93</v>
      </c>
    </row>
    <row r="700" spans="1:27" s="1" customFormat="1" x14ac:dyDescent="0.3">
      <c r="A700" s="19">
        <v>20228</v>
      </c>
      <c r="B700" s="4" t="s">
        <v>1899</v>
      </c>
      <c r="C700" s="4">
        <v>0</v>
      </c>
      <c r="D700" s="5">
        <v>42502.551736111112</v>
      </c>
      <c r="E700" s="5" t="s">
        <v>2084</v>
      </c>
      <c r="F700" s="4" t="s">
        <v>26</v>
      </c>
      <c r="G700" s="4" t="s">
        <v>224</v>
      </c>
      <c r="H700" s="4" t="s">
        <v>224</v>
      </c>
      <c r="I700" s="4" t="s">
        <v>216</v>
      </c>
      <c r="J700" s="4" t="s">
        <v>528</v>
      </c>
      <c r="K700" s="4" t="s">
        <v>31</v>
      </c>
      <c r="L700" s="5">
        <v>42511.291666666664</v>
      </c>
      <c r="M700" s="5">
        <v>42520.791666666664</v>
      </c>
      <c r="N700" s="5">
        <v>42520.833333333336</v>
      </c>
      <c r="O700" s="4" t="s">
        <v>32</v>
      </c>
      <c r="P700" s="4" t="s">
        <v>89</v>
      </c>
      <c r="Q700" s="4" t="s">
        <v>50</v>
      </c>
      <c r="R700" s="6" t="s">
        <v>77</v>
      </c>
      <c r="S700" s="4" t="s">
        <v>1900</v>
      </c>
      <c r="T700" s="4" t="s">
        <v>37</v>
      </c>
      <c r="U700" s="4" t="s">
        <v>37</v>
      </c>
      <c r="V700" s="4" t="s">
        <v>1901</v>
      </c>
      <c r="W700" s="4" t="s">
        <v>37</v>
      </c>
      <c r="X700" s="4" t="s">
        <v>37</v>
      </c>
      <c r="Y700" s="4" t="s">
        <v>36</v>
      </c>
      <c r="Z700" s="4" t="s">
        <v>530</v>
      </c>
      <c r="AA700" s="4" t="s">
        <v>231</v>
      </c>
    </row>
    <row r="701" spans="1:27" s="1" customFormat="1" x14ac:dyDescent="0.3">
      <c r="A701" s="19">
        <v>20229</v>
      </c>
      <c r="B701" s="4" t="s">
        <v>1112</v>
      </c>
      <c r="C701" s="4">
        <v>0</v>
      </c>
      <c r="D701" s="5">
        <v>42502.559201388889</v>
      </c>
      <c r="E701" s="5" t="s">
        <v>2084</v>
      </c>
      <c r="F701" s="4" t="s">
        <v>26</v>
      </c>
      <c r="G701" s="4" t="s">
        <v>489</v>
      </c>
      <c r="H701" s="4" t="s">
        <v>489</v>
      </c>
      <c r="I701" s="4" t="s">
        <v>219</v>
      </c>
      <c r="J701" s="4" t="s">
        <v>30</v>
      </c>
      <c r="K701" s="4" t="s">
        <v>31</v>
      </c>
      <c r="L701" s="5">
        <v>42509.916666666664</v>
      </c>
      <c r="M701" s="5">
        <v>42510.208333333336</v>
      </c>
      <c r="N701" s="5">
        <v>42510.25</v>
      </c>
      <c r="O701" s="4" t="s">
        <v>32</v>
      </c>
      <c r="P701" s="4" t="s">
        <v>33</v>
      </c>
      <c r="Q701" s="4" t="s">
        <v>34</v>
      </c>
      <c r="R701" s="6" t="s">
        <v>77</v>
      </c>
      <c r="S701" s="4" t="s">
        <v>1113</v>
      </c>
      <c r="T701" s="4" t="s">
        <v>37</v>
      </c>
      <c r="U701" s="4" t="s">
        <v>37</v>
      </c>
      <c r="V701" s="4" t="s">
        <v>490</v>
      </c>
      <c r="W701" s="4" t="s">
        <v>37</v>
      </c>
      <c r="X701" s="4" t="s">
        <v>37</v>
      </c>
      <c r="Y701" s="4" t="s">
        <v>37</v>
      </c>
      <c r="Z701" s="4"/>
      <c r="AA701" s="4" t="s">
        <v>40</v>
      </c>
    </row>
    <row r="702" spans="1:27" s="1" customFormat="1" x14ac:dyDescent="0.3">
      <c r="A702" s="19">
        <v>20231</v>
      </c>
      <c r="B702" s="4" t="s">
        <v>1902</v>
      </c>
      <c r="C702" s="4">
        <v>0</v>
      </c>
      <c r="D702" s="5">
        <v>42502.859537037039</v>
      </c>
      <c r="E702" s="5" t="s">
        <v>2084</v>
      </c>
      <c r="F702" s="4" t="s">
        <v>26</v>
      </c>
      <c r="G702" s="4" t="s">
        <v>224</v>
      </c>
      <c r="H702" s="4" t="s">
        <v>1903</v>
      </c>
      <c r="I702" s="4" t="s">
        <v>216</v>
      </c>
      <c r="J702" s="4" t="s">
        <v>528</v>
      </c>
      <c r="K702" s="4" t="s">
        <v>31</v>
      </c>
      <c r="L702" s="5">
        <v>42504.833333333336</v>
      </c>
      <c r="M702" s="5">
        <v>42505.208333333336</v>
      </c>
      <c r="N702" s="5">
        <v>42505.25</v>
      </c>
      <c r="O702" s="4" t="s">
        <v>250</v>
      </c>
      <c r="P702" s="4" t="s">
        <v>89</v>
      </c>
      <c r="Q702" s="4" t="s">
        <v>119</v>
      </c>
      <c r="R702" s="6" t="s">
        <v>77</v>
      </c>
      <c r="S702" s="4" t="s">
        <v>39</v>
      </c>
      <c r="T702" s="4" t="s">
        <v>37</v>
      </c>
      <c r="U702" s="4" t="s">
        <v>37</v>
      </c>
      <c r="V702" s="4" t="s">
        <v>1494</v>
      </c>
      <c r="W702" s="4" t="s">
        <v>37</v>
      </c>
      <c r="X702" s="4" t="s">
        <v>37</v>
      </c>
      <c r="Y702" s="4" t="s">
        <v>36</v>
      </c>
      <c r="Z702" s="4" t="s">
        <v>530</v>
      </c>
      <c r="AA702" s="4" t="s">
        <v>231</v>
      </c>
    </row>
    <row r="703" spans="1:27" s="1" customFormat="1" x14ac:dyDescent="0.3">
      <c r="A703" s="19">
        <v>20232</v>
      </c>
      <c r="B703" s="4" t="s">
        <v>1904</v>
      </c>
      <c r="C703" s="4">
        <v>0</v>
      </c>
      <c r="D703" s="5">
        <v>42503.359340277777</v>
      </c>
      <c r="E703" s="5" t="s">
        <v>2084</v>
      </c>
      <c r="F703" s="4" t="s">
        <v>26</v>
      </c>
      <c r="G703" s="4" t="s">
        <v>98</v>
      </c>
      <c r="H703" s="4" t="s">
        <v>98</v>
      </c>
      <c r="I703" s="4" t="s">
        <v>88</v>
      </c>
      <c r="J703" s="4" t="s">
        <v>99</v>
      </c>
      <c r="K703" s="4" t="s">
        <v>31</v>
      </c>
      <c r="L703" s="5">
        <v>42511.833333333336</v>
      </c>
      <c r="M703" s="5">
        <v>42512.25</v>
      </c>
      <c r="N703" s="5">
        <v>42512.25</v>
      </c>
      <c r="O703" s="4" t="s">
        <v>32</v>
      </c>
      <c r="P703" s="4" t="s">
        <v>33</v>
      </c>
      <c r="Q703" s="4" t="s">
        <v>34</v>
      </c>
      <c r="R703" s="6" t="s">
        <v>77</v>
      </c>
      <c r="S703" s="6" t="s">
        <v>77</v>
      </c>
      <c r="T703" s="4" t="s">
        <v>37</v>
      </c>
      <c r="U703" s="4" t="s">
        <v>37</v>
      </c>
      <c r="V703" s="4" t="s">
        <v>1494</v>
      </c>
      <c r="W703" s="4" t="s">
        <v>37</v>
      </c>
      <c r="X703" s="4" t="s">
        <v>37</v>
      </c>
      <c r="Y703" s="4" t="s">
        <v>36</v>
      </c>
      <c r="Z703" s="4"/>
      <c r="AA703" s="4" t="s">
        <v>102</v>
      </c>
    </row>
    <row r="704" spans="1:27" s="1" customFormat="1" x14ac:dyDescent="0.3">
      <c r="A704" s="19">
        <v>20233</v>
      </c>
      <c r="B704" s="4" t="s">
        <v>1905</v>
      </c>
      <c r="C704" s="4">
        <v>0</v>
      </c>
      <c r="D704" s="5">
        <v>42503.361956018518</v>
      </c>
      <c r="E704" s="5" t="s">
        <v>2084</v>
      </c>
      <c r="F704" s="4" t="s">
        <v>26</v>
      </c>
      <c r="G704" s="4" t="s">
        <v>98</v>
      </c>
      <c r="H704" s="4" t="s">
        <v>98</v>
      </c>
      <c r="I704" s="4" t="s">
        <v>217</v>
      </c>
      <c r="J704" s="4" t="s">
        <v>256</v>
      </c>
      <c r="K704" s="4" t="s">
        <v>31</v>
      </c>
      <c r="L704" s="5">
        <v>42511.833333333336</v>
      </c>
      <c r="M704" s="5">
        <v>42512.25</v>
      </c>
      <c r="N704" s="5">
        <v>42512.25</v>
      </c>
      <c r="O704" s="4" t="s">
        <v>32</v>
      </c>
      <c r="P704" s="4" t="s">
        <v>33</v>
      </c>
      <c r="Q704" s="4" t="s">
        <v>76</v>
      </c>
      <c r="R704" s="6" t="s">
        <v>77</v>
      </c>
      <c r="S704" s="6" t="s">
        <v>77</v>
      </c>
      <c r="T704" s="4" t="s">
        <v>37</v>
      </c>
      <c r="U704" s="4" t="s">
        <v>37</v>
      </c>
      <c r="V704" s="4" t="s">
        <v>1494</v>
      </c>
      <c r="W704" s="4" t="s">
        <v>37</v>
      </c>
      <c r="X704" s="4" t="s">
        <v>37</v>
      </c>
      <c r="Y704" s="4" t="s">
        <v>36</v>
      </c>
      <c r="Z704" s="4"/>
      <c r="AA704" s="4" t="s">
        <v>358</v>
      </c>
    </row>
    <row r="705" spans="1:27" s="1" customFormat="1" x14ac:dyDescent="0.3">
      <c r="A705" s="19">
        <v>20234</v>
      </c>
      <c r="B705" s="4" t="s">
        <v>1906</v>
      </c>
      <c r="C705" s="4">
        <v>0</v>
      </c>
      <c r="D705" s="5">
        <v>42503.366898148146</v>
      </c>
      <c r="E705" s="5" t="s">
        <v>2084</v>
      </c>
      <c r="F705" s="4" t="s">
        <v>26</v>
      </c>
      <c r="G705" s="4" t="s">
        <v>98</v>
      </c>
      <c r="H705" s="4" t="s">
        <v>98</v>
      </c>
      <c r="I705" s="4" t="s">
        <v>88</v>
      </c>
      <c r="J705" s="4" t="s">
        <v>99</v>
      </c>
      <c r="K705" s="4" t="s">
        <v>31</v>
      </c>
      <c r="L705" s="5">
        <v>42519.291666666664</v>
      </c>
      <c r="M705" s="5">
        <v>42519.625</v>
      </c>
      <c r="N705" s="5">
        <v>42519.625</v>
      </c>
      <c r="O705" s="4" t="s">
        <v>32</v>
      </c>
      <c r="P705" s="4" t="s">
        <v>33</v>
      </c>
      <c r="Q705" s="4" t="s">
        <v>34</v>
      </c>
      <c r="R705" s="6" t="s">
        <v>77</v>
      </c>
      <c r="S705" s="6" t="s">
        <v>77</v>
      </c>
      <c r="T705" s="4" t="s">
        <v>37</v>
      </c>
      <c r="U705" s="4" t="s">
        <v>37</v>
      </c>
      <c r="V705" s="4" t="s">
        <v>1494</v>
      </c>
      <c r="W705" s="4" t="s">
        <v>37</v>
      </c>
      <c r="X705" s="4" t="s">
        <v>36</v>
      </c>
      <c r="Y705" s="4" t="s">
        <v>36</v>
      </c>
      <c r="Z705" s="4"/>
      <c r="AA705" s="4" t="s">
        <v>102</v>
      </c>
    </row>
    <row r="706" spans="1:27" s="1" customFormat="1" x14ac:dyDescent="0.3">
      <c r="A706" s="19">
        <v>20236</v>
      </c>
      <c r="B706" s="4" t="s">
        <v>1907</v>
      </c>
      <c r="C706" s="4">
        <v>0</v>
      </c>
      <c r="D706" s="5">
        <v>42503.375381944446</v>
      </c>
      <c r="E706" s="5" t="s">
        <v>2084</v>
      </c>
      <c r="F706" s="4" t="s">
        <v>26</v>
      </c>
      <c r="G706" s="4" t="s">
        <v>98</v>
      </c>
      <c r="H706" s="4" t="s">
        <v>98</v>
      </c>
      <c r="I706" s="4" t="s">
        <v>217</v>
      </c>
      <c r="J706" s="4" t="s">
        <v>901</v>
      </c>
      <c r="K706" s="4" t="s">
        <v>31</v>
      </c>
      <c r="L706" s="5">
        <v>42519.291666666664</v>
      </c>
      <c r="M706" s="5">
        <v>42519.625</v>
      </c>
      <c r="N706" s="5">
        <v>42519.625</v>
      </c>
      <c r="O706" s="4" t="s">
        <v>32</v>
      </c>
      <c r="P706" s="4" t="s">
        <v>33</v>
      </c>
      <c r="Q706" s="4" t="s">
        <v>34</v>
      </c>
      <c r="R706" s="6" t="s">
        <v>77</v>
      </c>
      <c r="S706" s="6" t="s">
        <v>77</v>
      </c>
      <c r="T706" s="4" t="s">
        <v>37</v>
      </c>
      <c r="U706" s="4" t="s">
        <v>37</v>
      </c>
      <c r="V706" s="4" t="s">
        <v>1494</v>
      </c>
      <c r="W706" s="4" t="s">
        <v>37</v>
      </c>
      <c r="X706" s="4" t="s">
        <v>37</v>
      </c>
      <c r="Y706" s="4" t="s">
        <v>36</v>
      </c>
      <c r="Z706" s="4"/>
      <c r="AA706" s="4" t="s">
        <v>358</v>
      </c>
    </row>
    <row r="707" spans="1:27" s="1" customFormat="1" x14ac:dyDescent="0.3">
      <c r="A707" s="19">
        <v>20237</v>
      </c>
      <c r="B707" s="4" t="s">
        <v>1908</v>
      </c>
      <c r="C707" s="4">
        <v>0</v>
      </c>
      <c r="D707" s="5">
        <v>42503.393819444442</v>
      </c>
      <c r="E707" s="5" t="s">
        <v>2084</v>
      </c>
      <c r="F707" s="4" t="s">
        <v>26</v>
      </c>
      <c r="G707" s="4" t="s">
        <v>489</v>
      </c>
      <c r="H707" s="4" t="s">
        <v>489</v>
      </c>
      <c r="I707" s="4" t="s">
        <v>219</v>
      </c>
      <c r="J707" s="4" t="s">
        <v>30</v>
      </c>
      <c r="K707" s="4" t="s">
        <v>31</v>
      </c>
      <c r="L707" s="5">
        <v>42510.916666666664</v>
      </c>
      <c r="M707" s="5">
        <v>42511.208333333336</v>
      </c>
      <c r="N707" s="5">
        <v>42511.25</v>
      </c>
      <c r="O707" s="4" t="s">
        <v>32</v>
      </c>
      <c r="P707" s="4" t="s">
        <v>33</v>
      </c>
      <c r="Q707" s="4" t="s">
        <v>76</v>
      </c>
      <c r="R707" s="6" t="s">
        <v>77</v>
      </c>
      <c r="S707" s="4" t="s">
        <v>181</v>
      </c>
      <c r="T707" s="4" t="s">
        <v>37</v>
      </c>
      <c r="U707" s="4" t="s">
        <v>37</v>
      </c>
      <c r="V707" s="4" t="s">
        <v>1626</v>
      </c>
      <c r="W707" s="4" t="s">
        <v>37</v>
      </c>
      <c r="X707" s="4" t="s">
        <v>37</v>
      </c>
      <c r="Y707" s="4" t="s">
        <v>36</v>
      </c>
      <c r="Z707" s="4"/>
      <c r="AA707" s="4" t="s">
        <v>40</v>
      </c>
    </row>
    <row r="708" spans="1:27" s="1" customFormat="1" x14ac:dyDescent="0.3">
      <c r="A708" s="19">
        <v>20266</v>
      </c>
      <c r="B708" s="4" t="s">
        <v>1909</v>
      </c>
      <c r="C708" s="4">
        <v>0</v>
      </c>
      <c r="D708" s="5">
        <v>42503.668414351851</v>
      </c>
      <c r="E708" s="5" t="s">
        <v>2084</v>
      </c>
      <c r="F708" s="4" t="s">
        <v>26</v>
      </c>
      <c r="G708" s="4" t="s">
        <v>1115</v>
      </c>
      <c r="H708" s="4" t="s">
        <v>1116</v>
      </c>
      <c r="I708" s="4" t="s">
        <v>203</v>
      </c>
      <c r="J708" s="4" t="s">
        <v>311</v>
      </c>
      <c r="K708" s="4" t="s">
        <v>31</v>
      </c>
      <c r="L708" s="5">
        <v>42514.833333333336</v>
      </c>
      <c r="M708" s="5">
        <v>42515.097222222219</v>
      </c>
      <c r="N708" s="5">
        <v>42515.097222222219</v>
      </c>
      <c r="O708" s="4" t="s">
        <v>32</v>
      </c>
      <c r="P708" s="4" t="s">
        <v>33</v>
      </c>
      <c r="Q708" s="4" t="s">
        <v>34</v>
      </c>
      <c r="R708" s="4" t="s">
        <v>1910</v>
      </c>
      <c r="S708" s="4" t="s">
        <v>1910</v>
      </c>
      <c r="T708" s="4" t="s">
        <v>37</v>
      </c>
      <c r="U708" s="4" t="s">
        <v>36</v>
      </c>
      <c r="V708" s="4" t="s">
        <v>1118</v>
      </c>
      <c r="W708" s="4" t="s">
        <v>37</v>
      </c>
      <c r="X708" s="4" t="s">
        <v>37</v>
      </c>
      <c r="Y708" s="4" t="s">
        <v>36</v>
      </c>
      <c r="Z708" s="4"/>
      <c r="AA708" s="4"/>
    </row>
    <row r="709" spans="1:27" s="1" customFormat="1" x14ac:dyDescent="0.3">
      <c r="A709" s="19">
        <v>20267</v>
      </c>
      <c r="B709" s="4" t="s">
        <v>1911</v>
      </c>
      <c r="C709" s="4">
        <v>0</v>
      </c>
      <c r="D709" s="5">
        <v>42503.712106481478</v>
      </c>
      <c r="E709" s="5" t="s">
        <v>2084</v>
      </c>
      <c r="F709" s="4" t="s">
        <v>26</v>
      </c>
      <c r="G709" s="4" t="s">
        <v>428</v>
      </c>
      <c r="H709" s="4" t="s">
        <v>428</v>
      </c>
      <c r="I709" s="4" t="s">
        <v>83</v>
      </c>
      <c r="J709" s="4" t="s">
        <v>1912</v>
      </c>
      <c r="K709" s="4" t="s">
        <v>31</v>
      </c>
      <c r="L709" s="5">
        <v>42510.916666666664</v>
      </c>
      <c r="M709" s="5">
        <v>42511.166666666664</v>
      </c>
      <c r="N709" s="5">
        <v>42514.71597222222</v>
      </c>
      <c r="O709" s="4" t="s">
        <v>32</v>
      </c>
      <c r="P709" s="4" t="s">
        <v>33</v>
      </c>
      <c r="Q709" s="4" t="s">
        <v>76</v>
      </c>
      <c r="R709" s="6" t="s">
        <v>77</v>
      </c>
      <c r="S709" s="6" t="s">
        <v>77</v>
      </c>
      <c r="T709" s="4" t="s">
        <v>37</v>
      </c>
      <c r="U709" s="4" t="s">
        <v>37</v>
      </c>
      <c r="V709" s="4" t="s">
        <v>1209</v>
      </c>
      <c r="W709" s="4" t="s">
        <v>37</v>
      </c>
      <c r="X709" s="4" t="s">
        <v>37</v>
      </c>
      <c r="Y709" s="4" t="s">
        <v>36</v>
      </c>
      <c r="Z709" s="4"/>
      <c r="AA709" s="4" t="s">
        <v>102</v>
      </c>
    </row>
    <row r="710" spans="1:27" s="1" customFormat="1" x14ac:dyDescent="0.3">
      <c r="A710" s="19">
        <v>20269</v>
      </c>
      <c r="B710" s="4" t="s">
        <v>1074</v>
      </c>
      <c r="C710" s="4">
        <v>0</v>
      </c>
      <c r="D710" s="5">
        <v>42503.741967592592</v>
      </c>
      <c r="E710" s="5" t="s">
        <v>2084</v>
      </c>
      <c r="F710" s="4" t="s">
        <v>26</v>
      </c>
      <c r="G710" s="4" t="s">
        <v>354</v>
      </c>
      <c r="H710" s="4" t="s">
        <v>354</v>
      </c>
      <c r="I710" s="4" t="s">
        <v>203</v>
      </c>
      <c r="J710" s="4" t="s">
        <v>331</v>
      </c>
      <c r="K710" s="4" t="s">
        <v>31</v>
      </c>
      <c r="L710" s="5">
        <v>42513.333333333336</v>
      </c>
      <c r="M710" s="5">
        <v>42513.999305555553</v>
      </c>
      <c r="N710" s="5">
        <v>42514.25</v>
      </c>
      <c r="O710" s="4" t="s">
        <v>32</v>
      </c>
      <c r="P710" s="4" t="s">
        <v>149</v>
      </c>
      <c r="Q710" s="4" t="s">
        <v>50</v>
      </c>
      <c r="R710" s="4"/>
      <c r="S710" s="4"/>
      <c r="T710" s="4" t="s">
        <v>37</v>
      </c>
      <c r="U710" s="4" t="s">
        <v>37</v>
      </c>
      <c r="V710" s="4" t="s">
        <v>433</v>
      </c>
      <c r="W710" s="4" t="s">
        <v>37</v>
      </c>
      <c r="X710" s="4" t="s">
        <v>37</v>
      </c>
      <c r="Y710" s="4" t="s">
        <v>36</v>
      </c>
      <c r="Z710" s="4"/>
      <c r="AA710" s="4" t="s">
        <v>179</v>
      </c>
    </row>
    <row r="711" spans="1:27" s="1" customFormat="1" x14ac:dyDescent="0.3">
      <c r="A711" s="19">
        <v>20270</v>
      </c>
      <c r="B711" s="4" t="s">
        <v>1913</v>
      </c>
      <c r="C711" s="4" t="s">
        <v>2111</v>
      </c>
      <c r="D711" s="5">
        <v>42503.765509259261</v>
      </c>
      <c r="E711" s="5" t="s">
        <v>2084</v>
      </c>
      <c r="F711" s="4" t="s">
        <v>26</v>
      </c>
      <c r="G711" s="4" t="s">
        <v>349</v>
      </c>
      <c r="H711" s="4" t="s">
        <v>349</v>
      </c>
      <c r="I711" s="4" t="s">
        <v>88</v>
      </c>
      <c r="J711" s="4" t="s">
        <v>30</v>
      </c>
      <c r="K711" s="4" t="s">
        <v>31</v>
      </c>
      <c r="L711" s="5">
        <v>42504.916666666664</v>
      </c>
      <c r="M711" s="5">
        <v>42505.25</v>
      </c>
      <c r="N711" s="5">
        <v>42505.333333333336</v>
      </c>
      <c r="O711" s="4" t="s">
        <v>710</v>
      </c>
      <c r="P711" s="4" t="s">
        <v>33</v>
      </c>
      <c r="Q711" s="4" t="s">
        <v>76</v>
      </c>
      <c r="R711" s="4" t="s">
        <v>1914</v>
      </c>
      <c r="S711" s="4" t="s">
        <v>1914</v>
      </c>
      <c r="T711" s="4" t="s">
        <v>36</v>
      </c>
      <c r="U711" s="4" t="s">
        <v>36</v>
      </c>
      <c r="V711" s="4" t="s">
        <v>1221</v>
      </c>
      <c r="W711" s="4" t="s">
        <v>37</v>
      </c>
      <c r="X711" s="4" t="s">
        <v>37</v>
      </c>
      <c r="Y711" s="4" t="s">
        <v>36</v>
      </c>
      <c r="Z711" s="4" t="s">
        <v>39</v>
      </c>
      <c r="AA711" s="4" t="s">
        <v>40</v>
      </c>
    </row>
    <row r="712" spans="1:27" s="1" customFormat="1" x14ac:dyDescent="0.3">
      <c r="A712" s="19">
        <v>20271</v>
      </c>
      <c r="B712" s="4" t="s">
        <v>1915</v>
      </c>
      <c r="C712" s="4">
        <v>0</v>
      </c>
      <c r="D712" s="5">
        <v>42503.769490740742</v>
      </c>
      <c r="E712" s="5" t="s">
        <v>2084</v>
      </c>
      <c r="F712" s="4" t="s">
        <v>26</v>
      </c>
      <c r="G712" s="4" t="s">
        <v>892</v>
      </c>
      <c r="H712" s="4" t="s">
        <v>935</v>
      </c>
      <c r="I712" s="4" t="s">
        <v>221</v>
      </c>
      <c r="J712" s="4" t="s">
        <v>30</v>
      </c>
      <c r="K712" s="4" t="s">
        <v>31</v>
      </c>
      <c r="L712" s="5">
        <v>42508.916666666664</v>
      </c>
      <c r="M712" s="5">
        <v>42508.9375</v>
      </c>
      <c r="N712" s="5">
        <v>42508.958333333336</v>
      </c>
      <c r="O712" s="4" t="s">
        <v>32</v>
      </c>
      <c r="P712" s="4" t="s">
        <v>33</v>
      </c>
      <c r="Q712" s="4" t="s">
        <v>76</v>
      </c>
      <c r="R712" s="6" t="s">
        <v>77</v>
      </c>
      <c r="S712" s="4" t="s">
        <v>1041</v>
      </c>
      <c r="T712" s="4" t="s">
        <v>37</v>
      </c>
      <c r="U712" s="4" t="s">
        <v>37</v>
      </c>
      <c r="V712" s="4" t="s">
        <v>1916</v>
      </c>
      <c r="W712" s="4" t="s">
        <v>37</v>
      </c>
      <c r="X712" s="4" t="s">
        <v>37</v>
      </c>
      <c r="Y712" s="4" t="s">
        <v>36</v>
      </c>
      <c r="Z712" s="4"/>
      <c r="AA712" s="4" t="s">
        <v>93</v>
      </c>
    </row>
    <row r="713" spans="1:27" s="1" customFormat="1" x14ac:dyDescent="0.3">
      <c r="A713" s="19">
        <v>20272</v>
      </c>
      <c r="B713" s="4" t="s">
        <v>1917</v>
      </c>
      <c r="C713" s="4" t="s">
        <v>1918</v>
      </c>
      <c r="D713" s="5">
        <v>42506.390983796293</v>
      </c>
      <c r="E713" s="5" t="s">
        <v>2084</v>
      </c>
      <c r="F713" s="4" t="s">
        <v>26</v>
      </c>
      <c r="G713" s="4" t="s">
        <v>421</v>
      </c>
      <c r="H713" s="4" t="s">
        <v>922</v>
      </c>
      <c r="I713" s="4" t="s">
        <v>118</v>
      </c>
      <c r="J713" s="4" t="s">
        <v>30</v>
      </c>
      <c r="K713" s="4" t="s">
        <v>31</v>
      </c>
      <c r="L713" s="5">
        <v>42514.916666666664</v>
      </c>
      <c r="M713" s="5">
        <v>42515.125</v>
      </c>
      <c r="N713" s="5">
        <v>42515.75</v>
      </c>
      <c r="O713" s="4" t="s">
        <v>32</v>
      </c>
      <c r="P713" s="4" t="s">
        <v>149</v>
      </c>
      <c r="Q713" s="4" t="s">
        <v>76</v>
      </c>
      <c r="R713" s="6" t="s">
        <v>77</v>
      </c>
      <c r="S713" s="4" t="s">
        <v>291</v>
      </c>
      <c r="T713" s="4" t="s">
        <v>37</v>
      </c>
      <c r="U713" s="4" t="s">
        <v>37</v>
      </c>
      <c r="V713" s="4" t="s">
        <v>1265</v>
      </c>
      <c r="W713" s="4" t="s">
        <v>37</v>
      </c>
      <c r="X713" s="4" t="s">
        <v>37</v>
      </c>
      <c r="Y713" s="4" t="s">
        <v>36</v>
      </c>
      <c r="Z713" s="4" t="s">
        <v>1918</v>
      </c>
      <c r="AA713" s="4" t="s">
        <v>40</v>
      </c>
    </row>
    <row r="714" spans="1:27" s="1" customFormat="1" x14ac:dyDescent="0.3">
      <c r="A714" s="19">
        <v>20278</v>
      </c>
      <c r="B714" s="4" t="s">
        <v>1778</v>
      </c>
      <c r="C714" s="4">
        <v>0</v>
      </c>
      <c r="D714" s="5">
        <v>42506.598437499997</v>
      </c>
      <c r="E714" s="5" t="s">
        <v>2084</v>
      </c>
      <c r="F714" s="4" t="s">
        <v>26</v>
      </c>
      <c r="G714" s="4" t="s">
        <v>354</v>
      </c>
      <c r="H714" s="4" t="s">
        <v>354</v>
      </c>
      <c r="I714" s="4" t="s">
        <v>203</v>
      </c>
      <c r="J714" s="4" t="s">
        <v>331</v>
      </c>
      <c r="K714" s="4" t="s">
        <v>31</v>
      </c>
      <c r="L714" s="5">
        <v>42511.25</v>
      </c>
      <c r="M714" s="5">
        <v>42512.999305555553</v>
      </c>
      <c r="N714" s="5">
        <v>42513.25</v>
      </c>
      <c r="O714" s="4" t="s">
        <v>32</v>
      </c>
      <c r="P714" s="4" t="s">
        <v>149</v>
      </c>
      <c r="Q714" s="4" t="s">
        <v>50</v>
      </c>
      <c r="R714" s="4"/>
      <c r="S714" s="4"/>
      <c r="T714" s="4" t="s">
        <v>37</v>
      </c>
      <c r="U714" s="4" t="s">
        <v>37</v>
      </c>
      <c r="V714" s="4" t="s">
        <v>1919</v>
      </c>
      <c r="W714" s="4" t="s">
        <v>37</v>
      </c>
      <c r="X714" s="4" t="s">
        <v>37</v>
      </c>
      <c r="Y714" s="4" t="s">
        <v>36</v>
      </c>
      <c r="Z714" s="4"/>
      <c r="AA714" s="4" t="s">
        <v>179</v>
      </c>
    </row>
    <row r="715" spans="1:27" s="1" customFormat="1" x14ac:dyDescent="0.3">
      <c r="A715" s="19">
        <v>20279</v>
      </c>
      <c r="B715" s="4" t="s">
        <v>1920</v>
      </c>
      <c r="C715" s="4">
        <v>0</v>
      </c>
      <c r="D715" s="5">
        <v>42506.63517361111</v>
      </c>
      <c r="E715" s="5" t="s">
        <v>2084</v>
      </c>
      <c r="F715" s="4" t="s">
        <v>26</v>
      </c>
      <c r="G715" s="4" t="s">
        <v>1604</v>
      </c>
      <c r="H715" s="4" t="s">
        <v>1604</v>
      </c>
      <c r="I715" s="4" t="s">
        <v>161</v>
      </c>
      <c r="J715" s="4" t="s">
        <v>162</v>
      </c>
      <c r="K715" s="4" t="s">
        <v>31</v>
      </c>
      <c r="L715" s="5">
        <v>42506.666666666664</v>
      </c>
      <c r="M715" s="5">
        <v>42506.833333333336</v>
      </c>
      <c r="N715" s="5">
        <v>42507.75</v>
      </c>
      <c r="O715" s="4" t="s">
        <v>250</v>
      </c>
      <c r="P715" s="4" t="s">
        <v>89</v>
      </c>
      <c r="Q715" s="4" t="s">
        <v>119</v>
      </c>
      <c r="R715" s="6" t="s">
        <v>77</v>
      </c>
      <c r="S715" s="4"/>
      <c r="T715" s="4" t="s">
        <v>37</v>
      </c>
      <c r="U715" s="4" t="s">
        <v>37</v>
      </c>
      <c r="V715" s="4" t="s">
        <v>1921</v>
      </c>
      <c r="W715" s="4" t="s">
        <v>37</v>
      </c>
      <c r="X715" s="4" t="s">
        <v>37</v>
      </c>
      <c r="Y715" s="4" t="s">
        <v>36</v>
      </c>
      <c r="Z715" s="4">
        <v>0</v>
      </c>
      <c r="AA715" s="4"/>
    </row>
    <row r="716" spans="1:27" s="1" customFormat="1" x14ac:dyDescent="0.3">
      <c r="A716" s="19">
        <v>20283</v>
      </c>
      <c r="B716" s="4" t="s">
        <v>1922</v>
      </c>
      <c r="C716" s="4" t="s">
        <v>2106</v>
      </c>
      <c r="D716" s="5">
        <v>42506.730671296296</v>
      </c>
      <c r="E716" s="5" t="s">
        <v>2084</v>
      </c>
      <c r="F716" s="4" t="s">
        <v>26</v>
      </c>
      <c r="G716" s="4" t="s">
        <v>243</v>
      </c>
      <c r="H716" s="4" t="s">
        <v>244</v>
      </c>
      <c r="I716" s="4" t="s">
        <v>216</v>
      </c>
      <c r="J716" s="4" t="s">
        <v>30</v>
      </c>
      <c r="K716" s="4" t="s">
        <v>31</v>
      </c>
      <c r="L716" s="5">
        <v>42514.916666666664</v>
      </c>
      <c r="M716" s="5">
        <v>42515.125</v>
      </c>
      <c r="N716" s="5">
        <v>42515.375</v>
      </c>
      <c r="O716" s="4" t="s">
        <v>32</v>
      </c>
      <c r="P716" s="4" t="s">
        <v>33</v>
      </c>
      <c r="Q716" s="4" t="s">
        <v>34</v>
      </c>
      <c r="R716" s="4" t="s">
        <v>245</v>
      </c>
      <c r="S716" s="4" t="s">
        <v>245</v>
      </c>
      <c r="T716" s="4" t="s">
        <v>37</v>
      </c>
      <c r="U716" s="4" t="s">
        <v>37</v>
      </c>
      <c r="V716" s="4" t="s">
        <v>246</v>
      </c>
      <c r="W716" s="4" t="s">
        <v>37</v>
      </c>
      <c r="X716" s="4" t="s">
        <v>37</v>
      </c>
      <c r="Y716" s="4" t="s">
        <v>36</v>
      </c>
      <c r="Z716" s="4"/>
      <c r="AA716" s="4" t="s">
        <v>179</v>
      </c>
    </row>
    <row r="717" spans="1:27" s="1" customFormat="1" x14ac:dyDescent="0.3">
      <c r="A717" s="19">
        <v>20285</v>
      </c>
      <c r="B717" s="4" t="s">
        <v>1923</v>
      </c>
      <c r="C717" s="4" t="s">
        <v>2111</v>
      </c>
      <c r="D717" s="5">
        <v>42506.766377314816</v>
      </c>
      <c r="E717" s="5" t="s">
        <v>2084</v>
      </c>
      <c r="F717" s="4" t="s">
        <v>26</v>
      </c>
      <c r="G717" s="4" t="s">
        <v>259</v>
      </c>
      <c r="H717" s="4" t="s">
        <v>259</v>
      </c>
      <c r="I717" s="4" t="s">
        <v>203</v>
      </c>
      <c r="J717" s="4" t="s">
        <v>311</v>
      </c>
      <c r="K717" s="4" t="s">
        <v>31</v>
      </c>
      <c r="L717" s="5">
        <v>42506.875</v>
      </c>
      <c r="M717" s="5">
        <v>42506.895833333336</v>
      </c>
      <c r="N717" s="5">
        <v>42506.916666666664</v>
      </c>
      <c r="O717" s="4" t="s">
        <v>710</v>
      </c>
      <c r="P717" s="4" t="s">
        <v>89</v>
      </c>
      <c r="Q717" s="4" t="s">
        <v>76</v>
      </c>
      <c r="R717" s="4" t="s">
        <v>1924</v>
      </c>
      <c r="S717" s="4" t="s">
        <v>1924</v>
      </c>
      <c r="T717" s="4" t="s">
        <v>36</v>
      </c>
      <c r="U717" s="4" t="s">
        <v>37</v>
      </c>
      <c r="V717" s="4" t="s">
        <v>1648</v>
      </c>
      <c r="W717" s="4" t="s">
        <v>37</v>
      </c>
      <c r="X717" s="4" t="s">
        <v>37</v>
      </c>
      <c r="Y717" s="4" t="s">
        <v>36</v>
      </c>
      <c r="Z717" s="4"/>
      <c r="AA717" s="4"/>
    </row>
    <row r="718" spans="1:27" s="1" customFormat="1" x14ac:dyDescent="0.3">
      <c r="A718" s="19">
        <v>20286</v>
      </c>
      <c r="B718" s="4" t="s">
        <v>1925</v>
      </c>
      <c r="C718" s="4" t="s">
        <v>2111</v>
      </c>
      <c r="D718" s="5">
        <v>42506.798877314817</v>
      </c>
      <c r="E718" s="5" t="s">
        <v>2084</v>
      </c>
      <c r="F718" s="4" t="s">
        <v>26</v>
      </c>
      <c r="G718" s="4" t="s">
        <v>1926</v>
      </c>
      <c r="H718" s="4" t="s">
        <v>615</v>
      </c>
      <c r="I718" s="4" t="s">
        <v>169</v>
      </c>
      <c r="J718" s="4" t="s">
        <v>30</v>
      </c>
      <c r="K718" s="4" t="s">
        <v>31</v>
      </c>
      <c r="L718" s="5">
        <v>42508.916666666664</v>
      </c>
      <c r="M718" s="5">
        <v>42509.270833333336</v>
      </c>
      <c r="N718" s="5">
        <v>42509.291666666664</v>
      </c>
      <c r="O718" s="4" t="s">
        <v>710</v>
      </c>
      <c r="P718" s="4" t="s">
        <v>33</v>
      </c>
      <c r="Q718" s="4" t="s">
        <v>76</v>
      </c>
      <c r="R718" s="4"/>
      <c r="S718" s="4"/>
      <c r="T718" s="4" t="s">
        <v>37</v>
      </c>
      <c r="U718" s="4" t="s">
        <v>37</v>
      </c>
      <c r="V718" s="4" t="s">
        <v>1268</v>
      </c>
      <c r="W718" s="4" t="s">
        <v>37</v>
      </c>
      <c r="X718" s="4" t="s">
        <v>37</v>
      </c>
      <c r="Y718" s="4" t="s">
        <v>36</v>
      </c>
      <c r="Z718" s="4"/>
      <c r="AA718" s="4" t="s">
        <v>93</v>
      </c>
    </row>
    <row r="719" spans="1:27" s="1" customFormat="1" x14ac:dyDescent="0.3">
      <c r="A719" s="19">
        <v>20287</v>
      </c>
      <c r="B719" s="4" t="s">
        <v>1927</v>
      </c>
      <c r="C719" s="4" t="s">
        <v>2111</v>
      </c>
      <c r="D719" s="5">
        <v>42507.26258101852</v>
      </c>
      <c r="E719" s="5" t="s">
        <v>2084</v>
      </c>
      <c r="F719" s="4" t="s">
        <v>26</v>
      </c>
      <c r="G719" s="4" t="s">
        <v>1928</v>
      </c>
      <c r="H719" s="4" t="s">
        <v>1928</v>
      </c>
      <c r="I719" s="4" t="s">
        <v>118</v>
      </c>
      <c r="J719" s="4" t="s">
        <v>30</v>
      </c>
      <c r="K719" s="4" t="s">
        <v>31</v>
      </c>
      <c r="L719" s="5">
        <v>42508.041666666664</v>
      </c>
      <c r="M719" s="5">
        <v>42508.25</v>
      </c>
      <c r="N719" s="5">
        <v>42508.291666666664</v>
      </c>
      <c r="O719" s="4" t="s">
        <v>710</v>
      </c>
      <c r="P719" s="4" t="s">
        <v>33</v>
      </c>
      <c r="Q719" s="4" t="s">
        <v>76</v>
      </c>
      <c r="R719" s="4" t="s">
        <v>1929</v>
      </c>
      <c r="S719" s="4" t="s">
        <v>1929</v>
      </c>
      <c r="T719" s="4" t="s">
        <v>36</v>
      </c>
      <c r="U719" s="4" t="s">
        <v>37</v>
      </c>
      <c r="V719" s="4" t="s">
        <v>1930</v>
      </c>
      <c r="W719" s="4" t="s">
        <v>37</v>
      </c>
      <c r="X719" s="4" t="s">
        <v>37</v>
      </c>
      <c r="Y719" s="4" t="s">
        <v>37</v>
      </c>
      <c r="Z719" s="4"/>
      <c r="AA719" s="4" t="s">
        <v>179</v>
      </c>
    </row>
    <row r="720" spans="1:27" s="1" customFormat="1" x14ac:dyDescent="0.3">
      <c r="A720" s="19">
        <v>20288</v>
      </c>
      <c r="B720" s="4" t="s">
        <v>1931</v>
      </c>
      <c r="C720" s="4" t="s">
        <v>1989</v>
      </c>
      <c r="D720" s="5">
        <v>42507.401701388888</v>
      </c>
      <c r="E720" s="5" t="s">
        <v>2084</v>
      </c>
      <c r="F720" s="4" t="s">
        <v>26</v>
      </c>
      <c r="G720" s="4" t="s">
        <v>1885</v>
      </c>
      <c r="H720" s="4" t="s">
        <v>1380</v>
      </c>
      <c r="I720" s="4" t="s">
        <v>118</v>
      </c>
      <c r="J720" s="4" t="s">
        <v>30</v>
      </c>
      <c r="K720" s="4" t="s">
        <v>31</v>
      </c>
      <c r="L720" s="5">
        <v>42518.916666666664</v>
      </c>
      <c r="M720" s="5">
        <v>42519.5</v>
      </c>
      <c r="N720" s="5">
        <v>42519.75</v>
      </c>
      <c r="O720" s="4" t="s">
        <v>32</v>
      </c>
      <c r="P720" s="4" t="s">
        <v>149</v>
      </c>
      <c r="Q720" s="4" t="s">
        <v>50</v>
      </c>
      <c r="R720" s="4" t="s">
        <v>291</v>
      </c>
      <c r="S720" s="4" t="s">
        <v>291</v>
      </c>
      <c r="T720" s="4" t="s">
        <v>37</v>
      </c>
      <c r="U720" s="4" t="s">
        <v>37</v>
      </c>
      <c r="V720" s="4" t="s">
        <v>292</v>
      </c>
      <c r="W720" s="4" t="s">
        <v>37</v>
      </c>
      <c r="X720" s="4" t="s">
        <v>37</v>
      </c>
      <c r="Y720" s="4" t="s">
        <v>36</v>
      </c>
      <c r="Z720" s="4"/>
      <c r="AA720" s="4" t="s">
        <v>40</v>
      </c>
    </row>
    <row r="721" spans="1:27" s="1" customFormat="1" x14ac:dyDescent="0.3">
      <c r="A721" s="19">
        <v>20289</v>
      </c>
      <c r="B721" s="4" t="s">
        <v>1932</v>
      </c>
      <c r="C721" s="4" t="s">
        <v>2111</v>
      </c>
      <c r="D721" s="5">
        <v>42507.495555555557</v>
      </c>
      <c r="E721" s="5" t="s">
        <v>2084</v>
      </c>
      <c r="F721" s="4" t="s">
        <v>26</v>
      </c>
      <c r="G721" s="4" t="s">
        <v>1373</v>
      </c>
      <c r="H721" s="4" t="s">
        <v>1373</v>
      </c>
      <c r="I721" s="4" t="s">
        <v>214</v>
      </c>
      <c r="J721" s="4" t="s">
        <v>302</v>
      </c>
      <c r="K721" s="4" t="s">
        <v>31</v>
      </c>
      <c r="L721" s="5">
        <v>42507.986111111109</v>
      </c>
      <c r="M721" s="5">
        <v>42508.083333333336</v>
      </c>
      <c r="N721" s="5">
        <v>42508.104166666664</v>
      </c>
      <c r="O721" s="4" t="s">
        <v>710</v>
      </c>
      <c r="P721" s="4" t="s">
        <v>33</v>
      </c>
      <c r="Q721" s="4" t="s">
        <v>76</v>
      </c>
      <c r="R721" s="4" t="s">
        <v>1933</v>
      </c>
      <c r="S721" s="4" t="s">
        <v>1933</v>
      </c>
      <c r="T721" s="4" t="s">
        <v>37</v>
      </c>
      <c r="U721" s="4" t="s">
        <v>37</v>
      </c>
      <c r="V721" s="4" t="s">
        <v>1934</v>
      </c>
      <c r="W721" s="4" t="s">
        <v>37</v>
      </c>
      <c r="X721" s="4" t="s">
        <v>37</v>
      </c>
      <c r="Y721" s="4" t="s">
        <v>36</v>
      </c>
      <c r="Z721" s="4"/>
      <c r="AA721" s="4" t="s">
        <v>187</v>
      </c>
    </row>
    <row r="722" spans="1:27" s="1" customFormat="1" x14ac:dyDescent="0.3">
      <c r="A722" s="19">
        <v>20292</v>
      </c>
      <c r="B722" s="4" t="s">
        <v>1935</v>
      </c>
      <c r="C722" s="4" t="s">
        <v>2111</v>
      </c>
      <c r="D722" s="5">
        <v>42507.570092592592</v>
      </c>
      <c r="E722" s="5" t="s">
        <v>2084</v>
      </c>
      <c r="F722" s="4" t="s">
        <v>26</v>
      </c>
      <c r="G722" s="4" t="s">
        <v>533</v>
      </c>
      <c r="H722" s="4" t="s">
        <v>737</v>
      </c>
      <c r="I722" s="4" t="s">
        <v>205</v>
      </c>
      <c r="J722" s="4" t="s">
        <v>466</v>
      </c>
      <c r="K722" s="4" t="s">
        <v>31</v>
      </c>
      <c r="L722" s="5">
        <v>42507.9375</v>
      </c>
      <c r="M722" s="5">
        <v>42508.1875</v>
      </c>
      <c r="N722" s="5">
        <v>42508.208333333336</v>
      </c>
      <c r="O722" s="4" t="s">
        <v>710</v>
      </c>
      <c r="P722" s="4" t="s">
        <v>89</v>
      </c>
      <c r="Q722" s="4" t="s">
        <v>76</v>
      </c>
      <c r="R722" s="4" t="s">
        <v>1936</v>
      </c>
      <c r="S722" s="4" t="s">
        <v>1936</v>
      </c>
      <c r="T722" s="4" t="s">
        <v>36</v>
      </c>
      <c r="U722" s="4" t="s">
        <v>37</v>
      </c>
      <c r="V722" s="4" t="s">
        <v>1937</v>
      </c>
      <c r="W722" s="4" t="s">
        <v>37</v>
      </c>
      <c r="X722" s="4" t="s">
        <v>37</v>
      </c>
      <c r="Y722" s="4" t="s">
        <v>36</v>
      </c>
      <c r="Z722" s="4" t="s">
        <v>1938</v>
      </c>
      <c r="AA722" s="4" t="s">
        <v>179</v>
      </c>
    </row>
    <row r="723" spans="1:27" s="1" customFormat="1" x14ac:dyDescent="0.3">
      <c r="A723" s="19">
        <v>20293</v>
      </c>
      <c r="B723" s="4" t="s">
        <v>1939</v>
      </c>
      <c r="C723" s="4" t="s">
        <v>2111</v>
      </c>
      <c r="D723" s="5">
        <v>42507.589502314811</v>
      </c>
      <c r="E723" s="5" t="s">
        <v>2084</v>
      </c>
      <c r="F723" s="4" t="s">
        <v>26</v>
      </c>
      <c r="G723" s="4" t="s">
        <v>310</v>
      </c>
      <c r="H723" s="4" t="s">
        <v>1137</v>
      </c>
      <c r="I723" s="4" t="s">
        <v>214</v>
      </c>
      <c r="J723" s="4" t="s">
        <v>49</v>
      </c>
      <c r="K723" s="4" t="s">
        <v>31</v>
      </c>
      <c r="L723" s="5">
        <v>42507.979166666664</v>
      </c>
      <c r="M723" s="5">
        <v>42508.0625</v>
      </c>
      <c r="N723" s="5">
        <v>42508.083333333336</v>
      </c>
      <c r="O723" s="4" t="s">
        <v>710</v>
      </c>
      <c r="P723" s="4" t="s">
        <v>33</v>
      </c>
      <c r="Q723" s="4" t="s">
        <v>76</v>
      </c>
      <c r="R723" s="4" t="s">
        <v>1940</v>
      </c>
      <c r="S723" s="6" t="s">
        <v>77</v>
      </c>
      <c r="T723" s="4" t="s">
        <v>36</v>
      </c>
      <c r="U723" s="4" t="s">
        <v>37</v>
      </c>
      <c r="V723" s="4" t="s">
        <v>1139</v>
      </c>
      <c r="W723" s="4" t="s">
        <v>37</v>
      </c>
      <c r="X723" s="4" t="s">
        <v>37</v>
      </c>
      <c r="Y723" s="4" t="s">
        <v>36</v>
      </c>
      <c r="Z723" s="4"/>
      <c r="AA723" s="4"/>
    </row>
    <row r="724" spans="1:27" s="1" customFormat="1" x14ac:dyDescent="0.3">
      <c r="A724" s="19">
        <v>20294</v>
      </c>
      <c r="B724" s="4" t="s">
        <v>1941</v>
      </c>
      <c r="C724" s="4" t="s">
        <v>2193</v>
      </c>
      <c r="D724" s="5">
        <v>42507.599340277775</v>
      </c>
      <c r="E724" s="5" t="s">
        <v>2084</v>
      </c>
      <c r="F724" s="4" t="s">
        <v>26</v>
      </c>
      <c r="G724" s="4" t="s">
        <v>354</v>
      </c>
      <c r="H724" s="4" t="s">
        <v>354</v>
      </c>
      <c r="I724" s="4" t="s">
        <v>203</v>
      </c>
      <c r="J724" s="4" t="s">
        <v>1942</v>
      </c>
      <c r="K724" s="4" t="s">
        <v>31</v>
      </c>
      <c r="L724" s="5">
        <v>42513.333333333336</v>
      </c>
      <c r="M724" s="5">
        <v>42521.999305555553</v>
      </c>
      <c r="N724" s="5">
        <v>42522.333333333336</v>
      </c>
      <c r="O724" s="4" t="s">
        <v>32</v>
      </c>
      <c r="P724" s="4" t="s">
        <v>149</v>
      </c>
      <c r="Q724" s="4" t="s">
        <v>50</v>
      </c>
      <c r="R724" s="4"/>
      <c r="S724" s="4"/>
      <c r="T724" s="4" t="s">
        <v>37</v>
      </c>
      <c r="U724" s="4" t="s">
        <v>37</v>
      </c>
      <c r="V724" s="4" t="s">
        <v>433</v>
      </c>
      <c r="W724" s="4" t="s">
        <v>37</v>
      </c>
      <c r="X724" s="4" t="s">
        <v>37</v>
      </c>
      <c r="Y724" s="4" t="s">
        <v>36</v>
      </c>
      <c r="Z724" s="4"/>
      <c r="AA724" s="4" t="s">
        <v>1943</v>
      </c>
    </row>
    <row r="725" spans="1:27" s="1" customFormat="1" x14ac:dyDescent="0.3">
      <c r="A725" s="19">
        <v>20296</v>
      </c>
      <c r="B725" s="4" t="s">
        <v>1944</v>
      </c>
      <c r="C725" s="4">
        <v>0</v>
      </c>
      <c r="D725" s="5">
        <v>42507.617800925924</v>
      </c>
      <c r="E725" s="5" t="s">
        <v>2084</v>
      </c>
      <c r="F725" s="4" t="s">
        <v>26</v>
      </c>
      <c r="G725" s="4" t="s">
        <v>435</v>
      </c>
      <c r="H725" s="4" t="s">
        <v>435</v>
      </c>
      <c r="I725" s="4" t="s">
        <v>118</v>
      </c>
      <c r="J725" s="4" t="s">
        <v>30</v>
      </c>
      <c r="K725" s="4" t="s">
        <v>31</v>
      </c>
      <c r="L725" s="5">
        <v>42513.291666666664</v>
      </c>
      <c r="M725" s="5">
        <v>42513.375</v>
      </c>
      <c r="N725" s="5">
        <v>42513.416666666664</v>
      </c>
      <c r="O725" s="4" t="s">
        <v>32</v>
      </c>
      <c r="P725" s="4" t="s">
        <v>33</v>
      </c>
      <c r="Q725" s="4" t="s">
        <v>76</v>
      </c>
      <c r="R725" s="4" t="s">
        <v>436</v>
      </c>
      <c r="S725" s="4" t="s">
        <v>436</v>
      </c>
      <c r="T725" s="4" t="s">
        <v>37</v>
      </c>
      <c r="U725" s="4" t="s">
        <v>37</v>
      </c>
      <c r="V725" s="4" t="s">
        <v>597</v>
      </c>
      <c r="W725" s="4" t="s">
        <v>37</v>
      </c>
      <c r="X725" s="4" t="s">
        <v>37</v>
      </c>
      <c r="Y725" s="4" t="s">
        <v>36</v>
      </c>
      <c r="Z725" s="4" t="s">
        <v>1945</v>
      </c>
      <c r="AA725" s="4" t="s">
        <v>179</v>
      </c>
    </row>
    <row r="726" spans="1:27" s="1" customFormat="1" x14ac:dyDescent="0.3">
      <c r="A726" s="19">
        <v>20298</v>
      </c>
      <c r="B726" s="4" t="s">
        <v>1946</v>
      </c>
      <c r="C726" s="4">
        <v>0</v>
      </c>
      <c r="D726" s="5">
        <v>42507.63554398148</v>
      </c>
      <c r="E726" s="5" t="s">
        <v>2084</v>
      </c>
      <c r="F726" s="4" t="s">
        <v>26</v>
      </c>
      <c r="G726" s="4" t="s">
        <v>152</v>
      </c>
      <c r="H726" s="4" t="s">
        <v>152</v>
      </c>
      <c r="I726" s="4" t="s">
        <v>68</v>
      </c>
      <c r="J726" s="4" t="s">
        <v>343</v>
      </c>
      <c r="K726" s="4" t="s">
        <v>31</v>
      </c>
      <c r="L726" s="5">
        <v>42507.916666666664</v>
      </c>
      <c r="M726" s="5">
        <v>42508.208333333336</v>
      </c>
      <c r="N726" s="5">
        <v>42508.229166666664</v>
      </c>
      <c r="O726" s="4" t="s">
        <v>250</v>
      </c>
      <c r="P726" s="4" t="s">
        <v>89</v>
      </c>
      <c r="Q726" s="4" t="s">
        <v>119</v>
      </c>
      <c r="R726" s="6" t="s">
        <v>77</v>
      </c>
      <c r="S726" s="4" t="s">
        <v>1947</v>
      </c>
      <c r="T726" s="4" t="s">
        <v>37</v>
      </c>
      <c r="U726" s="4" t="s">
        <v>37</v>
      </c>
      <c r="V726" s="4" t="s">
        <v>1948</v>
      </c>
      <c r="W726" s="4" t="s">
        <v>37</v>
      </c>
      <c r="X726" s="4" t="s">
        <v>37</v>
      </c>
      <c r="Y726" s="4" t="s">
        <v>36</v>
      </c>
      <c r="Z726" s="4" t="s">
        <v>39</v>
      </c>
      <c r="AA726" s="4" t="s">
        <v>346</v>
      </c>
    </row>
    <row r="727" spans="1:27" s="1" customFormat="1" x14ac:dyDescent="0.3">
      <c r="A727" s="19">
        <v>20300</v>
      </c>
      <c r="B727" s="4" t="s">
        <v>1949</v>
      </c>
      <c r="C727" s="4">
        <v>0</v>
      </c>
      <c r="D727" s="5">
        <v>42507.642291666663</v>
      </c>
      <c r="E727" s="5" t="s">
        <v>2084</v>
      </c>
      <c r="F727" s="4" t="s">
        <v>26</v>
      </c>
      <c r="G727" s="4" t="s">
        <v>428</v>
      </c>
      <c r="H727" s="4" t="s">
        <v>428</v>
      </c>
      <c r="I727" s="4" t="s">
        <v>83</v>
      </c>
      <c r="J727" s="4" t="s">
        <v>1950</v>
      </c>
      <c r="K727" s="4" t="s">
        <v>31</v>
      </c>
      <c r="L727" s="5">
        <v>42517.916666666664</v>
      </c>
      <c r="M727" s="5">
        <v>42518.166666666664</v>
      </c>
      <c r="N727" s="5">
        <v>42521.650694444441</v>
      </c>
      <c r="O727" s="4" t="s">
        <v>32</v>
      </c>
      <c r="P727" s="4" t="s">
        <v>33</v>
      </c>
      <c r="Q727" s="4" t="s">
        <v>76</v>
      </c>
      <c r="R727" s="6" t="s">
        <v>77</v>
      </c>
      <c r="S727" s="6" t="s">
        <v>77</v>
      </c>
      <c r="T727" s="4" t="s">
        <v>37</v>
      </c>
      <c r="U727" s="4" t="s">
        <v>37</v>
      </c>
      <c r="V727" s="4" t="s">
        <v>395</v>
      </c>
      <c r="W727" s="4" t="s">
        <v>37</v>
      </c>
      <c r="X727" s="4" t="s">
        <v>37</v>
      </c>
      <c r="Y727" s="4" t="s">
        <v>36</v>
      </c>
      <c r="Z727" s="4"/>
      <c r="AA727" s="4" t="s">
        <v>660</v>
      </c>
    </row>
    <row r="728" spans="1:27" s="1" customFormat="1" x14ac:dyDescent="0.3">
      <c r="A728" s="19">
        <v>20301</v>
      </c>
      <c r="B728" s="4" t="s">
        <v>1951</v>
      </c>
      <c r="C728" s="4">
        <v>0</v>
      </c>
      <c r="D728" s="5">
        <v>42507.677928240744</v>
      </c>
      <c r="E728" s="5" t="s">
        <v>2084</v>
      </c>
      <c r="F728" s="4" t="s">
        <v>26</v>
      </c>
      <c r="G728" s="4" t="s">
        <v>852</v>
      </c>
      <c r="H728" s="4" t="s">
        <v>852</v>
      </c>
      <c r="I728" s="4" t="s">
        <v>213</v>
      </c>
      <c r="J728" s="4" t="s">
        <v>30</v>
      </c>
      <c r="K728" s="4" t="s">
        <v>31</v>
      </c>
      <c r="L728" s="5">
        <v>42517.916666666664</v>
      </c>
      <c r="M728" s="5">
        <v>42518.125</v>
      </c>
      <c r="N728" s="5">
        <v>42518.208333333336</v>
      </c>
      <c r="O728" s="4" t="s">
        <v>32</v>
      </c>
      <c r="P728" s="4" t="s">
        <v>33</v>
      </c>
      <c r="Q728" s="4" t="s">
        <v>34</v>
      </c>
      <c r="R728" s="4" t="s">
        <v>1952</v>
      </c>
      <c r="S728" s="4" t="s">
        <v>1952</v>
      </c>
      <c r="T728" s="4" t="s">
        <v>37</v>
      </c>
      <c r="U728" s="4" t="s">
        <v>37</v>
      </c>
      <c r="V728" s="4" t="s">
        <v>177</v>
      </c>
      <c r="W728" s="4" t="s">
        <v>37</v>
      </c>
      <c r="X728" s="4" t="s">
        <v>37</v>
      </c>
      <c r="Y728" s="4" t="s">
        <v>36</v>
      </c>
      <c r="Z728" s="4"/>
      <c r="AA728" s="4" t="s">
        <v>40</v>
      </c>
    </row>
    <row r="729" spans="1:27" s="1" customFormat="1" x14ac:dyDescent="0.3">
      <c r="A729" s="19">
        <v>20302</v>
      </c>
      <c r="B729" s="4" t="s">
        <v>1953</v>
      </c>
      <c r="C729" s="4">
        <v>0</v>
      </c>
      <c r="D729" s="5">
        <v>42507.727754629632</v>
      </c>
      <c r="E729" s="5" t="s">
        <v>2084</v>
      </c>
      <c r="F729" s="4" t="s">
        <v>26</v>
      </c>
      <c r="G729" s="4" t="s">
        <v>852</v>
      </c>
      <c r="H729" s="4" t="s">
        <v>852</v>
      </c>
      <c r="I729" s="4" t="s">
        <v>213</v>
      </c>
      <c r="J729" s="4" t="s">
        <v>30</v>
      </c>
      <c r="K729" s="4" t="s">
        <v>31</v>
      </c>
      <c r="L729" s="5">
        <v>42518.041666666664</v>
      </c>
      <c r="M729" s="5">
        <v>42518.125</v>
      </c>
      <c r="N729" s="5">
        <v>42518.208333333336</v>
      </c>
      <c r="O729" s="4" t="s">
        <v>32</v>
      </c>
      <c r="P729" s="4" t="s">
        <v>33</v>
      </c>
      <c r="Q729" s="4" t="s">
        <v>76</v>
      </c>
      <c r="R729" s="4" t="s">
        <v>1954</v>
      </c>
      <c r="S729" s="4" t="s">
        <v>1954</v>
      </c>
      <c r="T729" s="4" t="s">
        <v>37</v>
      </c>
      <c r="U729" s="4" t="s">
        <v>37</v>
      </c>
      <c r="V729" s="4" t="s">
        <v>177</v>
      </c>
      <c r="W729" s="4" t="s">
        <v>37</v>
      </c>
      <c r="X729" s="4" t="s">
        <v>37</v>
      </c>
      <c r="Y729" s="4" t="s">
        <v>36</v>
      </c>
      <c r="Z729" s="4"/>
      <c r="AA729" s="4" t="s">
        <v>40</v>
      </c>
    </row>
    <row r="730" spans="1:27" s="1" customFormat="1" x14ac:dyDescent="0.3">
      <c r="A730" s="19">
        <v>20303</v>
      </c>
      <c r="B730" s="4" t="s">
        <v>1955</v>
      </c>
      <c r="C730" s="4" t="s">
        <v>1957</v>
      </c>
      <c r="D730" s="5">
        <v>42507.745555555557</v>
      </c>
      <c r="E730" s="5" t="s">
        <v>2084</v>
      </c>
      <c r="F730" s="4" t="s">
        <v>26</v>
      </c>
      <c r="G730" s="4" t="s">
        <v>140</v>
      </c>
      <c r="H730" s="4" t="s">
        <v>140</v>
      </c>
      <c r="I730" s="4" t="s">
        <v>29</v>
      </c>
      <c r="J730" s="4" t="s">
        <v>1956</v>
      </c>
      <c r="K730" s="4" t="s">
        <v>31</v>
      </c>
      <c r="L730" s="5">
        <v>42508.916666666664</v>
      </c>
      <c r="M730" s="5">
        <v>42509.041666666664</v>
      </c>
      <c r="N730" s="5">
        <v>42509.041666666664</v>
      </c>
      <c r="O730" s="4" t="s">
        <v>250</v>
      </c>
      <c r="P730" s="4" t="s">
        <v>89</v>
      </c>
      <c r="Q730" s="4" t="s">
        <v>251</v>
      </c>
      <c r="R730" s="4" t="s">
        <v>1957</v>
      </c>
      <c r="S730" s="6" t="s">
        <v>77</v>
      </c>
      <c r="T730" s="4" t="s">
        <v>36</v>
      </c>
      <c r="U730" s="4" t="s">
        <v>37</v>
      </c>
      <c r="V730" s="4" t="s">
        <v>1958</v>
      </c>
      <c r="W730" s="4" t="s">
        <v>37</v>
      </c>
      <c r="X730" s="4" t="s">
        <v>37</v>
      </c>
      <c r="Y730" s="4" t="s">
        <v>36</v>
      </c>
      <c r="Z730" s="4" t="s">
        <v>1959</v>
      </c>
      <c r="AA730" s="4" t="s">
        <v>1960</v>
      </c>
    </row>
    <row r="731" spans="1:27" s="1" customFormat="1" x14ac:dyDescent="0.3">
      <c r="A731" s="19">
        <v>20306</v>
      </c>
      <c r="B731" s="4" t="s">
        <v>1961</v>
      </c>
      <c r="C731" s="4" t="s">
        <v>1963</v>
      </c>
      <c r="D731" s="5">
        <v>42508.480057870373</v>
      </c>
      <c r="E731" s="5" t="s">
        <v>2084</v>
      </c>
      <c r="F731" s="4" t="s">
        <v>26</v>
      </c>
      <c r="G731" s="4" t="s">
        <v>140</v>
      </c>
      <c r="H731" s="4" t="s">
        <v>140</v>
      </c>
      <c r="I731" s="4" t="s">
        <v>29</v>
      </c>
      <c r="J731" s="4" t="s">
        <v>141</v>
      </c>
      <c r="K731" s="4" t="s">
        <v>31</v>
      </c>
      <c r="L731" s="5">
        <v>42509.375</v>
      </c>
      <c r="M731" s="5">
        <v>42509.583333333336</v>
      </c>
      <c r="N731" s="5">
        <v>42509.583333333336</v>
      </c>
      <c r="O731" s="4" t="s">
        <v>250</v>
      </c>
      <c r="P731" s="4" t="s">
        <v>89</v>
      </c>
      <c r="Q731" s="4" t="s">
        <v>119</v>
      </c>
      <c r="R731" s="6" t="s">
        <v>77</v>
      </c>
      <c r="S731" s="6" t="s">
        <v>77</v>
      </c>
      <c r="T731" s="4" t="s">
        <v>37</v>
      </c>
      <c r="U731" s="4" t="s">
        <v>37</v>
      </c>
      <c r="V731" s="4" t="s">
        <v>1962</v>
      </c>
      <c r="W731" s="4" t="s">
        <v>37</v>
      </c>
      <c r="X731" s="4" t="s">
        <v>37</v>
      </c>
      <c r="Y731" s="4" t="s">
        <v>36</v>
      </c>
      <c r="Z731" s="4" t="s">
        <v>1963</v>
      </c>
      <c r="AA731" s="4" t="s">
        <v>1964</v>
      </c>
    </row>
    <row r="732" spans="1:27" s="1" customFormat="1" x14ac:dyDescent="0.3">
      <c r="A732" s="19">
        <v>20307</v>
      </c>
      <c r="B732" s="4" t="s">
        <v>1965</v>
      </c>
      <c r="C732" s="4" t="s">
        <v>2111</v>
      </c>
      <c r="D732" s="5">
        <v>42508.532106481478</v>
      </c>
      <c r="E732" s="5" t="s">
        <v>2084</v>
      </c>
      <c r="F732" s="4" t="s">
        <v>26</v>
      </c>
      <c r="G732" s="4" t="s">
        <v>559</v>
      </c>
      <c r="H732" s="4" t="s">
        <v>559</v>
      </c>
      <c r="I732" s="4" t="s">
        <v>48</v>
      </c>
      <c r="J732" s="4" t="s">
        <v>49</v>
      </c>
      <c r="K732" s="4" t="s">
        <v>31</v>
      </c>
      <c r="L732" s="5">
        <v>42516.041666666664</v>
      </c>
      <c r="M732" s="5">
        <v>42516.125</v>
      </c>
      <c r="N732" s="5">
        <v>42516.208333333336</v>
      </c>
      <c r="O732" s="4" t="s">
        <v>710</v>
      </c>
      <c r="P732" s="4" t="s">
        <v>33</v>
      </c>
      <c r="Q732" s="4" t="s">
        <v>76</v>
      </c>
      <c r="R732" s="4" t="s">
        <v>1966</v>
      </c>
      <c r="S732" s="4" t="s">
        <v>1967</v>
      </c>
      <c r="T732" s="4" t="s">
        <v>36</v>
      </c>
      <c r="U732" s="4" t="s">
        <v>37</v>
      </c>
      <c r="V732" s="4" t="s">
        <v>1968</v>
      </c>
      <c r="W732" s="4" t="s">
        <v>37</v>
      </c>
      <c r="X732" s="4" t="s">
        <v>37</v>
      </c>
      <c r="Y732" s="4" t="s">
        <v>37</v>
      </c>
      <c r="Z732" s="4"/>
      <c r="AA732" s="4"/>
    </row>
    <row r="733" spans="1:27" s="1" customFormat="1" x14ac:dyDescent="0.3">
      <c r="A733" s="19">
        <v>20308</v>
      </c>
      <c r="B733" s="4" t="s">
        <v>1969</v>
      </c>
      <c r="C733" s="4">
        <v>0</v>
      </c>
      <c r="D733" s="5">
        <v>42508.53702546296</v>
      </c>
      <c r="E733" s="5" t="s">
        <v>2084</v>
      </c>
      <c r="F733" s="4" t="s">
        <v>26</v>
      </c>
      <c r="G733" s="4" t="s">
        <v>849</v>
      </c>
      <c r="H733" s="4" t="s">
        <v>849</v>
      </c>
      <c r="I733" s="4" t="s">
        <v>215</v>
      </c>
      <c r="J733" s="4" t="s">
        <v>543</v>
      </c>
      <c r="K733" s="4" t="s">
        <v>31</v>
      </c>
      <c r="L733" s="5">
        <v>42508.916666666664</v>
      </c>
      <c r="M733" s="5">
        <v>42509.208333333336</v>
      </c>
      <c r="N733" s="5">
        <v>42509.25</v>
      </c>
      <c r="O733" s="4" t="s">
        <v>250</v>
      </c>
      <c r="P733" s="4" t="s">
        <v>89</v>
      </c>
      <c r="Q733" s="4" t="s">
        <v>119</v>
      </c>
      <c r="R733" s="4"/>
      <c r="S733" s="4"/>
      <c r="T733" s="4" t="s">
        <v>37</v>
      </c>
      <c r="U733" s="4" t="s">
        <v>37</v>
      </c>
      <c r="V733" s="4" t="s">
        <v>1744</v>
      </c>
      <c r="W733" s="4" t="s">
        <v>37</v>
      </c>
      <c r="X733" s="4" t="s">
        <v>37</v>
      </c>
      <c r="Y733" s="4" t="s">
        <v>36</v>
      </c>
      <c r="Z733" s="4" t="s">
        <v>89</v>
      </c>
      <c r="AA733" s="4"/>
    </row>
    <row r="734" spans="1:27" s="1" customFormat="1" x14ac:dyDescent="0.3">
      <c r="A734" s="19">
        <v>20310</v>
      </c>
      <c r="B734" s="4" t="s">
        <v>1970</v>
      </c>
      <c r="C734" s="4" t="s">
        <v>2111</v>
      </c>
      <c r="D734" s="5">
        <v>42508.605405092596</v>
      </c>
      <c r="E734" s="5" t="s">
        <v>2084</v>
      </c>
      <c r="F734" s="4" t="s">
        <v>26</v>
      </c>
      <c r="G734" s="4" t="s">
        <v>435</v>
      </c>
      <c r="H734" s="4" t="s">
        <v>508</v>
      </c>
      <c r="I734" s="4" t="s">
        <v>118</v>
      </c>
      <c r="J734" s="4" t="s">
        <v>30</v>
      </c>
      <c r="K734" s="4" t="s">
        <v>31</v>
      </c>
      <c r="L734" s="5">
        <v>42508.916666666664</v>
      </c>
      <c r="M734" s="5">
        <v>42508.9375</v>
      </c>
      <c r="N734" s="5">
        <v>42508.999305555553</v>
      </c>
      <c r="O734" s="4" t="s">
        <v>710</v>
      </c>
      <c r="P734" s="4" t="s">
        <v>33</v>
      </c>
      <c r="Q734" s="4" t="s">
        <v>76</v>
      </c>
      <c r="R734" s="4" t="s">
        <v>1971</v>
      </c>
      <c r="S734" s="4" t="s">
        <v>1971</v>
      </c>
      <c r="T734" s="4" t="s">
        <v>37</v>
      </c>
      <c r="U734" s="4" t="s">
        <v>37</v>
      </c>
      <c r="V734" s="4" t="s">
        <v>1972</v>
      </c>
      <c r="W734" s="4" t="s">
        <v>37</v>
      </c>
      <c r="X734" s="4" t="s">
        <v>37</v>
      </c>
      <c r="Y734" s="4" t="s">
        <v>36</v>
      </c>
      <c r="Z734" s="4" t="s">
        <v>1973</v>
      </c>
      <c r="AA734" s="4" t="s">
        <v>179</v>
      </c>
    </row>
    <row r="735" spans="1:27" s="1" customFormat="1" x14ac:dyDescent="0.3">
      <c r="A735" s="19">
        <v>20311</v>
      </c>
      <c r="B735" s="4" t="s">
        <v>1974</v>
      </c>
      <c r="C735" s="4" t="s">
        <v>2194</v>
      </c>
      <c r="D735" s="5">
        <v>42508.620104166665</v>
      </c>
      <c r="E735" s="5" t="s">
        <v>2084</v>
      </c>
      <c r="F735" s="4" t="s">
        <v>26</v>
      </c>
      <c r="G735" s="4" t="s">
        <v>1270</v>
      </c>
      <c r="H735" s="4" t="s">
        <v>1975</v>
      </c>
      <c r="I735" s="4" t="s">
        <v>200</v>
      </c>
      <c r="J735" s="4" t="s">
        <v>49</v>
      </c>
      <c r="K735" s="4" t="s">
        <v>31</v>
      </c>
      <c r="L735" s="5">
        <v>42509.916666666664</v>
      </c>
      <c r="M735" s="5">
        <v>42510.291666666664</v>
      </c>
      <c r="N735" s="5">
        <v>42510.3125</v>
      </c>
      <c r="O735" s="4" t="s">
        <v>250</v>
      </c>
      <c r="P735" s="4" t="s">
        <v>89</v>
      </c>
      <c r="Q735" s="4" t="s">
        <v>119</v>
      </c>
      <c r="R735" s="4" t="s">
        <v>1976</v>
      </c>
      <c r="S735" s="4" t="s">
        <v>1976</v>
      </c>
      <c r="T735" s="4" t="s">
        <v>36</v>
      </c>
      <c r="U735" s="4" t="s">
        <v>36</v>
      </c>
      <c r="V735" s="4" t="s">
        <v>1977</v>
      </c>
      <c r="W735" s="4" t="s">
        <v>37</v>
      </c>
      <c r="X735" s="4" t="s">
        <v>37</v>
      </c>
      <c r="Y735" s="4" t="s">
        <v>36</v>
      </c>
      <c r="Z735" s="4" t="s">
        <v>77</v>
      </c>
      <c r="AA735" s="4"/>
    </row>
    <row r="736" spans="1:27" s="1" customFormat="1" x14ac:dyDescent="0.3">
      <c r="A736" s="19">
        <v>20313</v>
      </c>
      <c r="B736" s="4" t="s">
        <v>1978</v>
      </c>
      <c r="C736" s="4" t="s">
        <v>2111</v>
      </c>
      <c r="D736" s="5">
        <v>42508.659699074073</v>
      </c>
      <c r="E736" s="5" t="s">
        <v>2084</v>
      </c>
      <c r="F736" s="4" t="s">
        <v>26</v>
      </c>
      <c r="G736" s="4" t="s">
        <v>1979</v>
      </c>
      <c r="H736" s="4" t="s">
        <v>1980</v>
      </c>
      <c r="I736" s="4" t="s">
        <v>56</v>
      </c>
      <c r="J736" s="4" t="s">
        <v>543</v>
      </c>
      <c r="K736" s="4" t="s">
        <v>31</v>
      </c>
      <c r="L736" s="5">
        <v>42509.375</v>
      </c>
      <c r="M736" s="5">
        <v>42509.458333333336</v>
      </c>
      <c r="N736" s="5">
        <v>42509.5</v>
      </c>
      <c r="O736" s="4" t="s">
        <v>710</v>
      </c>
      <c r="P736" s="4" t="s">
        <v>89</v>
      </c>
      <c r="Q736" s="4" t="s">
        <v>76</v>
      </c>
      <c r="R736" s="4" t="s">
        <v>1981</v>
      </c>
      <c r="S736" s="4" t="s">
        <v>1981</v>
      </c>
      <c r="T736" s="4" t="s">
        <v>37</v>
      </c>
      <c r="U736" s="4" t="s">
        <v>37</v>
      </c>
      <c r="V736" s="4" t="s">
        <v>1982</v>
      </c>
      <c r="W736" s="4" t="s">
        <v>37</v>
      </c>
      <c r="X736" s="4" t="s">
        <v>37</v>
      </c>
      <c r="Y736" s="4" t="s">
        <v>36</v>
      </c>
      <c r="Z736" s="4" t="s">
        <v>1983</v>
      </c>
      <c r="AA736" s="4"/>
    </row>
    <row r="737" spans="1:27" s="1" customFormat="1" x14ac:dyDescent="0.3">
      <c r="A737" s="19">
        <v>20314</v>
      </c>
      <c r="B737" s="4" t="s">
        <v>1984</v>
      </c>
      <c r="C737" s="4">
        <v>0</v>
      </c>
      <c r="D737" s="5">
        <v>42508.677534722221</v>
      </c>
      <c r="E737" s="5" t="s">
        <v>2084</v>
      </c>
      <c r="F737" s="4" t="s">
        <v>26</v>
      </c>
      <c r="G737" s="4" t="s">
        <v>852</v>
      </c>
      <c r="H737" s="4" t="s">
        <v>852</v>
      </c>
      <c r="I737" s="4" t="s">
        <v>205</v>
      </c>
      <c r="J737" s="4" t="s">
        <v>275</v>
      </c>
      <c r="K737" s="4" t="s">
        <v>31</v>
      </c>
      <c r="L737" s="5">
        <v>42518.833333333336</v>
      </c>
      <c r="M737" s="5">
        <v>42520.208333333336</v>
      </c>
      <c r="N737" s="5">
        <v>42520.25</v>
      </c>
      <c r="O737" s="4" t="s">
        <v>32</v>
      </c>
      <c r="P737" s="4" t="s">
        <v>33</v>
      </c>
      <c r="Q737" s="4" t="s">
        <v>76</v>
      </c>
      <c r="R737" s="4" t="s">
        <v>1985</v>
      </c>
      <c r="S737" s="4" t="s">
        <v>1985</v>
      </c>
      <c r="T737" s="4" t="s">
        <v>37</v>
      </c>
      <c r="U737" s="4" t="s">
        <v>37</v>
      </c>
      <c r="V737" s="4" t="s">
        <v>1986</v>
      </c>
      <c r="W737" s="4" t="s">
        <v>37</v>
      </c>
      <c r="X737" s="4" t="s">
        <v>37</v>
      </c>
      <c r="Y737" s="4" t="s">
        <v>36</v>
      </c>
      <c r="Z737" s="4"/>
      <c r="AA737" s="4" t="s">
        <v>231</v>
      </c>
    </row>
    <row r="738" spans="1:27" s="1" customFormat="1" x14ac:dyDescent="0.3">
      <c r="A738" s="19">
        <v>20315</v>
      </c>
      <c r="B738" s="4" t="s">
        <v>1894</v>
      </c>
      <c r="C738" s="4">
        <v>0</v>
      </c>
      <c r="D738" s="5">
        <v>42508.738865740743</v>
      </c>
      <c r="E738" s="5" t="s">
        <v>2084</v>
      </c>
      <c r="F738" s="4" t="s">
        <v>26</v>
      </c>
      <c r="G738" s="4" t="s">
        <v>852</v>
      </c>
      <c r="H738" s="4" t="s">
        <v>852</v>
      </c>
      <c r="I738" s="4" t="s">
        <v>205</v>
      </c>
      <c r="J738" s="4" t="s">
        <v>275</v>
      </c>
      <c r="K738" s="4" t="s">
        <v>31</v>
      </c>
      <c r="L738" s="5">
        <v>42519.916666666664</v>
      </c>
      <c r="M738" s="5">
        <v>42520.208333333336</v>
      </c>
      <c r="N738" s="5">
        <v>42520.25</v>
      </c>
      <c r="O738" s="4" t="s">
        <v>32</v>
      </c>
      <c r="P738" s="4" t="s">
        <v>33</v>
      </c>
      <c r="Q738" s="4" t="s">
        <v>50</v>
      </c>
      <c r="R738" s="4" t="s">
        <v>1987</v>
      </c>
      <c r="S738" s="4" t="s">
        <v>1987</v>
      </c>
      <c r="T738" s="4" t="s">
        <v>37</v>
      </c>
      <c r="U738" s="4" t="s">
        <v>37</v>
      </c>
      <c r="V738" s="4" t="s">
        <v>177</v>
      </c>
      <c r="W738" s="4" t="s">
        <v>37</v>
      </c>
      <c r="X738" s="4" t="s">
        <v>37</v>
      </c>
      <c r="Y738" s="4" t="s">
        <v>36</v>
      </c>
      <c r="Z738" s="4"/>
      <c r="AA738" s="4" t="s">
        <v>231</v>
      </c>
    </row>
    <row r="739" spans="1:27" s="1" customFormat="1" x14ac:dyDescent="0.3">
      <c r="A739" s="19">
        <v>20320</v>
      </c>
      <c r="B739" s="4" t="s">
        <v>1988</v>
      </c>
      <c r="C739" s="4" t="s">
        <v>2195</v>
      </c>
      <c r="D739" s="5">
        <v>42509.565011574072</v>
      </c>
      <c r="E739" s="5" t="s">
        <v>2084</v>
      </c>
      <c r="F739" s="4" t="s">
        <v>26</v>
      </c>
      <c r="G739" s="4" t="s">
        <v>1109</v>
      </c>
      <c r="H739" s="4" t="s">
        <v>1380</v>
      </c>
      <c r="I739" s="4" t="s">
        <v>118</v>
      </c>
      <c r="J739" s="4" t="s">
        <v>30</v>
      </c>
      <c r="K739" s="4" t="s">
        <v>31</v>
      </c>
      <c r="L739" s="5">
        <v>42518.916666666664</v>
      </c>
      <c r="M739" s="5">
        <v>42519.5</v>
      </c>
      <c r="N739" s="5">
        <v>42519.75</v>
      </c>
      <c r="O739" s="4" t="s">
        <v>32</v>
      </c>
      <c r="P739" s="4" t="s">
        <v>149</v>
      </c>
      <c r="Q739" s="4" t="s">
        <v>76</v>
      </c>
      <c r="R739" s="4" t="s">
        <v>291</v>
      </c>
      <c r="S739" s="4" t="s">
        <v>291</v>
      </c>
      <c r="T739" s="4" t="s">
        <v>37</v>
      </c>
      <c r="U739" s="4" t="s">
        <v>37</v>
      </c>
      <c r="V739" s="4" t="s">
        <v>292</v>
      </c>
      <c r="W739" s="4" t="s">
        <v>37</v>
      </c>
      <c r="X739" s="4" t="s">
        <v>37</v>
      </c>
      <c r="Y739" s="4" t="s">
        <v>36</v>
      </c>
      <c r="Z739" s="4" t="s">
        <v>1989</v>
      </c>
      <c r="AA739" s="4" t="s">
        <v>40</v>
      </c>
    </row>
    <row r="740" spans="1:27" s="1" customFormat="1" x14ac:dyDescent="0.3">
      <c r="A740" s="19">
        <v>20321</v>
      </c>
      <c r="B740" s="4" t="s">
        <v>1990</v>
      </c>
      <c r="C740" s="4" t="s">
        <v>2112</v>
      </c>
      <c r="D740" s="5">
        <v>42509.639849537038</v>
      </c>
      <c r="E740" s="5" t="s">
        <v>2084</v>
      </c>
      <c r="F740" s="4" t="s">
        <v>26</v>
      </c>
      <c r="G740" s="4" t="s">
        <v>336</v>
      </c>
      <c r="H740" s="4" t="s">
        <v>336</v>
      </c>
      <c r="I740" s="4" t="s">
        <v>203</v>
      </c>
      <c r="J740" s="4" t="s">
        <v>49</v>
      </c>
      <c r="K740" s="4" t="s">
        <v>31</v>
      </c>
      <c r="L740" s="5">
        <v>42519.375</v>
      </c>
      <c r="M740" s="5">
        <v>42519.75</v>
      </c>
      <c r="N740" s="5">
        <v>42519.791666666664</v>
      </c>
      <c r="O740" s="4" t="s">
        <v>32</v>
      </c>
      <c r="P740" s="4" t="s">
        <v>149</v>
      </c>
      <c r="Q740" s="4" t="s">
        <v>76</v>
      </c>
      <c r="R740" s="4" t="s">
        <v>337</v>
      </c>
      <c r="S740" s="4" t="s">
        <v>337</v>
      </c>
      <c r="T740" s="4" t="s">
        <v>36</v>
      </c>
      <c r="U740" s="4" t="s">
        <v>36</v>
      </c>
      <c r="V740" s="4" t="s">
        <v>1991</v>
      </c>
      <c r="W740" s="4" t="s">
        <v>37</v>
      </c>
      <c r="X740" s="4" t="s">
        <v>37</v>
      </c>
      <c r="Y740" s="4" t="s">
        <v>37</v>
      </c>
      <c r="Z740" s="4" t="s">
        <v>592</v>
      </c>
      <c r="AA740" s="4"/>
    </row>
    <row r="741" spans="1:27" s="1" customFormat="1" x14ac:dyDescent="0.3">
      <c r="A741" s="19">
        <v>20322</v>
      </c>
      <c r="B741" s="4" t="s">
        <v>1992</v>
      </c>
      <c r="C741" s="4" t="s">
        <v>2140</v>
      </c>
      <c r="D741" s="5">
        <v>42509.650659722225</v>
      </c>
      <c r="E741" s="5" t="s">
        <v>2084</v>
      </c>
      <c r="F741" s="4" t="s">
        <v>26</v>
      </c>
      <c r="G741" s="4" t="s">
        <v>1270</v>
      </c>
      <c r="H741" s="4" t="s">
        <v>729</v>
      </c>
      <c r="I741" s="4" t="s">
        <v>200</v>
      </c>
      <c r="J741" s="4" t="s">
        <v>49</v>
      </c>
      <c r="K741" s="4" t="s">
        <v>31</v>
      </c>
      <c r="L741" s="5">
        <v>42520.916666666664</v>
      </c>
      <c r="M741" s="5">
        <v>42525.291666666664</v>
      </c>
      <c r="N741" s="5">
        <v>42525.3125</v>
      </c>
      <c r="O741" s="4" t="s">
        <v>32</v>
      </c>
      <c r="P741" s="4" t="s">
        <v>89</v>
      </c>
      <c r="Q741" s="4" t="s">
        <v>50</v>
      </c>
      <c r="R741" s="4" t="s">
        <v>1993</v>
      </c>
      <c r="S741" s="4" t="s">
        <v>1993</v>
      </c>
      <c r="T741" s="4" t="s">
        <v>36</v>
      </c>
      <c r="U741" s="4" t="s">
        <v>36</v>
      </c>
      <c r="V741" s="4" t="s">
        <v>1272</v>
      </c>
      <c r="W741" s="4" t="s">
        <v>37</v>
      </c>
      <c r="X741" s="4" t="s">
        <v>37</v>
      </c>
      <c r="Y741" s="4" t="s">
        <v>36</v>
      </c>
      <c r="Z741" s="4" t="s">
        <v>77</v>
      </c>
      <c r="AA741" s="4"/>
    </row>
    <row r="742" spans="1:27" s="1" customFormat="1" x14ac:dyDescent="0.3">
      <c r="A742" s="19">
        <v>20323</v>
      </c>
      <c r="B742" s="4" t="s">
        <v>1994</v>
      </c>
      <c r="C742" s="4" t="s">
        <v>2111</v>
      </c>
      <c r="D742" s="5">
        <v>42509.658055555556</v>
      </c>
      <c r="E742" s="5" t="s">
        <v>2084</v>
      </c>
      <c r="F742" s="4" t="s">
        <v>26</v>
      </c>
      <c r="G742" s="4" t="s">
        <v>27</v>
      </c>
      <c r="H742" s="4" t="s">
        <v>604</v>
      </c>
      <c r="I742" s="4" t="s">
        <v>42</v>
      </c>
      <c r="J742" s="4" t="s">
        <v>30</v>
      </c>
      <c r="K742" s="4" t="s">
        <v>31</v>
      </c>
      <c r="L742" s="5">
        <v>42509.708333333336</v>
      </c>
      <c r="M742" s="5">
        <v>42509.75</v>
      </c>
      <c r="N742" s="5">
        <v>42509.791666666664</v>
      </c>
      <c r="O742" s="4" t="s">
        <v>710</v>
      </c>
      <c r="P742" s="4" t="s">
        <v>33</v>
      </c>
      <c r="Q742" s="4" t="s">
        <v>76</v>
      </c>
      <c r="R742" s="4" t="s">
        <v>1995</v>
      </c>
      <c r="S742" s="4" t="s">
        <v>1995</v>
      </c>
      <c r="T742" s="4" t="s">
        <v>36</v>
      </c>
      <c r="U742" s="4" t="s">
        <v>37</v>
      </c>
      <c r="V742" s="4" t="s">
        <v>1996</v>
      </c>
      <c r="W742" s="4" t="s">
        <v>37</v>
      </c>
      <c r="X742" s="4" t="s">
        <v>37</v>
      </c>
      <c r="Y742" s="4" t="s">
        <v>36</v>
      </c>
      <c r="Z742" s="4"/>
      <c r="AA742" s="4" t="s">
        <v>93</v>
      </c>
    </row>
    <row r="743" spans="1:27" s="1" customFormat="1" x14ac:dyDescent="0.3">
      <c r="A743" s="19">
        <v>20324</v>
      </c>
      <c r="B743" s="4" t="s">
        <v>1997</v>
      </c>
      <c r="C743" s="4">
        <v>0</v>
      </c>
      <c r="D743" s="5">
        <v>42509.664490740739</v>
      </c>
      <c r="E743" s="5" t="s">
        <v>2084</v>
      </c>
      <c r="F743" s="4" t="s">
        <v>26</v>
      </c>
      <c r="G743" s="4" t="s">
        <v>422</v>
      </c>
      <c r="H743" s="4" t="s">
        <v>922</v>
      </c>
      <c r="I743" s="4" t="s">
        <v>118</v>
      </c>
      <c r="J743" s="4" t="s">
        <v>30</v>
      </c>
      <c r="K743" s="4" t="s">
        <v>31</v>
      </c>
      <c r="L743" s="5">
        <v>42513.917361111111</v>
      </c>
      <c r="M743" s="5">
        <v>42514.375</v>
      </c>
      <c r="N743" s="5">
        <v>42514.500694444447</v>
      </c>
      <c r="O743" s="4" t="s">
        <v>250</v>
      </c>
      <c r="P743" s="4" t="s">
        <v>149</v>
      </c>
      <c r="Q743" s="4" t="s">
        <v>119</v>
      </c>
      <c r="R743" s="6" t="s">
        <v>77</v>
      </c>
      <c r="S743" s="4" t="s">
        <v>470</v>
      </c>
      <c r="T743" s="4" t="s">
        <v>36</v>
      </c>
      <c r="U743" s="4" t="s">
        <v>37</v>
      </c>
      <c r="V743" s="4" t="s">
        <v>365</v>
      </c>
      <c r="W743" s="4" t="s">
        <v>37</v>
      </c>
      <c r="X743" s="4" t="s">
        <v>37</v>
      </c>
      <c r="Y743" s="4" t="s">
        <v>36</v>
      </c>
      <c r="Z743" s="4"/>
      <c r="AA743" s="4" t="s">
        <v>179</v>
      </c>
    </row>
    <row r="744" spans="1:27" s="1" customFormat="1" x14ac:dyDescent="0.3">
      <c r="A744" s="19">
        <v>20325</v>
      </c>
      <c r="B744" s="4" t="s">
        <v>1998</v>
      </c>
      <c r="C744" s="4" t="s">
        <v>2111</v>
      </c>
      <c r="D744" s="5">
        <v>42509.895046296297</v>
      </c>
      <c r="E744" s="5" t="s">
        <v>2084</v>
      </c>
      <c r="F744" s="4" t="s">
        <v>26</v>
      </c>
      <c r="G744" s="4" t="s">
        <v>1926</v>
      </c>
      <c r="H744" s="4" t="s">
        <v>1926</v>
      </c>
      <c r="I744" s="4" t="s">
        <v>212</v>
      </c>
      <c r="J744" s="4" t="s">
        <v>30</v>
      </c>
      <c r="K744" s="4" t="s">
        <v>31</v>
      </c>
      <c r="L744" s="5">
        <v>42510.90625</v>
      </c>
      <c r="M744" s="5">
        <v>42510.958333333336</v>
      </c>
      <c r="N744" s="5">
        <v>42510.999305555553</v>
      </c>
      <c r="O744" s="4" t="s">
        <v>710</v>
      </c>
      <c r="P744" s="4" t="s">
        <v>33</v>
      </c>
      <c r="Q744" s="4" t="s">
        <v>76</v>
      </c>
      <c r="R744" s="4"/>
      <c r="S744" s="4"/>
      <c r="T744" s="4" t="s">
        <v>37</v>
      </c>
      <c r="U744" s="4" t="s">
        <v>37</v>
      </c>
      <c r="V744" s="4" t="s">
        <v>1999</v>
      </c>
      <c r="W744" s="4" t="s">
        <v>37</v>
      </c>
      <c r="X744" s="4" t="s">
        <v>37</v>
      </c>
      <c r="Y744" s="4" t="s">
        <v>37</v>
      </c>
      <c r="Z744" s="4" t="s">
        <v>2000</v>
      </c>
      <c r="AA744" s="4" t="s">
        <v>40</v>
      </c>
    </row>
    <row r="745" spans="1:27" s="1" customFormat="1" x14ac:dyDescent="0.3">
      <c r="A745" s="19">
        <v>20326</v>
      </c>
      <c r="B745" s="4" t="s">
        <v>2001</v>
      </c>
      <c r="C745" s="4">
        <v>0</v>
      </c>
      <c r="D745" s="5">
        <v>42510.317199074074</v>
      </c>
      <c r="E745" s="5" t="s">
        <v>2084</v>
      </c>
      <c r="F745" s="4" t="s">
        <v>26</v>
      </c>
      <c r="G745" s="4" t="s">
        <v>422</v>
      </c>
      <c r="H745" s="4" t="s">
        <v>922</v>
      </c>
      <c r="I745" s="4" t="s">
        <v>118</v>
      </c>
      <c r="J745" s="4" t="s">
        <v>30</v>
      </c>
      <c r="K745" s="4" t="s">
        <v>31</v>
      </c>
      <c r="L745" s="5">
        <v>42513.916666666664</v>
      </c>
      <c r="M745" s="5">
        <v>42514.291666666664</v>
      </c>
      <c r="N745" s="5">
        <v>42514.375</v>
      </c>
      <c r="O745" s="4" t="s">
        <v>250</v>
      </c>
      <c r="P745" s="4" t="s">
        <v>149</v>
      </c>
      <c r="Q745" s="4" t="s">
        <v>119</v>
      </c>
      <c r="R745" s="6" t="s">
        <v>77</v>
      </c>
      <c r="S745" s="4" t="s">
        <v>470</v>
      </c>
      <c r="T745" s="4" t="s">
        <v>36</v>
      </c>
      <c r="U745" s="4" t="s">
        <v>37</v>
      </c>
      <c r="V745" s="4" t="s">
        <v>365</v>
      </c>
      <c r="W745" s="4" t="s">
        <v>37</v>
      </c>
      <c r="X745" s="4" t="s">
        <v>36</v>
      </c>
      <c r="Y745" s="4" t="s">
        <v>36</v>
      </c>
      <c r="Z745" s="4"/>
      <c r="AA745" s="4" t="s">
        <v>179</v>
      </c>
    </row>
    <row r="746" spans="1:27" s="1" customFormat="1" x14ac:dyDescent="0.3">
      <c r="A746" s="19">
        <v>20327</v>
      </c>
      <c r="B746" s="4" t="s">
        <v>2002</v>
      </c>
      <c r="C746" s="4" t="s">
        <v>2111</v>
      </c>
      <c r="D746" s="5">
        <v>42510.375231481485</v>
      </c>
      <c r="E746" s="5" t="s">
        <v>2084</v>
      </c>
      <c r="F746" s="4" t="s">
        <v>26</v>
      </c>
      <c r="G746" s="4" t="s">
        <v>615</v>
      </c>
      <c r="H746" s="4" t="s">
        <v>615</v>
      </c>
      <c r="I746" s="4" t="s">
        <v>169</v>
      </c>
      <c r="J746" s="4" t="s">
        <v>30</v>
      </c>
      <c r="K746" s="4" t="s">
        <v>31</v>
      </c>
      <c r="L746" s="5">
        <v>42512.333333333336</v>
      </c>
      <c r="M746" s="5">
        <v>42512.75</v>
      </c>
      <c r="N746" s="5">
        <v>42512.791666666664</v>
      </c>
      <c r="O746" s="4" t="s">
        <v>710</v>
      </c>
      <c r="P746" s="4" t="s">
        <v>33</v>
      </c>
      <c r="Q746" s="4" t="s">
        <v>76</v>
      </c>
      <c r="R746" s="4" t="s">
        <v>178</v>
      </c>
      <c r="S746" s="4" t="s">
        <v>178</v>
      </c>
      <c r="T746" s="4" t="s">
        <v>36</v>
      </c>
      <c r="U746" s="4" t="s">
        <v>37</v>
      </c>
      <c r="V746" s="4" t="s">
        <v>1268</v>
      </c>
      <c r="W746" s="4" t="s">
        <v>37</v>
      </c>
      <c r="X746" s="4" t="s">
        <v>37</v>
      </c>
      <c r="Y746" s="4" t="s">
        <v>36</v>
      </c>
      <c r="Z746" s="4" t="s">
        <v>178</v>
      </c>
      <c r="AA746" s="4" t="s">
        <v>93</v>
      </c>
    </row>
    <row r="747" spans="1:27" s="1" customFormat="1" x14ac:dyDescent="0.3">
      <c r="A747" s="19">
        <v>20328</v>
      </c>
      <c r="B747" s="4" t="s">
        <v>2003</v>
      </c>
      <c r="C747" s="4" t="s">
        <v>2111</v>
      </c>
      <c r="D747" s="5">
        <v>42510.432314814818</v>
      </c>
      <c r="E747" s="5" t="s">
        <v>2084</v>
      </c>
      <c r="F747" s="4" t="s">
        <v>26</v>
      </c>
      <c r="G747" s="4" t="s">
        <v>1373</v>
      </c>
      <c r="H747" s="4" t="s">
        <v>1373</v>
      </c>
      <c r="I747" s="4" t="s">
        <v>214</v>
      </c>
      <c r="J747" s="4" t="s">
        <v>302</v>
      </c>
      <c r="K747" s="4" t="s">
        <v>31</v>
      </c>
      <c r="L747" s="5">
        <v>42511.986111111109</v>
      </c>
      <c r="M747" s="5">
        <v>42512.041666666664</v>
      </c>
      <c r="N747" s="5">
        <v>42512.0625</v>
      </c>
      <c r="O747" s="4" t="s">
        <v>710</v>
      </c>
      <c r="P747" s="4" t="s">
        <v>33</v>
      </c>
      <c r="Q747" s="4" t="s">
        <v>76</v>
      </c>
      <c r="R747" s="6" t="s">
        <v>77</v>
      </c>
      <c r="S747" s="4" t="s">
        <v>1933</v>
      </c>
      <c r="T747" s="4" t="s">
        <v>37</v>
      </c>
      <c r="U747" s="4" t="s">
        <v>37</v>
      </c>
      <c r="V747" s="4" t="s">
        <v>2004</v>
      </c>
      <c r="W747" s="4" t="s">
        <v>37</v>
      </c>
      <c r="X747" s="4" t="s">
        <v>37</v>
      </c>
      <c r="Y747" s="4" t="s">
        <v>36</v>
      </c>
      <c r="Z747" s="4"/>
      <c r="AA747" s="4" t="s">
        <v>187</v>
      </c>
    </row>
    <row r="748" spans="1:27" s="1" customFormat="1" x14ac:dyDescent="0.3">
      <c r="A748" s="19">
        <v>20330</v>
      </c>
      <c r="B748" s="4" t="s">
        <v>2005</v>
      </c>
      <c r="C748" s="4" t="s">
        <v>2196</v>
      </c>
      <c r="D748" s="5">
        <v>42510.457800925928</v>
      </c>
      <c r="E748" s="5" t="s">
        <v>2084</v>
      </c>
      <c r="F748" s="4" t="s">
        <v>26</v>
      </c>
      <c r="G748" s="4" t="s">
        <v>440</v>
      </c>
      <c r="H748" s="4" t="s">
        <v>2006</v>
      </c>
      <c r="I748" s="4" t="s">
        <v>203</v>
      </c>
      <c r="J748" s="4" t="s">
        <v>30</v>
      </c>
      <c r="K748" s="4" t="s">
        <v>31</v>
      </c>
      <c r="L748" s="5">
        <v>42519.003472222219</v>
      </c>
      <c r="M748" s="5">
        <v>42519.833333333336</v>
      </c>
      <c r="N748" s="5">
        <v>42519.996527777781</v>
      </c>
      <c r="O748" s="4" t="s">
        <v>32</v>
      </c>
      <c r="P748" s="4" t="s">
        <v>149</v>
      </c>
      <c r="Q748" s="4" t="s">
        <v>76</v>
      </c>
      <c r="R748" s="4" t="s">
        <v>2007</v>
      </c>
      <c r="S748" s="4" t="s">
        <v>2007</v>
      </c>
      <c r="T748" s="4" t="s">
        <v>37</v>
      </c>
      <c r="U748" s="4" t="s">
        <v>37</v>
      </c>
      <c r="V748" s="4" t="s">
        <v>2008</v>
      </c>
      <c r="W748" s="4" t="s">
        <v>37</v>
      </c>
      <c r="X748" s="4" t="s">
        <v>37</v>
      </c>
      <c r="Y748" s="4" t="s">
        <v>36</v>
      </c>
      <c r="Z748" s="4"/>
      <c r="AA748" s="4" t="s">
        <v>93</v>
      </c>
    </row>
    <row r="749" spans="1:27" s="1" customFormat="1" x14ac:dyDescent="0.3">
      <c r="A749" s="19">
        <v>20331</v>
      </c>
      <c r="B749" s="4" t="s">
        <v>2009</v>
      </c>
      <c r="C749" s="4" t="s">
        <v>2111</v>
      </c>
      <c r="D749" s="5">
        <v>42510.6172337963</v>
      </c>
      <c r="E749" s="5" t="s">
        <v>2084</v>
      </c>
      <c r="F749" s="4" t="s">
        <v>26</v>
      </c>
      <c r="G749" s="4" t="s">
        <v>533</v>
      </c>
      <c r="H749" s="4" t="s">
        <v>533</v>
      </c>
      <c r="I749" s="4" t="s">
        <v>29</v>
      </c>
      <c r="J749" s="4" t="s">
        <v>49</v>
      </c>
      <c r="K749" s="4" t="s">
        <v>31</v>
      </c>
      <c r="L749" s="5">
        <v>42510.75</v>
      </c>
      <c r="M749" s="5">
        <v>42510.791666666664</v>
      </c>
      <c r="N749" s="5">
        <v>42510.833333333336</v>
      </c>
      <c r="O749" s="4" t="s">
        <v>710</v>
      </c>
      <c r="P749" s="4" t="s">
        <v>33</v>
      </c>
      <c r="Q749" s="4" t="s">
        <v>76</v>
      </c>
      <c r="R749" s="6" t="s">
        <v>77</v>
      </c>
      <c r="S749" s="6" t="s">
        <v>77</v>
      </c>
      <c r="T749" s="4" t="s">
        <v>37</v>
      </c>
      <c r="U749" s="4" t="s">
        <v>37</v>
      </c>
      <c r="V749" s="4" t="s">
        <v>2010</v>
      </c>
      <c r="W749" s="4" t="s">
        <v>37</v>
      </c>
      <c r="X749" s="4" t="s">
        <v>37</v>
      </c>
      <c r="Y749" s="4" t="s">
        <v>36</v>
      </c>
      <c r="Z749" s="4"/>
      <c r="AA749" s="4"/>
    </row>
    <row r="750" spans="1:27" s="1" customFormat="1" x14ac:dyDescent="0.3">
      <c r="A750" s="19">
        <v>20332</v>
      </c>
      <c r="B750" s="4" t="s">
        <v>2011</v>
      </c>
      <c r="C750" s="4" t="s">
        <v>2111</v>
      </c>
      <c r="D750" s="5">
        <v>42510.627083333333</v>
      </c>
      <c r="E750" s="5" t="s">
        <v>2084</v>
      </c>
      <c r="F750" s="4" t="s">
        <v>26</v>
      </c>
      <c r="G750" s="4" t="s">
        <v>263</v>
      </c>
      <c r="H750" s="4" t="s">
        <v>264</v>
      </c>
      <c r="I750" s="4" t="s">
        <v>203</v>
      </c>
      <c r="J750" s="4" t="s">
        <v>30</v>
      </c>
      <c r="K750" s="4" t="s">
        <v>31</v>
      </c>
      <c r="L750" s="5">
        <v>42514.916666666664</v>
      </c>
      <c r="M750" s="5">
        <v>42515.458333333336</v>
      </c>
      <c r="N750" s="5">
        <v>42515.541666666664</v>
      </c>
      <c r="O750" s="4" t="s">
        <v>710</v>
      </c>
      <c r="P750" s="4" t="s">
        <v>89</v>
      </c>
      <c r="Q750" s="4" t="s">
        <v>76</v>
      </c>
      <c r="R750" s="4" t="s">
        <v>521</v>
      </c>
      <c r="S750" s="4" t="s">
        <v>521</v>
      </c>
      <c r="T750" s="4" t="s">
        <v>37</v>
      </c>
      <c r="U750" s="4" t="s">
        <v>37</v>
      </c>
      <c r="V750" s="4" t="s">
        <v>267</v>
      </c>
      <c r="W750" s="4" t="s">
        <v>37</v>
      </c>
      <c r="X750" s="4" t="s">
        <v>37</v>
      </c>
      <c r="Y750" s="4" t="s">
        <v>36</v>
      </c>
      <c r="Z750" s="4" t="s">
        <v>2012</v>
      </c>
      <c r="AA750" s="4" t="s">
        <v>40</v>
      </c>
    </row>
    <row r="751" spans="1:27" s="1" customFormat="1" x14ac:dyDescent="0.3">
      <c r="A751" s="19">
        <v>20333</v>
      </c>
      <c r="B751" s="4" t="s">
        <v>2013</v>
      </c>
      <c r="C751" s="4" t="s">
        <v>2111</v>
      </c>
      <c r="D751" s="5">
        <v>42510.627303240741</v>
      </c>
      <c r="E751" s="5" t="s">
        <v>2084</v>
      </c>
      <c r="F751" s="4" t="s">
        <v>26</v>
      </c>
      <c r="G751" s="4" t="s">
        <v>279</v>
      </c>
      <c r="H751" s="4" t="s">
        <v>729</v>
      </c>
      <c r="I751" s="4" t="s">
        <v>158</v>
      </c>
      <c r="J751" s="4" t="s">
        <v>49</v>
      </c>
      <c r="K751" s="4" t="s">
        <v>31</v>
      </c>
      <c r="L751" s="5">
        <v>42510.916666666664</v>
      </c>
      <c r="M751" s="5">
        <v>42511.166666666664</v>
      </c>
      <c r="N751" s="5">
        <v>42511.208333333336</v>
      </c>
      <c r="O751" s="4" t="s">
        <v>710</v>
      </c>
      <c r="P751" s="4" t="s">
        <v>89</v>
      </c>
      <c r="Q751" s="4" t="s">
        <v>76</v>
      </c>
      <c r="R751" s="4" t="s">
        <v>2014</v>
      </c>
      <c r="S751" s="4" t="s">
        <v>2014</v>
      </c>
      <c r="T751" s="4" t="s">
        <v>36</v>
      </c>
      <c r="U751" s="4" t="s">
        <v>37</v>
      </c>
      <c r="V751" s="4" t="s">
        <v>2015</v>
      </c>
      <c r="W751" s="4" t="s">
        <v>37</v>
      </c>
      <c r="X751" s="4" t="s">
        <v>37</v>
      </c>
      <c r="Y751" s="4" t="s">
        <v>36</v>
      </c>
      <c r="Z751" s="4"/>
      <c r="AA751" s="4"/>
    </row>
    <row r="752" spans="1:27" s="1" customFormat="1" x14ac:dyDescent="0.3">
      <c r="A752" s="19">
        <v>20334</v>
      </c>
      <c r="B752" s="4" t="s">
        <v>2016</v>
      </c>
      <c r="C752" s="4" t="s">
        <v>2111</v>
      </c>
      <c r="D752" s="5">
        <v>42510.637199074074</v>
      </c>
      <c r="E752" s="5" t="s">
        <v>2084</v>
      </c>
      <c r="F752" s="4" t="s">
        <v>26</v>
      </c>
      <c r="G752" s="4" t="s">
        <v>1885</v>
      </c>
      <c r="H752" s="4" t="s">
        <v>922</v>
      </c>
      <c r="I752" s="4" t="s">
        <v>118</v>
      </c>
      <c r="J752" s="4" t="s">
        <v>30</v>
      </c>
      <c r="K752" s="4" t="s">
        <v>31</v>
      </c>
      <c r="L752" s="5">
        <v>42513.916666666664</v>
      </c>
      <c r="M752" s="5">
        <v>42514.5</v>
      </c>
      <c r="N752" s="5">
        <v>42514.75</v>
      </c>
      <c r="O752" s="4" t="s">
        <v>710</v>
      </c>
      <c r="P752" s="4" t="s">
        <v>33</v>
      </c>
      <c r="Q752" s="4" t="s">
        <v>76</v>
      </c>
      <c r="R752" s="4" t="s">
        <v>291</v>
      </c>
      <c r="S752" s="4" t="s">
        <v>291</v>
      </c>
      <c r="T752" s="4" t="s">
        <v>37</v>
      </c>
      <c r="U752" s="4" t="s">
        <v>37</v>
      </c>
      <c r="V752" s="4" t="s">
        <v>292</v>
      </c>
      <c r="W752" s="4" t="s">
        <v>37</v>
      </c>
      <c r="X752" s="4" t="s">
        <v>37</v>
      </c>
      <c r="Y752" s="4" t="s">
        <v>37</v>
      </c>
      <c r="Z752" s="4" t="s">
        <v>2017</v>
      </c>
      <c r="AA752" s="4" t="s">
        <v>40</v>
      </c>
    </row>
    <row r="753" spans="1:27" s="1" customFormat="1" x14ac:dyDescent="0.3">
      <c r="A753" s="19">
        <v>20339</v>
      </c>
      <c r="B753" s="4" t="s">
        <v>2018</v>
      </c>
      <c r="C753" s="4">
        <v>0</v>
      </c>
      <c r="D753" s="5">
        <v>42513.450243055559</v>
      </c>
      <c r="E753" s="5" t="s">
        <v>2084</v>
      </c>
      <c r="F753" s="4" t="s">
        <v>26</v>
      </c>
      <c r="G753" s="4" t="s">
        <v>428</v>
      </c>
      <c r="H753" s="4" t="s">
        <v>428</v>
      </c>
      <c r="I753" s="4" t="s">
        <v>56</v>
      </c>
      <c r="J753" s="4" t="s">
        <v>2019</v>
      </c>
      <c r="K753" s="4" t="s">
        <v>31</v>
      </c>
      <c r="L753" s="5">
        <v>42520.916666666664</v>
      </c>
      <c r="M753" s="5">
        <v>42521.083333333336</v>
      </c>
      <c r="N753" s="5">
        <v>42523.45208333333</v>
      </c>
      <c r="O753" s="4" t="s">
        <v>32</v>
      </c>
      <c r="P753" s="4" t="s">
        <v>33</v>
      </c>
      <c r="Q753" s="4" t="s">
        <v>76</v>
      </c>
      <c r="R753" s="6" t="s">
        <v>77</v>
      </c>
      <c r="S753" s="6" t="s">
        <v>77</v>
      </c>
      <c r="T753" s="4" t="s">
        <v>37</v>
      </c>
      <c r="U753" s="4" t="s">
        <v>37</v>
      </c>
      <c r="V753" s="4" t="s">
        <v>431</v>
      </c>
      <c r="W753" s="4" t="s">
        <v>37</v>
      </c>
      <c r="X753" s="4" t="s">
        <v>37</v>
      </c>
      <c r="Y753" s="4" t="s">
        <v>36</v>
      </c>
      <c r="Z753" s="4"/>
      <c r="AA753" s="4" t="s">
        <v>102</v>
      </c>
    </row>
    <row r="754" spans="1:27" s="1" customFormat="1" x14ac:dyDescent="0.3">
      <c r="A754" s="19">
        <v>20342</v>
      </c>
      <c r="B754" s="4" t="s">
        <v>2020</v>
      </c>
      <c r="C754" s="4">
        <v>0</v>
      </c>
      <c r="D754" s="5">
        <v>42513.537002314813</v>
      </c>
      <c r="E754" s="5" t="s">
        <v>2084</v>
      </c>
      <c r="F754" s="4" t="s">
        <v>26</v>
      </c>
      <c r="G754" s="4" t="s">
        <v>274</v>
      </c>
      <c r="H754" s="4" t="s">
        <v>274</v>
      </c>
      <c r="I754" s="4" t="s">
        <v>208</v>
      </c>
      <c r="J754" s="4" t="s">
        <v>357</v>
      </c>
      <c r="K754" s="4" t="s">
        <v>31</v>
      </c>
      <c r="L754" s="5">
        <v>42513.916666666664</v>
      </c>
      <c r="M754" s="5">
        <v>42514.208333333336</v>
      </c>
      <c r="N754" s="5">
        <v>42514.25</v>
      </c>
      <c r="O754" s="4" t="s">
        <v>250</v>
      </c>
      <c r="P754" s="4" t="s">
        <v>89</v>
      </c>
      <c r="Q754" s="4" t="s">
        <v>251</v>
      </c>
      <c r="R754" s="4" t="s">
        <v>282</v>
      </c>
      <c r="S754" s="4" t="s">
        <v>282</v>
      </c>
      <c r="T754" s="4" t="s">
        <v>36</v>
      </c>
      <c r="U754" s="4" t="s">
        <v>36</v>
      </c>
      <c r="V754" s="4" t="s">
        <v>2021</v>
      </c>
      <c r="W754" s="4" t="s">
        <v>36</v>
      </c>
      <c r="X754" s="4" t="s">
        <v>37</v>
      </c>
      <c r="Y754" s="4" t="s">
        <v>37</v>
      </c>
      <c r="Z754" s="4">
        <v>28314959</v>
      </c>
      <c r="AA754" s="4" t="s">
        <v>358</v>
      </c>
    </row>
    <row r="755" spans="1:27" s="1" customFormat="1" x14ac:dyDescent="0.3">
      <c r="A755" s="19">
        <v>20345</v>
      </c>
      <c r="B755" s="4" t="s">
        <v>2022</v>
      </c>
      <c r="C755" s="4" t="s">
        <v>2197</v>
      </c>
      <c r="D755" s="5">
        <v>42513.641435185185</v>
      </c>
      <c r="E755" s="5" t="s">
        <v>2084</v>
      </c>
      <c r="F755" s="4" t="s">
        <v>26</v>
      </c>
      <c r="G755" s="4" t="s">
        <v>2023</v>
      </c>
      <c r="H755" s="4" t="s">
        <v>2023</v>
      </c>
      <c r="I755" s="4" t="s">
        <v>80</v>
      </c>
      <c r="J755" s="4" t="s">
        <v>185</v>
      </c>
      <c r="K755" s="4" t="s">
        <v>31</v>
      </c>
      <c r="L755" s="5">
        <v>42520.375</v>
      </c>
      <c r="M755" s="5">
        <v>42521.666666666664</v>
      </c>
      <c r="N755" s="5">
        <v>42521.75</v>
      </c>
      <c r="O755" s="4" t="s">
        <v>32</v>
      </c>
      <c r="P755" s="4" t="s">
        <v>149</v>
      </c>
      <c r="Q755" s="4" t="s">
        <v>76</v>
      </c>
      <c r="R755" s="6" t="s">
        <v>77</v>
      </c>
      <c r="S755" s="4"/>
      <c r="T755" s="4" t="s">
        <v>37</v>
      </c>
      <c r="U755" s="4" t="s">
        <v>37</v>
      </c>
      <c r="V755" s="4" t="s">
        <v>2024</v>
      </c>
      <c r="W755" s="4" t="s">
        <v>37</v>
      </c>
      <c r="X755" s="4" t="s">
        <v>37</v>
      </c>
      <c r="Y755" s="4" t="s">
        <v>36</v>
      </c>
      <c r="Z755" s="4"/>
      <c r="AA755" s="4" t="s">
        <v>187</v>
      </c>
    </row>
    <row r="756" spans="1:27" s="1" customFormat="1" x14ac:dyDescent="0.3">
      <c r="A756" s="19">
        <v>20346</v>
      </c>
      <c r="B756" s="4" t="s">
        <v>2025</v>
      </c>
      <c r="C756" s="4">
        <v>0</v>
      </c>
      <c r="D756" s="5">
        <v>42513.655358796299</v>
      </c>
      <c r="E756" s="5" t="s">
        <v>2084</v>
      </c>
      <c r="F756" s="4" t="s">
        <v>26</v>
      </c>
      <c r="G756" s="4" t="s">
        <v>259</v>
      </c>
      <c r="H756" s="4" t="s">
        <v>259</v>
      </c>
      <c r="I756" s="4" t="s">
        <v>83</v>
      </c>
      <c r="J756" s="4" t="s">
        <v>535</v>
      </c>
      <c r="K756" s="4" t="s">
        <v>31</v>
      </c>
      <c r="L756" s="5">
        <v>42520.916666666664</v>
      </c>
      <c r="M756" s="5">
        <v>42521.083333333336</v>
      </c>
      <c r="N756" s="5">
        <v>42521.125</v>
      </c>
      <c r="O756" s="4" t="s">
        <v>32</v>
      </c>
      <c r="P756" s="4" t="s">
        <v>33</v>
      </c>
      <c r="Q756" s="4" t="s">
        <v>34</v>
      </c>
      <c r="R756" s="4" t="s">
        <v>2026</v>
      </c>
      <c r="S756" s="4" t="s">
        <v>2026</v>
      </c>
      <c r="T756" s="4" t="s">
        <v>37</v>
      </c>
      <c r="U756" s="4" t="s">
        <v>37</v>
      </c>
      <c r="V756" s="4" t="s">
        <v>2027</v>
      </c>
      <c r="W756" s="4" t="s">
        <v>37</v>
      </c>
      <c r="X756" s="4" t="s">
        <v>37</v>
      </c>
      <c r="Y756" s="4" t="s">
        <v>36</v>
      </c>
      <c r="Z756" s="4"/>
      <c r="AA756" s="4" t="s">
        <v>358</v>
      </c>
    </row>
    <row r="757" spans="1:27" s="1" customFormat="1" x14ac:dyDescent="0.3">
      <c r="A757" s="19">
        <v>20347</v>
      </c>
      <c r="B757" s="4" t="s">
        <v>2028</v>
      </c>
      <c r="C757" s="4" t="s">
        <v>2112</v>
      </c>
      <c r="D757" s="5">
        <v>42513.657812500001</v>
      </c>
      <c r="E757" s="5" t="s">
        <v>2084</v>
      </c>
      <c r="F757" s="4" t="s">
        <v>26</v>
      </c>
      <c r="G757" s="4" t="s">
        <v>712</v>
      </c>
      <c r="H757" s="4" t="s">
        <v>712</v>
      </c>
      <c r="I757" s="4" t="s">
        <v>48</v>
      </c>
      <c r="J757" s="4" t="s">
        <v>49</v>
      </c>
      <c r="K757" s="4" t="s">
        <v>31</v>
      </c>
      <c r="L757" s="5">
        <v>42513.833333333336</v>
      </c>
      <c r="M757" s="5">
        <v>42513.916666666664</v>
      </c>
      <c r="N757" s="5">
        <v>42514.416666666664</v>
      </c>
      <c r="O757" s="4" t="s">
        <v>250</v>
      </c>
      <c r="P757" s="4" t="s">
        <v>89</v>
      </c>
      <c r="Q757" s="4" t="s">
        <v>251</v>
      </c>
      <c r="R757" s="4" t="s">
        <v>337</v>
      </c>
      <c r="S757" s="4" t="s">
        <v>337</v>
      </c>
      <c r="T757" s="4" t="s">
        <v>36</v>
      </c>
      <c r="U757" s="4" t="s">
        <v>36</v>
      </c>
      <c r="V757" s="4" t="s">
        <v>338</v>
      </c>
      <c r="W757" s="4" t="s">
        <v>37</v>
      </c>
      <c r="X757" s="4" t="s">
        <v>37</v>
      </c>
      <c r="Y757" s="4" t="s">
        <v>36</v>
      </c>
      <c r="Z757" s="4" t="s">
        <v>592</v>
      </c>
      <c r="AA757" s="4"/>
    </row>
    <row r="758" spans="1:27" s="1" customFormat="1" x14ac:dyDescent="0.3">
      <c r="A758" s="19">
        <v>20348</v>
      </c>
      <c r="B758" s="4" t="s">
        <v>2029</v>
      </c>
      <c r="C758" s="4" t="s">
        <v>2111</v>
      </c>
      <c r="D758" s="5">
        <v>42513.678668981483</v>
      </c>
      <c r="E758" s="5" t="s">
        <v>2084</v>
      </c>
      <c r="F758" s="4" t="s">
        <v>26</v>
      </c>
      <c r="G758" s="4" t="s">
        <v>440</v>
      </c>
      <c r="H758" s="4" t="s">
        <v>935</v>
      </c>
      <c r="I758" s="4" t="s">
        <v>203</v>
      </c>
      <c r="J758" s="4" t="s">
        <v>30</v>
      </c>
      <c r="K758" s="4" t="s">
        <v>31</v>
      </c>
      <c r="L758" s="5">
        <v>42513.916666666664</v>
      </c>
      <c r="M758" s="5">
        <v>42513.999305555553</v>
      </c>
      <c r="N758" s="5">
        <v>42514.041666666664</v>
      </c>
      <c r="O758" s="4" t="s">
        <v>710</v>
      </c>
      <c r="P758" s="4" t="s">
        <v>89</v>
      </c>
      <c r="Q758" s="4" t="s">
        <v>76</v>
      </c>
      <c r="R758" s="4" t="s">
        <v>2030</v>
      </c>
      <c r="S758" s="4" t="s">
        <v>2030</v>
      </c>
      <c r="T758" s="4" t="s">
        <v>37</v>
      </c>
      <c r="U758" s="4" t="s">
        <v>37</v>
      </c>
      <c r="V758" s="4" t="s">
        <v>2031</v>
      </c>
      <c r="W758" s="4" t="s">
        <v>37</v>
      </c>
      <c r="X758" s="4" t="s">
        <v>37</v>
      </c>
      <c r="Y758" s="4" t="s">
        <v>36</v>
      </c>
      <c r="Z758" s="4" t="s">
        <v>2032</v>
      </c>
      <c r="AA758" s="4" t="s">
        <v>93</v>
      </c>
    </row>
    <row r="759" spans="1:27" s="1" customFormat="1" x14ac:dyDescent="0.3">
      <c r="A759" s="19">
        <v>20350</v>
      </c>
      <c r="B759" s="4" t="s">
        <v>1487</v>
      </c>
      <c r="C759" s="4">
        <v>0</v>
      </c>
      <c r="D759" s="5">
        <v>42514.350011574075</v>
      </c>
      <c r="E759" s="5" t="s">
        <v>2084</v>
      </c>
      <c r="F759" s="4" t="s">
        <v>26</v>
      </c>
      <c r="G759" s="4" t="s">
        <v>656</v>
      </c>
      <c r="H759" s="4" t="s">
        <v>656</v>
      </c>
      <c r="I759" s="4" t="s">
        <v>203</v>
      </c>
      <c r="J759" s="4" t="s">
        <v>657</v>
      </c>
      <c r="K759" s="4" t="s">
        <v>31</v>
      </c>
      <c r="L759" s="5">
        <v>42518.333333333336</v>
      </c>
      <c r="M759" s="5">
        <v>42518.75</v>
      </c>
      <c r="N759" s="5">
        <v>42520.353472222225</v>
      </c>
      <c r="O759" s="4" t="s">
        <v>250</v>
      </c>
      <c r="P759" s="4" t="s">
        <v>89</v>
      </c>
      <c r="Q759" s="4" t="s">
        <v>119</v>
      </c>
      <c r="R759" s="4" t="s">
        <v>658</v>
      </c>
      <c r="S759" s="4" t="s">
        <v>658</v>
      </c>
      <c r="T759" s="4" t="s">
        <v>37</v>
      </c>
      <c r="U759" s="4" t="s">
        <v>37</v>
      </c>
      <c r="V759" s="4" t="s">
        <v>659</v>
      </c>
      <c r="W759" s="4" t="s">
        <v>37</v>
      </c>
      <c r="X759" s="4" t="s">
        <v>37</v>
      </c>
      <c r="Y759" s="4" t="s">
        <v>36</v>
      </c>
      <c r="Z759" s="4" t="s">
        <v>39</v>
      </c>
      <c r="AA759" s="4" t="s">
        <v>660</v>
      </c>
    </row>
    <row r="760" spans="1:27" s="1" customFormat="1" x14ac:dyDescent="0.3">
      <c r="A760" s="19">
        <v>20351</v>
      </c>
      <c r="B760" s="4" t="s">
        <v>2016</v>
      </c>
      <c r="C760" s="4" t="s">
        <v>2111</v>
      </c>
      <c r="D760" s="5">
        <v>42514.421435185184</v>
      </c>
      <c r="E760" s="5" t="s">
        <v>2084</v>
      </c>
      <c r="F760" s="4" t="s">
        <v>26</v>
      </c>
      <c r="G760" s="4" t="s">
        <v>1885</v>
      </c>
      <c r="H760" s="4" t="s">
        <v>922</v>
      </c>
      <c r="I760" s="4" t="s">
        <v>118</v>
      </c>
      <c r="J760" s="4" t="s">
        <v>30</v>
      </c>
      <c r="K760" s="4" t="s">
        <v>31</v>
      </c>
      <c r="L760" s="5">
        <v>42514.916666666664</v>
      </c>
      <c r="M760" s="5">
        <v>42515.5</v>
      </c>
      <c r="N760" s="5">
        <v>42515.75</v>
      </c>
      <c r="O760" s="4" t="s">
        <v>710</v>
      </c>
      <c r="P760" s="4" t="s">
        <v>33</v>
      </c>
      <c r="Q760" s="4" t="s">
        <v>76</v>
      </c>
      <c r="R760" s="4" t="s">
        <v>291</v>
      </c>
      <c r="S760" s="4" t="s">
        <v>291</v>
      </c>
      <c r="T760" s="4" t="s">
        <v>37</v>
      </c>
      <c r="U760" s="4" t="s">
        <v>37</v>
      </c>
      <c r="V760" s="4" t="s">
        <v>292</v>
      </c>
      <c r="W760" s="4" t="s">
        <v>37</v>
      </c>
      <c r="X760" s="4" t="s">
        <v>37</v>
      </c>
      <c r="Y760" s="4" t="s">
        <v>36</v>
      </c>
      <c r="Z760" s="4" t="s">
        <v>2017</v>
      </c>
      <c r="AA760" s="4" t="s">
        <v>40</v>
      </c>
    </row>
    <row r="761" spans="1:27" s="1" customFormat="1" x14ac:dyDescent="0.3">
      <c r="A761" s="19">
        <v>20352</v>
      </c>
      <c r="B761" s="4" t="s">
        <v>2033</v>
      </c>
      <c r="C761" s="4" t="s">
        <v>2111</v>
      </c>
      <c r="D761" s="5">
        <v>42514.474652777775</v>
      </c>
      <c r="E761" s="5" t="s">
        <v>2084</v>
      </c>
      <c r="F761" s="4" t="s">
        <v>26</v>
      </c>
      <c r="G761" s="4" t="s">
        <v>615</v>
      </c>
      <c r="H761" s="4" t="s">
        <v>615</v>
      </c>
      <c r="I761" s="4" t="s">
        <v>88</v>
      </c>
      <c r="J761" s="4" t="s">
        <v>740</v>
      </c>
      <c r="K761" s="4" t="s">
        <v>31</v>
      </c>
      <c r="L761" s="5">
        <v>42518.9375</v>
      </c>
      <c r="M761" s="5">
        <v>42519.208333333336</v>
      </c>
      <c r="N761" s="5">
        <v>42519.25</v>
      </c>
      <c r="O761" s="4" t="s">
        <v>710</v>
      </c>
      <c r="P761" s="4" t="s">
        <v>33</v>
      </c>
      <c r="Q761" s="4" t="s">
        <v>76</v>
      </c>
      <c r="R761" s="4" t="s">
        <v>178</v>
      </c>
      <c r="S761" s="4" t="s">
        <v>178</v>
      </c>
      <c r="T761" s="4" t="s">
        <v>36</v>
      </c>
      <c r="U761" s="4" t="s">
        <v>37</v>
      </c>
      <c r="V761" s="4" t="s">
        <v>2034</v>
      </c>
      <c r="W761" s="4" t="s">
        <v>37</v>
      </c>
      <c r="X761" s="4" t="s">
        <v>37</v>
      </c>
      <c r="Y761" s="4" t="s">
        <v>36</v>
      </c>
      <c r="Z761" s="4"/>
      <c r="AA761" s="4" t="s">
        <v>93</v>
      </c>
    </row>
    <row r="762" spans="1:27" s="1" customFormat="1" x14ac:dyDescent="0.3">
      <c r="A762" s="19">
        <v>20354</v>
      </c>
      <c r="B762" s="4" t="s">
        <v>2035</v>
      </c>
      <c r="C762" s="4" t="s">
        <v>2111</v>
      </c>
      <c r="D762" s="5">
        <v>42514.498553240737</v>
      </c>
      <c r="E762" s="5" t="s">
        <v>2084</v>
      </c>
      <c r="F762" s="4" t="s">
        <v>26</v>
      </c>
      <c r="G762" s="4" t="s">
        <v>615</v>
      </c>
      <c r="H762" s="4" t="s">
        <v>615</v>
      </c>
      <c r="I762" s="4" t="s">
        <v>80</v>
      </c>
      <c r="J762" s="4" t="s">
        <v>2036</v>
      </c>
      <c r="K762" s="4" t="s">
        <v>31</v>
      </c>
      <c r="L762" s="5">
        <v>42518.9375</v>
      </c>
      <c r="M762" s="5">
        <v>42519.208333333336</v>
      </c>
      <c r="N762" s="5">
        <v>42519.25</v>
      </c>
      <c r="O762" s="4" t="s">
        <v>710</v>
      </c>
      <c r="P762" s="4" t="s">
        <v>33</v>
      </c>
      <c r="Q762" s="4" t="s">
        <v>76</v>
      </c>
      <c r="R762" s="4" t="s">
        <v>2037</v>
      </c>
      <c r="S762" s="4" t="s">
        <v>2037</v>
      </c>
      <c r="T762" s="4" t="s">
        <v>36</v>
      </c>
      <c r="U762" s="4" t="s">
        <v>37</v>
      </c>
      <c r="V762" s="4" t="s">
        <v>2038</v>
      </c>
      <c r="W762" s="4" t="s">
        <v>37</v>
      </c>
      <c r="X762" s="4" t="s">
        <v>37</v>
      </c>
      <c r="Y762" s="4" t="s">
        <v>36</v>
      </c>
      <c r="Z762" s="4" t="s">
        <v>178</v>
      </c>
      <c r="AA762" s="4" t="s">
        <v>255</v>
      </c>
    </row>
    <row r="763" spans="1:27" s="1" customFormat="1" x14ac:dyDescent="0.3">
      <c r="A763" s="19">
        <v>20355</v>
      </c>
      <c r="B763" s="4" t="s">
        <v>1737</v>
      </c>
      <c r="C763" s="4" t="s">
        <v>2111</v>
      </c>
      <c r="D763" s="5">
        <v>42514.539814814816</v>
      </c>
      <c r="E763" s="5" t="s">
        <v>2084</v>
      </c>
      <c r="F763" s="4" t="s">
        <v>26</v>
      </c>
      <c r="G763" s="4" t="s">
        <v>1738</v>
      </c>
      <c r="H763" s="4" t="s">
        <v>1738</v>
      </c>
      <c r="I763" s="4" t="s">
        <v>203</v>
      </c>
      <c r="J763" s="4" t="s">
        <v>49</v>
      </c>
      <c r="K763" s="4" t="s">
        <v>31</v>
      </c>
      <c r="L763" s="5">
        <v>42518.5</v>
      </c>
      <c r="M763" s="5">
        <v>42518.729166666664</v>
      </c>
      <c r="N763" s="5">
        <v>42518.958333333336</v>
      </c>
      <c r="O763" s="4" t="s">
        <v>710</v>
      </c>
      <c r="P763" s="4" t="s">
        <v>33</v>
      </c>
      <c r="Q763" s="4" t="s">
        <v>76</v>
      </c>
      <c r="R763" s="6" t="s">
        <v>77</v>
      </c>
      <c r="S763" s="4" t="s">
        <v>2039</v>
      </c>
      <c r="T763" s="4" t="s">
        <v>36</v>
      </c>
      <c r="U763" s="4" t="s">
        <v>37</v>
      </c>
      <c r="V763" s="4" t="s">
        <v>1739</v>
      </c>
      <c r="W763" s="4" t="s">
        <v>37</v>
      </c>
      <c r="X763" s="4" t="s">
        <v>37</v>
      </c>
      <c r="Y763" s="4" t="s">
        <v>36</v>
      </c>
      <c r="Z763" s="4" t="s">
        <v>1740</v>
      </c>
      <c r="AA763" s="4"/>
    </row>
    <row r="764" spans="1:27" s="1" customFormat="1" x14ac:dyDescent="0.3">
      <c r="A764" s="19">
        <v>20357</v>
      </c>
      <c r="B764" s="4" t="s">
        <v>2040</v>
      </c>
      <c r="C764" s="4" t="s">
        <v>2111</v>
      </c>
      <c r="D764" s="5">
        <v>42514.619849537034</v>
      </c>
      <c r="E764" s="5" t="s">
        <v>2084</v>
      </c>
      <c r="F764" s="4" t="s">
        <v>26</v>
      </c>
      <c r="G764" s="4" t="s">
        <v>417</v>
      </c>
      <c r="H764" s="4" t="s">
        <v>417</v>
      </c>
      <c r="I764" s="4" t="s">
        <v>203</v>
      </c>
      <c r="J764" s="4" t="s">
        <v>2041</v>
      </c>
      <c r="K764" s="4" t="s">
        <v>31</v>
      </c>
      <c r="L764" s="5">
        <v>42520.75</v>
      </c>
      <c r="M764" s="5">
        <v>42521.041666666664</v>
      </c>
      <c r="N764" s="5">
        <v>42521.125</v>
      </c>
      <c r="O764" s="4" t="s">
        <v>710</v>
      </c>
      <c r="P764" s="4" t="s">
        <v>33</v>
      </c>
      <c r="Q764" s="4" t="s">
        <v>76</v>
      </c>
      <c r="R764" s="4" t="s">
        <v>2042</v>
      </c>
      <c r="S764" s="4" t="s">
        <v>2042</v>
      </c>
      <c r="T764" s="4" t="s">
        <v>37</v>
      </c>
      <c r="U764" s="4" t="s">
        <v>37</v>
      </c>
      <c r="V764" s="4" t="s">
        <v>2043</v>
      </c>
      <c r="W764" s="4" t="s">
        <v>37</v>
      </c>
      <c r="X764" s="4" t="s">
        <v>37</v>
      </c>
      <c r="Y764" s="4" t="s">
        <v>36</v>
      </c>
      <c r="Z764" s="4" t="s">
        <v>39</v>
      </c>
      <c r="AA764" s="4" t="s">
        <v>358</v>
      </c>
    </row>
    <row r="765" spans="1:27" s="1" customFormat="1" x14ac:dyDescent="0.3">
      <c r="A765" s="19">
        <v>20361</v>
      </c>
      <c r="B765" s="4" t="s">
        <v>2044</v>
      </c>
      <c r="C765" s="4" t="s">
        <v>2111</v>
      </c>
      <c r="D765" s="5">
        <v>42514.699236111112</v>
      </c>
      <c r="E765" s="5" t="s">
        <v>2084</v>
      </c>
      <c r="F765" s="4" t="s">
        <v>26</v>
      </c>
      <c r="G765" s="4" t="s">
        <v>440</v>
      </c>
      <c r="H765" s="4" t="s">
        <v>935</v>
      </c>
      <c r="I765" s="4" t="s">
        <v>203</v>
      </c>
      <c r="J765" s="4" t="s">
        <v>30</v>
      </c>
      <c r="K765" s="4" t="s">
        <v>31</v>
      </c>
      <c r="L765" s="5">
        <v>42514.916666666664</v>
      </c>
      <c r="M765" s="5">
        <v>42514.958333333336</v>
      </c>
      <c r="N765" s="5">
        <v>42514.958333333336</v>
      </c>
      <c r="O765" s="4" t="s">
        <v>710</v>
      </c>
      <c r="P765" s="4" t="s">
        <v>89</v>
      </c>
      <c r="Q765" s="4" t="s">
        <v>76</v>
      </c>
      <c r="R765" s="4" t="s">
        <v>2045</v>
      </c>
      <c r="S765" s="4" t="s">
        <v>2045</v>
      </c>
      <c r="T765" s="4" t="s">
        <v>37</v>
      </c>
      <c r="U765" s="4" t="s">
        <v>37</v>
      </c>
      <c r="V765" s="4" t="s">
        <v>2046</v>
      </c>
      <c r="W765" s="4" t="s">
        <v>37</v>
      </c>
      <c r="X765" s="4" t="s">
        <v>37</v>
      </c>
      <c r="Y765" s="4" t="s">
        <v>36</v>
      </c>
      <c r="Z765" s="4" t="s">
        <v>2047</v>
      </c>
      <c r="AA765" s="4" t="s">
        <v>93</v>
      </c>
    </row>
    <row r="766" spans="1:27" s="1" customFormat="1" x14ac:dyDescent="0.3">
      <c r="A766" s="19">
        <v>20364</v>
      </c>
      <c r="B766" s="4" t="s">
        <v>2048</v>
      </c>
      <c r="C766" s="4" t="s">
        <v>2111</v>
      </c>
      <c r="D766" s="5">
        <v>42515.325960648152</v>
      </c>
      <c r="E766" s="5" t="s">
        <v>2084</v>
      </c>
      <c r="F766" s="4" t="s">
        <v>26</v>
      </c>
      <c r="G766" s="4" t="s">
        <v>2049</v>
      </c>
      <c r="H766" s="4" t="s">
        <v>2049</v>
      </c>
      <c r="I766" s="4" t="s">
        <v>211</v>
      </c>
      <c r="J766" s="4" t="s">
        <v>49</v>
      </c>
      <c r="K766" s="4" t="s">
        <v>31</v>
      </c>
      <c r="L766" s="5">
        <v>42515</v>
      </c>
      <c r="M766" s="5">
        <v>42516</v>
      </c>
      <c r="N766" s="5">
        <v>42522.999305555553</v>
      </c>
      <c r="O766" s="4" t="s">
        <v>710</v>
      </c>
      <c r="P766" s="4" t="s">
        <v>89</v>
      </c>
      <c r="Q766" s="4" t="s">
        <v>76</v>
      </c>
      <c r="R766" s="6" t="s">
        <v>77</v>
      </c>
      <c r="S766" s="6" t="s">
        <v>77</v>
      </c>
      <c r="T766" s="4" t="s">
        <v>37</v>
      </c>
      <c r="U766" s="4" t="s">
        <v>37</v>
      </c>
      <c r="V766" s="4" t="s">
        <v>2050</v>
      </c>
      <c r="W766" s="4" t="s">
        <v>37</v>
      </c>
      <c r="X766" s="4" t="s">
        <v>37</v>
      </c>
      <c r="Y766" s="4" t="s">
        <v>36</v>
      </c>
      <c r="Z766" s="4" t="s">
        <v>2051</v>
      </c>
      <c r="AA766" s="4"/>
    </row>
    <row r="767" spans="1:27" s="1" customFormat="1" x14ac:dyDescent="0.3">
      <c r="A767" s="19">
        <v>20367</v>
      </c>
      <c r="B767" s="4" t="s">
        <v>2052</v>
      </c>
      <c r="C767" s="4" t="s">
        <v>2111</v>
      </c>
      <c r="D767" s="5">
        <v>42515.650069444448</v>
      </c>
      <c r="E767" s="5" t="s">
        <v>2084</v>
      </c>
      <c r="F767" s="4" t="s">
        <v>26</v>
      </c>
      <c r="G767" s="4" t="s">
        <v>520</v>
      </c>
      <c r="H767" s="4" t="s">
        <v>2053</v>
      </c>
      <c r="I767" s="4" t="s">
        <v>203</v>
      </c>
      <c r="J767" s="4" t="s">
        <v>30</v>
      </c>
      <c r="K767" s="4" t="s">
        <v>31</v>
      </c>
      <c r="L767" s="5">
        <v>42518.916666666664</v>
      </c>
      <c r="M767" s="5">
        <v>42519.458333333336</v>
      </c>
      <c r="N767" s="5">
        <v>42519.541666666664</v>
      </c>
      <c r="O767" s="4" t="s">
        <v>710</v>
      </c>
      <c r="P767" s="4" t="s">
        <v>89</v>
      </c>
      <c r="Q767" s="4" t="s">
        <v>76</v>
      </c>
      <c r="R767" s="4" t="s">
        <v>1124</v>
      </c>
      <c r="S767" s="4" t="s">
        <v>1124</v>
      </c>
      <c r="T767" s="4" t="s">
        <v>37</v>
      </c>
      <c r="U767" s="4" t="s">
        <v>37</v>
      </c>
      <c r="V767" s="4" t="s">
        <v>267</v>
      </c>
      <c r="W767" s="4" t="s">
        <v>37</v>
      </c>
      <c r="X767" s="4" t="s">
        <v>37</v>
      </c>
      <c r="Y767" s="4" t="s">
        <v>36</v>
      </c>
      <c r="Z767" s="4"/>
      <c r="AA767" s="4" t="s">
        <v>40</v>
      </c>
    </row>
    <row r="768" spans="1:27" s="1" customFormat="1" x14ac:dyDescent="0.3">
      <c r="A768" s="19">
        <v>20369</v>
      </c>
      <c r="B768" s="4" t="s">
        <v>2054</v>
      </c>
      <c r="C768" s="4" t="s">
        <v>2198</v>
      </c>
      <c r="D768" s="5">
        <v>42515.74894675926</v>
      </c>
      <c r="E768" s="5" t="s">
        <v>2084</v>
      </c>
      <c r="F768" s="4" t="s">
        <v>26</v>
      </c>
      <c r="G768" s="4" t="s">
        <v>379</v>
      </c>
      <c r="H768" s="4" t="s">
        <v>234</v>
      </c>
      <c r="I768" s="4" t="s">
        <v>48</v>
      </c>
      <c r="J768" s="4" t="s">
        <v>49</v>
      </c>
      <c r="K768" s="4" t="s">
        <v>31</v>
      </c>
      <c r="L768" s="5">
        <v>42515.916666666664</v>
      </c>
      <c r="M768" s="5">
        <v>42516.083333333336</v>
      </c>
      <c r="N768" s="5">
        <v>42516.25</v>
      </c>
      <c r="O768" s="4" t="s">
        <v>250</v>
      </c>
      <c r="P768" s="4" t="s">
        <v>89</v>
      </c>
      <c r="Q768" s="4" t="s">
        <v>251</v>
      </c>
      <c r="R768" s="4" t="s">
        <v>381</v>
      </c>
      <c r="S768" s="4" t="s">
        <v>381</v>
      </c>
      <c r="T768" s="4" t="s">
        <v>37</v>
      </c>
      <c r="U768" s="4" t="s">
        <v>36</v>
      </c>
      <c r="V768" s="4" t="s">
        <v>2055</v>
      </c>
      <c r="W768" s="4" t="s">
        <v>37</v>
      </c>
      <c r="X768" s="4" t="s">
        <v>37</v>
      </c>
      <c r="Y768" s="4" t="s">
        <v>36</v>
      </c>
      <c r="Z768" s="4" t="s">
        <v>39</v>
      </c>
      <c r="AA768" s="4"/>
    </row>
    <row r="769" spans="1:27" s="1" customFormat="1" x14ac:dyDescent="0.3">
      <c r="A769" s="19">
        <v>20371</v>
      </c>
      <c r="B769" s="4" t="s">
        <v>2056</v>
      </c>
      <c r="C769" s="4" t="s">
        <v>2111</v>
      </c>
      <c r="D769" s="5">
        <v>42516.644074074073</v>
      </c>
      <c r="E769" s="5" t="s">
        <v>2084</v>
      </c>
      <c r="F769" s="4" t="s">
        <v>26</v>
      </c>
      <c r="G769" s="4" t="s">
        <v>1258</v>
      </c>
      <c r="H769" s="4" t="s">
        <v>2057</v>
      </c>
      <c r="I769" s="4" t="s">
        <v>214</v>
      </c>
      <c r="J769" s="4" t="s">
        <v>302</v>
      </c>
      <c r="K769" s="4" t="s">
        <v>31</v>
      </c>
      <c r="L769" s="5">
        <v>42518</v>
      </c>
      <c r="M769" s="5">
        <v>42518.041666666664</v>
      </c>
      <c r="N769" s="5">
        <v>42518.083333333336</v>
      </c>
      <c r="O769" s="4" t="s">
        <v>710</v>
      </c>
      <c r="P769" s="4" t="s">
        <v>89</v>
      </c>
      <c r="Q769" s="4" t="s">
        <v>76</v>
      </c>
      <c r="R769" s="6" t="s">
        <v>77</v>
      </c>
      <c r="S769" s="4" t="s">
        <v>2058</v>
      </c>
      <c r="T769" s="4" t="s">
        <v>36</v>
      </c>
      <c r="U769" s="4" t="s">
        <v>37</v>
      </c>
      <c r="V769" s="4" t="s">
        <v>2059</v>
      </c>
      <c r="W769" s="4" t="s">
        <v>37</v>
      </c>
      <c r="X769" s="4" t="s">
        <v>37</v>
      </c>
      <c r="Y769" s="4" t="s">
        <v>36</v>
      </c>
      <c r="Z769" s="4" t="s">
        <v>39</v>
      </c>
      <c r="AA769" s="4" t="s">
        <v>187</v>
      </c>
    </row>
    <row r="770" spans="1:27" s="1" customFormat="1" x14ac:dyDescent="0.3">
      <c r="A770" s="19">
        <v>20372</v>
      </c>
      <c r="B770" s="4" t="s">
        <v>2060</v>
      </c>
      <c r="C770" s="4" t="s">
        <v>2111</v>
      </c>
      <c r="D770" s="5">
        <v>42516.651203703703</v>
      </c>
      <c r="E770" s="5" t="s">
        <v>2084</v>
      </c>
      <c r="F770" s="4" t="s">
        <v>26</v>
      </c>
      <c r="G770" s="4" t="s">
        <v>259</v>
      </c>
      <c r="H770" s="4" t="s">
        <v>259</v>
      </c>
      <c r="I770" s="4" t="s">
        <v>222</v>
      </c>
      <c r="J770" s="4" t="s">
        <v>311</v>
      </c>
      <c r="K770" s="4" t="s">
        <v>31</v>
      </c>
      <c r="L770" s="5">
        <v>42521.791666666664</v>
      </c>
      <c r="M770" s="5">
        <v>42521.833333333336</v>
      </c>
      <c r="N770" s="5">
        <v>42521.875</v>
      </c>
      <c r="O770" s="4" t="s">
        <v>710</v>
      </c>
      <c r="P770" s="4" t="s">
        <v>33</v>
      </c>
      <c r="Q770" s="4" t="s">
        <v>76</v>
      </c>
      <c r="R770" s="4" t="s">
        <v>2061</v>
      </c>
      <c r="S770" s="4" t="s">
        <v>2061</v>
      </c>
      <c r="T770" s="4" t="s">
        <v>37</v>
      </c>
      <c r="U770" s="4" t="s">
        <v>37</v>
      </c>
      <c r="V770" s="4" t="s">
        <v>2062</v>
      </c>
      <c r="W770" s="4" t="s">
        <v>37</v>
      </c>
      <c r="X770" s="4" t="s">
        <v>37</v>
      </c>
      <c r="Y770" s="4" t="s">
        <v>36</v>
      </c>
      <c r="Z770" s="4"/>
      <c r="AA770" s="4"/>
    </row>
    <row r="771" spans="1:27" s="1" customFormat="1" x14ac:dyDescent="0.3">
      <c r="A771" s="19">
        <v>20377</v>
      </c>
      <c r="B771" s="4" t="s">
        <v>2063</v>
      </c>
      <c r="C771" s="4">
        <v>0</v>
      </c>
      <c r="D771" s="5">
        <v>42517.440289351849</v>
      </c>
      <c r="E771" s="5" t="s">
        <v>2084</v>
      </c>
      <c r="F771" s="4" t="s">
        <v>26</v>
      </c>
      <c r="G771" s="4" t="s">
        <v>849</v>
      </c>
      <c r="H771" s="4" t="s">
        <v>849</v>
      </c>
      <c r="I771" s="4" t="s">
        <v>215</v>
      </c>
      <c r="J771" s="4" t="s">
        <v>543</v>
      </c>
      <c r="K771" s="4" t="s">
        <v>31</v>
      </c>
      <c r="L771" s="5">
        <v>42518.333333333336</v>
      </c>
      <c r="M771" s="5">
        <v>42520.708333333336</v>
      </c>
      <c r="N771" s="5">
        <v>42520.75</v>
      </c>
      <c r="O771" s="4" t="s">
        <v>250</v>
      </c>
      <c r="P771" s="4" t="s">
        <v>89</v>
      </c>
      <c r="Q771" s="4" t="s">
        <v>119</v>
      </c>
      <c r="R771" s="4"/>
      <c r="S771" s="4"/>
      <c r="T771" s="4" t="s">
        <v>37</v>
      </c>
      <c r="U771" s="4" t="s">
        <v>36</v>
      </c>
      <c r="V771" s="4" t="s">
        <v>1494</v>
      </c>
      <c r="W771" s="4" t="s">
        <v>37</v>
      </c>
      <c r="X771" s="4" t="s">
        <v>37</v>
      </c>
      <c r="Y771" s="4" t="s">
        <v>36</v>
      </c>
      <c r="Z771" s="4" t="s">
        <v>89</v>
      </c>
      <c r="AA771" s="4"/>
    </row>
    <row r="772" spans="1:27" s="1" customFormat="1" x14ac:dyDescent="0.3">
      <c r="A772" s="19">
        <v>20378</v>
      </c>
      <c r="B772" s="4" t="s">
        <v>2064</v>
      </c>
      <c r="C772" s="4" t="s">
        <v>2111</v>
      </c>
      <c r="D772" s="5">
        <v>42517.454108796293</v>
      </c>
      <c r="E772" s="5" t="s">
        <v>2084</v>
      </c>
      <c r="F772" s="4" t="s">
        <v>26</v>
      </c>
      <c r="G772" s="4" t="s">
        <v>568</v>
      </c>
      <c r="H772" s="4" t="s">
        <v>568</v>
      </c>
      <c r="I772" s="4" t="s">
        <v>48</v>
      </c>
      <c r="J772" s="4" t="s">
        <v>30</v>
      </c>
      <c r="K772" s="4" t="s">
        <v>31</v>
      </c>
      <c r="L772" s="5">
        <v>42521.291666666664</v>
      </c>
      <c r="M772" s="5">
        <v>42521.375</v>
      </c>
      <c r="N772" s="5">
        <v>42521.666666666664</v>
      </c>
      <c r="O772" s="4" t="s">
        <v>710</v>
      </c>
      <c r="P772" s="4" t="s">
        <v>33</v>
      </c>
      <c r="Q772" s="4" t="s">
        <v>76</v>
      </c>
      <c r="R772" s="4" t="s">
        <v>436</v>
      </c>
      <c r="S772" s="4" t="s">
        <v>436</v>
      </c>
      <c r="T772" s="4" t="s">
        <v>37</v>
      </c>
      <c r="U772" s="4" t="s">
        <v>37</v>
      </c>
      <c r="V772" s="4" t="s">
        <v>2065</v>
      </c>
      <c r="W772" s="4" t="s">
        <v>37</v>
      </c>
      <c r="X772" s="4" t="s">
        <v>37</v>
      </c>
      <c r="Y772" s="4" t="s">
        <v>36</v>
      </c>
      <c r="Z772" s="4" t="s">
        <v>2066</v>
      </c>
      <c r="AA772" s="4" t="s">
        <v>40</v>
      </c>
    </row>
    <row r="773" spans="1:27" s="1" customFormat="1" x14ac:dyDescent="0.3">
      <c r="A773" s="19">
        <v>20379</v>
      </c>
      <c r="B773" s="4" t="s">
        <v>2067</v>
      </c>
      <c r="C773" s="4">
        <v>0</v>
      </c>
      <c r="D773" s="5">
        <v>42517.530949074076</v>
      </c>
      <c r="E773" s="5" t="s">
        <v>2084</v>
      </c>
      <c r="F773" s="4" t="s">
        <v>26</v>
      </c>
      <c r="G773" s="4" t="s">
        <v>274</v>
      </c>
      <c r="H773" s="4" t="s">
        <v>852</v>
      </c>
      <c r="I773" s="4" t="s">
        <v>213</v>
      </c>
      <c r="J773" s="4" t="s">
        <v>30</v>
      </c>
      <c r="K773" s="4" t="s">
        <v>31</v>
      </c>
      <c r="L773" s="5">
        <v>42518.041666666664</v>
      </c>
      <c r="M773" s="5">
        <v>42518.208333333336</v>
      </c>
      <c r="N773" s="5">
        <v>42518.25</v>
      </c>
      <c r="O773" s="4" t="s">
        <v>250</v>
      </c>
      <c r="P773" s="4" t="s">
        <v>89</v>
      </c>
      <c r="Q773" s="4" t="s">
        <v>251</v>
      </c>
      <c r="R773" s="4" t="s">
        <v>282</v>
      </c>
      <c r="S773" s="4" t="s">
        <v>282</v>
      </c>
      <c r="T773" s="4" t="s">
        <v>36</v>
      </c>
      <c r="U773" s="4" t="s">
        <v>36</v>
      </c>
      <c r="V773" s="4" t="s">
        <v>276</v>
      </c>
      <c r="W773" s="4" t="s">
        <v>37</v>
      </c>
      <c r="X773" s="4" t="s">
        <v>37</v>
      </c>
      <c r="Y773" s="4" t="s">
        <v>36</v>
      </c>
      <c r="Z773" s="4" t="s">
        <v>37</v>
      </c>
      <c r="AA773" s="4" t="s">
        <v>40</v>
      </c>
    </row>
    <row r="774" spans="1:27" s="1" customFormat="1" x14ac:dyDescent="0.3">
      <c r="A774" s="19">
        <v>20380</v>
      </c>
      <c r="B774" s="4" t="s">
        <v>2068</v>
      </c>
      <c r="C774" s="4" t="s">
        <v>2111</v>
      </c>
      <c r="D774" s="5">
        <v>42517.632291666669</v>
      </c>
      <c r="E774" s="5" t="s">
        <v>2084</v>
      </c>
      <c r="F774" s="4" t="s">
        <v>26</v>
      </c>
      <c r="G774" s="4" t="s">
        <v>1979</v>
      </c>
      <c r="H774" s="4" t="s">
        <v>1980</v>
      </c>
      <c r="I774" s="4" t="s">
        <v>56</v>
      </c>
      <c r="J774" s="4" t="s">
        <v>49</v>
      </c>
      <c r="K774" s="4" t="s">
        <v>31</v>
      </c>
      <c r="L774" s="5">
        <v>42520.416666666664</v>
      </c>
      <c r="M774" s="5">
        <v>42522.75</v>
      </c>
      <c r="N774" s="5">
        <v>42522.833333333336</v>
      </c>
      <c r="O774" s="4" t="s">
        <v>710</v>
      </c>
      <c r="P774" s="4" t="s">
        <v>89</v>
      </c>
      <c r="Q774" s="4" t="s">
        <v>76</v>
      </c>
      <c r="R774" s="4" t="s">
        <v>2069</v>
      </c>
      <c r="S774" s="6" t="s">
        <v>77</v>
      </c>
      <c r="T774" s="4" t="s">
        <v>37</v>
      </c>
      <c r="U774" s="4" t="s">
        <v>37</v>
      </c>
      <c r="V774" s="4" t="s">
        <v>2070</v>
      </c>
      <c r="W774" s="4" t="s">
        <v>37</v>
      </c>
      <c r="X774" s="4" t="s">
        <v>37</v>
      </c>
      <c r="Y774" s="4" t="s">
        <v>36</v>
      </c>
      <c r="Z774" s="4" t="s">
        <v>2071</v>
      </c>
      <c r="AA774" s="4"/>
    </row>
    <row r="775" spans="1:27" s="1" customFormat="1" x14ac:dyDescent="0.3">
      <c r="A775" s="19">
        <v>20385</v>
      </c>
      <c r="B775" s="4" t="s">
        <v>2072</v>
      </c>
      <c r="C775" s="4" t="s">
        <v>2111</v>
      </c>
      <c r="D775" s="5">
        <v>42520.403668981482</v>
      </c>
      <c r="E775" s="5" t="s">
        <v>2084</v>
      </c>
      <c r="F775" s="4" t="s">
        <v>26</v>
      </c>
      <c r="G775" s="4" t="s">
        <v>615</v>
      </c>
      <c r="H775" s="4" t="s">
        <v>615</v>
      </c>
      <c r="I775" s="4" t="s">
        <v>219</v>
      </c>
      <c r="J775" s="4" t="s">
        <v>30</v>
      </c>
      <c r="K775" s="4" t="s">
        <v>31</v>
      </c>
      <c r="L775" s="5">
        <v>42521.291666666664</v>
      </c>
      <c r="M775" s="5">
        <v>42521.3125</v>
      </c>
      <c r="N775" s="5">
        <v>42521.333333333336</v>
      </c>
      <c r="O775" s="4" t="s">
        <v>710</v>
      </c>
      <c r="P775" s="4" t="s">
        <v>89</v>
      </c>
      <c r="Q775" s="4" t="s">
        <v>76</v>
      </c>
      <c r="R775" s="4" t="s">
        <v>178</v>
      </c>
      <c r="S775" s="4" t="s">
        <v>178</v>
      </c>
      <c r="T775" s="4" t="s">
        <v>37</v>
      </c>
      <c r="U775" s="4" t="s">
        <v>37</v>
      </c>
      <c r="V775" s="4" t="s">
        <v>2073</v>
      </c>
      <c r="W775" s="4" t="s">
        <v>37</v>
      </c>
      <c r="X775" s="4" t="s">
        <v>37</v>
      </c>
      <c r="Y775" s="4" t="s">
        <v>36</v>
      </c>
      <c r="Z775" s="4" t="s">
        <v>2074</v>
      </c>
      <c r="AA775" s="4" t="s">
        <v>40</v>
      </c>
    </row>
    <row r="776" spans="1:27" s="1" customFormat="1" x14ac:dyDescent="0.3">
      <c r="A776" s="19">
        <v>20404</v>
      </c>
      <c r="B776" s="4" t="s">
        <v>2075</v>
      </c>
      <c r="C776" s="4" t="s">
        <v>2112</v>
      </c>
      <c r="D776" s="5">
        <v>42521.539571759262</v>
      </c>
      <c r="E776" s="5" t="s">
        <v>2084</v>
      </c>
      <c r="F776" s="4" t="s">
        <v>26</v>
      </c>
      <c r="G776" s="4" t="s">
        <v>336</v>
      </c>
      <c r="H776" s="4" t="s">
        <v>336</v>
      </c>
      <c r="I776" s="4" t="s">
        <v>203</v>
      </c>
      <c r="J776" s="4" t="s">
        <v>49</v>
      </c>
      <c r="K776" s="4" t="s">
        <v>31</v>
      </c>
      <c r="L776" s="5">
        <v>42521.75</v>
      </c>
      <c r="M776" s="5">
        <v>42521.791666666664</v>
      </c>
      <c r="N776" s="5">
        <v>42521.833333333336</v>
      </c>
      <c r="O776" s="4" t="s">
        <v>250</v>
      </c>
      <c r="P776" s="4" t="s">
        <v>89</v>
      </c>
      <c r="Q776" s="4" t="s">
        <v>251</v>
      </c>
      <c r="R776" s="4" t="s">
        <v>337</v>
      </c>
      <c r="S776" s="4" t="s">
        <v>337</v>
      </c>
      <c r="T776" s="4" t="s">
        <v>37</v>
      </c>
      <c r="U776" s="4" t="s">
        <v>37</v>
      </c>
      <c r="V776" s="4" t="s">
        <v>338</v>
      </c>
      <c r="W776" s="4" t="s">
        <v>36</v>
      </c>
      <c r="X776" s="4" t="s">
        <v>37</v>
      </c>
      <c r="Y776" s="4" t="s">
        <v>36</v>
      </c>
      <c r="Z776" s="4" t="s">
        <v>592</v>
      </c>
      <c r="AA776" s="4"/>
    </row>
    <row r="777" spans="1:27" s="1" customFormat="1" x14ac:dyDescent="0.3">
      <c r="A777" s="19">
        <v>18497</v>
      </c>
      <c r="B777" s="4" t="s">
        <v>25</v>
      </c>
      <c r="C777" s="4" t="e">
        <v>#N/A</v>
      </c>
      <c r="D777" s="5">
        <v>42307.424722222226</v>
      </c>
      <c r="E777" s="5" t="s">
        <v>2077</v>
      </c>
      <c r="F777" s="4" t="s">
        <v>26</v>
      </c>
      <c r="G777" s="4" t="s">
        <v>27</v>
      </c>
      <c r="H777" s="4" t="s">
        <v>28</v>
      </c>
      <c r="I777" s="4" t="s">
        <v>29</v>
      </c>
      <c r="J777" s="4" t="s">
        <v>30</v>
      </c>
      <c r="K777" s="4" t="s">
        <v>31</v>
      </c>
      <c r="L777" s="5">
        <v>42394.951388888891</v>
      </c>
      <c r="M777" s="5">
        <v>42395.791666666664</v>
      </c>
      <c r="N777" s="5">
        <v>42395.791666666664</v>
      </c>
      <c r="O777" s="4" t="s">
        <v>32</v>
      </c>
      <c r="P777" s="4" t="s">
        <v>33</v>
      </c>
      <c r="Q777" s="4" t="s">
        <v>34</v>
      </c>
      <c r="R777" s="4" t="s">
        <v>35</v>
      </c>
      <c r="S777" s="4" t="s">
        <v>35</v>
      </c>
      <c r="T777" s="4" t="s">
        <v>36</v>
      </c>
      <c r="U777" s="4" t="s">
        <v>37</v>
      </c>
      <c r="V777" s="4" t="s">
        <v>38</v>
      </c>
      <c r="W777" s="4" t="s">
        <v>37</v>
      </c>
      <c r="X777" s="4" t="s">
        <v>37</v>
      </c>
      <c r="Y777" s="4" t="s">
        <v>36</v>
      </c>
      <c r="Z777" s="4" t="s">
        <v>39</v>
      </c>
      <c r="AA777" s="4" t="s">
        <v>40</v>
      </c>
    </row>
    <row r="778" spans="1:27" s="1" customFormat="1" x14ac:dyDescent="0.3">
      <c r="A778" s="19">
        <v>18500</v>
      </c>
      <c r="B778" s="4" t="s">
        <v>41</v>
      </c>
      <c r="C778" s="4" t="e">
        <v>#N/A</v>
      </c>
      <c r="D778" s="5">
        <v>42307.458460648151</v>
      </c>
      <c r="E778" s="5" t="s">
        <v>2077</v>
      </c>
      <c r="F778" s="4" t="s">
        <v>26</v>
      </c>
      <c r="G778" s="4" t="s">
        <v>27</v>
      </c>
      <c r="H778" s="4" t="s">
        <v>28</v>
      </c>
      <c r="I778" s="4" t="s">
        <v>42</v>
      </c>
      <c r="J778" s="4" t="s">
        <v>43</v>
      </c>
      <c r="K778" s="4" t="s">
        <v>31</v>
      </c>
      <c r="L778" s="5">
        <v>42382.958333333336</v>
      </c>
      <c r="M778" s="5">
        <v>42383.791666666664</v>
      </c>
      <c r="N778" s="5">
        <v>42383.791666666664</v>
      </c>
      <c r="O778" s="4" t="s">
        <v>32</v>
      </c>
      <c r="P778" s="4" t="s">
        <v>33</v>
      </c>
      <c r="Q778" s="4" t="s">
        <v>34</v>
      </c>
      <c r="R778" s="4" t="s">
        <v>44</v>
      </c>
      <c r="S778" s="4" t="s">
        <v>44</v>
      </c>
      <c r="T778" s="4" t="s">
        <v>36</v>
      </c>
      <c r="U778" s="4" t="s">
        <v>37</v>
      </c>
      <c r="V778" s="4" t="s">
        <v>38</v>
      </c>
      <c r="W778" s="4" t="s">
        <v>37</v>
      </c>
      <c r="X778" s="4" t="s">
        <v>37</v>
      </c>
      <c r="Y778" s="4" t="s">
        <v>36</v>
      </c>
      <c r="Z778" s="4" t="s">
        <v>39</v>
      </c>
      <c r="AA778" s="4" t="s">
        <v>45</v>
      </c>
    </row>
    <row r="779" spans="1:27" s="1" customFormat="1" x14ac:dyDescent="0.3">
      <c r="A779" s="19">
        <v>18647</v>
      </c>
      <c r="B779" s="4" t="s">
        <v>46</v>
      </c>
      <c r="C779" s="4" t="e">
        <v>#N/A</v>
      </c>
      <c r="D779" s="5">
        <v>42321.512789351851</v>
      </c>
      <c r="E779" s="5" t="s">
        <v>2078</v>
      </c>
      <c r="F779" s="4" t="s">
        <v>26</v>
      </c>
      <c r="G779" s="4" t="s">
        <v>47</v>
      </c>
      <c r="H779" s="4" t="s">
        <v>47</v>
      </c>
      <c r="I779" s="4" t="s">
        <v>48</v>
      </c>
      <c r="J779" s="4" t="s">
        <v>49</v>
      </c>
      <c r="K779" s="4" t="s">
        <v>31</v>
      </c>
      <c r="L779" s="5">
        <v>42380.916666666664</v>
      </c>
      <c r="M779" s="5">
        <v>42381.208333333336</v>
      </c>
      <c r="N779" s="5">
        <v>42381.25</v>
      </c>
      <c r="O779" s="4" t="s">
        <v>32</v>
      </c>
      <c r="P779" s="4" t="s">
        <v>33</v>
      </c>
      <c r="Q779" s="4" t="s">
        <v>50</v>
      </c>
      <c r="R779" s="4" t="s">
        <v>51</v>
      </c>
      <c r="S779" s="4" t="s">
        <v>51</v>
      </c>
      <c r="T779" s="4" t="s">
        <v>36</v>
      </c>
      <c r="U779" s="4" t="s">
        <v>37</v>
      </c>
      <c r="V779" s="4" t="s">
        <v>52</v>
      </c>
      <c r="W779" s="4" t="s">
        <v>37</v>
      </c>
      <c r="X779" s="4" t="s">
        <v>37</v>
      </c>
      <c r="Y779" s="4" t="s">
        <v>36</v>
      </c>
      <c r="Z779" s="4" t="s">
        <v>53</v>
      </c>
      <c r="AA779" s="4"/>
    </row>
    <row r="780" spans="1:27" s="1" customFormat="1" x14ac:dyDescent="0.3">
      <c r="A780" s="19">
        <v>18651</v>
      </c>
      <c r="B780" s="4" t="s">
        <v>54</v>
      </c>
      <c r="C780" s="4" t="e">
        <v>#N/A</v>
      </c>
      <c r="D780" s="5">
        <v>42321.530289351853</v>
      </c>
      <c r="E780" s="5" t="s">
        <v>2078</v>
      </c>
      <c r="F780" s="4" t="s">
        <v>26</v>
      </c>
      <c r="G780" s="4" t="s">
        <v>47</v>
      </c>
      <c r="H780" s="4" t="s">
        <v>47</v>
      </c>
      <c r="I780" s="4" t="s">
        <v>48</v>
      </c>
      <c r="J780" s="4" t="s">
        <v>49</v>
      </c>
      <c r="K780" s="4" t="s">
        <v>31</v>
      </c>
      <c r="L780" s="5">
        <v>42382.916666666664</v>
      </c>
      <c r="M780" s="5">
        <v>42383.208333333336</v>
      </c>
      <c r="N780" s="5">
        <v>42383.25</v>
      </c>
      <c r="O780" s="4" t="s">
        <v>32</v>
      </c>
      <c r="P780" s="4" t="s">
        <v>33</v>
      </c>
      <c r="Q780" s="4" t="s">
        <v>50</v>
      </c>
      <c r="R780" s="4" t="s">
        <v>55</v>
      </c>
      <c r="S780" s="4" t="s">
        <v>55</v>
      </c>
      <c r="T780" s="4" t="s">
        <v>36</v>
      </c>
      <c r="U780" s="4" t="s">
        <v>37</v>
      </c>
      <c r="V780" s="4" t="s">
        <v>52</v>
      </c>
      <c r="W780" s="4" t="s">
        <v>37</v>
      </c>
      <c r="X780" s="4" t="s">
        <v>37</v>
      </c>
      <c r="Y780" s="4" t="s">
        <v>36</v>
      </c>
      <c r="Z780" s="4" t="s">
        <v>53</v>
      </c>
      <c r="AA780" s="4"/>
    </row>
    <row r="781" spans="1:27" s="1" customFormat="1" x14ac:dyDescent="0.3">
      <c r="A781" s="19">
        <v>18655</v>
      </c>
      <c r="B781" s="4" t="s">
        <v>54</v>
      </c>
      <c r="C781" s="4" t="e">
        <v>#N/A</v>
      </c>
      <c r="D781" s="5">
        <v>42321.644907407404</v>
      </c>
      <c r="E781" s="5" t="s">
        <v>2078</v>
      </c>
      <c r="F781" s="4" t="s">
        <v>26</v>
      </c>
      <c r="G781" s="4" t="s">
        <v>47</v>
      </c>
      <c r="H781" s="4" t="s">
        <v>47</v>
      </c>
      <c r="I781" s="4" t="s">
        <v>48</v>
      </c>
      <c r="J781" s="4" t="s">
        <v>49</v>
      </c>
      <c r="K781" s="4" t="s">
        <v>31</v>
      </c>
      <c r="L781" s="5">
        <v>42384.916666666664</v>
      </c>
      <c r="M781" s="5">
        <v>42385.208333333336</v>
      </c>
      <c r="N781" s="5">
        <v>42385.25</v>
      </c>
      <c r="O781" s="4" t="s">
        <v>32</v>
      </c>
      <c r="P781" s="4" t="s">
        <v>33</v>
      </c>
      <c r="Q781" s="4" t="s">
        <v>50</v>
      </c>
      <c r="R781" s="4" t="s">
        <v>57</v>
      </c>
      <c r="S781" s="4" t="s">
        <v>57</v>
      </c>
      <c r="T781" s="4" t="s">
        <v>36</v>
      </c>
      <c r="U781" s="4" t="s">
        <v>37</v>
      </c>
      <c r="V781" s="4" t="s">
        <v>52</v>
      </c>
      <c r="W781" s="4" t="s">
        <v>37</v>
      </c>
      <c r="X781" s="4" t="s">
        <v>37</v>
      </c>
      <c r="Y781" s="4" t="s">
        <v>36</v>
      </c>
      <c r="Z781" s="4" t="s">
        <v>53</v>
      </c>
      <c r="AA781" s="4"/>
    </row>
    <row r="782" spans="1:27" s="1" customFormat="1" x14ac:dyDescent="0.3">
      <c r="A782" s="19">
        <v>18656</v>
      </c>
      <c r="B782" s="4" t="s">
        <v>54</v>
      </c>
      <c r="C782" s="4" t="e">
        <v>#N/A</v>
      </c>
      <c r="D782" s="5">
        <v>42321.680613425924</v>
      </c>
      <c r="E782" s="5" t="s">
        <v>2078</v>
      </c>
      <c r="F782" s="4" t="s">
        <v>26</v>
      </c>
      <c r="G782" s="4" t="s">
        <v>47</v>
      </c>
      <c r="H782" s="4" t="s">
        <v>58</v>
      </c>
      <c r="I782" s="4" t="s">
        <v>48</v>
      </c>
      <c r="J782" s="4" t="s">
        <v>49</v>
      </c>
      <c r="K782" s="4" t="s">
        <v>31</v>
      </c>
      <c r="L782" s="5">
        <v>42387.916666666664</v>
      </c>
      <c r="M782" s="5">
        <v>42388.208333333336</v>
      </c>
      <c r="N782" s="5">
        <v>42388.25</v>
      </c>
      <c r="O782" s="4" t="s">
        <v>32</v>
      </c>
      <c r="P782" s="4" t="s">
        <v>33</v>
      </c>
      <c r="Q782" s="4" t="s">
        <v>50</v>
      </c>
      <c r="R782" s="4" t="s">
        <v>59</v>
      </c>
      <c r="S782" s="4" t="s">
        <v>59</v>
      </c>
      <c r="T782" s="4" t="s">
        <v>36</v>
      </c>
      <c r="U782" s="4" t="s">
        <v>37</v>
      </c>
      <c r="V782" s="4" t="s">
        <v>52</v>
      </c>
      <c r="W782" s="4" t="s">
        <v>37</v>
      </c>
      <c r="X782" s="4" t="s">
        <v>37</v>
      </c>
      <c r="Y782" s="4" t="s">
        <v>36</v>
      </c>
      <c r="Z782" s="4" t="s">
        <v>53</v>
      </c>
      <c r="AA782" s="4"/>
    </row>
    <row r="783" spans="1:27" s="1" customFormat="1" x14ac:dyDescent="0.3">
      <c r="A783" s="19">
        <v>18664</v>
      </c>
      <c r="B783" s="4" t="s">
        <v>54</v>
      </c>
      <c r="C783" s="4" t="e">
        <v>#N/A</v>
      </c>
      <c r="D783" s="5">
        <v>42324.531458333331</v>
      </c>
      <c r="E783" s="5" t="s">
        <v>2078</v>
      </c>
      <c r="F783" s="4" t="s">
        <v>26</v>
      </c>
      <c r="G783" s="4" t="s">
        <v>47</v>
      </c>
      <c r="H783" s="4" t="s">
        <v>60</v>
      </c>
      <c r="I783" s="4" t="s">
        <v>48</v>
      </c>
      <c r="J783" s="4" t="s">
        <v>49</v>
      </c>
      <c r="K783" s="4" t="s">
        <v>31</v>
      </c>
      <c r="L783" s="5">
        <v>42389.916666666664</v>
      </c>
      <c r="M783" s="5">
        <v>42390.208333333336</v>
      </c>
      <c r="N783" s="5">
        <v>42390.25</v>
      </c>
      <c r="O783" s="4" t="s">
        <v>32</v>
      </c>
      <c r="P783" s="4" t="s">
        <v>33</v>
      </c>
      <c r="Q783" s="4" t="s">
        <v>50</v>
      </c>
      <c r="R783" s="4" t="s">
        <v>61</v>
      </c>
      <c r="S783" s="4" t="s">
        <v>61</v>
      </c>
      <c r="T783" s="4" t="s">
        <v>36</v>
      </c>
      <c r="U783" s="4" t="s">
        <v>37</v>
      </c>
      <c r="V783" s="4" t="s">
        <v>52</v>
      </c>
      <c r="W783" s="4" t="s">
        <v>37</v>
      </c>
      <c r="X783" s="4" t="s">
        <v>37</v>
      </c>
      <c r="Y783" s="4" t="s">
        <v>36</v>
      </c>
      <c r="Z783" s="4" t="s">
        <v>53</v>
      </c>
      <c r="AA783" s="4"/>
    </row>
    <row r="784" spans="1:27" s="1" customFormat="1" x14ac:dyDescent="0.3">
      <c r="A784" s="19">
        <v>18679</v>
      </c>
      <c r="B784" s="4" t="s">
        <v>54</v>
      </c>
      <c r="C784" s="4" t="e">
        <v>#N/A</v>
      </c>
      <c r="D784" s="5">
        <v>42325.509687500002</v>
      </c>
      <c r="E784" s="5" t="s">
        <v>2078</v>
      </c>
      <c r="F784" s="4" t="s">
        <v>26</v>
      </c>
      <c r="G784" s="4" t="s">
        <v>47</v>
      </c>
      <c r="H784" s="4" t="s">
        <v>62</v>
      </c>
      <c r="I784" s="4" t="s">
        <v>48</v>
      </c>
      <c r="J784" s="4" t="s">
        <v>49</v>
      </c>
      <c r="K784" s="4" t="s">
        <v>31</v>
      </c>
      <c r="L784" s="5">
        <v>42390.916666666664</v>
      </c>
      <c r="M784" s="5">
        <v>42391.208333333336</v>
      </c>
      <c r="N784" s="5">
        <v>42391.25</v>
      </c>
      <c r="O784" s="4" t="s">
        <v>32</v>
      </c>
      <c r="P784" s="4" t="s">
        <v>33</v>
      </c>
      <c r="Q784" s="4" t="s">
        <v>50</v>
      </c>
      <c r="R784" s="4" t="s">
        <v>63</v>
      </c>
      <c r="S784" s="4" t="s">
        <v>63</v>
      </c>
      <c r="T784" s="4" t="s">
        <v>36</v>
      </c>
      <c r="U784" s="4" t="s">
        <v>37</v>
      </c>
      <c r="V784" s="4" t="s">
        <v>52</v>
      </c>
      <c r="W784" s="4" t="s">
        <v>37</v>
      </c>
      <c r="X784" s="4" t="s">
        <v>37</v>
      </c>
      <c r="Y784" s="4" t="s">
        <v>36</v>
      </c>
      <c r="Z784" s="4" t="s">
        <v>53</v>
      </c>
      <c r="AA784" s="4"/>
    </row>
    <row r="785" spans="1:27" s="1" customFormat="1" x14ac:dyDescent="0.3">
      <c r="A785" s="19">
        <v>18695</v>
      </c>
      <c r="B785" s="4" t="s">
        <v>64</v>
      </c>
      <c r="C785" s="4" t="e">
        <v>#N/A</v>
      </c>
      <c r="D785" s="5">
        <v>42326.615925925929</v>
      </c>
      <c r="E785" s="5" t="s">
        <v>2078</v>
      </c>
      <c r="F785" s="4" t="s">
        <v>26</v>
      </c>
      <c r="G785" s="4" t="s">
        <v>47</v>
      </c>
      <c r="H785" s="4" t="s">
        <v>47</v>
      </c>
      <c r="I785" s="4" t="s">
        <v>48</v>
      </c>
      <c r="J785" s="4" t="s">
        <v>49</v>
      </c>
      <c r="K785" s="4" t="s">
        <v>31</v>
      </c>
      <c r="L785" s="5">
        <v>42394.916666666664</v>
      </c>
      <c r="M785" s="5">
        <v>42395.208333333336</v>
      </c>
      <c r="N785" s="5">
        <v>42395.25</v>
      </c>
      <c r="O785" s="4" t="s">
        <v>32</v>
      </c>
      <c r="P785" s="4" t="s">
        <v>33</v>
      </c>
      <c r="Q785" s="4" t="s">
        <v>50</v>
      </c>
      <c r="R785" s="4" t="s">
        <v>65</v>
      </c>
      <c r="S785" s="4" t="s">
        <v>65</v>
      </c>
      <c r="T785" s="4" t="s">
        <v>36</v>
      </c>
      <c r="U785" s="4" t="s">
        <v>37</v>
      </c>
      <c r="V785" s="4" t="s">
        <v>66</v>
      </c>
      <c r="W785" s="4" t="s">
        <v>37</v>
      </c>
      <c r="X785" s="4" t="s">
        <v>37</v>
      </c>
      <c r="Y785" s="4" t="s">
        <v>36</v>
      </c>
      <c r="Z785" s="4" t="s">
        <v>53</v>
      </c>
      <c r="AA785" s="4"/>
    </row>
    <row r="786" spans="1:27" s="1" customFormat="1" x14ac:dyDescent="0.3">
      <c r="A786" s="19">
        <v>18770</v>
      </c>
      <c r="B786" s="4" t="s">
        <v>67</v>
      </c>
      <c r="C786" s="4" t="e">
        <v>#N/A</v>
      </c>
      <c r="D786" s="5">
        <v>42332.671979166669</v>
      </c>
      <c r="E786" s="5" t="s">
        <v>2078</v>
      </c>
      <c r="F786" s="4" t="s">
        <v>26</v>
      </c>
      <c r="G786" s="4" t="s">
        <v>47</v>
      </c>
      <c r="H786" s="4" t="s">
        <v>47</v>
      </c>
      <c r="I786" s="4" t="s">
        <v>68</v>
      </c>
      <c r="J786" s="4" t="s">
        <v>49</v>
      </c>
      <c r="K786" s="4" t="s">
        <v>31</v>
      </c>
      <c r="L786" s="5">
        <v>42398.916666666664</v>
      </c>
      <c r="M786" s="5">
        <v>42399.25</v>
      </c>
      <c r="N786" s="5">
        <v>42399.291666666664</v>
      </c>
      <c r="O786" s="4" t="s">
        <v>32</v>
      </c>
      <c r="P786" s="4" t="s">
        <v>33</v>
      </c>
      <c r="Q786" s="4" t="s">
        <v>50</v>
      </c>
      <c r="R786" s="4" t="s">
        <v>69</v>
      </c>
      <c r="S786" s="4" t="s">
        <v>69</v>
      </c>
      <c r="T786" s="4" t="s">
        <v>36</v>
      </c>
      <c r="U786" s="4" t="s">
        <v>37</v>
      </c>
      <c r="V786" s="4" t="s">
        <v>70</v>
      </c>
      <c r="W786" s="4" t="s">
        <v>37</v>
      </c>
      <c r="X786" s="4" t="s">
        <v>37</v>
      </c>
      <c r="Y786" s="4" t="s">
        <v>37</v>
      </c>
      <c r="Z786" s="4" t="s">
        <v>53</v>
      </c>
      <c r="AA786" s="4"/>
    </row>
    <row r="787" spans="1:27" s="1" customFormat="1" x14ac:dyDescent="0.3">
      <c r="A787" s="19">
        <v>18775</v>
      </c>
      <c r="B787" s="4" t="s">
        <v>67</v>
      </c>
      <c r="C787" s="4" t="e">
        <v>#N/A</v>
      </c>
      <c r="D787" s="5">
        <v>42332.692326388889</v>
      </c>
      <c r="E787" s="5" t="s">
        <v>2078</v>
      </c>
      <c r="F787" s="4" t="s">
        <v>26</v>
      </c>
      <c r="G787" s="4" t="s">
        <v>47</v>
      </c>
      <c r="H787" s="4" t="s">
        <v>47</v>
      </c>
      <c r="I787" s="4" t="s">
        <v>71</v>
      </c>
      <c r="J787" s="4" t="s">
        <v>49</v>
      </c>
      <c r="K787" s="4" t="s">
        <v>31</v>
      </c>
      <c r="L787" s="5">
        <v>42401.916666666664</v>
      </c>
      <c r="M787" s="5">
        <v>42402.25</v>
      </c>
      <c r="N787" s="5">
        <v>42402.291666666664</v>
      </c>
      <c r="O787" s="4" t="s">
        <v>32</v>
      </c>
      <c r="P787" s="4" t="s">
        <v>33</v>
      </c>
      <c r="Q787" s="4" t="s">
        <v>50</v>
      </c>
      <c r="R787" s="4" t="s">
        <v>72</v>
      </c>
      <c r="S787" s="4" t="s">
        <v>72</v>
      </c>
      <c r="T787" s="4" t="s">
        <v>36</v>
      </c>
      <c r="U787" s="4" t="s">
        <v>37</v>
      </c>
      <c r="V787" s="4" t="s">
        <v>70</v>
      </c>
      <c r="W787" s="4" t="s">
        <v>37</v>
      </c>
      <c r="X787" s="4" t="s">
        <v>36</v>
      </c>
      <c r="Y787" s="4" t="s">
        <v>36</v>
      </c>
      <c r="Z787" s="4" t="s">
        <v>53</v>
      </c>
      <c r="AA787" s="4"/>
    </row>
    <row r="788" spans="1:27" s="1" customFormat="1" x14ac:dyDescent="0.3">
      <c r="A788" s="19">
        <v>18857</v>
      </c>
      <c r="B788" s="4" t="s">
        <v>73</v>
      </c>
      <c r="C788" s="4" t="s">
        <v>73</v>
      </c>
      <c r="D788" s="5">
        <v>42341.464594907404</v>
      </c>
      <c r="E788" s="5" t="s">
        <v>2079</v>
      </c>
      <c r="F788" s="4" t="s">
        <v>26</v>
      </c>
      <c r="G788" s="4" t="s">
        <v>74</v>
      </c>
      <c r="H788" s="4" t="s">
        <v>74</v>
      </c>
      <c r="I788" s="4" t="s">
        <v>75</v>
      </c>
      <c r="J788" s="4" t="s">
        <v>49</v>
      </c>
      <c r="K788" s="4" t="s">
        <v>31</v>
      </c>
      <c r="L788" s="5">
        <v>42398.875</v>
      </c>
      <c r="M788" s="5">
        <v>42398.958333333336</v>
      </c>
      <c r="N788" s="5">
        <v>42401.333333333336</v>
      </c>
      <c r="O788" s="4" t="s">
        <v>32</v>
      </c>
      <c r="P788" s="4" t="s">
        <v>33</v>
      </c>
      <c r="Q788" s="4" t="s">
        <v>76</v>
      </c>
      <c r="R788" s="6" t="s">
        <v>77</v>
      </c>
      <c r="S788" s="4" t="s">
        <v>78</v>
      </c>
      <c r="T788" s="4" t="s">
        <v>36</v>
      </c>
      <c r="U788" s="4" t="s">
        <v>37</v>
      </c>
      <c r="V788" s="4" t="s">
        <v>79</v>
      </c>
      <c r="W788" s="4" t="s">
        <v>37</v>
      </c>
      <c r="X788" s="4" t="s">
        <v>37</v>
      </c>
      <c r="Y788" s="4" t="s">
        <v>36</v>
      </c>
      <c r="Z788" s="4" t="s">
        <v>39</v>
      </c>
      <c r="AA788" s="4"/>
    </row>
    <row r="789" spans="1:27" s="1" customFormat="1" x14ac:dyDescent="0.3">
      <c r="A789" s="19">
        <v>18895</v>
      </c>
      <c r="B789" s="4" t="s">
        <v>67</v>
      </c>
      <c r="C789" s="4" t="e">
        <v>#N/A</v>
      </c>
      <c r="D789" s="5">
        <v>42345.451932870368</v>
      </c>
      <c r="E789" s="5" t="s">
        <v>2079</v>
      </c>
      <c r="F789" s="4" t="s">
        <v>26</v>
      </c>
      <c r="G789" s="4" t="s">
        <v>47</v>
      </c>
      <c r="H789" s="4" t="s">
        <v>47</v>
      </c>
      <c r="I789" s="4" t="s">
        <v>80</v>
      </c>
      <c r="J789" s="4" t="s">
        <v>49</v>
      </c>
      <c r="K789" s="4" t="s">
        <v>31</v>
      </c>
      <c r="L789" s="5">
        <v>42396.916666666664</v>
      </c>
      <c r="M789" s="5">
        <v>42397.25</v>
      </c>
      <c r="N789" s="5">
        <v>42397.291666666664</v>
      </c>
      <c r="O789" s="4" t="s">
        <v>32</v>
      </c>
      <c r="P789" s="4" t="s">
        <v>33</v>
      </c>
      <c r="Q789" s="4" t="s">
        <v>50</v>
      </c>
      <c r="R789" s="4" t="s">
        <v>81</v>
      </c>
      <c r="S789" s="4" t="s">
        <v>81</v>
      </c>
      <c r="T789" s="4" t="s">
        <v>36</v>
      </c>
      <c r="U789" s="4" t="s">
        <v>37</v>
      </c>
      <c r="V789" s="4" t="s">
        <v>70</v>
      </c>
      <c r="W789" s="4" t="s">
        <v>36</v>
      </c>
      <c r="X789" s="4" t="s">
        <v>37</v>
      </c>
      <c r="Y789" s="4" t="s">
        <v>36</v>
      </c>
      <c r="Z789" s="4" t="s">
        <v>53</v>
      </c>
      <c r="AA789" s="4"/>
    </row>
    <row r="790" spans="1:27" s="1" customFormat="1" x14ac:dyDescent="0.3">
      <c r="A790" s="19">
        <v>18911</v>
      </c>
      <c r="B790" s="4" t="s">
        <v>82</v>
      </c>
      <c r="C790" s="4" t="e">
        <v>#N/A</v>
      </c>
      <c r="D790" s="5">
        <v>42346.678113425929</v>
      </c>
      <c r="E790" s="5" t="s">
        <v>2079</v>
      </c>
      <c r="F790" s="4" t="s">
        <v>26</v>
      </c>
      <c r="G790" s="4" t="s">
        <v>47</v>
      </c>
      <c r="H790" s="4" t="s">
        <v>47</v>
      </c>
      <c r="I790" s="4" t="s">
        <v>83</v>
      </c>
      <c r="J790" s="4" t="s">
        <v>49</v>
      </c>
      <c r="K790" s="4" t="s">
        <v>31</v>
      </c>
      <c r="L790" s="5">
        <v>42403.916666666664</v>
      </c>
      <c r="M790" s="5">
        <v>42404.166666666664</v>
      </c>
      <c r="N790" s="5">
        <v>42404.208333333336</v>
      </c>
      <c r="O790" s="4" t="s">
        <v>32</v>
      </c>
      <c r="P790" s="4" t="s">
        <v>33</v>
      </c>
      <c r="Q790" s="4" t="s">
        <v>50</v>
      </c>
      <c r="R790" s="4" t="s">
        <v>84</v>
      </c>
      <c r="S790" s="4" t="s">
        <v>84</v>
      </c>
      <c r="T790" s="4" t="s">
        <v>36</v>
      </c>
      <c r="U790" s="4" t="s">
        <v>37</v>
      </c>
      <c r="V790" s="4" t="s">
        <v>52</v>
      </c>
      <c r="W790" s="4" t="s">
        <v>37</v>
      </c>
      <c r="X790" s="4" t="s">
        <v>37</v>
      </c>
      <c r="Y790" s="4" t="s">
        <v>37</v>
      </c>
      <c r="Z790" s="4" t="s">
        <v>53</v>
      </c>
      <c r="AA790" s="4"/>
    </row>
    <row r="791" spans="1:27" s="1" customFormat="1" x14ac:dyDescent="0.3">
      <c r="A791" s="19">
        <v>18922</v>
      </c>
      <c r="B791" s="4" t="s">
        <v>85</v>
      </c>
      <c r="C791" s="4">
        <v>0</v>
      </c>
      <c r="D791" s="5">
        <v>42347.545798611114</v>
      </c>
      <c r="E791" s="5" t="s">
        <v>2079</v>
      </c>
      <c r="F791" s="4" t="s">
        <v>26</v>
      </c>
      <c r="G791" s="4" t="s">
        <v>86</v>
      </c>
      <c r="H791" s="4" t="s">
        <v>87</v>
      </c>
      <c r="I791" s="4" t="s">
        <v>88</v>
      </c>
      <c r="J791" s="4" t="s">
        <v>30</v>
      </c>
      <c r="K791" s="4" t="s">
        <v>31</v>
      </c>
      <c r="L791" s="5">
        <v>42401.333333333336</v>
      </c>
      <c r="M791" s="5">
        <v>42401.458333333336</v>
      </c>
      <c r="N791" s="5">
        <v>42401.5</v>
      </c>
      <c r="O791" s="4" t="s">
        <v>32</v>
      </c>
      <c r="P791" s="4" t="s">
        <v>89</v>
      </c>
      <c r="Q791" s="4" t="s">
        <v>50</v>
      </c>
      <c r="R791" s="4" t="s">
        <v>90</v>
      </c>
      <c r="S791" s="4" t="s">
        <v>90</v>
      </c>
      <c r="T791" s="4" t="s">
        <v>37</v>
      </c>
      <c r="U791" s="4" t="s">
        <v>37</v>
      </c>
      <c r="V791" s="4" t="s">
        <v>91</v>
      </c>
      <c r="W791" s="4" t="s">
        <v>37</v>
      </c>
      <c r="X791" s="4" t="s">
        <v>37</v>
      </c>
      <c r="Y791" s="4" t="s">
        <v>37</v>
      </c>
      <c r="Z791" s="4" t="s">
        <v>92</v>
      </c>
      <c r="AA791" s="4" t="s">
        <v>93</v>
      </c>
    </row>
    <row r="792" spans="1:27" s="1" customFormat="1" x14ac:dyDescent="0.3">
      <c r="A792" s="19">
        <v>18923</v>
      </c>
      <c r="B792" s="4" t="s">
        <v>94</v>
      </c>
      <c r="C792" s="4">
        <v>0</v>
      </c>
      <c r="D792" s="5">
        <v>42347.659849537034</v>
      </c>
      <c r="E792" s="5" t="s">
        <v>2079</v>
      </c>
      <c r="F792" s="4" t="s">
        <v>26</v>
      </c>
      <c r="G792" s="4" t="s">
        <v>86</v>
      </c>
      <c r="H792" s="4" t="s">
        <v>87</v>
      </c>
      <c r="I792" s="4" t="s">
        <v>88</v>
      </c>
      <c r="J792" s="4" t="s">
        <v>30</v>
      </c>
      <c r="K792" s="4" t="s">
        <v>31</v>
      </c>
      <c r="L792" s="5">
        <v>42401.541666666664</v>
      </c>
      <c r="M792" s="5">
        <v>42401.625</v>
      </c>
      <c r="N792" s="5">
        <v>42401.666666666664</v>
      </c>
      <c r="O792" s="4" t="s">
        <v>32</v>
      </c>
      <c r="P792" s="4" t="s">
        <v>89</v>
      </c>
      <c r="Q792" s="4" t="s">
        <v>50</v>
      </c>
      <c r="R792" s="4" t="s">
        <v>95</v>
      </c>
      <c r="S792" s="4" t="s">
        <v>95</v>
      </c>
      <c r="T792" s="4" t="s">
        <v>37</v>
      </c>
      <c r="U792" s="4" t="s">
        <v>37</v>
      </c>
      <c r="V792" s="4" t="s">
        <v>91</v>
      </c>
      <c r="W792" s="4" t="s">
        <v>37</v>
      </c>
      <c r="X792" s="4" t="s">
        <v>37</v>
      </c>
      <c r="Y792" s="4" t="s">
        <v>37</v>
      </c>
      <c r="Z792" s="4" t="s">
        <v>96</v>
      </c>
      <c r="AA792" s="4" t="s">
        <v>93</v>
      </c>
    </row>
    <row r="793" spans="1:27" s="1" customFormat="1" x14ac:dyDescent="0.3">
      <c r="A793" s="19">
        <v>18931</v>
      </c>
      <c r="B793" s="4" t="s">
        <v>97</v>
      </c>
      <c r="C793" s="4" t="e">
        <v>#N/A</v>
      </c>
      <c r="D793" s="5">
        <v>42348.441099537034</v>
      </c>
      <c r="E793" s="5" t="s">
        <v>2079</v>
      </c>
      <c r="F793" s="4" t="s">
        <v>26</v>
      </c>
      <c r="G793" s="4" t="s">
        <v>98</v>
      </c>
      <c r="H793" s="4" t="s">
        <v>98</v>
      </c>
      <c r="I793" s="4" t="s">
        <v>88</v>
      </c>
      <c r="J793" s="4" t="s">
        <v>99</v>
      </c>
      <c r="K793" s="4" t="s">
        <v>31</v>
      </c>
      <c r="L793" s="5">
        <v>42383.833333333336</v>
      </c>
      <c r="M793" s="5">
        <v>42386.25</v>
      </c>
      <c r="N793" s="5">
        <v>42386.25</v>
      </c>
      <c r="O793" s="4" t="s">
        <v>32</v>
      </c>
      <c r="P793" s="4" t="s">
        <v>89</v>
      </c>
      <c r="Q793" s="4" t="s">
        <v>34</v>
      </c>
      <c r="R793" s="6" t="s">
        <v>77</v>
      </c>
      <c r="S793" s="6" t="s">
        <v>77</v>
      </c>
      <c r="T793" s="4" t="s">
        <v>36</v>
      </c>
      <c r="U793" s="4" t="s">
        <v>37</v>
      </c>
      <c r="V793" s="4" t="s">
        <v>100</v>
      </c>
      <c r="W793" s="4"/>
      <c r="X793" s="4"/>
      <c r="Y793" s="4"/>
      <c r="Z793" s="4" t="s">
        <v>101</v>
      </c>
      <c r="AA793" s="4" t="s">
        <v>102</v>
      </c>
    </row>
    <row r="794" spans="1:27" s="1" customFormat="1" x14ac:dyDescent="0.3">
      <c r="A794" s="19">
        <v>18932</v>
      </c>
      <c r="B794" s="4" t="s">
        <v>103</v>
      </c>
      <c r="C794" s="4" t="e">
        <v>#N/A</v>
      </c>
      <c r="D794" s="5">
        <v>42348.462962962964</v>
      </c>
      <c r="E794" s="5" t="s">
        <v>2079</v>
      </c>
      <c r="F794" s="4" t="s">
        <v>26</v>
      </c>
      <c r="G794" s="4" t="s">
        <v>47</v>
      </c>
      <c r="H794" s="4" t="s">
        <v>47</v>
      </c>
      <c r="I794" s="4" t="s">
        <v>83</v>
      </c>
      <c r="J794" s="4" t="s">
        <v>49</v>
      </c>
      <c r="K794" s="4" t="s">
        <v>31</v>
      </c>
      <c r="L794" s="5">
        <v>42404.916666666664</v>
      </c>
      <c r="M794" s="5">
        <v>42405.208333333336</v>
      </c>
      <c r="N794" s="5">
        <v>42405.25</v>
      </c>
      <c r="O794" s="4" t="s">
        <v>32</v>
      </c>
      <c r="P794" s="4" t="s">
        <v>33</v>
      </c>
      <c r="Q794" s="4" t="s">
        <v>50</v>
      </c>
      <c r="R794" s="4" t="s">
        <v>104</v>
      </c>
      <c r="S794" s="4" t="s">
        <v>104</v>
      </c>
      <c r="T794" s="4" t="s">
        <v>36</v>
      </c>
      <c r="U794" s="4" t="s">
        <v>37</v>
      </c>
      <c r="V794" s="4" t="s">
        <v>52</v>
      </c>
      <c r="W794" s="4" t="s">
        <v>37</v>
      </c>
      <c r="X794" s="4" t="s">
        <v>37</v>
      </c>
      <c r="Y794" s="4" t="s">
        <v>36</v>
      </c>
      <c r="Z794" s="4" t="s">
        <v>53</v>
      </c>
      <c r="AA794" s="4"/>
    </row>
    <row r="795" spans="1:27" s="1" customFormat="1" x14ac:dyDescent="0.3">
      <c r="A795" s="19">
        <v>18933</v>
      </c>
      <c r="B795" s="4" t="s">
        <v>105</v>
      </c>
      <c r="C795" s="4" t="e">
        <v>#N/A</v>
      </c>
      <c r="D795" s="5">
        <v>42348.498541666668</v>
      </c>
      <c r="E795" s="5" t="s">
        <v>2079</v>
      </c>
      <c r="F795" s="4" t="s">
        <v>26</v>
      </c>
      <c r="G795" s="4" t="s">
        <v>47</v>
      </c>
      <c r="H795" s="4" t="s">
        <v>47</v>
      </c>
      <c r="I795" s="4" t="s">
        <v>83</v>
      </c>
      <c r="J795" s="4" t="s">
        <v>49</v>
      </c>
      <c r="K795" s="4" t="s">
        <v>31</v>
      </c>
      <c r="L795" s="5">
        <v>42411.916666666664</v>
      </c>
      <c r="M795" s="5">
        <v>42412.208333333336</v>
      </c>
      <c r="N795" s="5">
        <v>42412.25</v>
      </c>
      <c r="O795" s="4" t="s">
        <v>32</v>
      </c>
      <c r="P795" s="4" t="s">
        <v>33</v>
      </c>
      <c r="Q795" s="4" t="s">
        <v>50</v>
      </c>
      <c r="R795" s="4" t="s">
        <v>106</v>
      </c>
      <c r="S795" s="4" t="s">
        <v>106</v>
      </c>
      <c r="T795" s="4" t="s">
        <v>36</v>
      </c>
      <c r="U795" s="4" t="s">
        <v>37</v>
      </c>
      <c r="V795" s="4" t="s">
        <v>52</v>
      </c>
      <c r="W795" s="4" t="s">
        <v>37</v>
      </c>
      <c r="X795" s="4" t="s">
        <v>37</v>
      </c>
      <c r="Y795" s="4" t="s">
        <v>36</v>
      </c>
      <c r="Z795" s="4" t="s">
        <v>53</v>
      </c>
      <c r="AA795" s="4"/>
    </row>
    <row r="796" spans="1:27" s="1" customFormat="1" x14ac:dyDescent="0.3">
      <c r="A796" s="19">
        <v>18934</v>
      </c>
      <c r="B796" s="4" t="s">
        <v>107</v>
      </c>
      <c r="C796" s="4" t="e">
        <v>#N/A</v>
      </c>
      <c r="D796" s="5">
        <v>42348.516006944446</v>
      </c>
      <c r="E796" s="5" t="s">
        <v>2079</v>
      </c>
      <c r="F796" s="4" t="s">
        <v>26</v>
      </c>
      <c r="G796" s="4" t="s">
        <v>47</v>
      </c>
      <c r="H796" s="4" t="s">
        <v>47</v>
      </c>
      <c r="I796" s="4" t="s">
        <v>83</v>
      </c>
      <c r="J796" s="4" t="s">
        <v>49</v>
      </c>
      <c r="K796" s="4" t="s">
        <v>31</v>
      </c>
      <c r="L796" s="5">
        <v>42415.916666666664</v>
      </c>
      <c r="M796" s="5">
        <v>42416.208333333336</v>
      </c>
      <c r="N796" s="5">
        <v>42416.25</v>
      </c>
      <c r="O796" s="4" t="s">
        <v>32</v>
      </c>
      <c r="P796" s="4" t="s">
        <v>33</v>
      </c>
      <c r="Q796" s="4" t="s">
        <v>50</v>
      </c>
      <c r="R796" s="4" t="s">
        <v>108</v>
      </c>
      <c r="S796" s="4" t="s">
        <v>108</v>
      </c>
      <c r="T796" s="4" t="s">
        <v>36</v>
      </c>
      <c r="U796" s="4" t="s">
        <v>37</v>
      </c>
      <c r="V796" s="4" t="s">
        <v>52</v>
      </c>
      <c r="W796" s="4" t="s">
        <v>37</v>
      </c>
      <c r="X796" s="4" t="s">
        <v>37</v>
      </c>
      <c r="Y796" s="4" t="s">
        <v>37</v>
      </c>
      <c r="Z796" s="4" t="s">
        <v>53</v>
      </c>
      <c r="AA796" s="4"/>
    </row>
    <row r="797" spans="1:27" s="1" customFormat="1" x14ac:dyDescent="0.3">
      <c r="A797" s="19">
        <v>18935</v>
      </c>
      <c r="B797" s="4" t="s">
        <v>109</v>
      </c>
      <c r="C797" s="4" t="e">
        <v>#N/A</v>
      </c>
      <c r="D797" s="5">
        <v>42348.530798611115</v>
      </c>
      <c r="E797" s="5" t="s">
        <v>2079</v>
      </c>
      <c r="F797" s="4" t="s">
        <v>26</v>
      </c>
      <c r="G797" s="4" t="s">
        <v>47</v>
      </c>
      <c r="H797" s="4" t="s">
        <v>47</v>
      </c>
      <c r="I797" s="4" t="s">
        <v>83</v>
      </c>
      <c r="J797" s="4" t="s">
        <v>49</v>
      </c>
      <c r="K797" s="4" t="s">
        <v>31</v>
      </c>
      <c r="L797" s="5">
        <v>42417.916666666664</v>
      </c>
      <c r="M797" s="5">
        <v>42418.208333333336</v>
      </c>
      <c r="N797" s="5">
        <v>42418.25</v>
      </c>
      <c r="O797" s="4" t="s">
        <v>32</v>
      </c>
      <c r="P797" s="4" t="s">
        <v>33</v>
      </c>
      <c r="Q797" s="4" t="s">
        <v>50</v>
      </c>
      <c r="R797" s="4" t="s">
        <v>110</v>
      </c>
      <c r="S797" s="4" t="s">
        <v>110</v>
      </c>
      <c r="T797" s="4" t="s">
        <v>36</v>
      </c>
      <c r="U797" s="4" t="s">
        <v>37</v>
      </c>
      <c r="V797" s="4" t="s">
        <v>52</v>
      </c>
      <c r="W797" s="4" t="s">
        <v>37</v>
      </c>
      <c r="X797" s="4" t="s">
        <v>37</v>
      </c>
      <c r="Y797" s="4" t="s">
        <v>36</v>
      </c>
      <c r="Z797" s="4" t="s">
        <v>53</v>
      </c>
      <c r="AA797" s="4"/>
    </row>
    <row r="798" spans="1:27" s="1" customFormat="1" x14ac:dyDescent="0.3">
      <c r="A798" s="19">
        <v>18939</v>
      </c>
      <c r="B798" s="4" t="s">
        <v>109</v>
      </c>
      <c r="C798" s="4" t="e">
        <v>#N/A</v>
      </c>
      <c r="D798" s="5">
        <v>42348.629756944443</v>
      </c>
      <c r="E798" s="5" t="s">
        <v>2079</v>
      </c>
      <c r="F798" s="4" t="s">
        <v>26</v>
      </c>
      <c r="G798" s="4" t="s">
        <v>47</v>
      </c>
      <c r="H798" s="4" t="s">
        <v>47</v>
      </c>
      <c r="I798" s="4" t="s">
        <v>83</v>
      </c>
      <c r="J798" s="4" t="s">
        <v>49</v>
      </c>
      <c r="K798" s="4" t="s">
        <v>31</v>
      </c>
      <c r="L798" s="5">
        <v>42418.916666666664</v>
      </c>
      <c r="M798" s="5">
        <v>42419.208333333336</v>
      </c>
      <c r="N798" s="5">
        <v>42419.25</v>
      </c>
      <c r="O798" s="4" t="s">
        <v>32</v>
      </c>
      <c r="P798" s="4" t="s">
        <v>33</v>
      </c>
      <c r="Q798" s="4" t="s">
        <v>50</v>
      </c>
      <c r="R798" s="4" t="s">
        <v>111</v>
      </c>
      <c r="S798" s="4" t="s">
        <v>111</v>
      </c>
      <c r="T798" s="4" t="s">
        <v>36</v>
      </c>
      <c r="U798" s="4" t="s">
        <v>37</v>
      </c>
      <c r="V798" s="4" t="s">
        <v>52</v>
      </c>
      <c r="W798" s="4" t="s">
        <v>37</v>
      </c>
      <c r="X798" s="4" t="s">
        <v>37</v>
      </c>
      <c r="Y798" s="4" t="s">
        <v>37</v>
      </c>
      <c r="Z798" s="4" t="s">
        <v>53</v>
      </c>
      <c r="AA798" s="4"/>
    </row>
    <row r="799" spans="1:27" s="1" customFormat="1" x14ac:dyDescent="0.3">
      <c r="A799" s="19">
        <v>18942</v>
      </c>
      <c r="B799" s="4" t="s">
        <v>54</v>
      </c>
      <c r="C799" s="4" t="e">
        <v>#N/A</v>
      </c>
      <c r="D799" s="5">
        <v>42348.687048611115</v>
      </c>
      <c r="E799" s="5" t="s">
        <v>2079</v>
      </c>
      <c r="F799" s="4" t="s">
        <v>26</v>
      </c>
      <c r="G799" s="4" t="s">
        <v>47</v>
      </c>
      <c r="H799" s="4" t="s">
        <v>47</v>
      </c>
      <c r="I799" s="4" t="s">
        <v>83</v>
      </c>
      <c r="J799" s="4" t="s">
        <v>49</v>
      </c>
      <c r="K799" s="4" t="s">
        <v>31</v>
      </c>
      <c r="L799" s="5">
        <v>42422.916666666664</v>
      </c>
      <c r="M799" s="5">
        <v>42423.208333333336</v>
      </c>
      <c r="N799" s="5">
        <v>42423.25</v>
      </c>
      <c r="O799" s="4" t="s">
        <v>32</v>
      </c>
      <c r="P799" s="4" t="s">
        <v>33</v>
      </c>
      <c r="Q799" s="4" t="s">
        <v>50</v>
      </c>
      <c r="R799" s="4" t="s">
        <v>112</v>
      </c>
      <c r="S799" s="4" t="s">
        <v>112</v>
      </c>
      <c r="T799" s="4" t="s">
        <v>36</v>
      </c>
      <c r="U799" s="4" t="s">
        <v>37</v>
      </c>
      <c r="V799" s="4" t="s">
        <v>52</v>
      </c>
      <c r="W799" s="4" t="s">
        <v>37</v>
      </c>
      <c r="X799" s="4" t="s">
        <v>37</v>
      </c>
      <c r="Y799" s="4" t="s">
        <v>37</v>
      </c>
      <c r="Z799" s="4" t="s">
        <v>53</v>
      </c>
      <c r="AA799" s="4"/>
    </row>
    <row r="800" spans="1:27" s="1" customFormat="1" x14ac:dyDescent="0.3">
      <c r="A800" s="19">
        <v>18943</v>
      </c>
      <c r="B800" s="4" t="s">
        <v>113</v>
      </c>
      <c r="C800" s="4" t="e">
        <v>#N/A</v>
      </c>
      <c r="D800" s="5">
        <v>42348.700370370374</v>
      </c>
      <c r="E800" s="5" t="s">
        <v>2079</v>
      </c>
      <c r="F800" s="4" t="s">
        <v>26</v>
      </c>
      <c r="G800" s="4" t="s">
        <v>47</v>
      </c>
      <c r="H800" s="4" t="s">
        <v>47</v>
      </c>
      <c r="I800" s="4" t="s">
        <v>83</v>
      </c>
      <c r="J800" s="4" t="s">
        <v>49</v>
      </c>
      <c r="K800" s="4" t="s">
        <v>31</v>
      </c>
      <c r="L800" s="5">
        <v>42424.916666666664</v>
      </c>
      <c r="M800" s="5">
        <v>42425.208333333336</v>
      </c>
      <c r="N800" s="5">
        <v>42425.25</v>
      </c>
      <c r="O800" s="4" t="s">
        <v>32</v>
      </c>
      <c r="P800" s="4" t="s">
        <v>33</v>
      </c>
      <c r="Q800" s="4" t="s">
        <v>50</v>
      </c>
      <c r="R800" s="4" t="s">
        <v>114</v>
      </c>
      <c r="S800" s="4" t="s">
        <v>114</v>
      </c>
      <c r="T800" s="4" t="s">
        <v>36</v>
      </c>
      <c r="U800" s="4" t="s">
        <v>37</v>
      </c>
      <c r="V800" s="4" t="s">
        <v>52</v>
      </c>
      <c r="W800" s="4" t="s">
        <v>37</v>
      </c>
      <c r="X800" s="4" t="s">
        <v>37</v>
      </c>
      <c r="Y800" s="4" t="s">
        <v>36</v>
      </c>
      <c r="Z800" s="4" t="s">
        <v>53</v>
      </c>
      <c r="AA800" s="4"/>
    </row>
    <row r="801" spans="1:27" s="1" customFormat="1" x14ac:dyDescent="0.3">
      <c r="A801" s="19">
        <v>18961</v>
      </c>
      <c r="B801" s="4" t="s">
        <v>115</v>
      </c>
      <c r="C801" s="4" t="e">
        <v>#N/A</v>
      </c>
      <c r="D801" s="5">
        <v>42352.616053240738</v>
      </c>
      <c r="E801" s="5" t="s">
        <v>2079</v>
      </c>
      <c r="F801" s="4" t="s">
        <v>26</v>
      </c>
      <c r="G801" s="4" t="s">
        <v>116</v>
      </c>
      <c r="H801" s="4" t="s">
        <v>117</v>
      </c>
      <c r="I801" s="4" t="s">
        <v>118</v>
      </c>
      <c r="J801" s="4" t="s">
        <v>30</v>
      </c>
      <c r="K801" s="4" t="s">
        <v>31</v>
      </c>
      <c r="L801" s="5">
        <v>42375.5</v>
      </c>
      <c r="M801" s="5">
        <v>42376.208333333336</v>
      </c>
      <c r="N801" s="5">
        <v>42376.291666666664</v>
      </c>
      <c r="O801" s="4" t="s">
        <v>32</v>
      </c>
      <c r="P801" s="4" t="s">
        <v>33</v>
      </c>
      <c r="Q801" s="4" t="s">
        <v>119</v>
      </c>
      <c r="R801" s="4" t="s">
        <v>120</v>
      </c>
      <c r="S801" s="4" t="s">
        <v>120</v>
      </c>
      <c r="T801" s="4" t="s">
        <v>37</v>
      </c>
      <c r="U801" s="4" t="s">
        <v>37</v>
      </c>
      <c r="V801" s="4" t="s">
        <v>121</v>
      </c>
      <c r="W801" s="4" t="s">
        <v>37</v>
      </c>
      <c r="X801" s="4" t="s">
        <v>37</v>
      </c>
      <c r="Y801" s="4" t="s">
        <v>36</v>
      </c>
      <c r="Z801" s="4" t="s">
        <v>53</v>
      </c>
      <c r="AA801" s="4" t="s">
        <v>40</v>
      </c>
    </row>
    <row r="802" spans="1:27" s="1" customFormat="1" x14ac:dyDescent="0.3">
      <c r="A802" s="19">
        <v>18973</v>
      </c>
      <c r="B802" s="4" t="s">
        <v>131</v>
      </c>
      <c r="C802" s="4" t="e">
        <v>#N/A</v>
      </c>
      <c r="D802" s="5">
        <v>42354.324629629627</v>
      </c>
      <c r="E802" s="5" t="s">
        <v>2079</v>
      </c>
      <c r="F802" s="4" t="s">
        <v>26</v>
      </c>
      <c r="G802" s="4" t="s">
        <v>132</v>
      </c>
      <c r="H802" s="4" t="s">
        <v>133</v>
      </c>
      <c r="I802" s="4" t="s">
        <v>42</v>
      </c>
      <c r="J802" s="4" t="s">
        <v>49</v>
      </c>
      <c r="K802" s="4" t="s">
        <v>31</v>
      </c>
      <c r="L802" s="5">
        <v>42380.916666666664</v>
      </c>
      <c r="M802" s="5">
        <v>42381.166666666664</v>
      </c>
      <c r="N802" s="5">
        <v>42381.208333333336</v>
      </c>
      <c r="O802" s="4" t="s">
        <v>32</v>
      </c>
      <c r="P802" s="4" t="s">
        <v>33</v>
      </c>
      <c r="Q802" s="4" t="s">
        <v>50</v>
      </c>
      <c r="R802" s="4" t="s">
        <v>134</v>
      </c>
      <c r="S802" s="4" t="s">
        <v>134</v>
      </c>
      <c r="T802" s="4" t="s">
        <v>36</v>
      </c>
      <c r="U802" s="4" t="s">
        <v>37</v>
      </c>
      <c r="V802" s="4" t="s">
        <v>135</v>
      </c>
      <c r="W802" s="4" t="s">
        <v>37</v>
      </c>
      <c r="X802" s="4" t="s">
        <v>37</v>
      </c>
      <c r="Y802" s="4" t="s">
        <v>36</v>
      </c>
      <c r="Z802" s="4" t="s">
        <v>53</v>
      </c>
      <c r="AA802" s="4"/>
    </row>
    <row r="803" spans="1:27" s="1" customFormat="1" x14ac:dyDescent="0.3">
      <c r="A803" s="19">
        <v>18974</v>
      </c>
      <c r="B803" s="4" t="s">
        <v>136</v>
      </c>
      <c r="C803" s="4" t="e">
        <v>#N/A</v>
      </c>
      <c r="D803" s="5">
        <v>42354.363703703704</v>
      </c>
      <c r="E803" s="5" t="s">
        <v>2079</v>
      </c>
      <c r="F803" s="4" t="s">
        <v>26</v>
      </c>
      <c r="G803" s="4" t="s">
        <v>132</v>
      </c>
      <c r="H803" s="4" t="s">
        <v>132</v>
      </c>
      <c r="I803" s="4" t="s">
        <v>42</v>
      </c>
      <c r="J803" s="4" t="s">
        <v>49</v>
      </c>
      <c r="K803" s="4" t="s">
        <v>31</v>
      </c>
      <c r="L803" s="5">
        <v>42381.916666666664</v>
      </c>
      <c r="M803" s="5">
        <v>42382.083333333336</v>
      </c>
      <c r="N803" s="5">
        <v>42382.125</v>
      </c>
      <c r="O803" s="4" t="s">
        <v>32</v>
      </c>
      <c r="P803" s="4" t="s">
        <v>33</v>
      </c>
      <c r="Q803" s="4" t="s">
        <v>50</v>
      </c>
      <c r="R803" s="4" t="s">
        <v>137</v>
      </c>
      <c r="S803" s="4" t="s">
        <v>137</v>
      </c>
      <c r="T803" s="4" t="s">
        <v>36</v>
      </c>
      <c r="U803" s="4" t="s">
        <v>37</v>
      </c>
      <c r="V803" s="4" t="s">
        <v>135</v>
      </c>
      <c r="W803" s="4" t="s">
        <v>37</v>
      </c>
      <c r="X803" s="4" t="s">
        <v>37</v>
      </c>
      <c r="Y803" s="4" t="s">
        <v>36</v>
      </c>
      <c r="Z803" s="4" t="s">
        <v>53</v>
      </c>
      <c r="AA803" s="4"/>
    </row>
    <row r="804" spans="1:27" s="1" customFormat="1" x14ac:dyDescent="0.3">
      <c r="A804" s="19">
        <v>18975</v>
      </c>
      <c r="B804" s="4" t="s">
        <v>109</v>
      </c>
      <c r="C804" s="4" t="e">
        <v>#N/A</v>
      </c>
      <c r="D804" s="5">
        <v>42354.375092592592</v>
      </c>
      <c r="E804" s="5" t="s">
        <v>2079</v>
      </c>
      <c r="F804" s="4" t="s">
        <v>26</v>
      </c>
      <c r="G804" s="4" t="s">
        <v>132</v>
      </c>
      <c r="H804" s="4" t="s">
        <v>133</v>
      </c>
      <c r="I804" s="4" t="s">
        <v>42</v>
      </c>
      <c r="J804" s="4" t="s">
        <v>49</v>
      </c>
      <c r="K804" s="4" t="s">
        <v>31</v>
      </c>
      <c r="L804" s="5">
        <v>42382.916666666664</v>
      </c>
      <c r="M804" s="5">
        <v>42383.166666666664</v>
      </c>
      <c r="N804" s="5">
        <v>42383.208333333336</v>
      </c>
      <c r="O804" s="4" t="s">
        <v>32</v>
      </c>
      <c r="P804" s="4" t="s">
        <v>33</v>
      </c>
      <c r="Q804" s="4" t="s">
        <v>50</v>
      </c>
      <c r="R804" s="4" t="s">
        <v>138</v>
      </c>
      <c r="S804" s="4" t="s">
        <v>138</v>
      </c>
      <c r="T804" s="4" t="s">
        <v>36</v>
      </c>
      <c r="U804" s="4" t="s">
        <v>37</v>
      </c>
      <c r="V804" s="4" t="s">
        <v>135</v>
      </c>
      <c r="W804" s="4" t="s">
        <v>37</v>
      </c>
      <c r="X804" s="4" t="s">
        <v>37</v>
      </c>
      <c r="Y804" s="4" t="s">
        <v>36</v>
      </c>
      <c r="Z804" s="4" t="s">
        <v>53</v>
      </c>
      <c r="AA804" s="4"/>
    </row>
    <row r="805" spans="1:27" s="1" customFormat="1" x14ac:dyDescent="0.3">
      <c r="A805" s="19">
        <v>18976</v>
      </c>
      <c r="B805" s="4" t="s">
        <v>139</v>
      </c>
      <c r="C805" s="4" t="e">
        <v>#N/A</v>
      </c>
      <c r="D805" s="5">
        <v>42354.41983796296</v>
      </c>
      <c r="E805" s="5" t="s">
        <v>2079</v>
      </c>
      <c r="F805" s="4" t="s">
        <v>26</v>
      </c>
      <c r="G805" s="4" t="s">
        <v>140</v>
      </c>
      <c r="H805" s="4" t="s">
        <v>140</v>
      </c>
      <c r="I805" s="4" t="s">
        <v>29</v>
      </c>
      <c r="J805" s="4" t="s">
        <v>141</v>
      </c>
      <c r="K805" s="4" t="s">
        <v>31</v>
      </c>
      <c r="L805" s="5">
        <v>42378.916666666664</v>
      </c>
      <c r="M805" s="5">
        <v>42379.25</v>
      </c>
      <c r="N805" s="5">
        <v>42379.25</v>
      </c>
      <c r="O805" s="4" t="s">
        <v>32</v>
      </c>
      <c r="P805" s="4" t="s">
        <v>33</v>
      </c>
      <c r="Q805" s="4" t="s">
        <v>76</v>
      </c>
      <c r="R805" s="6" t="s">
        <v>77</v>
      </c>
      <c r="S805" s="4" t="s">
        <v>142</v>
      </c>
      <c r="T805" s="4" t="s">
        <v>36</v>
      </c>
      <c r="U805" s="4" t="s">
        <v>37</v>
      </c>
      <c r="V805" s="4" t="s">
        <v>143</v>
      </c>
      <c r="W805" s="4"/>
      <c r="X805" s="4"/>
      <c r="Y805" s="4"/>
      <c r="Z805" s="4" t="s">
        <v>53</v>
      </c>
      <c r="AA805" s="4" t="s">
        <v>144</v>
      </c>
    </row>
    <row r="806" spans="1:27" s="1" customFormat="1" x14ac:dyDescent="0.3">
      <c r="A806" s="19">
        <v>19004</v>
      </c>
      <c r="B806" s="4" t="s">
        <v>145</v>
      </c>
      <c r="C806" s="4" t="e">
        <v>#N/A</v>
      </c>
      <c r="D806" s="5">
        <v>42360.344456018516</v>
      </c>
      <c r="E806" s="5" t="s">
        <v>2079</v>
      </c>
      <c r="F806" s="4" t="s">
        <v>26</v>
      </c>
      <c r="G806" s="4" t="s">
        <v>146</v>
      </c>
      <c r="H806" s="4" t="s">
        <v>147</v>
      </c>
      <c r="I806" s="4" t="s">
        <v>48</v>
      </c>
      <c r="J806" s="4" t="s">
        <v>148</v>
      </c>
      <c r="K806" s="4" t="s">
        <v>31</v>
      </c>
      <c r="L806" s="5">
        <v>42381.916666666664</v>
      </c>
      <c r="M806" s="5">
        <v>42382.083333333336</v>
      </c>
      <c r="N806" s="5">
        <v>42382.125</v>
      </c>
      <c r="O806" s="4" t="s">
        <v>32</v>
      </c>
      <c r="P806" s="4" t="s">
        <v>149</v>
      </c>
      <c r="Q806" s="4" t="s">
        <v>76</v>
      </c>
      <c r="R806" s="6" t="s">
        <v>77</v>
      </c>
      <c r="S806" s="6" t="s">
        <v>77</v>
      </c>
      <c r="T806" s="4" t="s">
        <v>37</v>
      </c>
      <c r="U806" s="4" t="s">
        <v>37</v>
      </c>
      <c r="V806" s="4" t="s">
        <v>150</v>
      </c>
      <c r="W806" s="4" t="s">
        <v>37</v>
      </c>
      <c r="X806" s="4" t="s">
        <v>37</v>
      </c>
      <c r="Y806" s="4" t="s">
        <v>37</v>
      </c>
      <c r="Z806" s="4" t="s">
        <v>53</v>
      </c>
      <c r="AA806" s="4"/>
    </row>
    <row r="807" spans="1:27" s="1" customFormat="1" x14ac:dyDescent="0.3">
      <c r="A807" s="19">
        <v>19006</v>
      </c>
      <c r="B807" s="4" t="s">
        <v>151</v>
      </c>
      <c r="C807" s="4" t="e">
        <v>#N/A</v>
      </c>
      <c r="D807" s="5">
        <v>42360.414733796293</v>
      </c>
      <c r="E807" s="5" t="s">
        <v>2079</v>
      </c>
      <c r="F807" s="4" t="s">
        <v>26</v>
      </c>
      <c r="G807" s="4" t="s">
        <v>152</v>
      </c>
      <c r="H807" s="4" t="s">
        <v>152</v>
      </c>
      <c r="I807" s="4" t="s">
        <v>153</v>
      </c>
      <c r="J807" s="4" t="s">
        <v>154</v>
      </c>
      <c r="K807" s="4" t="s">
        <v>31</v>
      </c>
      <c r="L807" s="5">
        <v>42378</v>
      </c>
      <c r="M807" s="5">
        <v>42378.013888888891</v>
      </c>
      <c r="N807" s="5">
        <v>42378.041666666664</v>
      </c>
      <c r="O807" s="4" t="s">
        <v>32</v>
      </c>
      <c r="P807" s="4" t="s">
        <v>33</v>
      </c>
      <c r="Q807" s="4" t="s">
        <v>50</v>
      </c>
      <c r="R807" s="6" t="s">
        <v>77</v>
      </c>
      <c r="S807" s="4" t="s">
        <v>155</v>
      </c>
      <c r="T807" s="4" t="s">
        <v>37</v>
      </c>
      <c r="U807" s="4" t="s">
        <v>37</v>
      </c>
      <c r="V807" s="4" t="s">
        <v>156</v>
      </c>
      <c r="W807" s="4" t="s">
        <v>37</v>
      </c>
      <c r="X807" s="4" t="s">
        <v>37</v>
      </c>
      <c r="Y807" s="4" t="s">
        <v>37</v>
      </c>
      <c r="Z807" s="4" t="s">
        <v>53</v>
      </c>
      <c r="AA807" s="4" t="s">
        <v>157</v>
      </c>
    </row>
    <row r="808" spans="1:27" s="1" customFormat="1" x14ac:dyDescent="0.3">
      <c r="A808" s="19">
        <v>19007</v>
      </c>
      <c r="B808" s="4" t="s">
        <v>159</v>
      </c>
      <c r="C808" s="4" t="e">
        <v>#N/A</v>
      </c>
      <c r="D808" s="5">
        <v>42360.559062499997</v>
      </c>
      <c r="E808" s="5" t="s">
        <v>2079</v>
      </c>
      <c r="F808" s="4" t="s">
        <v>26</v>
      </c>
      <c r="G808" s="4" t="s">
        <v>160</v>
      </c>
      <c r="H808" s="4" t="s">
        <v>160</v>
      </c>
      <c r="I808" s="4" t="s">
        <v>161</v>
      </c>
      <c r="J808" s="4" t="s">
        <v>162</v>
      </c>
      <c r="K808" s="4" t="s">
        <v>31</v>
      </c>
      <c r="L808" s="5">
        <v>42378.916666666664</v>
      </c>
      <c r="M808" s="5">
        <v>42379.291666666664</v>
      </c>
      <c r="N808" s="5">
        <v>42379.5</v>
      </c>
      <c r="O808" s="4" t="s">
        <v>32</v>
      </c>
      <c r="P808" s="4" t="s">
        <v>89</v>
      </c>
      <c r="Q808" s="4" t="s">
        <v>50</v>
      </c>
      <c r="R808" s="6" t="s">
        <v>77</v>
      </c>
      <c r="S808" s="4" t="s">
        <v>163</v>
      </c>
      <c r="T808" s="4" t="s">
        <v>36</v>
      </c>
      <c r="U808" s="4" t="s">
        <v>37</v>
      </c>
      <c r="V808" s="4" t="s">
        <v>164</v>
      </c>
      <c r="W808" s="4" t="s">
        <v>37</v>
      </c>
      <c r="X808" s="4" t="s">
        <v>37</v>
      </c>
      <c r="Y808" s="4" t="s">
        <v>37</v>
      </c>
      <c r="Z808" s="4" t="s">
        <v>165</v>
      </c>
      <c r="AA808" s="4"/>
    </row>
    <row r="809" spans="1:27" s="1" customFormat="1" x14ac:dyDescent="0.3">
      <c r="A809" s="19">
        <v>19012</v>
      </c>
      <c r="B809" s="4" t="s">
        <v>139</v>
      </c>
      <c r="C809" s="4" t="e">
        <v>#N/A</v>
      </c>
      <c r="D809" s="5">
        <v>42361.600104166668</v>
      </c>
      <c r="E809" s="5" t="s">
        <v>2079</v>
      </c>
      <c r="F809" s="4" t="s">
        <v>26</v>
      </c>
      <c r="G809" s="4" t="s">
        <v>140</v>
      </c>
      <c r="H809" s="4" t="s">
        <v>140</v>
      </c>
      <c r="I809" s="4" t="s">
        <v>29</v>
      </c>
      <c r="J809" s="4" t="s">
        <v>141</v>
      </c>
      <c r="K809" s="4" t="s">
        <v>31</v>
      </c>
      <c r="L809" s="5">
        <v>42378.25</v>
      </c>
      <c r="M809" s="5">
        <v>42386.916666666664</v>
      </c>
      <c r="N809" s="5">
        <v>42387.25</v>
      </c>
      <c r="O809" s="4" t="s">
        <v>32</v>
      </c>
      <c r="P809" s="4" t="s">
        <v>33</v>
      </c>
      <c r="Q809" s="4" t="s">
        <v>50</v>
      </c>
      <c r="R809" s="6" t="s">
        <v>77</v>
      </c>
      <c r="S809" s="4" t="s">
        <v>142</v>
      </c>
      <c r="T809" s="4" t="s">
        <v>37</v>
      </c>
      <c r="U809" s="4" t="s">
        <v>37</v>
      </c>
      <c r="V809" s="4" t="s">
        <v>143</v>
      </c>
      <c r="W809" s="4" t="s">
        <v>37</v>
      </c>
      <c r="X809" s="4" t="s">
        <v>37</v>
      </c>
      <c r="Y809" s="4" t="s">
        <v>36</v>
      </c>
      <c r="Z809" s="4" t="s">
        <v>53</v>
      </c>
      <c r="AA809" s="4" t="s">
        <v>166</v>
      </c>
    </row>
    <row r="810" spans="1:27" s="1" customFormat="1" x14ac:dyDescent="0.3">
      <c r="A810" s="19">
        <v>19013</v>
      </c>
      <c r="B810" s="4" t="s">
        <v>167</v>
      </c>
      <c r="C810" s="4" t="e">
        <v>#N/A</v>
      </c>
      <c r="D810" s="5">
        <v>42361.60324074074</v>
      </c>
      <c r="E810" s="5" t="s">
        <v>2079</v>
      </c>
      <c r="F810" s="4" t="s">
        <v>26</v>
      </c>
      <c r="G810" s="4" t="s">
        <v>168</v>
      </c>
      <c r="H810" s="4" t="s">
        <v>168</v>
      </c>
      <c r="I810" s="4" t="s">
        <v>169</v>
      </c>
      <c r="J810" s="4" t="s">
        <v>30</v>
      </c>
      <c r="K810" s="4" t="s">
        <v>31</v>
      </c>
      <c r="L810" s="5">
        <v>42378</v>
      </c>
      <c r="M810" s="5">
        <v>42384.999305555553</v>
      </c>
      <c r="N810" s="5">
        <v>42385.041666666664</v>
      </c>
      <c r="O810" s="4" t="s">
        <v>32</v>
      </c>
      <c r="P810" s="4" t="s">
        <v>149</v>
      </c>
      <c r="Q810" s="4" t="s">
        <v>50</v>
      </c>
      <c r="R810" s="6" t="s">
        <v>77</v>
      </c>
      <c r="S810" s="4" t="s">
        <v>170</v>
      </c>
      <c r="T810" s="4" t="s">
        <v>36</v>
      </c>
      <c r="U810" s="4" t="s">
        <v>37</v>
      </c>
      <c r="V810" s="4" t="s">
        <v>171</v>
      </c>
      <c r="W810" s="4" t="s">
        <v>37</v>
      </c>
      <c r="X810" s="4" t="s">
        <v>37</v>
      </c>
      <c r="Y810" s="4" t="s">
        <v>36</v>
      </c>
      <c r="Z810" s="4" t="s">
        <v>53</v>
      </c>
      <c r="AA810" s="4" t="s">
        <v>93</v>
      </c>
    </row>
    <row r="811" spans="1:27" s="1" customFormat="1" x14ac:dyDescent="0.3">
      <c r="A811" s="19">
        <v>19014</v>
      </c>
      <c r="B811" s="4" t="s">
        <v>172</v>
      </c>
      <c r="C811" s="4" t="e">
        <v>#N/A</v>
      </c>
      <c r="D811" s="5">
        <v>42361.738912037035</v>
      </c>
      <c r="E811" s="5" t="s">
        <v>2079</v>
      </c>
      <c r="F811" s="4" t="s">
        <v>26</v>
      </c>
      <c r="G811" s="4" t="s">
        <v>173</v>
      </c>
      <c r="H811" s="4" t="s">
        <v>173</v>
      </c>
      <c r="I811" s="4" t="s">
        <v>174</v>
      </c>
      <c r="J811" s="4" t="s">
        <v>175</v>
      </c>
      <c r="K811" s="4" t="s">
        <v>31</v>
      </c>
      <c r="L811" s="5">
        <v>42385.958333333336</v>
      </c>
      <c r="M811" s="5">
        <v>42386.208333333336</v>
      </c>
      <c r="N811" s="5">
        <v>42386.229166666664</v>
      </c>
      <c r="O811" s="4" t="s">
        <v>32</v>
      </c>
      <c r="P811" s="4" t="s">
        <v>33</v>
      </c>
      <c r="Q811" s="4" t="s">
        <v>34</v>
      </c>
      <c r="R811" s="4" t="s">
        <v>176</v>
      </c>
      <c r="S811" s="4" t="s">
        <v>176</v>
      </c>
      <c r="T811" s="4" t="s">
        <v>37</v>
      </c>
      <c r="U811" s="4" t="s">
        <v>37</v>
      </c>
      <c r="V811" s="4" t="s">
        <v>177</v>
      </c>
      <c r="W811" s="4" t="s">
        <v>37</v>
      </c>
      <c r="X811" s="4" t="s">
        <v>37</v>
      </c>
      <c r="Y811" s="4" t="s">
        <v>36</v>
      </c>
      <c r="Z811" s="4" t="s">
        <v>178</v>
      </c>
      <c r="AA811" s="4" t="s">
        <v>179</v>
      </c>
    </row>
    <row r="812" spans="1:27" s="1" customFormat="1" x14ac:dyDescent="0.3">
      <c r="A812" s="19">
        <v>19020</v>
      </c>
      <c r="B812" s="4" t="s">
        <v>180</v>
      </c>
      <c r="C812" s="4" t="e">
        <v>#N/A</v>
      </c>
      <c r="D812" s="5">
        <v>42366.694733796299</v>
      </c>
      <c r="E812" s="5" t="s">
        <v>2079</v>
      </c>
      <c r="F812" s="4" t="s">
        <v>26</v>
      </c>
      <c r="G812" s="4" t="s">
        <v>173</v>
      </c>
      <c r="H812" s="4" t="s">
        <v>173</v>
      </c>
      <c r="I812" s="4" t="s">
        <v>174</v>
      </c>
      <c r="J812" s="4" t="s">
        <v>175</v>
      </c>
      <c r="K812" s="4" t="s">
        <v>31</v>
      </c>
      <c r="L812" s="5">
        <v>42392.958333333336</v>
      </c>
      <c r="M812" s="5">
        <v>42393.208333333336</v>
      </c>
      <c r="N812" s="5">
        <v>42393.239583333336</v>
      </c>
      <c r="O812" s="4" t="s">
        <v>32</v>
      </c>
      <c r="P812" s="4" t="s">
        <v>33</v>
      </c>
      <c r="Q812" s="4" t="s">
        <v>76</v>
      </c>
      <c r="R812" s="4" t="s">
        <v>181</v>
      </c>
      <c r="S812" s="4" t="s">
        <v>181</v>
      </c>
      <c r="T812" s="4" t="s">
        <v>37</v>
      </c>
      <c r="U812" s="4" t="s">
        <v>37</v>
      </c>
      <c r="V812" s="4" t="s">
        <v>182</v>
      </c>
      <c r="W812" s="4" t="s">
        <v>37</v>
      </c>
      <c r="X812" s="4" t="s">
        <v>37</v>
      </c>
      <c r="Y812" s="4" t="s">
        <v>36</v>
      </c>
      <c r="Z812" s="4" t="s">
        <v>178</v>
      </c>
      <c r="AA812" s="4" t="s">
        <v>179</v>
      </c>
    </row>
    <row r="813" spans="1:27" s="1" customFormat="1" x14ac:dyDescent="0.3">
      <c r="A813" s="19">
        <v>19021</v>
      </c>
      <c r="B813" s="4" t="s">
        <v>183</v>
      </c>
      <c r="C813" s="4" t="e">
        <v>#N/A</v>
      </c>
      <c r="D813" s="5">
        <v>42366.721053240741</v>
      </c>
      <c r="E813" s="5" t="s">
        <v>2079</v>
      </c>
      <c r="F813" s="4" t="s">
        <v>26</v>
      </c>
      <c r="G813" s="4" t="s">
        <v>184</v>
      </c>
      <c r="H813" s="4" t="s">
        <v>184</v>
      </c>
      <c r="I813" s="4" t="s">
        <v>80</v>
      </c>
      <c r="J813" s="4" t="s">
        <v>185</v>
      </c>
      <c r="K813" s="4" t="s">
        <v>31</v>
      </c>
      <c r="L813" s="5">
        <v>42384.916666666664</v>
      </c>
      <c r="M813" s="5">
        <v>42385.208333333336</v>
      </c>
      <c r="N813" s="5">
        <v>42385.229166666664</v>
      </c>
      <c r="O813" s="4" t="s">
        <v>32</v>
      </c>
      <c r="P813" s="4" t="s">
        <v>33</v>
      </c>
      <c r="Q813" s="4" t="s">
        <v>34</v>
      </c>
      <c r="R813" s="6" t="s">
        <v>77</v>
      </c>
      <c r="S813" s="6" t="s">
        <v>77</v>
      </c>
      <c r="T813" s="4" t="s">
        <v>37</v>
      </c>
      <c r="U813" s="4" t="s">
        <v>37</v>
      </c>
      <c r="V813" s="4" t="s">
        <v>186</v>
      </c>
      <c r="W813" s="4" t="s">
        <v>37</v>
      </c>
      <c r="X813" s="4" t="s">
        <v>37</v>
      </c>
      <c r="Y813" s="4" t="s">
        <v>36</v>
      </c>
      <c r="Z813" s="4" t="s">
        <v>53</v>
      </c>
      <c r="AA813" s="4" t="s">
        <v>187</v>
      </c>
    </row>
    <row r="814" spans="1:27" s="1" customFormat="1" x14ac:dyDescent="0.3">
      <c r="A814" s="19">
        <v>19022</v>
      </c>
      <c r="B814" s="4" t="s">
        <v>188</v>
      </c>
      <c r="C814" s="4" t="e">
        <v>#N/A</v>
      </c>
      <c r="D814" s="5">
        <v>42366.732766203706</v>
      </c>
      <c r="E814" s="5" t="s">
        <v>2079</v>
      </c>
      <c r="F814" s="4" t="s">
        <v>26</v>
      </c>
      <c r="G814" s="4" t="s">
        <v>86</v>
      </c>
      <c r="H814" s="4" t="s">
        <v>189</v>
      </c>
      <c r="I814" s="4" t="s">
        <v>88</v>
      </c>
      <c r="J814" s="4" t="s">
        <v>190</v>
      </c>
      <c r="K814" s="4" t="s">
        <v>31</v>
      </c>
      <c r="L814" s="5">
        <v>42383.923611111109</v>
      </c>
      <c r="M814" s="5">
        <v>42384.083333333336</v>
      </c>
      <c r="N814" s="5">
        <v>42384.125</v>
      </c>
      <c r="O814" s="4" t="s">
        <v>32</v>
      </c>
      <c r="P814" s="4" t="s">
        <v>89</v>
      </c>
      <c r="Q814" s="4" t="s">
        <v>34</v>
      </c>
      <c r="R814" s="4" t="s">
        <v>191</v>
      </c>
      <c r="S814" s="4" t="s">
        <v>191</v>
      </c>
      <c r="T814" s="4" t="s">
        <v>37</v>
      </c>
      <c r="U814" s="4" t="s">
        <v>37</v>
      </c>
      <c r="V814" s="4" t="s">
        <v>192</v>
      </c>
      <c r="W814" s="4" t="s">
        <v>37</v>
      </c>
      <c r="X814" s="4" t="s">
        <v>36</v>
      </c>
      <c r="Y814" s="4" t="s">
        <v>36</v>
      </c>
      <c r="Z814" s="4" t="s">
        <v>193</v>
      </c>
      <c r="AA814" s="4" t="s">
        <v>93</v>
      </c>
    </row>
    <row r="815" spans="1:27" s="1" customFormat="1" x14ac:dyDescent="0.3">
      <c r="A815" s="19">
        <v>19029</v>
      </c>
      <c r="B815" s="4" t="s">
        <v>194</v>
      </c>
      <c r="C815" s="4" t="e">
        <v>#N/A</v>
      </c>
      <c r="D815" s="5">
        <v>42367.696932870371</v>
      </c>
      <c r="E815" s="5" t="s">
        <v>2079</v>
      </c>
      <c r="F815" s="4" t="s">
        <v>26</v>
      </c>
      <c r="G815" s="4" t="s">
        <v>195</v>
      </c>
      <c r="H815" s="4" t="s">
        <v>195</v>
      </c>
      <c r="I815" s="4" t="s">
        <v>83</v>
      </c>
      <c r="J815" s="4" t="s">
        <v>49</v>
      </c>
      <c r="K815" s="4" t="s">
        <v>31</v>
      </c>
      <c r="L815" s="5">
        <v>42387.916666666664</v>
      </c>
      <c r="M815" s="5">
        <v>42388.25</v>
      </c>
      <c r="N815" s="5">
        <v>42389.583333333336</v>
      </c>
      <c r="O815" s="4" t="s">
        <v>32</v>
      </c>
      <c r="P815" s="4" t="s">
        <v>33</v>
      </c>
      <c r="Q815" s="4" t="s">
        <v>50</v>
      </c>
      <c r="R815" s="4" t="s">
        <v>196</v>
      </c>
      <c r="S815" s="4" t="s">
        <v>196</v>
      </c>
      <c r="T815" s="4" t="s">
        <v>37</v>
      </c>
      <c r="U815" s="4" t="s">
        <v>37</v>
      </c>
      <c r="V815" s="4" t="s">
        <v>197</v>
      </c>
      <c r="W815" s="4" t="s">
        <v>37</v>
      </c>
      <c r="X815" s="4" t="s">
        <v>37</v>
      </c>
      <c r="Y815" s="4" t="s">
        <v>36</v>
      </c>
      <c r="Z815" s="4" t="s">
        <v>53</v>
      </c>
      <c r="AA815" s="4"/>
    </row>
    <row r="816" spans="1:27" s="1" customFormat="1" x14ac:dyDescent="0.3">
      <c r="A816" s="19">
        <v>19030</v>
      </c>
      <c r="B816" s="4" t="s">
        <v>198</v>
      </c>
      <c r="C816" s="4" t="e">
        <v>#N/A</v>
      </c>
      <c r="D816" s="5">
        <v>42368.36173611111</v>
      </c>
      <c r="E816" s="5" t="s">
        <v>2079</v>
      </c>
      <c r="F816" s="4" t="s">
        <v>26</v>
      </c>
      <c r="G816" s="4" t="s">
        <v>199</v>
      </c>
      <c r="H816" s="4" t="s">
        <v>117</v>
      </c>
      <c r="I816" s="4" t="s">
        <v>200</v>
      </c>
      <c r="J816" s="4" t="s">
        <v>30</v>
      </c>
      <c r="K816" s="4" t="s">
        <v>31</v>
      </c>
      <c r="L816" s="5">
        <v>42396.5</v>
      </c>
      <c r="M816" s="5">
        <v>42397.25</v>
      </c>
      <c r="N816" s="5">
        <v>42397.25</v>
      </c>
      <c r="O816" s="4" t="s">
        <v>32</v>
      </c>
      <c r="P816" s="4" t="s">
        <v>33</v>
      </c>
      <c r="Q816" s="4" t="s">
        <v>119</v>
      </c>
      <c r="R816" s="4" t="s">
        <v>201</v>
      </c>
      <c r="S816" s="4" t="s">
        <v>201</v>
      </c>
      <c r="T816" s="4" t="s">
        <v>37</v>
      </c>
      <c r="U816" s="4" t="s">
        <v>37</v>
      </c>
      <c r="V816" s="4" t="s">
        <v>202</v>
      </c>
      <c r="W816" s="4" t="s">
        <v>37</v>
      </c>
      <c r="X816" s="4" t="s">
        <v>37</v>
      </c>
      <c r="Y816" s="4" t="s">
        <v>36</v>
      </c>
      <c r="Z816" s="4" t="s">
        <v>53</v>
      </c>
      <c r="AA816" s="4" t="s">
        <v>40</v>
      </c>
    </row>
    <row r="817" spans="1:27" s="1" customFormat="1" x14ac:dyDescent="0.3">
      <c r="A817" s="19">
        <v>19031</v>
      </c>
      <c r="B817" s="4" t="s">
        <v>223</v>
      </c>
      <c r="C817" s="4" t="e">
        <v>#N/A</v>
      </c>
      <c r="D817" s="5">
        <v>42368.375833333332</v>
      </c>
      <c r="E817" s="5" t="s">
        <v>2079</v>
      </c>
      <c r="F817" s="4" t="s">
        <v>26</v>
      </c>
      <c r="G817" s="4" t="s">
        <v>224</v>
      </c>
      <c r="H817" s="4" t="s">
        <v>224</v>
      </c>
      <c r="I817" s="4" t="s">
        <v>216</v>
      </c>
      <c r="J817" s="4" t="s">
        <v>225</v>
      </c>
      <c r="K817" s="4" t="s">
        <v>31</v>
      </c>
      <c r="L817" s="5">
        <v>42384.916666666664</v>
      </c>
      <c r="M817" s="5">
        <v>42385.208333333336</v>
      </c>
      <c r="N817" s="5">
        <v>42385.25</v>
      </c>
      <c r="O817" s="4" t="s">
        <v>32</v>
      </c>
      <c r="P817" s="4" t="s">
        <v>89</v>
      </c>
      <c r="Q817" s="4" t="s">
        <v>34</v>
      </c>
      <c r="R817" s="6" t="s">
        <v>77</v>
      </c>
      <c r="S817" s="4" t="s">
        <v>226</v>
      </c>
      <c r="T817" s="4" t="s">
        <v>36</v>
      </c>
      <c r="U817" s="4" t="s">
        <v>36</v>
      </c>
      <c r="V817" s="4" t="s">
        <v>227</v>
      </c>
      <c r="W817" s="4" t="s">
        <v>37</v>
      </c>
      <c r="X817" s="4" t="s">
        <v>37</v>
      </c>
      <c r="Y817" s="4" t="s">
        <v>36</v>
      </c>
      <c r="Z817" s="4" t="s">
        <v>228</v>
      </c>
      <c r="AA817" s="4" t="s">
        <v>40</v>
      </c>
    </row>
    <row r="818" spans="1:27" s="1" customFormat="1" x14ac:dyDescent="0.3">
      <c r="A818" s="19">
        <v>19032</v>
      </c>
      <c r="B818" s="4" t="s">
        <v>229</v>
      </c>
      <c r="C818" s="4" t="e">
        <v>#N/A</v>
      </c>
      <c r="D818" s="5">
        <v>42368.478437500002</v>
      </c>
      <c r="E818" s="5" t="s">
        <v>2079</v>
      </c>
      <c r="F818" s="4" t="s">
        <v>26</v>
      </c>
      <c r="G818" s="4" t="s">
        <v>195</v>
      </c>
      <c r="H818" s="4" t="s">
        <v>195</v>
      </c>
      <c r="I818" s="4" t="s">
        <v>83</v>
      </c>
      <c r="J818" s="4" t="s">
        <v>49</v>
      </c>
      <c r="K818" s="4" t="s">
        <v>31</v>
      </c>
      <c r="L818" s="5">
        <v>42391.916666666664</v>
      </c>
      <c r="M818" s="5">
        <v>42392.25</v>
      </c>
      <c r="N818" s="5">
        <v>42394.583333333336</v>
      </c>
      <c r="O818" s="4" t="s">
        <v>32</v>
      </c>
      <c r="P818" s="4" t="s">
        <v>33</v>
      </c>
      <c r="Q818" s="4" t="s">
        <v>50</v>
      </c>
      <c r="R818" s="4" t="s">
        <v>230</v>
      </c>
      <c r="S818" s="4" t="s">
        <v>230</v>
      </c>
      <c r="T818" s="4" t="s">
        <v>37</v>
      </c>
      <c r="U818" s="4" t="s">
        <v>37</v>
      </c>
      <c r="V818" s="4" t="s">
        <v>197</v>
      </c>
      <c r="W818" s="4" t="s">
        <v>37</v>
      </c>
      <c r="X818" s="4" t="s">
        <v>37</v>
      </c>
      <c r="Y818" s="4" t="s">
        <v>36</v>
      </c>
      <c r="Z818" s="4" t="s">
        <v>53</v>
      </c>
      <c r="AA818" s="4"/>
    </row>
    <row r="819" spans="1:27" s="1" customFormat="1" x14ac:dyDescent="0.3">
      <c r="A819" s="19">
        <v>19034</v>
      </c>
      <c r="B819" s="4" t="s">
        <v>229</v>
      </c>
      <c r="C819" s="4" t="e">
        <v>#N/A</v>
      </c>
      <c r="D819" s="5">
        <v>42368.517372685186</v>
      </c>
      <c r="E819" s="5" t="s">
        <v>2079</v>
      </c>
      <c r="F819" s="4" t="s">
        <v>26</v>
      </c>
      <c r="G819" s="4" t="s">
        <v>195</v>
      </c>
      <c r="H819" s="4" t="s">
        <v>195</v>
      </c>
      <c r="I819" s="4" t="s">
        <v>42</v>
      </c>
      <c r="J819" s="4" t="s">
        <v>30</v>
      </c>
      <c r="K819" s="4" t="s">
        <v>31</v>
      </c>
      <c r="L819" s="5">
        <v>42395.958333333336</v>
      </c>
      <c r="M819" s="5">
        <v>42396.25</v>
      </c>
      <c r="N819" s="5">
        <v>42397.583333333336</v>
      </c>
      <c r="O819" s="4" t="s">
        <v>32</v>
      </c>
      <c r="P819" s="4" t="s">
        <v>33</v>
      </c>
      <c r="Q819" s="4" t="s">
        <v>50</v>
      </c>
      <c r="R819" s="4" t="s">
        <v>196</v>
      </c>
      <c r="S819" s="4" t="s">
        <v>196</v>
      </c>
      <c r="T819" s="4" t="s">
        <v>37</v>
      </c>
      <c r="U819" s="4" t="s">
        <v>37</v>
      </c>
      <c r="V819" s="4" t="s">
        <v>197</v>
      </c>
      <c r="W819" s="4" t="s">
        <v>37</v>
      </c>
      <c r="X819" s="4" t="s">
        <v>37</v>
      </c>
      <c r="Y819" s="4" t="s">
        <v>36</v>
      </c>
      <c r="Z819" s="4" t="s">
        <v>53</v>
      </c>
      <c r="AA819" s="4" t="s">
        <v>231</v>
      </c>
    </row>
    <row r="820" spans="1:27" s="1" customFormat="1" x14ac:dyDescent="0.3">
      <c r="A820" s="19">
        <v>19038</v>
      </c>
      <c r="B820" s="4" t="s">
        <v>232</v>
      </c>
      <c r="C820" s="4" t="e">
        <v>#N/A</v>
      </c>
      <c r="D820" s="5">
        <v>42368.731423611112</v>
      </c>
      <c r="E820" s="5" t="s">
        <v>2079</v>
      </c>
      <c r="F820" s="4" t="s">
        <v>26</v>
      </c>
      <c r="G820" s="4" t="s">
        <v>233</v>
      </c>
      <c r="H820" s="4" t="s">
        <v>234</v>
      </c>
      <c r="I820" s="4" t="s">
        <v>212</v>
      </c>
      <c r="J820" s="4" t="s">
        <v>49</v>
      </c>
      <c r="K820" s="4" t="s">
        <v>31</v>
      </c>
      <c r="L820" s="5">
        <v>42382</v>
      </c>
      <c r="M820" s="5">
        <v>42382.208333333336</v>
      </c>
      <c r="N820" s="5">
        <v>42382.25</v>
      </c>
      <c r="O820" s="4" t="s">
        <v>32</v>
      </c>
      <c r="P820" s="4" t="s">
        <v>33</v>
      </c>
      <c r="Q820" s="4" t="s">
        <v>34</v>
      </c>
      <c r="R820" s="4" t="s">
        <v>235</v>
      </c>
      <c r="S820" s="4" t="s">
        <v>235</v>
      </c>
      <c r="T820" s="4" t="s">
        <v>36</v>
      </c>
      <c r="U820" s="4" t="s">
        <v>37</v>
      </c>
      <c r="V820" s="4" t="s">
        <v>236</v>
      </c>
      <c r="W820" s="4" t="s">
        <v>37</v>
      </c>
      <c r="X820" s="4" t="s">
        <v>37</v>
      </c>
      <c r="Y820" s="4" t="s">
        <v>36</v>
      </c>
      <c r="Z820" s="4" t="s">
        <v>53</v>
      </c>
      <c r="AA820" s="4"/>
    </row>
    <row r="821" spans="1:27" s="1" customFormat="1" x14ac:dyDescent="0.3">
      <c r="A821"/>
      <c r="B821"/>
      <c r="C821"/>
      <c r="D821"/>
      <c r="E821"/>
      <c r="F821"/>
      <c r="G821"/>
      <c r="H821"/>
      <c r="I821"/>
      <c r="J821"/>
      <c r="K821"/>
      <c r="L821"/>
      <c r="M821"/>
      <c r="N821"/>
      <c r="O821"/>
      <c r="P821"/>
      <c r="Q821"/>
      <c r="R821"/>
      <c r="S821"/>
      <c r="T821"/>
      <c r="U821"/>
      <c r="V821"/>
      <c r="W821"/>
      <c r="X821"/>
      <c r="Y821"/>
      <c r="Z821"/>
      <c r="AA821"/>
    </row>
    <row r="822" spans="1:27" s="1" customFormat="1" x14ac:dyDescent="0.3">
      <c r="A822"/>
      <c r="B822"/>
      <c r="C822"/>
      <c r="D822"/>
      <c r="E822"/>
      <c r="F822"/>
      <c r="G822"/>
      <c r="H822"/>
      <c r="I822"/>
      <c r="J822"/>
      <c r="K822"/>
      <c r="L822"/>
      <c r="M822"/>
      <c r="N822"/>
      <c r="O822"/>
      <c r="P822"/>
      <c r="Q822"/>
      <c r="R822"/>
      <c r="S822"/>
      <c r="T822"/>
      <c r="U822"/>
      <c r="V822"/>
      <c r="W822"/>
      <c r="X822"/>
      <c r="Y822"/>
      <c r="Z822"/>
      <c r="AA822"/>
    </row>
    <row r="823" spans="1:27" s="1" customFormat="1" x14ac:dyDescent="0.3">
      <c r="A823"/>
      <c r="B823"/>
      <c r="C823"/>
      <c r="D823"/>
      <c r="E823"/>
      <c r="F823"/>
      <c r="G823"/>
      <c r="H823"/>
      <c r="I823"/>
      <c r="J823"/>
      <c r="K823"/>
      <c r="L823"/>
      <c r="M823"/>
      <c r="N823"/>
      <c r="O823"/>
      <c r="P823"/>
      <c r="Q823"/>
      <c r="R823"/>
      <c r="S823"/>
      <c r="T823"/>
      <c r="U823"/>
      <c r="V823"/>
      <c r="W823"/>
      <c r="X823"/>
      <c r="Y823"/>
      <c r="Z823"/>
      <c r="AA823"/>
    </row>
    <row r="824" spans="1:27" s="1" customFormat="1" x14ac:dyDescent="0.3">
      <c r="A824"/>
      <c r="B824"/>
      <c r="C824"/>
      <c r="D824"/>
      <c r="E824"/>
      <c r="F824"/>
      <c r="G824"/>
      <c r="H824"/>
      <c r="I824"/>
      <c r="J824"/>
      <c r="K824"/>
      <c r="L824"/>
      <c r="M824"/>
      <c r="N824"/>
      <c r="O824"/>
      <c r="P824"/>
      <c r="Q824"/>
      <c r="R824"/>
      <c r="S824"/>
      <c r="T824"/>
      <c r="U824"/>
      <c r="V824"/>
      <c r="W824"/>
      <c r="X824"/>
      <c r="Y824"/>
      <c r="Z824"/>
      <c r="AA824"/>
    </row>
    <row r="825" spans="1:27" s="1" customFormat="1" x14ac:dyDescent="0.3">
      <c r="A825"/>
      <c r="B825"/>
      <c r="C825"/>
      <c r="D825"/>
      <c r="E825"/>
      <c r="F825"/>
      <c r="G825"/>
      <c r="H825"/>
      <c r="I825"/>
      <c r="J825"/>
      <c r="K825"/>
      <c r="L825"/>
      <c r="M825"/>
      <c r="N825"/>
      <c r="O825"/>
      <c r="P825"/>
      <c r="Q825"/>
      <c r="R825"/>
      <c r="S825"/>
      <c r="T825"/>
      <c r="U825"/>
      <c r="V825"/>
      <c r="W825"/>
      <c r="X825"/>
      <c r="Y825"/>
      <c r="Z825"/>
      <c r="AA825"/>
    </row>
    <row r="826" spans="1:27" s="1" customFormat="1" x14ac:dyDescent="0.3">
      <c r="A826"/>
      <c r="B826"/>
      <c r="C826"/>
      <c r="D826"/>
      <c r="E826"/>
      <c r="F826"/>
      <c r="G826"/>
      <c r="H826"/>
      <c r="I826"/>
      <c r="J826"/>
      <c r="K826"/>
      <c r="L826"/>
      <c r="M826"/>
      <c r="N826"/>
      <c r="O826"/>
      <c r="P826"/>
      <c r="Q826"/>
      <c r="R826"/>
      <c r="S826"/>
      <c r="T826"/>
      <c r="U826"/>
      <c r="V826"/>
      <c r="W826"/>
      <c r="X826"/>
      <c r="Y826"/>
      <c r="Z826"/>
      <c r="AA826"/>
    </row>
    <row r="827" spans="1:27" s="1" customFormat="1" x14ac:dyDescent="0.3">
      <c r="A827"/>
      <c r="B827"/>
      <c r="C827"/>
      <c r="D827"/>
      <c r="E827"/>
      <c r="F827"/>
      <c r="G827"/>
      <c r="H827"/>
      <c r="I827"/>
      <c r="J827"/>
      <c r="K827"/>
      <c r="L827"/>
      <c r="M827"/>
      <c r="N827"/>
      <c r="O827"/>
      <c r="P827"/>
      <c r="Q827"/>
      <c r="R827"/>
      <c r="S827"/>
      <c r="T827"/>
      <c r="U827"/>
      <c r="V827"/>
      <c r="W827"/>
      <c r="X827"/>
      <c r="Y827"/>
      <c r="Z827"/>
      <c r="AA827"/>
    </row>
    <row r="828" spans="1:27" s="1" customFormat="1" x14ac:dyDescent="0.3">
      <c r="A828"/>
      <c r="B828"/>
      <c r="C828"/>
      <c r="D828"/>
      <c r="E828"/>
      <c r="F828"/>
      <c r="G828"/>
      <c r="H828"/>
      <c r="I828"/>
      <c r="J828"/>
      <c r="K828"/>
      <c r="L828"/>
      <c r="M828"/>
      <c r="N828"/>
      <c r="O828"/>
      <c r="P828"/>
      <c r="Q828"/>
      <c r="R828"/>
      <c r="S828"/>
      <c r="T828"/>
      <c r="U828"/>
      <c r="V828"/>
      <c r="W828"/>
      <c r="X828"/>
      <c r="Y828"/>
      <c r="Z828"/>
      <c r="AA828"/>
    </row>
    <row r="829" spans="1:27" s="1" customFormat="1" x14ac:dyDescent="0.3">
      <c r="A829"/>
      <c r="B829"/>
      <c r="C829"/>
      <c r="D829"/>
      <c r="E829"/>
      <c r="F829"/>
      <c r="G829"/>
      <c r="H829"/>
      <c r="I829"/>
      <c r="J829"/>
      <c r="K829"/>
      <c r="L829"/>
      <c r="M829"/>
      <c r="N829"/>
      <c r="O829"/>
      <c r="P829"/>
      <c r="Q829"/>
      <c r="R829"/>
      <c r="S829"/>
      <c r="T829"/>
      <c r="U829"/>
      <c r="V829"/>
      <c r="W829"/>
      <c r="X829"/>
      <c r="Y829"/>
      <c r="Z829"/>
      <c r="AA829"/>
    </row>
    <row r="830" spans="1:27" s="1" customFormat="1" x14ac:dyDescent="0.3">
      <c r="A830"/>
      <c r="B830"/>
      <c r="C830"/>
      <c r="D830"/>
      <c r="E830"/>
      <c r="F830"/>
      <c r="G830"/>
      <c r="H830"/>
      <c r="I830"/>
      <c r="J830"/>
      <c r="K830"/>
      <c r="L830"/>
      <c r="M830"/>
      <c r="N830"/>
      <c r="O830"/>
      <c r="P830"/>
      <c r="Q830"/>
      <c r="R830"/>
      <c r="S830"/>
      <c r="T830"/>
      <c r="U830"/>
      <c r="V830"/>
      <c r="W830"/>
      <c r="X830"/>
      <c r="Y830"/>
      <c r="Z830"/>
      <c r="AA830"/>
    </row>
    <row r="831" spans="1:27" s="1" customFormat="1" x14ac:dyDescent="0.3">
      <c r="A831"/>
      <c r="B831"/>
      <c r="C831"/>
      <c r="D831"/>
      <c r="E831"/>
      <c r="F831"/>
      <c r="G831"/>
      <c r="H831"/>
      <c r="I831"/>
      <c r="J831"/>
      <c r="K831"/>
      <c r="L831"/>
      <c r="M831"/>
      <c r="N831"/>
      <c r="O831"/>
      <c r="P831"/>
      <c r="Q831"/>
      <c r="R831"/>
      <c r="S831"/>
      <c r="T831"/>
      <c r="U831"/>
      <c r="V831"/>
      <c r="W831"/>
      <c r="X831"/>
      <c r="Y831"/>
      <c r="Z831"/>
      <c r="AA831"/>
    </row>
    <row r="832" spans="1:27" s="1" customFormat="1" x14ac:dyDescent="0.3">
      <c r="A832"/>
      <c r="B832"/>
      <c r="C832"/>
      <c r="D832"/>
      <c r="E832"/>
      <c r="F832"/>
      <c r="G832"/>
      <c r="H832"/>
      <c r="I832"/>
      <c r="J832"/>
      <c r="K832"/>
      <c r="L832"/>
      <c r="M832"/>
      <c r="N832"/>
      <c r="O832"/>
      <c r="P832"/>
      <c r="Q832"/>
      <c r="R832"/>
      <c r="S832"/>
      <c r="T832"/>
      <c r="U832"/>
      <c r="V832"/>
      <c r="W832"/>
      <c r="X832"/>
      <c r="Y832"/>
      <c r="Z832"/>
      <c r="AA832"/>
    </row>
    <row r="833" spans="1:27" s="1" customFormat="1" x14ac:dyDescent="0.3">
      <c r="A833"/>
      <c r="B833"/>
      <c r="C833"/>
      <c r="D833"/>
      <c r="E833"/>
      <c r="F833"/>
      <c r="G833"/>
      <c r="H833"/>
      <c r="I833"/>
      <c r="J833"/>
      <c r="K833"/>
      <c r="L833"/>
      <c r="M833"/>
      <c r="N833"/>
      <c r="O833"/>
      <c r="P833"/>
      <c r="Q833"/>
      <c r="R833"/>
      <c r="S833"/>
      <c r="T833"/>
      <c r="U833"/>
      <c r="V833"/>
      <c r="W833"/>
      <c r="X833"/>
      <c r="Y833"/>
      <c r="Z833"/>
      <c r="AA833"/>
    </row>
    <row r="834" spans="1:27" s="1" customFormat="1" x14ac:dyDescent="0.3">
      <c r="A834"/>
      <c r="B834"/>
      <c r="C834"/>
      <c r="D834"/>
      <c r="E834"/>
      <c r="F834"/>
      <c r="G834"/>
      <c r="H834"/>
      <c r="I834"/>
      <c r="J834"/>
      <c r="K834"/>
      <c r="L834"/>
      <c r="M834"/>
      <c r="N834"/>
      <c r="O834"/>
      <c r="P834"/>
      <c r="Q834"/>
      <c r="R834"/>
      <c r="S834"/>
      <c r="T834"/>
      <c r="U834"/>
      <c r="V834"/>
      <c r="W834"/>
      <c r="X834"/>
      <c r="Y834"/>
      <c r="Z834"/>
      <c r="AA834"/>
    </row>
    <row r="835" spans="1:27" s="1" customFormat="1" x14ac:dyDescent="0.3">
      <c r="A835"/>
      <c r="B835"/>
      <c r="C835"/>
      <c r="D835"/>
      <c r="E835"/>
      <c r="F835"/>
      <c r="G835"/>
      <c r="H835"/>
      <c r="I835"/>
      <c r="J835"/>
      <c r="K835"/>
      <c r="L835"/>
      <c r="M835"/>
      <c r="N835"/>
      <c r="O835"/>
      <c r="P835"/>
      <c r="Q835"/>
      <c r="R835"/>
      <c r="S835"/>
      <c r="T835"/>
      <c r="U835"/>
      <c r="V835"/>
      <c r="W835"/>
      <c r="X835"/>
      <c r="Y835"/>
      <c r="Z835"/>
      <c r="AA835"/>
    </row>
    <row r="836" spans="1:27" s="1" customFormat="1" x14ac:dyDescent="0.3">
      <c r="A836"/>
      <c r="B836"/>
      <c r="C836"/>
      <c r="D836"/>
      <c r="E836"/>
      <c r="F836"/>
      <c r="G836"/>
      <c r="H836"/>
      <c r="I836"/>
      <c r="J836"/>
      <c r="K836"/>
      <c r="L836"/>
      <c r="M836"/>
      <c r="N836"/>
      <c r="O836"/>
      <c r="P836"/>
      <c r="Q836"/>
      <c r="R836"/>
      <c r="S836"/>
      <c r="T836"/>
      <c r="U836"/>
      <c r="V836"/>
      <c r="W836"/>
      <c r="X836"/>
      <c r="Y836"/>
      <c r="Z836"/>
      <c r="AA836"/>
    </row>
    <row r="837" spans="1:27" s="1" customFormat="1" x14ac:dyDescent="0.3">
      <c r="A837"/>
      <c r="B837"/>
      <c r="C837"/>
      <c r="D837"/>
      <c r="E837"/>
      <c r="F837"/>
      <c r="G837"/>
      <c r="H837"/>
      <c r="I837"/>
      <c r="J837"/>
      <c r="K837"/>
      <c r="L837"/>
      <c r="M837"/>
      <c r="N837"/>
      <c r="O837"/>
      <c r="P837"/>
      <c r="Q837"/>
      <c r="R837"/>
      <c r="S837"/>
      <c r="T837"/>
      <c r="U837"/>
      <c r="V837"/>
      <c r="W837"/>
      <c r="X837"/>
      <c r="Y837"/>
      <c r="Z837"/>
      <c r="AA837"/>
    </row>
    <row r="838" spans="1:27" s="1" customFormat="1" x14ac:dyDescent="0.3">
      <c r="A838"/>
      <c r="B838"/>
      <c r="C838"/>
      <c r="D838"/>
      <c r="E838"/>
      <c r="F838"/>
      <c r="G838"/>
      <c r="H838"/>
      <c r="I838"/>
      <c r="J838"/>
      <c r="K838"/>
      <c r="L838"/>
      <c r="M838"/>
      <c r="N838"/>
      <c r="O838"/>
      <c r="P838"/>
      <c r="Q838"/>
      <c r="R838"/>
      <c r="S838"/>
      <c r="T838"/>
      <c r="U838"/>
      <c r="V838"/>
      <c r="W838"/>
      <c r="X838"/>
      <c r="Y838"/>
      <c r="Z838"/>
      <c r="AA838"/>
    </row>
    <row r="839" spans="1:27" s="1" customFormat="1" x14ac:dyDescent="0.3">
      <c r="A839"/>
      <c r="B839"/>
      <c r="C839"/>
      <c r="D839"/>
      <c r="E839"/>
      <c r="F839"/>
      <c r="G839"/>
      <c r="H839"/>
      <c r="I839"/>
      <c r="J839"/>
      <c r="K839"/>
      <c r="L839"/>
      <c r="M839"/>
      <c r="N839"/>
      <c r="O839"/>
      <c r="P839"/>
      <c r="Q839"/>
      <c r="R839"/>
      <c r="S839"/>
      <c r="T839"/>
      <c r="U839"/>
      <c r="V839"/>
      <c r="W839"/>
      <c r="X839"/>
      <c r="Y839"/>
      <c r="Z839"/>
      <c r="AA839"/>
    </row>
    <row r="840" spans="1:27" s="1" customFormat="1" x14ac:dyDescent="0.3">
      <c r="A840"/>
      <c r="B840"/>
      <c r="C840"/>
      <c r="D840"/>
      <c r="E840"/>
      <c r="F840"/>
      <c r="G840"/>
      <c r="H840"/>
      <c r="I840"/>
      <c r="J840"/>
      <c r="K840"/>
      <c r="L840"/>
      <c r="M840"/>
      <c r="N840"/>
      <c r="O840"/>
      <c r="P840"/>
      <c r="Q840"/>
      <c r="R840"/>
      <c r="S840"/>
      <c r="T840"/>
      <c r="U840"/>
      <c r="V840"/>
      <c r="W840"/>
      <c r="X840"/>
      <c r="Y840"/>
      <c r="Z840"/>
      <c r="AA840"/>
    </row>
    <row r="841" spans="1:27" s="1" customFormat="1" x14ac:dyDescent="0.3">
      <c r="A841"/>
      <c r="B841"/>
      <c r="C841"/>
      <c r="D841"/>
      <c r="E841"/>
      <c r="F841"/>
      <c r="G841"/>
      <c r="H841"/>
      <c r="I841"/>
      <c r="J841"/>
      <c r="K841"/>
      <c r="L841"/>
      <c r="M841"/>
      <c r="N841"/>
      <c r="O841"/>
      <c r="P841"/>
      <c r="Q841"/>
      <c r="R841"/>
      <c r="S841"/>
      <c r="T841"/>
      <c r="U841"/>
      <c r="V841"/>
      <c r="W841"/>
      <c r="X841"/>
      <c r="Y841"/>
      <c r="Z841"/>
      <c r="AA841"/>
    </row>
    <row r="842" spans="1:27" s="1" customFormat="1" x14ac:dyDescent="0.3">
      <c r="A842"/>
      <c r="B842"/>
      <c r="C842"/>
      <c r="D842"/>
      <c r="E842"/>
      <c r="F842"/>
      <c r="G842"/>
      <c r="H842"/>
      <c r="I842"/>
      <c r="J842"/>
      <c r="K842"/>
      <c r="L842"/>
      <c r="M842"/>
      <c r="N842"/>
      <c r="O842"/>
      <c r="P842"/>
      <c r="Q842"/>
      <c r="R842"/>
      <c r="S842"/>
      <c r="T842"/>
      <c r="U842"/>
      <c r="V842"/>
      <c r="W842"/>
      <c r="X842"/>
      <c r="Y842"/>
      <c r="Z842"/>
      <c r="AA842"/>
    </row>
    <row r="843" spans="1:27" s="1" customFormat="1" x14ac:dyDescent="0.3">
      <c r="A843"/>
      <c r="B843"/>
      <c r="C843"/>
      <c r="D843"/>
      <c r="E843"/>
      <c r="F843"/>
      <c r="G843"/>
      <c r="H843"/>
      <c r="I843"/>
      <c r="J843"/>
      <c r="K843"/>
      <c r="L843"/>
      <c r="M843"/>
      <c r="N843"/>
      <c r="O843"/>
      <c r="P843"/>
      <c r="Q843"/>
      <c r="R843"/>
      <c r="S843"/>
      <c r="T843"/>
      <c r="U843"/>
      <c r="V843"/>
      <c r="W843"/>
      <c r="X843"/>
      <c r="Y843"/>
      <c r="Z843"/>
      <c r="AA843"/>
    </row>
    <row r="844" spans="1:27" s="1" customFormat="1" x14ac:dyDescent="0.3">
      <c r="A844"/>
      <c r="B844"/>
      <c r="C844"/>
      <c r="D844"/>
      <c r="E844"/>
      <c r="F844"/>
      <c r="G844"/>
      <c r="H844"/>
      <c r="I844"/>
      <c r="J844"/>
      <c r="K844"/>
      <c r="L844"/>
      <c r="M844"/>
      <c r="N844"/>
      <c r="O844"/>
      <c r="P844"/>
      <c r="Q844"/>
      <c r="R844"/>
      <c r="S844"/>
      <c r="T844"/>
      <c r="U844"/>
      <c r="V844"/>
      <c r="W844"/>
      <c r="X844"/>
      <c r="Y844"/>
      <c r="Z844"/>
      <c r="AA844"/>
    </row>
    <row r="845" spans="1:27" s="1" customFormat="1" x14ac:dyDescent="0.3">
      <c r="A845"/>
      <c r="B845"/>
      <c r="C845"/>
      <c r="D845"/>
      <c r="E845"/>
      <c r="F845"/>
      <c r="G845"/>
      <c r="H845"/>
      <c r="I845"/>
      <c r="J845"/>
      <c r="K845"/>
      <c r="L845"/>
      <c r="M845"/>
      <c r="N845"/>
      <c r="O845"/>
      <c r="P845"/>
      <c r="Q845"/>
      <c r="R845"/>
      <c r="S845"/>
      <c r="T845"/>
      <c r="U845"/>
      <c r="V845"/>
      <c r="W845"/>
      <c r="X845"/>
      <c r="Y845"/>
      <c r="Z845"/>
      <c r="AA845"/>
    </row>
    <row r="846" spans="1:27" s="1" customFormat="1" x14ac:dyDescent="0.3">
      <c r="A846"/>
      <c r="B846"/>
      <c r="C846"/>
      <c r="D846"/>
      <c r="E846"/>
      <c r="F846"/>
      <c r="G846"/>
      <c r="H846"/>
      <c r="I846"/>
      <c r="J846"/>
      <c r="K846"/>
      <c r="L846"/>
      <c r="M846"/>
      <c r="N846"/>
      <c r="O846"/>
      <c r="P846"/>
      <c r="Q846"/>
      <c r="R846"/>
      <c r="S846"/>
      <c r="T846"/>
      <c r="U846"/>
      <c r="V846"/>
      <c r="W846"/>
      <c r="X846"/>
      <c r="Y846"/>
      <c r="Z846"/>
      <c r="AA846"/>
    </row>
    <row r="847" spans="1:27" s="1" customFormat="1" x14ac:dyDescent="0.3">
      <c r="A847"/>
      <c r="B847"/>
      <c r="C847"/>
      <c r="D847"/>
      <c r="E847"/>
      <c r="F847"/>
      <c r="G847"/>
      <c r="H847"/>
      <c r="I847"/>
      <c r="J847"/>
      <c r="K847"/>
      <c r="L847"/>
      <c r="M847"/>
      <c r="N847"/>
      <c r="O847"/>
      <c r="P847"/>
      <c r="Q847"/>
      <c r="R847"/>
      <c r="S847"/>
      <c r="T847"/>
      <c r="U847"/>
      <c r="V847"/>
      <c r="W847"/>
      <c r="X847"/>
      <c r="Y847"/>
      <c r="Z847"/>
      <c r="AA847"/>
    </row>
    <row r="848" spans="1:27" s="1" customFormat="1" x14ac:dyDescent="0.3">
      <c r="A848"/>
      <c r="B848"/>
      <c r="C848"/>
      <c r="D848"/>
      <c r="E848"/>
      <c r="F848"/>
      <c r="G848"/>
      <c r="H848"/>
      <c r="I848"/>
      <c r="J848"/>
      <c r="K848"/>
      <c r="L848"/>
      <c r="M848"/>
      <c r="N848"/>
      <c r="O848"/>
      <c r="P848"/>
      <c r="Q848"/>
      <c r="R848"/>
      <c r="S848"/>
      <c r="T848"/>
      <c r="U848"/>
      <c r="V848"/>
      <c r="W848"/>
      <c r="X848"/>
      <c r="Y848"/>
      <c r="Z848"/>
      <c r="AA848"/>
    </row>
    <row r="849" spans="1:27" s="1" customFormat="1" x14ac:dyDescent="0.3">
      <c r="A849"/>
      <c r="B849"/>
      <c r="C849"/>
      <c r="D849"/>
      <c r="E849"/>
      <c r="F849"/>
      <c r="G849"/>
      <c r="H849"/>
      <c r="I849"/>
      <c r="J849"/>
      <c r="K849"/>
      <c r="L849"/>
      <c r="M849"/>
      <c r="N849"/>
      <c r="O849"/>
      <c r="P849"/>
      <c r="Q849"/>
      <c r="R849"/>
      <c r="S849"/>
      <c r="T849"/>
      <c r="U849"/>
      <c r="V849"/>
      <c r="W849"/>
      <c r="X849"/>
      <c r="Y849"/>
      <c r="Z849"/>
      <c r="AA849"/>
    </row>
    <row r="850" spans="1:27" s="1" customFormat="1" x14ac:dyDescent="0.3">
      <c r="A850"/>
      <c r="B850"/>
      <c r="C850"/>
      <c r="D850"/>
      <c r="E850"/>
      <c r="F850"/>
      <c r="G850"/>
      <c r="H850"/>
      <c r="I850"/>
      <c r="J850"/>
      <c r="K850"/>
      <c r="L850"/>
      <c r="M850"/>
      <c r="N850"/>
      <c r="O850"/>
      <c r="P850"/>
      <c r="Q850"/>
      <c r="R850"/>
      <c r="S850"/>
      <c r="T850"/>
      <c r="U850"/>
      <c r="V850"/>
      <c r="W850"/>
      <c r="X850"/>
      <c r="Y850"/>
      <c r="Z850"/>
      <c r="AA850"/>
    </row>
    <row r="851" spans="1:27" s="1" customFormat="1" x14ac:dyDescent="0.3">
      <c r="A851"/>
      <c r="B851"/>
      <c r="C851"/>
      <c r="D851"/>
      <c r="E851"/>
      <c r="F851"/>
      <c r="G851"/>
      <c r="H851"/>
      <c r="I851"/>
      <c r="J851"/>
      <c r="K851"/>
      <c r="L851"/>
      <c r="M851"/>
      <c r="N851"/>
      <c r="O851"/>
      <c r="P851"/>
      <c r="Q851"/>
      <c r="R851"/>
      <c r="S851"/>
      <c r="T851"/>
      <c r="U851"/>
      <c r="V851"/>
      <c r="W851"/>
      <c r="X851"/>
      <c r="Y851"/>
      <c r="Z851"/>
      <c r="AA851"/>
    </row>
    <row r="852" spans="1:27" s="1" customFormat="1" x14ac:dyDescent="0.3">
      <c r="A852"/>
      <c r="B852"/>
      <c r="C852"/>
      <c r="D852"/>
      <c r="E852"/>
      <c r="F852"/>
      <c r="G852"/>
      <c r="H852"/>
      <c r="I852"/>
      <c r="J852"/>
      <c r="K852"/>
      <c r="L852"/>
      <c r="M852"/>
      <c r="N852"/>
      <c r="O852"/>
      <c r="P852"/>
      <c r="Q852"/>
      <c r="R852"/>
      <c r="S852"/>
      <c r="T852"/>
      <c r="U852"/>
      <c r="V852"/>
      <c r="W852"/>
      <c r="X852"/>
      <c r="Y852"/>
      <c r="Z852"/>
      <c r="AA852"/>
    </row>
    <row r="853" spans="1:27" s="1" customFormat="1" x14ac:dyDescent="0.3">
      <c r="A853"/>
      <c r="B853"/>
      <c r="C853"/>
      <c r="D853"/>
      <c r="E853"/>
      <c r="F853"/>
      <c r="G853"/>
      <c r="H853"/>
      <c r="I853"/>
      <c r="J853"/>
      <c r="K853"/>
      <c r="L853"/>
      <c r="M853"/>
      <c r="N853"/>
      <c r="O853"/>
      <c r="P853"/>
      <c r="Q853"/>
      <c r="R853"/>
      <c r="S853"/>
      <c r="T853"/>
      <c r="U853"/>
      <c r="V853"/>
      <c r="W853"/>
      <c r="X853"/>
      <c r="Y853"/>
      <c r="Z853"/>
      <c r="AA853"/>
    </row>
    <row r="854" spans="1:27" s="1" customFormat="1" x14ac:dyDescent="0.3">
      <c r="A854"/>
      <c r="B854"/>
      <c r="C854"/>
      <c r="D854"/>
      <c r="E854"/>
      <c r="F854"/>
      <c r="G854"/>
      <c r="H854"/>
      <c r="I854"/>
      <c r="J854"/>
      <c r="K854"/>
      <c r="L854"/>
      <c r="M854"/>
      <c r="N854"/>
      <c r="O854"/>
      <c r="P854"/>
      <c r="Q854"/>
      <c r="R854"/>
      <c r="S854"/>
      <c r="T854"/>
      <c r="U854"/>
      <c r="V854"/>
      <c r="W854"/>
      <c r="X854"/>
      <c r="Y854"/>
      <c r="Z854"/>
      <c r="AA854"/>
    </row>
    <row r="855" spans="1:27" s="1" customFormat="1" x14ac:dyDescent="0.3">
      <c r="A855"/>
      <c r="B855"/>
      <c r="C855"/>
      <c r="D855"/>
      <c r="E855"/>
      <c r="F855"/>
      <c r="G855"/>
      <c r="H855"/>
      <c r="I855"/>
      <c r="J855"/>
      <c r="K855"/>
      <c r="L855"/>
      <c r="M855"/>
      <c r="N855"/>
      <c r="O855"/>
      <c r="P855"/>
      <c r="Q855"/>
      <c r="R855"/>
      <c r="S855"/>
      <c r="T855"/>
      <c r="U855"/>
      <c r="V855"/>
      <c r="W855"/>
      <c r="X855"/>
      <c r="Y855"/>
      <c r="Z855"/>
      <c r="AA855"/>
    </row>
    <row r="856" spans="1:27" s="1" customFormat="1" x14ac:dyDescent="0.3">
      <c r="A856"/>
      <c r="B856"/>
      <c r="C856"/>
      <c r="D856"/>
      <c r="E856"/>
      <c r="F856"/>
      <c r="G856"/>
      <c r="H856"/>
      <c r="I856"/>
      <c r="J856"/>
      <c r="K856"/>
      <c r="L856"/>
      <c r="M856"/>
      <c r="N856"/>
      <c r="O856"/>
      <c r="P856"/>
      <c r="Q856"/>
      <c r="R856"/>
      <c r="S856"/>
      <c r="T856"/>
      <c r="U856"/>
      <c r="V856"/>
      <c r="W856"/>
      <c r="X856"/>
      <c r="Y856"/>
      <c r="Z856"/>
      <c r="AA856"/>
    </row>
    <row r="857" spans="1:27" s="1" customFormat="1" x14ac:dyDescent="0.3">
      <c r="A857"/>
      <c r="B857"/>
      <c r="C857"/>
      <c r="D857"/>
      <c r="E857"/>
      <c r="F857"/>
      <c r="G857"/>
      <c r="H857"/>
      <c r="I857"/>
      <c r="J857"/>
      <c r="K857"/>
      <c r="L857"/>
      <c r="M857"/>
      <c r="N857"/>
      <c r="O857"/>
      <c r="P857"/>
      <c r="Q857"/>
      <c r="R857"/>
      <c r="S857"/>
      <c r="T857"/>
      <c r="U857"/>
      <c r="V857"/>
      <c r="W857"/>
      <c r="X857"/>
      <c r="Y857"/>
      <c r="Z857"/>
      <c r="AA857"/>
    </row>
    <row r="858" spans="1:27" s="1" customFormat="1" x14ac:dyDescent="0.3">
      <c r="A858"/>
      <c r="B858"/>
      <c r="C858"/>
      <c r="D858"/>
      <c r="E858"/>
      <c r="F858"/>
      <c r="G858"/>
      <c r="H858"/>
      <c r="I858"/>
      <c r="J858"/>
      <c r="K858"/>
      <c r="L858"/>
      <c r="M858"/>
      <c r="N858"/>
      <c r="O858"/>
      <c r="P858"/>
      <c r="Q858"/>
      <c r="R858"/>
      <c r="S858"/>
      <c r="T858"/>
      <c r="U858"/>
      <c r="V858"/>
      <c r="W858"/>
      <c r="X858"/>
      <c r="Y858"/>
      <c r="Z858"/>
      <c r="AA858"/>
    </row>
    <row r="859" spans="1:27" s="1" customFormat="1" x14ac:dyDescent="0.3">
      <c r="A859"/>
      <c r="B859"/>
      <c r="C859"/>
      <c r="D859"/>
      <c r="E859"/>
      <c r="F859"/>
      <c r="G859"/>
      <c r="H859"/>
      <c r="I859"/>
      <c r="J859"/>
      <c r="K859"/>
      <c r="L859"/>
      <c r="M859"/>
      <c r="N859"/>
      <c r="O859"/>
      <c r="P859"/>
      <c r="Q859"/>
      <c r="R859"/>
      <c r="S859"/>
      <c r="T859"/>
      <c r="U859"/>
      <c r="V859"/>
      <c r="W859"/>
      <c r="X859"/>
      <c r="Y859"/>
      <c r="Z859"/>
      <c r="AA859"/>
    </row>
    <row r="860" spans="1:27" s="1" customFormat="1" x14ac:dyDescent="0.3">
      <c r="A860"/>
      <c r="B860"/>
      <c r="C860"/>
      <c r="D860"/>
      <c r="E860"/>
      <c r="F860"/>
      <c r="G860"/>
      <c r="H860"/>
      <c r="I860"/>
      <c r="J860"/>
      <c r="K860"/>
      <c r="L860"/>
      <c r="M860"/>
      <c r="N860"/>
      <c r="O860"/>
      <c r="P860"/>
      <c r="Q860"/>
      <c r="R860"/>
      <c r="S860"/>
      <c r="T860"/>
      <c r="U860"/>
      <c r="V860"/>
      <c r="W860"/>
      <c r="X860"/>
      <c r="Y860"/>
      <c r="Z860"/>
      <c r="AA860"/>
    </row>
    <row r="861" spans="1:27" s="1" customFormat="1" x14ac:dyDescent="0.3">
      <c r="A861"/>
      <c r="B861"/>
      <c r="C861"/>
      <c r="D861"/>
      <c r="E861"/>
      <c r="F861"/>
      <c r="G861"/>
      <c r="H861"/>
      <c r="I861"/>
      <c r="J861"/>
      <c r="K861"/>
      <c r="L861"/>
      <c r="M861"/>
      <c r="N861"/>
      <c r="O861"/>
      <c r="P861"/>
      <c r="Q861"/>
      <c r="R861"/>
      <c r="S861"/>
      <c r="T861"/>
      <c r="U861"/>
      <c r="V861"/>
      <c r="W861"/>
      <c r="X861"/>
      <c r="Y861"/>
      <c r="Z861"/>
      <c r="AA861"/>
    </row>
    <row r="862" spans="1:27" s="1" customFormat="1" x14ac:dyDescent="0.3">
      <c r="A862"/>
      <c r="B862"/>
      <c r="C862"/>
      <c r="D862"/>
      <c r="E862"/>
      <c r="F862"/>
      <c r="G862"/>
      <c r="H862"/>
      <c r="I862"/>
      <c r="J862"/>
      <c r="K862"/>
      <c r="L862"/>
      <c r="M862"/>
      <c r="N862"/>
      <c r="O862"/>
      <c r="P862"/>
      <c r="Q862"/>
      <c r="R862"/>
      <c r="S862"/>
      <c r="T862"/>
      <c r="U862"/>
      <c r="V862"/>
      <c r="W862"/>
      <c r="X862"/>
      <c r="Y862"/>
      <c r="Z862"/>
      <c r="AA862"/>
    </row>
    <row r="863" spans="1:27" s="1" customFormat="1" x14ac:dyDescent="0.3">
      <c r="A863"/>
      <c r="B863"/>
      <c r="C863"/>
      <c r="D863"/>
      <c r="E863"/>
      <c r="F863"/>
      <c r="G863"/>
      <c r="H863"/>
      <c r="I863"/>
      <c r="J863"/>
      <c r="K863"/>
      <c r="L863"/>
      <c r="M863"/>
      <c r="N863"/>
      <c r="O863"/>
      <c r="P863"/>
      <c r="Q863"/>
      <c r="R863"/>
      <c r="S863"/>
      <c r="T863"/>
      <c r="U863"/>
      <c r="V863"/>
      <c r="W863"/>
      <c r="X863"/>
      <c r="Y863"/>
      <c r="Z863"/>
      <c r="AA863"/>
    </row>
    <row r="864" spans="1:27" s="1" customFormat="1" x14ac:dyDescent="0.3">
      <c r="A864"/>
      <c r="B864"/>
      <c r="C864"/>
      <c r="D864"/>
      <c r="E864"/>
      <c r="F864"/>
      <c r="G864"/>
      <c r="H864"/>
      <c r="I864"/>
      <c r="J864"/>
      <c r="K864"/>
      <c r="L864"/>
      <c r="M864"/>
      <c r="N864"/>
      <c r="O864"/>
      <c r="P864"/>
      <c r="Q864"/>
      <c r="R864"/>
      <c r="S864"/>
      <c r="T864"/>
      <c r="U864"/>
      <c r="V864"/>
      <c r="W864"/>
      <c r="X864"/>
      <c r="Y864"/>
      <c r="Z864"/>
      <c r="AA864"/>
    </row>
    <row r="865" spans="1:27" s="1" customFormat="1" x14ac:dyDescent="0.3">
      <c r="A865"/>
      <c r="B865"/>
      <c r="C865"/>
      <c r="D865"/>
      <c r="E865"/>
      <c r="F865"/>
      <c r="G865"/>
      <c r="H865"/>
      <c r="I865"/>
      <c r="J865"/>
      <c r="K865"/>
      <c r="L865"/>
      <c r="M865"/>
      <c r="N865"/>
      <c r="O865"/>
      <c r="P865"/>
      <c r="Q865"/>
      <c r="R865"/>
      <c r="S865"/>
      <c r="T865"/>
      <c r="U865"/>
      <c r="V865"/>
      <c r="W865"/>
      <c r="X865"/>
      <c r="Y865"/>
      <c r="Z865"/>
      <c r="AA865"/>
    </row>
    <row r="866" spans="1:27" s="1" customFormat="1" x14ac:dyDescent="0.3">
      <c r="A866"/>
      <c r="B866"/>
      <c r="C866"/>
      <c r="D866"/>
      <c r="E866"/>
      <c r="F866"/>
      <c r="G866"/>
      <c r="H866"/>
      <c r="I866"/>
      <c r="J866"/>
      <c r="K866"/>
      <c r="L866"/>
      <c r="M866"/>
      <c r="N866"/>
      <c r="O866"/>
      <c r="P866"/>
      <c r="Q866"/>
      <c r="R866"/>
      <c r="S866"/>
      <c r="T866"/>
      <c r="U866"/>
      <c r="V866"/>
      <c r="W866"/>
      <c r="X866"/>
      <c r="Y866"/>
      <c r="Z866"/>
      <c r="AA866"/>
    </row>
    <row r="867" spans="1:27" s="1" customFormat="1" x14ac:dyDescent="0.3">
      <c r="A867"/>
      <c r="B867"/>
      <c r="C867"/>
      <c r="D867"/>
      <c r="E867"/>
      <c r="F867"/>
      <c r="G867"/>
      <c r="H867"/>
      <c r="I867"/>
      <c r="J867"/>
      <c r="K867"/>
      <c r="L867"/>
      <c r="M867"/>
      <c r="N867"/>
      <c r="O867"/>
      <c r="P867"/>
      <c r="Q867"/>
      <c r="R867"/>
      <c r="S867"/>
      <c r="T867"/>
      <c r="U867"/>
      <c r="V867"/>
      <c r="W867"/>
      <c r="X867"/>
      <c r="Y867"/>
      <c r="Z867"/>
      <c r="AA867"/>
    </row>
    <row r="868" spans="1:27" s="1" customFormat="1" x14ac:dyDescent="0.3">
      <c r="A868"/>
      <c r="B868"/>
      <c r="C868"/>
      <c r="D868"/>
      <c r="E868"/>
      <c r="F868"/>
      <c r="G868"/>
      <c r="H868"/>
      <c r="I868"/>
      <c r="J868"/>
      <c r="K868"/>
      <c r="L868"/>
      <c r="M868"/>
      <c r="N868"/>
      <c r="O868"/>
      <c r="P868"/>
      <c r="Q868"/>
      <c r="R868"/>
      <c r="S868"/>
      <c r="T868"/>
      <c r="U868"/>
      <c r="V868"/>
      <c r="W868"/>
      <c r="X868"/>
      <c r="Y868"/>
      <c r="Z868"/>
      <c r="AA868"/>
    </row>
    <row r="869" spans="1:27" s="1" customFormat="1" x14ac:dyDescent="0.3">
      <c r="A869"/>
      <c r="B869"/>
      <c r="C869"/>
      <c r="D869"/>
      <c r="E869"/>
      <c r="F869"/>
      <c r="G869"/>
      <c r="H869"/>
      <c r="I869"/>
      <c r="J869"/>
      <c r="K869"/>
      <c r="L869"/>
      <c r="M869"/>
      <c r="N869"/>
      <c r="O869"/>
      <c r="P869"/>
      <c r="Q869"/>
      <c r="R869"/>
      <c r="S869"/>
      <c r="T869"/>
      <c r="U869"/>
      <c r="V869"/>
      <c r="W869"/>
      <c r="X869"/>
      <c r="Y869"/>
      <c r="Z869"/>
      <c r="AA869"/>
    </row>
    <row r="870" spans="1:27" s="1" customFormat="1" x14ac:dyDescent="0.3">
      <c r="A870"/>
      <c r="B870"/>
      <c r="C870"/>
      <c r="D870"/>
      <c r="E870"/>
      <c r="F870"/>
      <c r="G870"/>
      <c r="H870"/>
      <c r="I870"/>
      <c r="J870"/>
      <c r="K870"/>
      <c r="L870"/>
      <c r="M870"/>
      <c r="N870"/>
      <c r="O870"/>
      <c r="P870"/>
      <c r="Q870"/>
      <c r="R870"/>
      <c r="S870"/>
      <c r="T870"/>
      <c r="U870"/>
      <c r="V870"/>
      <c r="W870"/>
      <c r="X870"/>
      <c r="Y870"/>
      <c r="Z870"/>
      <c r="AA870"/>
    </row>
    <row r="871" spans="1:27" s="1" customFormat="1" x14ac:dyDescent="0.3">
      <c r="A871"/>
      <c r="B871"/>
      <c r="C871"/>
      <c r="D871"/>
      <c r="E871"/>
      <c r="F871"/>
      <c r="G871"/>
      <c r="H871"/>
      <c r="I871"/>
      <c r="J871"/>
      <c r="K871"/>
      <c r="L871"/>
      <c r="M871"/>
      <c r="N871"/>
      <c r="O871"/>
      <c r="P871"/>
      <c r="Q871"/>
      <c r="R871"/>
      <c r="S871"/>
      <c r="T871"/>
      <c r="U871"/>
      <c r="V871"/>
      <c r="W871"/>
      <c r="X871"/>
      <c r="Y871"/>
      <c r="Z871"/>
      <c r="AA871"/>
    </row>
    <row r="872" spans="1:27" s="1" customFormat="1" x14ac:dyDescent="0.3">
      <c r="A872"/>
      <c r="B872"/>
      <c r="C872"/>
      <c r="D872"/>
      <c r="E872"/>
      <c r="F872"/>
      <c r="G872"/>
      <c r="H872"/>
      <c r="I872"/>
      <c r="J872"/>
      <c r="K872"/>
      <c r="L872"/>
      <c r="M872"/>
      <c r="N872"/>
      <c r="O872"/>
      <c r="P872"/>
      <c r="Q872"/>
      <c r="R872"/>
      <c r="S872"/>
      <c r="T872"/>
      <c r="U872"/>
      <c r="V872"/>
      <c r="W872"/>
      <c r="X872"/>
      <c r="Y872"/>
      <c r="Z872"/>
      <c r="AA872"/>
    </row>
    <row r="873" spans="1:27" s="1" customFormat="1" x14ac:dyDescent="0.3">
      <c r="A873"/>
      <c r="B873"/>
      <c r="C873"/>
      <c r="D873"/>
      <c r="E873"/>
      <c r="F873"/>
      <c r="G873"/>
      <c r="H873"/>
      <c r="I873"/>
      <c r="J873"/>
      <c r="K873"/>
      <c r="L873"/>
      <c r="M873"/>
      <c r="N873"/>
      <c r="O873"/>
      <c r="P873"/>
      <c r="Q873"/>
      <c r="R873"/>
      <c r="S873"/>
      <c r="T873"/>
      <c r="U873"/>
      <c r="V873"/>
      <c r="W873"/>
      <c r="X873"/>
      <c r="Y873"/>
      <c r="Z873"/>
      <c r="AA873"/>
    </row>
    <row r="874" spans="1:27" s="1" customFormat="1" x14ac:dyDescent="0.3">
      <c r="A874"/>
      <c r="B874"/>
      <c r="C874"/>
      <c r="D874"/>
      <c r="E874"/>
      <c r="F874"/>
      <c r="G874"/>
      <c r="H874"/>
      <c r="I874"/>
      <c r="J874"/>
      <c r="K874"/>
      <c r="L874"/>
      <c r="M874"/>
      <c r="N874"/>
      <c r="O874"/>
      <c r="P874"/>
      <c r="Q874"/>
      <c r="R874"/>
      <c r="S874"/>
      <c r="T874"/>
      <c r="U874"/>
      <c r="V874"/>
      <c r="W874"/>
      <c r="X874"/>
      <c r="Y874"/>
      <c r="Z874"/>
      <c r="AA874"/>
    </row>
    <row r="875" spans="1:27" s="1" customFormat="1" x14ac:dyDescent="0.3">
      <c r="A875"/>
      <c r="B875"/>
      <c r="C875"/>
      <c r="D875"/>
      <c r="E875"/>
      <c r="F875"/>
      <c r="G875"/>
      <c r="H875"/>
      <c r="I875"/>
      <c r="J875"/>
      <c r="K875"/>
      <c r="L875"/>
      <c r="M875"/>
      <c r="N875"/>
      <c r="O875"/>
      <c r="P875"/>
      <c r="Q875"/>
      <c r="R875"/>
      <c r="S875"/>
      <c r="T875"/>
      <c r="U875"/>
      <c r="V875"/>
      <c r="W875"/>
      <c r="X875"/>
      <c r="Y875"/>
      <c r="Z875"/>
      <c r="AA875"/>
    </row>
    <row r="876" spans="1:27" s="1" customFormat="1" x14ac:dyDescent="0.3">
      <c r="A876"/>
      <c r="B876"/>
      <c r="C876"/>
      <c r="D876"/>
      <c r="E876"/>
      <c r="F876"/>
      <c r="G876"/>
      <c r="H876"/>
      <c r="I876"/>
      <c r="J876"/>
      <c r="K876"/>
      <c r="L876"/>
      <c r="M876"/>
      <c r="N876"/>
      <c r="O876"/>
      <c r="P876"/>
      <c r="Q876"/>
      <c r="R876"/>
      <c r="S876"/>
      <c r="T876"/>
      <c r="U876"/>
      <c r="V876"/>
      <c r="W876"/>
      <c r="X876"/>
      <c r="Y876"/>
      <c r="Z876"/>
      <c r="AA876"/>
    </row>
    <row r="877" spans="1:27" s="1" customFormat="1" x14ac:dyDescent="0.3">
      <c r="A877"/>
      <c r="B877"/>
      <c r="C877"/>
      <c r="D877"/>
      <c r="E877"/>
      <c r="F877"/>
      <c r="G877"/>
      <c r="H877"/>
      <c r="I877"/>
      <c r="J877"/>
      <c r="K877"/>
      <c r="L877"/>
      <c r="M877"/>
      <c r="N877"/>
      <c r="O877"/>
      <c r="P877"/>
      <c r="Q877"/>
      <c r="R877"/>
      <c r="S877"/>
      <c r="T877"/>
      <c r="U877"/>
      <c r="V877"/>
      <c r="W877"/>
      <c r="X877"/>
      <c r="Y877"/>
      <c r="Z877"/>
      <c r="AA877"/>
    </row>
    <row r="878" spans="1:27" s="1" customFormat="1" x14ac:dyDescent="0.3">
      <c r="A878"/>
      <c r="B878"/>
      <c r="C878"/>
      <c r="D878"/>
      <c r="E878"/>
      <c r="F878"/>
      <c r="G878"/>
      <c r="H878"/>
      <c r="I878"/>
      <c r="J878"/>
      <c r="K878"/>
      <c r="L878"/>
      <c r="M878"/>
      <c r="N878"/>
      <c r="O878"/>
      <c r="P878"/>
      <c r="Q878"/>
      <c r="R878"/>
      <c r="S878"/>
      <c r="T878"/>
      <c r="U878"/>
      <c r="V878"/>
      <c r="W878"/>
      <c r="X878"/>
      <c r="Y878"/>
      <c r="Z878"/>
      <c r="AA878"/>
    </row>
    <row r="879" spans="1:27" s="1" customFormat="1" x14ac:dyDescent="0.3">
      <c r="A879"/>
      <c r="B879"/>
      <c r="C879"/>
      <c r="D879"/>
      <c r="E879"/>
      <c r="F879"/>
      <c r="G879"/>
      <c r="H879"/>
      <c r="I879"/>
      <c r="J879"/>
      <c r="K879"/>
      <c r="L879"/>
      <c r="M879"/>
      <c r="N879"/>
      <c r="O879"/>
      <c r="P879"/>
      <c r="Q879"/>
      <c r="R879"/>
      <c r="S879"/>
      <c r="T879"/>
      <c r="U879"/>
      <c r="V879"/>
      <c r="W879"/>
      <c r="X879"/>
      <c r="Y879"/>
      <c r="Z879"/>
      <c r="AA879"/>
    </row>
    <row r="880" spans="1:27" s="1" customFormat="1" x14ac:dyDescent="0.3">
      <c r="A880"/>
      <c r="B880"/>
      <c r="C880"/>
      <c r="D880"/>
      <c r="E880"/>
      <c r="F880"/>
      <c r="G880"/>
      <c r="H880"/>
      <c r="I880"/>
      <c r="J880"/>
      <c r="K880"/>
      <c r="L880"/>
      <c r="M880"/>
      <c r="N880"/>
      <c r="O880"/>
      <c r="P880"/>
      <c r="Q880"/>
      <c r="R880"/>
      <c r="S880"/>
      <c r="T880"/>
      <c r="U880"/>
      <c r="V880"/>
      <c r="W880"/>
      <c r="X880"/>
      <c r="Y880"/>
      <c r="Z880"/>
      <c r="AA880"/>
    </row>
    <row r="881" spans="1:27" s="1" customFormat="1" x14ac:dyDescent="0.3">
      <c r="A881"/>
      <c r="B881"/>
      <c r="C881"/>
      <c r="D881"/>
      <c r="E881"/>
      <c r="F881"/>
      <c r="G881"/>
      <c r="H881"/>
      <c r="I881"/>
      <c r="J881"/>
      <c r="K881"/>
      <c r="L881"/>
      <c r="M881"/>
      <c r="N881"/>
      <c r="O881"/>
      <c r="P881"/>
      <c r="Q881"/>
      <c r="R881"/>
      <c r="S881"/>
      <c r="T881"/>
      <c r="U881"/>
      <c r="V881"/>
      <c r="W881"/>
      <c r="X881"/>
      <c r="Y881"/>
      <c r="Z881"/>
      <c r="AA881"/>
    </row>
    <row r="882" spans="1:27" s="1" customFormat="1" x14ac:dyDescent="0.3">
      <c r="A882"/>
      <c r="B882"/>
      <c r="C882"/>
      <c r="D882"/>
      <c r="E882"/>
      <c r="F882"/>
      <c r="G882"/>
      <c r="H882"/>
      <c r="I882"/>
      <c r="J882"/>
      <c r="K882"/>
      <c r="L882"/>
      <c r="M882"/>
      <c r="N882"/>
      <c r="O882"/>
      <c r="P882"/>
      <c r="Q882"/>
      <c r="R882"/>
      <c r="S882"/>
      <c r="T882"/>
      <c r="U882"/>
      <c r="V882"/>
      <c r="W882"/>
      <c r="X882"/>
      <c r="Y882"/>
      <c r="Z882"/>
      <c r="AA882"/>
    </row>
    <row r="883" spans="1:27" s="1" customFormat="1" x14ac:dyDescent="0.3">
      <c r="A883"/>
      <c r="B883"/>
      <c r="C883"/>
      <c r="D883"/>
      <c r="E883"/>
      <c r="F883"/>
      <c r="G883"/>
      <c r="H883"/>
      <c r="I883"/>
      <c r="J883"/>
      <c r="K883"/>
      <c r="L883"/>
      <c r="M883"/>
      <c r="N883"/>
      <c r="O883"/>
      <c r="P883"/>
      <c r="Q883"/>
      <c r="R883"/>
      <c r="S883"/>
      <c r="T883"/>
      <c r="U883"/>
      <c r="V883"/>
      <c r="W883"/>
      <c r="X883"/>
      <c r="Y883"/>
      <c r="Z883"/>
      <c r="AA883"/>
    </row>
    <row r="884" spans="1:27" s="1" customFormat="1" x14ac:dyDescent="0.3">
      <c r="A884"/>
      <c r="B884"/>
      <c r="C884"/>
      <c r="D884"/>
      <c r="E884"/>
      <c r="F884"/>
      <c r="G884"/>
      <c r="H884"/>
      <c r="I884"/>
      <c r="J884"/>
      <c r="K884"/>
      <c r="L884"/>
      <c r="M884"/>
      <c r="N884"/>
      <c r="O884"/>
      <c r="P884"/>
      <c r="Q884"/>
      <c r="R884"/>
      <c r="S884"/>
      <c r="T884"/>
      <c r="U884"/>
      <c r="V884"/>
      <c r="W884"/>
      <c r="X884"/>
      <c r="Y884"/>
      <c r="Z884"/>
      <c r="AA884"/>
    </row>
    <row r="885" spans="1:27" s="1" customFormat="1" x14ac:dyDescent="0.3">
      <c r="A885"/>
      <c r="B885"/>
      <c r="C885"/>
      <c r="D885"/>
      <c r="E885"/>
      <c r="F885"/>
      <c r="G885"/>
      <c r="H885"/>
      <c r="I885"/>
      <c r="J885"/>
      <c r="K885"/>
      <c r="L885"/>
      <c r="M885"/>
      <c r="N885"/>
      <c r="O885"/>
      <c r="P885"/>
      <c r="Q885"/>
      <c r="R885"/>
      <c r="S885"/>
      <c r="T885"/>
      <c r="U885"/>
      <c r="V885"/>
      <c r="W885"/>
      <c r="X885"/>
      <c r="Y885"/>
      <c r="Z885"/>
      <c r="AA885"/>
    </row>
    <row r="886" spans="1:27" s="1" customFormat="1" x14ac:dyDescent="0.3">
      <c r="A886"/>
      <c r="B886"/>
      <c r="C886"/>
      <c r="D886"/>
      <c r="E886"/>
      <c r="F886"/>
      <c r="G886"/>
      <c r="H886"/>
      <c r="I886"/>
      <c r="J886"/>
      <c r="K886"/>
      <c r="L886"/>
      <c r="M886"/>
      <c r="N886"/>
      <c r="O886"/>
      <c r="P886"/>
      <c r="Q886"/>
      <c r="R886"/>
      <c r="S886"/>
      <c r="T886"/>
      <c r="U886"/>
      <c r="V886"/>
      <c r="W886"/>
      <c r="X886"/>
      <c r="Y886"/>
      <c r="Z886"/>
      <c r="AA886"/>
    </row>
    <row r="887" spans="1:27" s="1" customFormat="1" x14ac:dyDescent="0.3">
      <c r="A887"/>
      <c r="B887"/>
      <c r="C887"/>
      <c r="D887"/>
      <c r="E887"/>
      <c r="F887"/>
      <c r="G887"/>
      <c r="H887"/>
      <c r="I887"/>
      <c r="J887"/>
      <c r="K887"/>
      <c r="L887"/>
      <c r="M887"/>
      <c r="N887"/>
      <c r="O887"/>
      <c r="P887"/>
      <c r="Q887"/>
      <c r="R887"/>
      <c r="S887"/>
      <c r="T887"/>
      <c r="U887"/>
      <c r="V887"/>
      <c r="W887"/>
      <c r="X887"/>
      <c r="Y887"/>
      <c r="Z887"/>
      <c r="AA887"/>
    </row>
    <row r="888" spans="1:27" s="1" customFormat="1" x14ac:dyDescent="0.3">
      <c r="A888"/>
      <c r="B888"/>
      <c r="C888"/>
      <c r="D888"/>
      <c r="E888"/>
      <c r="F888"/>
      <c r="G888"/>
      <c r="H888"/>
      <c r="I888"/>
      <c r="J888"/>
      <c r="K888"/>
      <c r="L888"/>
      <c r="M888"/>
      <c r="N888"/>
      <c r="O888"/>
      <c r="P888"/>
      <c r="Q888"/>
      <c r="R888"/>
      <c r="S888"/>
      <c r="T888"/>
      <c r="U888"/>
      <c r="V888"/>
      <c r="W888"/>
      <c r="X888"/>
      <c r="Y888"/>
      <c r="Z888"/>
      <c r="AA888"/>
    </row>
    <row r="889" spans="1:27" s="1" customFormat="1" x14ac:dyDescent="0.3">
      <c r="A889"/>
      <c r="B889"/>
      <c r="C889"/>
      <c r="D889"/>
      <c r="E889"/>
      <c r="F889"/>
      <c r="G889"/>
      <c r="H889"/>
      <c r="I889"/>
      <c r="J889"/>
      <c r="K889"/>
      <c r="L889"/>
      <c r="M889"/>
      <c r="N889"/>
      <c r="O889"/>
      <c r="P889"/>
      <c r="Q889"/>
      <c r="R889"/>
      <c r="S889"/>
      <c r="T889"/>
      <c r="U889"/>
      <c r="V889"/>
      <c r="W889"/>
      <c r="X889"/>
      <c r="Y889"/>
      <c r="Z889"/>
      <c r="AA889"/>
    </row>
    <row r="890" spans="1:27" s="1" customFormat="1" x14ac:dyDescent="0.3">
      <c r="A890"/>
      <c r="B890"/>
      <c r="C890"/>
      <c r="D890"/>
      <c r="E890"/>
      <c r="F890"/>
      <c r="G890"/>
      <c r="H890"/>
      <c r="I890"/>
      <c r="J890"/>
      <c r="K890"/>
      <c r="L890"/>
      <c r="M890"/>
      <c r="N890"/>
      <c r="O890"/>
      <c r="P890"/>
      <c r="Q890"/>
      <c r="R890"/>
      <c r="S890"/>
      <c r="T890"/>
      <c r="U890"/>
      <c r="V890"/>
      <c r="W890"/>
      <c r="X890"/>
      <c r="Y890"/>
      <c r="Z890"/>
      <c r="AA890"/>
    </row>
    <row r="891" spans="1:27" s="1" customFormat="1" x14ac:dyDescent="0.3">
      <c r="A891"/>
      <c r="B891"/>
      <c r="C891"/>
      <c r="D891"/>
      <c r="E891"/>
      <c r="F891"/>
      <c r="G891"/>
      <c r="H891"/>
      <c r="I891"/>
      <c r="J891"/>
      <c r="K891"/>
      <c r="L891"/>
      <c r="M891"/>
      <c r="N891"/>
      <c r="O891"/>
      <c r="P891"/>
      <c r="Q891"/>
      <c r="R891"/>
      <c r="S891"/>
      <c r="T891"/>
      <c r="U891"/>
      <c r="V891"/>
      <c r="W891"/>
      <c r="X891"/>
      <c r="Y891"/>
      <c r="Z891"/>
      <c r="AA891"/>
    </row>
    <row r="892" spans="1:27" s="1" customFormat="1" x14ac:dyDescent="0.3">
      <c r="A892"/>
      <c r="B892"/>
      <c r="C892"/>
      <c r="D892"/>
      <c r="E892"/>
      <c r="F892"/>
      <c r="G892"/>
      <c r="H892"/>
      <c r="I892"/>
      <c r="J892"/>
      <c r="K892"/>
      <c r="L892"/>
      <c r="M892"/>
      <c r="N892"/>
      <c r="O892"/>
      <c r="P892"/>
      <c r="Q892"/>
      <c r="R892"/>
      <c r="S892"/>
      <c r="T892"/>
      <c r="U892"/>
      <c r="V892"/>
      <c r="W892"/>
      <c r="X892"/>
      <c r="Y892"/>
      <c r="Z892"/>
      <c r="AA892"/>
    </row>
    <row r="893" spans="1:27" s="1" customFormat="1" x14ac:dyDescent="0.3">
      <c r="A893"/>
      <c r="B893"/>
      <c r="C893"/>
      <c r="D893"/>
      <c r="E893"/>
      <c r="F893"/>
      <c r="G893"/>
      <c r="H893"/>
      <c r="I893"/>
      <c r="J893"/>
      <c r="K893"/>
      <c r="L893"/>
      <c r="M893"/>
      <c r="N893"/>
      <c r="O893"/>
      <c r="P893"/>
      <c r="Q893"/>
      <c r="R893"/>
      <c r="S893"/>
      <c r="T893"/>
      <c r="U893"/>
      <c r="V893"/>
      <c r="W893"/>
      <c r="X893"/>
      <c r="Y893"/>
      <c r="Z893"/>
      <c r="AA893"/>
    </row>
    <row r="894" spans="1:27" s="1" customFormat="1" x14ac:dyDescent="0.3">
      <c r="A894"/>
      <c r="B894"/>
      <c r="C894"/>
      <c r="D894"/>
      <c r="E894"/>
      <c r="F894"/>
      <c r="G894"/>
      <c r="H894"/>
      <c r="I894"/>
      <c r="J894"/>
      <c r="K894"/>
      <c r="L894"/>
      <c r="M894"/>
      <c r="N894"/>
      <c r="O894"/>
      <c r="P894"/>
      <c r="Q894"/>
      <c r="R894"/>
      <c r="S894"/>
      <c r="T894"/>
      <c r="U894"/>
      <c r="V894"/>
      <c r="W894"/>
      <c r="X894"/>
      <c r="Y894"/>
      <c r="Z894"/>
      <c r="AA894"/>
    </row>
    <row r="895" spans="1:27" s="1" customFormat="1" x14ac:dyDescent="0.3">
      <c r="A895"/>
      <c r="B895"/>
      <c r="C895"/>
      <c r="D895"/>
      <c r="E895"/>
      <c r="F895"/>
      <c r="G895"/>
      <c r="H895"/>
      <c r="I895"/>
      <c r="J895"/>
      <c r="K895"/>
      <c r="L895"/>
      <c r="M895"/>
      <c r="N895"/>
      <c r="O895"/>
      <c r="P895"/>
      <c r="Q895"/>
      <c r="R895"/>
      <c r="S895"/>
      <c r="T895"/>
      <c r="U895"/>
      <c r="V895"/>
      <c r="W895"/>
      <c r="X895"/>
      <c r="Y895"/>
      <c r="Z895"/>
      <c r="AA895"/>
    </row>
    <row r="896" spans="1:27" s="1" customFormat="1" x14ac:dyDescent="0.3">
      <c r="A896"/>
      <c r="B896"/>
      <c r="C896"/>
      <c r="D896"/>
      <c r="E896"/>
      <c r="F896"/>
      <c r="G896"/>
      <c r="H896"/>
      <c r="I896"/>
      <c r="J896"/>
      <c r="K896"/>
      <c r="L896"/>
      <c r="M896"/>
      <c r="N896"/>
      <c r="O896"/>
      <c r="P896"/>
      <c r="Q896"/>
      <c r="R896"/>
      <c r="S896"/>
      <c r="T896"/>
      <c r="U896"/>
      <c r="V896"/>
      <c r="W896"/>
      <c r="X896"/>
      <c r="Y896"/>
      <c r="Z896"/>
      <c r="AA896"/>
    </row>
    <row r="897" spans="1:27" s="1" customFormat="1" x14ac:dyDescent="0.3">
      <c r="A897"/>
      <c r="B897"/>
      <c r="C897"/>
      <c r="D897"/>
      <c r="E897"/>
      <c r="F897"/>
      <c r="G897"/>
      <c r="H897"/>
      <c r="I897"/>
      <c r="J897"/>
      <c r="K897"/>
      <c r="L897"/>
      <c r="M897"/>
      <c r="N897"/>
      <c r="O897"/>
      <c r="P897"/>
      <c r="Q897"/>
      <c r="R897"/>
      <c r="S897"/>
      <c r="T897"/>
      <c r="U897"/>
      <c r="V897"/>
      <c r="W897"/>
      <c r="X897"/>
      <c r="Y897"/>
      <c r="Z897"/>
      <c r="AA897"/>
    </row>
    <row r="898" spans="1:27" s="1" customFormat="1" x14ac:dyDescent="0.3">
      <c r="A898"/>
      <c r="B898"/>
      <c r="C898"/>
      <c r="D898"/>
      <c r="E898"/>
      <c r="F898"/>
      <c r="G898"/>
      <c r="H898"/>
      <c r="I898"/>
      <c r="J898"/>
      <c r="K898"/>
      <c r="L898"/>
      <c r="M898"/>
      <c r="N898"/>
      <c r="O898"/>
      <c r="P898"/>
      <c r="Q898"/>
      <c r="R898"/>
      <c r="S898"/>
      <c r="T898"/>
      <c r="U898"/>
      <c r="V898"/>
      <c r="W898"/>
      <c r="X898"/>
      <c r="Y898"/>
      <c r="Z898"/>
      <c r="AA898"/>
    </row>
    <row r="899" spans="1:27" s="1" customFormat="1" x14ac:dyDescent="0.3">
      <c r="A899"/>
      <c r="B899"/>
      <c r="C899"/>
      <c r="D899"/>
      <c r="E899"/>
      <c r="F899"/>
      <c r="G899"/>
      <c r="H899"/>
      <c r="I899"/>
      <c r="J899"/>
      <c r="K899"/>
      <c r="L899"/>
      <c r="M899"/>
      <c r="N899"/>
      <c r="O899"/>
      <c r="P899"/>
      <c r="Q899"/>
      <c r="R899"/>
      <c r="S899"/>
      <c r="T899"/>
      <c r="U899"/>
      <c r="V899"/>
      <c r="W899"/>
      <c r="X899"/>
      <c r="Y899"/>
      <c r="Z899"/>
      <c r="AA899"/>
    </row>
    <row r="900" spans="1:27" s="1" customFormat="1" x14ac:dyDescent="0.3">
      <c r="A900"/>
      <c r="B900"/>
      <c r="C900"/>
      <c r="D900"/>
      <c r="E900"/>
      <c r="F900"/>
      <c r="G900"/>
      <c r="H900"/>
      <c r="I900"/>
      <c r="J900"/>
      <c r="K900"/>
      <c r="L900"/>
      <c r="M900"/>
      <c r="N900"/>
      <c r="O900"/>
      <c r="P900"/>
      <c r="Q900"/>
      <c r="R900"/>
      <c r="S900"/>
      <c r="T900"/>
      <c r="U900"/>
      <c r="V900"/>
      <c r="W900"/>
      <c r="X900"/>
      <c r="Y900"/>
      <c r="Z900"/>
      <c r="AA900"/>
    </row>
    <row r="901" spans="1:27" s="1" customFormat="1" x14ac:dyDescent="0.3">
      <c r="A901"/>
      <c r="B901"/>
      <c r="C901"/>
      <c r="D901"/>
      <c r="E901"/>
      <c r="F901"/>
      <c r="G901"/>
      <c r="H901"/>
      <c r="I901"/>
      <c r="J901"/>
      <c r="K901"/>
      <c r="L901"/>
      <c r="M901"/>
      <c r="N901"/>
      <c r="O901"/>
      <c r="P901"/>
      <c r="Q901"/>
      <c r="R901"/>
      <c r="S901"/>
      <c r="T901"/>
      <c r="U901"/>
      <c r="V901"/>
      <c r="W901"/>
      <c r="X901"/>
      <c r="Y901"/>
      <c r="Z901"/>
      <c r="AA901"/>
    </row>
    <row r="902" spans="1:27" s="1" customFormat="1" x14ac:dyDescent="0.3">
      <c r="A902"/>
      <c r="B902"/>
      <c r="C902"/>
      <c r="D902"/>
      <c r="E902"/>
      <c r="F902"/>
      <c r="G902"/>
      <c r="H902"/>
      <c r="I902"/>
      <c r="J902"/>
      <c r="K902"/>
      <c r="L902"/>
      <c r="M902"/>
      <c r="N902"/>
      <c r="O902"/>
      <c r="P902"/>
      <c r="Q902"/>
      <c r="R902"/>
      <c r="S902"/>
      <c r="T902"/>
      <c r="U902"/>
      <c r="V902"/>
      <c r="W902"/>
      <c r="X902"/>
      <c r="Y902"/>
      <c r="Z902"/>
      <c r="AA902"/>
    </row>
    <row r="903" spans="1:27" s="1" customFormat="1" x14ac:dyDescent="0.3">
      <c r="A903"/>
      <c r="B903"/>
      <c r="C903"/>
      <c r="D903"/>
      <c r="E903"/>
      <c r="F903"/>
      <c r="G903"/>
      <c r="H903"/>
      <c r="I903"/>
      <c r="J903"/>
      <c r="K903"/>
      <c r="L903"/>
      <c r="M903"/>
      <c r="N903"/>
      <c r="O903"/>
      <c r="P903"/>
      <c r="Q903"/>
      <c r="R903"/>
      <c r="S903"/>
      <c r="T903"/>
      <c r="U903"/>
      <c r="V903"/>
      <c r="W903"/>
      <c r="X903"/>
      <c r="Y903"/>
      <c r="Z903"/>
      <c r="AA903"/>
    </row>
    <row r="904" spans="1:27" s="1" customFormat="1" x14ac:dyDescent="0.3">
      <c r="A904"/>
      <c r="B904"/>
      <c r="C904"/>
      <c r="D904"/>
      <c r="E904"/>
      <c r="F904"/>
      <c r="G904"/>
      <c r="H904"/>
      <c r="I904"/>
      <c r="J904"/>
      <c r="K904"/>
      <c r="L904"/>
      <c r="M904"/>
      <c r="N904"/>
      <c r="O904"/>
      <c r="P904"/>
      <c r="Q904"/>
      <c r="R904"/>
      <c r="S904"/>
      <c r="T904"/>
      <c r="U904"/>
      <c r="V904"/>
      <c r="W904"/>
      <c r="X904"/>
      <c r="Y904"/>
      <c r="Z904"/>
      <c r="AA904"/>
    </row>
    <row r="905" spans="1:27" s="1" customFormat="1" x14ac:dyDescent="0.3">
      <c r="A905"/>
      <c r="B905"/>
      <c r="C905"/>
      <c r="D905"/>
      <c r="E905"/>
      <c r="F905"/>
      <c r="G905"/>
      <c r="H905"/>
      <c r="I905"/>
      <c r="J905"/>
      <c r="K905"/>
      <c r="L905"/>
      <c r="M905"/>
      <c r="N905"/>
      <c r="O905"/>
      <c r="P905"/>
      <c r="Q905"/>
      <c r="R905"/>
      <c r="S905"/>
      <c r="T905"/>
      <c r="U905"/>
      <c r="V905"/>
      <c r="W905"/>
      <c r="X905"/>
      <c r="Y905"/>
      <c r="Z905"/>
      <c r="AA905"/>
    </row>
    <row r="906" spans="1:27" s="1" customFormat="1" x14ac:dyDescent="0.3">
      <c r="A906"/>
      <c r="B906"/>
      <c r="C906"/>
      <c r="D906"/>
      <c r="E906"/>
      <c r="F906"/>
      <c r="G906"/>
      <c r="H906"/>
      <c r="I906"/>
      <c r="J906"/>
      <c r="K906"/>
      <c r="L906"/>
      <c r="M906"/>
      <c r="N906"/>
      <c r="O906"/>
      <c r="P906"/>
      <c r="Q906"/>
      <c r="R906"/>
      <c r="S906"/>
      <c r="T906"/>
      <c r="U906"/>
      <c r="V906"/>
      <c r="W906"/>
      <c r="X906"/>
      <c r="Y906"/>
      <c r="Z906"/>
      <c r="AA906"/>
    </row>
    <row r="907" spans="1:27" s="1" customFormat="1" x14ac:dyDescent="0.3">
      <c r="A907"/>
      <c r="B907"/>
      <c r="C907"/>
      <c r="D907"/>
      <c r="E907"/>
      <c r="F907"/>
      <c r="G907"/>
      <c r="H907"/>
      <c r="I907"/>
      <c r="J907"/>
      <c r="K907"/>
      <c r="L907"/>
      <c r="M907"/>
      <c r="N907"/>
      <c r="O907"/>
      <c r="P907"/>
      <c r="Q907"/>
      <c r="R907"/>
      <c r="S907"/>
      <c r="T907"/>
      <c r="U907"/>
      <c r="V907"/>
      <c r="W907"/>
      <c r="X907"/>
      <c r="Y907"/>
      <c r="Z907"/>
      <c r="AA907"/>
    </row>
    <row r="908" spans="1:27" s="1" customFormat="1" x14ac:dyDescent="0.3">
      <c r="A908"/>
      <c r="B908"/>
      <c r="C908"/>
      <c r="D908"/>
      <c r="E908"/>
      <c r="F908"/>
      <c r="G908"/>
      <c r="H908"/>
      <c r="I908"/>
      <c r="J908"/>
      <c r="K908"/>
      <c r="L908"/>
      <c r="M908"/>
      <c r="N908"/>
      <c r="O908"/>
      <c r="P908"/>
      <c r="Q908"/>
      <c r="R908"/>
      <c r="S908"/>
      <c r="T908"/>
      <c r="U908"/>
      <c r="V908"/>
      <c r="W908"/>
      <c r="X908"/>
      <c r="Y908"/>
      <c r="Z908"/>
      <c r="AA908"/>
    </row>
    <row r="909" spans="1:27" s="1" customFormat="1" x14ac:dyDescent="0.3">
      <c r="A909"/>
      <c r="B909"/>
      <c r="C909"/>
      <c r="D909"/>
      <c r="E909"/>
      <c r="F909"/>
      <c r="G909"/>
      <c r="H909"/>
      <c r="I909"/>
      <c r="J909"/>
      <c r="K909"/>
      <c r="L909"/>
      <c r="M909"/>
      <c r="N909"/>
      <c r="O909"/>
      <c r="P909"/>
      <c r="Q909"/>
      <c r="R909"/>
      <c r="S909"/>
      <c r="T909"/>
      <c r="U909"/>
      <c r="V909"/>
      <c r="W909"/>
      <c r="X909"/>
      <c r="Y909"/>
      <c r="Z909"/>
      <c r="AA909"/>
    </row>
    <row r="910" spans="1:27" s="1" customFormat="1" x14ac:dyDescent="0.3">
      <c r="A910"/>
      <c r="B910"/>
      <c r="C910"/>
      <c r="D910"/>
      <c r="E910"/>
      <c r="F910"/>
      <c r="G910"/>
      <c r="H910"/>
      <c r="I910"/>
      <c r="J910"/>
      <c r="K910"/>
      <c r="L910"/>
      <c r="M910"/>
      <c r="N910"/>
      <c r="O910"/>
      <c r="P910"/>
      <c r="Q910"/>
      <c r="R910"/>
      <c r="S910"/>
      <c r="T910"/>
      <c r="U910"/>
      <c r="V910"/>
      <c r="W910"/>
      <c r="X910"/>
      <c r="Y910"/>
      <c r="Z910"/>
      <c r="AA910"/>
    </row>
    <row r="911" spans="1:27" s="1" customFormat="1" x14ac:dyDescent="0.3">
      <c r="A911"/>
      <c r="B911"/>
      <c r="C911"/>
      <c r="D911"/>
      <c r="E911"/>
      <c r="F911"/>
      <c r="G911"/>
      <c r="H911"/>
      <c r="I911"/>
      <c r="J911"/>
      <c r="K911"/>
      <c r="L911"/>
      <c r="M911"/>
      <c r="N911"/>
      <c r="O911"/>
      <c r="P911"/>
      <c r="Q911"/>
      <c r="R911"/>
      <c r="S911"/>
      <c r="T911"/>
      <c r="U911"/>
      <c r="V911"/>
      <c r="W911"/>
      <c r="X911"/>
      <c r="Y911"/>
      <c r="Z911"/>
      <c r="AA911"/>
    </row>
    <row r="912" spans="1:27" s="1" customFormat="1" x14ac:dyDescent="0.3">
      <c r="A912"/>
      <c r="B912"/>
      <c r="C912"/>
      <c r="D912"/>
      <c r="E912"/>
      <c r="F912"/>
      <c r="G912"/>
      <c r="H912"/>
      <c r="I912"/>
      <c r="J912"/>
      <c r="K912"/>
      <c r="L912"/>
      <c r="M912"/>
      <c r="N912"/>
      <c r="O912"/>
      <c r="P912"/>
      <c r="Q912"/>
      <c r="R912"/>
      <c r="S912"/>
      <c r="T912"/>
      <c r="U912"/>
      <c r="V912"/>
      <c r="W912"/>
      <c r="X912"/>
      <c r="Y912"/>
      <c r="Z912"/>
      <c r="AA912"/>
    </row>
    <row r="913" spans="1:27" s="1" customFormat="1" x14ac:dyDescent="0.3">
      <c r="A913"/>
      <c r="B913"/>
      <c r="C913"/>
      <c r="D913"/>
      <c r="E913"/>
      <c r="F913"/>
      <c r="G913"/>
      <c r="H913"/>
      <c r="I913"/>
      <c r="J913"/>
      <c r="K913"/>
      <c r="L913"/>
      <c r="M913"/>
      <c r="N913"/>
      <c r="O913"/>
      <c r="P913"/>
      <c r="Q913"/>
      <c r="R913"/>
      <c r="S913"/>
      <c r="T913"/>
      <c r="U913"/>
      <c r="V913"/>
      <c r="W913"/>
      <c r="X913"/>
      <c r="Y913"/>
      <c r="Z913"/>
      <c r="AA913"/>
    </row>
    <row r="914" spans="1:27" s="1" customFormat="1" x14ac:dyDescent="0.3">
      <c r="A914"/>
      <c r="B914"/>
      <c r="C914"/>
      <c r="D914"/>
      <c r="E914"/>
      <c r="F914"/>
      <c r="G914"/>
      <c r="H914"/>
      <c r="I914"/>
      <c r="J914"/>
      <c r="K914"/>
      <c r="L914"/>
      <c r="M914"/>
      <c r="N914"/>
      <c r="O914"/>
      <c r="P914"/>
      <c r="Q914"/>
      <c r="R914"/>
      <c r="S914"/>
      <c r="T914"/>
      <c r="U914"/>
      <c r="V914"/>
      <c r="W914"/>
      <c r="X914"/>
      <c r="Y914"/>
      <c r="Z914"/>
      <c r="AA914"/>
    </row>
    <row r="915" spans="1:27" s="1" customFormat="1" x14ac:dyDescent="0.3">
      <c r="A915"/>
      <c r="B915"/>
      <c r="C915"/>
      <c r="D915"/>
      <c r="E915"/>
      <c r="F915"/>
      <c r="G915"/>
      <c r="H915"/>
      <c r="I915"/>
      <c r="J915"/>
      <c r="K915"/>
      <c r="L915"/>
      <c r="M915"/>
      <c r="N915"/>
      <c r="O915"/>
      <c r="P915"/>
      <c r="Q915"/>
      <c r="R915"/>
      <c r="S915"/>
      <c r="T915"/>
      <c r="U915"/>
      <c r="V915"/>
      <c r="W915"/>
      <c r="X915"/>
      <c r="Y915"/>
      <c r="Z915"/>
      <c r="AA915"/>
    </row>
    <row r="916" spans="1:27" s="1" customFormat="1" x14ac:dyDescent="0.3">
      <c r="A916"/>
      <c r="B916"/>
      <c r="C916"/>
      <c r="D916"/>
      <c r="E916"/>
      <c r="F916"/>
      <c r="G916"/>
      <c r="H916"/>
      <c r="I916"/>
      <c r="J916"/>
      <c r="K916"/>
      <c r="L916"/>
      <c r="M916"/>
      <c r="N916"/>
      <c r="O916"/>
      <c r="P916"/>
      <c r="Q916"/>
      <c r="R916"/>
      <c r="S916"/>
      <c r="T916"/>
      <c r="U916"/>
      <c r="V916"/>
      <c r="W916"/>
      <c r="X916"/>
      <c r="Y916"/>
      <c r="Z916"/>
      <c r="AA916"/>
    </row>
    <row r="917" spans="1:27" s="1" customFormat="1" x14ac:dyDescent="0.3">
      <c r="A917"/>
      <c r="B917"/>
      <c r="C917"/>
      <c r="D917"/>
      <c r="E917"/>
      <c r="F917"/>
      <c r="G917"/>
      <c r="H917"/>
      <c r="I917"/>
      <c r="J917"/>
      <c r="K917"/>
      <c r="L917"/>
      <c r="M917"/>
      <c r="N917"/>
      <c r="O917"/>
      <c r="P917"/>
      <c r="Q917"/>
      <c r="R917"/>
      <c r="S917"/>
      <c r="T917"/>
      <c r="U917"/>
      <c r="V917"/>
      <c r="W917"/>
      <c r="X917"/>
      <c r="Y917"/>
      <c r="Z917"/>
      <c r="AA917"/>
    </row>
    <row r="918" spans="1:27" s="1" customFormat="1" x14ac:dyDescent="0.3">
      <c r="A918"/>
      <c r="B918"/>
      <c r="C918"/>
      <c r="D918"/>
      <c r="E918"/>
      <c r="F918"/>
      <c r="G918"/>
      <c r="H918"/>
      <c r="I918"/>
      <c r="J918"/>
      <c r="K918"/>
      <c r="L918"/>
      <c r="M918"/>
      <c r="N918"/>
      <c r="O918"/>
      <c r="P918"/>
      <c r="Q918"/>
      <c r="R918"/>
      <c r="S918"/>
      <c r="T918"/>
      <c r="U918"/>
      <c r="V918"/>
      <c r="W918"/>
      <c r="X918"/>
      <c r="Y918"/>
      <c r="Z918"/>
      <c r="AA918"/>
    </row>
    <row r="919" spans="1:27" s="1" customFormat="1" x14ac:dyDescent="0.3">
      <c r="A919"/>
      <c r="B919"/>
      <c r="C919"/>
      <c r="D919"/>
      <c r="E919"/>
      <c r="F919"/>
      <c r="G919"/>
      <c r="H919"/>
      <c r="I919"/>
      <c r="J919"/>
      <c r="K919"/>
      <c r="L919"/>
      <c r="M919"/>
      <c r="N919"/>
      <c r="O919"/>
      <c r="P919"/>
      <c r="Q919"/>
      <c r="R919"/>
      <c r="S919"/>
      <c r="T919"/>
      <c r="U919"/>
      <c r="V919"/>
      <c r="W919"/>
      <c r="X919"/>
      <c r="Y919"/>
      <c r="Z919"/>
      <c r="AA919"/>
    </row>
    <row r="920" spans="1:27" s="1" customFormat="1" x14ac:dyDescent="0.3">
      <c r="A920"/>
      <c r="B920"/>
      <c r="C920"/>
      <c r="D920"/>
      <c r="E920"/>
      <c r="F920"/>
      <c r="G920"/>
      <c r="H920"/>
      <c r="I920"/>
      <c r="J920"/>
      <c r="K920"/>
      <c r="L920"/>
      <c r="M920"/>
      <c r="N920"/>
      <c r="O920"/>
      <c r="P920"/>
      <c r="Q920"/>
      <c r="R920"/>
      <c r="S920"/>
      <c r="T920"/>
      <c r="U920"/>
      <c r="V920"/>
      <c r="W920"/>
      <c r="X920"/>
      <c r="Y920"/>
      <c r="Z920"/>
      <c r="AA920"/>
    </row>
    <row r="921" spans="1:27" s="1" customFormat="1" x14ac:dyDescent="0.3">
      <c r="A921"/>
      <c r="B921"/>
      <c r="C921"/>
      <c r="D921"/>
      <c r="E921"/>
      <c r="F921"/>
      <c r="G921"/>
      <c r="H921"/>
      <c r="I921"/>
      <c r="J921"/>
      <c r="K921"/>
      <c r="L921"/>
      <c r="M921"/>
      <c r="N921"/>
      <c r="O921"/>
      <c r="P921"/>
      <c r="Q921"/>
      <c r="R921"/>
      <c r="S921"/>
      <c r="T921"/>
      <c r="U921"/>
      <c r="V921"/>
      <c r="W921"/>
      <c r="X921"/>
      <c r="Y921"/>
      <c r="Z921"/>
      <c r="AA921"/>
    </row>
    <row r="922" spans="1:27" s="1" customFormat="1" x14ac:dyDescent="0.3">
      <c r="A922"/>
      <c r="B922"/>
      <c r="C922"/>
      <c r="D922"/>
      <c r="E922"/>
      <c r="F922"/>
      <c r="G922"/>
      <c r="H922"/>
      <c r="I922"/>
      <c r="J922"/>
      <c r="K922"/>
      <c r="L922"/>
      <c r="M922"/>
      <c r="N922"/>
      <c r="O922"/>
      <c r="P922"/>
      <c r="Q922"/>
      <c r="R922"/>
      <c r="S922"/>
      <c r="T922"/>
      <c r="U922"/>
      <c r="V922"/>
      <c r="W922"/>
      <c r="X922"/>
      <c r="Y922"/>
      <c r="Z922"/>
      <c r="AA922"/>
    </row>
    <row r="923" spans="1:27" s="1" customFormat="1" x14ac:dyDescent="0.3">
      <c r="A923"/>
      <c r="B923"/>
      <c r="C923"/>
      <c r="D923"/>
      <c r="E923"/>
      <c r="F923"/>
      <c r="G923"/>
      <c r="H923"/>
      <c r="I923"/>
      <c r="J923"/>
      <c r="K923"/>
      <c r="L923"/>
      <c r="M923"/>
      <c r="N923"/>
      <c r="O923"/>
      <c r="P923"/>
      <c r="Q923"/>
      <c r="R923"/>
      <c r="S923"/>
      <c r="T923"/>
      <c r="U923"/>
      <c r="V923"/>
      <c r="W923"/>
      <c r="X923"/>
      <c r="Y923"/>
      <c r="Z923"/>
      <c r="AA923"/>
    </row>
    <row r="924" spans="1:27" s="1" customFormat="1" x14ac:dyDescent="0.3">
      <c r="A924"/>
      <c r="B924"/>
      <c r="C924"/>
      <c r="D924"/>
      <c r="E924"/>
      <c r="F924"/>
      <c r="G924"/>
      <c r="H924"/>
      <c r="I924"/>
      <c r="J924"/>
      <c r="K924"/>
      <c r="L924"/>
      <c r="M924"/>
      <c r="N924"/>
      <c r="O924"/>
      <c r="P924"/>
      <c r="Q924"/>
      <c r="R924"/>
      <c r="S924"/>
      <c r="T924"/>
      <c r="U924"/>
      <c r="V924"/>
      <c r="W924"/>
      <c r="X924"/>
      <c r="Y924"/>
      <c r="Z924"/>
      <c r="AA924"/>
    </row>
    <row r="925" spans="1:27" s="1" customFormat="1" x14ac:dyDescent="0.3">
      <c r="A925"/>
      <c r="B925"/>
      <c r="C925"/>
      <c r="D925"/>
      <c r="E925"/>
      <c r="F925"/>
      <c r="G925"/>
      <c r="H925"/>
      <c r="I925"/>
      <c r="J925"/>
      <c r="K925"/>
      <c r="L925"/>
      <c r="M925"/>
      <c r="N925"/>
      <c r="O925"/>
      <c r="P925"/>
      <c r="Q925"/>
      <c r="R925"/>
      <c r="S925"/>
      <c r="T925"/>
      <c r="U925"/>
      <c r="V925"/>
      <c r="W925"/>
      <c r="X925"/>
      <c r="Y925"/>
      <c r="Z925"/>
      <c r="AA925"/>
    </row>
    <row r="926" spans="1:27" s="1" customFormat="1" x14ac:dyDescent="0.3">
      <c r="A926"/>
      <c r="B926"/>
      <c r="C926"/>
      <c r="D926"/>
      <c r="E926"/>
      <c r="F926"/>
      <c r="G926"/>
      <c r="H926"/>
      <c r="I926"/>
      <c r="J926"/>
      <c r="K926"/>
      <c r="L926"/>
      <c r="M926"/>
      <c r="N926"/>
      <c r="O926"/>
      <c r="P926"/>
      <c r="Q926"/>
      <c r="R926"/>
      <c r="S926"/>
      <c r="T926"/>
      <c r="U926"/>
      <c r="V926"/>
      <c r="W926"/>
      <c r="X926"/>
      <c r="Y926"/>
      <c r="Z926"/>
      <c r="AA926"/>
    </row>
    <row r="927" spans="1:27" s="1" customFormat="1" x14ac:dyDescent="0.3">
      <c r="A927"/>
      <c r="B927"/>
      <c r="C927"/>
      <c r="D927"/>
      <c r="E927"/>
      <c r="F927"/>
      <c r="G927"/>
      <c r="H927"/>
      <c r="I927"/>
      <c r="J927"/>
      <c r="K927"/>
      <c r="L927"/>
      <c r="M927"/>
      <c r="N927"/>
      <c r="O927"/>
      <c r="P927"/>
      <c r="Q927"/>
      <c r="R927"/>
      <c r="S927"/>
      <c r="T927"/>
      <c r="U927"/>
      <c r="V927"/>
      <c r="W927"/>
      <c r="X927"/>
      <c r="Y927"/>
      <c r="Z927"/>
      <c r="AA927"/>
    </row>
    <row r="928" spans="1:27" s="1" customFormat="1" x14ac:dyDescent="0.3">
      <c r="A928"/>
      <c r="B928"/>
      <c r="C928"/>
      <c r="D928"/>
      <c r="E928"/>
      <c r="F928"/>
      <c r="G928"/>
      <c r="H928"/>
      <c r="I928"/>
      <c r="J928"/>
      <c r="K928"/>
      <c r="L928"/>
      <c r="M928"/>
      <c r="N928"/>
      <c r="O928"/>
      <c r="P928"/>
      <c r="Q928"/>
      <c r="R928"/>
      <c r="S928"/>
      <c r="T928"/>
      <c r="U928"/>
      <c r="V928"/>
      <c r="W928"/>
      <c r="X928"/>
      <c r="Y928"/>
      <c r="Z928"/>
      <c r="AA928"/>
    </row>
    <row r="929" spans="1:27" s="1" customFormat="1" x14ac:dyDescent="0.3">
      <c r="A929"/>
      <c r="B929"/>
      <c r="C929"/>
      <c r="D929"/>
      <c r="E929"/>
      <c r="F929"/>
      <c r="G929"/>
      <c r="H929"/>
      <c r="I929"/>
      <c r="J929"/>
      <c r="K929"/>
      <c r="L929"/>
      <c r="M929"/>
      <c r="N929"/>
      <c r="O929"/>
      <c r="P929"/>
      <c r="Q929"/>
      <c r="R929"/>
      <c r="S929"/>
      <c r="T929"/>
      <c r="U929"/>
      <c r="V929"/>
      <c r="W929"/>
      <c r="X929"/>
      <c r="Y929"/>
      <c r="Z929"/>
      <c r="AA929"/>
    </row>
    <row r="930" spans="1:27" s="1" customFormat="1" x14ac:dyDescent="0.3">
      <c r="A930"/>
      <c r="B930"/>
      <c r="C930"/>
      <c r="D930"/>
      <c r="E930"/>
      <c r="F930"/>
      <c r="G930"/>
      <c r="H930"/>
      <c r="I930"/>
      <c r="J930"/>
      <c r="K930"/>
      <c r="L930"/>
      <c r="M930"/>
      <c r="N930"/>
      <c r="O930"/>
      <c r="P930"/>
      <c r="Q930"/>
      <c r="R930"/>
      <c r="S930"/>
      <c r="T930"/>
      <c r="U930"/>
      <c r="V930"/>
      <c r="W930"/>
      <c r="X930"/>
      <c r="Y930"/>
      <c r="Z930"/>
      <c r="AA930"/>
    </row>
    <row r="931" spans="1:27" s="1" customFormat="1" x14ac:dyDescent="0.3">
      <c r="A931"/>
      <c r="B931"/>
      <c r="C931"/>
      <c r="D931"/>
      <c r="E931"/>
      <c r="F931"/>
      <c r="G931"/>
      <c r="H931"/>
      <c r="I931"/>
      <c r="J931"/>
      <c r="K931"/>
      <c r="L931"/>
      <c r="M931"/>
      <c r="N931"/>
      <c r="O931"/>
      <c r="P931"/>
      <c r="Q931"/>
      <c r="R931"/>
      <c r="S931"/>
      <c r="T931"/>
      <c r="U931"/>
      <c r="V931"/>
      <c r="W931"/>
      <c r="X931"/>
      <c r="Y931"/>
      <c r="Z931"/>
      <c r="AA931"/>
    </row>
    <row r="932" spans="1:27" s="1" customFormat="1" x14ac:dyDescent="0.3">
      <c r="A932"/>
      <c r="B932"/>
      <c r="C932"/>
      <c r="D932"/>
      <c r="E932"/>
      <c r="F932"/>
      <c r="G932"/>
      <c r="H932"/>
      <c r="I932"/>
      <c r="J932"/>
      <c r="K932"/>
      <c r="L932"/>
      <c r="M932"/>
      <c r="N932"/>
      <c r="O932"/>
      <c r="P932"/>
      <c r="Q932"/>
      <c r="R932"/>
      <c r="S932"/>
      <c r="T932"/>
      <c r="U932"/>
      <c r="V932"/>
      <c r="W932"/>
      <c r="X932"/>
      <c r="Y932"/>
      <c r="Z932"/>
      <c r="AA932"/>
    </row>
    <row r="933" spans="1:27" s="1" customFormat="1" x14ac:dyDescent="0.3">
      <c r="A933"/>
      <c r="B933"/>
      <c r="C933"/>
      <c r="D933"/>
      <c r="E933"/>
      <c r="F933"/>
      <c r="G933"/>
      <c r="H933"/>
      <c r="I933"/>
      <c r="J933"/>
      <c r="K933"/>
      <c r="L933"/>
      <c r="M933"/>
      <c r="N933"/>
      <c r="O933"/>
      <c r="P933"/>
      <c r="Q933"/>
      <c r="R933"/>
      <c r="S933"/>
      <c r="T933"/>
      <c r="U933"/>
      <c r="V933"/>
      <c r="W933"/>
      <c r="X933"/>
      <c r="Y933"/>
      <c r="Z933"/>
      <c r="AA933"/>
    </row>
    <row r="934" spans="1:27" s="1" customFormat="1" x14ac:dyDescent="0.3">
      <c r="A934"/>
      <c r="B934"/>
      <c r="C934"/>
      <c r="D934"/>
      <c r="E934"/>
      <c r="F934"/>
      <c r="G934"/>
      <c r="H934"/>
      <c r="I934"/>
      <c r="J934"/>
      <c r="K934"/>
      <c r="L934"/>
      <c r="M934"/>
      <c r="N934"/>
      <c r="O934"/>
      <c r="P934"/>
      <c r="Q934"/>
      <c r="R934"/>
      <c r="S934"/>
      <c r="T934"/>
      <c r="U934"/>
      <c r="V934"/>
      <c r="W934"/>
      <c r="X934"/>
      <c r="Y934"/>
      <c r="Z934"/>
      <c r="AA934"/>
    </row>
    <row r="935" spans="1:27" s="1" customFormat="1" x14ac:dyDescent="0.3">
      <c r="A935"/>
      <c r="B935"/>
      <c r="C935"/>
      <c r="D935"/>
      <c r="E935"/>
      <c r="F935"/>
      <c r="G935"/>
      <c r="H935"/>
      <c r="I935"/>
      <c r="J935"/>
      <c r="K935"/>
      <c r="L935"/>
      <c r="M935"/>
      <c r="N935"/>
      <c r="O935"/>
      <c r="P935"/>
      <c r="Q935"/>
      <c r="R935"/>
      <c r="S935"/>
      <c r="T935"/>
      <c r="U935"/>
      <c r="V935"/>
      <c r="W935"/>
      <c r="X935"/>
      <c r="Y935"/>
      <c r="Z935"/>
      <c r="AA935"/>
    </row>
    <row r="936" spans="1:27" s="1" customFormat="1" x14ac:dyDescent="0.3">
      <c r="A936"/>
      <c r="B936"/>
      <c r="C936"/>
      <c r="D936"/>
      <c r="E936"/>
      <c r="F936"/>
      <c r="G936"/>
      <c r="H936"/>
      <c r="I936"/>
      <c r="J936"/>
      <c r="K936"/>
      <c r="L936"/>
      <c r="M936"/>
      <c r="N936"/>
      <c r="O936"/>
      <c r="P936"/>
      <c r="Q936"/>
      <c r="R936"/>
      <c r="S936"/>
      <c r="T936"/>
      <c r="U936"/>
      <c r="V936"/>
      <c r="W936"/>
      <c r="X936"/>
      <c r="Y936"/>
      <c r="Z936"/>
      <c r="AA936"/>
    </row>
    <row r="937" spans="1:27" s="1" customFormat="1" x14ac:dyDescent="0.3">
      <c r="A937"/>
      <c r="B937"/>
      <c r="C937"/>
      <c r="D937"/>
      <c r="E937"/>
      <c r="F937"/>
      <c r="G937"/>
      <c r="H937"/>
      <c r="I937"/>
      <c r="J937"/>
      <c r="K937"/>
      <c r="L937"/>
      <c r="M937"/>
      <c r="N937"/>
      <c r="O937"/>
      <c r="P937"/>
      <c r="Q937"/>
      <c r="R937"/>
      <c r="S937"/>
      <c r="T937"/>
      <c r="U937"/>
      <c r="V937"/>
      <c r="W937"/>
      <c r="X937"/>
      <c r="Y937"/>
      <c r="Z937"/>
      <c r="AA937"/>
    </row>
    <row r="938" spans="1:27" s="1" customFormat="1" x14ac:dyDescent="0.3">
      <c r="A938"/>
      <c r="B938"/>
      <c r="C938"/>
      <c r="D938"/>
      <c r="E938"/>
      <c r="F938"/>
      <c r="G938"/>
      <c r="H938"/>
      <c r="I938"/>
      <c r="J938"/>
      <c r="K938"/>
      <c r="L938"/>
      <c r="M938"/>
      <c r="N938"/>
      <c r="O938"/>
      <c r="P938"/>
      <c r="Q938"/>
      <c r="R938"/>
      <c r="S938"/>
      <c r="T938"/>
      <c r="U938"/>
      <c r="V938"/>
      <c r="W938"/>
      <c r="X938"/>
      <c r="Y938"/>
      <c r="Z938"/>
      <c r="AA938"/>
    </row>
    <row r="939" spans="1:27" s="1" customFormat="1" x14ac:dyDescent="0.3">
      <c r="A939"/>
      <c r="B939"/>
      <c r="C939"/>
      <c r="D939"/>
      <c r="E939"/>
      <c r="F939"/>
      <c r="G939"/>
      <c r="H939"/>
      <c r="I939"/>
      <c r="J939"/>
      <c r="K939"/>
      <c r="L939"/>
      <c r="M939"/>
      <c r="N939"/>
      <c r="O939"/>
      <c r="P939"/>
      <c r="Q939"/>
      <c r="R939"/>
      <c r="S939"/>
      <c r="T939"/>
      <c r="U939"/>
      <c r="V939"/>
      <c r="W939"/>
      <c r="X939"/>
      <c r="Y939"/>
      <c r="Z939"/>
      <c r="AA939"/>
    </row>
    <row r="940" spans="1:27" s="1" customFormat="1" x14ac:dyDescent="0.3">
      <c r="A940"/>
      <c r="B940"/>
      <c r="C940"/>
      <c r="D940"/>
      <c r="E940"/>
      <c r="F940"/>
      <c r="G940"/>
      <c r="H940"/>
      <c r="I940"/>
      <c r="J940"/>
      <c r="K940"/>
      <c r="L940"/>
      <c r="M940"/>
      <c r="N940"/>
      <c r="O940"/>
      <c r="P940"/>
      <c r="Q940"/>
      <c r="R940"/>
      <c r="S940"/>
      <c r="T940"/>
      <c r="U940"/>
      <c r="V940"/>
      <c r="W940"/>
      <c r="X940"/>
      <c r="Y940"/>
      <c r="Z940"/>
      <c r="AA940"/>
    </row>
    <row r="941" spans="1:27" s="1" customFormat="1" x14ac:dyDescent="0.3">
      <c r="A941"/>
      <c r="B941"/>
      <c r="C941"/>
      <c r="D941"/>
      <c r="E941"/>
      <c r="F941"/>
      <c r="G941"/>
      <c r="H941"/>
      <c r="I941"/>
      <c r="J941"/>
      <c r="K941"/>
      <c r="L941"/>
      <c r="M941"/>
      <c r="N941"/>
      <c r="O941"/>
      <c r="P941"/>
      <c r="Q941"/>
      <c r="R941"/>
      <c r="S941"/>
      <c r="T941"/>
      <c r="U941"/>
      <c r="V941"/>
      <c r="W941"/>
      <c r="X941"/>
      <c r="Y941"/>
      <c r="Z941"/>
      <c r="AA941"/>
    </row>
    <row r="942" spans="1:27" s="1" customFormat="1" x14ac:dyDescent="0.3">
      <c r="A942"/>
      <c r="B942"/>
      <c r="C942"/>
      <c r="D942"/>
      <c r="E942"/>
      <c r="F942"/>
      <c r="G942"/>
      <c r="H942"/>
      <c r="I942"/>
      <c r="J942"/>
      <c r="K942"/>
      <c r="L942"/>
      <c r="M942"/>
      <c r="N942"/>
      <c r="O942"/>
      <c r="P942"/>
      <c r="Q942"/>
      <c r="R942"/>
      <c r="S942"/>
      <c r="T942"/>
      <c r="U942"/>
      <c r="V942"/>
      <c r="W942"/>
      <c r="X942"/>
      <c r="Y942"/>
      <c r="Z942"/>
      <c r="AA942"/>
    </row>
    <row r="943" spans="1:27" s="1" customFormat="1" x14ac:dyDescent="0.3">
      <c r="A943"/>
      <c r="B943"/>
      <c r="C943"/>
      <c r="D943"/>
      <c r="E943"/>
      <c r="F943"/>
      <c r="G943"/>
      <c r="H943"/>
      <c r="I943"/>
      <c r="J943"/>
      <c r="K943"/>
      <c r="L943"/>
      <c r="M943"/>
      <c r="N943"/>
      <c r="O943"/>
      <c r="P943"/>
      <c r="Q943"/>
      <c r="R943"/>
      <c r="S943"/>
      <c r="T943"/>
      <c r="U943"/>
      <c r="V943"/>
      <c r="W943"/>
      <c r="X943"/>
      <c r="Y943"/>
      <c r="Z943"/>
      <c r="AA943"/>
    </row>
    <row r="944" spans="1:27" s="1" customFormat="1" x14ac:dyDescent="0.3">
      <c r="A944"/>
      <c r="B944"/>
      <c r="C944"/>
      <c r="D944"/>
      <c r="E944"/>
      <c r="F944"/>
      <c r="G944"/>
      <c r="H944"/>
      <c r="I944"/>
      <c r="J944"/>
      <c r="K944"/>
      <c r="L944"/>
      <c r="M944"/>
      <c r="N944"/>
      <c r="O944"/>
      <c r="P944"/>
      <c r="Q944"/>
      <c r="R944"/>
      <c r="S944"/>
      <c r="T944"/>
      <c r="U944"/>
      <c r="V944"/>
      <c r="W944"/>
      <c r="X944"/>
      <c r="Y944"/>
      <c r="Z944"/>
      <c r="AA944"/>
    </row>
    <row r="945" spans="1:27" s="1" customFormat="1" x14ac:dyDescent="0.3">
      <c r="A945"/>
      <c r="B945"/>
      <c r="C945"/>
      <c r="D945"/>
      <c r="E945"/>
      <c r="F945"/>
      <c r="G945"/>
      <c r="H945"/>
      <c r="I945"/>
      <c r="J945"/>
      <c r="K945"/>
      <c r="L945"/>
      <c r="M945"/>
      <c r="N945"/>
      <c r="O945"/>
      <c r="P945"/>
      <c r="Q945"/>
      <c r="R945"/>
      <c r="S945"/>
      <c r="T945"/>
      <c r="U945"/>
      <c r="V945"/>
      <c r="W945"/>
      <c r="X945"/>
      <c r="Y945"/>
      <c r="Z945"/>
      <c r="AA945"/>
    </row>
    <row r="946" spans="1:27" s="1" customFormat="1" x14ac:dyDescent="0.3">
      <c r="A946"/>
      <c r="B946"/>
      <c r="C946"/>
      <c r="D946"/>
      <c r="E946"/>
      <c r="F946"/>
      <c r="G946"/>
      <c r="H946"/>
      <c r="I946"/>
      <c r="J946"/>
      <c r="K946"/>
      <c r="L946"/>
      <c r="M946"/>
      <c r="N946"/>
      <c r="O946"/>
      <c r="P946"/>
      <c r="Q946"/>
      <c r="R946"/>
      <c r="S946"/>
      <c r="T946"/>
      <c r="U946"/>
      <c r="V946"/>
      <c r="W946"/>
      <c r="X946"/>
      <c r="Y946"/>
      <c r="Z946"/>
      <c r="AA946"/>
    </row>
    <row r="947" spans="1:27" s="1" customFormat="1" x14ac:dyDescent="0.3">
      <c r="A947"/>
      <c r="B947"/>
      <c r="C947"/>
      <c r="D947"/>
      <c r="E947"/>
      <c r="F947"/>
      <c r="G947"/>
      <c r="H947"/>
      <c r="I947"/>
      <c r="J947"/>
      <c r="K947"/>
      <c r="L947"/>
      <c r="M947"/>
      <c r="N947"/>
      <c r="O947"/>
      <c r="P947"/>
      <c r="Q947"/>
      <c r="R947"/>
      <c r="S947"/>
      <c r="T947"/>
      <c r="U947"/>
      <c r="V947"/>
      <c r="W947"/>
      <c r="X947"/>
      <c r="Y947"/>
      <c r="Z947"/>
      <c r="AA947"/>
    </row>
    <row r="948" spans="1:27" s="1" customFormat="1" x14ac:dyDescent="0.3">
      <c r="A948"/>
      <c r="B948"/>
      <c r="C948"/>
      <c r="D948"/>
      <c r="E948"/>
      <c r="F948"/>
      <c r="G948"/>
      <c r="H948"/>
      <c r="I948"/>
      <c r="J948"/>
      <c r="K948"/>
      <c r="L948"/>
      <c r="M948"/>
      <c r="N948"/>
      <c r="O948"/>
      <c r="P948"/>
      <c r="Q948"/>
      <c r="R948"/>
      <c r="S948"/>
      <c r="T948"/>
      <c r="U948"/>
      <c r="V948"/>
      <c r="W948"/>
      <c r="X948"/>
      <c r="Y948"/>
      <c r="Z948"/>
      <c r="AA948"/>
    </row>
    <row r="949" spans="1:27" s="1" customFormat="1" x14ac:dyDescent="0.3">
      <c r="A949"/>
      <c r="B949"/>
      <c r="C949"/>
      <c r="D949"/>
      <c r="E949"/>
      <c r="F949"/>
      <c r="G949"/>
      <c r="H949"/>
      <c r="I949"/>
      <c r="J949"/>
      <c r="K949"/>
      <c r="L949"/>
      <c r="M949"/>
      <c r="N949"/>
      <c r="O949"/>
      <c r="P949"/>
      <c r="Q949"/>
      <c r="R949"/>
      <c r="S949"/>
      <c r="T949"/>
      <c r="U949"/>
      <c r="V949"/>
      <c r="W949"/>
      <c r="X949"/>
      <c r="Y949"/>
      <c r="Z949"/>
      <c r="AA949"/>
    </row>
    <row r="950" spans="1:27" s="1" customFormat="1" x14ac:dyDescent="0.3">
      <c r="A950"/>
      <c r="B950"/>
      <c r="C950"/>
      <c r="D950"/>
      <c r="E950"/>
      <c r="F950"/>
      <c r="G950"/>
      <c r="H950"/>
      <c r="I950"/>
      <c r="J950"/>
      <c r="K950"/>
      <c r="L950"/>
      <c r="M950"/>
      <c r="N950"/>
      <c r="O950"/>
      <c r="P950"/>
      <c r="Q950"/>
      <c r="R950"/>
      <c r="S950"/>
      <c r="T950"/>
      <c r="U950"/>
      <c r="V950"/>
      <c r="W950"/>
      <c r="X950"/>
      <c r="Y950"/>
      <c r="Z950"/>
      <c r="AA950"/>
    </row>
    <row r="951" spans="1:27" s="1" customFormat="1" x14ac:dyDescent="0.3">
      <c r="A951"/>
      <c r="B951"/>
      <c r="C951"/>
      <c r="D951"/>
      <c r="E951"/>
      <c r="F951"/>
      <c r="G951"/>
      <c r="H951"/>
      <c r="I951"/>
      <c r="J951"/>
      <c r="K951"/>
      <c r="L951"/>
      <c r="M951"/>
      <c r="N951"/>
      <c r="O951"/>
      <c r="P951"/>
      <c r="Q951"/>
      <c r="R951"/>
      <c r="S951"/>
      <c r="T951"/>
      <c r="U951"/>
      <c r="V951"/>
      <c r="W951"/>
      <c r="X951"/>
      <c r="Y951"/>
      <c r="Z951"/>
      <c r="AA951"/>
    </row>
    <row r="952" spans="1:27" s="1" customFormat="1" x14ac:dyDescent="0.3">
      <c r="A952"/>
      <c r="B952"/>
      <c r="C952"/>
      <c r="D952"/>
      <c r="E952"/>
      <c r="F952"/>
      <c r="G952"/>
      <c r="H952"/>
      <c r="I952"/>
      <c r="J952"/>
      <c r="K952"/>
      <c r="L952"/>
      <c r="M952"/>
      <c r="N952"/>
      <c r="O952"/>
      <c r="P952"/>
      <c r="Q952"/>
      <c r="R952"/>
      <c r="S952"/>
      <c r="T952"/>
      <c r="U952"/>
      <c r="V952"/>
      <c r="W952"/>
      <c r="X952"/>
      <c r="Y952"/>
      <c r="Z952"/>
      <c r="AA952"/>
    </row>
    <row r="953" spans="1:27" s="1" customFormat="1" x14ac:dyDescent="0.3">
      <c r="A953"/>
      <c r="B953"/>
      <c r="C953"/>
      <c r="D953"/>
      <c r="E953"/>
      <c r="F953"/>
      <c r="G953"/>
      <c r="H953"/>
      <c r="I953"/>
      <c r="J953"/>
      <c r="K953"/>
      <c r="L953"/>
      <c r="M953"/>
      <c r="N953"/>
      <c r="O953"/>
      <c r="P953"/>
      <c r="Q953"/>
      <c r="R953"/>
      <c r="S953"/>
      <c r="T953"/>
      <c r="U953"/>
      <c r="V953"/>
      <c r="W953"/>
      <c r="X953"/>
      <c r="Y953"/>
      <c r="Z953"/>
      <c r="AA953"/>
    </row>
    <row r="954" spans="1:27" s="1" customFormat="1" x14ac:dyDescent="0.3">
      <c r="A954"/>
      <c r="B954"/>
      <c r="C954"/>
      <c r="D954"/>
      <c r="E954"/>
      <c r="F954"/>
      <c r="G954"/>
      <c r="H954"/>
      <c r="I954"/>
      <c r="J954"/>
      <c r="K954"/>
      <c r="L954"/>
      <c r="M954"/>
      <c r="N954"/>
      <c r="O954"/>
      <c r="P954"/>
      <c r="Q954"/>
      <c r="R954"/>
      <c r="S954"/>
      <c r="T954"/>
      <c r="U954"/>
      <c r="V954"/>
      <c r="W954"/>
      <c r="X954"/>
      <c r="Y954"/>
      <c r="Z954"/>
      <c r="AA954"/>
    </row>
    <row r="955" spans="1:27" s="1" customFormat="1" x14ac:dyDescent="0.3">
      <c r="A955"/>
      <c r="B955"/>
      <c r="C955"/>
      <c r="D955"/>
      <c r="E955"/>
      <c r="F955"/>
      <c r="G955"/>
      <c r="H955"/>
      <c r="I955"/>
      <c r="J955"/>
      <c r="K955"/>
      <c r="L955"/>
      <c r="M955"/>
      <c r="N955"/>
      <c r="O955"/>
      <c r="P955"/>
      <c r="Q955"/>
      <c r="R955"/>
      <c r="S955"/>
      <c r="T955"/>
      <c r="U955"/>
      <c r="V955"/>
      <c r="W955"/>
      <c r="X955"/>
      <c r="Y955"/>
      <c r="Z955"/>
      <c r="AA955"/>
    </row>
    <row r="956" spans="1:27" s="1" customFormat="1" x14ac:dyDescent="0.3">
      <c r="A956"/>
      <c r="B956"/>
      <c r="C956"/>
      <c r="D956"/>
      <c r="E956"/>
      <c r="F956"/>
      <c r="G956"/>
      <c r="H956"/>
      <c r="I956"/>
      <c r="J956"/>
      <c r="K956"/>
      <c r="L956"/>
      <c r="M956"/>
      <c r="N956"/>
      <c r="O956"/>
      <c r="P956"/>
      <c r="Q956"/>
      <c r="R956"/>
      <c r="S956"/>
      <c r="T956"/>
      <c r="U956"/>
      <c r="V956"/>
      <c r="W956"/>
      <c r="X956"/>
      <c r="Y956"/>
      <c r="Z956"/>
      <c r="AA956"/>
    </row>
    <row r="957" spans="1:27" s="1" customFormat="1" x14ac:dyDescent="0.3">
      <c r="A957"/>
      <c r="B957"/>
      <c r="C957"/>
      <c r="D957"/>
      <c r="E957"/>
      <c r="F957"/>
      <c r="G957"/>
      <c r="H957"/>
      <c r="I957"/>
      <c r="J957"/>
      <c r="K957"/>
      <c r="L957"/>
      <c r="M957"/>
      <c r="N957"/>
      <c r="O957"/>
      <c r="P957"/>
      <c r="Q957"/>
      <c r="R957"/>
      <c r="S957"/>
      <c r="T957"/>
      <c r="U957"/>
      <c r="V957"/>
      <c r="W957"/>
      <c r="X957"/>
      <c r="Y957"/>
      <c r="Z957"/>
      <c r="AA957"/>
    </row>
    <row r="958" spans="1:27" s="1" customFormat="1" x14ac:dyDescent="0.3">
      <c r="A958"/>
      <c r="B958"/>
      <c r="C958"/>
      <c r="D958"/>
      <c r="E958"/>
      <c r="F958"/>
      <c r="G958"/>
      <c r="H958"/>
      <c r="I958"/>
      <c r="J958"/>
      <c r="K958"/>
      <c r="L958"/>
      <c r="M958"/>
      <c r="N958"/>
      <c r="O958"/>
      <c r="P958"/>
      <c r="Q958"/>
      <c r="R958"/>
      <c r="S958"/>
      <c r="T958"/>
      <c r="U958"/>
      <c r="V958"/>
      <c r="W958"/>
      <c r="X958"/>
      <c r="Y958"/>
      <c r="Z958"/>
      <c r="AA958"/>
    </row>
    <row r="959" spans="1:27" s="1" customFormat="1" x14ac:dyDescent="0.3">
      <c r="A959"/>
      <c r="B959"/>
      <c r="C959"/>
      <c r="D959"/>
      <c r="E959"/>
      <c r="F959"/>
      <c r="G959"/>
      <c r="H959"/>
      <c r="I959"/>
      <c r="J959"/>
      <c r="K959"/>
      <c r="L959"/>
      <c r="M959"/>
      <c r="N959"/>
      <c r="O959"/>
      <c r="P959"/>
      <c r="Q959"/>
      <c r="R959"/>
      <c r="S959"/>
      <c r="T959"/>
      <c r="U959"/>
      <c r="V959"/>
      <c r="W959"/>
      <c r="X959"/>
      <c r="Y959"/>
      <c r="Z959"/>
      <c r="AA959"/>
    </row>
    <row r="960" spans="1:27" s="1" customFormat="1" x14ac:dyDescent="0.3">
      <c r="A960"/>
      <c r="B960"/>
      <c r="C960"/>
      <c r="D960"/>
      <c r="E960"/>
      <c r="F960"/>
      <c r="G960"/>
      <c r="H960"/>
      <c r="I960"/>
      <c r="J960"/>
      <c r="K960"/>
      <c r="L960"/>
      <c r="M960"/>
      <c r="N960"/>
      <c r="O960"/>
      <c r="P960"/>
      <c r="Q960"/>
      <c r="R960"/>
      <c r="S960"/>
      <c r="T960"/>
      <c r="U960"/>
      <c r="V960"/>
      <c r="W960"/>
      <c r="X960"/>
      <c r="Y960"/>
      <c r="Z960"/>
      <c r="AA960"/>
    </row>
    <row r="961" spans="1:27" s="1" customFormat="1" x14ac:dyDescent="0.3">
      <c r="A961"/>
      <c r="B961"/>
      <c r="C961"/>
      <c r="D961"/>
      <c r="E961"/>
      <c r="F961"/>
      <c r="G961"/>
      <c r="H961"/>
      <c r="I961"/>
      <c r="J961"/>
      <c r="K961"/>
      <c r="L961"/>
      <c r="M961"/>
      <c r="N961"/>
      <c r="O961"/>
      <c r="P961"/>
      <c r="Q961"/>
      <c r="R961"/>
      <c r="S961"/>
      <c r="T961"/>
      <c r="U961"/>
      <c r="V961"/>
      <c r="W961"/>
      <c r="X961"/>
      <c r="Y961"/>
      <c r="Z961"/>
      <c r="AA961"/>
    </row>
    <row r="962" spans="1:27" s="1" customFormat="1" x14ac:dyDescent="0.3">
      <c r="A962"/>
      <c r="B962"/>
      <c r="C962"/>
      <c r="D962"/>
      <c r="E962"/>
      <c r="F962"/>
      <c r="G962"/>
      <c r="H962"/>
      <c r="I962"/>
      <c r="J962"/>
      <c r="K962"/>
      <c r="L962"/>
      <c r="M962"/>
      <c r="N962"/>
      <c r="O962"/>
      <c r="P962"/>
      <c r="Q962"/>
      <c r="R962"/>
      <c r="S962"/>
      <c r="T962"/>
      <c r="U962"/>
      <c r="V962"/>
      <c r="W962"/>
      <c r="X962"/>
      <c r="Y962"/>
      <c r="Z962"/>
      <c r="AA962"/>
    </row>
    <row r="963" spans="1:27" s="1" customFormat="1" x14ac:dyDescent="0.3">
      <c r="A963"/>
      <c r="B963"/>
      <c r="C963"/>
      <c r="D963"/>
      <c r="E963"/>
      <c r="F963"/>
      <c r="G963"/>
      <c r="H963"/>
      <c r="I963"/>
      <c r="J963"/>
      <c r="K963"/>
      <c r="L963"/>
      <c r="M963"/>
      <c r="N963"/>
      <c r="O963"/>
      <c r="P963"/>
      <c r="Q963"/>
      <c r="R963"/>
      <c r="S963"/>
      <c r="T963"/>
      <c r="U963"/>
      <c r="V963"/>
      <c r="W963"/>
      <c r="X963"/>
      <c r="Y963"/>
      <c r="Z963"/>
      <c r="AA963"/>
    </row>
    <row r="964" spans="1:27" s="1" customFormat="1" x14ac:dyDescent="0.3">
      <c r="A964"/>
      <c r="B964"/>
      <c r="C964"/>
      <c r="D964"/>
      <c r="E964"/>
      <c r="F964"/>
      <c r="G964"/>
      <c r="H964"/>
      <c r="I964"/>
      <c r="J964"/>
      <c r="K964"/>
      <c r="L964"/>
      <c r="M964"/>
      <c r="N964"/>
      <c r="O964"/>
      <c r="P964"/>
      <c r="Q964"/>
      <c r="R964"/>
      <c r="S964"/>
      <c r="T964"/>
      <c r="U964"/>
      <c r="V964"/>
      <c r="W964"/>
      <c r="X964"/>
      <c r="Y964"/>
      <c r="Z964"/>
      <c r="AA964"/>
    </row>
    <row r="965" spans="1:27" s="1" customFormat="1" x14ac:dyDescent="0.3">
      <c r="A965"/>
      <c r="B965"/>
      <c r="C965"/>
      <c r="D965"/>
      <c r="E965"/>
      <c r="F965"/>
      <c r="G965"/>
      <c r="H965"/>
      <c r="I965"/>
      <c r="J965"/>
      <c r="K965"/>
      <c r="L965"/>
      <c r="M965"/>
      <c r="N965"/>
      <c r="O965"/>
      <c r="P965"/>
      <c r="Q965"/>
      <c r="R965"/>
      <c r="S965"/>
      <c r="T965"/>
      <c r="U965"/>
      <c r="V965"/>
      <c r="W965"/>
      <c r="X965"/>
      <c r="Y965"/>
      <c r="Z965"/>
      <c r="AA965"/>
    </row>
    <row r="966" spans="1:27" s="1" customFormat="1" x14ac:dyDescent="0.3">
      <c r="A966"/>
      <c r="B966"/>
      <c r="C966"/>
      <c r="D966"/>
      <c r="E966"/>
      <c r="F966"/>
      <c r="G966"/>
      <c r="H966"/>
      <c r="I966"/>
      <c r="J966"/>
      <c r="K966"/>
      <c r="L966"/>
      <c r="M966"/>
      <c r="N966"/>
      <c r="O966"/>
      <c r="P966"/>
      <c r="Q966"/>
      <c r="R966"/>
      <c r="S966"/>
      <c r="T966"/>
      <c r="U966"/>
      <c r="V966"/>
      <c r="W966"/>
      <c r="X966"/>
      <c r="Y966"/>
      <c r="Z966"/>
      <c r="AA966"/>
    </row>
    <row r="967" spans="1:27" s="1" customFormat="1" x14ac:dyDescent="0.3">
      <c r="A967"/>
      <c r="B967"/>
      <c r="C967"/>
      <c r="D967"/>
      <c r="E967"/>
      <c r="F967"/>
      <c r="G967"/>
      <c r="H967"/>
      <c r="I967"/>
      <c r="J967"/>
      <c r="K967"/>
      <c r="L967"/>
      <c r="M967"/>
      <c r="N967"/>
      <c r="O967"/>
      <c r="P967"/>
      <c r="Q967"/>
      <c r="R967"/>
      <c r="S967"/>
      <c r="T967"/>
      <c r="U967"/>
      <c r="V967"/>
      <c r="W967"/>
      <c r="X967"/>
      <c r="Y967"/>
      <c r="Z967"/>
      <c r="AA967"/>
    </row>
    <row r="968" spans="1:27" s="1" customFormat="1" x14ac:dyDescent="0.3">
      <c r="A968"/>
      <c r="B968"/>
      <c r="C968"/>
      <c r="D968"/>
      <c r="E968"/>
      <c r="F968"/>
      <c r="G968"/>
      <c r="H968"/>
      <c r="I968"/>
      <c r="J968"/>
      <c r="K968"/>
      <c r="L968"/>
      <c r="M968"/>
      <c r="N968"/>
      <c r="O968"/>
      <c r="P968"/>
      <c r="Q968"/>
      <c r="R968"/>
      <c r="S968"/>
      <c r="T968"/>
      <c r="U968"/>
      <c r="V968"/>
      <c r="W968"/>
      <c r="X968"/>
      <c r="Y968"/>
      <c r="Z968"/>
      <c r="AA968"/>
    </row>
    <row r="969" spans="1:27" s="1" customFormat="1" x14ac:dyDescent="0.3">
      <c r="A969"/>
      <c r="B969"/>
      <c r="C969"/>
      <c r="D969"/>
      <c r="E969"/>
      <c r="F969"/>
      <c r="G969"/>
      <c r="H969"/>
      <c r="I969"/>
      <c r="J969"/>
      <c r="K969"/>
      <c r="L969"/>
      <c r="M969"/>
      <c r="N969"/>
      <c r="O969"/>
      <c r="P969"/>
      <c r="Q969"/>
      <c r="R969"/>
      <c r="S969"/>
      <c r="T969"/>
      <c r="U969"/>
      <c r="V969"/>
      <c r="W969"/>
      <c r="X969"/>
      <c r="Y969"/>
      <c r="Z969"/>
      <c r="AA969"/>
    </row>
    <row r="970" spans="1:27" s="1" customFormat="1" x14ac:dyDescent="0.3">
      <c r="A970"/>
      <c r="B970"/>
      <c r="C970"/>
      <c r="D970"/>
      <c r="E970"/>
      <c r="F970"/>
      <c r="G970"/>
      <c r="H970"/>
      <c r="I970"/>
      <c r="J970"/>
      <c r="K970"/>
      <c r="L970"/>
      <c r="M970"/>
      <c r="N970"/>
      <c r="O970"/>
      <c r="P970"/>
      <c r="Q970"/>
      <c r="R970"/>
      <c r="S970"/>
      <c r="T970"/>
      <c r="U970"/>
      <c r="V970"/>
      <c r="W970"/>
      <c r="X970"/>
      <c r="Y970"/>
      <c r="Z970"/>
      <c r="AA970"/>
    </row>
    <row r="971" spans="1:27" s="1" customFormat="1" x14ac:dyDescent="0.3">
      <c r="A971"/>
      <c r="B971"/>
      <c r="C971"/>
      <c r="D971"/>
      <c r="E971"/>
      <c r="F971"/>
      <c r="G971"/>
      <c r="H971"/>
      <c r="I971"/>
      <c r="J971"/>
      <c r="K971"/>
      <c r="L971"/>
      <c r="M971"/>
      <c r="N971"/>
      <c r="O971"/>
      <c r="P971"/>
      <c r="Q971"/>
      <c r="R971"/>
      <c r="S971"/>
      <c r="T971"/>
      <c r="U971"/>
      <c r="V971"/>
      <c r="W971"/>
      <c r="X971"/>
      <c r="Y971"/>
      <c r="Z971"/>
      <c r="AA971"/>
    </row>
    <row r="972" spans="1:27" s="1" customFormat="1" x14ac:dyDescent="0.3">
      <c r="A972"/>
      <c r="B972"/>
      <c r="C972"/>
      <c r="D972"/>
      <c r="E972"/>
      <c r="F972"/>
      <c r="G972"/>
      <c r="H972"/>
      <c r="I972"/>
      <c r="J972"/>
      <c r="K972"/>
      <c r="L972"/>
      <c r="M972"/>
      <c r="N972"/>
      <c r="O972"/>
      <c r="P972"/>
      <c r="Q972"/>
      <c r="R972"/>
      <c r="S972"/>
      <c r="T972"/>
      <c r="U972"/>
      <c r="V972"/>
      <c r="W972"/>
      <c r="X972"/>
      <c r="Y972"/>
      <c r="Z972"/>
      <c r="AA972"/>
    </row>
    <row r="973" spans="1:27" s="1" customFormat="1" x14ac:dyDescent="0.3">
      <c r="A973"/>
      <c r="B973"/>
      <c r="C973"/>
      <c r="D973"/>
      <c r="E973"/>
      <c r="F973"/>
      <c r="G973"/>
      <c r="H973"/>
      <c r="I973"/>
      <c r="J973"/>
      <c r="K973"/>
      <c r="L973"/>
      <c r="M973"/>
      <c r="N973"/>
      <c r="O973"/>
      <c r="P973"/>
      <c r="Q973"/>
      <c r="R973"/>
      <c r="S973"/>
      <c r="T973"/>
      <c r="U973"/>
      <c r="V973"/>
      <c r="W973"/>
      <c r="X973"/>
      <c r="Y973"/>
      <c r="Z973"/>
      <c r="AA973"/>
    </row>
    <row r="974" spans="1:27" s="1" customFormat="1" x14ac:dyDescent="0.3">
      <c r="A974"/>
      <c r="B974"/>
      <c r="C974"/>
      <c r="D974"/>
      <c r="E974"/>
      <c r="F974"/>
      <c r="G974"/>
      <c r="H974"/>
      <c r="I974"/>
      <c r="J974"/>
      <c r="K974"/>
      <c r="L974"/>
      <c r="M974"/>
      <c r="N974"/>
      <c r="O974"/>
      <c r="P974"/>
      <c r="Q974"/>
      <c r="R974"/>
      <c r="S974"/>
      <c r="T974"/>
      <c r="U974"/>
      <c r="V974"/>
      <c r="W974"/>
      <c r="X974"/>
      <c r="Y974"/>
      <c r="Z974"/>
      <c r="AA974"/>
    </row>
    <row r="975" spans="1:27" s="1" customFormat="1" x14ac:dyDescent="0.3">
      <c r="A975"/>
      <c r="B975"/>
      <c r="C975"/>
      <c r="D975"/>
      <c r="E975"/>
      <c r="F975"/>
      <c r="G975"/>
      <c r="H975"/>
      <c r="I975"/>
      <c r="J975"/>
      <c r="K975"/>
      <c r="L975"/>
      <c r="M975"/>
      <c r="N975"/>
      <c r="O975"/>
      <c r="P975"/>
      <c r="Q975"/>
      <c r="R975"/>
      <c r="S975"/>
      <c r="T975"/>
      <c r="U975"/>
      <c r="V975"/>
      <c r="W975"/>
      <c r="X975"/>
      <c r="Y975"/>
      <c r="Z975"/>
      <c r="AA975"/>
    </row>
    <row r="976" spans="1:27" s="1" customFormat="1" x14ac:dyDescent="0.3">
      <c r="A976"/>
      <c r="B976"/>
      <c r="C976"/>
      <c r="D976"/>
      <c r="E976"/>
      <c r="F976"/>
      <c r="G976"/>
      <c r="H976"/>
      <c r="I976"/>
      <c r="J976"/>
      <c r="K976"/>
      <c r="L976"/>
      <c r="M976"/>
      <c r="N976"/>
      <c r="O976"/>
      <c r="P976"/>
      <c r="Q976"/>
      <c r="R976"/>
      <c r="S976"/>
      <c r="T976"/>
      <c r="U976"/>
      <c r="V976"/>
      <c r="W976"/>
      <c r="X976"/>
      <c r="Y976"/>
      <c r="Z976"/>
      <c r="AA976"/>
    </row>
    <row r="977" spans="1:27" s="1" customFormat="1" x14ac:dyDescent="0.3">
      <c r="A977"/>
      <c r="B977"/>
      <c r="C977"/>
      <c r="D977"/>
      <c r="E977"/>
      <c r="F977"/>
      <c r="G977"/>
      <c r="H977"/>
      <c r="I977"/>
      <c r="J977"/>
      <c r="K977"/>
      <c r="L977"/>
      <c r="M977"/>
      <c r="N977"/>
      <c r="O977"/>
      <c r="P977"/>
      <c r="Q977"/>
      <c r="R977"/>
      <c r="S977"/>
      <c r="T977"/>
      <c r="U977"/>
      <c r="V977"/>
      <c r="W977"/>
      <c r="X977"/>
      <c r="Y977"/>
      <c r="Z977"/>
      <c r="AA977"/>
    </row>
    <row r="978" spans="1:27" s="1" customFormat="1" x14ac:dyDescent="0.3">
      <c r="A978"/>
      <c r="B978"/>
      <c r="C978"/>
      <c r="D978"/>
      <c r="E978"/>
      <c r="F978"/>
      <c r="G978"/>
      <c r="H978"/>
      <c r="I978"/>
      <c r="J978"/>
      <c r="K978"/>
      <c r="L978"/>
      <c r="M978"/>
      <c r="N978"/>
      <c r="O978"/>
      <c r="P978"/>
      <c r="Q978"/>
      <c r="R978"/>
      <c r="S978"/>
      <c r="T978"/>
      <c r="U978"/>
      <c r="V978"/>
      <c r="W978"/>
      <c r="X978"/>
      <c r="Y978"/>
      <c r="Z978"/>
      <c r="AA978"/>
    </row>
    <row r="979" spans="1:27" s="1" customFormat="1" x14ac:dyDescent="0.3">
      <c r="A979"/>
      <c r="B979"/>
      <c r="C979"/>
      <c r="D979"/>
      <c r="E979"/>
      <c r="F979"/>
      <c r="G979"/>
      <c r="H979"/>
      <c r="I979"/>
      <c r="J979"/>
      <c r="K979"/>
      <c r="L979"/>
      <c r="M979"/>
      <c r="N979"/>
      <c r="O979"/>
      <c r="P979"/>
      <c r="Q979"/>
      <c r="R979"/>
      <c r="S979"/>
      <c r="T979"/>
      <c r="U979"/>
      <c r="V979"/>
      <c r="W979"/>
      <c r="X979"/>
      <c r="Y979"/>
      <c r="Z979"/>
      <c r="AA979"/>
    </row>
    <row r="980" spans="1:27" s="1" customFormat="1" x14ac:dyDescent="0.3">
      <c r="A980"/>
      <c r="B980"/>
      <c r="C980"/>
      <c r="D980"/>
      <c r="E980"/>
      <c r="F980"/>
      <c r="G980"/>
      <c r="H980"/>
      <c r="I980"/>
      <c r="J980"/>
      <c r="K980"/>
      <c r="L980"/>
      <c r="M980"/>
      <c r="N980"/>
      <c r="O980"/>
      <c r="P980"/>
      <c r="Q980"/>
      <c r="R980"/>
      <c r="S980"/>
      <c r="T980"/>
      <c r="U980"/>
      <c r="V980"/>
      <c r="W980"/>
      <c r="X980"/>
      <c r="Y980"/>
      <c r="Z980"/>
      <c r="AA980"/>
    </row>
    <row r="981" spans="1:27" s="1" customFormat="1" x14ac:dyDescent="0.3">
      <c r="A981"/>
      <c r="B981"/>
      <c r="C981"/>
      <c r="D981"/>
      <c r="E981"/>
      <c r="F981"/>
      <c r="G981"/>
      <c r="H981"/>
      <c r="I981"/>
      <c r="J981"/>
      <c r="K981"/>
      <c r="L981"/>
      <c r="M981"/>
      <c r="N981"/>
      <c r="O981"/>
      <c r="P981"/>
      <c r="Q981"/>
      <c r="R981"/>
      <c r="S981"/>
      <c r="T981"/>
      <c r="U981"/>
      <c r="V981"/>
      <c r="W981"/>
      <c r="X981"/>
      <c r="Y981"/>
      <c r="Z981"/>
      <c r="AA981"/>
    </row>
    <row r="982" spans="1:27" s="1" customFormat="1" x14ac:dyDescent="0.3">
      <c r="A982"/>
      <c r="B982"/>
      <c r="C982"/>
      <c r="D982"/>
      <c r="E982"/>
      <c r="F982"/>
      <c r="G982"/>
      <c r="H982"/>
      <c r="I982"/>
      <c r="J982"/>
      <c r="K982"/>
      <c r="L982"/>
      <c r="M982"/>
      <c r="N982"/>
      <c r="O982"/>
      <c r="P982"/>
      <c r="Q982"/>
      <c r="R982"/>
      <c r="S982"/>
      <c r="T982"/>
      <c r="U982"/>
      <c r="V982"/>
      <c r="W982"/>
      <c r="X982"/>
      <c r="Y982"/>
      <c r="Z982"/>
      <c r="AA982"/>
    </row>
    <row r="983" spans="1:27" s="1" customFormat="1" x14ac:dyDescent="0.3">
      <c r="A983"/>
      <c r="B983"/>
      <c r="C983"/>
      <c r="D983"/>
      <c r="E983"/>
      <c r="F983"/>
      <c r="G983"/>
      <c r="H983"/>
      <c r="I983"/>
      <c r="J983"/>
      <c r="K983"/>
      <c r="L983"/>
      <c r="M983"/>
      <c r="N983"/>
      <c r="O983"/>
      <c r="P983"/>
      <c r="Q983"/>
      <c r="R983"/>
      <c r="S983"/>
      <c r="T983"/>
      <c r="U983"/>
      <c r="V983"/>
      <c r="W983"/>
      <c r="X983"/>
      <c r="Y983"/>
      <c r="Z983"/>
      <c r="AA983"/>
    </row>
    <row r="984" spans="1:27" s="1" customFormat="1" x14ac:dyDescent="0.3">
      <c r="A984"/>
      <c r="B984"/>
      <c r="C984"/>
      <c r="D984"/>
      <c r="E984"/>
      <c r="F984"/>
      <c r="G984"/>
      <c r="H984"/>
      <c r="I984"/>
      <c r="J984"/>
      <c r="K984"/>
      <c r="L984"/>
      <c r="M984"/>
      <c r="N984"/>
      <c r="O984"/>
      <c r="P984"/>
      <c r="Q984"/>
      <c r="R984"/>
      <c r="S984"/>
      <c r="T984"/>
      <c r="U984"/>
      <c r="V984"/>
      <c r="W984"/>
      <c r="X984"/>
      <c r="Y984"/>
      <c r="Z984"/>
      <c r="AA984"/>
    </row>
    <row r="985" spans="1:27" s="1" customFormat="1" x14ac:dyDescent="0.3">
      <c r="A985"/>
      <c r="B985"/>
      <c r="C985"/>
      <c r="D985"/>
      <c r="E985"/>
      <c r="F985"/>
      <c r="G985"/>
      <c r="H985"/>
      <c r="I985"/>
      <c r="J985"/>
      <c r="K985"/>
      <c r="L985"/>
      <c r="M985"/>
      <c r="N985"/>
      <c r="O985"/>
      <c r="P985"/>
      <c r="Q985"/>
      <c r="R985"/>
      <c r="S985"/>
      <c r="T985"/>
      <c r="U985"/>
      <c r="V985"/>
      <c r="W985"/>
      <c r="X985"/>
      <c r="Y985"/>
      <c r="Z985"/>
      <c r="AA985"/>
    </row>
    <row r="986" spans="1:27" s="1" customFormat="1" x14ac:dyDescent="0.3">
      <c r="A986"/>
      <c r="B986"/>
      <c r="C986"/>
      <c r="D986"/>
      <c r="E986"/>
      <c r="F986"/>
      <c r="G986"/>
      <c r="H986"/>
      <c r="I986"/>
      <c r="J986"/>
      <c r="K986"/>
      <c r="L986"/>
      <c r="M986"/>
      <c r="N986"/>
      <c r="O986"/>
      <c r="P986"/>
      <c r="Q986"/>
      <c r="R986"/>
      <c r="S986"/>
      <c r="T986"/>
      <c r="U986"/>
      <c r="V986"/>
      <c r="W986"/>
      <c r="X986"/>
      <c r="Y986"/>
      <c r="Z986"/>
      <c r="AA986"/>
    </row>
    <row r="987" spans="1:27" s="1" customFormat="1" x14ac:dyDescent="0.3">
      <c r="A987"/>
      <c r="B987"/>
      <c r="C987"/>
      <c r="D987"/>
      <c r="E987"/>
      <c r="F987"/>
      <c r="G987"/>
      <c r="H987"/>
      <c r="I987"/>
      <c r="J987"/>
      <c r="K987"/>
      <c r="L987"/>
      <c r="M987"/>
      <c r="N987"/>
      <c r="O987"/>
      <c r="P987"/>
      <c r="Q987"/>
      <c r="R987"/>
      <c r="S987"/>
      <c r="T987"/>
      <c r="U987"/>
      <c r="V987"/>
      <c r="W987"/>
      <c r="X987"/>
      <c r="Y987"/>
      <c r="Z987"/>
      <c r="AA987"/>
    </row>
    <row r="988" spans="1:27" s="1" customFormat="1" x14ac:dyDescent="0.3">
      <c r="A988"/>
      <c r="B988"/>
      <c r="C988"/>
      <c r="D988"/>
      <c r="E988"/>
      <c r="F988"/>
      <c r="G988"/>
      <c r="H988"/>
      <c r="I988"/>
      <c r="J988"/>
      <c r="K988"/>
      <c r="L988"/>
      <c r="M988"/>
      <c r="N988"/>
      <c r="O988"/>
      <c r="P988"/>
      <c r="Q988"/>
      <c r="R988"/>
      <c r="S988"/>
      <c r="T988"/>
      <c r="U988"/>
      <c r="V988"/>
      <c r="W988"/>
      <c r="X988"/>
      <c r="Y988"/>
      <c r="Z988"/>
      <c r="AA988"/>
    </row>
    <row r="989" spans="1:27" s="1" customFormat="1" x14ac:dyDescent="0.3">
      <c r="A989"/>
      <c r="B989"/>
      <c r="C989"/>
      <c r="D989"/>
      <c r="E989"/>
      <c r="F989"/>
      <c r="G989"/>
      <c r="H989"/>
      <c r="I989"/>
      <c r="J989"/>
      <c r="K989"/>
      <c r="L989"/>
      <c r="M989"/>
      <c r="N989"/>
      <c r="O989"/>
      <c r="P989"/>
      <c r="Q989"/>
      <c r="R989"/>
      <c r="S989"/>
      <c r="T989"/>
      <c r="U989"/>
      <c r="V989"/>
      <c r="W989"/>
      <c r="X989"/>
      <c r="Y989"/>
      <c r="Z989"/>
      <c r="AA989"/>
    </row>
    <row r="990" spans="1:27" s="1" customFormat="1" x14ac:dyDescent="0.3">
      <c r="A990"/>
      <c r="B990"/>
      <c r="C990"/>
      <c r="D990"/>
      <c r="E990"/>
      <c r="F990"/>
      <c r="G990"/>
      <c r="H990"/>
      <c r="I990"/>
      <c r="J990"/>
      <c r="K990"/>
      <c r="L990"/>
      <c r="M990"/>
      <c r="N990"/>
      <c r="O990"/>
      <c r="P990"/>
      <c r="Q990"/>
      <c r="R990"/>
      <c r="S990"/>
      <c r="T990"/>
      <c r="U990"/>
      <c r="V990"/>
      <c r="W990"/>
      <c r="X990"/>
      <c r="Y990"/>
      <c r="Z990"/>
      <c r="AA990"/>
    </row>
    <row r="991" spans="1:27" s="1" customFormat="1" x14ac:dyDescent="0.3">
      <c r="A991"/>
      <c r="B991"/>
      <c r="C991"/>
      <c r="D991"/>
      <c r="E991"/>
      <c r="F991"/>
      <c r="G991"/>
      <c r="H991"/>
      <c r="I991"/>
      <c r="J991"/>
      <c r="K991"/>
      <c r="L991"/>
      <c r="M991"/>
      <c r="N991"/>
      <c r="O991"/>
      <c r="P991"/>
      <c r="Q991"/>
      <c r="R991"/>
      <c r="S991"/>
      <c r="T991"/>
      <c r="U991"/>
      <c r="V991"/>
      <c r="W991"/>
      <c r="X991"/>
      <c r="Y991"/>
      <c r="Z991"/>
      <c r="AA991"/>
    </row>
    <row r="992" spans="1:27" s="1" customFormat="1" x14ac:dyDescent="0.3">
      <c r="A992"/>
      <c r="B992"/>
      <c r="C992"/>
      <c r="D992"/>
      <c r="E992"/>
      <c r="F992"/>
      <c r="G992"/>
      <c r="H992"/>
      <c r="I992"/>
      <c r="J992"/>
      <c r="K992"/>
      <c r="L992"/>
      <c r="M992"/>
      <c r="N992"/>
      <c r="O992"/>
      <c r="P992"/>
      <c r="Q992"/>
      <c r="R992"/>
      <c r="S992"/>
      <c r="T992"/>
      <c r="U992"/>
      <c r="V992"/>
      <c r="W992"/>
      <c r="X992"/>
      <c r="Y992"/>
      <c r="Z992"/>
      <c r="AA992"/>
    </row>
    <row r="993" spans="1:27" s="1" customFormat="1" x14ac:dyDescent="0.3">
      <c r="A993"/>
      <c r="B993"/>
      <c r="C993"/>
      <c r="D993"/>
      <c r="E993"/>
      <c r="F993"/>
      <c r="G993"/>
      <c r="H993"/>
      <c r="I993"/>
      <c r="J993"/>
      <c r="K993"/>
      <c r="L993"/>
      <c r="M993"/>
      <c r="N993"/>
      <c r="O993"/>
      <c r="P993"/>
      <c r="Q993"/>
      <c r="R993"/>
      <c r="S993"/>
      <c r="T993"/>
      <c r="U993"/>
      <c r="V993"/>
      <c r="W993"/>
      <c r="X993"/>
      <c r="Y993"/>
      <c r="Z993"/>
      <c r="AA993"/>
    </row>
    <row r="994" spans="1:27" s="1" customFormat="1" x14ac:dyDescent="0.3">
      <c r="A994"/>
      <c r="B994"/>
      <c r="C994"/>
      <c r="D994"/>
      <c r="E994"/>
      <c r="F994"/>
      <c r="G994"/>
      <c r="H994"/>
      <c r="I994"/>
      <c r="J994"/>
      <c r="K994"/>
      <c r="L994"/>
      <c r="M994"/>
      <c r="N994"/>
      <c r="O994"/>
      <c r="P994"/>
      <c r="Q994"/>
      <c r="R994"/>
      <c r="S994"/>
      <c r="T994"/>
      <c r="U994"/>
      <c r="V994"/>
      <c r="W994"/>
      <c r="X994"/>
      <c r="Y994"/>
      <c r="Z994"/>
      <c r="AA994"/>
    </row>
    <row r="995" spans="1:27" s="1" customFormat="1" x14ac:dyDescent="0.3">
      <c r="A995"/>
      <c r="B995"/>
      <c r="C995"/>
      <c r="D995"/>
      <c r="E995"/>
      <c r="F995"/>
      <c r="G995"/>
      <c r="H995"/>
      <c r="I995"/>
      <c r="J995"/>
      <c r="K995"/>
      <c r="L995"/>
      <c r="M995"/>
      <c r="N995"/>
      <c r="O995"/>
      <c r="P995"/>
      <c r="Q995"/>
      <c r="R995"/>
      <c r="S995"/>
      <c r="T995"/>
      <c r="U995"/>
      <c r="V995"/>
      <c r="W995"/>
      <c r="X995"/>
      <c r="Y995"/>
      <c r="Z995"/>
      <c r="AA995"/>
    </row>
    <row r="996" spans="1:27" s="1" customFormat="1" x14ac:dyDescent="0.3">
      <c r="A996"/>
      <c r="B996"/>
      <c r="C996"/>
      <c r="D996"/>
      <c r="E996"/>
      <c r="F996"/>
      <c r="G996"/>
      <c r="H996"/>
      <c r="I996"/>
      <c r="J996"/>
      <c r="K996"/>
      <c r="L996"/>
      <c r="M996"/>
      <c r="N996"/>
      <c r="O996"/>
      <c r="P996"/>
      <c r="Q996"/>
      <c r="R996"/>
      <c r="S996"/>
      <c r="T996"/>
      <c r="U996"/>
      <c r="V996"/>
      <c r="W996"/>
      <c r="X996"/>
      <c r="Y996"/>
      <c r="Z996"/>
      <c r="AA996"/>
    </row>
    <row r="997" spans="1:27" s="1" customFormat="1" x14ac:dyDescent="0.3">
      <c r="A997"/>
      <c r="B997"/>
      <c r="C997"/>
      <c r="D997"/>
      <c r="E997"/>
      <c r="F997"/>
      <c r="G997"/>
      <c r="H997"/>
      <c r="I997"/>
      <c r="J997"/>
      <c r="K997"/>
      <c r="L997"/>
      <c r="M997"/>
      <c r="N997"/>
      <c r="O997"/>
      <c r="P997"/>
      <c r="Q997"/>
      <c r="R997"/>
      <c r="S997"/>
      <c r="T997"/>
      <c r="U997"/>
      <c r="V997"/>
      <c r="W997"/>
      <c r="X997"/>
      <c r="Y997"/>
      <c r="Z997"/>
      <c r="AA997"/>
    </row>
    <row r="998" spans="1:27" s="1" customFormat="1" x14ac:dyDescent="0.3">
      <c r="A998"/>
      <c r="B998"/>
      <c r="C998"/>
      <c r="D998"/>
      <c r="E998"/>
      <c r="F998"/>
      <c r="G998"/>
      <c r="H998"/>
      <c r="I998"/>
      <c r="J998"/>
      <c r="K998"/>
      <c r="L998"/>
      <c r="M998"/>
      <c r="N998"/>
      <c r="O998"/>
      <c r="P998"/>
      <c r="Q998"/>
      <c r="R998"/>
      <c r="S998"/>
      <c r="T998"/>
      <c r="U998"/>
      <c r="V998"/>
      <c r="W998"/>
      <c r="X998"/>
      <c r="Y998"/>
      <c r="Z998"/>
      <c r="AA998"/>
    </row>
    <row r="999" spans="1:27" s="1" customFormat="1" x14ac:dyDescent="0.3">
      <c r="A999"/>
      <c r="B999"/>
      <c r="C999"/>
      <c r="D999"/>
      <c r="E999"/>
      <c r="F999"/>
      <c r="G999"/>
      <c r="H999"/>
      <c r="I999"/>
      <c r="J999"/>
      <c r="K999"/>
      <c r="L999"/>
      <c r="M999"/>
      <c r="N999"/>
      <c r="O999"/>
      <c r="P999"/>
      <c r="Q999"/>
      <c r="R999"/>
      <c r="S999"/>
      <c r="T999"/>
      <c r="U999"/>
      <c r="V999"/>
      <c r="W999"/>
      <c r="X999"/>
      <c r="Y999"/>
      <c r="Z999"/>
      <c r="AA999"/>
    </row>
    <row r="1000" spans="1:27" s="1" customFormat="1" x14ac:dyDescent="0.3">
      <c r="A1000"/>
      <c r="B1000"/>
      <c r="C1000"/>
      <c r="D1000"/>
      <c r="E1000"/>
      <c r="F1000"/>
      <c r="G1000"/>
      <c r="H1000"/>
      <c r="I1000"/>
      <c r="J1000"/>
      <c r="K1000"/>
      <c r="L1000"/>
      <c r="M1000"/>
      <c r="N1000"/>
      <c r="O1000"/>
      <c r="P1000"/>
      <c r="Q1000"/>
      <c r="R1000"/>
      <c r="S1000"/>
      <c r="T1000"/>
      <c r="U1000"/>
      <c r="V1000"/>
      <c r="W1000"/>
      <c r="X1000"/>
      <c r="Y1000"/>
      <c r="Z1000"/>
      <c r="AA1000"/>
    </row>
    <row r="1001" spans="1:27" s="1" customFormat="1" x14ac:dyDescent="0.3">
      <c r="A1001"/>
      <c r="B1001"/>
      <c r="C1001"/>
      <c r="D1001"/>
      <c r="E1001"/>
      <c r="F1001"/>
      <c r="G1001"/>
      <c r="H1001"/>
      <c r="I1001"/>
      <c r="J1001"/>
      <c r="K1001"/>
      <c r="L1001"/>
      <c r="M1001"/>
      <c r="N1001"/>
      <c r="O1001"/>
      <c r="P1001"/>
      <c r="Q1001"/>
      <c r="R1001"/>
      <c r="S1001"/>
      <c r="T1001"/>
      <c r="U1001"/>
      <c r="V1001"/>
      <c r="W1001"/>
      <c r="X1001"/>
      <c r="Y1001"/>
      <c r="Z1001"/>
      <c r="AA1001"/>
    </row>
    <row r="1002" spans="1:27" s="1" customFormat="1" x14ac:dyDescent="0.3">
      <c r="A1002"/>
      <c r="B1002"/>
      <c r="C1002"/>
      <c r="D1002"/>
      <c r="E1002"/>
      <c r="F1002"/>
      <c r="G1002"/>
      <c r="H1002"/>
      <c r="I1002"/>
      <c r="J1002"/>
      <c r="K1002"/>
      <c r="L1002"/>
      <c r="M1002"/>
      <c r="N1002"/>
      <c r="O1002"/>
      <c r="P1002"/>
      <c r="Q1002"/>
      <c r="R1002"/>
      <c r="S1002"/>
      <c r="T1002"/>
      <c r="U1002"/>
      <c r="V1002"/>
      <c r="W1002"/>
      <c r="X1002"/>
      <c r="Y1002"/>
      <c r="Z1002"/>
      <c r="AA1002"/>
    </row>
    <row r="1003" spans="1:27" s="1" customFormat="1" x14ac:dyDescent="0.3">
      <c r="A1003"/>
      <c r="B1003"/>
      <c r="C1003"/>
      <c r="D1003"/>
      <c r="E1003"/>
      <c r="F1003"/>
      <c r="G1003"/>
      <c r="H1003"/>
      <c r="I1003"/>
      <c r="J1003"/>
      <c r="K1003"/>
      <c r="L1003"/>
      <c r="M1003"/>
      <c r="N1003"/>
      <c r="O1003"/>
      <c r="P1003"/>
      <c r="Q1003"/>
      <c r="R1003"/>
      <c r="S1003"/>
      <c r="T1003"/>
      <c r="U1003"/>
      <c r="V1003"/>
      <c r="W1003"/>
      <c r="X1003"/>
      <c r="Y1003"/>
      <c r="Z1003"/>
      <c r="AA1003"/>
    </row>
    <row r="1004" spans="1:27" s="1" customFormat="1" x14ac:dyDescent="0.3">
      <c r="A1004"/>
      <c r="B1004"/>
      <c r="C1004"/>
      <c r="D1004"/>
      <c r="E1004"/>
      <c r="F1004"/>
      <c r="G1004"/>
      <c r="H1004"/>
      <c r="I1004"/>
      <c r="J1004"/>
      <c r="K1004"/>
      <c r="L1004"/>
      <c r="M1004"/>
      <c r="N1004"/>
      <c r="O1004"/>
      <c r="P1004"/>
      <c r="Q1004"/>
      <c r="R1004"/>
      <c r="S1004"/>
      <c r="T1004"/>
      <c r="U1004"/>
      <c r="V1004"/>
      <c r="W1004"/>
      <c r="X1004"/>
      <c r="Y1004"/>
      <c r="Z1004"/>
      <c r="AA1004"/>
    </row>
    <row r="1005" spans="1:27" s="1" customFormat="1" x14ac:dyDescent="0.3">
      <c r="A1005"/>
      <c r="B1005"/>
      <c r="C1005"/>
      <c r="D1005"/>
      <c r="E1005"/>
      <c r="F1005"/>
      <c r="G1005"/>
      <c r="H1005"/>
      <c r="I1005"/>
      <c r="J1005"/>
      <c r="K1005"/>
      <c r="L1005"/>
      <c r="M1005"/>
      <c r="N1005"/>
      <c r="O1005"/>
      <c r="P1005"/>
      <c r="Q1005"/>
      <c r="R1005"/>
      <c r="S1005"/>
      <c r="T1005"/>
      <c r="U1005"/>
      <c r="V1005"/>
      <c r="W1005"/>
      <c r="X1005"/>
      <c r="Y1005"/>
      <c r="Z1005"/>
      <c r="AA1005"/>
    </row>
    <row r="1006" spans="1:27" s="1" customFormat="1" x14ac:dyDescent="0.3">
      <c r="A1006"/>
      <c r="B1006"/>
      <c r="C1006"/>
      <c r="D1006"/>
      <c r="E1006"/>
      <c r="F1006"/>
      <c r="G1006"/>
      <c r="H1006"/>
      <c r="I1006"/>
      <c r="J1006"/>
      <c r="K1006"/>
      <c r="L1006"/>
      <c r="M1006"/>
      <c r="N1006"/>
      <c r="O1006"/>
      <c r="P1006"/>
      <c r="Q1006"/>
      <c r="R1006"/>
      <c r="S1006"/>
      <c r="T1006"/>
      <c r="U1006"/>
      <c r="V1006"/>
      <c r="W1006"/>
      <c r="X1006"/>
      <c r="Y1006"/>
      <c r="Z1006"/>
      <c r="AA1006"/>
    </row>
    <row r="1007" spans="1:27" s="1" customFormat="1" x14ac:dyDescent="0.3">
      <c r="A1007"/>
      <c r="B1007"/>
      <c r="C1007"/>
      <c r="D1007"/>
      <c r="E1007"/>
      <c r="F1007"/>
      <c r="G1007"/>
      <c r="H1007"/>
      <c r="I1007"/>
      <c r="J1007"/>
      <c r="K1007"/>
      <c r="L1007"/>
      <c r="M1007"/>
      <c r="N1007"/>
      <c r="O1007"/>
      <c r="P1007"/>
      <c r="Q1007"/>
      <c r="R1007"/>
      <c r="S1007"/>
      <c r="T1007"/>
      <c r="U1007"/>
      <c r="V1007"/>
      <c r="W1007"/>
      <c r="X1007"/>
      <c r="Y1007"/>
      <c r="Z1007"/>
      <c r="AA1007"/>
    </row>
    <row r="1008" spans="1:27" s="1" customFormat="1" x14ac:dyDescent="0.3">
      <c r="A1008"/>
      <c r="B1008"/>
      <c r="C1008"/>
      <c r="D1008"/>
      <c r="E1008"/>
      <c r="F1008"/>
      <c r="G1008"/>
      <c r="H1008"/>
      <c r="I1008"/>
      <c r="J1008"/>
      <c r="K1008"/>
      <c r="L1008"/>
      <c r="M1008"/>
      <c r="N1008"/>
      <c r="O1008"/>
      <c r="P1008"/>
      <c r="Q1008"/>
      <c r="R1008"/>
      <c r="S1008"/>
      <c r="T1008"/>
      <c r="U1008"/>
      <c r="V1008"/>
      <c r="W1008"/>
      <c r="X1008"/>
      <c r="Y1008"/>
      <c r="Z1008"/>
      <c r="AA1008"/>
    </row>
    <row r="1009" spans="1:27" s="1" customFormat="1" x14ac:dyDescent="0.3">
      <c r="A1009"/>
      <c r="B1009"/>
      <c r="C1009"/>
      <c r="D1009"/>
      <c r="E1009"/>
      <c r="F1009"/>
      <c r="G1009"/>
      <c r="H1009"/>
      <c r="I1009"/>
      <c r="J1009"/>
      <c r="K1009"/>
      <c r="L1009"/>
      <c r="M1009"/>
      <c r="N1009"/>
      <c r="O1009"/>
      <c r="P1009"/>
      <c r="Q1009"/>
      <c r="R1009"/>
      <c r="S1009"/>
      <c r="T1009"/>
      <c r="U1009"/>
      <c r="V1009"/>
      <c r="W1009"/>
      <c r="X1009"/>
      <c r="Y1009"/>
      <c r="Z1009"/>
      <c r="AA1009"/>
    </row>
    <row r="1010" spans="1:27" s="1" customFormat="1" x14ac:dyDescent="0.3">
      <c r="A1010"/>
      <c r="B1010"/>
      <c r="C1010"/>
      <c r="D1010"/>
      <c r="E1010"/>
      <c r="F1010"/>
      <c r="G1010"/>
      <c r="H1010"/>
      <c r="I1010"/>
      <c r="J1010"/>
      <c r="K1010"/>
      <c r="L1010"/>
      <c r="M1010"/>
      <c r="N1010"/>
      <c r="O1010"/>
      <c r="P1010"/>
      <c r="Q1010"/>
      <c r="R1010"/>
      <c r="S1010"/>
      <c r="T1010"/>
      <c r="U1010"/>
      <c r="V1010"/>
      <c r="W1010"/>
      <c r="X1010"/>
      <c r="Y1010"/>
      <c r="Z1010"/>
      <c r="AA1010"/>
    </row>
    <row r="1011" spans="1:27" s="1" customFormat="1" x14ac:dyDescent="0.3">
      <c r="A1011"/>
      <c r="B1011"/>
      <c r="C1011"/>
      <c r="D1011"/>
      <c r="E1011"/>
      <c r="F1011"/>
      <c r="G1011"/>
      <c r="H1011"/>
      <c r="I1011"/>
      <c r="J1011"/>
      <c r="K1011"/>
      <c r="L1011"/>
      <c r="M1011"/>
      <c r="N1011"/>
      <c r="O1011"/>
      <c r="P1011"/>
      <c r="Q1011"/>
      <c r="R1011"/>
      <c r="S1011"/>
      <c r="T1011"/>
      <c r="U1011"/>
      <c r="V1011"/>
      <c r="W1011"/>
      <c r="X1011"/>
      <c r="Y1011"/>
      <c r="Z1011"/>
      <c r="AA1011"/>
    </row>
    <row r="1012" spans="1:27" s="1" customFormat="1" x14ac:dyDescent="0.3">
      <c r="A1012"/>
      <c r="B1012"/>
      <c r="C1012"/>
      <c r="D1012"/>
      <c r="E1012"/>
      <c r="F1012"/>
      <c r="G1012"/>
      <c r="H1012"/>
      <c r="I1012"/>
      <c r="J1012"/>
      <c r="K1012"/>
      <c r="L1012"/>
      <c r="M1012"/>
      <c r="N1012"/>
      <c r="O1012"/>
      <c r="P1012"/>
      <c r="Q1012"/>
      <c r="R1012"/>
      <c r="S1012"/>
      <c r="T1012"/>
      <c r="U1012"/>
      <c r="V1012"/>
      <c r="W1012"/>
      <c r="X1012"/>
      <c r="Y1012"/>
      <c r="Z1012"/>
      <c r="AA1012"/>
    </row>
    <row r="1013" spans="1:27" s="1" customFormat="1" x14ac:dyDescent="0.3">
      <c r="A1013"/>
      <c r="B1013"/>
      <c r="C1013"/>
      <c r="D1013"/>
      <c r="E1013"/>
      <c r="F1013"/>
      <c r="G1013"/>
      <c r="H1013"/>
      <c r="I1013"/>
      <c r="J1013"/>
      <c r="K1013"/>
      <c r="L1013"/>
      <c r="M1013"/>
      <c r="N1013"/>
      <c r="O1013"/>
      <c r="P1013"/>
      <c r="Q1013"/>
      <c r="R1013"/>
      <c r="S1013"/>
      <c r="T1013"/>
      <c r="U1013"/>
      <c r="V1013"/>
      <c r="W1013"/>
      <c r="X1013"/>
      <c r="Y1013"/>
      <c r="Z1013"/>
      <c r="AA1013"/>
    </row>
    <row r="1014" spans="1:27" s="1" customFormat="1" x14ac:dyDescent="0.3">
      <c r="A1014"/>
      <c r="B1014"/>
      <c r="C1014"/>
      <c r="D1014"/>
      <c r="E1014"/>
      <c r="F1014"/>
      <c r="G1014"/>
      <c r="H1014"/>
      <c r="I1014"/>
      <c r="J1014"/>
      <c r="K1014"/>
      <c r="L1014"/>
      <c r="M1014"/>
      <c r="N1014"/>
      <c r="O1014"/>
      <c r="P1014"/>
      <c r="Q1014"/>
      <c r="R1014"/>
      <c r="S1014"/>
      <c r="T1014"/>
      <c r="U1014"/>
      <c r="V1014"/>
      <c r="W1014"/>
      <c r="X1014"/>
      <c r="Y1014"/>
      <c r="Z1014"/>
      <c r="AA1014"/>
    </row>
    <row r="1015" spans="1:27" s="1" customFormat="1" x14ac:dyDescent="0.3">
      <c r="A1015"/>
      <c r="B1015"/>
      <c r="C1015"/>
      <c r="D1015"/>
      <c r="E1015"/>
      <c r="F1015"/>
      <c r="G1015"/>
      <c r="H1015"/>
      <c r="I1015"/>
      <c r="J1015"/>
      <c r="K1015"/>
      <c r="L1015"/>
      <c r="M1015"/>
      <c r="N1015"/>
      <c r="O1015"/>
      <c r="P1015"/>
      <c r="Q1015"/>
      <c r="R1015"/>
      <c r="S1015"/>
      <c r="T1015"/>
      <c r="U1015"/>
      <c r="V1015"/>
      <c r="W1015"/>
      <c r="X1015"/>
      <c r="Y1015"/>
      <c r="Z1015"/>
      <c r="AA1015"/>
    </row>
    <row r="1016" spans="1:27" s="1" customFormat="1" x14ac:dyDescent="0.3">
      <c r="A1016"/>
      <c r="B1016"/>
      <c r="C1016"/>
      <c r="D1016"/>
      <c r="E1016"/>
      <c r="F1016"/>
      <c r="G1016"/>
      <c r="H1016"/>
      <c r="I1016"/>
      <c r="J1016"/>
      <c r="K1016"/>
      <c r="L1016"/>
      <c r="M1016"/>
      <c r="N1016"/>
      <c r="O1016"/>
      <c r="P1016"/>
      <c r="Q1016"/>
      <c r="R1016"/>
      <c r="S1016"/>
      <c r="T1016"/>
      <c r="U1016"/>
      <c r="V1016"/>
      <c r="W1016"/>
      <c r="X1016"/>
      <c r="Y1016"/>
      <c r="Z1016"/>
      <c r="AA1016"/>
    </row>
    <row r="1017" spans="1:27" s="1" customFormat="1" x14ac:dyDescent="0.3">
      <c r="A1017"/>
      <c r="B1017"/>
      <c r="C1017"/>
      <c r="D1017"/>
      <c r="E1017"/>
      <c r="F1017"/>
      <c r="G1017"/>
      <c r="H1017"/>
      <c r="I1017"/>
      <c r="J1017"/>
      <c r="K1017"/>
      <c r="L1017"/>
      <c r="M1017"/>
      <c r="N1017"/>
      <c r="O1017"/>
      <c r="P1017"/>
      <c r="Q1017"/>
      <c r="R1017"/>
      <c r="S1017"/>
      <c r="T1017"/>
      <c r="U1017"/>
      <c r="V1017"/>
      <c r="W1017"/>
      <c r="X1017"/>
      <c r="Y1017"/>
      <c r="Z1017"/>
      <c r="AA1017"/>
    </row>
    <row r="1018" spans="1:27" s="1" customFormat="1" x14ac:dyDescent="0.3">
      <c r="A1018"/>
      <c r="B1018"/>
      <c r="C1018"/>
      <c r="D1018"/>
      <c r="E1018"/>
      <c r="F1018"/>
      <c r="G1018"/>
      <c r="H1018"/>
      <c r="I1018"/>
      <c r="J1018"/>
      <c r="K1018"/>
      <c r="L1018"/>
      <c r="M1018"/>
      <c r="N1018"/>
      <c r="O1018"/>
      <c r="P1018"/>
      <c r="Q1018"/>
      <c r="R1018"/>
      <c r="S1018"/>
      <c r="T1018"/>
      <c r="U1018"/>
      <c r="V1018"/>
      <c r="W1018"/>
      <c r="X1018"/>
      <c r="Y1018"/>
      <c r="Z1018"/>
      <c r="AA1018"/>
    </row>
    <row r="1019" spans="1:27" s="1" customFormat="1" x14ac:dyDescent="0.3">
      <c r="A1019"/>
      <c r="B1019"/>
      <c r="C1019"/>
      <c r="D1019"/>
      <c r="E1019"/>
      <c r="F1019"/>
      <c r="G1019"/>
      <c r="H1019"/>
      <c r="I1019"/>
      <c r="J1019"/>
      <c r="K1019"/>
      <c r="L1019"/>
      <c r="M1019"/>
      <c r="N1019"/>
      <c r="O1019"/>
      <c r="P1019"/>
      <c r="Q1019"/>
      <c r="R1019"/>
      <c r="S1019"/>
      <c r="T1019"/>
      <c r="U1019"/>
      <c r="V1019"/>
      <c r="W1019"/>
      <c r="X1019"/>
      <c r="Y1019"/>
      <c r="Z1019"/>
      <c r="AA1019"/>
    </row>
    <row r="1020" spans="1:27" s="1" customFormat="1" x14ac:dyDescent="0.3">
      <c r="A1020"/>
      <c r="B1020"/>
      <c r="C1020"/>
      <c r="D1020"/>
      <c r="E1020"/>
      <c r="F1020"/>
      <c r="G1020"/>
      <c r="H1020"/>
      <c r="I1020"/>
      <c r="J1020"/>
      <c r="K1020"/>
      <c r="L1020"/>
      <c r="M1020"/>
      <c r="N1020"/>
      <c r="O1020"/>
      <c r="P1020"/>
      <c r="Q1020"/>
      <c r="R1020"/>
      <c r="S1020"/>
      <c r="T1020"/>
      <c r="U1020"/>
      <c r="V1020"/>
      <c r="W1020"/>
      <c r="X1020"/>
      <c r="Y1020"/>
      <c r="Z1020"/>
      <c r="AA1020"/>
    </row>
    <row r="1021" spans="1:27" s="1" customFormat="1" x14ac:dyDescent="0.3">
      <c r="A1021"/>
      <c r="B1021"/>
      <c r="C1021"/>
      <c r="D1021"/>
      <c r="E1021"/>
      <c r="F1021"/>
      <c r="G1021"/>
      <c r="H1021"/>
      <c r="I1021"/>
      <c r="J1021"/>
      <c r="K1021"/>
      <c r="L1021"/>
      <c r="M1021"/>
      <c r="N1021"/>
      <c r="O1021"/>
      <c r="P1021"/>
      <c r="Q1021"/>
      <c r="R1021"/>
      <c r="S1021"/>
      <c r="T1021"/>
      <c r="U1021"/>
      <c r="V1021"/>
      <c r="W1021"/>
      <c r="X1021"/>
      <c r="Y1021"/>
      <c r="Z1021"/>
      <c r="AA1021"/>
    </row>
    <row r="1022" spans="1:27" s="1" customFormat="1" x14ac:dyDescent="0.3">
      <c r="A1022"/>
      <c r="B1022"/>
      <c r="C1022"/>
      <c r="D1022"/>
      <c r="E1022"/>
      <c r="F1022"/>
      <c r="G1022"/>
      <c r="H1022"/>
      <c r="I1022"/>
      <c r="J1022"/>
      <c r="K1022"/>
      <c r="L1022"/>
      <c r="M1022"/>
      <c r="N1022"/>
      <c r="O1022"/>
      <c r="P1022"/>
      <c r="Q1022"/>
      <c r="R1022"/>
      <c r="S1022"/>
      <c r="T1022"/>
      <c r="U1022"/>
      <c r="V1022"/>
      <c r="W1022"/>
      <c r="X1022"/>
      <c r="Y1022"/>
      <c r="Z1022"/>
      <c r="AA1022"/>
    </row>
    <row r="1023" spans="1:27" s="1" customFormat="1" x14ac:dyDescent="0.3">
      <c r="A1023"/>
      <c r="B1023"/>
      <c r="C1023"/>
      <c r="D1023"/>
      <c r="E1023"/>
      <c r="F1023"/>
      <c r="G1023"/>
      <c r="H1023"/>
      <c r="I1023"/>
      <c r="J1023"/>
      <c r="K1023"/>
      <c r="L1023"/>
      <c r="M1023"/>
      <c r="N1023"/>
      <c r="O1023"/>
      <c r="P1023"/>
      <c r="Q1023"/>
      <c r="R1023"/>
      <c r="S1023"/>
      <c r="T1023"/>
      <c r="U1023"/>
      <c r="V1023"/>
      <c r="W1023"/>
      <c r="X1023"/>
      <c r="Y1023"/>
      <c r="Z1023"/>
      <c r="AA1023"/>
    </row>
    <row r="1024" spans="1:27" s="1" customFormat="1" x14ac:dyDescent="0.3">
      <c r="A1024"/>
      <c r="B1024"/>
      <c r="C1024"/>
      <c r="D1024"/>
      <c r="E1024"/>
      <c r="F1024"/>
      <c r="G1024"/>
      <c r="H1024"/>
      <c r="I1024"/>
      <c r="J1024"/>
      <c r="K1024"/>
      <c r="L1024"/>
      <c r="M1024"/>
      <c r="N1024"/>
      <c r="O1024"/>
      <c r="P1024"/>
      <c r="Q1024"/>
      <c r="R1024"/>
      <c r="S1024"/>
      <c r="T1024"/>
      <c r="U1024"/>
      <c r="V1024"/>
      <c r="W1024"/>
      <c r="X1024"/>
      <c r="Y1024"/>
      <c r="Z1024"/>
      <c r="AA1024"/>
    </row>
    <row r="1025" spans="1:27" s="1" customFormat="1" x14ac:dyDescent="0.3">
      <c r="A1025"/>
      <c r="B1025"/>
      <c r="C1025"/>
      <c r="D1025"/>
      <c r="E1025"/>
      <c r="F1025"/>
      <c r="G1025"/>
      <c r="H1025"/>
      <c r="I1025"/>
      <c r="J1025"/>
      <c r="K1025"/>
      <c r="L1025"/>
      <c r="M1025"/>
      <c r="N1025"/>
      <c r="O1025"/>
      <c r="P1025"/>
      <c r="Q1025"/>
      <c r="R1025"/>
      <c r="S1025"/>
      <c r="T1025"/>
      <c r="U1025"/>
      <c r="V1025"/>
      <c r="W1025"/>
      <c r="X1025"/>
      <c r="Y1025"/>
      <c r="Z1025"/>
      <c r="AA1025"/>
    </row>
    <row r="1026" spans="1:27" s="1" customFormat="1" x14ac:dyDescent="0.3">
      <c r="A1026"/>
      <c r="B1026"/>
      <c r="C1026"/>
      <c r="D1026"/>
      <c r="E1026"/>
      <c r="F1026"/>
      <c r="G1026"/>
      <c r="H1026"/>
      <c r="I1026"/>
      <c r="J1026"/>
      <c r="K1026"/>
      <c r="L1026"/>
      <c r="M1026"/>
      <c r="N1026"/>
      <c r="O1026"/>
      <c r="P1026"/>
      <c r="Q1026"/>
      <c r="R1026"/>
      <c r="S1026"/>
      <c r="T1026"/>
      <c r="U1026"/>
      <c r="V1026"/>
      <c r="W1026"/>
      <c r="X1026"/>
      <c r="Y1026"/>
      <c r="Z1026"/>
      <c r="AA1026"/>
    </row>
    <row r="1027" spans="1:27" s="1" customFormat="1" x14ac:dyDescent="0.3">
      <c r="A1027"/>
      <c r="B1027"/>
      <c r="C1027"/>
      <c r="D1027"/>
      <c r="E1027"/>
      <c r="F1027"/>
      <c r="G1027"/>
      <c r="H1027"/>
      <c r="I1027"/>
      <c r="J1027"/>
      <c r="K1027"/>
      <c r="L1027"/>
      <c r="M1027"/>
      <c r="N1027"/>
      <c r="O1027"/>
      <c r="P1027"/>
      <c r="Q1027"/>
      <c r="R1027"/>
      <c r="S1027"/>
      <c r="T1027"/>
      <c r="U1027"/>
      <c r="V1027"/>
      <c r="W1027"/>
      <c r="X1027"/>
      <c r="Y1027"/>
      <c r="Z1027"/>
      <c r="AA1027"/>
    </row>
    <row r="1028" spans="1:27" s="1" customFormat="1" x14ac:dyDescent="0.3">
      <c r="A1028"/>
      <c r="B1028"/>
      <c r="C1028"/>
      <c r="D1028"/>
      <c r="E1028"/>
      <c r="F1028"/>
      <c r="G1028"/>
      <c r="H1028"/>
      <c r="I1028"/>
      <c r="J1028"/>
      <c r="K1028"/>
      <c r="L1028"/>
      <c r="M1028"/>
      <c r="N1028"/>
      <c r="O1028"/>
      <c r="P1028"/>
      <c r="Q1028"/>
      <c r="R1028"/>
      <c r="S1028"/>
      <c r="T1028"/>
      <c r="U1028"/>
      <c r="V1028"/>
      <c r="W1028"/>
      <c r="X1028"/>
      <c r="Y1028"/>
      <c r="Z1028"/>
      <c r="AA1028"/>
    </row>
    <row r="1029" spans="1:27" s="1" customFormat="1" x14ac:dyDescent="0.3">
      <c r="A1029"/>
      <c r="B1029"/>
      <c r="C1029"/>
      <c r="D1029"/>
      <c r="E1029"/>
      <c r="F1029"/>
      <c r="G1029"/>
      <c r="H1029"/>
      <c r="I1029"/>
      <c r="J1029"/>
      <c r="K1029"/>
      <c r="L1029"/>
      <c r="M1029"/>
      <c r="N1029"/>
      <c r="O1029"/>
      <c r="P1029"/>
      <c r="Q1029"/>
      <c r="R1029"/>
      <c r="S1029"/>
      <c r="T1029"/>
      <c r="U1029"/>
      <c r="V1029"/>
      <c r="W1029"/>
      <c r="X1029"/>
      <c r="Y1029"/>
      <c r="Z1029"/>
      <c r="AA1029"/>
    </row>
    <row r="1030" spans="1:27" s="1" customFormat="1" x14ac:dyDescent="0.3">
      <c r="A1030"/>
      <c r="B1030"/>
      <c r="C1030"/>
      <c r="D1030"/>
      <c r="E1030"/>
      <c r="F1030"/>
      <c r="G1030"/>
      <c r="H1030"/>
      <c r="I1030"/>
      <c r="J1030"/>
      <c r="K1030"/>
      <c r="L1030"/>
      <c r="M1030"/>
      <c r="N1030"/>
      <c r="O1030"/>
      <c r="P1030"/>
      <c r="Q1030"/>
      <c r="R1030"/>
      <c r="S1030"/>
      <c r="T1030"/>
      <c r="U1030"/>
      <c r="V1030"/>
      <c r="W1030"/>
      <c r="X1030"/>
      <c r="Y1030"/>
      <c r="Z1030"/>
      <c r="AA1030"/>
    </row>
    <row r="1031" spans="1:27" s="1" customFormat="1" x14ac:dyDescent="0.3">
      <c r="A1031"/>
      <c r="B1031"/>
      <c r="C1031"/>
      <c r="D1031"/>
      <c r="E1031"/>
      <c r="F1031"/>
      <c r="G1031"/>
      <c r="H1031"/>
      <c r="I1031"/>
      <c r="J1031"/>
      <c r="K1031"/>
      <c r="L1031"/>
      <c r="M1031"/>
      <c r="N1031"/>
      <c r="O1031"/>
      <c r="P1031"/>
      <c r="Q1031"/>
      <c r="R1031"/>
      <c r="S1031"/>
      <c r="T1031"/>
      <c r="U1031"/>
      <c r="V1031"/>
      <c r="W1031"/>
      <c r="X1031"/>
      <c r="Y1031"/>
      <c r="Z1031"/>
      <c r="AA1031"/>
    </row>
    <row r="1032" spans="1:27" s="1" customFormat="1" x14ac:dyDescent="0.3">
      <c r="A1032"/>
      <c r="B1032"/>
      <c r="C1032"/>
      <c r="D1032"/>
      <c r="E1032"/>
      <c r="F1032"/>
      <c r="G1032"/>
      <c r="H1032"/>
      <c r="I1032"/>
      <c r="J1032"/>
      <c r="K1032"/>
      <c r="L1032"/>
      <c r="M1032"/>
      <c r="N1032"/>
      <c r="O1032"/>
      <c r="P1032"/>
      <c r="Q1032"/>
      <c r="R1032"/>
      <c r="S1032"/>
      <c r="T1032"/>
      <c r="U1032"/>
      <c r="V1032"/>
      <c r="W1032"/>
      <c r="X1032"/>
      <c r="Y1032"/>
      <c r="Z1032"/>
      <c r="AA1032"/>
    </row>
    <row r="1033" spans="1:27" s="1" customFormat="1" x14ac:dyDescent="0.3">
      <c r="A1033"/>
      <c r="B1033"/>
      <c r="C1033"/>
      <c r="D1033"/>
      <c r="E1033"/>
      <c r="F1033"/>
      <c r="G1033"/>
      <c r="H1033"/>
      <c r="I1033"/>
      <c r="J1033"/>
      <c r="K1033"/>
      <c r="L1033"/>
      <c r="M1033"/>
      <c r="N1033"/>
      <c r="O1033"/>
      <c r="P1033"/>
      <c r="Q1033"/>
      <c r="R1033"/>
      <c r="S1033"/>
      <c r="T1033"/>
      <c r="U1033"/>
      <c r="V1033"/>
      <c r="W1033"/>
      <c r="X1033"/>
      <c r="Y1033"/>
      <c r="Z1033"/>
      <c r="AA1033"/>
    </row>
    <row r="1034" spans="1:27" s="1" customFormat="1" x14ac:dyDescent="0.3">
      <c r="A1034"/>
      <c r="B1034"/>
      <c r="C1034"/>
      <c r="D1034"/>
      <c r="E1034"/>
      <c r="F1034"/>
      <c r="G1034"/>
      <c r="H1034"/>
      <c r="I1034"/>
      <c r="J1034"/>
      <c r="K1034"/>
      <c r="L1034"/>
      <c r="M1034"/>
      <c r="N1034"/>
      <c r="O1034"/>
      <c r="P1034"/>
      <c r="Q1034"/>
      <c r="R1034"/>
      <c r="S1034"/>
      <c r="T1034"/>
      <c r="U1034"/>
      <c r="V1034"/>
      <c r="W1034"/>
      <c r="X1034"/>
      <c r="Y1034"/>
      <c r="Z1034"/>
      <c r="AA1034"/>
    </row>
    <row r="1035" spans="1:27" s="1" customFormat="1" x14ac:dyDescent="0.3">
      <c r="A1035"/>
      <c r="B1035"/>
      <c r="C1035"/>
      <c r="D1035"/>
      <c r="E1035"/>
      <c r="F1035"/>
      <c r="G1035"/>
      <c r="H1035"/>
      <c r="I1035"/>
      <c r="J1035"/>
      <c r="K1035"/>
      <c r="L1035"/>
      <c r="M1035"/>
      <c r="N1035"/>
      <c r="O1035"/>
      <c r="P1035"/>
      <c r="Q1035"/>
      <c r="R1035"/>
      <c r="S1035"/>
      <c r="T1035"/>
      <c r="U1035"/>
      <c r="V1035"/>
      <c r="W1035"/>
      <c r="X1035"/>
      <c r="Y1035"/>
      <c r="Z1035"/>
      <c r="AA1035"/>
    </row>
    <row r="1036" spans="1:27" s="1" customFormat="1" x14ac:dyDescent="0.3">
      <c r="A1036"/>
      <c r="B1036"/>
      <c r="C1036"/>
      <c r="D1036"/>
      <c r="E1036"/>
      <c r="F1036"/>
      <c r="G1036"/>
      <c r="H1036"/>
      <c r="I1036"/>
      <c r="J1036"/>
      <c r="K1036"/>
      <c r="L1036"/>
      <c r="M1036"/>
      <c r="N1036"/>
      <c r="O1036"/>
      <c r="P1036"/>
      <c r="Q1036"/>
      <c r="R1036"/>
      <c r="S1036"/>
      <c r="T1036"/>
      <c r="U1036"/>
      <c r="V1036"/>
      <c r="W1036"/>
      <c r="X1036"/>
      <c r="Y1036"/>
      <c r="Z1036"/>
      <c r="AA1036"/>
    </row>
    <row r="1037" spans="1:27" s="1" customFormat="1" x14ac:dyDescent="0.3">
      <c r="A1037"/>
      <c r="B1037"/>
      <c r="C1037"/>
      <c r="D1037"/>
      <c r="E1037"/>
      <c r="F1037"/>
      <c r="G1037"/>
      <c r="H1037"/>
      <c r="I1037"/>
      <c r="J1037"/>
      <c r="K1037"/>
      <c r="L1037"/>
      <c r="M1037"/>
      <c r="N1037"/>
      <c r="O1037"/>
      <c r="P1037"/>
      <c r="Q1037"/>
      <c r="R1037"/>
      <c r="S1037"/>
      <c r="T1037"/>
      <c r="U1037"/>
      <c r="V1037"/>
      <c r="W1037"/>
      <c r="X1037"/>
      <c r="Y1037"/>
      <c r="Z1037"/>
      <c r="AA1037"/>
    </row>
    <row r="1038" spans="1:27" s="1" customFormat="1" x14ac:dyDescent="0.3">
      <c r="A1038"/>
      <c r="B1038"/>
      <c r="C1038"/>
      <c r="D1038"/>
      <c r="E1038"/>
      <c r="F1038"/>
      <c r="G1038"/>
      <c r="H1038"/>
      <c r="I1038"/>
      <c r="J1038"/>
      <c r="K1038"/>
      <c r="L1038"/>
      <c r="M1038"/>
      <c r="N1038"/>
      <c r="O1038"/>
      <c r="P1038"/>
      <c r="Q1038"/>
      <c r="R1038"/>
      <c r="S1038"/>
      <c r="T1038"/>
      <c r="U1038"/>
      <c r="V1038"/>
      <c r="W1038"/>
      <c r="X1038"/>
      <c r="Y1038"/>
      <c r="Z1038"/>
      <c r="AA1038"/>
    </row>
    <row r="1039" spans="1:27" s="1" customFormat="1" x14ac:dyDescent="0.3">
      <c r="A1039"/>
      <c r="B1039"/>
      <c r="C1039"/>
      <c r="D1039"/>
      <c r="E1039"/>
      <c r="F1039"/>
      <c r="G1039"/>
      <c r="H1039"/>
      <c r="I1039"/>
      <c r="J1039"/>
      <c r="K1039"/>
      <c r="L1039"/>
      <c r="M1039"/>
      <c r="N1039"/>
      <c r="O1039"/>
      <c r="P1039"/>
      <c r="Q1039"/>
      <c r="R1039"/>
      <c r="S1039"/>
      <c r="T1039"/>
      <c r="U1039"/>
      <c r="V1039"/>
      <c r="W1039"/>
      <c r="X1039"/>
      <c r="Y1039"/>
      <c r="Z1039"/>
      <c r="AA1039"/>
    </row>
    <row r="1040" spans="1:27" s="1" customFormat="1" x14ac:dyDescent="0.3">
      <c r="A1040"/>
      <c r="B1040"/>
      <c r="C1040"/>
      <c r="D1040"/>
      <c r="E1040"/>
      <c r="F1040"/>
      <c r="G1040"/>
      <c r="H1040"/>
      <c r="I1040"/>
      <c r="J1040"/>
      <c r="K1040"/>
      <c r="L1040"/>
      <c r="M1040"/>
      <c r="N1040"/>
      <c r="O1040"/>
      <c r="P1040"/>
      <c r="Q1040"/>
      <c r="R1040"/>
      <c r="S1040"/>
      <c r="T1040"/>
      <c r="U1040"/>
      <c r="V1040"/>
      <c r="W1040"/>
      <c r="X1040"/>
      <c r="Y1040"/>
      <c r="Z1040"/>
      <c r="AA1040"/>
    </row>
    <row r="1041" spans="1:27" s="1" customFormat="1" x14ac:dyDescent="0.3">
      <c r="A1041"/>
      <c r="B1041"/>
      <c r="C1041"/>
      <c r="D1041"/>
      <c r="E1041"/>
      <c r="F1041"/>
      <c r="G1041"/>
      <c r="H1041"/>
      <c r="I1041"/>
      <c r="J1041"/>
      <c r="K1041"/>
      <c r="L1041"/>
      <c r="M1041"/>
      <c r="N1041"/>
      <c r="O1041"/>
      <c r="P1041"/>
      <c r="Q1041"/>
      <c r="R1041"/>
      <c r="S1041"/>
      <c r="T1041"/>
      <c r="U1041"/>
      <c r="V1041"/>
      <c r="W1041"/>
      <c r="X1041"/>
      <c r="Y1041"/>
      <c r="Z1041"/>
      <c r="AA1041"/>
    </row>
    <row r="1042" spans="1:27" s="1" customFormat="1" x14ac:dyDescent="0.3">
      <c r="A1042"/>
      <c r="B1042"/>
      <c r="C1042"/>
      <c r="D1042"/>
      <c r="E1042"/>
      <c r="F1042"/>
      <c r="G1042"/>
      <c r="H1042"/>
      <c r="I1042"/>
      <c r="J1042"/>
      <c r="K1042"/>
      <c r="L1042"/>
      <c r="M1042"/>
      <c r="N1042"/>
      <c r="O1042"/>
      <c r="P1042"/>
      <c r="Q1042"/>
      <c r="R1042"/>
      <c r="S1042"/>
      <c r="T1042"/>
      <c r="U1042"/>
      <c r="V1042"/>
      <c r="W1042"/>
      <c r="X1042"/>
      <c r="Y1042"/>
      <c r="Z1042"/>
      <c r="AA1042"/>
    </row>
    <row r="1043" spans="1:27" s="1" customFormat="1" x14ac:dyDescent="0.3">
      <c r="A1043"/>
      <c r="B1043"/>
      <c r="C1043"/>
      <c r="D1043"/>
      <c r="E1043"/>
      <c r="F1043"/>
      <c r="G1043"/>
      <c r="H1043"/>
      <c r="I1043"/>
      <c r="J1043"/>
      <c r="K1043"/>
      <c r="L1043"/>
      <c r="M1043"/>
      <c r="N1043"/>
      <c r="O1043"/>
      <c r="P1043"/>
      <c r="Q1043"/>
      <c r="R1043"/>
      <c r="S1043"/>
      <c r="T1043"/>
      <c r="U1043"/>
      <c r="V1043"/>
      <c r="W1043"/>
      <c r="X1043"/>
      <c r="Y1043"/>
      <c r="Z1043"/>
      <c r="AA1043"/>
    </row>
    <row r="1044" spans="1:27" s="1" customFormat="1" x14ac:dyDescent="0.3">
      <c r="A1044"/>
      <c r="B1044"/>
      <c r="C1044"/>
      <c r="D1044"/>
      <c r="E1044"/>
      <c r="F1044"/>
      <c r="G1044"/>
      <c r="H1044"/>
      <c r="I1044"/>
      <c r="J1044"/>
      <c r="K1044"/>
      <c r="L1044"/>
      <c r="M1044"/>
      <c r="N1044"/>
      <c r="O1044"/>
      <c r="P1044"/>
      <c r="Q1044"/>
      <c r="R1044"/>
      <c r="S1044"/>
      <c r="T1044"/>
      <c r="U1044"/>
      <c r="V1044"/>
      <c r="W1044"/>
      <c r="X1044"/>
      <c r="Y1044"/>
      <c r="Z1044"/>
      <c r="AA1044"/>
    </row>
    <row r="1045" spans="1:27" s="1" customFormat="1" x14ac:dyDescent="0.3">
      <c r="A1045"/>
      <c r="B1045"/>
      <c r="C1045"/>
      <c r="D1045"/>
      <c r="E1045"/>
      <c r="F1045"/>
      <c r="G1045"/>
      <c r="H1045"/>
      <c r="I1045"/>
      <c r="J1045"/>
      <c r="K1045"/>
      <c r="L1045"/>
      <c r="M1045"/>
      <c r="N1045"/>
      <c r="O1045"/>
      <c r="P1045"/>
      <c r="Q1045"/>
      <c r="R1045"/>
      <c r="S1045"/>
      <c r="T1045"/>
      <c r="U1045"/>
      <c r="V1045"/>
      <c r="W1045"/>
      <c r="X1045"/>
      <c r="Y1045"/>
      <c r="Z1045"/>
      <c r="AA1045"/>
    </row>
    <row r="1046" spans="1:27" s="1" customFormat="1" x14ac:dyDescent="0.3">
      <c r="A1046"/>
      <c r="B1046"/>
      <c r="C1046"/>
      <c r="D1046"/>
      <c r="E1046"/>
      <c r="F1046"/>
      <c r="G1046"/>
      <c r="H1046"/>
      <c r="I1046"/>
      <c r="J1046"/>
      <c r="K1046"/>
      <c r="L1046"/>
      <c r="M1046"/>
      <c r="N1046"/>
      <c r="O1046"/>
      <c r="P1046"/>
      <c r="Q1046"/>
      <c r="R1046"/>
      <c r="S1046"/>
      <c r="T1046"/>
      <c r="U1046"/>
      <c r="V1046"/>
      <c r="W1046"/>
      <c r="X1046"/>
      <c r="Y1046"/>
      <c r="Z1046"/>
      <c r="AA1046"/>
    </row>
    <row r="1047" spans="1:27" s="1" customFormat="1" x14ac:dyDescent="0.3">
      <c r="A1047"/>
      <c r="B1047"/>
      <c r="C1047"/>
      <c r="D1047"/>
      <c r="E1047"/>
      <c r="F1047"/>
      <c r="G1047"/>
      <c r="H1047"/>
      <c r="I1047"/>
      <c r="J1047"/>
      <c r="K1047"/>
      <c r="L1047"/>
      <c r="M1047"/>
      <c r="N1047"/>
      <c r="O1047"/>
      <c r="P1047"/>
      <c r="Q1047"/>
      <c r="R1047"/>
      <c r="S1047"/>
      <c r="T1047"/>
      <c r="U1047"/>
      <c r="V1047"/>
      <c r="W1047"/>
      <c r="X1047"/>
      <c r="Y1047"/>
      <c r="Z1047"/>
      <c r="AA1047"/>
    </row>
    <row r="1048" spans="1:27" s="1" customFormat="1" x14ac:dyDescent="0.3">
      <c r="A1048"/>
      <c r="B1048"/>
      <c r="C1048"/>
      <c r="D1048"/>
      <c r="E1048"/>
      <c r="F1048"/>
      <c r="G1048"/>
      <c r="H1048"/>
      <c r="I1048"/>
      <c r="J1048"/>
      <c r="K1048"/>
      <c r="L1048"/>
      <c r="M1048"/>
      <c r="N1048"/>
      <c r="O1048"/>
      <c r="P1048"/>
      <c r="Q1048"/>
      <c r="R1048"/>
      <c r="S1048"/>
      <c r="T1048"/>
      <c r="U1048"/>
      <c r="V1048"/>
      <c r="W1048"/>
      <c r="X1048"/>
      <c r="Y1048"/>
      <c r="Z1048"/>
      <c r="AA1048"/>
    </row>
    <row r="1049" spans="1:27" s="1" customFormat="1" x14ac:dyDescent="0.3">
      <c r="A1049"/>
      <c r="B1049"/>
      <c r="C1049"/>
      <c r="D1049"/>
      <c r="E1049"/>
      <c r="F1049"/>
      <c r="G1049"/>
      <c r="H1049"/>
      <c r="I1049"/>
      <c r="J1049"/>
      <c r="K1049"/>
      <c r="L1049"/>
      <c r="M1049"/>
      <c r="N1049"/>
      <c r="O1049"/>
      <c r="P1049"/>
      <c r="Q1049"/>
      <c r="R1049"/>
      <c r="S1049"/>
      <c r="T1049"/>
      <c r="U1049"/>
      <c r="V1049"/>
      <c r="W1049"/>
      <c r="X1049"/>
      <c r="Y1049"/>
      <c r="Z1049"/>
      <c r="AA1049"/>
    </row>
    <row r="1050" spans="1:27" s="1" customFormat="1" x14ac:dyDescent="0.3">
      <c r="A1050"/>
      <c r="B1050"/>
      <c r="C1050"/>
      <c r="D1050"/>
      <c r="E1050"/>
      <c r="F1050"/>
      <c r="G1050"/>
      <c r="H1050"/>
      <c r="I1050"/>
      <c r="J1050"/>
      <c r="K1050"/>
      <c r="L1050"/>
      <c r="M1050"/>
      <c r="N1050"/>
      <c r="O1050"/>
      <c r="P1050"/>
      <c r="Q1050"/>
      <c r="R1050"/>
      <c r="S1050"/>
      <c r="T1050"/>
      <c r="U1050"/>
      <c r="V1050"/>
      <c r="W1050"/>
      <c r="X1050"/>
      <c r="Y1050"/>
      <c r="Z1050"/>
      <c r="AA1050"/>
    </row>
    <row r="1051" spans="1:27" s="1" customFormat="1" x14ac:dyDescent="0.3">
      <c r="A1051"/>
      <c r="B1051"/>
      <c r="C1051"/>
      <c r="D1051"/>
      <c r="E1051"/>
      <c r="F1051"/>
      <c r="G1051"/>
      <c r="H1051"/>
      <c r="I1051"/>
      <c r="J1051"/>
      <c r="K1051"/>
      <c r="L1051"/>
      <c r="M1051"/>
      <c r="N1051"/>
      <c r="O1051"/>
      <c r="P1051"/>
      <c r="Q1051"/>
      <c r="R1051"/>
      <c r="S1051"/>
      <c r="T1051"/>
      <c r="U1051"/>
      <c r="V1051"/>
      <c r="W1051"/>
      <c r="X1051"/>
      <c r="Y1051"/>
      <c r="Z1051"/>
      <c r="AA1051"/>
    </row>
    <row r="1052" spans="1:27" s="1" customFormat="1" x14ac:dyDescent="0.3">
      <c r="A1052"/>
      <c r="B1052"/>
      <c r="C1052"/>
      <c r="D1052"/>
      <c r="E1052"/>
      <c r="F1052"/>
      <c r="G1052"/>
      <c r="H1052"/>
      <c r="I1052"/>
      <c r="J1052"/>
      <c r="K1052"/>
      <c r="L1052"/>
      <c r="M1052"/>
      <c r="N1052"/>
      <c r="O1052"/>
      <c r="P1052"/>
      <c r="Q1052"/>
      <c r="R1052"/>
      <c r="S1052"/>
      <c r="T1052"/>
      <c r="U1052"/>
      <c r="V1052"/>
      <c r="W1052"/>
      <c r="X1052"/>
      <c r="Y1052"/>
      <c r="Z1052"/>
      <c r="AA1052"/>
    </row>
    <row r="1053" spans="1:27" s="1" customFormat="1" x14ac:dyDescent="0.3">
      <c r="A1053"/>
      <c r="B1053"/>
      <c r="C1053"/>
      <c r="D1053"/>
      <c r="E1053"/>
      <c r="F1053"/>
      <c r="G1053"/>
      <c r="H1053"/>
      <c r="I1053"/>
      <c r="J1053"/>
      <c r="K1053"/>
      <c r="L1053"/>
      <c r="M1053"/>
      <c r="N1053"/>
      <c r="O1053"/>
      <c r="P1053"/>
      <c r="Q1053"/>
      <c r="R1053"/>
      <c r="S1053"/>
      <c r="T1053"/>
      <c r="U1053"/>
      <c r="V1053"/>
      <c r="W1053"/>
      <c r="X1053"/>
      <c r="Y1053"/>
      <c r="Z1053"/>
      <c r="AA1053"/>
    </row>
    <row r="1054" spans="1:27" s="1" customFormat="1" x14ac:dyDescent="0.3">
      <c r="A1054"/>
      <c r="B1054"/>
      <c r="C1054"/>
      <c r="D1054"/>
      <c r="E1054"/>
      <c r="F1054"/>
      <c r="G1054"/>
      <c r="H1054"/>
      <c r="I1054"/>
      <c r="J1054"/>
      <c r="K1054"/>
      <c r="L1054"/>
      <c r="M1054"/>
      <c r="N1054"/>
      <c r="O1054"/>
      <c r="P1054"/>
      <c r="Q1054"/>
      <c r="R1054"/>
      <c r="S1054"/>
      <c r="T1054"/>
      <c r="U1054"/>
      <c r="V1054"/>
      <c r="W1054"/>
      <c r="X1054"/>
      <c r="Y1054"/>
      <c r="Z1054"/>
      <c r="AA1054"/>
    </row>
    <row r="1055" spans="1:27" s="1" customFormat="1" x14ac:dyDescent="0.3">
      <c r="A1055"/>
      <c r="B1055"/>
      <c r="C1055"/>
      <c r="D1055"/>
      <c r="E1055"/>
      <c r="F1055"/>
      <c r="G1055"/>
      <c r="H1055"/>
      <c r="I1055"/>
      <c r="J1055"/>
      <c r="K1055"/>
      <c r="L1055"/>
      <c r="M1055"/>
      <c r="N1055"/>
      <c r="O1055"/>
      <c r="P1055"/>
      <c r="Q1055"/>
      <c r="R1055"/>
      <c r="S1055"/>
      <c r="T1055"/>
      <c r="U1055"/>
      <c r="V1055"/>
      <c r="W1055"/>
      <c r="X1055"/>
      <c r="Y1055"/>
      <c r="Z1055"/>
      <c r="AA1055"/>
    </row>
    <row r="1056" spans="1:27" s="1" customFormat="1" x14ac:dyDescent="0.3">
      <c r="A1056"/>
      <c r="B1056"/>
      <c r="C1056"/>
      <c r="D1056"/>
      <c r="E1056"/>
      <c r="F1056"/>
      <c r="G1056"/>
      <c r="H1056"/>
      <c r="I1056"/>
      <c r="J1056"/>
      <c r="K1056"/>
      <c r="L1056"/>
      <c r="M1056"/>
      <c r="N1056"/>
      <c r="O1056"/>
      <c r="P1056"/>
      <c r="Q1056"/>
      <c r="R1056"/>
      <c r="S1056"/>
      <c r="T1056"/>
      <c r="U1056"/>
      <c r="V1056"/>
      <c r="W1056"/>
      <c r="X1056"/>
      <c r="Y1056"/>
      <c r="Z1056"/>
      <c r="AA1056"/>
    </row>
    <row r="1057" spans="1:27" s="1" customFormat="1" x14ac:dyDescent="0.3">
      <c r="A1057"/>
      <c r="B1057"/>
      <c r="C1057"/>
      <c r="D1057"/>
      <c r="E1057"/>
      <c r="F1057"/>
      <c r="G1057"/>
      <c r="H1057"/>
      <c r="I1057"/>
      <c r="J1057"/>
      <c r="K1057"/>
      <c r="L1057"/>
      <c r="M1057"/>
      <c r="N1057"/>
      <c r="O1057"/>
      <c r="P1057"/>
      <c r="Q1057"/>
      <c r="R1057"/>
      <c r="S1057"/>
      <c r="T1057"/>
      <c r="U1057"/>
      <c r="V1057"/>
      <c r="W1057"/>
      <c r="X1057"/>
      <c r="Y1057"/>
      <c r="Z1057"/>
      <c r="AA1057"/>
    </row>
    <row r="1058" spans="1:27" s="1" customFormat="1" x14ac:dyDescent="0.3">
      <c r="A1058"/>
      <c r="B1058"/>
      <c r="C1058"/>
      <c r="D1058"/>
      <c r="E1058"/>
      <c r="F1058"/>
      <c r="G1058"/>
      <c r="H1058"/>
      <c r="I1058"/>
      <c r="J1058"/>
      <c r="K1058"/>
      <c r="L1058"/>
      <c r="M1058"/>
      <c r="N1058"/>
      <c r="O1058"/>
      <c r="P1058"/>
      <c r="Q1058"/>
      <c r="R1058"/>
      <c r="S1058"/>
      <c r="T1058"/>
      <c r="U1058"/>
      <c r="V1058"/>
      <c r="W1058"/>
      <c r="X1058"/>
      <c r="Y1058"/>
      <c r="Z1058"/>
      <c r="AA1058"/>
    </row>
    <row r="1059" spans="1:27" s="1" customFormat="1" x14ac:dyDescent="0.3">
      <c r="A1059"/>
      <c r="B1059"/>
      <c r="C1059"/>
      <c r="D1059"/>
      <c r="E1059"/>
      <c r="F1059"/>
      <c r="G1059"/>
      <c r="H1059"/>
      <c r="I1059"/>
      <c r="J1059"/>
      <c r="K1059"/>
      <c r="L1059"/>
      <c r="M1059"/>
      <c r="N1059"/>
      <c r="O1059"/>
      <c r="P1059"/>
      <c r="Q1059"/>
      <c r="R1059"/>
      <c r="S1059"/>
      <c r="T1059"/>
      <c r="U1059"/>
      <c r="V1059"/>
      <c r="W1059"/>
      <c r="X1059"/>
      <c r="Y1059"/>
      <c r="Z1059"/>
      <c r="AA1059"/>
    </row>
    <row r="1060" spans="1:27" s="1" customFormat="1" x14ac:dyDescent="0.3">
      <c r="A1060"/>
      <c r="B1060"/>
      <c r="C1060"/>
      <c r="D1060"/>
      <c r="E1060"/>
      <c r="F1060"/>
      <c r="G1060"/>
      <c r="H1060"/>
      <c r="I1060"/>
      <c r="J1060"/>
      <c r="K1060"/>
      <c r="L1060"/>
      <c r="M1060"/>
      <c r="N1060"/>
      <c r="O1060"/>
      <c r="P1060"/>
      <c r="Q1060"/>
      <c r="R1060"/>
      <c r="S1060"/>
      <c r="T1060"/>
      <c r="U1060"/>
      <c r="V1060"/>
      <c r="W1060"/>
      <c r="X1060"/>
      <c r="Y1060"/>
      <c r="Z1060"/>
      <c r="AA1060"/>
    </row>
    <row r="1061" spans="1:27" s="1" customFormat="1" x14ac:dyDescent="0.3">
      <c r="A1061"/>
      <c r="B1061"/>
      <c r="C1061"/>
      <c r="D1061"/>
      <c r="E1061"/>
      <c r="F1061"/>
      <c r="G1061"/>
      <c r="H1061"/>
      <c r="I1061"/>
      <c r="J1061"/>
      <c r="K1061"/>
      <c r="L1061"/>
      <c r="M1061"/>
      <c r="N1061"/>
      <c r="O1061"/>
      <c r="P1061"/>
      <c r="Q1061"/>
      <c r="R1061"/>
      <c r="S1061"/>
      <c r="T1061"/>
      <c r="U1061"/>
      <c r="V1061"/>
      <c r="W1061"/>
      <c r="X1061"/>
      <c r="Y1061"/>
      <c r="Z1061"/>
      <c r="AA1061"/>
    </row>
    <row r="1062" spans="1:27" s="1" customFormat="1" x14ac:dyDescent="0.3">
      <c r="A1062"/>
      <c r="B1062"/>
      <c r="C1062"/>
      <c r="D1062"/>
      <c r="E1062"/>
      <c r="F1062"/>
      <c r="G1062"/>
      <c r="H1062"/>
      <c r="I1062"/>
      <c r="J1062"/>
      <c r="K1062"/>
      <c r="L1062"/>
      <c r="M1062"/>
      <c r="N1062"/>
      <c r="O1062"/>
      <c r="P1062"/>
      <c r="Q1062"/>
      <c r="R1062"/>
      <c r="S1062"/>
      <c r="T1062"/>
      <c r="U1062"/>
      <c r="V1062"/>
      <c r="W1062"/>
      <c r="X1062"/>
      <c r="Y1062"/>
      <c r="Z1062"/>
      <c r="AA1062"/>
    </row>
    <row r="1063" spans="1:27" s="1" customFormat="1" x14ac:dyDescent="0.3">
      <c r="A1063"/>
      <c r="B1063"/>
      <c r="C1063"/>
      <c r="D1063"/>
      <c r="E1063"/>
      <c r="F1063"/>
      <c r="G1063"/>
      <c r="H1063"/>
      <c r="I1063"/>
      <c r="J1063"/>
      <c r="K1063"/>
      <c r="L1063"/>
      <c r="M1063"/>
      <c r="N1063"/>
      <c r="O1063"/>
      <c r="P1063"/>
      <c r="Q1063"/>
      <c r="R1063"/>
      <c r="S1063"/>
      <c r="T1063"/>
      <c r="U1063"/>
      <c r="V1063"/>
      <c r="W1063"/>
      <c r="X1063"/>
      <c r="Y1063"/>
      <c r="Z1063"/>
      <c r="AA1063"/>
    </row>
    <row r="1064" spans="1:27" s="1" customFormat="1" x14ac:dyDescent="0.3">
      <c r="A1064"/>
      <c r="B1064"/>
      <c r="C1064"/>
      <c r="D1064"/>
      <c r="E1064"/>
      <c r="F1064"/>
      <c r="G1064"/>
      <c r="H1064"/>
      <c r="I1064"/>
      <c r="J1064"/>
      <c r="K1064"/>
      <c r="L1064"/>
      <c r="M1064"/>
      <c r="N1064"/>
      <c r="O1064"/>
      <c r="P1064"/>
      <c r="Q1064"/>
      <c r="R1064"/>
      <c r="S1064"/>
      <c r="T1064"/>
      <c r="U1064"/>
      <c r="V1064"/>
      <c r="W1064"/>
      <c r="X1064"/>
      <c r="Y1064"/>
      <c r="Z1064"/>
      <c r="AA1064"/>
    </row>
    <row r="1065" spans="1:27" s="1" customFormat="1" x14ac:dyDescent="0.3">
      <c r="A1065"/>
      <c r="B1065"/>
      <c r="C1065"/>
      <c r="D1065"/>
      <c r="E1065"/>
      <c r="F1065"/>
      <c r="G1065"/>
      <c r="H1065"/>
      <c r="I1065"/>
      <c r="J1065"/>
      <c r="K1065"/>
      <c r="L1065"/>
      <c r="M1065"/>
      <c r="N1065"/>
      <c r="O1065"/>
      <c r="P1065"/>
      <c r="Q1065"/>
      <c r="R1065"/>
      <c r="S1065"/>
      <c r="T1065"/>
      <c r="U1065"/>
      <c r="V1065"/>
      <c r="W1065"/>
      <c r="X1065"/>
      <c r="Y1065"/>
      <c r="Z1065"/>
      <c r="AA1065"/>
    </row>
    <row r="1066" spans="1:27" s="1" customFormat="1" x14ac:dyDescent="0.3">
      <c r="A1066"/>
      <c r="B1066"/>
      <c r="C1066"/>
      <c r="D1066"/>
      <c r="E1066"/>
      <c r="F1066"/>
      <c r="G1066"/>
      <c r="H1066"/>
      <c r="I1066"/>
      <c r="J1066"/>
      <c r="K1066"/>
      <c r="L1066"/>
      <c r="M1066"/>
      <c r="N1066"/>
      <c r="O1066"/>
      <c r="P1066"/>
      <c r="Q1066"/>
      <c r="R1066"/>
      <c r="S1066"/>
      <c r="T1066"/>
      <c r="U1066"/>
      <c r="V1066"/>
      <c r="W1066"/>
      <c r="X1066"/>
      <c r="Y1066"/>
      <c r="Z1066"/>
      <c r="AA1066"/>
    </row>
    <row r="1067" spans="1:27" s="1" customFormat="1" x14ac:dyDescent="0.3">
      <c r="A1067"/>
      <c r="B1067"/>
      <c r="C1067"/>
      <c r="D1067"/>
      <c r="E1067"/>
      <c r="F1067"/>
      <c r="G1067"/>
      <c r="H1067"/>
      <c r="I1067"/>
      <c r="J1067"/>
      <c r="K1067"/>
      <c r="L1067"/>
      <c r="M1067"/>
      <c r="N1067"/>
      <c r="O1067"/>
      <c r="P1067"/>
      <c r="Q1067"/>
      <c r="R1067"/>
      <c r="S1067"/>
      <c r="T1067"/>
      <c r="U1067"/>
      <c r="V1067"/>
      <c r="W1067"/>
      <c r="X1067"/>
      <c r="Y1067"/>
      <c r="Z1067"/>
      <c r="AA1067"/>
    </row>
    <row r="1068" spans="1:27" s="1" customFormat="1" x14ac:dyDescent="0.3">
      <c r="A1068"/>
      <c r="B1068"/>
      <c r="C1068"/>
      <c r="D1068"/>
      <c r="E1068"/>
      <c r="F1068"/>
      <c r="G1068"/>
      <c r="H1068"/>
      <c r="I1068"/>
      <c r="J1068"/>
      <c r="K1068"/>
      <c r="L1068"/>
      <c r="M1068"/>
      <c r="N1068"/>
      <c r="O1068"/>
      <c r="P1068"/>
      <c r="Q1068"/>
      <c r="R1068"/>
      <c r="S1068"/>
      <c r="T1068"/>
      <c r="U1068"/>
      <c r="V1068"/>
      <c r="W1068"/>
      <c r="X1068"/>
      <c r="Y1068"/>
      <c r="Z1068"/>
      <c r="AA1068"/>
    </row>
    <row r="1069" spans="1:27" s="1" customFormat="1" x14ac:dyDescent="0.3">
      <c r="A1069"/>
      <c r="B1069"/>
      <c r="C1069"/>
      <c r="D1069"/>
      <c r="E1069"/>
      <c r="F1069"/>
      <c r="G1069"/>
      <c r="H1069"/>
      <c r="I1069"/>
      <c r="J1069"/>
      <c r="K1069"/>
      <c r="L1069"/>
      <c r="M1069"/>
      <c r="N1069"/>
      <c r="O1069"/>
      <c r="P1069"/>
      <c r="Q1069"/>
      <c r="R1069"/>
      <c r="S1069"/>
      <c r="T1069"/>
      <c r="U1069"/>
      <c r="V1069"/>
      <c r="W1069"/>
      <c r="X1069"/>
      <c r="Y1069"/>
      <c r="Z1069"/>
      <c r="AA1069"/>
    </row>
    <row r="1070" spans="1:27" s="1" customFormat="1" x14ac:dyDescent="0.3">
      <c r="A1070"/>
      <c r="B1070"/>
      <c r="C1070"/>
      <c r="D1070"/>
      <c r="E1070"/>
      <c r="F1070"/>
      <c r="G1070"/>
      <c r="H1070"/>
      <c r="I1070"/>
      <c r="J1070"/>
      <c r="K1070"/>
      <c r="L1070"/>
      <c r="M1070"/>
      <c r="N1070"/>
      <c r="O1070"/>
      <c r="P1070"/>
      <c r="Q1070"/>
      <c r="R1070"/>
      <c r="S1070"/>
      <c r="T1070"/>
      <c r="U1070"/>
      <c r="V1070"/>
      <c r="W1070"/>
      <c r="X1070"/>
      <c r="Y1070"/>
      <c r="Z1070"/>
      <c r="AA1070"/>
    </row>
    <row r="1071" spans="1:27" s="1" customFormat="1" x14ac:dyDescent="0.3">
      <c r="A1071"/>
      <c r="B1071"/>
      <c r="C1071"/>
      <c r="D1071"/>
      <c r="E1071"/>
      <c r="F1071"/>
      <c r="G1071"/>
      <c r="H1071"/>
      <c r="I1071"/>
      <c r="J1071"/>
      <c r="K1071"/>
      <c r="L1071"/>
      <c r="M1071"/>
      <c r="N1071"/>
      <c r="O1071"/>
      <c r="P1071"/>
      <c r="Q1071"/>
      <c r="R1071"/>
      <c r="S1071"/>
      <c r="T1071"/>
      <c r="U1071"/>
      <c r="V1071"/>
      <c r="W1071"/>
      <c r="X1071"/>
      <c r="Y1071"/>
      <c r="Z1071"/>
      <c r="AA1071"/>
    </row>
    <row r="1072" spans="1:27" s="1" customFormat="1" x14ac:dyDescent="0.3">
      <c r="A1072"/>
      <c r="B1072"/>
      <c r="C1072"/>
      <c r="D1072"/>
      <c r="E1072"/>
      <c r="F1072"/>
      <c r="G1072"/>
      <c r="H1072"/>
      <c r="I1072"/>
      <c r="J1072"/>
      <c r="K1072"/>
      <c r="L1072"/>
      <c r="M1072"/>
      <c r="N1072"/>
      <c r="O1072"/>
      <c r="P1072"/>
      <c r="Q1072"/>
      <c r="R1072"/>
      <c r="S1072"/>
      <c r="T1072"/>
      <c r="U1072"/>
      <c r="V1072"/>
      <c r="W1072"/>
      <c r="X1072"/>
      <c r="Y1072"/>
      <c r="Z1072"/>
      <c r="AA1072"/>
    </row>
    <row r="1073" spans="1:27" s="1" customFormat="1" x14ac:dyDescent="0.3">
      <c r="A1073"/>
      <c r="B1073"/>
      <c r="C1073"/>
      <c r="D1073"/>
      <c r="E1073"/>
      <c r="F1073"/>
      <c r="G1073"/>
      <c r="H1073"/>
      <c r="I1073"/>
      <c r="J1073"/>
      <c r="K1073"/>
      <c r="L1073"/>
      <c r="M1073"/>
      <c r="N1073"/>
      <c r="O1073"/>
      <c r="P1073"/>
      <c r="Q1073"/>
      <c r="R1073"/>
      <c r="S1073"/>
      <c r="T1073"/>
      <c r="U1073"/>
      <c r="V1073"/>
      <c r="W1073"/>
      <c r="X1073"/>
      <c r="Y1073"/>
      <c r="Z1073"/>
      <c r="AA1073"/>
    </row>
    <row r="1074" spans="1:27" s="1" customFormat="1" x14ac:dyDescent="0.3">
      <c r="A1074"/>
      <c r="B1074"/>
      <c r="C1074"/>
      <c r="D1074"/>
      <c r="E1074"/>
      <c r="F1074"/>
      <c r="G1074"/>
      <c r="H1074"/>
      <c r="I1074"/>
      <c r="J1074"/>
      <c r="K1074"/>
      <c r="L1074"/>
      <c r="M1074"/>
      <c r="N1074"/>
      <c r="O1074"/>
      <c r="P1074"/>
      <c r="Q1074"/>
      <c r="R1074"/>
      <c r="S1074"/>
      <c r="T1074"/>
      <c r="U1074"/>
      <c r="V1074"/>
      <c r="W1074"/>
      <c r="X1074"/>
      <c r="Y1074"/>
      <c r="Z1074"/>
      <c r="AA1074"/>
    </row>
    <row r="1075" spans="1:27" s="1" customFormat="1" x14ac:dyDescent="0.3">
      <c r="A1075"/>
      <c r="B1075"/>
      <c r="C1075"/>
      <c r="D1075"/>
      <c r="E1075"/>
      <c r="F1075"/>
      <c r="G1075"/>
      <c r="H1075"/>
      <c r="I1075"/>
      <c r="J1075"/>
      <c r="K1075"/>
      <c r="L1075"/>
      <c r="M1075"/>
      <c r="N1075"/>
      <c r="O1075"/>
      <c r="P1075"/>
      <c r="Q1075"/>
      <c r="R1075"/>
      <c r="S1075"/>
      <c r="T1075"/>
      <c r="U1075"/>
      <c r="V1075"/>
      <c r="W1075"/>
      <c r="X1075"/>
      <c r="Y1075"/>
      <c r="Z1075"/>
      <c r="AA1075"/>
    </row>
    <row r="1076" spans="1:27" s="1" customFormat="1" x14ac:dyDescent="0.3">
      <c r="A1076"/>
      <c r="B1076"/>
      <c r="C1076"/>
      <c r="D1076"/>
      <c r="E1076"/>
      <c r="F1076"/>
      <c r="G1076"/>
      <c r="H1076"/>
      <c r="I1076"/>
      <c r="J1076"/>
      <c r="K1076"/>
      <c r="L1076"/>
      <c r="M1076"/>
      <c r="N1076"/>
      <c r="O1076"/>
      <c r="P1076"/>
      <c r="Q1076"/>
      <c r="R1076"/>
      <c r="S1076"/>
      <c r="T1076"/>
      <c r="U1076"/>
      <c r="V1076"/>
      <c r="W1076"/>
      <c r="X1076"/>
      <c r="Y1076"/>
      <c r="Z1076"/>
      <c r="AA1076"/>
    </row>
    <row r="1077" spans="1:27" s="1" customFormat="1" x14ac:dyDescent="0.3">
      <c r="A1077"/>
      <c r="B1077"/>
      <c r="C1077"/>
      <c r="D1077"/>
      <c r="E1077"/>
      <c r="F1077"/>
      <c r="G1077"/>
      <c r="H1077"/>
      <c r="I1077"/>
      <c r="J1077"/>
      <c r="K1077"/>
      <c r="L1077"/>
      <c r="M1077"/>
      <c r="N1077"/>
      <c r="O1077"/>
      <c r="P1077"/>
      <c r="Q1077"/>
      <c r="R1077"/>
      <c r="S1077"/>
      <c r="T1077"/>
      <c r="U1077"/>
      <c r="V1077"/>
      <c r="W1077"/>
      <c r="X1077"/>
      <c r="Y1077"/>
      <c r="Z1077"/>
      <c r="AA1077"/>
    </row>
    <row r="1078" spans="1:27" s="1" customFormat="1" x14ac:dyDescent="0.3">
      <c r="A1078"/>
      <c r="B1078"/>
      <c r="C1078"/>
      <c r="D1078"/>
      <c r="E1078"/>
      <c r="F1078"/>
      <c r="G1078"/>
      <c r="H1078"/>
      <c r="I1078"/>
      <c r="J1078"/>
      <c r="K1078"/>
      <c r="L1078"/>
      <c r="M1078"/>
      <c r="N1078"/>
      <c r="O1078"/>
      <c r="P1078"/>
      <c r="Q1078"/>
      <c r="R1078"/>
      <c r="S1078"/>
      <c r="T1078"/>
      <c r="U1078"/>
      <c r="V1078"/>
      <c r="W1078"/>
      <c r="X1078"/>
      <c r="Y1078"/>
      <c r="Z1078"/>
      <c r="AA1078"/>
    </row>
    <row r="1079" spans="1:27" s="1" customFormat="1" x14ac:dyDescent="0.3">
      <c r="A1079"/>
      <c r="B1079"/>
      <c r="C1079"/>
      <c r="D1079"/>
      <c r="E1079"/>
      <c r="F1079"/>
      <c r="G1079"/>
      <c r="H1079"/>
      <c r="I1079"/>
      <c r="J1079"/>
      <c r="K1079"/>
      <c r="L1079"/>
      <c r="M1079"/>
      <c r="N1079"/>
      <c r="O1079"/>
      <c r="P1079"/>
      <c r="Q1079"/>
      <c r="R1079"/>
      <c r="S1079"/>
      <c r="T1079"/>
      <c r="U1079"/>
      <c r="V1079"/>
      <c r="W1079"/>
      <c r="X1079"/>
      <c r="Y1079"/>
      <c r="Z1079"/>
      <c r="AA1079"/>
    </row>
    <row r="1080" spans="1:27" s="1" customFormat="1" x14ac:dyDescent="0.3">
      <c r="A1080"/>
      <c r="B1080"/>
      <c r="C1080"/>
      <c r="D1080"/>
      <c r="E1080"/>
      <c r="F1080"/>
      <c r="G1080"/>
      <c r="H1080"/>
      <c r="I1080"/>
      <c r="J1080"/>
      <c r="K1080"/>
      <c r="L1080"/>
      <c r="M1080"/>
      <c r="N1080"/>
      <c r="O1080"/>
      <c r="P1080"/>
      <c r="Q1080"/>
      <c r="R1080"/>
      <c r="S1080"/>
      <c r="T1080"/>
      <c r="U1080"/>
      <c r="V1080"/>
      <c r="W1080"/>
      <c r="X1080"/>
      <c r="Y1080"/>
      <c r="Z1080"/>
      <c r="AA1080"/>
    </row>
    <row r="1081" spans="1:27" s="1" customFormat="1" x14ac:dyDescent="0.3">
      <c r="A1081"/>
      <c r="B1081"/>
      <c r="C1081"/>
      <c r="D1081"/>
      <c r="E1081"/>
      <c r="F1081"/>
      <c r="G1081"/>
      <c r="H1081"/>
      <c r="I1081"/>
      <c r="J1081"/>
      <c r="K1081"/>
      <c r="L1081"/>
      <c r="M1081"/>
      <c r="N1081"/>
      <c r="O1081"/>
      <c r="P1081"/>
      <c r="Q1081"/>
      <c r="R1081"/>
      <c r="S1081"/>
      <c r="T1081"/>
      <c r="U1081"/>
      <c r="V1081"/>
      <c r="W1081"/>
      <c r="X1081"/>
      <c r="Y1081"/>
      <c r="Z1081"/>
      <c r="AA1081"/>
    </row>
    <row r="1082" spans="1:27" s="1" customFormat="1" x14ac:dyDescent="0.3">
      <c r="A1082"/>
      <c r="B1082"/>
      <c r="C1082"/>
      <c r="D1082"/>
      <c r="E1082"/>
      <c r="F1082"/>
      <c r="G1082"/>
      <c r="H1082"/>
      <c r="I1082"/>
      <c r="J1082"/>
      <c r="K1082"/>
      <c r="L1082"/>
      <c r="M1082"/>
      <c r="N1082"/>
      <c r="O1082"/>
      <c r="P1082"/>
      <c r="Q1082"/>
      <c r="R1082"/>
      <c r="S1082"/>
      <c r="T1082"/>
      <c r="U1082"/>
      <c r="V1082"/>
      <c r="W1082"/>
      <c r="X1082"/>
      <c r="Y1082"/>
      <c r="Z1082"/>
      <c r="AA1082"/>
    </row>
    <row r="1083" spans="1:27" s="1" customFormat="1" x14ac:dyDescent="0.3">
      <c r="A1083"/>
      <c r="B1083"/>
      <c r="C1083"/>
      <c r="D1083"/>
      <c r="E1083"/>
      <c r="F1083"/>
      <c r="G1083"/>
      <c r="H1083"/>
      <c r="I1083"/>
      <c r="J1083"/>
      <c r="K1083"/>
      <c r="L1083"/>
      <c r="M1083"/>
      <c r="N1083"/>
      <c r="O1083"/>
      <c r="P1083"/>
      <c r="Q1083"/>
      <c r="R1083"/>
      <c r="S1083"/>
      <c r="T1083"/>
      <c r="U1083"/>
      <c r="V1083"/>
      <c r="W1083"/>
      <c r="X1083"/>
      <c r="Y1083"/>
      <c r="Z1083"/>
      <c r="AA1083"/>
    </row>
    <row r="1084" spans="1:27" s="1" customFormat="1" x14ac:dyDescent="0.3">
      <c r="A1084"/>
      <c r="B1084"/>
      <c r="C1084"/>
      <c r="D1084"/>
      <c r="E1084"/>
      <c r="F1084"/>
      <c r="G1084"/>
      <c r="H1084"/>
      <c r="I1084"/>
      <c r="J1084"/>
      <c r="K1084"/>
      <c r="L1084"/>
      <c r="M1084"/>
      <c r="N1084"/>
      <c r="O1084"/>
      <c r="P1084"/>
      <c r="Q1084"/>
      <c r="R1084"/>
      <c r="S1084"/>
      <c r="T1084"/>
      <c r="U1084"/>
      <c r="V1084"/>
      <c r="W1084"/>
      <c r="X1084"/>
      <c r="Y1084"/>
      <c r="Z1084"/>
      <c r="AA1084"/>
    </row>
    <row r="1085" spans="1:27" s="1" customFormat="1" x14ac:dyDescent="0.3">
      <c r="A1085"/>
      <c r="B1085"/>
      <c r="C1085"/>
      <c r="D1085"/>
      <c r="E1085"/>
      <c r="F1085"/>
      <c r="G1085"/>
      <c r="H1085"/>
      <c r="I1085"/>
      <c r="J1085"/>
      <c r="K1085"/>
      <c r="L1085"/>
      <c r="M1085"/>
      <c r="N1085"/>
      <c r="O1085"/>
      <c r="P1085"/>
      <c r="Q1085"/>
      <c r="R1085"/>
      <c r="S1085"/>
      <c r="T1085"/>
      <c r="U1085"/>
      <c r="V1085"/>
      <c r="W1085"/>
      <c r="X1085"/>
      <c r="Y1085"/>
      <c r="Z1085"/>
      <c r="AA1085"/>
    </row>
    <row r="1086" spans="1:27" s="1" customFormat="1" x14ac:dyDescent="0.3">
      <c r="A1086"/>
      <c r="B1086"/>
      <c r="C1086"/>
      <c r="D1086"/>
      <c r="E1086"/>
      <c r="F1086"/>
      <c r="G1086"/>
      <c r="H1086"/>
      <c r="I1086"/>
      <c r="J1086"/>
      <c r="K1086"/>
      <c r="L1086"/>
      <c r="M1086"/>
      <c r="N1086"/>
      <c r="O1086"/>
      <c r="P1086"/>
      <c r="Q1086"/>
      <c r="R1086"/>
      <c r="S1086"/>
      <c r="T1086"/>
      <c r="U1086"/>
      <c r="V1086"/>
      <c r="W1086"/>
      <c r="X1086"/>
      <c r="Y1086"/>
      <c r="Z1086"/>
      <c r="AA1086"/>
    </row>
    <row r="1087" spans="1:27" s="1" customFormat="1" x14ac:dyDescent="0.3">
      <c r="A1087"/>
      <c r="B1087"/>
      <c r="C1087"/>
      <c r="D1087"/>
      <c r="E1087"/>
      <c r="F1087"/>
      <c r="G1087"/>
      <c r="H1087"/>
      <c r="I1087"/>
      <c r="J1087"/>
      <c r="K1087"/>
      <c r="L1087"/>
      <c r="M1087"/>
      <c r="N1087"/>
      <c r="O1087"/>
      <c r="P1087"/>
      <c r="Q1087"/>
      <c r="R1087"/>
      <c r="S1087"/>
      <c r="T1087"/>
      <c r="U1087"/>
      <c r="V1087"/>
      <c r="W1087"/>
      <c r="X1087"/>
      <c r="Y1087"/>
      <c r="Z1087"/>
      <c r="AA1087"/>
    </row>
    <row r="1088" spans="1:27" s="1" customFormat="1" x14ac:dyDescent="0.3">
      <c r="A1088"/>
      <c r="B1088"/>
      <c r="C1088"/>
      <c r="D1088"/>
      <c r="E1088"/>
      <c r="F1088"/>
      <c r="G1088"/>
      <c r="H1088"/>
      <c r="I1088"/>
      <c r="J1088"/>
      <c r="K1088"/>
      <c r="L1088"/>
      <c r="M1088"/>
      <c r="N1088"/>
      <c r="O1088"/>
      <c r="P1088"/>
      <c r="Q1088"/>
      <c r="R1088"/>
      <c r="S1088"/>
      <c r="T1088"/>
      <c r="U1088"/>
      <c r="V1088"/>
      <c r="W1088"/>
      <c r="X1088"/>
      <c r="Y1088"/>
      <c r="Z1088"/>
      <c r="AA1088"/>
    </row>
    <row r="1089" spans="1:27" s="1" customFormat="1" x14ac:dyDescent="0.3">
      <c r="A1089"/>
      <c r="B1089"/>
      <c r="C1089"/>
      <c r="D1089"/>
      <c r="E1089"/>
      <c r="F1089"/>
      <c r="G1089"/>
      <c r="H1089"/>
      <c r="I1089"/>
      <c r="J1089"/>
      <c r="K1089"/>
      <c r="L1089"/>
      <c r="M1089"/>
      <c r="N1089"/>
      <c r="O1089"/>
      <c r="P1089"/>
      <c r="Q1089"/>
      <c r="R1089"/>
      <c r="S1089"/>
      <c r="T1089"/>
      <c r="U1089"/>
      <c r="V1089"/>
      <c r="W1089"/>
      <c r="X1089"/>
      <c r="Y1089"/>
      <c r="Z1089"/>
      <c r="AA1089"/>
    </row>
    <row r="1090" spans="1:27" s="1" customFormat="1" x14ac:dyDescent="0.3">
      <c r="A1090"/>
      <c r="B1090"/>
      <c r="C1090"/>
      <c r="D1090"/>
      <c r="E1090"/>
      <c r="F1090"/>
      <c r="G1090"/>
      <c r="H1090"/>
      <c r="I1090"/>
      <c r="J1090"/>
      <c r="K1090"/>
      <c r="L1090"/>
      <c r="M1090"/>
      <c r="N1090"/>
      <c r="O1090"/>
      <c r="P1090"/>
      <c r="Q1090"/>
      <c r="R1090"/>
      <c r="S1090"/>
      <c r="T1090"/>
      <c r="U1090"/>
      <c r="V1090"/>
      <c r="W1090"/>
      <c r="X1090"/>
      <c r="Y1090"/>
      <c r="Z1090"/>
      <c r="AA1090"/>
    </row>
    <row r="1091" spans="1:27" s="1" customFormat="1" x14ac:dyDescent="0.3">
      <c r="A1091"/>
      <c r="B1091"/>
      <c r="C1091"/>
      <c r="D1091"/>
      <c r="E1091"/>
      <c r="F1091"/>
      <c r="G1091"/>
      <c r="H1091"/>
      <c r="I1091"/>
      <c r="J1091"/>
      <c r="K1091"/>
      <c r="L1091"/>
      <c r="M1091"/>
      <c r="N1091"/>
      <c r="O1091"/>
      <c r="P1091"/>
      <c r="Q1091"/>
      <c r="R1091"/>
      <c r="S1091"/>
      <c r="T1091"/>
      <c r="U1091"/>
      <c r="V1091"/>
      <c r="W1091"/>
      <c r="X1091"/>
      <c r="Y1091"/>
      <c r="Z1091"/>
      <c r="AA1091"/>
    </row>
    <row r="1092" spans="1:27" s="1" customFormat="1" x14ac:dyDescent="0.3">
      <c r="A1092"/>
      <c r="B1092"/>
      <c r="C1092"/>
      <c r="D1092"/>
      <c r="E1092"/>
      <c r="F1092"/>
      <c r="G1092"/>
      <c r="H1092"/>
      <c r="I1092"/>
      <c r="J1092"/>
      <c r="K1092"/>
      <c r="L1092"/>
      <c r="M1092"/>
      <c r="N1092"/>
      <c r="O1092"/>
      <c r="P1092"/>
      <c r="Q1092"/>
      <c r="R1092"/>
      <c r="S1092"/>
      <c r="T1092"/>
      <c r="U1092"/>
      <c r="V1092"/>
      <c r="W1092"/>
      <c r="X1092"/>
      <c r="Y1092"/>
      <c r="Z1092"/>
      <c r="AA1092"/>
    </row>
    <row r="1093" spans="1:27" s="1" customFormat="1" x14ac:dyDescent="0.3">
      <c r="A1093"/>
      <c r="B1093"/>
      <c r="C1093"/>
      <c r="D1093"/>
      <c r="E1093"/>
      <c r="F1093"/>
      <c r="G1093"/>
      <c r="H1093"/>
      <c r="I1093"/>
      <c r="J1093"/>
      <c r="K1093"/>
      <c r="L1093"/>
      <c r="M1093"/>
      <c r="N1093"/>
      <c r="O1093"/>
      <c r="P1093"/>
      <c r="Q1093"/>
      <c r="R1093"/>
      <c r="S1093"/>
      <c r="T1093"/>
      <c r="U1093"/>
      <c r="V1093"/>
      <c r="W1093"/>
      <c r="X1093"/>
      <c r="Y1093"/>
      <c r="Z1093"/>
      <c r="AA1093"/>
    </row>
    <row r="1094" spans="1:27" s="1" customFormat="1" x14ac:dyDescent="0.3">
      <c r="A1094"/>
      <c r="B1094"/>
      <c r="C1094"/>
      <c r="D1094"/>
      <c r="E1094"/>
      <c r="F1094"/>
      <c r="G1094"/>
      <c r="H1094"/>
      <c r="I1094"/>
      <c r="J1094"/>
      <c r="K1094"/>
      <c r="L1094"/>
      <c r="M1094"/>
      <c r="N1094"/>
      <c r="O1094"/>
      <c r="P1094"/>
      <c r="Q1094"/>
      <c r="R1094"/>
      <c r="S1094"/>
      <c r="T1094"/>
      <c r="U1094"/>
      <c r="V1094"/>
      <c r="W1094"/>
      <c r="X1094"/>
      <c r="Y1094"/>
      <c r="Z1094"/>
      <c r="AA1094"/>
    </row>
    <row r="1095" spans="1:27" s="1" customFormat="1" x14ac:dyDescent="0.3">
      <c r="A1095"/>
      <c r="B1095"/>
      <c r="C1095"/>
      <c r="D1095"/>
      <c r="E1095"/>
      <c r="F1095"/>
      <c r="G1095"/>
      <c r="H1095"/>
      <c r="I1095"/>
      <c r="J1095"/>
      <c r="K1095"/>
      <c r="L1095"/>
      <c r="M1095"/>
      <c r="N1095"/>
      <c r="O1095"/>
      <c r="P1095"/>
      <c r="Q1095"/>
      <c r="R1095"/>
      <c r="S1095"/>
      <c r="T1095"/>
      <c r="U1095"/>
      <c r="V1095"/>
      <c r="W1095"/>
      <c r="X1095"/>
      <c r="Y1095"/>
      <c r="Z1095"/>
      <c r="AA1095"/>
    </row>
    <row r="1096" spans="1:27" s="1" customFormat="1" x14ac:dyDescent="0.3">
      <c r="A1096"/>
      <c r="B1096"/>
      <c r="C1096"/>
      <c r="D1096"/>
      <c r="E1096"/>
      <c r="F1096"/>
      <c r="G1096"/>
      <c r="H1096"/>
      <c r="I1096"/>
      <c r="J1096"/>
      <c r="K1096"/>
      <c r="L1096"/>
      <c r="M1096"/>
      <c r="N1096"/>
      <c r="O1096"/>
      <c r="P1096"/>
      <c r="Q1096"/>
      <c r="R1096"/>
      <c r="S1096"/>
      <c r="T1096"/>
      <c r="U1096"/>
      <c r="V1096"/>
      <c r="W1096"/>
      <c r="X1096"/>
      <c r="Y1096"/>
      <c r="Z1096"/>
      <c r="AA1096"/>
    </row>
    <row r="1097" spans="1:27" s="1" customFormat="1" x14ac:dyDescent="0.3">
      <c r="A1097"/>
      <c r="B1097"/>
      <c r="C1097"/>
      <c r="D1097"/>
      <c r="E1097"/>
      <c r="F1097"/>
      <c r="G1097"/>
      <c r="H1097"/>
      <c r="I1097"/>
      <c r="J1097"/>
      <c r="K1097"/>
      <c r="L1097"/>
      <c r="M1097"/>
      <c r="N1097"/>
      <c r="O1097"/>
      <c r="P1097"/>
      <c r="Q1097"/>
      <c r="R1097"/>
      <c r="S1097"/>
      <c r="T1097"/>
      <c r="U1097"/>
      <c r="V1097"/>
      <c r="W1097"/>
      <c r="X1097"/>
      <c r="Y1097"/>
      <c r="Z1097"/>
      <c r="AA1097"/>
    </row>
    <row r="1098" spans="1:27" s="1" customFormat="1" x14ac:dyDescent="0.3">
      <c r="A1098"/>
      <c r="B1098"/>
      <c r="C1098"/>
      <c r="D1098"/>
      <c r="E1098"/>
      <c r="F1098"/>
      <c r="G1098"/>
      <c r="H1098"/>
      <c r="I1098"/>
      <c r="J1098"/>
      <c r="K1098"/>
      <c r="L1098"/>
      <c r="M1098"/>
      <c r="N1098"/>
      <c r="O1098"/>
      <c r="P1098"/>
      <c r="Q1098"/>
      <c r="R1098"/>
      <c r="S1098"/>
      <c r="T1098"/>
      <c r="U1098"/>
      <c r="V1098"/>
      <c r="W1098"/>
      <c r="X1098"/>
      <c r="Y1098"/>
      <c r="Z1098"/>
      <c r="AA1098"/>
    </row>
    <row r="1099" spans="1:27" s="1" customFormat="1" x14ac:dyDescent="0.3">
      <c r="A1099"/>
      <c r="B1099"/>
      <c r="C1099"/>
      <c r="D1099"/>
      <c r="E1099"/>
      <c r="F1099"/>
      <c r="G1099"/>
      <c r="H1099"/>
      <c r="I1099"/>
      <c r="J1099"/>
      <c r="K1099"/>
      <c r="L1099"/>
      <c r="M1099"/>
      <c r="N1099"/>
      <c r="O1099"/>
      <c r="P1099"/>
      <c r="Q1099"/>
      <c r="R1099"/>
      <c r="S1099"/>
      <c r="T1099"/>
      <c r="U1099"/>
      <c r="V1099"/>
      <c r="W1099"/>
      <c r="X1099"/>
      <c r="Y1099"/>
      <c r="Z1099"/>
      <c r="AA1099"/>
    </row>
    <row r="1100" spans="1:27" s="1" customFormat="1" x14ac:dyDescent="0.3">
      <c r="A1100"/>
      <c r="B1100"/>
      <c r="C1100"/>
      <c r="D1100"/>
      <c r="E1100"/>
      <c r="F1100"/>
      <c r="G1100"/>
      <c r="H1100"/>
      <c r="I1100"/>
      <c r="J1100"/>
      <c r="K1100"/>
      <c r="L1100"/>
      <c r="M1100"/>
      <c r="N1100"/>
      <c r="O1100"/>
      <c r="P1100"/>
      <c r="Q1100"/>
      <c r="R1100"/>
      <c r="S1100"/>
      <c r="T1100"/>
      <c r="U1100"/>
      <c r="V1100"/>
      <c r="W1100"/>
      <c r="X1100"/>
      <c r="Y1100"/>
      <c r="Z1100"/>
      <c r="AA1100"/>
    </row>
    <row r="1101" spans="1:27" s="1" customFormat="1" x14ac:dyDescent="0.3">
      <c r="A1101"/>
      <c r="B1101"/>
      <c r="C1101"/>
      <c r="D1101"/>
      <c r="E1101"/>
      <c r="F1101"/>
      <c r="G1101"/>
      <c r="H1101"/>
      <c r="I1101"/>
      <c r="J1101"/>
      <c r="K1101"/>
      <c r="L1101"/>
      <c r="M1101"/>
      <c r="N1101"/>
      <c r="O1101"/>
      <c r="P1101"/>
      <c r="Q1101"/>
      <c r="R1101"/>
      <c r="S1101"/>
      <c r="T1101"/>
      <c r="U1101"/>
      <c r="V1101"/>
      <c r="W1101"/>
      <c r="X1101"/>
      <c r="Y1101"/>
      <c r="Z1101"/>
      <c r="AA1101"/>
    </row>
    <row r="1102" spans="1:27" s="1" customFormat="1" x14ac:dyDescent="0.3">
      <c r="A1102"/>
      <c r="B1102"/>
      <c r="C1102"/>
      <c r="D1102"/>
      <c r="E1102"/>
      <c r="F1102"/>
      <c r="G1102"/>
      <c r="H1102"/>
      <c r="I1102"/>
      <c r="J1102"/>
      <c r="K1102"/>
      <c r="L1102"/>
      <c r="M1102"/>
      <c r="N1102"/>
      <c r="O1102"/>
      <c r="P1102"/>
      <c r="Q1102"/>
      <c r="R1102"/>
      <c r="S1102"/>
      <c r="T1102"/>
      <c r="U1102"/>
      <c r="V1102"/>
      <c r="W1102"/>
      <c r="X1102"/>
      <c r="Y1102"/>
      <c r="Z1102"/>
      <c r="AA1102"/>
    </row>
    <row r="1103" spans="1:27" s="1" customFormat="1" x14ac:dyDescent="0.3">
      <c r="A1103"/>
      <c r="B1103"/>
      <c r="C1103"/>
      <c r="D1103"/>
      <c r="E1103"/>
      <c r="F1103"/>
      <c r="G1103"/>
      <c r="H1103"/>
      <c r="I1103"/>
      <c r="J1103"/>
      <c r="K1103"/>
      <c r="L1103"/>
      <c r="M1103"/>
      <c r="N1103"/>
      <c r="O1103"/>
      <c r="P1103"/>
      <c r="Q1103"/>
      <c r="R1103"/>
      <c r="S1103"/>
      <c r="T1103"/>
      <c r="U1103"/>
      <c r="V1103"/>
      <c r="W1103"/>
      <c r="X1103"/>
      <c r="Y1103"/>
      <c r="Z1103"/>
      <c r="AA1103"/>
    </row>
    <row r="1104" spans="1:27" s="1" customFormat="1" x14ac:dyDescent="0.3">
      <c r="A1104"/>
      <c r="B1104"/>
      <c r="C1104"/>
      <c r="D1104"/>
      <c r="E1104"/>
      <c r="F1104"/>
      <c r="G1104"/>
      <c r="H1104"/>
      <c r="I1104"/>
      <c r="J1104"/>
      <c r="K1104"/>
      <c r="L1104"/>
      <c r="M1104"/>
      <c r="N1104"/>
      <c r="O1104"/>
      <c r="P1104"/>
      <c r="Q1104"/>
      <c r="R1104"/>
      <c r="S1104"/>
      <c r="T1104"/>
      <c r="U1104"/>
      <c r="V1104"/>
      <c r="W1104"/>
      <c r="X1104"/>
      <c r="Y1104"/>
      <c r="Z1104"/>
      <c r="AA1104"/>
    </row>
    <row r="1105" spans="1:27" s="1" customFormat="1" x14ac:dyDescent="0.3">
      <c r="A1105"/>
      <c r="B1105"/>
      <c r="C1105"/>
      <c r="D1105"/>
      <c r="E1105"/>
      <c r="F1105"/>
      <c r="G1105"/>
      <c r="H1105"/>
      <c r="I1105"/>
      <c r="J1105"/>
      <c r="K1105"/>
      <c r="L1105"/>
      <c r="M1105"/>
      <c r="N1105"/>
      <c r="O1105"/>
      <c r="P1105"/>
      <c r="Q1105"/>
      <c r="R1105"/>
      <c r="S1105"/>
      <c r="T1105"/>
      <c r="U1105"/>
      <c r="V1105"/>
      <c r="W1105"/>
      <c r="X1105"/>
      <c r="Y1105"/>
      <c r="Z1105"/>
      <c r="AA1105"/>
    </row>
    <row r="1106" spans="1:27" s="1" customFormat="1" x14ac:dyDescent="0.3">
      <c r="A1106"/>
      <c r="B1106"/>
      <c r="C1106"/>
      <c r="D1106"/>
      <c r="E1106"/>
      <c r="F1106"/>
      <c r="G1106"/>
      <c r="H1106"/>
      <c r="I1106"/>
      <c r="J1106"/>
      <c r="K1106"/>
      <c r="L1106"/>
      <c r="M1106"/>
      <c r="N1106"/>
      <c r="O1106"/>
      <c r="P1106"/>
      <c r="Q1106"/>
      <c r="R1106"/>
      <c r="S1106"/>
      <c r="T1106"/>
      <c r="U1106"/>
      <c r="V1106"/>
      <c r="W1106"/>
      <c r="X1106"/>
      <c r="Y1106"/>
      <c r="Z1106"/>
      <c r="AA1106"/>
    </row>
    <row r="1107" spans="1:27" s="1" customFormat="1" x14ac:dyDescent="0.3">
      <c r="A1107"/>
      <c r="B1107"/>
      <c r="C1107"/>
      <c r="D1107"/>
      <c r="E1107"/>
      <c r="F1107"/>
      <c r="G1107"/>
      <c r="H1107"/>
      <c r="I1107"/>
      <c r="J1107"/>
      <c r="K1107"/>
      <c r="L1107"/>
      <c r="M1107"/>
      <c r="N1107"/>
      <c r="O1107"/>
      <c r="P1107"/>
      <c r="Q1107"/>
      <c r="R1107"/>
      <c r="S1107"/>
      <c r="T1107"/>
      <c r="U1107"/>
      <c r="V1107"/>
      <c r="W1107"/>
      <c r="X1107"/>
      <c r="Y1107"/>
      <c r="Z1107"/>
      <c r="AA1107"/>
    </row>
    <row r="1108" spans="1:27" s="1" customFormat="1" x14ac:dyDescent="0.3">
      <c r="A1108"/>
      <c r="B1108"/>
      <c r="C1108"/>
      <c r="D1108"/>
      <c r="E1108"/>
      <c r="F1108"/>
      <c r="G1108"/>
      <c r="H1108"/>
      <c r="I1108"/>
      <c r="J1108"/>
      <c r="K1108"/>
      <c r="L1108"/>
      <c r="M1108"/>
      <c r="N1108"/>
      <c r="O1108"/>
      <c r="P1108"/>
      <c r="Q1108"/>
      <c r="R1108"/>
      <c r="S1108"/>
      <c r="T1108"/>
      <c r="U1108"/>
      <c r="V1108"/>
      <c r="W1108"/>
      <c r="X1108"/>
      <c r="Y1108"/>
      <c r="Z1108"/>
      <c r="AA1108"/>
    </row>
    <row r="1109" spans="1:27" s="1" customFormat="1" x14ac:dyDescent="0.3">
      <c r="A1109"/>
      <c r="B1109"/>
      <c r="C1109"/>
      <c r="D1109"/>
      <c r="E1109"/>
      <c r="F1109"/>
      <c r="G1109"/>
      <c r="H1109"/>
      <c r="I1109"/>
      <c r="J1109"/>
      <c r="K1109"/>
      <c r="L1109"/>
      <c r="M1109"/>
      <c r="N1109"/>
      <c r="O1109"/>
      <c r="P1109"/>
      <c r="Q1109"/>
      <c r="R1109"/>
      <c r="S1109"/>
      <c r="T1109"/>
      <c r="U1109"/>
      <c r="V1109"/>
      <c r="W1109"/>
      <c r="X1109"/>
      <c r="Y1109"/>
      <c r="Z1109"/>
      <c r="AA1109"/>
    </row>
    <row r="1110" spans="1:27" s="1" customFormat="1" x14ac:dyDescent="0.3">
      <c r="A1110"/>
      <c r="B1110"/>
      <c r="C1110"/>
      <c r="D1110"/>
      <c r="E1110"/>
      <c r="F1110"/>
      <c r="G1110"/>
      <c r="H1110"/>
      <c r="I1110"/>
      <c r="J1110"/>
      <c r="K1110"/>
      <c r="L1110"/>
      <c r="M1110"/>
      <c r="N1110"/>
      <c r="O1110"/>
      <c r="P1110"/>
      <c r="Q1110"/>
      <c r="R1110"/>
      <c r="S1110"/>
      <c r="T1110"/>
      <c r="U1110"/>
      <c r="V1110"/>
      <c r="W1110"/>
      <c r="X1110"/>
      <c r="Y1110"/>
      <c r="Z1110"/>
      <c r="AA1110"/>
    </row>
    <row r="1111" spans="1:27" s="1" customFormat="1" x14ac:dyDescent="0.3">
      <c r="A1111"/>
      <c r="B1111"/>
      <c r="C1111"/>
      <c r="D1111"/>
      <c r="E1111"/>
      <c r="F1111"/>
      <c r="G1111"/>
      <c r="H1111"/>
      <c r="I1111"/>
      <c r="J1111"/>
      <c r="K1111"/>
      <c r="L1111"/>
      <c r="M1111"/>
      <c r="N1111"/>
      <c r="O1111"/>
      <c r="P1111"/>
      <c r="Q1111"/>
      <c r="R1111"/>
      <c r="S1111"/>
      <c r="T1111"/>
      <c r="U1111"/>
      <c r="V1111"/>
      <c r="W1111"/>
      <c r="X1111"/>
      <c r="Y1111"/>
      <c r="Z1111"/>
      <c r="AA1111"/>
    </row>
    <row r="1112" spans="1:27" s="1" customFormat="1" x14ac:dyDescent="0.3">
      <c r="A1112"/>
      <c r="B1112"/>
      <c r="C1112"/>
      <c r="D1112"/>
      <c r="E1112"/>
      <c r="F1112"/>
      <c r="G1112"/>
      <c r="H1112"/>
      <c r="I1112"/>
      <c r="J1112"/>
      <c r="K1112"/>
      <c r="L1112"/>
      <c r="M1112"/>
      <c r="N1112"/>
      <c r="O1112"/>
      <c r="P1112"/>
      <c r="Q1112"/>
      <c r="R1112"/>
      <c r="S1112"/>
      <c r="T1112"/>
      <c r="U1112"/>
      <c r="V1112"/>
      <c r="W1112"/>
      <c r="X1112"/>
      <c r="Y1112"/>
      <c r="Z1112"/>
      <c r="AA1112"/>
    </row>
    <row r="1113" spans="1:27" s="1" customFormat="1" x14ac:dyDescent="0.3">
      <c r="A1113"/>
      <c r="B1113"/>
      <c r="C1113"/>
      <c r="D1113"/>
      <c r="E1113"/>
      <c r="F1113"/>
      <c r="G1113"/>
      <c r="H1113"/>
      <c r="I1113"/>
      <c r="J1113"/>
      <c r="K1113"/>
      <c r="L1113"/>
      <c r="M1113"/>
      <c r="N1113"/>
      <c r="O1113"/>
      <c r="P1113"/>
      <c r="Q1113"/>
      <c r="R1113"/>
      <c r="S1113"/>
      <c r="T1113"/>
      <c r="U1113"/>
      <c r="V1113"/>
      <c r="W1113"/>
      <c r="X1113"/>
      <c r="Y1113"/>
      <c r="Z1113"/>
      <c r="AA1113"/>
    </row>
    <row r="1114" spans="1:27" s="1" customFormat="1" x14ac:dyDescent="0.3">
      <c r="A1114"/>
      <c r="B1114"/>
      <c r="C1114"/>
      <c r="D1114"/>
      <c r="E1114"/>
      <c r="F1114"/>
      <c r="G1114"/>
      <c r="H1114"/>
      <c r="I1114"/>
      <c r="J1114"/>
      <c r="K1114"/>
      <c r="L1114"/>
      <c r="M1114"/>
      <c r="N1114"/>
      <c r="O1114"/>
      <c r="P1114"/>
      <c r="Q1114"/>
      <c r="R1114"/>
      <c r="S1114"/>
      <c r="T1114"/>
      <c r="U1114"/>
      <c r="V1114"/>
      <c r="W1114"/>
      <c r="X1114"/>
      <c r="Y1114"/>
      <c r="Z1114"/>
      <c r="AA1114"/>
    </row>
    <row r="1115" spans="1:27" s="1" customFormat="1" x14ac:dyDescent="0.3">
      <c r="A1115"/>
      <c r="B1115"/>
      <c r="C1115"/>
      <c r="D1115"/>
      <c r="E1115"/>
      <c r="F1115"/>
      <c r="G1115"/>
      <c r="H1115"/>
      <c r="I1115"/>
      <c r="J1115"/>
      <c r="K1115"/>
      <c r="L1115"/>
      <c r="M1115"/>
      <c r="N1115"/>
      <c r="O1115"/>
      <c r="P1115"/>
      <c r="Q1115"/>
      <c r="R1115"/>
      <c r="S1115"/>
      <c r="T1115"/>
      <c r="U1115"/>
      <c r="V1115"/>
      <c r="W1115"/>
      <c r="X1115"/>
      <c r="Y1115"/>
      <c r="Z1115"/>
      <c r="AA1115"/>
    </row>
    <row r="1116" spans="1:27" s="1" customFormat="1" x14ac:dyDescent="0.3">
      <c r="A1116"/>
      <c r="B1116"/>
      <c r="C1116"/>
      <c r="D1116"/>
      <c r="E1116"/>
      <c r="F1116"/>
      <c r="G1116"/>
      <c r="H1116"/>
      <c r="I1116"/>
      <c r="J1116"/>
      <c r="K1116"/>
      <c r="L1116"/>
      <c r="M1116"/>
      <c r="N1116"/>
      <c r="O1116"/>
      <c r="P1116"/>
      <c r="Q1116"/>
      <c r="R1116"/>
      <c r="S1116"/>
      <c r="T1116"/>
      <c r="U1116"/>
      <c r="V1116"/>
      <c r="W1116"/>
      <c r="X1116"/>
      <c r="Y1116"/>
      <c r="Z1116"/>
      <c r="AA1116"/>
    </row>
    <row r="1117" spans="1:27" s="1" customFormat="1" x14ac:dyDescent="0.3">
      <c r="A1117"/>
      <c r="B1117"/>
      <c r="C1117"/>
      <c r="D1117"/>
      <c r="E1117"/>
      <c r="F1117"/>
      <c r="G1117"/>
      <c r="H1117"/>
      <c r="I1117"/>
      <c r="J1117"/>
      <c r="K1117"/>
      <c r="L1117"/>
      <c r="M1117"/>
      <c r="N1117"/>
      <c r="O1117"/>
      <c r="P1117"/>
      <c r="Q1117"/>
      <c r="R1117"/>
      <c r="S1117"/>
      <c r="T1117"/>
      <c r="U1117"/>
      <c r="V1117"/>
      <c r="W1117"/>
      <c r="X1117"/>
      <c r="Y1117"/>
      <c r="Z1117"/>
      <c r="AA1117"/>
    </row>
    <row r="1118" spans="1:27" s="1" customFormat="1" x14ac:dyDescent="0.3">
      <c r="A1118"/>
      <c r="B1118"/>
      <c r="C1118"/>
      <c r="D1118"/>
      <c r="E1118"/>
      <c r="F1118"/>
      <c r="G1118"/>
      <c r="H1118"/>
      <c r="I1118"/>
      <c r="J1118"/>
      <c r="K1118"/>
      <c r="L1118"/>
      <c r="M1118"/>
      <c r="N1118"/>
      <c r="O1118"/>
      <c r="P1118"/>
      <c r="Q1118"/>
      <c r="R1118"/>
      <c r="S1118"/>
      <c r="T1118"/>
      <c r="U1118"/>
      <c r="V1118"/>
      <c r="W1118"/>
      <c r="X1118"/>
      <c r="Y1118"/>
      <c r="Z1118"/>
      <c r="AA1118"/>
    </row>
    <row r="1119" spans="1:27" s="1" customFormat="1" x14ac:dyDescent="0.3">
      <c r="A1119"/>
      <c r="B1119"/>
      <c r="C1119"/>
      <c r="D1119"/>
      <c r="E1119"/>
      <c r="F1119"/>
      <c r="G1119"/>
      <c r="H1119"/>
      <c r="I1119"/>
      <c r="J1119"/>
      <c r="K1119"/>
      <c r="L1119"/>
      <c r="M1119"/>
      <c r="N1119"/>
      <c r="O1119"/>
      <c r="P1119"/>
      <c r="Q1119"/>
      <c r="R1119"/>
      <c r="S1119"/>
      <c r="T1119"/>
      <c r="U1119"/>
      <c r="V1119"/>
      <c r="W1119"/>
      <c r="X1119"/>
      <c r="Y1119"/>
      <c r="Z1119"/>
      <c r="AA1119"/>
    </row>
    <row r="1120" spans="1:27" s="1" customFormat="1" x14ac:dyDescent="0.3">
      <c r="A1120"/>
      <c r="B1120"/>
      <c r="C1120"/>
      <c r="D1120"/>
      <c r="E1120"/>
      <c r="F1120"/>
      <c r="G1120"/>
      <c r="H1120"/>
      <c r="I1120"/>
      <c r="J1120"/>
      <c r="K1120"/>
      <c r="L1120"/>
      <c r="M1120"/>
      <c r="N1120"/>
      <c r="O1120"/>
      <c r="P1120"/>
      <c r="Q1120"/>
      <c r="R1120"/>
      <c r="S1120"/>
      <c r="T1120"/>
      <c r="U1120"/>
      <c r="V1120"/>
      <c r="W1120"/>
      <c r="X1120"/>
      <c r="Y1120"/>
      <c r="Z1120"/>
      <c r="AA1120"/>
    </row>
    <row r="1121" spans="1:27" s="1" customFormat="1" x14ac:dyDescent="0.3">
      <c r="A1121"/>
      <c r="B1121"/>
      <c r="C1121"/>
      <c r="D1121"/>
      <c r="E1121"/>
      <c r="F1121"/>
      <c r="G1121"/>
      <c r="H1121"/>
      <c r="I1121"/>
      <c r="J1121"/>
      <c r="K1121"/>
      <c r="L1121"/>
      <c r="M1121"/>
      <c r="N1121"/>
      <c r="O1121"/>
      <c r="P1121"/>
      <c r="Q1121"/>
      <c r="R1121"/>
      <c r="S1121"/>
      <c r="T1121"/>
      <c r="U1121"/>
      <c r="V1121"/>
      <c r="W1121"/>
      <c r="X1121"/>
      <c r="Y1121"/>
      <c r="Z1121"/>
      <c r="AA1121"/>
    </row>
    <row r="1122" spans="1:27" s="1" customFormat="1" x14ac:dyDescent="0.3">
      <c r="A1122"/>
      <c r="B1122"/>
      <c r="C1122"/>
      <c r="D1122"/>
      <c r="E1122"/>
      <c r="F1122"/>
      <c r="G1122"/>
      <c r="H1122"/>
      <c r="I1122"/>
      <c r="J1122"/>
      <c r="K1122"/>
      <c r="L1122"/>
      <c r="M1122"/>
      <c r="N1122"/>
      <c r="O1122"/>
      <c r="P1122"/>
      <c r="Q1122"/>
      <c r="R1122"/>
      <c r="S1122"/>
      <c r="T1122"/>
      <c r="U1122"/>
      <c r="V1122"/>
      <c r="W1122"/>
      <c r="X1122"/>
      <c r="Y1122"/>
      <c r="Z1122"/>
      <c r="AA1122"/>
    </row>
    <row r="1123" spans="1:27" s="1" customFormat="1" x14ac:dyDescent="0.3">
      <c r="A1123"/>
      <c r="B1123"/>
      <c r="C1123"/>
      <c r="D1123"/>
      <c r="E1123"/>
      <c r="F1123"/>
      <c r="G1123"/>
      <c r="H1123"/>
      <c r="I1123"/>
      <c r="J1123"/>
      <c r="K1123"/>
      <c r="L1123"/>
      <c r="M1123"/>
      <c r="N1123"/>
      <c r="O1123"/>
      <c r="P1123"/>
      <c r="Q1123"/>
      <c r="R1123"/>
      <c r="S1123"/>
      <c r="T1123"/>
      <c r="U1123"/>
      <c r="V1123"/>
      <c r="W1123"/>
      <c r="X1123"/>
      <c r="Y1123"/>
      <c r="Z1123"/>
      <c r="AA1123"/>
    </row>
    <row r="1124" spans="1:27" s="1" customFormat="1" x14ac:dyDescent="0.3">
      <c r="A1124"/>
      <c r="B1124"/>
      <c r="C1124"/>
      <c r="D1124"/>
      <c r="E1124"/>
      <c r="F1124"/>
      <c r="G1124"/>
      <c r="H1124"/>
      <c r="I1124"/>
      <c r="J1124"/>
      <c r="K1124"/>
      <c r="L1124"/>
      <c r="M1124"/>
      <c r="N1124"/>
      <c r="O1124"/>
      <c r="P1124"/>
      <c r="Q1124"/>
      <c r="R1124"/>
      <c r="S1124"/>
      <c r="T1124"/>
      <c r="U1124"/>
      <c r="V1124"/>
      <c r="W1124"/>
      <c r="X1124"/>
      <c r="Y1124"/>
      <c r="Z1124"/>
      <c r="AA1124"/>
    </row>
    <row r="1125" spans="1:27" s="1" customFormat="1" x14ac:dyDescent="0.3">
      <c r="A1125"/>
      <c r="B1125"/>
      <c r="C1125"/>
      <c r="D1125"/>
      <c r="E1125"/>
      <c r="F1125"/>
      <c r="G1125"/>
      <c r="H1125"/>
      <c r="I1125"/>
      <c r="J1125"/>
      <c r="K1125"/>
      <c r="L1125"/>
      <c r="M1125"/>
      <c r="N1125"/>
      <c r="O1125"/>
      <c r="P1125"/>
      <c r="Q1125"/>
      <c r="R1125"/>
      <c r="S1125"/>
      <c r="T1125"/>
      <c r="U1125"/>
      <c r="V1125"/>
      <c r="W1125"/>
      <c r="X1125"/>
      <c r="Y1125"/>
      <c r="Z1125"/>
      <c r="AA1125"/>
    </row>
    <row r="1126" spans="1:27" s="1" customFormat="1" x14ac:dyDescent="0.3">
      <c r="A1126"/>
      <c r="B1126"/>
      <c r="C1126"/>
      <c r="D1126"/>
      <c r="E1126"/>
      <c r="F1126"/>
      <c r="G1126"/>
      <c r="H1126"/>
      <c r="I1126"/>
      <c r="J1126"/>
      <c r="K1126"/>
      <c r="L1126"/>
      <c r="M1126"/>
      <c r="N1126"/>
      <c r="O1126"/>
      <c r="P1126"/>
      <c r="Q1126"/>
      <c r="R1126"/>
      <c r="S1126"/>
      <c r="T1126"/>
      <c r="U1126"/>
      <c r="V1126"/>
      <c r="W1126"/>
      <c r="X1126"/>
      <c r="Y1126"/>
      <c r="Z1126"/>
      <c r="AA1126"/>
    </row>
    <row r="1127" spans="1:27" s="1" customFormat="1" x14ac:dyDescent="0.3">
      <c r="A1127"/>
      <c r="B1127"/>
      <c r="C1127"/>
      <c r="D1127"/>
      <c r="E1127"/>
      <c r="F1127"/>
      <c r="G1127"/>
      <c r="H1127"/>
      <c r="I1127"/>
      <c r="J1127"/>
      <c r="K1127"/>
      <c r="L1127"/>
      <c r="M1127"/>
      <c r="N1127"/>
      <c r="O1127"/>
      <c r="P1127"/>
      <c r="Q1127"/>
      <c r="R1127"/>
      <c r="S1127"/>
      <c r="T1127"/>
      <c r="U1127"/>
      <c r="V1127"/>
      <c r="W1127"/>
      <c r="X1127"/>
      <c r="Y1127"/>
      <c r="Z1127"/>
      <c r="AA1127"/>
    </row>
    <row r="1128" spans="1:27" s="1" customFormat="1" x14ac:dyDescent="0.3">
      <c r="A1128"/>
      <c r="B1128"/>
      <c r="C1128"/>
      <c r="D1128"/>
      <c r="E1128"/>
      <c r="F1128"/>
      <c r="G1128"/>
      <c r="H1128"/>
      <c r="I1128"/>
      <c r="J1128"/>
      <c r="K1128"/>
      <c r="L1128"/>
      <c r="M1128"/>
      <c r="N1128"/>
      <c r="O1128"/>
      <c r="P1128"/>
      <c r="Q1128"/>
      <c r="R1128"/>
      <c r="S1128"/>
      <c r="T1128"/>
      <c r="U1128"/>
      <c r="V1128"/>
      <c r="W1128"/>
      <c r="X1128"/>
      <c r="Y1128"/>
      <c r="Z1128"/>
      <c r="AA1128"/>
    </row>
    <row r="1129" spans="1:27" s="1" customFormat="1" x14ac:dyDescent="0.3">
      <c r="A1129"/>
      <c r="B1129"/>
      <c r="C1129"/>
      <c r="D1129"/>
      <c r="E1129"/>
      <c r="F1129"/>
      <c r="G1129"/>
      <c r="H1129"/>
      <c r="I1129"/>
      <c r="J1129"/>
      <c r="K1129"/>
      <c r="L1129"/>
      <c r="M1129"/>
      <c r="N1129"/>
      <c r="O1129"/>
      <c r="P1129"/>
      <c r="Q1129"/>
      <c r="R1129"/>
      <c r="S1129"/>
      <c r="T1129"/>
      <c r="U1129"/>
      <c r="V1129"/>
      <c r="W1129"/>
      <c r="X1129"/>
      <c r="Y1129"/>
      <c r="Z1129"/>
      <c r="AA1129"/>
    </row>
    <row r="1130" spans="1:27" s="1" customFormat="1" x14ac:dyDescent="0.3">
      <c r="A1130"/>
      <c r="B1130"/>
      <c r="C1130"/>
      <c r="D1130"/>
      <c r="E1130"/>
      <c r="F1130"/>
      <c r="G1130"/>
      <c r="H1130"/>
      <c r="I1130"/>
      <c r="J1130"/>
      <c r="K1130"/>
      <c r="L1130"/>
      <c r="M1130"/>
      <c r="N1130"/>
      <c r="O1130"/>
      <c r="P1130"/>
      <c r="Q1130"/>
      <c r="R1130"/>
      <c r="S1130"/>
      <c r="T1130"/>
      <c r="U1130"/>
      <c r="V1130"/>
      <c r="W1130"/>
      <c r="X1130"/>
      <c r="Y1130"/>
      <c r="Z1130"/>
      <c r="AA1130"/>
    </row>
    <row r="1131" spans="1:27" s="1" customFormat="1" x14ac:dyDescent="0.3">
      <c r="A1131"/>
      <c r="B1131"/>
      <c r="C1131"/>
      <c r="D1131"/>
      <c r="E1131"/>
      <c r="F1131"/>
      <c r="G1131"/>
      <c r="H1131"/>
      <c r="I1131"/>
      <c r="J1131"/>
      <c r="K1131"/>
      <c r="L1131"/>
      <c r="M1131"/>
      <c r="N1131"/>
      <c r="O1131"/>
      <c r="P1131"/>
      <c r="Q1131"/>
      <c r="R1131"/>
      <c r="S1131"/>
      <c r="T1131"/>
      <c r="U1131"/>
      <c r="V1131"/>
      <c r="W1131"/>
      <c r="X1131"/>
      <c r="Y1131"/>
      <c r="Z1131"/>
      <c r="AA1131"/>
    </row>
    <row r="1132" spans="1:27" s="1" customFormat="1" x14ac:dyDescent="0.3">
      <c r="A1132"/>
      <c r="B1132"/>
      <c r="C1132"/>
      <c r="D1132"/>
      <c r="E1132"/>
      <c r="F1132"/>
      <c r="G1132"/>
      <c r="H1132"/>
      <c r="I1132"/>
      <c r="J1132"/>
      <c r="K1132"/>
      <c r="L1132"/>
      <c r="M1132"/>
      <c r="N1132"/>
      <c r="O1132"/>
      <c r="P1132"/>
      <c r="Q1132"/>
      <c r="R1132"/>
      <c r="S1132"/>
      <c r="T1132"/>
      <c r="U1132"/>
      <c r="V1132"/>
      <c r="W1132"/>
      <c r="X1132"/>
      <c r="Y1132"/>
      <c r="Z1132"/>
      <c r="AA1132"/>
    </row>
    <row r="1133" spans="1:27" s="1" customFormat="1" x14ac:dyDescent="0.3">
      <c r="A1133"/>
      <c r="B1133"/>
      <c r="C1133"/>
      <c r="D1133"/>
      <c r="E1133"/>
      <c r="F1133"/>
      <c r="G1133"/>
      <c r="H1133"/>
      <c r="I1133"/>
      <c r="J1133"/>
      <c r="K1133"/>
      <c r="L1133"/>
      <c r="M1133"/>
      <c r="N1133"/>
      <c r="O1133"/>
      <c r="P1133"/>
      <c r="Q1133"/>
      <c r="R1133"/>
      <c r="S1133"/>
      <c r="T1133"/>
      <c r="U1133"/>
      <c r="V1133"/>
      <c r="W1133"/>
      <c r="X1133"/>
      <c r="Y1133"/>
      <c r="Z1133"/>
      <c r="AA1133"/>
    </row>
    <row r="1134" spans="1:27" s="1" customFormat="1" x14ac:dyDescent="0.3">
      <c r="A1134"/>
      <c r="B1134"/>
      <c r="C1134"/>
      <c r="D1134"/>
      <c r="E1134"/>
      <c r="F1134"/>
      <c r="G1134"/>
      <c r="H1134"/>
      <c r="I1134"/>
      <c r="J1134"/>
      <c r="K1134"/>
      <c r="L1134"/>
      <c r="M1134"/>
      <c r="N1134"/>
      <c r="O1134"/>
      <c r="P1134"/>
      <c r="Q1134"/>
      <c r="R1134"/>
      <c r="S1134"/>
      <c r="T1134"/>
      <c r="U1134"/>
      <c r="V1134"/>
      <c r="W1134"/>
      <c r="X1134"/>
      <c r="Y1134"/>
      <c r="Z1134"/>
      <c r="AA1134"/>
    </row>
    <row r="1135" spans="1:27" s="1" customFormat="1" x14ac:dyDescent="0.3">
      <c r="A1135"/>
      <c r="B1135"/>
      <c r="C1135"/>
      <c r="D1135"/>
      <c r="E1135"/>
      <c r="F1135"/>
      <c r="G1135"/>
      <c r="H1135"/>
      <c r="I1135"/>
      <c r="J1135"/>
      <c r="K1135"/>
      <c r="L1135"/>
      <c r="M1135"/>
      <c r="N1135"/>
      <c r="O1135"/>
      <c r="P1135"/>
      <c r="Q1135"/>
      <c r="R1135"/>
      <c r="S1135"/>
      <c r="T1135"/>
      <c r="U1135"/>
      <c r="V1135"/>
      <c r="W1135"/>
      <c r="X1135"/>
      <c r="Y1135"/>
      <c r="Z1135"/>
      <c r="AA1135"/>
    </row>
    <row r="1136" spans="1:27" s="1" customFormat="1" x14ac:dyDescent="0.3">
      <c r="A1136"/>
      <c r="B1136"/>
      <c r="C1136"/>
      <c r="D1136"/>
      <c r="E1136"/>
      <c r="F1136"/>
      <c r="G1136"/>
      <c r="H1136"/>
      <c r="I1136"/>
      <c r="J1136"/>
      <c r="K1136"/>
      <c r="L1136"/>
      <c r="M1136"/>
      <c r="N1136"/>
      <c r="O1136"/>
      <c r="P1136"/>
      <c r="Q1136"/>
      <c r="R1136"/>
      <c r="S1136"/>
      <c r="T1136"/>
      <c r="U1136"/>
      <c r="V1136"/>
      <c r="W1136"/>
      <c r="X1136"/>
      <c r="Y1136"/>
      <c r="Z1136"/>
      <c r="AA1136"/>
    </row>
    <row r="1137" spans="1:27" s="1" customFormat="1" x14ac:dyDescent="0.3">
      <c r="A1137"/>
      <c r="B1137"/>
      <c r="C1137"/>
      <c r="D1137"/>
      <c r="E1137"/>
      <c r="F1137"/>
      <c r="G1137"/>
      <c r="H1137"/>
      <c r="I1137"/>
      <c r="J1137"/>
      <c r="K1137"/>
      <c r="L1137"/>
      <c r="M1137"/>
      <c r="N1137"/>
      <c r="O1137"/>
      <c r="P1137"/>
      <c r="Q1137"/>
      <c r="R1137"/>
      <c r="S1137"/>
      <c r="T1137"/>
      <c r="U1137"/>
      <c r="V1137"/>
      <c r="W1137"/>
      <c r="X1137"/>
      <c r="Y1137"/>
      <c r="Z1137"/>
      <c r="AA1137"/>
    </row>
    <row r="1138" spans="1:27" s="1" customFormat="1" x14ac:dyDescent="0.3">
      <c r="A1138"/>
      <c r="B1138"/>
      <c r="C1138"/>
      <c r="D1138"/>
      <c r="E1138"/>
      <c r="F1138"/>
      <c r="G1138"/>
      <c r="H1138"/>
      <c r="I1138"/>
      <c r="J1138"/>
      <c r="K1138"/>
      <c r="L1138"/>
      <c r="M1138"/>
      <c r="N1138"/>
      <c r="O1138"/>
      <c r="P1138"/>
      <c r="Q1138"/>
      <c r="R1138"/>
      <c r="S1138"/>
      <c r="T1138"/>
      <c r="U1138"/>
      <c r="V1138"/>
      <c r="W1138"/>
      <c r="X1138"/>
      <c r="Y1138"/>
      <c r="Z1138"/>
      <c r="AA1138"/>
    </row>
    <row r="1139" spans="1:27" s="1" customFormat="1" x14ac:dyDescent="0.3">
      <c r="A1139"/>
      <c r="B1139"/>
      <c r="C1139"/>
      <c r="D1139"/>
      <c r="E1139"/>
      <c r="F1139"/>
      <c r="G1139"/>
      <c r="H1139"/>
      <c r="I1139"/>
      <c r="J1139"/>
      <c r="K1139"/>
      <c r="L1139"/>
      <c r="M1139"/>
      <c r="N1139"/>
      <c r="O1139"/>
      <c r="P1139"/>
      <c r="Q1139"/>
      <c r="R1139"/>
      <c r="S1139"/>
      <c r="T1139"/>
      <c r="U1139"/>
      <c r="V1139"/>
      <c r="W1139"/>
      <c r="X1139"/>
      <c r="Y1139"/>
      <c r="Z1139"/>
      <c r="AA1139"/>
    </row>
    <row r="1140" spans="1:27" s="1" customFormat="1" x14ac:dyDescent="0.3">
      <c r="A1140"/>
      <c r="B1140"/>
      <c r="C1140"/>
      <c r="D1140"/>
      <c r="E1140"/>
      <c r="F1140"/>
      <c r="G1140"/>
      <c r="H1140"/>
      <c r="I1140"/>
      <c r="J1140"/>
      <c r="K1140"/>
      <c r="L1140"/>
      <c r="M1140"/>
      <c r="N1140"/>
      <c r="O1140"/>
      <c r="P1140"/>
      <c r="Q1140"/>
      <c r="R1140"/>
      <c r="S1140"/>
      <c r="T1140"/>
      <c r="U1140"/>
      <c r="V1140"/>
      <c r="W1140"/>
      <c r="X1140"/>
      <c r="Y1140"/>
      <c r="Z1140"/>
      <c r="AA1140"/>
    </row>
    <row r="1141" spans="1:27" s="1" customFormat="1" x14ac:dyDescent="0.3">
      <c r="A1141"/>
      <c r="B1141"/>
      <c r="C1141"/>
      <c r="D1141"/>
      <c r="E1141"/>
      <c r="F1141"/>
      <c r="G1141"/>
      <c r="H1141"/>
      <c r="I1141"/>
      <c r="J1141"/>
      <c r="K1141"/>
      <c r="L1141"/>
      <c r="M1141"/>
      <c r="N1141"/>
      <c r="O1141"/>
      <c r="P1141"/>
      <c r="Q1141"/>
      <c r="R1141"/>
      <c r="S1141"/>
      <c r="T1141"/>
      <c r="U1141"/>
      <c r="V1141"/>
      <c r="W1141"/>
      <c r="X1141"/>
      <c r="Y1141"/>
      <c r="Z1141"/>
      <c r="AA1141"/>
    </row>
    <row r="1142" spans="1:27" s="1" customFormat="1" x14ac:dyDescent="0.3">
      <c r="A1142"/>
      <c r="B1142"/>
      <c r="C1142"/>
      <c r="D1142"/>
      <c r="E1142"/>
      <c r="F1142"/>
      <c r="G1142"/>
      <c r="H1142"/>
      <c r="I1142"/>
      <c r="J1142"/>
      <c r="K1142"/>
      <c r="L1142"/>
      <c r="M1142"/>
      <c r="N1142"/>
      <c r="O1142"/>
      <c r="P1142"/>
      <c r="Q1142"/>
      <c r="R1142"/>
      <c r="S1142"/>
      <c r="T1142"/>
      <c r="U1142"/>
      <c r="V1142"/>
      <c r="W1142"/>
      <c r="X1142"/>
      <c r="Y1142"/>
      <c r="Z1142"/>
      <c r="AA1142"/>
    </row>
    <row r="1143" spans="1:27" s="1" customFormat="1" x14ac:dyDescent="0.3">
      <c r="A1143"/>
      <c r="B1143"/>
      <c r="C1143"/>
      <c r="D1143"/>
      <c r="E1143"/>
      <c r="F1143"/>
      <c r="G1143"/>
      <c r="H1143"/>
      <c r="I1143"/>
      <c r="J1143"/>
      <c r="K1143"/>
      <c r="L1143"/>
      <c r="M1143"/>
      <c r="N1143"/>
      <c r="O1143"/>
      <c r="P1143"/>
      <c r="Q1143"/>
      <c r="R1143"/>
      <c r="S1143"/>
      <c r="T1143"/>
      <c r="U1143"/>
      <c r="V1143"/>
      <c r="W1143"/>
      <c r="X1143"/>
      <c r="Y1143"/>
      <c r="Z1143"/>
      <c r="AA1143"/>
    </row>
    <row r="1144" spans="1:27" s="1" customFormat="1" x14ac:dyDescent="0.3">
      <c r="A1144"/>
      <c r="B1144"/>
      <c r="C1144"/>
      <c r="D1144"/>
      <c r="E1144"/>
      <c r="F1144"/>
      <c r="G1144"/>
      <c r="H1144"/>
      <c r="I1144"/>
      <c r="J1144"/>
      <c r="K1144"/>
      <c r="L1144"/>
      <c r="M1144"/>
      <c r="N1144"/>
      <c r="O1144"/>
      <c r="P1144"/>
      <c r="Q1144"/>
      <c r="R1144"/>
      <c r="S1144"/>
      <c r="T1144"/>
      <c r="U1144"/>
      <c r="V1144"/>
      <c r="W1144"/>
      <c r="X1144"/>
      <c r="Y1144"/>
      <c r="Z1144"/>
      <c r="AA1144"/>
    </row>
    <row r="1145" spans="1:27" s="1" customFormat="1" x14ac:dyDescent="0.3">
      <c r="A1145"/>
      <c r="B1145"/>
      <c r="C1145"/>
      <c r="D1145"/>
      <c r="E1145"/>
      <c r="F1145"/>
      <c r="G1145"/>
      <c r="H1145"/>
      <c r="I1145"/>
      <c r="J1145"/>
      <c r="K1145"/>
      <c r="L1145"/>
      <c r="M1145"/>
      <c r="N1145"/>
      <c r="O1145"/>
      <c r="P1145"/>
      <c r="Q1145"/>
      <c r="R1145"/>
      <c r="S1145"/>
      <c r="T1145"/>
      <c r="U1145"/>
      <c r="V1145"/>
      <c r="W1145"/>
      <c r="X1145"/>
      <c r="Y1145"/>
      <c r="Z1145"/>
      <c r="AA1145"/>
    </row>
    <row r="1146" spans="1:27" s="1" customFormat="1" x14ac:dyDescent="0.3">
      <c r="A1146"/>
      <c r="B1146"/>
      <c r="C1146"/>
      <c r="D1146"/>
      <c r="E1146"/>
      <c r="F1146"/>
      <c r="G1146"/>
      <c r="H1146"/>
      <c r="I1146"/>
      <c r="J1146"/>
      <c r="K1146"/>
      <c r="L1146"/>
      <c r="M1146"/>
      <c r="N1146"/>
      <c r="O1146"/>
      <c r="P1146"/>
      <c r="Q1146"/>
      <c r="R1146"/>
      <c r="S1146"/>
      <c r="T1146"/>
      <c r="U1146"/>
      <c r="V1146"/>
      <c r="W1146"/>
      <c r="X1146"/>
      <c r="Y1146"/>
      <c r="Z1146"/>
      <c r="AA1146"/>
    </row>
    <row r="1147" spans="1:27" s="1" customFormat="1" x14ac:dyDescent="0.3">
      <c r="A1147"/>
      <c r="B1147"/>
      <c r="C1147"/>
      <c r="D1147"/>
      <c r="E1147"/>
      <c r="F1147"/>
      <c r="G1147"/>
      <c r="H1147"/>
      <c r="I1147"/>
      <c r="J1147"/>
      <c r="K1147"/>
      <c r="L1147"/>
      <c r="M1147"/>
      <c r="N1147"/>
      <c r="O1147"/>
      <c r="P1147"/>
      <c r="Q1147"/>
      <c r="R1147"/>
      <c r="S1147"/>
      <c r="T1147"/>
      <c r="U1147"/>
      <c r="V1147"/>
      <c r="W1147"/>
      <c r="X1147"/>
      <c r="Y1147"/>
      <c r="Z1147"/>
      <c r="AA1147"/>
    </row>
    <row r="1148" spans="1:27" s="1" customFormat="1" x14ac:dyDescent="0.3">
      <c r="A1148"/>
      <c r="B1148"/>
      <c r="C1148"/>
      <c r="D1148"/>
      <c r="E1148"/>
      <c r="F1148"/>
      <c r="G1148"/>
      <c r="H1148"/>
      <c r="I1148"/>
      <c r="J1148"/>
      <c r="K1148"/>
      <c r="L1148"/>
      <c r="M1148"/>
      <c r="N1148"/>
      <c r="O1148"/>
      <c r="P1148"/>
      <c r="Q1148"/>
      <c r="R1148"/>
      <c r="S1148"/>
      <c r="T1148"/>
      <c r="U1148"/>
      <c r="V1148"/>
      <c r="W1148"/>
      <c r="X1148"/>
      <c r="Y1148"/>
      <c r="Z1148"/>
      <c r="AA1148"/>
    </row>
    <row r="1149" spans="1:27" s="1" customFormat="1" x14ac:dyDescent="0.3">
      <c r="A1149"/>
      <c r="B1149"/>
      <c r="C1149"/>
      <c r="D1149"/>
      <c r="E1149"/>
      <c r="F1149"/>
      <c r="G1149"/>
      <c r="H1149"/>
      <c r="I1149"/>
      <c r="J1149"/>
      <c r="K1149"/>
      <c r="L1149"/>
      <c r="M1149"/>
      <c r="N1149"/>
      <c r="O1149"/>
      <c r="P1149"/>
      <c r="Q1149"/>
      <c r="R1149"/>
      <c r="S1149"/>
      <c r="T1149"/>
      <c r="U1149"/>
      <c r="V1149"/>
      <c r="W1149"/>
      <c r="X1149"/>
      <c r="Y1149"/>
      <c r="Z1149"/>
      <c r="AA1149"/>
    </row>
    <row r="1150" spans="1:27" s="1" customFormat="1" x14ac:dyDescent="0.3">
      <c r="A1150"/>
      <c r="B1150"/>
      <c r="C1150"/>
      <c r="D1150"/>
      <c r="E1150"/>
      <c r="F1150"/>
      <c r="G1150"/>
      <c r="H1150"/>
      <c r="I1150"/>
      <c r="J1150"/>
      <c r="K1150"/>
      <c r="L1150"/>
      <c r="M1150"/>
      <c r="N1150"/>
      <c r="O1150"/>
      <c r="P1150"/>
      <c r="Q1150"/>
      <c r="R1150"/>
      <c r="S1150"/>
      <c r="T1150"/>
      <c r="U1150"/>
      <c r="V1150"/>
      <c r="W1150"/>
      <c r="X1150"/>
      <c r="Y1150"/>
      <c r="Z1150"/>
      <c r="AA1150"/>
    </row>
    <row r="1151" spans="1:27" s="1" customFormat="1" x14ac:dyDescent="0.3">
      <c r="A1151"/>
      <c r="B1151"/>
      <c r="C1151"/>
      <c r="D1151"/>
      <c r="E1151"/>
      <c r="F1151"/>
      <c r="G1151"/>
      <c r="H1151"/>
      <c r="I1151"/>
      <c r="J1151"/>
      <c r="K1151"/>
      <c r="L1151"/>
      <c r="M1151"/>
      <c r="N1151"/>
      <c r="O1151"/>
      <c r="P1151"/>
      <c r="Q1151"/>
      <c r="R1151"/>
      <c r="S1151"/>
      <c r="T1151"/>
      <c r="U1151"/>
      <c r="V1151"/>
      <c r="W1151"/>
      <c r="X1151"/>
      <c r="Y1151"/>
      <c r="Z1151"/>
      <c r="AA1151"/>
    </row>
    <row r="1152" spans="1:27" s="1" customFormat="1" x14ac:dyDescent="0.3">
      <c r="A1152"/>
      <c r="B1152"/>
      <c r="C1152"/>
      <c r="D1152"/>
      <c r="E1152"/>
      <c r="F1152"/>
      <c r="G1152"/>
      <c r="H1152"/>
      <c r="I1152"/>
      <c r="J1152"/>
      <c r="K1152"/>
      <c r="L1152"/>
      <c r="M1152"/>
      <c r="N1152"/>
      <c r="O1152"/>
      <c r="P1152"/>
      <c r="Q1152"/>
      <c r="R1152"/>
      <c r="S1152"/>
      <c r="T1152"/>
      <c r="U1152"/>
      <c r="V1152"/>
      <c r="W1152"/>
      <c r="X1152"/>
      <c r="Y1152"/>
      <c r="Z1152"/>
      <c r="AA1152"/>
    </row>
    <row r="1153" spans="1:27" s="1" customFormat="1" x14ac:dyDescent="0.3">
      <c r="A1153"/>
      <c r="B1153"/>
      <c r="C1153"/>
      <c r="D1153"/>
      <c r="E1153"/>
      <c r="F1153"/>
      <c r="G1153"/>
      <c r="H1153"/>
      <c r="I1153"/>
      <c r="J1153"/>
      <c r="K1153"/>
      <c r="L1153"/>
      <c r="M1153"/>
      <c r="N1153"/>
      <c r="O1153"/>
      <c r="P1153"/>
      <c r="Q1153"/>
      <c r="R1153"/>
      <c r="S1153"/>
      <c r="T1153"/>
      <c r="U1153"/>
      <c r="V1153"/>
      <c r="W1153"/>
      <c r="X1153"/>
      <c r="Y1153"/>
      <c r="Z1153"/>
      <c r="AA1153"/>
    </row>
    <row r="1154" spans="1:27" s="1" customFormat="1" x14ac:dyDescent="0.3">
      <c r="A1154"/>
      <c r="B1154"/>
      <c r="C1154"/>
      <c r="D1154"/>
      <c r="E1154"/>
      <c r="F1154"/>
      <c r="G1154"/>
      <c r="H1154"/>
      <c r="I1154"/>
      <c r="J1154"/>
      <c r="K1154"/>
      <c r="L1154"/>
      <c r="M1154"/>
      <c r="N1154"/>
      <c r="O1154"/>
      <c r="P1154"/>
      <c r="Q1154"/>
      <c r="R1154"/>
      <c r="S1154"/>
      <c r="T1154"/>
      <c r="U1154"/>
      <c r="V1154"/>
      <c r="W1154"/>
      <c r="X1154"/>
      <c r="Y1154"/>
      <c r="Z1154"/>
      <c r="AA1154"/>
    </row>
    <row r="1155" spans="1:27" s="1" customFormat="1" x14ac:dyDescent="0.3">
      <c r="A1155"/>
      <c r="B1155"/>
      <c r="C1155"/>
      <c r="D1155"/>
      <c r="E1155"/>
      <c r="F1155"/>
      <c r="G1155"/>
      <c r="H1155"/>
      <c r="I1155"/>
      <c r="J1155"/>
      <c r="K1155"/>
      <c r="L1155"/>
      <c r="M1155"/>
      <c r="N1155"/>
      <c r="O1155"/>
      <c r="P1155"/>
      <c r="Q1155"/>
      <c r="R1155"/>
      <c r="S1155"/>
      <c r="T1155"/>
      <c r="U1155"/>
      <c r="V1155"/>
      <c r="W1155"/>
      <c r="X1155"/>
      <c r="Y1155"/>
      <c r="Z1155"/>
      <c r="AA1155"/>
    </row>
    <row r="1156" spans="1:27" s="1" customFormat="1" x14ac:dyDescent="0.3">
      <c r="A1156"/>
      <c r="B1156"/>
      <c r="C1156"/>
      <c r="D1156"/>
      <c r="E1156"/>
      <c r="F1156"/>
      <c r="G1156"/>
      <c r="H1156"/>
      <c r="I1156"/>
      <c r="J1156"/>
      <c r="K1156"/>
      <c r="L1156"/>
      <c r="M1156"/>
      <c r="N1156"/>
      <c r="O1156"/>
      <c r="P1156"/>
      <c r="Q1156"/>
      <c r="R1156"/>
      <c r="S1156"/>
      <c r="T1156"/>
      <c r="U1156"/>
      <c r="V1156"/>
      <c r="W1156"/>
      <c r="X1156"/>
      <c r="Y1156"/>
      <c r="Z1156"/>
      <c r="AA1156"/>
    </row>
    <row r="1157" spans="1:27" s="1" customFormat="1" x14ac:dyDescent="0.3">
      <c r="A1157"/>
      <c r="B1157"/>
      <c r="C1157"/>
      <c r="D1157"/>
      <c r="E1157"/>
      <c r="F1157"/>
      <c r="G1157"/>
      <c r="H1157"/>
      <c r="I1157"/>
      <c r="J1157"/>
      <c r="K1157"/>
      <c r="L1157"/>
      <c r="M1157"/>
      <c r="N1157"/>
      <c r="O1157"/>
      <c r="P1157"/>
      <c r="Q1157"/>
      <c r="R1157"/>
      <c r="S1157"/>
      <c r="T1157"/>
      <c r="U1157"/>
      <c r="V1157"/>
      <c r="W1157"/>
      <c r="X1157"/>
      <c r="Y1157"/>
      <c r="Z1157"/>
      <c r="AA1157"/>
    </row>
    <row r="1158" spans="1:27" s="1" customFormat="1" x14ac:dyDescent="0.3">
      <c r="A1158"/>
      <c r="B1158"/>
      <c r="C1158"/>
      <c r="D1158"/>
      <c r="E1158"/>
      <c r="F1158"/>
      <c r="G1158"/>
      <c r="H1158"/>
      <c r="I1158"/>
      <c r="J1158"/>
      <c r="K1158"/>
      <c r="L1158"/>
      <c r="M1158"/>
      <c r="N1158"/>
      <c r="O1158"/>
      <c r="P1158"/>
      <c r="Q1158"/>
      <c r="R1158"/>
      <c r="S1158"/>
      <c r="T1158"/>
      <c r="U1158"/>
      <c r="V1158"/>
      <c r="W1158"/>
      <c r="X1158"/>
      <c r="Y1158"/>
      <c r="Z1158"/>
      <c r="AA1158"/>
    </row>
    <row r="1159" spans="1:27" s="1" customFormat="1" x14ac:dyDescent="0.3">
      <c r="A1159"/>
      <c r="B1159"/>
      <c r="C1159"/>
      <c r="D1159"/>
      <c r="E1159"/>
      <c r="F1159"/>
      <c r="G1159"/>
      <c r="H1159"/>
      <c r="I1159"/>
      <c r="J1159"/>
      <c r="K1159"/>
      <c r="L1159"/>
      <c r="M1159"/>
      <c r="N1159"/>
      <c r="O1159"/>
      <c r="P1159"/>
      <c r="Q1159"/>
      <c r="R1159"/>
      <c r="S1159"/>
      <c r="T1159"/>
      <c r="U1159"/>
      <c r="V1159"/>
      <c r="W1159"/>
      <c r="X1159"/>
      <c r="Y1159"/>
      <c r="Z1159"/>
      <c r="AA1159"/>
    </row>
    <row r="1160" spans="1:27" s="1" customFormat="1" x14ac:dyDescent="0.3">
      <c r="A1160"/>
      <c r="B1160"/>
      <c r="C1160"/>
      <c r="D1160"/>
      <c r="E1160"/>
      <c r="F1160"/>
      <c r="G1160"/>
      <c r="H1160"/>
      <c r="I1160"/>
      <c r="J1160"/>
      <c r="K1160"/>
      <c r="L1160"/>
      <c r="M1160"/>
      <c r="N1160"/>
      <c r="O1160"/>
      <c r="P1160"/>
      <c r="Q1160"/>
      <c r="R1160"/>
      <c r="S1160"/>
      <c r="T1160"/>
      <c r="U1160"/>
      <c r="V1160"/>
      <c r="W1160"/>
      <c r="X1160"/>
      <c r="Y1160"/>
      <c r="Z1160"/>
      <c r="AA1160"/>
    </row>
    <row r="1161" spans="1:27" s="1" customFormat="1" x14ac:dyDescent="0.3">
      <c r="A1161"/>
      <c r="B1161"/>
      <c r="C1161"/>
      <c r="D1161"/>
      <c r="E1161"/>
      <c r="F1161"/>
      <c r="G1161"/>
      <c r="H1161"/>
      <c r="I1161"/>
      <c r="J1161"/>
      <c r="K1161"/>
      <c r="L1161"/>
      <c r="M1161"/>
      <c r="N1161"/>
      <c r="O1161"/>
      <c r="P1161"/>
      <c r="Q1161"/>
      <c r="R1161"/>
      <c r="S1161"/>
      <c r="T1161"/>
      <c r="U1161"/>
      <c r="V1161"/>
      <c r="W1161"/>
      <c r="X1161"/>
      <c r="Y1161"/>
      <c r="Z1161"/>
      <c r="AA1161"/>
    </row>
    <row r="1162" spans="1:27" s="1" customFormat="1" x14ac:dyDescent="0.3">
      <c r="A1162"/>
      <c r="B1162"/>
      <c r="C1162"/>
      <c r="D1162"/>
      <c r="E1162"/>
      <c r="F1162"/>
      <c r="G1162"/>
      <c r="H1162"/>
      <c r="I1162"/>
      <c r="J1162"/>
      <c r="K1162"/>
      <c r="L1162"/>
      <c r="M1162"/>
      <c r="N1162"/>
      <c r="O1162"/>
      <c r="P1162"/>
      <c r="Q1162"/>
      <c r="R1162"/>
      <c r="S1162"/>
      <c r="T1162"/>
      <c r="U1162"/>
      <c r="V1162"/>
      <c r="W1162"/>
      <c r="X1162"/>
      <c r="Y1162"/>
      <c r="Z1162"/>
      <c r="AA1162"/>
    </row>
    <row r="1163" spans="1:27" s="1" customFormat="1" x14ac:dyDescent="0.3">
      <c r="A1163"/>
      <c r="B1163"/>
      <c r="C1163"/>
      <c r="D1163"/>
      <c r="E1163"/>
      <c r="F1163"/>
      <c r="G1163"/>
      <c r="H1163"/>
      <c r="I1163"/>
      <c r="J1163"/>
      <c r="K1163"/>
      <c r="L1163"/>
      <c r="M1163"/>
      <c r="N1163"/>
      <c r="O1163"/>
      <c r="P1163"/>
      <c r="Q1163"/>
      <c r="R1163"/>
      <c r="S1163"/>
      <c r="T1163"/>
      <c r="U1163"/>
      <c r="V1163"/>
      <c r="W1163"/>
      <c r="X1163"/>
      <c r="Y1163"/>
      <c r="Z1163"/>
      <c r="AA1163"/>
    </row>
    <row r="1164" spans="1:27" s="1" customFormat="1" x14ac:dyDescent="0.3">
      <c r="A1164"/>
      <c r="B1164"/>
      <c r="C1164"/>
      <c r="D1164"/>
      <c r="E1164"/>
      <c r="F1164"/>
      <c r="G1164"/>
      <c r="H1164"/>
      <c r="I1164"/>
      <c r="J1164"/>
      <c r="K1164"/>
      <c r="L1164"/>
      <c r="M1164"/>
      <c r="N1164"/>
      <c r="O1164"/>
      <c r="P1164"/>
      <c r="Q1164"/>
      <c r="R1164"/>
      <c r="S1164"/>
      <c r="T1164"/>
      <c r="U1164"/>
      <c r="V1164"/>
      <c r="W1164"/>
      <c r="X1164"/>
      <c r="Y1164"/>
      <c r="Z1164"/>
      <c r="AA1164"/>
    </row>
    <row r="1165" spans="1:27" s="1" customFormat="1" x14ac:dyDescent="0.3">
      <c r="A1165"/>
      <c r="B1165"/>
      <c r="C1165"/>
      <c r="D1165"/>
      <c r="E1165"/>
      <c r="F1165"/>
      <c r="G1165"/>
      <c r="H1165"/>
      <c r="I1165"/>
      <c r="J1165"/>
      <c r="K1165"/>
      <c r="L1165"/>
      <c r="M1165"/>
      <c r="N1165"/>
      <c r="O1165"/>
      <c r="P1165"/>
      <c r="Q1165"/>
      <c r="R1165"/>
      <c r="S1165"/>
      <c r="T1165"/>
      <c r="U1165"/>
      <c r="V1165"/>
      <c r="W1165"/>
      <c r="X1165"/>
      <c r="Y1165"/>
      <c r="Z1165"/>
      <c r="AA1165"/>
    </row>
    <row r="1166" spans="1:27" s="1" customFormat="1" x14ac:dyDescent="0.3">
      <c r="A1166"/>
      <c r="B1166"/>
      <c r="C1166"/>
      <c r="D1166"/>
      <c r="E1166"/>
      <c r="F1166"/>
      <c r="G1166"/>
      <c r="H1166"/>
      <c r="I1166"/>
      <c r="J1166"/>
      <c r="K1166"/>
      <c r="L1166"/>
      <c r="M1166"/>
      <c r="N1166"/>
      <c r="O1166"/>
      <c r="P1166"/>
      <c r="Q1166"/>
      <c r="R1166"/>
      <c r="S1166"/>
      <c r="T1166"/>
      <c r="U1166"/>
      <c r="V1166"/>
      <c r="W1166"/>
      <c r="X1166"/>
      <c r="Y1166"/>
      <c r="Z1166"/>
      <c r="AA1166"/>
    </row>
    <row r="1167" spans="1:27" s="1" customFormat="1" x14ac:dyDescent="0.3">
      <c r="A1167"/>
      <c r="B1167"/>
      <c r="C1167"/>
      <c r="D1167"/>
      <c r="E1167"/>
      <c r="F1167"/>
      <c r="G1167"/>
      <c r="H1167"/>
      <c r="I1167"/>
      <c r="J1167"/>
      <c r="K1167"/>
      <c r="L1167"/>
      <c r="M1167"/>
      <c r="N1167"/>
      <c r="O1167"/>
      <c r="P1167"/>
      <c r="Q1167"/>
      <c r="R1167"/>
      <c r="S1167"/>
      <c r="T1167"/>
      <c r="U1167"/>
      <c r="V1167"/>
      <c r="W1167"/>
      <c r="X1167"/>
      <c r="Y1167"/>
      <c r="Z1167"/>
      <c r="AA1167"/>
    </row>
    <row r="1168" spans="1:27" s="1" customFormat="1" x14ac:dyDescent="0.3">
      <c r="A1168"/>
      <c r="B1168"/>
      <c r="C1168"/>
      <c r="D1168"/>
      <c r="E1168"/>
      <c r="F1168"/>
      <c r="G1168"/>
      <c r="H1168"/>
      <c r="I1168"/>
      <c r="J1168"/>
      <c r="K1168"/>
      <c r="L1168"/>
      <c r="M1168"/>
      <c r="N1168"/>
      <c r="O1168"/>
      <c r="P1168"/>
      <c r="Q1168"/>
      <c r="R1168"/>
      <c r="S1168"/>
      <c r="T1168"/>
      <c r="U1168"/>
      <c r="V1168"/>
      <c r="W1168"/>
      <c r="X1168"/>
      <c r="Y1168"/>
      <c r="Z1168"/>
      <c r="AA1168"/>
    </row>
    <row r="1169" spans="1:27" s="1" customFormat="1" x14ac:dyDescent="0.3">
      <c r="A1169"/>
      <c r="B1169"/>
      <c r="C1169"/>
      <c r="D1169"/>
      <c r="E1169"/>
      <c r="F1169"/>
      <c r="G1169"/>
      <c r="H1169"/>
      <c r="I1169"/>
      <c r="J1169"/>
      <c r="K1169"/>
      <c r="L1169"/>
      <c r="M1169"/>
      <c r="N1169"/>
      <c r="O1169"/>
      <c r="P1169"/>
      <c r="Q1169"/>
      <c r="R1169"/>
      <c r="S1169"/>
      <c r="T1169"/>
      <c r="U1169"/>
      <c r="V1169"/>
      <c r="W1169"/>
      <c r="X1169"/>
      <c r="Y1169"/>
      <c r="Z1169"/>
      <c r="AA1169"/>
    </row>
    <row r="1170" spans="1:27" s="1" customFormat="1" x14ac:dyDescent="0.3">
      <c r="A1170"/>
      <c r="B1170"/>
      <c r="C1170"/>
      <c r="D1170"/>
      <c r="E1170"/>
      <c r="F1170"/>
      <c r="G1170"/>
      <c r="H1170"/>
      <c r="I1170"/>
      <c r="J1170"/>
      <c r="K1170"/>
      <c r="L1170"/>
      <c r="M1170"/>
      <c r="N1170"/>
      <c r="O1170"/>
      <c r="P1170"/>
      <c r="Q1170"/>
      <c r="R1170"/>
      <c r="S1170"/>
      <c r="T1170"/>
      <c r="U1170"/>
      <c r="V1170"/>
      <c r="W1170"/>
      <c r="X1170"/>
      <c r="Y1170"/>
      <c r="Z1170"/>
      <c r="AA1170"/>
    </row>
    <row r="1171" spans="1:27" s="1" customFormat="1" x14ac:dyDescent="0.3">
      <c r="A1171"/>
      <c r="B1171"/>
      <c r="C1171"/>
      <c r="D1171"/>
      <c r="E1171"/>
      <c r="F1171"/>
      <c r="G1171"/>
      <c r="H1171"/>
      <c r="I1171"/>
      <c r="J1171"/>
      <c r="K1171"/>
      <c r="L1171"/>
      <c r="M1171"/>
      <c r="N1171"/>
      <c r="O1171"/>
      <c r="P1171"/>
      <c r="Q1171"/>
      <c r="R1171"/>
      <c r="S1171"/>
      <c r="T1171"/>
      <c r="U1171"/>
      <c r="V1171"/>
      <c r="W1171"/>
      <c r="X1171"/>
      <c r="Y1171"/>
      <c r="Z1171"/>
      <c r="AA1171"/>
    </row>
    <row r="1172" spans="1:27" s="1" customFormat="1" x14ac:dyDescent="0.3">
      <c r="A1172"/>
      <c r="B1172"/>
      <c r="C1172"/>
      <c r="D1172"/>
      <c r="E1172"/>
      <c r="F1172"/>
      <c r="G1172"/>
      <c r="H1172"/>
      <c r="I1172"/>
      <c r="J1172"/>
      <c r="K1172"/>
      <c r="L1172"/>
      <c r="M1172"/>
      <c r="N1172"/>
      <c r="O1172"/>
      <c r="P1172"/>
      <c r="Q1172"/>
      <c r="R1172"/>
      <c r="S1172"/>
      <c r="T1172"/>
      <c r="U1172"/>
      <c r="V1172"/>
      <c r="W1172"/>
      <c r="X1172"/>
      <c r="Y1172"/>
      <c r="Z1172"/>
      <c r="AA1172"/>
    </row>
    <row r="1173" spans="1:27" s="1" customFormat="1" x14ac:dyDescent="0.3">
      <c r="A1173"/>
      <c r="B1173"/>
      <c r="C1173"/>
      <c r="D1173"/>
      <c r="E1173"/>
      <c r="F1173"/>
      <c r="G1173"/>
      <c r="H1173"/>
      <c r="I1173"/>
      <c r="J1173"/>
      <c r="K1173"/>
      <c r="L1173"/>
      <c r="M1173"/>
      <c r="N1173"/>
      <c r="O1173"/>
      <c r="P1173"/>
      <c r="Q1173"/>
      <c r="R1173"/>
      <c r="S1173"/>
      <c r="T1173"/>
      <c r="U1173"/>
      <c r="V1173"/>
      <c r="W1173"/>
      <c r="X1173"/>
      <c r="Y1173"/>
      <c r="Z1173"/>
      <c r="AA1173"/>
    </row>
    <row r="1174" spans="1:27" s="1" customFormat="1" x14ac:dyDescent="0.3">
      <c r="A1174"/>
      <c r="B1174"/>
      <c r="C1174"/>
      <c r="D1174"/>
      <c r="E1174"/>
      <c r="F1174"/>
      <c r="G1174"/>
      <c r="H1174"/>
      <c r="I1174"/>
      <c r="J1174"/>
      <c r="K1174"/>
      <c r="L1174"/>
      <c r="M1174"/>
      <c r="N1174"/>
      <c r="O1174"/>
      <c r="P1174"/>
      <c r="Q1174"/>
      <c r="R1174"/>
      <c r="S1174"/>
      <c r="T1174"/>
      <c r="U1174"/>
      <c r="V1174"/>
      <c r="W1174"/>
      <c r="X1174"/>
      <c r="Y1174"/>
      <c r="Z1174"/>
      <c r="AA1174"/>
    </row>
    <row r="1175" spans="1:27" s="1" customFormat="1" x14ac:dyDescent="0.3">
      <c r="A1175"/>
      <c r="B1175"/>
      <c r="C1175"/>
      <c r="D1175"/>
      <c r="E1175"/>
      <c r="F1175"/>
      <c r="G1175"/>
      <c r="H1175"/>
      <c r="I1175"/>
      <c r="J1175"/>
      <c r="K1175"/>
      <c r="L1175"/>
      <c r="M1175"/>
      <c r="N1175"/>
      <c r="O1175"/>
      <c r="P1175"/>
      <c r="Q1175"/>
      <c r="R1175"/>
      <c r="S1175"/>
      <c r="T1175"/>
      <c r="U1175"/>
      <c r="V1175"/>
      <c r="W1175"/>
      <c r="X1175"/>
      <c r="Y1175"/>
      <c r="Z1175"/>
      <c r="AA1175"/>
    </row>
    <row r="1176" spans="1:27" s="1" customFormat="1" x14ac:dyDescent="0.3">
      <c r="A1176"/>
      <c r="B1176"/>
      <c r="C1176"/>
      <c r="D1176"/>
      <c r="E1176"/>
      <c r="F1176"/>
      <c r="G1176"/>
      <c r="H1176"/>
      <c r="I1176"/>
      <c r="J1176"/>
      <c r="K1176"/>
      <c r="L1176"/>
      <c r="M1176"/>
      <c r="N1176"/>
      <c r="O1176"/>
      <c r="P1176"/>
      <c r="Q1176"/>
      <c r="R1176"/>
      <c r="S1176"/>
      <c r="T1176"/>
      <c r="U1176"/>
      <c r="V1176"/>
      <c r="W1176"/>
      <c r="X1176"/>
      <c r="Y1176"/>
      <c r="Z1176"/>
      <c r="AA1176"/>
    </row>
    <row r="1177" spans="1:27" s="1" customFormat="1" x14ac:dyDescent="0.3">
      <c r="A1177"/>
      <c r="B1177"/>
      <c r="C1177"/>
      <c r="D1177"/>
      <c r="E1177"/>
      <c r="F1177"/>
      <c r="G1177"/>
      <c r="H1177"/>
      <c r="I1177"/>
      <c r="J1177"/>
      <c r="K1177"/>
      <c r="L1177"/>
      <c r="M1177"/>
      <c r="N1177"/>
      <c r="O1177"/>
      <c r="P1177"/>
      <c r="Q1177"/>
      <c r="R1177"/>
      <c r="S1177"/>
      <c r="T1177"/>
      <c r="U1177"/>
      <c r="V1177"/>
      <c r="W1177"/>
      <c r="X1177"/>
      <c r="Y1177"/>
      <c r="Z1177"/>
      <c r="AA1177"/>
    </row>
    <row r="1178" spans="1:27" s="1" customFormat="1" x14ac:dyDescent="0.3">
      <c r="A1178"/>
      <c r="B1178"/>
      <c r="C1178"/>
      <c r="D1178"/>
      <c r="E1178"/>
      <c r="F1178"/>
      <c r="G1178"/>
      <c r="H1178"/>
      <c r="I1178"/>
      <c r="J1178"/>
      <c r="K1178"/>
      <c r="L1178"/>
      <c r="M1178"/>
      <c r="N1178"/>
      <c r="O1178"/>
      <c r="P1178"/>
      <c r="Q1178"/>
      <c r="R1178"/>
      <c r="S1178"/>
      <c r="T1178"/>
      <c r="U1178"/>
      <c r="V1178"/>
      <c r="W1178"/>
      <c r="X1178"/>
      <c r="Y1178"/>
      <c r="Z1178"/>
      <c r="AA1178"/>
    </row>
    <row r="1179" spans="1:27" s="1" customFormat="1" x14ac:dyDescent="0.3">
      <c r="A1179"/>
      <c r="B1179"/>
      <c r="C1179"/>
      <c r="D1179"/>
      <c r="E1179"/>
      <c r="F1179"/>
      <c r="G1179"/>
      <c r="H1179"/>
      <c r="I1179"/>
      <c r="J1179"/>
      <c r="K1179"/>
      <c r="L1179"/>
      <c r="M1179"/>
      <c r="N1179"/>
      <c r="O1179"/>
      <c r="P1179"/>
      <c r="Q1179"/>
      <c r="R1179"/>
      <c r="S1179"/>
      <c r="T1179"/>
      <c r="U1179"/>
      <c r="V1179"/>
      <c r="W1179"/>
      <c r="X1179"/>
      <c r="Y1179"/>
      <c r="Z1179"/>
      <c r="AA1179"/>
    </row>
    <row r="1180" spans="1:27" s="1" customFormat="1" x14ac:dyDescent="0.3">
      <c r="A1180"/>
      <c r="B1180"/>
      <c r="C1180"/>
      <c r="D1180"/>
      <c r="E1180"/>
      <c r="F1180"/>
      <c r="G1180"/>
      <c r="H1180"/>
      <c r="I1180"/>
      <c r="J1180"/>
      <c r="K1180"/>
      <c r="L1180"/>
      <c r="M1180"/>
      <c r="N1180"/>
      <c r="O1180"/>
      <c r="P1180"/>
      <c r="Q1180"/>
      <c r="R1180"/>
      <c r="S1180"/>
      <c r="T1180"/>
      <c r="U1180"/>
      <c r="V1180"/>
      <c r="W1180"/>
      <c r="X1180"/>
      <c r="Y1180"/>
      <c r="Z1180"/>
      <c r="AA1180"/>
    </row>
    <row r="1181" spans="1:27" s="1" customFormat="1" x14ac:dyDescent="0.3">
      <c r="A1181"/>
      <c r="B1181"/>
      <c r="C1181"/>
      <c r="D1181"/>
      <c r="E1181"/>
      <c r="F1181"/>
      <c r="G1181"/>
      <c r="H1181"/>
      <c r="I1181"/>
      <c r="J1181"/>
      <c r="K1181"/>
      <c r="L1181"/>
      <c r="M1181"/>
      <c r="N1181"/>
      <c r="O1181"/>
      <c r="P1181"/>
      <c r="Q1181"/>
      <c r="R1181"/>
      <c r="S1181"/>
      <c r="T1181"/>
      <c r="U1181"/>
      <c r="V1181"/>
      <c r="W1181"/>
      <c r="X1181"/>
      <c r="Y1181"/>
      <c r="Z1181"/>
      <c r="AA1181"/>
    </row>
    <row r="1182" spans="1:27" s="1" customFormat="1" x14ac:dyDescent="0.3">
      <c r="A1182"/>
      <c r="B1182"/>
      <c r="C1182"/>
      <c r="D1182"/>
      <c r="E1182"/>
      <c r="F1182"/>
      <c r="G1182"/>
      <c r="H1182"/>
      <c r="I1182"/>
      <c r="J1182"/>
      <c r="K1182"/>
      <c r="L1182"/>
      <c r="M1182"/>
      <c r="N1182"/>
      <c r="O1182"/>
      <c r="P1182"/>
      <c r="Q1182"/>
      <c r="R1182"/>
      <c r="S1182"/>
      <c r="T1182"/>
      <c r="U1182"/>
      <c r="V1182"/>
      <c r="W1182"/>
      <c r="X1182"/>
      <c r="Y1182"/>
      <c r="Z1182"/>
      <c r="AA1182"/>
    </row>
    <row r="1183" spans="1:27" s="1" customFormat="1" x14ac:dyDescent="0.3">
      <c r="A1183"/>
      <c r="B1183"/>
      <c r="C1183"/>
      <c r="D1183"/>
      <c r="E1183"/>
      <c r="F1183"/>
      <c r="G1183"/>
      <c r="H1183"/>
      <c r="I1183"/>
      <c r="J1183"/>
      <c r="K1183"/>
      <c r="L1183"/>
      <c r="M1183"/>
      <c r="N1183"/>
      <c r="O1183"/>
      <c r="P1183"/>
      <c r="Q1183"/>
      <c r="R1183"/>
      <c r="S1183"/>
      <c r="T1183"/>
      <c r="U1183"/>
      <c r="V1183"/>
      <c r="W1183"/>
      <c r="X1183"/>
      <c r="Y1183"/>
      <c r="Z1183"/>
      <c r="AA1183"/>
    </row>
    <row r="1184" spans="1:27" s="1" customFormat="1" x14ac:dyDescent="0.3">
      <c r="A1184"/>
      <c r="B1184"/>
      <c r="C1184"/>
      <c r="D1184"/>
      <c r="E1184"/>
      <c r="F1184"/>
      <c r="G1184"/>
      <c r="H1184"/>
      <c r="I1184"/>
      <c r="J1184"/>
      <c r="K1184"/>
      <c r="L1184"/>
      <c r="M1184"/>
      <c r="N1184"/>
      <c r="O1184"/>
      <c r="P1184"/>
      <c r="Q1184"/>
      <c r="R1184"/>
      <c r="S1184"/>
      <c r="T1184"/>
      <c r="U1184"/>
      <c r="V1184"/>
      <c r="W1184"/>
      <c r="X1184"/>
      <c r="Y1184"/>
      <c r="Z1184"/>
      <c r="AA1184"/>
    </row>
    <row r="1185" spans="1:27" s="1" customFormat="1" x14ac:dyDescent="0.3">
      <c r="A1185"/>
      <c r="B1185"/>
      <c r="C1185"/>
      <c r="D1185"/>
      <c r="E1185"/>
      <c r="F1185"/>
      <c r="G1185"/>
      <c r="H1185"/>
      <c r="I1185"/>
      <c r="J1185"/>
      <c r="K1185"/>
      <c r="L1185"/>
      <c r="M1185"/>
      <c r="N1185"/>
      <c r="O1185"/>
      <c r="P1185"/>
      <c r="Q1185"/>
      <c r="R1185"/>
      <c r="S1185"/>
      <c r="T1185"/>
      <c r="U1185"/>
      <c r="V1185"/>
      <c r="W1185"/>
      <c r="X1185"/>
      <c r="Y1185"/>
      <c r="Z1185"/>
      <c r="AA1185"/>
    </row>
    <row r="1186" spans="1:27" s="1" customFormat="1" x14ac:dyDescent="0.3">
      <c r="A1186"/>
      <c r="B1186"/>
      <c r="C1186"/>
      <c r="D1186"/>
      <c r="E1186"/>
      <c r="F1186"/>
      <c r="G1186"/>
      <c r="H1186"/>
      <c r="I1186"/>
      <c r="J1186"/>
      <c r="K1186"/>
      <c r="L1186"/>
      <c r="M1186"/>
      <c r="N1186"/>
      <c r="O1186"/>
      <c r="P1186"/>
      <c r="Q1186"/>
      <c r="R1186"/>
      <c r="S1186"/>
      <c r="T1186"/>
      <c r="U1186"/>
      <c r="V1186"/>
      <c r="W1186"/>
      <c r="X1186"/>
      <c r="Y1186"/>
      <c r="Z1186"/>
      <c r="AA1186"/>
    </row>
    <row r="1187" spans="1:27" s="1" customFormat="1" x14ac:dyDescent="0.3">
      <c r="A1187"/>
      <c r="B1187"/>
      <c r="C1187"/>
      <c r="D1187"/>
      <c r="E1187"/>
      <c r="F1187"/>
      <c r="G1187"/>
      <c r="H1187"/>
      <c r="I1187"/>
      <c r="J1187"/>
      <c r="K1187"/>
      <c r="L1187"/>
      <c r="M1187"/>
      <c r="N1187"/>
      <c r="O1187"/>
      <c r="P1187"/>
      <c r="Q1187"/>
      <c r="R1187"/>
      <c r="S1187"/>
      <c r="T1187"/>
      <c r="U1187"/>
      <c r="V1187"/>
      <c r="W1187"/>
      <c r="X1187"/>
      <c r="Y1187"/>
      <c r="Z1187"/>
      <c r="AA1187"/>
    </row>
    <row r="1188" spans="1:27" s="1" customFormat="1" x14ac:dyDescent="0.3">
      <c r="A1188"/>
      <c r="B1188"/>
      <c r="C1188"/>
      <c r="D1188"/>
      <c r="E1188"/>
      <c r="F1188"/>
      <c r="G1188"/>
      <c r="H1188"/>
      <c r="I1188"/>
      <c r="J1188"/>
      <c r="K1188"/>
      <c r="L1188"/>
      <c r="M1188"/>
      <c r="N1188"/>
      <c r="O1188"/>
      <c r="P1188"/>
      <c r="Q1188"/>
      <c r="R1188"/>
      <c r="S1188"/>
      <c r="T1188"/>
      <c r="U1188"/>
      <c r="V1188"/>
      <c r="W1188"/>
      <c r="X1188"/>
      <c r="Y1188"/>
      <c r="Z1188"/>
      <c r="AA1188"/>
    </row>
    <row r="1189" spans="1:27" s="1" customFormat="1" x14ac:dyDescent="0.3">
      <c r="A1189"/>
      <c r="B1189"/>
      <c r="C1189"/>
      <c r="D1189"/>
      <c r="E1189"/>
      <c r="F1189"/>
      <c r="G1189"/>
      <c r="H1189"/>
      <c r="I1189"/>
      <c r="J1189"/>
      <c r="K1189"/>
      <c r="L1189"/>
      <c r="M1189"/>
      <c r="N1189"/>
      <c r="O1189"/>
      <c r="P1189"/>
      <c r="Q1189"/>
      <c r="R1189"/>
      <c r="S1189"/>
      <c r="T1189"/>
      <c r="U1189"/>
      <c r="V1189"/>
      <c r="W1189"/>
      <c r="X1189"/>
      <c r="Y1189"/>
      <c r="Z1189"/>
      <c r="AA1189"/>
    </row>
    <row r="1190" spans="1:27" s="1" customFormat="1" x14ac:dyDescent="0.3">
      <c r="A1190"/>
      <c r="B1190"/>
      <c r="C1190"/>
      <c r="D1190"/>
      <c r="E1190"/>
      <c r="F1190"/>
      <c r="G1190"/>
      <c r="H1190"/>
      <c r="I1190"/>
      <c r="J1190"/>
      <c r="K1190"/>
      <c r="L1190"/>
      <c r="M1190"/>
      <c r="N1190"/>
      <c r="O1190"/>
      <c r="P1190"/>
      <c r="Q1190"/>
      <c r="R1190"/>
      <c r="S1190"/>
      <c r="T1190"/>
      <c r="U1190"/>
      <c r="V1190"/>
      <c r="W1190"/>
      <c r="X1190"/>
      <c r="Y1190"/>
      <c r="Z1190"/>
      <c r="AA1190"/>
    </row>
    <row r="1191" spans="1:27" s="1" customFormat="1" x14ac:dyDescent="0.3">
      <c r="A1191"/>
      <c r="B1191"/>
      <c r="C1191"/>
      <c r="D1191"/>
      <c r="E1191"/>
      <c r="F1191"/>
      <c r="G1191"/>
      <c r="H1191"/>
      <c r="I1191"/>
      <c r="J1191"/>
      <c r="K1191"/>
      <c r="L1191"/>
      <c r="M1191"/>
      <c r="N1191"/>
      <c r="O1191"/>
      <c r="P1191"/>
      <c r="Q1191"/>
      <c r="R1191"/>
      <c r="S1191"/>
      <c r="T1191"/>
      <c r="U1191"/>
      <c r="V1191"/>
      <c r="W1191"/>
      <c r="X1191"/>
      <c r="Y1191"/>
      <c r="Z1191"/>
      <c r="AA1191"/>
    </row>
    <row r="1192" spans="1:27" s="1" customFormat="1" x14ac:dyDescent="0.3">
      <c r="A1192"/>
      <c r="B1192"/>
      <c r="C1192"/>
      <c r="D1192"/>
      <c r="E1192"/>
      <c r="F1192"/>
      <c r="G1192"/>
      <c r="H1192"/>
      <c r="I1192"/>
      <c r="J1192"/>
      <c r="K1192"/>
      <c r="L1192"/>
      <c r="M1192"/>
      <c r="N1192"/>
      <c r="O1192"/>
      <c r="P1192"/>
      <c r="Q1192"/>
      <c r="R1192"/>
      <c r="S1192"/>
      <c r="T1192"/>
      <c r="U1192"/>
      <c r="V1192"/>
      <c r="W1192"/>
      <c r="X1192"/>
      <c r="Y1192"/>
      <c r="Z1192"/>
      <c r="AA1192"/>
    </row>
    <row r="1193" spans="1:27" s="1" customFormat="1" x14ac:dyDescent="0.3">
      <c r="A1193"/>
      <c r="B1193"/>
      <c r="C1193"/>
      <c r="D1193"/>
      <c r="E1193"/>
      <c r="F1193"/>
      <c r="G1193"/>
      <c r="H1193"/>
      <c r="I1193"/>
      <c r="J1193"/>
      <c r="K1193"/>
      <c r="L1193"/>
      <c r="M1193"/>
      <c r="N1193"/>
      <c r="O1193"/>
      <c r="P1193"/>
      <c r="Q1193"/>
      <c r="R1193"/>
      <c r="S1193"/>
      <c r="T1193"/>
      <c r="U1193"/>
      <c r="V1193"/>
      <c r="W1193"/>
      <c r="X1193"/>
      <c r="Y1193"/>
      <c r="Z1193"/>
      <c r="AA1193"/>
    </row>
    <row r="1194" spans="1:27" s="1" customFormat="1" x14ac:dyDescent="0.3">
      <c r="A1194"/>
      <c r="B1194"/>
      <c r="C1194"/>
      <c r="D1194"/>
      <c r="E1194"/>
      <c r="F1194"/>
      <c r="G1194"/>
      <c r="H1194"/>
      <c r="I1194"/>
      <c r="J1194"/>
      <c r="K1194"/>
      <c r="L1194"/>
      <c r="M1194"/>
      <c r="N1194"/>
      <c r="O1194"/>
      <c r="P1194"/>
      <c r="Q1194"/>
      <c r="R1194"/>
      <c r="S1194"/>
      <c r="T1194"/>
      <c r="U1194"/>
      <c r="V1194"/>
      <c r="W1194"/>
      <c r="X1194"/>
      <c r="Y1194"/>
      <c r="Z1194"/>
      <c r="AA1194"/>
    </row>
    <row r="1195" spans="1:27" s="1" customFormat="1" x14ac:dyDescent="0.3">
      <c r="A1195"/>
      <c r="B1195"/>
      <c r="C1195"/>
      <c r="D1195"/>
      <c r="E1195"/>
      <c r="F1195"/>
      <c r="G1195"/>
      <c r="H1195"/>
      <c r="I1195"/>
      <c r="J1195"/>
      <c r="K1195"/>
      <c r="L1195"/>
      <c r="M1195"/>
      <c r="N1195"/>
      <c r="O1195"/>
      <c r="P1195"/>
      <c r="Q1195"/>
      <c r="R1195"/>
      <c r="S1195"/>
      <c r="T1195"/>
      <c r="U1195"/>
      <c r="V1195"/>
      <c r="W1195"/>
      <c r="X1195"/>
      <c r="Y1195"/>
      <c r="Z1195"/>
      <c r="AA1195"/>
    </row>
    <row r="1196" spans="1:27" s="1" customFormat="1" x14ac:dyDescent="0.3">
      <c r="A1196"/>
      <c r="B1196"/>
      <c r="C1196"/>
      <c r="D1196"/>
      <c r="E1196"/>
      <c r="F1196"/>
      <c r="G1196"/>
      <c r="H1196"/>
      <c r="I1196"/>
      <c r="J1196"/>
      <c r="K1196"/>
      <c r="L1196"/>
      <c r="M1196"/>
      <c r="N1196"/>
      <c r="O1196"/>
      <c r="P1196"/>
      <c r="Q1196"/>
      <c r="R1196"/>
      <c r="S1196"/>
      <c r="T1196"/>
      <c r="U1196"/>
      <c r="V1196"/>
      <c r="W1196"/>
      <c r="X1196"/>
      <c r="Y1196"/>
      <c r="Z1196"/>
      <c r="AA1196"/>
    </row>
    <row r="1197" spans="1:27" s="1" customFormat="1" x14ac:dyDescent="0.3">
      <c r="A1197"/>
      <c r="B1197"/>
      <c r="C1197"/>
      <c r="D1197"/>
      <c r="E1197"/>
      <c r="F1197"/>
      <c r="G1197"/>
      <c r="H1197"/>
      <c r="I1197"/>
      <c r="J1197"/>
      <c r="K1197"/>
      <c r="L1197"/>
      <c r="M1197"/>
      <c r="N1197"/>
      <c r="O1197"/>
      <c r="P1197"/>
      <c r="Q1197"/>
      <c r="R1197"/>
      <c r="S1197"/>
      <c r="T1197"/>
      <c r="U1197"/>
      <c r="V1197"/>
      <c r="W1197"/>
      <c r="X1197"/>
      <c r="Y1197"/>
      <c r="Z1197"/>
      <c r="AA1197"/>
    </row>
    <row r="1198" spans="1:27" s="1" customFormat="1" x14ac:dyDescent="0.3">
      <c r="A1198"/>
      <c r="B1198"/>
      <c r="C1198"/>
      <c r="D1198"/>
      <c r="E1198"/>
      <c r="F1198"/>
      <c r="G1198"/>
      <c r="H1198"/>
      <c r="I1198"/>
      <c r="J1198"/>
      <c r="K1198"/>
      <c r="L1198"/>
      <c r="M1198"/>
      <c r="N1198"/>
      <c r="O1198"/>
      <c r="P1198"/>
      <c r="Q1198"/>
      <c r="R1198"/>
      <c r="S1198"/>
      <c r="T1198"/>
      <c r="U1198"/>
      <c r="V1198"/>
      <c r="W1198"/>
      <c r="X1198"/>
      <c r="Y1198"/>
      <c r="Z1198"/>
      <c r="AA1198"/>
    </row>
    <row r="1199" spans="1:27" s="1" customFormat="1" x14ac:dyDescent="0.3">
      <c r="A1199"/>
      <c r="B1199"/>
      <c r="C1199"/>
      <c r="D1199"/>
      <c r="E1199"/>
      <c r="F1199"/>
      <c r="G1199"/>
      <c r="H1199"/>
      <c r="I1199"/>
      <c r="J1199"/>
      <c r="K1199"/>
      <c r="L1199"/>
      <c r="M1199"/>
      <c r="N1199"/>
      <c r="O1199"/>
      <c r="P1199"/>
      <c r="Q1199"/>
      <c r="R1199"/>
      <c r="S1199"/>
      <c r="T1199"/>
      <c r="U1199"/>
      <c r="V1199"/>
      <c r="W1199"/>
      <c r="X1199"/>
      <c r="Y1199"/>
      <c r="Z1199"/>
      <c r="AA1199"/>
    </row>
    <row r="1200" spans="1:27" s="1" customFormat="1" x14ac:dyDescent="0.3">
      <c r="A1200"/>
      <c r="B1200"/>
      <c r="C1200"/>
      <c r="D1200"/>
      <c r="E1200"/>
      <c r="F1200"/>
      <c r="G1200"/>
      <c r="H1200"/>
      <c r="I1200"/>
      <c r="J1200"/>
      <c r="K1200"/>
      <c r="L1200"/>
      <c r="M1200"/>
      <c r="N1200"/>
      <c r="O1200"/>
      <c r="P1200"/>
      <c r="Q1200"/>
      <c r="R1200"/>
      <c r="S1200"/>
      <c r="T1200"/>
      <c r="U1200"/>
      <c r="V1200"/>
      <c r="W1200"/>
      <c r="X1200"/>
      <c r="Y1200"/>
      <c r="Z1200"/>
      <c r="AA1200"/>
    </row>
    <row r="1201" spans="1:27" s="1" customFormat="1" x14ac:dyDescent="0.3">
      <c r="A1201"/>
      <c r="B1201"/>
      <c r="C1201"/>
      <c r="D1201"/>
      <c r="E1201"/>
      <c r="F1201"/>
      <c r="G1201"/>
      <c r="H1201"/>
      <c r="I1201"/>
      <c r="J1201"/>
      <c r="K1201"/>
      <c r="L1201"/>
      <c r="M1201"/>
      <c r="N1201"/>
      <c r="O1201"/>
      <c r="P1201"/>
      <c r="Q1201"/>
      <c r="R1201"/>
      <c r="S1201"/>
      <c r="T1201"/>
      <c r="U1201"/>
      <c r="V1201"/>
      <c r="W1201"/>
      <c r="X1201"/>
      <c r="Y1201"/>
      <c r="Z1201"/>
      <c r="AA1201"/>
    </row>
    <row r="1202" spans="1:27" s="1" customFormat="1" x14ac:dyDescent="0.3">
      <c r="A1202"/>
      <c r="B1202"/>
      <c r="C1202"/>
      <c r="D1202"/>
      <c r="E1202"/>
      <c r="F1202"/>
      <c r="G1202"/>
      <c r="H1202"/>
      <c r="I1202"/>
      <c r="J1202"/>
      <c r="K1202"/>
      <c r="L1202"/>
      <c r="M1202"/>
      <c r="N1202"/>
      <c r="O1202"/>
      <c r="P1202"/>
      <c r="Q1202"/>
      <c r="R1202"/>
      <c r="S1202"/>
      <c r="T1202"/>
      <c r="U1202"/>
      <c r="V1202"/>
      <c r="W1202"/>
      <c r="X1202"/>
      <c r="Y1202"/>
      <c r="Z1202"/>
      <c r="AA1202"/>
    </row>
    <row r="1203" spans="1:27" s="1" customFormat="1" x14ac:dyDescent="0.3">
      <c r="A1203"/>
      <c r="B1203"/>
      <c r="C1203"/>
      <c r="D1203"/>
      <c r="E1203"/>
      <c r="F1203"/>
      <c r="G1203"/>
      <c r="H1203"/>
      <c r="I1203"/>
      <c r="J1203"/>
      <c r="K1203"/>
      <c r="L1203"/>
      <c r="M1203"/>
      <c r="N1203"/>
      <c r="O1203"/>
      <c r="P1203"/>
      <c r="Q1203"/>
      <c r="R1203"/>
      <c r="S1203"/>
      <c r="T1203"/>
      <c r="U1203"/>
      <c r="V1203"/>
      <c r="W1203"/>
      <c r="X1203"/>
      <c r="Y1203"/>
      <c r="Z1203"/>
      <c r="AA1203"/>
    </row>
    <row r="1204" spans="1:27" s="1" customFormat="1" x14ac:dyDescent="0.3">
      <c r="A1204"/>
      <c r="B1204"/>
      <c r="C1204"/>
      <c r="D1204"/>
      <c r="E1204"/>
      <c r="F1204"/>
      <c r="G1204"/>
      <c r="H1204"/>
      <c r="I1204"/>
      <c r="J1204"/>
      <c r="K1204"/>
      <c r="L1204"/>
      <c r="M1204"/>
      <c r="N1204"/>
      <c r="O1204"/>
      <c r="P1204"/>
      <c r="Q1204"/>
      <c r="R1204"/>
      <c r="S1204"/>
      <c r="T1204"/>
      <c r="U1204"/>
      <c r="V1204"/>
      <c r="W1204"/>
      <c r="X1204"/>
      <c r="Y1204"/>
      <c r="Z1204"/>
      <c r="AA1204"/>
    </row>
    <row r="1205" spans="1:27" s="1" customFormat="1" x14ac:dyDescent="0.3">
      <c r="A1205"/>
      <c r="B1205"/>
      <c r="C1205"/>
      <c r="D1205"/>
      <c r="E1205"/>
      <c r="F1205"/>
      <c r="G1205"/>
      <c r="H1205"/>
      <c r="I1205"/>
      <c r="J1205"/>
      <c r="K1205"/>
      <c r="L1205"/>
      <c r="M1205"/>
      <c r="N1205"/>
      <c r="O1205"/>
      <c r="P1205"/>
      <c r="Q1205"/>
      <c r="R1205"/>
      <c r="S1205"/>
      <c r="T1205"/>
      <c r="U1205"/>
      <c r="V1205"/>
      <c r="W1205"/>
      <c r="X1205"/>
      <c r="Y1205"/>
      <c r="Z1205"/>
      <c r="AA1205"/>
    </row>
    <row r="1206" spans="1:27" s="1" customFormat="1" x14ac:dyDescent="0.3">
      <c r="A1206"/>
      <c r="B1206"/>
      <c r="C1206"/>
      <c r="D1206"/>
      <c r="E1206"/>
      <c r="F1206"/>
      <c r="G1206"/>
      <c r="H1206"/>
      <c r="I1206"/>
      <c r="J1206"/>
      <c r="K1206"/>
      <c r="L1206"/>
      <c r="M1206"/>
      <c r="N1206"/>
      <c r="O1206"/>
      <c r="P1206"/>
      <c r="Q1206"/>
      <c r="R1206"/>
      <c r="S1206"/>
      <c r="T1206"/>
      <c r="U1206"/>
      <c r="V1206"/>
      <c r="W1206"/>
      <c r="X1206"/>
      <c r="Y1206"/>
      <c r="Z1206"/>
      <c r="AA1206"/>
    </row>
    <row r="1207" spans="1:27" s="1" customFormat="1" x14ac:dyDescent="0.3">
      <c r="A1207"/>
      <c r="B1207"/>
      <c r="C1207"/>
      <c r="D1207"/>
      <c r="E1207"/>
      <c r="F1207"/>
      <c r="G1207"/>
      <c r="H1207"/>
      <c r="I1207"/>
      <c r="J1207"/>
      <c r="K1207"/>
      <c r="L1207"/>
      <c r="M1207"/>
      <c r="N1207"/>
      <c r="O1207"/>
      <c r="P1207"/>
      <c r="Q1207"/>
      <c r="R1207"/>
      <c r="S1207"/>
      <c r="T1207"/>
      <c r="U1207"/>
      <c r="V1207"/>
      <c r="W1207"/>
      <c r="X1207"/>
      <c r="Y1207"/>
      <c r="Z1207"/>
      <c r="AA1207"/>
    </row>
    <row r="1208" spans="1:27" s="1" customFormat="1" x14ac:dyDescent="0.3">
      <c r="A1208"/>
      <c r="B1208"/>
      <c r="C1208"/>
      <c r="D1208"/>
      <c r="E1208"/>
      <c r="F1208"/>
      <c r="G1208"/>
      <c r="H1208"/>
      <c r="I1208"/>
      <c r="J1208"/>
      <c r="K1208"/>
      <c r="L1208"/>
      <c r="M1208"/>
      <c r="N1208"/>
      <c r="O1208"/>
      <c r="P1208"/>
      <c r="Q1208"/>
      <c r="R1208"/>
      <c r="S1208"/>
      <c r="T1208"/>
      <c r="U1208"/>
      <c r="V1208"/>
      <c r="W1208"/>
      <c r="X1208"/>
      <c r="Y1208"/>
      <c r="Z1208"/>
      <c r="AA1208"/>
    </row>
    <row r="1209" spans="1:27" s="1" customFormat="1" x14ac:dyDescent="0.3">
      <c r="A1209"/>
      <c r="B1209"/>
      <c r="C1209"/>
      <c r="D1209"/>
      <c r="E1209"/>
      <c r="F1209"/>
      <c r="G1209"/>
      <c r="H1209"/>
      <c r="I1209"/>
      <c r="J1209"/>
      <c r="K1209"/>
      <c r="L1209"/>
      <c r="M1209"/>
      <c r="N1209"/>
      <c r="O1209"/>
      <c r="P1209"/>
      <c r="Q1209"/>
      <c r="R1209"/>
      <c r="S1209"/>
      <c r="T1209"/>
      <c r="U1209"/>
      <c r="V1209"/>
      <c r="W1209"/>
      <c r="X1209"/>
      <c r="Y1209"/>
      <c r="Z1209"/>
      <c r="AA1209"/>
    </row>
    <row r="1210" spans="1:27" s="1" customFormat="1" x14ac:dyDescent="0.3">
      <c r="A1210"/>
      <c r="B1210"/>
      <c r="C1210"/>
      <c r="D1210"/>
      <c r="E1210"/>
      <c r="F1210"/>
      <c r="G1210"/>
      <c r="H1210"/>
      <c r="I1210"/>
      <c r="J1210"/>
      <c r="K1210"/>
      <c r="L1210"/>
      <c r="M1210"/>
      <c r="N1210"/>
      <c r="O1210"/>
      <c r="P1210"/>
      <c r="Q1210"/>
      <c r="R1210"/>
      <c r="S1210"/>
      <c r="T1210"/>
      <c r="U1210"/>
      <c r="V1210"/>
      <c r="W1210"/>
      <c r="X1210"/>
      <c r="Y1210"/>
      <c r="Z1210"/>
      <c r="AA1210"/>
    </row>
    <row r="1211" spans="1:27" s="1" customFormat="1" x14ac:dyDescent="0.3">
      <c r="A1211"/>
      <c r="B1211"/>
      <c r="C1211"/>
      <c r="D1211"/>
      <c r="E1211"/>
      <c r="F1211"/>
      <c r="G1211"/>
      <c r="H1211"/>
      <c r="I1211"/>
      <c r="J1211"/>
      <c r="K1211"/>
      <c r="L1211"/>
      <c r="M1211"/>
      <c r="N1211"/>
      <c r="O1211"/>
      <c r="P1211"/>
      <c r="Q1211"/>
      <c r="R1211"/>
      <c r="S1211"/>
      <c r="T1211"/>
      <c r="U1211"/>
      <c r="V1211"/>
      <c r="W1211"/>
      <c r="X1211"/>
      <c r="Y1211"/>
      <c r="Z1211"/>
      <c r="AA1211"/>
    </row>
    <row r="1212" spans="1:27" s="1" customFormat="1" x14ac:dyDescent="0.3">
      <c r="A1212"/>
      <c r="B1212"/>
      <c r="C1212"/>
      <c r="D1212"/>
      <c r="E1212"/>
      <c r="F1212"/>
      <c r="G1212"/>
      <c r="H1212"/>
      <c r="I1212"/>
      <c r="J1212"/>
      <c r="K1212"/>
      <c r="L1212"/>
      <c r="M1212"/>
      <c r="N1212"/>
      <c r="O1212"/>
      <c r="P1212"/>
      <c r="Q1212"/>
      <c r="R1212"/>
      <c r="S1212"/>
      <c r="T1212"/>
      <c r="U1212"/>
      <c r="V1212"/>
      <c r="W1212"/>
      <c r="X1212"/>
      <c r="Y1212"/>
      <c r="Z1212"/>
      <c r="AA1212"/>
    </row>
    <row r="1213" spans="1:27" s="1" customFormat="1" x14ac:dyDescent="0.3">
      <c r="A1213"/>
      <c r="B1213"/>
      <c r="C1213"/>
      <c r="D1213"/>
      <c r="E1213"/>
      <c r="F1213"/>
      <c r="G1213"/>
      <c r="H1213"/>
      <c r="I1213"/>
      <c r="J1213"/>
      <c r="K1213"/>
      <c r="L1213"/>
      <c r="M1213"/>
      <c r="N1213"/>
      <c r="O1213"/>
      <c r="P1213"/>
      <c r="Q1213"/>
      <c r="R1213"/>
      <c r="S1213"/>
      <c r="T1213"/>
      <c r="U1213"/>
      <c r="V1213"/>
      <c r="W1213"/>
      <c r="X1213"/>
      <c r="Y1213"/>
      <c r="Z1213"/>
      <c r="AA1213"/>
    </row>
    <row r="1214" spans="1:27" s="1" customFormat="1" x14ac:dyDescent="0.3">
      <c r="A1214"/>
      <c r="B1214"/>
      <c r="C1214"/>
      <c r="D1214"/>
      <c r="E1214"/>
      <c r="F1214"/>
      <c r="G1214"/>
      <c r="H1214"/>
      <c r="I1214"/>
      <c r="J1214"/>
      <c r="K1214"/>
      <c r="L1214"/>
      <c r="M1214"/>
      <c r="N1214"/>
      <c r="O1214"/>
      <c r="P1214"/>
      <c r="Q1214"/>
      <c r="R1214"/>
      <c r="S1214"/>
      <c r="T1214"/>
      <c r="U1214"/>
      <c r="V1214"/>
      <c r="W1214"/>
      <c r="X1214"/>
      <c r="Y1214"/>
      <c r="Z1214"/>
      <c r="AA1214"/>
    </row>
    <row r="1215" spans="1:27" s="1" customFormat="1" x14ac:dyDescent="0.3">
      <c r="A1215"/>
      <c r="B1215"/>
      <c r="C1215"/>
      <c r="D1215"/>
      <c r="E1215"/>
      <c r="F1215"/>
      <c r="G1215"/>
      <c r="H1215"/>
      <c r="I1215"/>
      <c r="J1215"/>
      <c r="K1215"/>
      <c r="L1215"/>
      <c r="M1215"/>
      <c r="N1215"/>
      <c r="O1215"/>
      <c r="P1215"/>
      <c r="Q1215"/>
      <c r="R1215"/>
      <c r="S1215"/>
      <c r="T1215"/>
      <c r="U1215"/>
      <c r="V1215"/>
      <c r="W1215"/>
      <c r="X1215"/>
      <c r="Y1215"/>
      <c r="Z1215"/>
      <c r="AA1215"/>
    </row>
    <row r="1216" spans="1:27" s="1" customFormat="1" x14ac:dyDescent="0.3">
      <c r="A1216"/>
      <c r="B1216"/>
      <c r="C1216"/>
      <c r="D1216"/>
      <c r="E1216"/>
      <c r="F1216"/>
      <c r="G1216"/>
      <c r="H1216"/>
      <c r="I1216"/>
      <c r="J1216"/>
      <c r="K1216"/>
      <c r="L1216"/>
      <c r="M1216"/>
      <c r="N1216"/>
      <c r="O1216"/>
      <c r="P1216"/>
      <c r="Q1216"/>
      <c r="R1216"/>
      <c r="S1216"/>
      <c r="T1216"/>
      <c r="U1216"/>
      <c r="V1216"/>
      <c r="W1216"/>
      <c r="X1216"/>
      <c r="Y1216"/>
      <c r="Z1216"/>
      <c r="AA1216"/>
    </row>
    <row r="1217" spans="1:27" s="1" customFormat="1" x14ac:dyDescent="0.3">
      <c r="A1217"/>
      <c r="B1217"/>
      <c r="C1217"/>
      <c r="D1217"/>
      <c r="E1217"/>
      <c r="F1217"/>
      <c r="G1217"/>
      <c r="H1217"/>
      <c r="I1217"/>
      <c r="J1217"/>
      <c r="K1217"/>
      <c r="L1217"/>
      <c r="M1217"/>
      <c r="N1217"/>
      <c r="O1217"/>
      <c r="P1217"/>
      <c r="Q1217"/>
      <c r="R1217"/>
      <c r="S1217"/>
      <c r="T1217"/>
      <c r="U1217"/>
      <c r="V1217"/>
      <c r="W1217"/>
      <c r="X1217"/>
      <c r="Y1217"/>
      <c r="Z1217"/>
      <c r="AA1217"/>
    </row>
    <row r="1218" spans="1:27" s="1" customFormat="1" x14ac:dyDescent="0.3">
      <c r="A1218"/>
      <c r="B1218"/>
      <c r="C1218"/>
      <c r="D1218"/>
      <c r="E1218"/>
      <c r="F1218"/>
      <c r="G1218"/>
      <c r="H1218"/>
      <c r="I1218"/>
      <c r="J1218"/>
      <c r="K1218"/>
      <c r="L1218"/>
      <c r="M1218"/>
      <c r="N1218"/>
      <c r="O1218"/>
      <c r="P1218"/>
      <c r="Q1218"/>
      <c r="R1218"/>
      <c r="S1218"/>
      <c r="T1218"/>
      <c r="U1218"/>
      <c r="V1218"/>
      <c r="W1218"/>
      <c r="X1218"/>
      <c r="Y1218"/>
      <c r="Z1218"/>
      <c r="AA1218"/>
    </row>
    <row r="1219" spans="1:27" s="1" customFormat="1" x14ac:dyDescent="0.3">
      <c r="A1219"/>
      <c r="B1219"/>
      <c r="C1219"/>
      <c r="D1219"/>
      <c r="E1219"/>
      <c r="F1219"/>
      <c r="G1219"/>
      <c r="H1219"/>
      <c r="I1219"/>
      <c r="J1219"/>
      <c r="K1219"/>
      <c r="L1219"/>
      <c r="M1219"/>
      <c r="N1219"/>
      <c r="O1219"/>
      <c r="P1219"/>
      <c r="Q1219"/>
      <c r="R1219"/>
      <c r="S1219"/>
      <c r="T1219"/>
      <c r="U1219"/>
      <c r="V1219"/>
      <c r="W1219"/>
      <c r="X1219"/>
      <c r="Y1219"/>
      <c r="Z1219"/>
      <c r="AA1219"/>
    </row>
    <row r="1220" spans="1:27" s="1" customFormat="1" x14ac:dyDescent="0.3">
      <c r="A1220"/>
      <c r="B1220"/>
      <c r="C1220"/>
      <c r="D1220"/>
      <c r="E1220"/>
      <c r="F1220"/>
      <c r="G1220"/>
      <c r="H1220"/>
      <c r="I1220"/>
      <c r="J1220"/>
      <c r="K1220"/>
      <c r="L1220"/>
      <c r="M1220"/>
      <c r="N1220"/>
      <c r="O1220"/>
      <c r="P1220"/>
      <c r="Q1220"/>
      <c r="R1220"/>
      <c r="S1220"/>
      <c r="T1220"/>
      <c r="U1220"/>
      <c r="V1220"/>
      <c r="W1220"/>
      <c r="X1220"/>
      <c r="Y1220"/>
      <c r="Z1220"/>
      <c r="AA1220"/>
    </row>
    <row r="1221" spans="1:27" s="1" customFormat="1" x14ac:dyDescent="0.3">
      <c r="A1221"/>
      <c r="B1221"/>
      <c r="C1221"/>
      <c r="D1221"/>
      <c r="E1221"/>
      <c r="F1221"/>
      <c r="G1221"/>
      <c r="H1221"/>
      <c r="I1221"/>
      <c r="J1221"/>
      <c r="K1221"/>
      <c r="L1221"/>
      <c r="M1221"/>
      <c r="N1221"/>
      <c r="O1221"/>
      <c r="P1221"/>
      <c r="Q1221"/>
      <c r="R1221"/>
      <c r="S1221"/>
      <c r="T1221"/>
      <c r="U1221"/>
      <c r="V1221"/>
      <c r="W1221"/>
      <c r="X1221"/>
      <c r="Y1221"/>
      <c r="Z1221"/>
      <c r="AA1221"/>
    </row>
    <row r="1222" spans="1:27" s="1" customFormat="1" x14ac:dyDescent="0.3">
      <c r="A1222"/>
      <c r="B1222"/>
      <c r="C1222"/>
      <c r="D1222"/>
      <c r="E1222"/>
      <c r="F1222"/>
      <c r="G1222"/>
      <c r="H1222"/>
      <c r="I1222"/>
      <c r="J1222"/>
      <c r="K1222"/>
      <c r="L1222"/>
      <c r="M1222"/>
      <c r="N1222"/>
      <c r="O1222"/>
      <c r="P1222"/>
      <c r="Q1222"/>
      <c r="R1222"/>
      <c r="S1222"/>
      <c r="T1222"/>
      <c r="U1222"/>
      <c r="V1222"/>
      <c r="W1222"/>
      <c r="X1222"/>
      <c r="Y1222"/>
      <c r="Z1222"/>
      <c r="AA1222"/>
    </row>
    <row r="1223" spans="1:27" s="1" customFormat="1" x14ac:dyDescent="0.3">
      <c r="A1223"/>
      <c r="B1223"/>
      <c r="C1223"/>
      <c r="D1223"/>
      <c r="E1223"/>
      <c r="F1223"/>
      <c r="G1223"/>
      <c r="H1223"/>
      <c r="I1223"/>
      <c r="J1223"/>
      <c r="K1223"/>
      <c r="L1223"/>
      <c r="M1223"/>
      <c r="N1223"/>
      <c r="O1223"/>
      <c r="P1223"/>
      <c r="Q1223"/>
      <c r="R1223"/>
      <c r="S1223"/>
      <c r="T1223"/>
      <c r="U1223"/>
      <c r="V1223"/>
      <c r="W1223"/>
      <c r="X1223"/>
      <c r="Y1223"/>
      <c r="Z1223"/>
      <c r="AA1223"/>
    </row>
    <row r="1224" spans="1:27" s="1" customFormat="1" x14ac:dyDescent="0.3">
      <c r="A1224"/>
      <c r="B1224"/>
      <c r="C1224"/>
      <c r="D1224"/>
      <c r="E1224"/>
      <c r="F1224"/>
      <c r="G1224"/>
      <c r="H1224"/>
      <c r="I1224"/>
      <c r="J1224"/>
      <c r="K1224"/>
      <c r="L1224"/>
      <c r="M1224"/>
      <c r="N1224"/>
      <c r="O1224"/>
      <c r="P1224"/>
      <c r="Q1224"/>
      <c r="R1224"/>
      <c r="S1224"/>
      <c r="T1224"/>
      <c r="U1224"/>
      <c r="V1224"/>
      <c r="W1224"/>
      <c r="X1224"/>
      <c r="Y1224"/>
      <c r="Z1224"/>
      <c r="AA1224"/>
    </row>
    <row r="1225" spans="1:27" s="1" customFormat="1" x14ac:dyDescent="0.3">
      <c r="A1225"/>
      <c r="B1225"/>
      <c r="C1225"/>
      <c r="D1225"/>
      <c r="E1225"/>
      <c r="F1225"/>
      <c r="G1225"/>
      <c r="H1225"/>
      <c r="I1225"/>
      <c r="J1225"/>
      <c r="K1225"/>
      <c r="L1225"/>
      <c r="M1225"/>
      <c r="N1225"/>
      <c r="O1225"/>
      <c r="P1225"/>
      <c r="Q1225"/>
      <c r="R1225"/>
      <c r="S1225"/>
      <c r="T1225"/>
      <c r="U1225"/>
      <c r="V1225"/>
      <c r="W1225"/>
      <c r="X1225"/>
      <c r="Y1225"/>
      <c r="Z1225"/>
      <c r="AA1225"/>
    </row>
    <row r="1226" spans="1:27" s="1" customFormat="1" x14ac:dyDescent="0.3">
      <c r="A1226"/>
      <c r="B1226"/>
      <c r="C1226"/>
      <c r="D1226"/>
      <c r="E1226"/>
      <c r="F1226"/>
      <c r="G1226"/>
      <c r="H1226"/>
      <c r="I1226"/>
      <c r="J1226"/>
      <c r="K1226"/>
      <c r="L1226"/>
      <c r="M1226"/>
      <c r="N1226"/>
      <c r="O1226"/>
      <c r="P1226"/>
      <c r="Q1226"/>
      <c r="R1226"/>
      <c r="S1226"/>
      <c r="T1226"/>
      <c r="U1226"/>
      <c r="V1226"/>
      <c r="W1226"/>
      <c r="X1226"/>
      <c r="Y1226"/>
      <c r="Z1226"/>
      <c r="AA1226"/>
    </row>
    <row r="1227" spans="1:27" s="1" customFormat="1" x14ac:dyDescent="0.3">
      <c r="A1227"/>
      <c r="B1227"/>
      <c r="C1227"/>
      <c r="D1227"/>
      <c r="E1227"/>
      <c r="F1227"/>
      <c r="G1227"/>
      <c r="H1227"/>
      <c r="I1227"/>
      <c r="J1227"/>
      <c r="K1227"/>
      <c r="L1227"/>
      <c r="M1227"/>
      <c r="N1227"/>
      <c r="O1227"/>
      <c r="P1227"/>
      <c r="Q1227"/>
      <c r="R1227"/>
      <c r="S1227"/>
      <c r="T1227"/>
      <c r="U1227"/>
      <c r="V1227"/>
      <c r="W1227"/>
      <c r="X1227"/>
      <c r="Y1227"/>
      <c r="Z1227"/>
      <c r="AA1227"/>
    </row>
    <row r="1228" spans="1:27" s="1" customFormat="1" x14ac:dyDescent="0.3">
      <c r="A1228"/>
      <c r="B1228"/>
      <c r="C1228"/>
      <c r="D1228"/>
      <c r="E1228"/>
      <c r="F1228"/>
      <c r="G1228"/>
      <c r="H1228"/>
      <c r="I1228"/>
      <c r="J1228"/>
      <c r="K1228"/>
      <c r="L1228"/>
      <c r="M1228"/>
      <c r="N1228"/>
      <c r="O1228"/>
      <c r="P1228"/>
      <c r="Q1228"/>
      <c r="R1228"/>
      <c r="S1228"/>
      <c r="T1228"/>
      <c r="U1228"/>
      <c r="V1228"/>
      <c r="W1228"/>
      <c r="X1228"/>
      <c r="Y1228"/>
      <c r="Z1228"/>
      <c r="AA1228"/>
    </row>
    <row r="1229" spans="1:27" s="1" customFormat="1" x14ac:dyDescent="0.3">
      <c r="A1229"/>
      <c r="B1229"/>
      <c r="C1229"/>
      <c r="D1229"/>
      <c r="E1229"/>
      <c r="F1229"/>
      <c r="G1229"/>
      <c r="H1229"/>
      <c r="I1229"/>
      <c r="J1229"/>
      <c r="K1229"/>
      <c r="L1229"/>
      <c r="M1229"/>
      <c r="N1229"/>
      <c r="O1229"/>
      <c r="P1229"/>
      <c r="Q1229"/>
      <c r="R1229"/>
      <c r="S1229"/>
      <c r="T1229"/>
      <c r="U1229"/>
      <c r="V1229"/>
      <c r="W1229"/>
      <c r="X1229"/>
      <c r="Y1229"/>
      <c r="Z1229"/>
      <c r="AA1229"/>
    </row>
    <row r="1230" spans="1:27" s="1" customFormat="1" x14ac:dyDescent="0.3">
      <c r="A1230"/>
      <c r="B1230"/>
      <c r="C1230"/>
      <c r="D1230"/>
      <c r="E1230"/>
      <c r="F1230"/>
      <c r="G1230"/>
      <c r="H1230"/>
      <c r="I1230"/>
      <c r="J1230"/>
      <c r="K1230"/>
      <c r="L1230"/>
      <c r="M1230"/>
      <c r="N1230"/>
      <c r="O1230"/>
      <c r="P1230"/>
      <c r="Q1230"/>
      <c r="R1230"/>
      <c r="S1230"/>
      <c r="T1230"/>
      <c r="U1230"/>
      <c r="V1230"/>
      <c r="W1230"/>
      <c r="X1230"/>
      <c r="Y1230"/>
      <c r="Z1230"/>
      <c r="AA1230"/>
    </row>
    <row r="1231" spans="1:27" s="1" customFormat="1" x14ac:dyDescent="0.3">
      <c r="A1231"/>
      <c r="B1231"/>
      <c r="C1231"/>
      <c r="D1231"/>
      <c r="E1231"/>
      <c r="F1231"/>
      <c r="G1231"/>
      <c r="H1231"/>
      <c r="I1231"/>
      <c r="J1231"/>
      <c r="K1231"/>
      <c r="L1231"/>
      <c r="M1231"/>
      <c r="N1231"/>
      <c r="O1231"/>
      <c r="P1231"/>
      <c r="Q1231"/>
      <c r="R1231"/>
      <c r="S1231"/>
      <c r="T1231"/>
      <c r="U1231"/>
      <c r="V1231"/>
      <c r="W1231"/>
      <c r="X1231"/>
      <c r="Y1231"/>
      <c r="Z1231"/>
      <c r="AA1231"/>
    </row>
    <row r="1232" spans="1:27" s="1" customFormat="1" x14ac:dyDescent="0.3">
      <c r="A1232"/>
      <c r="B1232"/>
      <c r="C1232"/>
      <c r="D1232"/>
      <c r="E1232"/>
      <c r="F1232"/>
      <c r="G1232"/>
      <c r="H1232"/>
      <c r="I1232"/>
      <c r="J1232"/>
      <c r="K1232"/>
      <c r="L1232"/>
      <c r="M1232"/>
      <c r="N1232"/>
      <c r="O1232"/>
      <c r="P1232"/>
      <c r="Q1232"/>
      <c r="R1232"/>
      <c r="S1232"/>
      <c r="T1232"/>
      <c r="U1232"/>
      <c r="V1232"/>
      <c r="W1232"/>
      <c r="X1232"/>
      <c r="Y1232"/>
      <c r="Z1232"/>
      <c r="AA1232"/>
    </row>
    <row r="1233" spans="1:27" s="1" customFormat="1" x14ac:dyDescent="0.3">
      <c r="A1233"/>
      <c r="B1233"/>
      <c r="C1233"/>
      <c r="D1233"/>
      <c r="E1233"/>
      <c r="F1233"/>
      <c r="G1233"/>
      <c r="H1233"/>
      <c r="I1233"/>
      <c r="J1233"/>
      <c r="K1233"/>
      <c r="L1233"/>
      <c r="M1233"/>
      <c r="N1233"/>
      <c r="O1233"/>
      <c r="P1233"/>
      <c r="Q1233"/>
      <c r="R1233"/>
      <c r="S1233"/>
      <c r="T1233"/>
      <c r="U1233"/>
      <c r="V1233"/>
      <c r="W1233"/>
      <c r="X1233"/>
      <c r="Y1233"/>
      <c r="Z1233"/>
      <c r="AA1233"/>
    </row>
    <row r="1234" spans="1:27" s="1" customFormat="1" x14ac:dyDescent="0.3">
      <c r="A1234"/>
      <c r="B1234"/>
      <c r="C1234"/>
      <c r="D1234"/>
      <c r="E1234"/>
      <c r="F1234"/>
      <c r="G1234"/>
      <c r="H1234"/>
      <c r="I1234"/>
      <c r="J1234"/>
      <c r="K1234"/>
      <c r="L1234"/>
      <c r="M1234"/>
      <c r="N1234"/>
      <c r="O1234"/>
      <c r="P1234"/>
      <c r="Q1234"/>
      <c r="R1234"/>
      <c r="S1234"/>
      <c r="T1234"/>
      <c r="U1234"/>
      <c r="V1234"/>
      <c r="W1234"/>
      <c r="X1234"/>
      <c r="Y1234"/>
      <c r="Z1234"/>
      <c r="AA1234"/>
    </row>
    <row r="1235" spans="1:27" s="1" customFormat="1" x14ac:dyDescent="0.3">
      <c r="A1235"/>
      <c r="B1235"/>
      <c r="C1235"/>
      <c r="D1235"/>
      <c r="E1235"/>
      <c r="F1235"/>
      <c r="G1235"/>
      <c r="H1235"/>
      <c r="I1235"/>
      <c r="J1235"/>
      <c r="K1235"/>
      <c r="L1235"/>
      <c r="M1235"/>
      <c r="N1235"/>
      <c r="O1235"/>
      <c r="P1235"/>
      <c r="Q1235"/>
      <c r="R1235"/>
      <c r="S1235"/>
      <c r="T1235"/>
      <c r="U1235"/>
      <c r="V1235"/>
      <c r="W1235"/>
      <c r="X1235"/>
      <c r="Y1235"/>
      <c r="Z1235"/>
      <c r="AA1235"/>
    </row>
    <row r="1236" spans="1:27" s="1" customFormat="1" x14ac:dyDescent="0.3">
      <c r="A1236"/>
      <c r="B1236"/>
      <c r="C1236"/>
      <c r="D1236"/>
      <c r="E1236"/>
      <c r="F1236"/>
      <c r="G1236"/>
      <c r="H1236"/>
      <c r="I1236"/>
      <c r="J1236"/>
      <c r="K1236"/>
      <c r="L1236"/>
      <c r="M1236"/>
      <c r="N1236"/>
      <c r="O1236"/>
      <c r="P1236"/>
      <c r="Q1236"/>
      <c r="R1236"/>
      <c r="S1236"/>
      <c r="T1236"/>
      <c r="U1236"/>
      <c r="V1236"/>
      <c r="W1236"/>
      <c r="X1236"/>
      <c r="Y1236"/>
      <c r="Z1236"/>
      <c r="AA1236"/>
    </row>
    <row r="1237" spans="1:27" s="1" customFormat="1" x14ac:dyDescent="0.3">
      <c r="A1237"/>
      <c r="B1237"/>
      <c r="C1237"/>
      <c r="D1237"/>
      <c r="E1237"/>
      <c r="F1237"/>
      <c r="G1237"/>
      <c r="H1237"/>
      <c r="I1237"/>
      <c r="J1237"/>
      <c r="K1237"/>
      <c r="L1237"/>
      <c r="M1237"/>
      <c r="N1237"/>
      <c r="O1237"/>
      <c r="P1237"/>
      <c r="Q1237"/>
      <c r="R1237"/>
      <c r="S1237"/>
      <c r="T1237"/>
      <c r="U1237"/>
      <c r="V1237"/>
      <c r="W1237"/>
      <c r="X1237"/>
      <c r="Y1237"/>
      <c r="Z1237"/>
      <c r="AA1237"/>
    </row>
    <row r="1238" spans="1:27" s="1" customFormat="1" x14ac:dyDescent="0.3">
      <c r="A1238"/>
      <c r="B1238"/>
      <c r="C1238"/>
      <c r="D1238"/>
      <c r="E1238"/>
      <c r="F1238"/>
      <c r="G1238"/>
      <c r="H1238"/>
      <c r="I1238"/>
      <c r="J1238"/>
      <c r="K1238"/>
      <c r="L1238"/>
      <c r="M1238"/>
      <c r="N1238"/>
      <c r="O1238"/>
      <c r="P1238"/>
      <c r="Q1238"/>
      <c r="R1238"/>
      <c r="S1238"/>
      <c r="T1238"/>
      <c r="U1238"/>
      <c r="V1238"/>
      <c r="W1238"/>
      <c r="X1238"/>
      <c r="Y1238"/>
      <c r="Z1238"/>
      <c r="AA1238"/>
    </row>
    <row r="1239" spans="1:27" s="1" customFormat="1" x14ac:dyDescent="0.3">
      <c r="A1239"/>
      <c r="B1239"/>
      <c r="C1239"/>
      <c r="D1239"/>
      <c r="E1239"/>
      <c r="F1239"/>
      <c r="G1239"/>
      <c r="H1239"/>
      <c r="I1239"/>
      <c r="J1239"/>
      <c r="K1239"/>
      <c r="L1239"/>
      <c r="M1239"/>
      <c r="N1239"/>
      <c r="O1239"/>
      <c r="P1239"/>
      <c r="Q1239"/>
      <c r="R1239"/>
      <c r="S1239"/>
      <c r="T1239"/>
      <c r="U1239"/>
      <c r="V1239"/>
      <c r="W1239"/>
      <c r="X1239"/>
      <c r="Y1239"/>
      <c r="Z1239"/>
      <c r="AA1239"/>
    </row>
    <row r="1240" spans="1:27" s="1" customFormat="1" x14ac:dyDescent="0.3">
      <c r="A1240"/>
      <c r="B1240"/>
      <c r="C1240"/>
      <c r="D1240"/>
      <c r="E1240"/>
      <c r="F1240"/>
      <c r="G1240"/>
      <c r="H1240"/>
      <c r="I1240"/>
      <c r="J1240"/>
      <c r="K1240"/>
      <c r="L1240"/>
      <c r="M1240"/>
      <c r="N1240"/>
      <c r="O1240"/>
      <c r="P1240"/>
      <c r="Q1240"/>
      <c r="R1240"/>
      <c r="S1240"/>
      <c r="T1240"/>
      <c r="U1240"/>
      <c r="V1240"/>
      <c r="W1240"/>
      <c r="X1240"/>
      <c r="Y1240"/>
      <c r="Z1240"/>
      <c r="AA1240"/>
    </row>
    <row r="1241" spans="1:27" s="1" customFormat="1" x14ac:dyDescent="0.3">
      <c r="A1241"/>
      <c r="B1241"/>
      <c r="C1241"/>
      <c r="D1241"/>
      <c r="E1241"/>
      <c r="F1241"/>
      <c r="G1241"/>
      <c r="H1241"/>
      <c r="I1241"/>
      <c r="J1241"/>
      <c r="K1241"/>
      <c r="L1241"/>
      <c r="M1241"/>
      <c r="N1241"/>
      <c r="O1241"/>
      <c r="P1241"/>
      <c r="Q1241"/>
      <c r="R1241"/>
      <c r="S1241"/>
      <c r="T1241"/>
      <c r="U1241"/>
      <c r="V1241"/>
      <c r="W1241"/>
      <c r="X1241"/>
      <c r="Y1241"/>
      <c r="Z1241"/>
      <c r="AA1241"/>
    </row>
    <row r="1242" spans="1:27" s="1" customFormat="1" x14ac:dyDescent="0.3">
      <c r="A1242"/>
      <c r="B1242"/>
      <c r="C1242"/>
      <c r="D1242"/>
      <c r="E1242"/>
      <c r="F1242"/>
      <c r="G1242"/>
      <c r="H1242"/>
      <c r="I1242"/>
      <c r="J1242"/>
      <c r="K1242"/>
      <c r="L1242"/>
      <c r="M1242"/>
      <c r="N1242"/>
      <c r="O1242"/>
      <c r="P1242"/>
      <c r="Q1242"/>
      <c r="R1242"/>
      <c r="S1242"/>
      <c r="T1242"/>
      <c r="U1242"/>
      <c r="V1242"/>
      <c r="W1242"/>
      <c r="X1242"/>
      <c r="Y1242"/>
      <c r="Z1242"/>
      <c r="AA1242"/>
    </row>
    <row r="1243" spans="1:27" s="1" customFormat="1" x14ac:dyDescent="0.3">
      <c r="A1243"/>
      <c r="B1243"/>
      <c r="C1243"/>
      <c r="D1243"/>
      <c r="E1243"/>
      <c r="F1243"/>
      <c r="G1243"/>
      <c r="H1243"/>
      <c r="I1243"/>
      <c r="J1243"/>
      <c r="K1243"/>
      <c r="L1243"/>
      <c r="M1243"/>
      <c r="N1243"/>
      <c r="O1243"/>
      <c r="P1243"/>
      <c r="Q1243"/>
      <c r="R1243"/>
      <c r="S1243"/>
      <c r="T1243"/>
      <c r="U1243"/>
      <c r="V1243"/>
      <c r="W1243"/>
      <c r="X1243"/>
      <c r="Y1243"/>
      <c r="Z1243"/>
      <c r="AA1243"/>
    </row>
    <row r="1244" spans="1:27" s="1" customFormat="1" x14ac:dyDescent="0.3">
      <c r="A1244"/>
      <c r="B1244"/>
      <c r="C1244"/>
      <c r="D1244"/>
      <c r="E1244"/>
      <c r="F1244"/>
      <c r="G1244"/>
      <c r="H1244"/>
      <c r="I1244"/>
      <c r="J1244"/>
      <c r="K1244"/>
      <c r="L1244"/>
      <c r="M1244"/>
      <c r="N1244"/>
      <c r="O1244"/>
      <c r="P1244"/>
      <c r="Q1244"/>
      <c r="R1244"/>
      <c r="S1244"/>
      <c r="T1244"/>
      <c r="U1244"/>
      <c r="V1244"/>
      <c r="W1244"/>
      <c r="X1244"/>
      <c r="Y1244"/>
      <c r="Z1244"/>
      <c r="AA1244"/>
    </row>
    <row r="1245" spans="1:27" s="1" customFormat="1" x14ac:dyDescent="0.3">
      <c r="A1245"/>
      <c r="B1245"/>
      <c r="C1245"/>
      <c r="D1245"/>
      <c r="E1245"/>
      <c r="F1245"/>
      <c r="G1245"/>
      <c r="H1245"/>
      <c r="I1245"/>
      <c r="J1245"/>
      <c r="K1245"/>
      <c r="L1245"/>
      <c r="M1245"/>
      <c r="N1245"/>
      <c r="O1245"/>
      <c r="P1245"/>
      <c r="Q1245"/>
      <c r="R1245"/>
      <c r="S1245"/>
      <c r="T1245"/>
      <c r="U1245"/>
      <c r="V1245"/>
      <c r="W1245"/>
      <c r="X1245"/>
      <c r="Y1245"/>
      <c r="Z1245"/>
      <c r="AA1245"/>
    </row>
    <row r="1246" spans="1:27" s="1" customFormat="1" x14ac:dyDescent="0.3">
      <c r="A1246"/>
      <c r="B1246"/>
      <c r="C1246"/>
      <c r="D1246"/>
      <c r="E1246"/>
      <c r="F1246"/>
      <c r="G1246"/>
      <c r="H1246"/>
      <c r="I1246"/>
      <c r="J1246"/>
      <c r="K1246"/>
      <c r="L1246"/>
      <c r="M1246"/>
      <c r="N1246"/>
      <c r="O1246"/>
      <c r="P1246"/>
      <c r="Q1246"/>
      <c r="R1246"/>
      <c r="S1246"/>
      <c r="T1246"/>
      <c r="U1246"/>
      <c r="V1246"/>
      <c r="W1246"/>
      <c r="X1246"/>
      <c r="Y1246"/>
      <c r="Z1246"/>
      <c r="AA1246"/>
    </row>
    <row r="1247" spans="1:27" s="1" customFormat="1" x14ac:dyDescent="0.3">
      <c r="A1247"/>
      <c r="B1247"/>
      <c r="C1247"/>
      <c r="D1247"/>
      <c r="E1247"/>
      <c r="F1247"/>
      <c r="G1247"/>
      <c r="H1247"/>
      <c r="I1247"/>
      <c r="J1247"/>
      <c r="K1247"/>
      <c r="L1247"/>
      <c r="M1247"/>
      <c r="N1247"/>
      <c r="O1247"/>
      <c r="P1247"/>
      <c r="Q1247"/>
      <c r="R1247"/>
      <c r="S1247"/>
      <c r="T1247"/>
      <c r="U1247"/>
      <c r="V1247"/>
      <c r="W1247"/>
      <c r="X1247"/>
      <c r="Y1247"/>
      <c r="Z1247"/>
      <c r="AA1247"/>
    </row>
    <row r="1248" spans="1:27" s="1" customFormat="1" x14ac:dyDescent="0.3">
      <c r="A1248"/>
      <c r="B1248"/>
      <c r="C1248"/>
      <c r="D1248"/>
      <c r="E1248"/>
      <c r="F1248"/>
      <c r="G1248"/>
      <c r="H1248"/>
      <c r="I1248"/>
      <c r="J1248"/>
      <c r="K1248"/>
      <c r="L1248"/>
      <c r="M1248"/>
      <c r="N1248"/>
      <c r="O1248"/>
      <c r="P1248"/>
      <c r="Q1248"/>
      <c r="R1248"/>
      <c r="S1248"/>
      <c r="T1248"/>
      <c r="U1248"/>
      <c r="V1248"/>
      <c r="W1248"/>
      <c r="X1248"/>
      <c r="Y1248"/>
      <c r="Z1248"/>
      <c r="AA1248"/>
    </row>
    <row r="1249" spans="1:27" s="1" customFormat="1" x14ac:dyDescent="0.3">
      <c r="A1249"/>
      <c r="B1249"/>
      <c r="C1249"/>
      <c r="D1249"/>
      <c r="E1249"/>
      <c r="F1249"/>
      <c r="G1249"/>
      <c r="H1249"/>
      <c r="I1249"/>
      <c r="J1249"/>
      <c r="K1249"/>
      <c r="L1249"/>
      <c r="M1249"/>
      <c r="N1249"/>
      <c r="O1249"/>
      <c r="P1249"/>
      <c r="Q1249"/>
      <c r="R1249"/>
      <c r="S1249"/>
      <c r="T1249"/>
      <c r="U1249"/>
      <c r="V1249"/>
      <c r="W1249"/>
      <c r="X1249"/>
      <c r="Y1249"/>
      <c r="Z1249"/>
      <c r="AA1249"/>
    </row>
    <row r="1250" spans="1:27" s="1" customFormat="1" x14ac:dyDescent="0.3">
      <c r="A1250"/>
      <c r="B1250"/>
      <c r="C1250"/>
      <c r="D1250"/>
      <c r="E1250"/>
      <c r="F1250"/>
      <c r="G1250"/>
      <c r="H1250"/>
      <c r="I1250"/>
      <c r="J1250"/>
      <c r="K1250"/>
      <c r="L1250"/>
      <c r="M1250"/>
      <c r="N1250"/>
      <c r="O1250"/>
      <c r="P1250"/>
      <c r="Q1250"/>
      <c r="R1250"/>
      <c r="S1250"/>
      <c r="T1250"/>
      <c r="U1250"/>
      <c r="V1250"/>
      <c r="W1250"/>
      <c r="X1250"/>
      <c r="Y1250"/>
      <c r="Z1250"/>
      <c r="AA1250"/>
    </row>
    <row r="1251" spans="1:27" s="1" customFormat="1" x14ac:dyDescent="0.3">
      <c r="A1251"/>
      <c r="B1251"/>
      <c r="C1251"/>
      <c r="D1251"/>
      <c r="E1251"/>
      <c r="F1251"/>
      <c r="G1251"/>
      <c r="H1251"/>
      <c r="I1251"/>
      <c r="J1251"/>
      <c r="K1251"/>
      <c r="L1251"/>
      <c r="M1251"/>
      <c r="N1251"/>
      <c r="O1251"/>
      <c r="P1251"/>
      <c r="Q1251"/>
      <c r="R1251"/>
      <c r="S1251"/>
      <c r="T1251"/>
      <c r="U1251"/>
      <c r="V1251"/>
      <c r="W1251"/>
      <c r="X1251"/>
      <c r="Y1251"/>
      <c r="Z1251"/>
      <c r="AA1251"/>
    </row>
    <row r="1252" spans="1:27" s="1" customFormat="1" x14ac:dyDescent="0.3">
      <c r="A1252"/>
      <c r="B1252"/>
      <c r="C1252"/>
      <c r="D1252"/>
      <c r="E1252"/>
      <c r="F1252"/>
      <c r="G1252"/>
      <c r="H1252"/>
      <c r="I1252"/>
      <c r="J1252"/>
      <c r="K1252"/>
      <c r="L1252"/>
      <c r="M1252"/>
      <c r="N1252"/>
      <c r="O1252"/>
      <c r="P1252"/>
      <c r="Q1252"/>
      <c r="R1252"/>
      <c r="S1252"/>
      <c r="T1252"/>
      <c r="U1252"/>
      <c r="V1252"/>
      <c r="W1252"/>
      <c r="X1252"/>
      <c r="Y1252"/>
      <c r="Z1252"/>
      <c r="AA1252"/>
    </row>
    <row r="1253" spans="1:27" s="1" customFormat="1" x14ac:dyDescent="0.3">
      <c r="A1253"/>
      <c r="B1253"/>
      <c r="C1253"/>
      <c r="D1253"/>
      <c r="E1253"/>
      <c r="F1253"/>
      <c r="G1253"/>
      <c r="H1253"/>
      <c r="I1253"/>
      <c r="J1253"/>
      <c r="K1253"/>
      <c r="L1253"/>
      <c r="M1253"/>
      <c r="N1253"/>
      <c r="O1253"/>
      <c r="P1253"/>
      <c r="Q1253"/>
      <c r="R1253"/>
      <c r="S1253"/>
      <c r="T1253"/>
      <c r="U1253"/>
      <c r="V1253"/>
      <c r="W1253"/>
      <c r="X1253"/>
      <c r="Y1253"/>
      <c r="Z1253"/>
      <c r="AA1253"/>
    </row>
    <row r="1254" spans="1:27" s="1" customFormat="1" x14ac:dyDescent="0.3">
      <c r="A1254"/>
      <c r="B1254"/>
      <c r="C1254"/>
      <c r="D1254"/>
      <c r="E1254"/>
      <c r="F1254"/>
      <c r="G1254"/>
      <c r="H1254"/>
      <c r="I1254"/>
      <c r="J1254"/>
      <c r="K1254"/>
      <c r="L1254"/>
      <c r="M1254"/>
      <c r="N1254"/>
      <c r="O1254"/>
      <c r="P1254"/>
      <c r="Q1254"/>
      <c r="R1254"/>
      <c r="S1254"/>
      <c r="T1254"/>
      <c r="U1254"/>
      <c r="V1254"/>
      <c r="W1254"/>
      <c r="X1254"/>
      <c r="Y1254"/>
      <c r="Z1254"/>
      <c r="AA1254"/>
    </row>
    <row r="1255" spans="1:27" s="1" customFormat="1" x14ac:dyDescent="0.3">
      <c r="A1255"/>
      <c r="B1255"/>
      <c r="C1255"/>
      <c r="D1255"/>
      <c r="E1255"/>
      <c r="F1255"/>
      <c r="G1255"/>
      <c r="H1255"/>
      <c r="I1255"/>
      <c r="J1255"/>
      <c r="K1255"/>
      <c r="L1255"/>
      <c r="M1255"/>
      <c r="N1255"/>
      <c r="O1255"/>
      <c r="P1255"/>
      <c r="Q1255"/>
      <c r="R1255"/>
      <c r="S1255"/>
      <c r="T1255"/>
      <c r="U1255"/>
      <c r="V1255"/>
      <c r="W1255"/>
      <c r="X1255"/>
      <c r="Y1255"/>
      <c r="Z1255"/>
      <c r="AA1255"/>
    </row>
    <row r="1256" spans="1:27" s="1" customFormat="1" x14ac:dyDescent="0.3">
      <c r="A1256"/>
      <c r="B1256"/>
      <c r="C1256"/>
      <c r="D1256"/>
      <c r="E1256"/>
      <c r="F1256"/>
      <c r="G1256"/>
      <c r="H1256"/>
      <c r="I1256"/>
      <c r="J1256"/>
      <c r="K1256"/>
      <c r="L1256"/>
      <c r="M1256"/>
      <c r="N1256"/>
      <c r="O1256"/>
      <c r="P1256"/>
      <c r="Q1256"/>
      <c r="R1256"/>
      <c r="S1256"/>
      <c r="T1256"/>
      <c r="U1256"/>
      <c r="V1256"/>
      <c r="W1256"/>
      <c r="X1256"/>
      <c r="Y1256"/>
      <c r="Z1256"/>
      <c r="AA1256"/>
    </row>
    <row r="1257" spans="1:27" s="1" customFormat="1" x14ac:dyDescent="0.3">
      <c r="A1257"/>
      <c r="B1257"/>
      <c r="C1257"/>
      <c r="D1257"/>
      <c r="E1257"/>
      <c r="F1257"/>
      <c r="G1257"/>
      <c r="H1257"/>
      <c r="I1257"/>
      <c r="J1257"/>
      <c r="K1257"/>
      <c r="L1257"/>
      <c r="M1257"/>
      <c r="N1257"/>
      <c r="O1257"/>
      <c r="P1257"/>
      <c r="Q1257"/>
      <c r="R1257"/>
      <c r="S1257"/>
      <c r="T1257"/>
      <c r="U1257"/>
      <c r="V1257"/>
      <c r="W1257"/>
      <c r="X1257"/>
      <c r="Y1257"/>
      <c r="Z1257"/>
      <c r="AA1257"/>
    </row>
    <row r="1258" spans="1:27" s="1" customFormat="1" x14ac:dyDescent="0.3">
      <c r="A1258"/>
      <c r="B1258"/>
      <c r="C1258"/>
      <c r="D1258"/>
      <c r="E1258"/>
      <c r="F1258"/>
      <c r="G1258"/>
      <c r="H1258"/>
      <c r="I1258"/>
      <c r="J1258"/>
      <c r="K1258"/>
      <c r="L1258"/>
      <c r="M1258"/>
      <c r="N1258"/>
      <c r="O1258"/>
      <c r="P1258"/>
      <c r="Q1258"/>
      <c r="R1258"/>
      <c r="S1258"/>
      <c r="T1258"/>
      <c r="U1258"/>
      <c r="V1258"/>
      <c r="W1258"/>
      <c r="X1258"/>
      <c r="Y1258"/>
      <c r="Z1258"/>
      <c r="AA1258"/>
    </row>
    <row r="1259" spans="1:27" s="1" customFormat="1" x14ac:dyDescent="0.3">
      <c r="A1259"/>
      <c r="B1259"/>
      <c r="C1259"/>
      <c r="D1259"/>
      <c r="E1259"/>
      <c r="F1259"/>
      <c r="G1259"/>
      <c r="H1259"/>
      <c r="I1259"/>
      <c r="J1259"/>
      <c r="K1259"/>
      <c r="L1259"/>
      <c r="M1259"/>
      <c r="N1259"/>
      <c r="O1259"/>
      <c r="P1259"/>
      <c r="Q1259"/>
      <c r="R1259"/>
      <c r="S1259"/>
      <c r="T1259"/>
      <c r="U1259"/>
      <c r="V1259"/>
      <c r="W1259"/>
      <c r="X1259"/>
      <c r="Y1259"/>
      <c r="Z1259"/>
      <c r="AA1259"/>
    </row>
    <row r="1260" spans="1:27" s="1" customFormat="1" x14ac:dyDescent="0.3">
      <c r="A1260"/>
      <c r="B1260"/>
      <c r="C1260"/>
      <c r="D1260"/>
      <c r="E1260"/>
      <c r="F1260"/>
      <c r="G1260"/>
      <c r="H1260"/>
      <c r="I1260"/>
      <c r="J1260"/>
      <c r="K1260"/>
      <c r="L1260"/>
      <c r="M1260"/>
      <c r="N1260"/>
      <c r="O1260"/>
      <c r="P1260"/>
      <c r="Q1260"/>
      <c r="R1260"/>
      <c r="S1260"/>
      <c r="T1260"/>
      <c r="U1260"/>
      <c r="V1260"/>
      <c r="W1260"/>
      <c r="X1260"/>
      <c r="Y1260"/>
      <c r="Z1260"/>
      <c r="AA1260"/>
    </row>
    <row r="1261" spans="1:27" s="1" customFormat="1" x14ac:dyDescent="0.3">
      <c r="A1261"/>
      <c r="B1261"/>
      <c r="C1261"/>
      <c r="D1261"/>
      <c r="E1261"/>
      <c r="F1261"/>
      <c r="G1261"/>
      <c r="H1261"/>
      <c r="I1261"/>
      <c r="J1261"/>
      <c r="K1261"/>
      <c r="L1261"/>
      <c r="M1261"/>
      <c r="N1261"/>
      <c r="O1261"/>
      <c r="P1261"/>
      <c r="Q1261"/>
      <c r="R1261"/>
      <c r="S1261"/>
      <c r="T1261"/>
      <c r="U1261"/>
      <c r="V1261"/>
      <c r="W1261"/>
      <c r="X1261"/>
      <c r="Y1261"/>
      <c r="Z1261"/>
      <c r="AA1261"/>
    </row>
    <row r="1262" spans="1:27" s="1" customFormat="1" x14ac:dyDescent="0.3">
      <c r="A1262"/>
      <c r="B1262"/>
      <c r="C1262"/>
      <c r="D1262"/>
      <c r="E1262"/>
      <c r="F1262"/>
      <c r="G1262"/>
      <c r="H1262"/>
      <c r="I1262"/>
      <c r="J1262"/>
      <c r="K1262"/>
      <c r="L1262"/>
      <c r="M1262"/>
      <c r="N1262"/>
      <c r="O1262"/>
      <c r="P1262"/>
      <c r="Q1262"/>
      <c r="R1262"/>
      <c r="S1262"/>
      <c r="T1262"/>
      <c r="U1262"/>
      <c r="V1262"/>
      <c r="W1262"/>
      <c r="X1262"/>
      <c r="Y1262"/>
      <c r="Z1262"/>
      <c r="AA1262"/>
    </row>
    <row r="1263" spans="1:27" s="1" customFormat="1" x14ac:dyDescent="0.3">
      <c r="A1263"/>
      <c r="B1263"/>
      <c r="C1263"/>
      <c r="D1263"/>
      <c r="E1263"/>
      <c r="F1263"/>
      <c r="G1263"/>
      <c r="H1263"/>
      <c r="I1263"/>
      <c r="J1263"/>
      <c r="K1263"/>
      <c r="L1263"/>
      <c r="M1263"/>
      <c r="N1263"/>
      <c r="O1263"/>
      <c r="P1263"/>
      <c r="Q1263"/>
      <c r="R1263"/>
      <c r="S1263"/>
      <c r="T1263"/>
      <c r="U1263"/>
      <c r="V1263"/>
      <c r="W1263"/>
      <c r="X1263"/>
      <c r="Y1263"/>
      <c r="Z1263"/>
      <c r="AA1263"/>
    </row>
    <row r="1264" spans="1:27" s="1" customFormat="1" x14ac:dyDescent="0.3">
      <c r="A1264"/>
      <c r="B1264"/>
      <c r="C1264"/>
      <c r="D1264"/>
      <c r="E1264"/>
      <c r="F1264"/>
      <c r="G1264"/>
      <c r="H1264"/>
      <c r="I1264"/>
      <c r="J1264"/>
      <c r="K1264"/>
      <c r="L1264"/>
      <c r="M1264"/>
      <c r="N1264"/>
      <c r="O1264"/>
      <c r="P1264"/>
      <c r="Q1264"/>
      <c r="R1264"/>
      <c r="S1264"/>
      <c r="T1264"/>
      <c r="U1264"/>
      <c r="V1264"/>
      <c r="W1264"/>
      <c r="X1264"/>
      <c r="Y1264"/>
      <c r="Z1264"/>
      <c r="AA1264"/>
    </row>
    <row r="1265" spans="1:27" s="1" customFormat="1" x14ac:dyDescent="0.3">
      <c r="A1265"/>
      <c r="B1265"/>
      <c r="C1265"/>
      <c r="D1265"/>
      <c r="E1265"/>
      <c r="F1265"/>
      <c r="G1265"/>
      <c r="H1265"/>
      <c r="I1265"/>
      <c r="J1265"/>
      <c r="K1265"/>
      <c r="L1265"/>
      <c r="M1265"/>
      <c r="N1265"/>
      <c r="O1265"/>
      <c r="P1265"/>
      <c r="Q1265"/>
      <c r="R1265"/>
      <c r="S1265"/>
      <c r="T1265"/>
      <c r="U1265"/>
      <c r="V1265"/>
      <c r="W1265"/>
      <c r="X1265"/>
      <c r="Y1265"/>
      <c r="Z1265"/>
      <c r="AA1265"/>
    </row>
    <row r="1266" spans="1:27" s="1" customFormat="1" x14ac:dyDescent="0.3">
      <c r="A1266"/>
      <c r="B1266"/>
      <c r="C1266"/>
      <c r="D1266"/>
      <c r="E1266"/>
      <c r="F1266"/>
      <c r="G1266"/>
      <c r="H1266"/>
      <c r="I1266"/>
      <c r="J1266"/>
      <c r="K1266"/>
      <c r="L1266"/>
      <c r="M1266"/>
      <c r="N1266"/>
      <c r="O1266"/>
      <c r="P1266"/>
      <c r="Q1266"/>
      <c r="R1266"/>
      <c r="S1266"/>
      <c r="T1266"/>
      <c r="U1266"/>
      <c r="V1266"/>
      <c r="W1266"/>
      <c r="X1266"/>
      <c r="Y1266"/>
      <c r="Z1266"/>
      <c r="AA1266"/>
    </row>
    <row r="1267" spans="1:27" s="1" customFormat="1" x14ac:dyDescent="0.3">
      <c r="A1267"/>
      <c r="B1267"/>
      <c r="C1267"/>
      <c r="D1267"/>
      <c r="E1267"/>
      <c r="F1267"/>
      <c r="G1267"/>
      <c r="H1267"/>
      <c r="I1267"/>
      <c r="J1267"/>
      <c r="K1267"/>
      <c r="L1267"/>
      <c r="M1267"/>
      <c r="N1267"/>
      <c r="O1267"/>
      <c r="P1267"/>
      <c r="Q1267"/>
      <c r="R1267"/>
      <c r="S1267"/>
      <c r="T1267"/>
      <c r="U1267"/>
      <c r="V1267"/>
      <c r="W1267"/>
      <c r="X1267"/>
      <c r="Y1267"/>
      <c r="Z1267"/>
      <c r="AA1267"/>
    </row>
    <row r="1268" spans="1:27" s="1" customFormat="1" x14ac:dyDescent="0.3">
      <c r="A1268"/>
      <c r="B1268"/>
      <c r="C1268"/>
      <c r="D1268"/>
      <c r="E1268"/>
      <c r="F1268"/>
      <c r="G1268"/>
      <c r="H1268"/>
      <c r="I1268"/>
      <c r="J1268"/>
      <c r="K1268"/>
      <c r="L1268"/>
      <c r="M1268"/>
      <c r="N1268"/>
      <c r="O1268"/>
      <c r="P1268"/>
      <c r="Q1268"/>
      <c r="R1268"/>
      <c r="S1268"/>
      <c r="T1268"/>
      <c r="U1268"/>
      <c r="V1268"/>
      <c r="W1268"/>
      <c r="X1268"/>
      <c r="Y1268"/>
      <c r="Z1268"/>
      <c r="AA1268"/>
    </row>
    <row r="1269" spans="1:27" s="1" customFormat="1" x14ac:dyDescent="0.3">
      <c r="A1269"/>
      <c r="B1269"/>
      <c r="C1269"/>
      <c r="D1269"/>
      <c r="E1269"/>
      <c r="F1269"/>
      <c r="G1269"/>
      <c r="H1269"/>
      <c r="I1269"/>
      <c r="J1269"/>
      <c r="K1269"/>
      <c r="L1269"/>
      <c r="M1269"/>
      <c r="N1269"/>
      <c r="O1269"/>
      <c r="P1269"/>
      <c r="Q1269"/>
      <c r="R1269"/>
      <c r="S1269"/>
      <c r="T1269"/>
      <c r="U1269"/>
      <c r="V1269"/>
      <c r="W1269"/>
      <c r="X1269"/>
      <c r="Y1269"/>
      <c r="Z1269"/>
      <c r="AA1269"/>
    </row>
    <row r="1270" spans="1:27" s="1" customFormat="1" x14ac:dyDescent="0.3">
      <c r="A1270"/>
      <c r="B1270"/>
      <c r="C1270"/>
      <c r="D1270"/>
      <c r="E1270"/>
      <c r="F1270"/>
      <c r="G1270"/>
      <c r="H1270"/>
      <c r="I1270"/>
      <c r="J1270"/>
      <c r="K1270"/>
      <c r="L1270"/>
      <c r="M1270"/>
      <c r="N1270"/>
      <c r="O1270"/>
      <c r="P1270"/>
      <c r="Q1270"/>
      <c r="R1270"/>
      <c r="S1270"/>
      <c r="T1270"/>
      <c r="U1270"/>
      <c r="V1270"/>
      <c r="W1270"/>
      <c r="X1270"/>
      <c r="Y1270"/>
      <c r="Z1270"/>
      <c r="AA1270"/>
    </row>
    <row r="1271" spans="1:27" s="1" customFormat="1" x14ac:dyDescent="0.3">
      <c r="A1271"/>
      <c r="B1271"/>
      <c r="C1271"/>
      <c r="D1271"/>
      <c r="E1271"/>
      <c r="F1271"/>
      <c r="G1271"/>
      <c r="H1271"/>
      <c r="I1271"/>
      <c r="J1271"/>
      <c r="K1271"/>
      <c r="L1271"/>
      <c r="M1271"/>
      <c r="N1271"/>
      <c r="O1271"/>
      <c r="P1271"/>
      <c r="Q1271"/>
      <c r="R1271"/>
      <c r="S1271"/>
      <c r="T1271"/>
      <c r="U1271"/>
      <c r="V1271"/>
      <c r="W1271"/>
      <c r="X1271"/>
      <c r="Y1271"/>
      <c r="Z1271"/>
      <c r="AA1271"/>
    </row>
    <row r="1272" spans="1:27" s="1" customFormat="1" x14ac:dyDescent="0.3">
      <c r="A1272"/>
      <c r="B1272"/>
      <c r="C1272"/>
      <c r="D1272"/>
      <c r="E1272"/>
      <c r="F1272"/>
      <c r="G1272"/>
      <c r="H1272"/>
      <c r="I1272"/>
      <c r="J1272"/>
      <c r="K1272"/>
      <c r="L1272"/>
      <c r="M1272"/>
      <c r="N1272"/>
      <c r="O1272"/>
      <c r="P1272"/>
      <c r="Q1272"/>
      <c r="R1272"/>
      <c r="S1272"/>
      <c r="T1272"/>
      <c r="U1272"/>
      <c r="V1272"/>
      <c r="W1272"/>
      <c r="X1272"/>
      <c r="Y1272"/>
      <c r="Z1272"/>
      <c r="AA1272"/>
    </row>
    <row r="1273" spans="1:27" s="1" customFormat="1" x14ac:dyDescent="0.3">
      <c r="A1273"/>
      <c r="B1273"/>
      <c r="C1273"/>
      <c r="D1273"/>
      <c r="E1273"/>
      <c r="F1273"/>
      <c r="G1273"/>
      <c r="H1273"/>
      <c r="I1273"/>
      <c r="J1273"/>
      <c r="K1273"/>
      <c r="L1273"/>
      <c r="M1273"/>
      <c r="N1273"/>
      <c r="O1273"/>
      <c r="P1273"/>
      <c r="Q1273"/>
      <c r="R1273"/>
      <c r="S1273"/>
      <c r="T1273"/>
      <c r="U1273"/>
      <c r="V1273"/>
      <c r="W1273"/>
      <c r="X1273"/>
      <c r="Y1273"/>
      <c r="Z1273"/>
      <c r="AA1273"/>
    </row>
    <row r="1274" spans="1:27" s="1" customFormat="1" x14ac:dyDescent="0.3">
      <c r="A1274"/>
      <c r="B1274"/>
      <c r="C1274"/>
      <c r="D1274"/>
      <c r="E1274"/>
      <c r="F1274"/>
      <c r="G1274"/>
      <c r="H1274"/>
      <c r="I1274"/>
      <c r="J1274"/>
      <c r="K1274"/>
      <c r="L1274"/>
      <c r="M1274"/>
      <c r="N1274"/>
      <c r="O1274"/>
      <c r="P1274"/>
      <c r="Q1274"/>
      <c r="R1274"/>
      <c r="S1274"/>
      <c r="T1274"/>
      <c r="U1274"/>
      <c r="V1274"/>
      <c r="W1274"/>
      <c r="X1274"/>
      <c r="Y1274"/>
      <c r="Z1274"/>
      <c r="AA1274"/>
    </row>
    <row r="1275" spans="1:27" s="1" customFormat="1" x14ac:dyDescent="0.3">
      <c r="A1275"/>
      <c r="B1275"/>
      <c r="C1275"/>
      <c r="D1275"/>
      <c r="E1275"/>
      <c r="F1275"/>
      <c r="G1275"/>
      <c r="H1275"/>
      <c r="I1275"/>
      <c r="J1275"/>
      <c r="K1275"/>
      <c r="L1275"/>
      <c r="M1275"/>
      <c r="N1275"/>
      <c r="O1275"/>
      <c r="P1275"/>
      <c r="Q1275"/>
      <c r="R1275"/>
      <c r="S1275"/>
      <c r="T1275"/>
      <c r="U1275"/>
      <c r="V1275"/>
      <c r="W1275"/>
      <c r="X1275"/>
      <c r="Y1275"/>
      <c r="Z1275"/>
      <c r="AA1275"/>
    </row>
    <row r="1276" spans="1:27" s="1" customFormat="1" x14ac:dyDescent="0.3">
      <c r="A1276"/>
      <c r="B1276"/>
      <c r="C1276"/>
      <c r="D1276"/>
      <c r="E1276"/>
      <c r="F1276"/>
      <c r="G1276"/>
      <c r="H1276"/>
      <c r="I1276"/>
      <c r="J1276"/>
      <c r="K1276"/>
      <c r="L1276"/>
      <c r="M1276"/>
      <c r="N1276"/>
      <c r="O1276"/>
      <c r="P1276"/>
      <c r="Q1276"/>
      <c r="R1276"/>
      <c r="S1276"/>
      <c r="T1276"/>
      <c r="U1276"/>
      <c r="V1276"/>
      <c r="W1276"/>
      <c r="X1276"/>
      <c r="Y1276"/>
      <c r="Z1276"/>
      <c r="AA1276"/>
    </row>
    <row r="1277" spans="1:27" s="1" customFormat="1" x14ac:dyDescent="0.3">
      <c r="A1277"/>
      <c r="B1277"/>
      <c r="C1277"/>
      <c r="D1277"/>
      <c r="E1277"/>
      <c r="F1277"/>
      <c r="G1277"/>
      <c r="H1277"/>
      <c r="I1277"/>
      <c r="J1277"/>
      <c r="K1277"/>
      <c r="L1277"/>
      <c r="M1277"/>
      <c r="N1277"/>
      <c r="O1277"/>
      <c r="P1277"/>
      <c r="Q1277"/>
      <c r="R1277"/>
      <c r="S1277"/>
      <c r="T1277"/>
      <c r="U1277"/>
      <c r="V1277"/>
      <c r="W1277"/>
      <c r="X1277"/>
      <c r="Y1277"/>
      <c r="Z1277"/>
      <c r="AA1277"/>
    </row>
    <row r="1278" spans="1:27" s="1" customFormat="1" x14ac:dyDescent="0.3">
      <c r="A1278"/>
      <c r="B1278"/>
      <c r="C1278"/>
      <c r="D1278"/>
      <c r="E1278"/>
      <c r="F1278"/>
      <c r="G1278"/>
      <c r="H1278"/>
      <c r="I1278"/>
      <c r="J1278"/>
      <c r="K1278"/>
      <c r="L1278"/>
      <c r="M1278"/>
      <c r="N1278"/>
      <c r="O1278"/>
      <c r="P1278"/>
      <c r="Q1278"/>
      <c r="R1278"/>
      <c r="S1278"/>
      <c r="T1278"/>
      <c r="U1278"/>
      <c r="V1278"/>
      <c r="W1278"/>
      <c r="X1278"/>
      <c r="Y1278"/>
      <c r="Z1278"/>
      <c r="AA1278"/>
    </row>
    <row r="1279" spans="1:27" s="1" customFormat="1" x14ac:dyDescent="0.3">
      <c r="A1279"/>
      <c r="B1279"/>
      <c r="C1279"/>
      <c r="D1279"/>
      <c r="E1279"/>
      <c r="F1279"/>
      <c r="G1279"/>
      <c r="H1279"/>
      <c r="I1279"/>
      <c r="J1279"/>
      <c r="K1279"/>
      <c r="L1279"/>
      <c r="M1279"/>
      <c r="N1279"/>
      <c r="O1279"/>
      <c r="P1279"/>
      <c r="Q1279"/>
      <c r="R1279"/>
      <c r="S1279"/>
      <c r="T1279"/>
      <c r="U1279"/>
      <c r="V1279"/>
      <c r="W1279"/>
      <c r="X1279"/>
      <c r="Y1279"/>
      <c r="Z1279"/>
      <c r="AA1279"/>
    </row>
    <row r="1280" spans="1:27" s="1" customFormat="1" x14ac:dyDescent="0.3">
      <c r="A1280"/>
      <c r="B1280"/>
      <c r="C1280"/>
      <c r="D1280"/>
      <c r="E1280"/>
      <c r="F1280"/>
      <c r="G1280"/>
      <c r="H1280"/>
      <c r="I1280"/>
      <c r="J1280"/>
      <c r="K1280"/>
      <c r="L1280"/>
      <c r="M1280"/>
      <c r="N1280"/>
      <c r="O1280"/>
      <c r="P1280"/>
      <c r="Q1280"/>
      <c r="R1280"/>
      <c r="S1280"/>
      <c r="T1280"/>
      <c r="U1280"/>
      <c r="V1280"/>
      <c r="W1280"/>
      <c r="X1280"/>
      <c r="Y1280"/>
      <c r="Z1280"/>
      <c r="AA1280"/>
    </row>
    <row r="1281" spans="1:27" s="1" customFormat="1" x14ac:dyDescent="0.3">
      <c r="A1281"/>
      <c r="B1281"/>
      <c r="C1281"/>
      <c r="D1281"/>
      <c r="E1281"/>
      <c r="F1281"/>
      <c r="G1281"/>
      <c r="H1281"/>
      <c r="I1281"/>
      <c r="J1281"/>
      <c r="K1281"/>
      <c r="L1281"/>
      <c r="M1281"/>
      <c r="N1281"/>
      <c r="O1281"/>
      <c r="P1281"/>
      <c r="Q1281"/>
      <c r="R1281"/>
      <c r="S1281"/>
      <c r="T1281"/>
      <c r="U1281"/>
      <c r="V1281"/>
      <c r="W1281"/>
      <c r="X1281"/>
      <c r="Y1281"/>
      <c r="Z1281"/>
      <c r="AA1281"/>
    </row>
    <row r="1282" spans="1:27" s="1" customFormat="1" x14ac:dyDescent="0.3">
      <c r="A1282"/>
      <c r="B1282"/>
      <c r="C1282"/>
      <c r="D1282"/>
      <c r="E1282"/>
      <c r="F1282"/>
      <c r="G1282"/>
      <c r="H1282"/>
      <c r="I1282"/>
      <c r="J1282"/>
      <c r="K1282"/>
      <c r="L1282"/>
      <c r="M1282"/>
      <c r="N1282"/>
      <c r="O1282"/>
      <c r="P1282"/>
      <c r="Q1282"/>
      <c r="R1282"/>
      <c r="S1282"/>
      <c r="T1282"/>
      <c r="U1282"/>
      <c r="V1282"/>
      <c r="W1282"/>
      <c r="X1282"/>
      <c r="Y1282"/>
      <c r="Z1282"/>
      <c r="AA1282"/>
    </row>
    <row r="1283" spans="1:27" s="1" customFormat="1" x14ac:dyDescent="0.3">
      <c r="A1283"/>
      <c r="B1283"/>
      <c r="C1283"/>
      <c r="D1283"/>
      <c r="E1283"/>
      <c r="F1283"/>
      <c r="G1283"/>
      <c r="H1283"/>
      <c r="I1283"/>
      <c r="J1283"/>
      <c r="K1283"/>
      <c r="L1283"/>
      <c r="M1283"/>
      <c r="N1283"/>
      <c r="O1283"/>
      <c r="P1283"/>
      <c r="Q1283"/>
      <c r="R1283"/>
      <c r="S1283"/>
      <c r="T1283"/>
      <c r="U1283"/>
      <c r="V1283"/>
      <c r="W1283"/>
      <c r="X1283"/>
      <c r="Y1283"/>
      <c r="Z1283"/>
      <c r="AA1283"/>
    </row>
    <row r="1284" spans="1:27" s="1" customFormat="1" x14ac:dyDescent="0.3">
      <c r="A1284"/>
      <c r="B1284"/>
      <c r="C1284"/>
      <c r="D1284"/>
      <c r="E1284"/>
      <c r="F1284"/>
      <c r="G1284"/>
      <c r="H1284"/>
      <c r="I1284"/>
      <c r="J1284"/>
      <c r="K1284"/>
      <c r="L1284"/>
      <c r="M1284"/>
      <c r="N1284"/>
      <c r="O1284"/>
      <c r="P1284"/>
      <c r="Q1284"/>
      <c r="R1284"/>
      <c r="S1284"/>
      <c r="T1284"/>
      <c r="U1284"/>
      <c r="V1284"/>
      <c r="W1284"/>
      <c r="X1284"/>
      <c r="Y1284"/>
      <c r="Z1284"/>
      <c r="AA1284"/>
    </row>
    <row r="1285" spans="1:27" s="1" customFormat="1" x14ac:dyDescent="0.3">
      <c r="A1285"/>
      <c r="B1285"/>
      <c r="C1285"/>
      <c r="D1285"/>
      <c r="E1285"/>
      <c r="F1285"/>
      <c r="G1285"/>
      <c r="H1285"/>
      <c r="I1285"/>
      <c r="J1285"/>
      <c r="K1285"/>
      <c r="L1285"/>
      <c r="M1285"/>
      <c r="N1285"/>
      <c r="O1285"/>
      <c r="P1285"/>
      <c r="Q1285"/>
      <c r="R1285"/>
      <c r="S1285"/>
      <c r="T1285"/>
      <c r="U1285"/>
      <c r="V1285"/>
      <c r="W1285"/>
      <c r="X1285"/>
      <c r="Y1285"/>
      <c r="Z1285"/>
      <c r="AA1285"/>
    </row>
    <row r="1286" spans="1:27" s="1" customFormat="1" x14ac:dyDescent="0.3">
      <c r="A1286"/>
      <c r="B1286"/>
      <c r="C1286"/>
      <c r="D1286"/>
      <c r="E1286"/>
      <c r="F1286"/>
      <c r="G1286"/>
      <c r="H1286"/>
      <c r="I1286"/>
      <c r="J1286"/>
      <c r="K1286"/>
      <c r="L1286"/>
      <c r="M1286"/>
      <c r="N1286"/>
      <c r="O1286"/>
      <c r="P1286"/>
      <c r="Q1286"/>
      <c r="R1286"/>
      <c r="S1286"/>
      <c r="T1286"/>
      <c r="U1286"/>
      <c r="V1286"/>
      <c r="W1286"/>
      <c r="X1286"/>
      <c r="Y1286"/>
      <c r="Z1286"/>
      <c r="AA1286"/>
    </row>
    <row r="1287" spans="1:27" s="1" customFormat="1" x14ac:dyDescent="0.3">
      <c r="A1287"/>
      <c r="B1287"/>
      <c r="C1287"/>
      <c r="D1287"/>
      <c r="E1287"/>
      <c r="F1287"/>
      <c r="G1287"/>
      <c r="H1287"/>
      <c r="I1287"/>
      <c r="J1287"/>
      <c r="K1287"/>
      <c r="L1287"/>
      <c r="M1287"/>
      <c r="N1287"/>
      <c r="O1287"/>
      <c r="P1287"/>
      <c r="Q1287"/>
      <c r="R1287"/>
      <c r="S1287"/>
      <c r="T1287"/>
      <c r="U1287"/>
      <c r="V1287"/>
      <c r="W1287"/>
      <c r="X1287"/>
      <c r="Y1287"/>
      <c r="Z1287"/>
      <c r="AA1287"/>
    </row>
    <row r="1288" spans="1:27" s="1" customFormat="1" x14ac:dyDescent="0.3">
      <c r="A1288"/>
      <c r="B1288"/>
      <c r="C1288"/>
      <c r="D1288"/>
      <c r="E1288"/>
      <c r="F1288"/>
      <c r="G1288"/>
      <c r="H1288"/>
      <c r="I1288"/>
      <c r="J1288"/>
      <c r="K1288"/>
      <c r="L1288"/>
      <c r="M1288"/>
      <c r="N1288"/>
      <c r="O1288"/>
      <c r="P1288"/>
      <c r="Q1288"/>
      <c r="R1288"/>
      <c r="S1288"/>
      <c r="T1288"/>
      <c r="U1288"/>
      <c r="V1288"/>
      <c r="W1288"/>
      <c r="X1288"/>
      <c r="Y1288"/>
      <c r="Z1288"/>
      <c r="AA1288"/>
    </row>
    <row r="1289" spans="1:27" s="1" customFormat="1" x14ac:dyDescent="0.3">
      <c r="A1289"/>
      <c r="B1289"/>
      <c r="C1289"/>
      <c r="D1289"/>
      <c r="E1289"/>
      <c r="F1289"/>
      <c r="G1289"/>
      <c r="H1289"/>
      <c r="I1289"/>
      <c r="J1289"/>
      <c r="K1289"/>
      <c r="L1289"/>
      <c r="M1289"/>
      <c r="N1289"/>
      <c r="O1289"/>
      <c r="P1289"/>
      <c r="Q1289"/>
      <c r="R1289"/>
      <c r="S1289"/>
      <c r="T1289"/>
      <c r="U1289"/>
      <c r="V1289"/>
      <c r="W1289"/>
      <c r="X1289"/>
      <c r="Y1289"/>
      <c r="Z1289"/>
      <c r="AA1289"/>
    </row>
    <row r="1290" spans="1:27" s="1" customFormat="1" x14ac:dyDescent="0.3">
      <c r="A1290"/>
      <c r="B1290"/>
      <c r="C1290"/>
      <c r="D1290"/>
      <c r="E1290"/>
      <c r="F1290"/>
      <c r="G1290"/>
      <c r="H1290"/>
      <c r="I1290"/>
      <c r="J1290"/>
      <c r="K1290"/>
      <c r="L1290"/>
      <c r="M1290"/>
      <c r="N1290"/>
      <c r="O1290"/>
      <c r="P1290"/>
      <c r="Q1290"/>
      <c r="R1290"/>
      <c r="S1290"/>
      <c r="T1290"/>
      <c r="U1290"/>
      <c r="V1290"/>
      <c r="W1290"/>
      <c r="X1290"/>
      <c r="Y1290"/>
      <c r="Z1290"/>
      <c r="AA1290"/>
    </row>
    <row r="1291" spans="1:27" s="1" customFormat="1" x14ac:dyDescent="0.3">
      <c r="A1291"/>
      <c r="B1291"/>
      <c r="C1291"/>
      <c r="D1291"/>
      <c r="E1291"/>
      <c r="F1291"/>
      <c r="G1291"/>
      <c r="H1291"/>
      <c r="I1291"/>
      <c r="J1291"/>
      <c r="K1291"/>
      <c r="L1291"/>
      <c r="M1291"/>
      <c r="N1291"/>
      <c r="O1291"/>
      <c r="P1291"/>
      <c r="Q1291"/>
      <c r="R1291"/>
      <c r="S1291"/>
      <c r="T1291"/>
      <c r="U1291"/>
      <c r="V1291"/>
      <c r="W1291"/>
      <c r="X1291"/>
      <c r="Y1291"/>
      <c r="Z1291"/>
      <c r="AA1291"/>
    </row>
    <row r="1292" spans="1:27" s="1" customFormat="1" x14ac:dyDescent="0.3">
      <c r="A1292"/>
      <c r="B1292"/>
      <c r="C1292"/>
      <c r="D1292"/>
      <c r="E1292"/>
      <c r="F1292"/>
      <c r="G1292"/>
      <c r="H1292"/>
      <c r="I1292"/>
      <c r="J1292"/>
      <c r="K1292"/>
      <c r="L1292"/>
      <c r="M1292"/>
      <c r="N1292"/>
      <c r="O1292"/>
      <c r="P1292"/>
      <c r="Q1292"/>
      <c r="R1292"/>
      <c r="S1292"/>
      <c r="T1292"/>
      <c r="U1292"/>
      <c r="V1292"/>
      <c r="W1292"/>
      <c r="X1292"/>
      <c r="Y1292"/>
      <c r="Z1292"/>
      <c r="AA1292"/>
    </row>
    <row r="1293" spans="1:27" s="1" customFormat="1" x14ac:dyDescent="0.3">
      <c r="A1293"/>
      <c r="B1293"/>
      <c r="C1293"/>
      <c r="D1293"/>
      <c r="E1293"/>
      <c r="F1293"/>
      <c r="G1293"/>
      <c r="H1293"/>
      <c r="I1293"/>
      <c r="J1293"/>
      <c r="K1293"/>
      <c r="L1293"/>
      <c r="M1293"/>
      <c r="N1293"/>
      <c r="O1293"/>
      <c r="P1293"/>
      <c r="Q1293"/>
      <c r="R1293"/>
      <c r="S1293"/>
      <c r="T1293"/>
      <c r="U1293"/>
      <c r="V1293"/>
      <c r="W1293"/>
      <c r="X1293"/>
      <c r="Y1293"/>
      <c r="Z1293"/>
      <c r="AA1293"/>
    </row>
    <row r="1294" spans="1:27" s="1" customFormat="1" x14ac:dyDescent="0.3">
      <c r="A1294"/>
      <c r="B1294"/>
      <c r="C1294"/>
      <c r="D1294"/>
      <c r="E1294"/>
      <c r="F1294"/>
      <c r="G1294"/>
      <c r="H1294"/>
      <c r="I1294"/>
      <c r="J1294"/>
      <c r="K1294"/>
      <c r="L1294"/>
      <c r="M1294"/>
      <c r="N1294"/>
      <c r="O1294"/>
      <c r="P1294"/>
      <c r="Q1294"/>
      <c r="R1294"/>
      <c r="S1294"/>
      <c r="T1294"/>
      <c r="U1294"/>
      <c r="V1294"/>
      <c r="W1294"/>
      <c r="X1294"/>
      <c r="Y1294"/>
      <c r="Z1294"/>
      <c r="AA1294"/>
    </row>
    <row r="1295" spans="1:27" s="1" customFormat="1" x14ac:dyDescent="0.3">
      <c r="A1295"/>
      <c r="B1295"/>
      <c r="C1295"/>
      <c r="D1295"/>
      <c r="E1295"/>
      <c r="F1295"/>
      <c r="G1295"/>
      <c r="H1295"/>
      <c r="I1295"/>
      <c r="J1295"/>
      <c r="K1295"/>
      <c r="L1295"/>
      <c r="M1295"/>
      <c r="N1295"/>
      <c r="O1295"/>
      <c r="P1295"/>
      <c r="Q1295"/>
      <c r="R1295"/>
      <c r="S1295"/>
      <c r="T1295"/>
      <c r="U1295"/>
      <c r="V1295"/>
      <c r="W1295"/>
      <c r="X1295"/>
      <c r="Y1295"/>
      <c r="Z1295"/>
      <c r="AA1295"/>
    </row>
    <row r="1296" spans="1:27" s="1" customFormat="1" x14ac:dyDescent="0.3">
      <c r="A1296"/>
      <c r="B1296"/>
      <c r="C1296"/>
      <c r="D1296"/>
      <c r="E1296"/>
      <c r="F1296"/>
      <c r="G1296"/>
      <c r="H1296"/>
      <c r="I1296"/>
      <c r="J1296"/>
      <c r="K1296"/>
      <c r="L1296"/>
      <c r="M1296"/>
      <c r="N1296"/>
      <c r="O1296"/>
      <c r="P1296"/>
      <c r="Q1296"/>
      <c r="R1296"/>
      <c r="S1296"/>
      <c r="T1296"/>
      <c r="U1296"/>
      <c r="V1296"/>
      <c r="W1296"/>
      <c r="X1296"/>
      <c r="Y1296"/>
      <c r="Z1296"/>
      <c r="AA1296"/>
    </row>
    <row r="1297" spans="1:27" s="1" customFormat="1" x14ac:dyDescent="0.3">
      <c r="A1297"/>
      <c r="B1297"/>
      <c r="C1297"/>
      <c r="D1297"/>
      <c r="E1297"/>
      <c r="F1297"/>
      <c r="G1297"/>
      <c r="H1297"/>
      <c r="I1297"/>
      <c r="J1297"/>
      <c r="K1297"/>
      <c r="L1297"/>
      <c r="M1297"/>
      <c r="N1297"/>
      <c r="O1297"/>
      <c r="P1297"/>
      <c r="Q1297"/>
      <c r="R1297"/>
      <c r="S1297"/>
      <c r="T1297"/>
      <c r="U1297"/>
      <c r="V1297"/>
      <c r="W1297"/>
      <c r="X1297"/>
      <c r="Y1297"/>
      <c r="Z1297"/>
      <c r="AA1297"/>
    </row>
    <row r="1298" spans="1:27" s="1" customFormat="1" x14ac:dyDescent="0.3">
      <c r="A1298"/>
      <c r="B1298"/>
      <c r="C1298"/>
      <c r="D1298"/>
      <c r="E1298"/>
      <c r="F1298"/>
      <c r="G1298"/>
      <c r="H1298"/>
      <c r="I1298"/>
      <c r="J1298"/>
      <c r="K1298"/>
      <c r="L1298"/>
      <c r="M1298"/>
      <c r="N1298"/>
      <c r="O1298"/>
      <c r="P1298"/>
      <c r="Q1298"/>
      <c r="R1298"/>
      <c r="S1298"/>
      <c r="T1298"/>
      <c r="U1298"/>
      <c r="V1298"/>
      <c r="W1298"/>
      <c r="X1298"/>
      <c r="Y1298"/>
      <c r="Z1298"/>
      <c r="AA1298"/>
    </row>
    <row r="1299" spans="1:27" s="1" customFormat="1" x14ac:dyDescent="0.3">
      <c r="A1299"/>
      <c r="B1299"/>
      <c r="C1299"/>
      <c r="D1299"/>
      <c r="E1299"/>
      <c r="F1299"/>
      <c r="G1299"/>
      <c r="H1299"/>
      <c r="I1299"/>
      <c r="J1299"/>
      <c r="K1299"/>
      <c r="L1299"/>
      <c r="M1299"/>
      <c r="N1299"/>
      <c r="O1299"/>
      <c r="P1299"/>
      <c r="Q1299"/>
      <c r="R1299"/>
      <c r="S1299"/>
      <c r="T1299"/>
      <c r="U1299"/>
      <c r="V1299"/>
      <c r="W1299"/>
      <c r="X1299"/>
      <c r="Y1299"/>
      <c r="Z1299"/>
      <c r="AA1299"/>
    </row>
    <row r="1300" spans="1:27" s="1" customFormat="1" x14ac:dyDescent="0.3">
      <c r="A1300"/>
      <c r="B1300"/>
      <c r="C1300"/>
      <c r="D1300"/>
      <c r="E1300"/>
      <c r="F1300"/>
      <c r="G1300"/>
      <c r="H1300"/>
      <c r="I1300"/>
      <c r="J1300"/>
      <c r="K1300"/>
      <c r="L1300"/>
      <c r="M1300"/>
      <c r="N1300"/>
      <c r="O1300"/>
      <c r="P1300"/>
      <c r="Q1300"/>
      <c r="R1300"/>
      <c r="S1300"/>
      <c r="T1300"/>
      <c r="U1300"/>
      <c r="V1300"/>
      <c r="W1300"/>
      <c r="X1300"/>
      <c r="Y1300"/>
      <c r="Z1300"/>
      <c r="AA1300"/>
    </row>
    <row r="1301" spans="1:27" s="1" customFormat="1" x14ac:dyDescent="0.3">
      <c r="A1301"/>
      <c r="B1301"/>
      <c r="C1301"/>
      <c r="D1301"/>
      <c r="E1301"/>
      <c r="F1301"/>
      <c r="G1301"/>
      <c r="H1301"/>
      <c r="I1301"/>
      <c r="J1301"/>
      <c r="K1301"/>
      <c r="L1301"/>
      <c r="M1301"/>
      <c r="N1301"/>
      <c r="O1301"/>
      <c r="P1301"/>
      <c r="Q1301"/>
      <c r="R1301"/>
      <c r="S1301"/>
      <c r="T1301"/>
      <c r="U1301"/>
      <c r="V1301"/>
      <c r="W1301"/>
      <c r="X1301"/>
      <c r="Y1301"/>
      <c r="Z1301"/>
      <c r="AA1301"/>
    </row>
    <row r="1302" spans="1:27" s="1" customFormat="1" x14ac:dyDescent="0.3">
      <c r="A1302"/>
      <c r="B1302"/>
      <c r="C1302"/>
      <c r="D1302"/>
      <c r="E1302"/>
      <c r="F1302"/>
      <c r="G1302"/>
      <c r="H1302"/>
      <c r="I1302"/>
      <c r="J1302"/>
      <c r="K1302"/>
      <c r="L1302"/>
      <c r="M1302"/>
      <c r="N1302"/>
      <c r="O1302"/>
      <c r="P1302"/>
      <c r="Q1302"/>
      <c r="R1302"/>
      <c r="S1302"/>
      <c r="T1302"/>
      <c r="U1302"/>
      <c r="V1302"/>
      <c r="W1302"/>
      <c r="X1302"/>
      <c r="Y1302"/>
      <c r="Z1302"/>
      <c r="AA1302"/>
    </row>
    <row r="1303" spans="1:27" s="1" customFormat="1" x14ac:dyDescent="0.3">
      <c r="A1303"/>
      <c r="B1303"/>
      <c r="C1303"/>
      <c r="D1303"/>
      <c r="E1303"/>
      <c r="F1303"/>
      <c r="G1303"/>
      <c r="H1303"/>
      <c r="I1303"/>
      <c r="J1303"/>
      <c r="K1303"/>
      <c r="L1303"/>
      <c r="M1303"/>
      <c r="N1303"/>
      <c r="O1303"/>
      <c r="P1303"/>
      <c r="Q1303"/>
      <c r="R1303"/>
      <c r="S1303"/>
      <c r="T1303"/>
      <c r="U1303"/>
      <c r="V1303"/>
      <c r="W1303"/>
      <c r="X1303"/>
      <c r="Y1303"/>
      <c r="Z1303"/>
      <c r="AA1303"/>
    </row>
    <row r="1304" spans="1:27" s="1" customFormat="1" x14ac:dyDescent="0.3">
      <c r="A1304"/>
      <c r="B1304"/>
      <c r="C1304"/>
      <c r="D1304"/>
      <c r="E1304"/>
      <c r="F1304"/>
      <c r="G1304"/>
      <c r="H1304"/>
      <c r="I1304"/>
      <c r="J1304"/>
      <c r="K1304"/>
      <c r="L1304"/>
      <c r="M1304"/>
      <c r="N1304"/>
      <c r="O1304"/>
      <c r="P1304"/>
      <c r="Q1304"/>
      <c r="R1304"/>
      <c r="S1304"/>
      <c r="T1304"/>
      <c r="U1304"/>
      <c r="V1304"/>
      <c r="W1304"/>
      <c r="X1304"/>
      <c r="Y1304"/>
      <c r="Z1304"/>
      <c r="AA1304"/>
    </row>
    <row r="1305" spans="1:27" s="1" customFormat="1" x14ac:dyDescent="0.3">
      <c r="A1305"/>
      <c r="B1305"/>
      <c r="C1305"/>
      <c r="D1305"/>
      <c r="E1305"/>
      <c r="F1305"/>
      <c r="G1305"/>
      <c r="H1305"/>
      <c r="I1305"/>
      <c r="J1305"/>
      <c r="K1305"/>
      <c r="L1305"/>
      <c r="M1305"/>
      <c r="N1305"/>
      <c r="O1305"/>
      <c r="P1305"/>
      <c r="Q1305"/>
      <c r="R1305"/>
      <c r="S1305"/>
      <c r="T1305"/>
      <c r="U1305"/>
      <c r="V1305"/>
      <c r="W1305"/>
      <c r="X1305"/>
      <c r="Y1305"/>
      <c r="Z1305"/>
      <c r="AA1305"/>
    </row>
    <row r="1306" spans="1:27" s="1" customFormat="1" x14ac:dyDescent="0.3">
      <c r="A1306"/>
      <c r="B1306"/>
      <c r="C1306"/>
      <c r="D1306"/>
      <c r="E1306"/>
      <c r="F1306"/>
      <c r="G1306"/>
      <c r="H1306"/>
      <c r="I1306"/>
      <c r="J1306"/>
      <c r="K1306"/>
      <c r="L1306"/>
      <c r="M1306"/>
      <c r="N1306"/>
      <c r="O1306"/>
      <c r="P1306"/>
      <c r="Q1306"/>
      <c r="R1306"/>
      <c r="S1306"/>
      <c r="T1306"/>
      <c r="U1306"/>
      <c r="V1306"/>
      <c r="W1306"/>
      <c r="X1306"/>
      <c r="Y1306"/>
      <c r="Z1306"/>
      <c r="AA1306"/>
    </row>
    <row r="1307" spans="1:27" s="1" customFormat="1" x14ac:dyDescent="0.3">
      <c r="A1307"/>
      <c r="B1307"/>
      <c r="C1307"/>
      <c r="D1307"/>
      <c r="E1307"/>
      <c r="F1307"/>
      <c r="G1307"/>
      <c r="H1307"/>
      <c r="I1307"/>
      <c r="J1307"/>
      <c r="K1307"/>
      <c r="L1307"/>
      <c r="M1307"/>
      <c r="N1307"/>
      <c r="O1307"/>
      <c r="P1307"/>
      <c r="Q1307"/>
      <c r="R1307"/>
      <c r="S1307"/>
      <c r="T1307"/>
      <c r="U1307"/>
      <c r="V1307"/>
      <c r="W1307"/>
      <c r="X1307"/>
      <c r="Y1307"/>
      <c r="Z1307"/>
      <c r="AA1307"/>
    </row>
    <row r="1308" spans="1:27" s="1" customFormat="1" x14ac:dyDescent="0.3">
      <c r="A1308"/>
      <c r="B1308"/>
      <c r="C1308"/>
      <c r="D1308"/>
      <c r="E1308"/>
      <c r="F1308"/>
      <c r="G1308"/>
      <c r="H1308"/>
      <c r="I1308"/>
      <c r="J1308"/>
      <c r="K1308"/>
      <c r="L1308"/>
      <c r="M1308"/>
      <c r="N1308"/>
      <c r="O1308"/>
      <c r="P1308"/>
      <c r="Q1308"/>
      <c r="R1308"/>
      <c r="S1308"/>
      <c r="T1308"/>
      <c r="U1308"/>
      <c r="V1308"/>
      <c r="W1308"/>
      <c r="X1308"/>
      <c r="Y1308"/>
      <c r="Z1308"/>
      <c r="AA1308"/>
    </row>
    <row r="1309" spans="1:27" s="1" customFormat="1" x14ac:dyDescent="0.3">
      <c r="A1309"/>
      <c r="B1309"/>
      <c r="C1309"/>
      <c r="D1309"/>
      <c r="E1309"/>
      <c r="F1309"/>
      <c r="G1309"/>
      <c r="H1309"/>
      <c r="I1309"/>
      <c r="J1309"/>
      <c r="K1309"/>
      <c r="L1309"/>
      <c r="M1309"/>
      <c r="N1309"/>
      <c r="O1309"/>
      <c r="P1309"/>
      <c r="Q1309"/>
      <c r="R1309"/>
      <c r="S1309"/>
      <c r="T1309"/>
      <c r="U1309"/>
      <c r="V1309"/>
      <c r="W1309"/>
      <c r="X1309"/>
      <c r="Y1309"/>
      <c r="Z1309"/>
      <c r="AA1309"/>
    </row>
    <row r="1310" spans="1:27" s="1" customFormat="1" x14ac:dyDescent="0.3">
      <c r="A1310"/>
      <c r="B1310"/>
      <c r="C1310"/>
      <c r="D1310"/>
      <c r="E1310"/>
      <c r="F1310"/>
      <c r="G1310"/>
      <c r="H1310"/>
      <c r="I1310"/>
      <c r="J1310"/>
      <c r="K1310"/>
      <c r="L1310"/>
      <c r="M1310"/>
      <c r="N1310"/>
      <c r="O1310"/>
      <c r="P1310"/>
      <c r="Q1310"/>
      <c r="R1310"/>
      <c r="S1310"/>
      <c r="T1310"/>
      <c r="U1310"/>
      <c r="V1310"/>
      <c r="W1310"/>
      <c r="X1310"/>
      <c r="Y1310"/>
      <c r="Z1310"/>
      <c r="AA1310"/>
    </row>
    <row r="1311" spans="1:27" s="1" customFormat="1" x14ac:dyDescent="0.3">
      <c r="A1311"/>
      <c r="B1311"/>
      <c r="C1311"/>
      <c r="D1311"/>
      <c r="E1311"/>
      <c r="F1311"/>
      <c r="G1311"/>
      <c r="H1311"/>
      <c r="I1311"/>
      <c r="J1311"/>
      <c r="K1311"/>
      <c r="L1311"/>
      <c r="M1311"/>
      <c r="N1311"/>
      <c r="O1311"/>
      <c r="P1311"/>
      <c r="Q1311"/>
      <c r="R1311"/>
      <c r="S1311"/>
      <c r="T1311"/>
      <c r="U1311"/>
      <c r="V1311"/>
      <c r="W1311"/>
      <c r="X1311"/>
      <c r="Y1311"/>
      <c r="Z1311"/>
      <c r="AA1311"/>
    </row>
    <row r="1312" spans="1:27" s="1" customFormat="1" x14ac:dyDescent="0.3">
      <c r="A1312"/>
      <c r="B1312"/>
      <c r="C1312"/>
      <c r="D1312"/>
      <c r="E1312"/>
      <c r="F1312"/>
      <c r="G1312"/>
      <c r="H1312"/>
      <c r="I1312"/>
      <c r="J1312"/>
      <c r="K1312"/>
      <c r="L1312"/>
      <c r="M1312"/>
      <c r="N1312"/>
      <c r="O1312"/>
      <c r="P1312"/>
      <c r="Q1312"/>
      <c r="R1312"/>
      <c r="S1312"/>
      <c r="T1312"/>
      <c r="U1312"/>
      <c r="V1312"/>
      <c r="W1312"/>
      <c r="X1312"/>
      <c r="Y1312"/>
      <c r="Z1312"/>
      <c r="AA1312"/>
    </row>
    <row r="1313" spans="1:27" s="1" customFormat="1" x14ac:dyDescent="0.3">
      <c r="A1313"/>
      <c r="B1313"/>
      <c r="C1313"/>
      <c r="D1313"/>
      <c r="E1313"/>
      <c r="F1313"/>
      <c r="G1313"/>
      <c r="H1313"/>
      <c r="I1313"/>
      <c r="J1313"/>
      <c r="K1313"/>
      <c r="L1313"/>
      <c r="M1313"/>
      <c r="N1313"/>
      <c r="O1313"/>
      <c r="P1313"/>
      <c r="Q1313"/>
      <c r="R1313"/>
      <c r="S1313"/>
      <c r="T1313"/>
      <c r="U1313"/>
      <c r="V1313"/>
      <c r="W1313"/>
      <c r="X1313"/>
      <c r="Y1313"/>
      <c r="Z1313"/>
      <c r="AA1313"/>
    </row>
    <row r="1314" spans="1:27" s="1" customFormat="1" x14ac:dyDescent="0.3">
      <c r="A1314"/>
      <c r="B1314"/>
      <c r="C1314"/>
      <c r="D1314"/>
      <c r="E1314"/>
      <c r="F1314"/>
      <c r="G1314"/>
      <c r="H1314"/>
      <c r="I1314"/>
      <c r="J1314"/>
      <c r="K1314"/>
      <c r="L1314"/>
      <c r="M1314"/>
      <c r="N1314"/>
      <c r="O1314"/>
      <c r="P1314"/>
      <c r="Q1314"/>
      <c r="R1314"/>
      <c r="S1314"/>
      <c r="T1314"/>
      <c r="U1314"/>
      <c r="V1314"/>
      <c r="W1314"/>
      <c r="X1314"/>
      <c r="Y1314"/>
      <c r="Z1314"/>
      <c r="AA1314"/>
    </row>
    <row r="1315" spans="1:27" s="1" customFormat="1" x14ac:dyDescent="0.3">
      <c r="A1315"/>
      <c r="B1315"/>
      <c r="C1315"/>
      <c r="D1315"/>
      <c r="E1315"/>
      <c r="F1315"/>
      <c r="G1315"/>
      <c r="H1315"/>
      <c r="I1315"/>
      <c r="J1315"/>
      <c r="K1315"/>
      <c r="L1315"/>
      <c r="M1315"/>
      <c r="N1315"/>
      <c r="O1315"/>
      <c r="P1315"/>
      <c r="Q1315"/>
      <c r="R1315"/>
      <c r="S1315"/>
      <c r="T1315"/>
      <c r="U1315"/>
      <c r="V1315"/>
      <c r="W1315"/>
      <c r="X1315"/>
      <c r="Y1315"/>
      <c r="Z1315"/>
      <c r="AA1315"/>
    </row>
    <row r="1316" spans="1:27" s="1" customFormat="1" x14ac:dyDescent="0.3">
      <c r="A1316"/>
      <c r="B1316"/>
      <c r="C1316"/>
      <c r="D1316"/>
      <c r="E1316"/>
      <c r="F1316"/>
      <c r="G1316"/>
      <c r="H1316"/>
      <c r="I1316"/>
      <c r="J1316"/>
      <c r="K1316"/>
      <c r="L1316"/>
      <c r="M1316"/>
      <c r="N1316"/>
      <c r="O1316"/>
      <c r="P1316"/>
      <c r="Q1316"/>
      <c r="R1316"/>
      <c r="S1316"/>
      <c r="T1316"/>
      <c r="U1316"/>
      <c r="V1316"/>
      <c r="W1316"/>
      <c r="X1316"/>
      <c r="Y1316"/>
      <c r="Z1316"/>
      <c r="AA1316"/>
    </row>
    <row r="1317" spans="1:27" s="1" customFormat="1" x14ac:dyDescent="0.3">
      <c r="A1317"/>
      <c r="B1317"/>
      <c r="C1317"/>
      <c r="D1317"/>
      <c r="E1317"/>
      <c r="F1317"/>
      <c r="G1317"/>
      <c r="H1317"/>
      <c r="I1317"/>
      <c r="J1317"/>
      <c r="K1317"/>
      <c r="L1317"/>
      <c r="M1317"/>
      <c r="N1317"/>
      <c r="O1317"/>
      <c r="P1317"/>
      <c r="Q1317"/>
      <c r="R1317"/>
      <c r="S1317"/>
      <c r="T1317"/>
      <c r="U1317"/>
      <c r="V1317"/>
      <c r="W1317"/>
      <c r="X1317"/>
      <c r="Y1317"/>
      <c r="Z1317"/>
      <c r="AA1317"/>
    </row>
    <row r="1318" spans="1:27" s="1" customFormat="1" x14ac:dyDescent="0.3">
      <c r="A1318"/>
      <c r="B1318"/>
      <c r="C1318"/>
      <c r="D1318"/>
      <c r="E1318"/>
      <c r="F1318"/>
      <c r="G1318"/>
      <c r="H1318"/>
      <c r="I1318"/>
      <c r="J1318"/>
      <c r="K1318"/>
      <c r="L1318"/>
      <c r="M1318"/>
      <c r="N1318"/>
      <c r="O1318"/>
      <c r="P1318"/>
      <c r="Q1318"/>
      <c r="R1318"/>
      <c r="S1318"/>
      <c r="T1318"/>
      <c r="U1318"/>
      <c r="V1318"/>
      <c r="W1318"/>
      <c r="X1318"/>
      <c r="Y1318"/>
      <c r="Z1318"/>
      <c r="AA1318"/>
    </row>
    <row r="1319" spans="1:27" s="1" customFormat="1" x14ac:dyDescent="0.3">
      <c r="A1319"/>
      <c r="B1319"/>
      <c r="C1319"/>
      <c r="D1319"/>
      <c r="E1319"/>
      <c r="F1319"/>
      <c r="G1319"/>
      <c r="H1319"/>
      <c r="I1319"/>
      <c r="J1319"/>
      <c r="K1319"/>
      <c r="L1319"/>
      <c r="M1319"/>
      <c r="N1319"/>
      <c r="O1319"/>
      <c r="P1319"/>
      <c r="Q1319"/>
      <c r="R1319"/>
      <c r="S1319"/>
      <c r="T1319"/>
      <c r="U1319"/>
      <c r="V1319"/>
      <c r="W1319"/>
      <c r="X1319"/>
      <c r="Y1319"/>
      <c r="Z1319"/>
      <c r="AA1319"/>
    </row>
    <row r="1320" spans="1:27" s="1" customFormat="1" x14ac:dyDescent="0.3">
      <c r="A1320"/>
      <c r="B1320"/>
      <c r="C1320"/>
      <c r="D1320"/>
      <c r="E1320"/>
      <c r="F1320"/>
      <c r="G1320"/>
      <c r="H1320"/>
      <c r="I1320"/>
      <c r="J1320"/>
      <c r="K1320"/>
      <c r="L1320"/>
      <c r="M1320"/>
      <c r="N1320"/>
      <c r="O1320"/>
      <c r="P1320"/>
      <c r="Q1320"/>
      <c r="R1320"/>
      <c r="S1320"/>
      <c r="T1320"/>
      <c r="U1320"/>
      <c r="V1320"/>
      <c r="W1320"/>
      <c r="X1320"/>
      <c r="Y1320"/>
      <c r="Z1320"/>
      <c r="AA1320"/>
    </row>
    <row r="1321" spans="1:27" s="1" customFormat="1" x14ac:dyDescent="0.3">
      <c r="A1321"/>
      <c r="B1321"/>
      <c r="C1321"/>
      <c r="D1321"/>
      <c r="E1321"/>
      <c r="F1321"/>
      <c r="G1321"/>
      <c r="H1321"/>
      <c r="I1321"/>
      <c r="J1321"/>
      <c r="K1321"/>
      <c r="L1321"/>
      <c r="M1321"/>
      <c r="N1321"/>
      <c r="O1321"/>
      <c r="P1321"/>
      <c r="Q1321"/>
      <c r="R1321"/>
      <c r="S1321"/>
      <c r="T1321"/>
      <c r="U1321"/>
      <c r="V1321"/>
      <c r="W1321"/>
      <c r="X1321"/>
      <c r="Y1321"/>
      <c r="Z1321"/>
      <c r="AA1321"/>
    </row>
    <row r="1322" spans="1:27" s="1" customFormat="1" x14ac:dyDescent="0.3">
      <c r="A1322"/>
      <c r="B1322"/>
      <c r="C1322"/>
      <c r="D1322"/>
      <c r="E1322"/>
      <c r="F1322"/>
      <c r="G1322"/>
      <c r="H1322"/>
      <c r="I1322"/>
      <c r="J1322"/>
      <c r="K1322"/>
      <c r="L1322"/>
      <c r="M1322"/>
      <c r="N1322"/>
      <c r="O1322"/>
      <c r="P1322"/>
      <c r="Q1322"/>
      <c r="R1322"/>
      <c r="S1322"/>
      <c r="T1322"/>
      <c r="U1322"/>
      <c r="V1322"/>
      <c r="W1322"/>
      <c r="X1322"/>
      <c r="Y1322"/>
      <c r="Z1322"/>
      <c r="AA1322"/>
    </row>
    <row r="1323" spans="1:27" s="1" customFormat="1" x14ac:dyDescent="0.3">
      <c r="A1323"/>
      <c r="B1323"/>
      <c r="C1323"/>
      <c r="D1323"/>
      <c r="E1323"/>
      <c r="F1323"/>
      <c r="G1323"/>
      <c r="H1323"/>
      <c r="I1323"/>
      <c r="J1323"/>
      <c r="K1323"/>
      <c r="L1323"/>
      <c r="M1323"/>
      <c r="N1323"/>
      <c r="O1323"/>
      <c r="P1323"/>
      <c r="Q1323"/>
      <c r="R1323"/>
      <c r="S1323"/>
      <c r="T1323"/>
      <c r="U1323"/>
      <c r="V1323"/>
      <c r="W1323"/>
      <c r="X1323"/>
      <c r="Y1323"/>
      <c r="Z1323"/>
      <c r="AA1323"/>
    </row>
    <row r="1324" spans="1:27" s="1" customFormat="1" x14ac:dyDescent="0.3">
      <c r="A1324"/>
      <c r="B1324"/>
      <c r="C1324"/>
      <c r="D1324"/>
      <c r="E1324"/>
      <c r="F1324"/>
      <c r="G1324"/>
      <c r="H1324"/>
      <c r="I1324"/>
      <c r="J1324"/>
      <c r="K1324"/>
      <c r="L1324"/>
      <c r="M1324"/>
      <c r="N1324"/>
      <c r="O1324"/>
      <c r="P1324"/>
      <c r="Q1324"/>
      <c r="R1324"/>
      <c r="S1324"/>
      <c r="T1324"/>
      <c r="U1324"/>
      <c r="V1324"/>
      <c r="W1324"/>
      <c r="X1324"/>
      <c r="Y1324"/>
      <c r="Z1324"/>
      <c r="AA1324"/>
    </row>
    <row r="1325" spans="1:27" s="1" customFormat="1" x14ac:dyDescent="0.3">
      <c r="A1325"/>
      <c r="B1325"/>
      <c r="C1325"/>
      <c r="D1325"/>
      <c r="E1325"/>
      <c r="F1325"/>
      <c r="G1325"/>
      <c r="H1325"/>
      <c r="I1325"/>
      <c r="J1325"/>
      <c r="K1325"/>
      <c r="L1325"/>
      <c r="M1325"/>
      <c r="N1325"/>
      <c r="O1325"/>
      <c r="P1325"/>
      <c r="Q1325"/>
      <c r="R1325"/>
      <c r="S1325"/>
      <c r="T1325"/>
      <c r="U1325"/>
      <c r="V1325"/>
      <c r="W1325"/>
      <c r="X1325"/>
      <c r="Y1325"/>
      <c r="Z1325"/>
      <c r="AA1325"/>
    </row>
    <row r="1326" spans="1:27" s="1" customFormat="1" x14ac:dyDescent="0.3">
      <c r="A1326"/>
      <c r="B1326"/>
      <c r="C1326"/>
      <c r="D1326"/>
      <c r="E1326"/>
      <c r="F1326"/>
      <c r="G1326"/>
      <c r="H1326"/>
      <c r="I1326"/>
      <c r="J1326"/>
      <c r="K1326"/>
      <c r="L1326"/>
      <c r="M1326"/>
      <c r="N1326"/>
      <c r="O1326"/>
      <c r="P1326"/>
      <c r="Q1326"/>
      <c r="R1326"/>
      <c r="S1326"/>
      <c r="T1326"/>
      <c r="U1326"/>
      <c r="V1326"/>
      <c r="W1326"/>
      <c r="X1326"/>
      <c r="Y1326"/>
      <c r="Z1326"/>
      <c r="AA1326"/>
    </row>
    <row r="1327" spans="1:27" s="1" customFormat="1" x14ac:dyDescent="0.3">
      <c r="A1327"/>
      <c r="B1327"/>
      <c r="C1327"/>
      <c r="D1327"/>
      <c r="E1327"/>
      <c r="F1327"/>
      <c r="G1327"/>
      <c r="H1327"/>
      <c r="I1327"/>
      <c r="J1327"/>
      <c r="K1327"/>
      <c r="L1327"/>
      <c r="M1327"/>
      <c r="N1327"/>
      <c r="O1327"/>
      <c r="P1327"/>
      <c r="Q1327"/>
      <c r="R1327"/>
      <c r="S1327"/>
      <c r="T1327"/>
      <c r="U1327"/>
      <c r="V1327"/>
      <c r="W1327"/>
      <c r="X1327"/>
      <c r="Y1327"/>
      <c r="Z1327"/>
      <c r="AA1327"/>
    </row>
    <row r="1328" spans="1:27" s="1" customFormat="1" x14ac:dyDescent="0.3">
      <c r="A1328"/>
      <c r="B1328"/>
      <c r="C1328"/>
      <c r="D1328"/>
      <c r="E1328"/>
      <c r="F1328"/>
      <c r="G1328"/>
      <c r="H1328"/>
      <c r="I1328"/>
      <c r="J1328"/>
      <c r="K1328"/>
      <c r="L1328"/>
      <c r="M1328"/>
      <c r="N1328"/>
      <c r="O1328"/>
      <c r="P1328"/>
      <c r="Q1328"/>
      <c r="R1328"/>
      <c r="S1328"/>
      <c r="T1328"/>
      <c r="U1328"/>
      <c r="V1328"/>
      <c r="W1328"/>
      <c r="X1328"/>
      <c r="Y1328"/>
      <c r="Z1328"/>
      <c r="AA1328"/>
    </row>
    <row r="1329" spans="1:27" s="1" customFormat="1" x14ac:dyDescent="0.3">
      <c r="A1329"/>
      <c r="B1329"/>
      <c r="C1329"/>
      <c r="D1329"/>
      <c r="E1329"/>
      <c r="F1329"/>
      <c r="G1329"/>
      <c r="H1329"/>
      <c r="I1329"/>
      <c r="J1329"/>
      <c r="K1329"/>
      <c r="L1329"/>
      <c r="M1329"/>
      <c r="N1329"/>
      <c r="O1329"/>
      <c r="P1329"/>
      <c r="Q1329"/>
      <c r="R1329"/>
      <c r="S1329"/>
      <c r="T1329"/>
      <c r="U1329"/>
      <c r="V1329"/>
      <c r="W1329"/>
      <c r="X1329"/>
      <c r="Y1329"/>
      <c r="Z1329"/>
      <c r="AA1329"/>
    </row>
    <row r="1330" spans="1:27" s="1" customFormat="1" x14ac:dyDescent="0.3">
      <c r="A1330"/>
      <c r="B1330"/>
      <c r="C1330"/>
      <c r="D1330"/>
      <c r="E1330"/>
      <c r="F1330"/>
      <c r="G1330"/>
      <c r="H1330"/>
      <c r="I1330"/>
      <c r="J1330"/>
      <c r="K1330"/>
      <c r="L1330"/>
      <c r="M1330"/>
      <c r="N1330"/>
      <c r="O1330"/>
      <c r="P1330"/>
      <c r="Q1330"/>
      <c r="R1330"/>
      <c r="S1330"/>
      <c r="T1330"/>
      <c r="U1330"/>
      <c r="V1330"/>
      <c r="W1330"/>
      <c r="X1330"/>
      <c r="Y1330"/>
      <c r="Z1330"/>
      <c r="AA1330"/>
    </row>
    <row r="1331" spans="1:27" s="1" customFormat="1" x14ac:dyDescent="0.3">
      <c r="A1331"/>
      <c r="B1331"/>
      <c r="C1331"/>
      <c r="D1331"/>
      <c r="E1331"/>
      <c r="F1331"/>
      <c r="G1331"/>
      <c r="H1331"/>
      <c r="I1331"/>
      <c r="J1331"/>
      <c r="K1331"/>
      <c r="L1331"/>
      <c r="M1331"/>
      <c r="N1331"/>
      <c r="O1331"/>
      <c r="P1331"/>
      <c r="Q1331"/>
      <c r="R1331"/>
      <c r="S1331"/>
      <c r="T1331"/>
      <c r="U1331"/>
      <c r="V1331"/>
      <c r="W1331"/>
      <c r="X1331"/>
      <c r="Y1331"/>
      <c r="Z1331"/>
      <c r="AA1331"/>
    </row>
    <row r="1332" spans="1:27" s="1" customFormat="1" x14ac:dyDescent="0.3">
      <c r="A1332"/>
      <c r="B1332"/>
      <c r="C1332"/>
      <c r="D1332"/>
      <c r="E1332"/>
      <c r="F1332"/>
      <c r="G1332"/>
      <c r="H1332"/>
      <c r="I1332"/>
      <c r="J1332"/>
      <c r="K1332"/>
      <c r="L1332"/>
      <c r="M1332"/>
      <c r="N1332"/>
      <c r="O1332"/>
      <c r="P1332"/>
      <c r="Q1332"/>
      <c r="R1332"/>
      <c r="S1332"/>
      <c r="T1332"/>
      <c r="U1332"/>
      <c r="V1332"/>
      <c r="W1332"/>
      <c r="X1332"/>
      <c r="Y1332"/>
      <c r="Z1332"/>
      <c r="AA1332"/>
    </row>
    <row r="1333" spans="1:27" s="1" customFormat="1" x14ac:dyDescent="0.3">
      <c r="A1333"/>
      <c r="B1333"/>
      <c r="C1333"/>
      <c r="D1333"/>
      <c r="E1333"/>
      <c r="F1333"/>
      <c r="G1333"/>
      <c r="H1333"/>
      <c r="I1333"/>
      <c r="J1333"/>
      <c r="K1333"/>
      <c r="L1333"/>
      <c r="M1333"/>
      <c r="N1333"/>
      <c r="O1333"/>
      <c r="P1333"/>
      <c r="Q1333"/>
      <c r="R1333"/>
      <c r="S1333"/>
      <c r="T1333"/>
      <c r="U1333"/>
      <c r="V1333"/>
      <c r="W1333"/>
      <c r="X1333"/>
      <c r="Y1333"/>
      <c r="Z1333"/>
      <c r="AA1333"/>
    </row>
    <row r="1334" spans="1:27" s="1" customFormat="1" x14ac:dyDescent="0.3">
      <c r="A1334"/>
      <c r="B1334"/>
      <c r="C1334"/>
      <c r="D1334"/>
      <c r="E1334"/>
      <c r="F1334"/>
      <c r="G1334"/>
      <c r="H1334"/>
      <c r="I1334"/>
      <c r="J1334"/>
      <c r="K1334"/>
      <c r="L1334"/>
      <c r="M1334"/>
      <c r="N1334"/>
      <c r="O1334"/>
      <c r="P1334"/>
      <c r="Q1334"/>
      <c r="R1334"/>
      <c r="S1334"/>
      <c r="T1334"/>
      <c r="U1334"/>
      <c r="V1334"/>
      <c r="W1334"/>
      <c r="X1334"/>
      <c r="Y1334"/>
      <c r="Z1334"/>
      <c r="AA1334"/>
    </row>
    <row r="1335" spans="1:27" s="1" customFormat="1" x14ac:dyDescent="0.3">
      <c r="A1335"/>
      <c r="B1335"/>
      <c r="C1335"/>
      <c r="D1335"/>
      <c r="E1335"/>
      <c r="F1335"/>
      <c r="G1335"/>
      <c r="H1335"/>
      <c r="I1335"/>
      <c r="J1335"/>
      <c r="K1335"/>
      <c r="L1335"/>
      <c r="M1335"/>
      <c r="N1335"/>
      <c r="O1335"/>
      <c r="P1335"/>
      <c r="Q1335"/>
      <c r="R1335"/>
      <c r="S1335"/>
      <c r="T1335"/>
      <c r="U1335"/>
      <c r="V1335"/>
      <c r="W1335"/>
      <c r="X1335"/>
      <c r="Y1335"/>
      <c r="Z1335"/>
      <c r="AA1335"/>
    </row>
    <row r="1336" spans="1:27" s="1" customFormat="1" x14ac:dyDescent="0.3">
      <c r="A1336"/>
      <c r="B1336"/>
      <c r="C1336"/>
      <c r="D1336"/>
      <c r="E1336"/>
      <c r="F1336"/>
      <c r="G1336"/>
      <c r="H1336"/>
      <c r="I1336"/>
      <c r="J1336"/>
      <c r="K1336"/>
      <c r="L1336"/>
      <c r="M1336"/>
      <c r="N1336"/>
      <c r="O1336"/>
      <c r="P1336"/>
      <c r="Q1336"/>
      <c r="R1336"/>
      <c r="S1336"/>
      <c r="T1336"/>
      <c r="U1336"/>
      <c r="V1336"/>
      <c r="W1336"/>
      <c r="X1336"/>
      <c r="Y1336"/>
      <c r="Z1336"/>
      <c r="AA1336"/>
    </row>
    <row r="1337" spans="1:27" s="1" customFormat="1" x14ac:dyDescent="0.3">
      <c r="A1337"/>
      <c r="B1337"/>
      <c r="C1337"/>
      <c r="D1337"/>
      <c r="E1337"/>
      <c r="F1337"/>
      <c r="G1337"/>
      <c r="H1337"/>
      <c r="I1337"/>
      <c r="J1337"/>
      <c r="K1337"/>
      <c r="L1337"/>
      <c r="M1337"/>
      <c r="N1337"/>
      <c r="O1337"/>
      <c r="P1337"/>
      <c r="Q1337"/>
      <c r="R1337"/>
      <c r="S1337"/>
      <c r="T1337"/>
      <c r="U1337"/>
      <c r="V1337"/>
      <c r="W1337"/>
      <c r="X1337"/>
      <c r="Y1337"/>
      <c r="Z1337"/>
      <c r="AA1337"/>
    </row>
    <row r="1338" spans="1:27" s="1" customFormat="1" x14ac:dyDescent="0.3">
      <c r="A1338"/>
      <c r="B1338"/>
      <c r="C1338"/>
      <c r="D1338"/>
      <c r="E1338"/>
      <c r="F1338"/>
      <c r="G1338"/>
      <c r="H1338"/>
      <c r="I1338"/>
      <c r="J1338"/>
      <c r="K1338"/>
      <c r="L1338"/>
      <c r="M1338"/>
      <c r="N1338"/>
      <c r="O1338"/>
      <c r="P1338"/>
      <c r="Q1338"/>
      <c r="R1338"/>
      <c r="S1338"/>
      <c r="T1338"/>
      <c r="U1338"/>
      <c r="V1338"/>
      <c r="W1338"/>
      <c r="X1338"/>
      <c r="Y1338"/>
      <c r="Z1338"/>
      <c r="AA1338"/>
    </row>
    <row r="1339" spans="1:27" s="1" customFormat="1" x14ac:dyDescent="0.3">
      <c r="A1339"/>
      <c r="B1339"/>
      <c r="C1339"/>
      <c r="D1339"/>
      <c r="E1339"/>
      <c r="F1339"/>
      <c r="G1339"/>
      <c r="H1339"/>
      <c r="I1339"/>
      <c r="J1339"/>
      <c r="K1339"/>
      <c r="L1339"/>
      <c r="M1339"/>
      <c r="N1339"/>
      <c r="O1339"/>
      <c r="P1339"/>
      <c r="Q1339"/>
      <c r="R1339"/>
      <c r="S1339"/>
      <c r="T1339"/>
      <c r="U1339"/>
      <c r="V1339"/>
      <c r="W1339"/>
      <c r="X1339"/>
      <c r="Y1339"/>
      <c r="Z1339"/>
      <c r="AA1339"/>
    </row>
    <row r="1340" spans="1:27" s="1" customFormat="1" x14ac:dyDescent="0.3">
      <c r="A1340"/>
      <c r="B1340"/>
      <c r="C1340"/>
      <c r="D1340"/>
      <c r="E1340"/>
      <c r="F1340"/>
      <c r="G1340"/>
      <c r="H1340"/>
      <c r="I1340"/>
      <c r="J1340"/>
      <c r="K1340"/>
      <c r="L1340"/>
      <c r="M1340"/>
      <c r="N1340"/>
      <c r="O1340"/>
      <c r="P1340"/>
      <c r="Q1340"/>
      <c r="R1340"/>
      <c r="S1340"/>
      <c r="T1340"/>
      <c r="U1340"/>
      <c r="V1340"/>
      <c r="W1340"/>
      <c r="X1340"/>
      <c r="Y1340"/>
      <c r="Z1340"/>
      <c r="AA1340"/>
    </row>
    <row r="1341" spans="1:27" s="1" customFormat="1" x14ac:dyDescent="0.3">
      <c r="A1341"/>
      <c r="B1341"/>
      <c r="C1341"/>
      <c r="D1341"/>
      <c r="E1341"/>
      <c r="F1341"/>
      <c r="G1341"/>
      <c r="H1341"/>
      <c r="I1341"/>
      <c r="J1341"/>
      <c r="K1341"/>
      <c r="L1341"/>
      <c r="M1341"/>
      <c r="N1341"/>
      <c r="O1341"/>
      <c r="P1341"/>
      <c r="Q1341"/>
      <c r="R1341"/>
      <c r="S1341"/>
      <c r="T1341"/>
      <c r="U1341"/>
      <c r="V1341"/>
      <c r="W1341"/>
      <c r="X1341"/>
      <c r="Y1341"/>
      <c r="Z1341"/>
      <c r="AA1341"/>
    </row>
    <row r="1342" spans="1:27" s="1" customFormat="1" x14ac:dyDescent="0.3">
      <c r="A1342"/>
      <c r="B1342"/>
      <c r="C1342"/>
      <c r="D1342"/>
      <c r="E1342"/>
      <c r="F1342"/>
      <c r="G1342"/>
      <c r="H1342"/>
      <c r="I1342"/>
      <c r="J1342"/>
      <c r="K1342"/>
      <c r="L1342"/>
      <c r="M1342"/>
      <c r="N1342"/>
      <c r="O1342"/>
      <c r="P1342"/>
      <c r="Q1342"/>
      <c r="R1342"/>
      <c r="S1342"/>
      <c r="T1342"/>
      <c r="U1342"/>
      <c r="V1342"/>
      <c r="W1342"/>
      <c r="X1342"/>
      <c r="Y1342"/>
      <c r="Z1342"/>
      <c r="AA1342"/>
    </row>
    <row r="1343" spans="1:27" s="1" customFormat="1" x14ac:dyDescent="0.3">
      <c r="A1343"/>
      <c r="B1343"/>
      <c r="C1343"/>
      <c r="D1343"/>
      <c r="E1343"/>
      <c r="F1343"/>
      <c r="G1343"/>
      <c r="H1343"/>
      <c r="I1343"/>
      <c r="J1343"/>
      <c r="K1343"/>
      <c r="L1343"/>
      <c r="M1343"/>
      <c r="N1343"/>
      <c r="O1343"/>
      <c r="P1343"/>
      <c r="Q1343"/>
      <c r="R1343"/>
      <c r="S1343"/>
      <c r="T1343"/>
      <c r="U1343"/>
      <c r="V1343"/>
      <c r="W1343"/>
      <c r="X1343"/>
      <c r="Y1343"/>
      <c r="Z1343"/>
      <c r="AA1343"/>
    </row>
    <row r="1344" spans="1:27" s="1" customFormat="1" x14ac:dyDescent="0.3">
      <c r="A1344"/>
      <c r="B1344"/>
      <c r="C1344"/>
      <c r="D1344"/>
      <c r="E1344"/>
      <c r="F1344"/>
      <c r="G1344"/>
      <c r="H1344"/>
      <c r="I1344"/>
      <c r="J1344"/>
      <c r="K1344"/>
      <c r="L1344"/>
      <c r="M1344"/>
      <c r="N1344"/>
      <c r="O1344"/>
      <c r="P1344"/>
      <c r="Q1344"/>
      <c r="R1344"/>
      <c r="S1344"/>
      <c r="T1344"/>
      <c r="U1344"/>
      <c r="V1344"/>
      <c r="W1344"/>
      <c r="X1344"/>
      <c r="Y1344"/>
      <c r="Z1344"/>
      <c r="AA1344"/>
    </row>
    <row r="1345" spans="1:27" s="1" customFormat="1" x14ac:dyDescent="0.3">
      <c r="A1345"/>
      <c r="B1345"/>
      <c r="C1345"/>
      <c r="D1345"/>
      <c r="E1345"/>
      <c r="F1345"/>
      <c r="G1345"/>
      <c r="H1345"/>
      <c r="I1345"/>
      <c r="J1345"/>
      <c r="K1345"/>
      <c r="L1345"/>
      <c r="M1345"/>
      <c r="N1345"/>
      <c r="O1345"/>
      <c r="P1345"/>
      <c r="Q1345"/>
      <c r="R1345"/>
      <c r="S1345"/>
      <c r="T1345"/>
      <c r="U1345"/>
      <c r="V1345"/>
      <c r="W1345"/>
      <c r="X1345"/>
      <c r="Y1345"/>
      <c r="Z1345"/>
      <c r="AA1345"/>
    </row>
    <row r="1346" spans="1:27" s="1" customFormat="1" x14ac:dyDescent="0.3">
      <c r="A1346"/>
      <c r="B1346"/>
      <c r="C1346"/>
      <c r="D1346"/>
      <c r="E1346"/>
      <c r="F1346"/>
      <c r="G1346"/>
      <c r="H1346"/>
      <c r="I1346"/>
      <c r="J1346"/>
      <c r="K1346"/>
      <c r="L1346"/>
      <c r="M1346"/>
      <c r="N1346"/>
      <c r="O1346"/>
      <c r="P1346"/>
      <c r="Q1346"/>
      <c r="R1346"/>
      <c r="S1346"/>
      <c r="T1346"/>
      <c r="U1346"/>
      <c r="V1346"/>
      <c r="W1346"/>
      <c r="X1346"/>
      <c r="Y1346"/>
      <c r="Z1346"/>
      <c r="AA1346"/>
    </row>
    <row r="1347" spans="1:27" s="1" customFormat="1" x14ac:dyDescent="0.3">
      <c r="A1347"/>
      <c r="B1347"/>
      <c r="C1347"/>
      <c r="D1347"/>
      <c r="E1347"/>
      <c r="F1347"/>
      <c r="G1347"/>
      <c r="H1347"/>
      <c r="I1347"/>
      <c r="J1347"/>
      <c r="K1347"/>
      <c r="L1347"/>
      <c r="M1347"/>
      <c r="N1347"/>
      <c r="O1347"/>
      <c r="P1347"/>
      <c r="Q1347"/>
      <c r="R1347"/>
      <c r="S1347"/>
      <c r="T1347"/>
      <c r="U1347"/>
      <c r="V1347"/>
      <c r="W1347"/>
      <c r="X1347"/>
      <c r="Y1347"/>
      <c r="Z1347"/>
      <c r="AA1347"/>
    </row>
    <row r="1348" spans="1:27" s="1" customFormat="1" x14ac:dyDescent="0.3">
      <c r="A1348"/>
      <c r="B1348"/>
      <c r="C1348"/>
      <c r="D1348"/>
      <c r="E1348"/>
      <c r="F1348"/>
      <c r="G1348"/>
      <c r="H1348"/>
      <c r="I1348"/>
      <c r="J1348"/>
      <c r="K1348"/>
      <c r="L1348"/>
      <c r="M1348"/>
      <c r="N1348"/>
      <c r="O1348"/>
      <c r="P1348"/>
      <c r="Q1348"/>
      <c r="R1348"/>
      <c r="S1348"/>
      <c r="T1348"/>
      <c r="U1348"/>
      <c r="V1348"/>
      <c r="W1348"/>
      <c r="X1348"/>
      <c r="Y1348"/>
      <c r="Z1348"/>
      <c r="AA1348"/>
    </row>
    <row r="1349" spans="1:27" s="1" customFormat="1" x14ac:dyDescent="0.3">
      <c r="A1349"/>
      <c r="B1349"/>
      <c r="C1349"/>
      <c r="D1349"/>
      <c r="E1349"/>
      <c r="F1349"/>
      <c r="G1349"/>
      <c r="H1349"/>
      <c r="I1349"/>
      <c r="J1349"/>
      <c r="K1349"/>
      <c r="L1349"/>
      <c r="M1349"/>
      <c r="N1349"/>
      <c r="O1349"/>
      <c r="P1349"/>
      <c r="Q1349"/>
      <c r="R1349"/>
      <c r="S1349"/>
      <c r="T1349"/>
      <c r="U1349"/>
      <c r="V1349"/>
      <c r="W1349"/>
      <c r="X1349"/>
      <c r="Y1349"/>
      <c r="Z1349"/>
      <c r="AA1349"/>
    </row>
    <row r="1350" spans="1:27" s="1" customFormat="1" x14ac:dyDescent="0.3">
      <c r="A1350"/>
      <c r="B1350"/>
      <c r="C1350"/>
      <c r="D1350"/>
      <c r="E1350"/>
      <c r="F1350"/>
      <c r="G1350"/>
      <c r="H1350"/>
      <c r="I1350"/>
      <c r="J1350"/>
      <c r="K1350"/>
      <c r="L1350"/>
      <c r="M1350"/>
      <c r="N1350"/>
      <c r="O1350"/>
      <c r="P1350"/>
      <c r="Q1350"/>
      <c r="R1350"/>
      <c r="S1350"/>
      <c r="T1350"/>
      <c r="U1350"/>
      <c r="V1350"/>
      <c r="W1350"/>
      <c r="X1350"/>
      <c r="Y1350"/>
      <c r="Z1350"/>
      <c r="AA1350"/>
    </row>
    <row r="1351" spans="1:27" s="1" customFormat="1" x14ac:dyDescent="0.3">
      <c r="A1351"/>
      <c r="B1351"/>
      <c r="C1351"/>
      <c r="D1351"/>
      <c r="E1351"/>
      <c r="F1351"/>
      <c r="G1351"/>
      <c r="H1351"/>
      <c r="I1351"/>
      <c r="J1351"/>
      <c r="K1351"/>
      <c r="L1351"/>
      <c r="M1351"/>
      <c r="N1351"/>
      <c r="O1351"/>
      <c r="P1351"/>
      <c r="Q1351"/>
      <c r="R1351"/>
      <c r="S1351"/>
      <c r="T1351"/>
      <c r="U1351"/>
      <c r="V1351"/>
      <c r="W1351"/>
      <c r="X1351"/>
      <c r="Y1351"/>
      <c r="Z1351"/>
      <c r="AA1351"/>
    </row>
    <row r="1352" spans="1:27" s="1" customFormat="1" x14ac:dyDescent="0.3">
      <c r="A1352"/>
      <c r="B1352"/>
      <c r="C1352"/>
      <c r="D1352"/>
      <c r="E1352"/>
      <c r="F1352"/>
      <c r="G1352"/>
      <c r="H1352"/>
      <c r="I1352"/>
      <c r="J1352"/>
      <c r="K1352"/>
      <c r="L1352"/>
      <c r="M1352"/>
      <c r="N1352"/>
      <c r="O1352"/>
      <c r="P1352"/>
      <c r="Q1352"/>
      <c r="R1352"/>
      <c r="S1352"/>
      <c r="T1352"/>
      <c r="U1352"/>
      <c r="V1352"/>
      <c r="W1352"/>
      <c r="X1352"/>
      <c r="Y1352"/>
      <c r="Z1352"/>
      <c r="AA1352"/>
    </row>
    <row r="1353" spans="1:27" s="1" customFormat="1" x14ac:dyDescent="0.3">
      <c r="A1353"/>
      <c r="B1353"/>
      <c r="C1353"/>
      <c r="D1353"/>
      <c r="E1353"/>
      <c r="F1353"/>
      <c r="G1353"/>
      <c r="H1353"/>
      <c r="I1353"/>
      <c r="J1353"/>
      <c r="K1353"/>
      <c r="L1353"/>
      <c r="M1353"/>
      <c r="N1353"/>
      <c r="O1353"/>
      <c r="P1353"/>
      <c r="Q1353"/>
      <c r="R1353"/>
      <c r="S1353"/>
      <c r="T1353"/>
      <c r="U1353"/>
      <c r="V1353"/>
      <c r="W1353"/>
      <c r="X1353"/>
      <c r="Y1353"/>
      <c r="Z1353"/>
      <c r="AA1353"/>
    </row>
    <row r="1354" spans="1:27" s="1" customFormat="1" x14ac:dyDescent="0.3">
      <c r="A1354"/>
      <c r="B1354"/>
      <c r="C1354"/>
      <c r="D1354"/>
      <c r="E1354"/>
      <c r="F1354"/>
      <c r="G1354"/>
      <c r="H1354"/>
      <c r="I1354"/>
      <c r="J1354"/>
      <c r="K1354"/>
      <c r="L1354"/>
      <c r="M1354"/>
      <c r="N1354"/>
      <c r="O1354"/>
      <c r="P1354"/>
      <c r="Q1354"/>
      <c r="R1354"/>
      <c r="S1354"/>
      <c r="T1354"/>
      <c r="U1354"/>
      <c r="V1354"/>
      <c r="W1354"/>
      <c r="X1354"/>
      <c r="Y1354"/>
      <c r="Z1354"/>
      <c r="AA1354"/>
    </row>
    <row r="1355" spans="1:27" s="1" customFormat="1" x14ac:dyDescent="0.3">
      <c r="A1355"/>
      <c r="B1355"/>
      <c r="C1355"/>
      <c r="D1355"/>
      <c r="E1355"/>
      <c r="F1355"/>
      <c r="G1355"/>
      <c r="H1355"/>
      <c r="I1355"/>
      <c r="J1355"/>
      <c r="K1355"/>
      <c r="L1355"/>
      <c r="M1355"/>
      <c r="N1355"/>
      <c r="O1355"/>
      <c r="P1355"/>
      <c r="Q1355"/>
      <c r="R1355"/>
      <c r="S1355"/>
      <c r="T1355"/>
      <c r="U1355"/>
      <c r="V1355"/>
      <c r="W1355"/>
      <c r="X1355"/>
      <c r="Y1355"/>
      <c r="Z1355"/>
      <c r="AA1355"/>
    </row>
    <row r="1356" spans="1:27" s="1" customFormat="1" x14ac:dyDescent="0.3">
      <c r="A1356"/>
      <c r="B1356"/>
      <c r="C1356"/>
      <c r="D1356"/>
      <c r="E1356"/>
      <c r="F1356"/>
      <c r="G1356"/>
      <c r="H1356"/>
      <c r="I1356"/>
      <c r="J1356"/>
      <c r="K1356"/>
      <c r="L1356"/>
      <c r="M1356"/>
      <c r="N1356"/>
      <c r="O1356"/>
      <c r="P1356"/>
      <c r="Q1356"/>
      <c r="R1356"/>
      <c r="S1356"/>
      <c r="T1356"/>
      <c r="U1356"/>
      <c r="V1356"/>
      <c r="W1356"/>
      <c r="X1356"/>
      <c r="Y1356"/>
      <c r="Z1356"/>
      <c r="AA1356"/>
    </row>
    <row r="1357" spans="1:27" s="1" customFormat="1" x14ac:dyDescent="0.3">
      <c r="A1357"/>
      <c r="B1357"/>
      <c r="C1357"/>
      <c r="D1357"/>
      <c r="E1357"/>
      <c r="F1357"/>
      <c r="G1357"/>
      <c r="H1357"/>
      <c r="I1357"/>
      <c r="J1357"/>
      <c r="K1357"/>
      <c r="L1357"/>
      <c r="M1357"/>
      <c r="N1357"/>
      <c r="O1357"/>
      <c r="P1357"/>
      <c r="Q1357"/>
      <c r="R1357"/>
      <c r="S1357"/>
      <c r="T1357"/>
      <c r="U1357"/>
      <c r="V1357"/>
      <c r="W1357"/>
      <c r="X1357"/>
      <c r="Y1357"/>
      <c r="Z1357"/>
      <c r="AA1357"/>
    </row>
    <row r="1358" spans="1:27" s="1" customFormat="1" x14ac:dyDescent="0.3">
      <c r="A1358"/>
      <c r="B1358"/>
      <c r="C1358"/>
      <c r="D1358"/>
      <c r="E1358"/>
      <c r="F1358"/>
      <c r="G1358"/>
      <c r="H1358"/>
      <c r="I1358"/>
      <c r="J1358"/>
      <c r="K1358"/>
      <c r="L1358"/>
      <c r="M1358"/>
      <c r="N1358"/>
      <c r="O1358"/>
      <c r="P1358"/>
      <c r="Q1358"/>
      <c r="R1358"/>
      <c r="S1358"/>
      <c r="T1358"/>
      <c r="U1358"/>
      <c r="V1358"/>
      <c r="W1358"/>
      <c r="X1358"/>
      <c r="Y1358"/>
      <c r="Z1358"/>
      <c r="AA1358"/>
    </row>
    <row r="1359" spans="1:27" s="1" customFormat="1" x14ac:dyDescent="0.3">
      <c r="A1359"/>
      <c r="B1359"/>
      <c r="C1359"/>
      <c r="D1359"/>
      <c r="E1359"/>
      <c r="F1359"/>
      <c r="G1359"/>
      <c r="H1359"/>
      <c r="I1359"/>
      <c r="J1359"/>
      <c r="K1359"/>
      <c r="L1359"/>
      <c r="M1359"/>
      <c r="N1359"/>
      <c r="O1359"/>
      <c r="P1359"/>
      <c r="Q1359"/>
      <c r="R1359"/>
      <c r="S1359"/>
      <c r="T1359"/>
      <c r="U1359"/>
      <c r="V1359"/>
      <c r="W1359"/>
      <c r="X1359"/>
      <c r="Y1359"/>
      <c r="Z1359"/>
      <c r="AA1359"/>
    </row>
    <row r="1360" spans="1:27" s="1" customFormat="1" x14ac:dyDescent="0.3">
      <c r="A1360"/>
      <c r="B1360"/>
      <c r="C1360"/>
      <c r="D1360"/>
      <c r="E1360"/>
      <c r="F1360"/>
      <c r="G1360"/>
      <c r="H1360"/>
      <c r="I1360"/>
      <c r="J1360"/>
      <c r="K1360"/>
      <c r="L1360"/>
      <c r="M1360"/>
      <c r="N1360"/>
      <c r="O1360"/>
      <c r="P1360"/>
      <c r="Q1360"/>
      <c r="R1360"/>
      <c r="S1360"/>
      <c r="T1360"/>
      <c r="U1360"/>
      <c r="V1360"/>
      <c r="W1360"/>
      <c r="X1360"/>
      <c r="Y1360"/>
      <c r="Z1360"/>
      <c r="AA1360"/>
    </row>
    <row r="1361" spans="1:27" s="1" customFormat="1" x14ac:dyDescent="0.3">
      <c r="A1361"/>
      <c r="B1361"/>
      <c r="C1361"/>
      <c r="D1361"/>
      <c r="E1361"/>
      <c r="F1361"/>
      <c r="G1361"/>
      <c r="H1361"/>
      <c r="I1361"/>
      <c r="J1361"/>
      <c r="K1361"/>
      <c r="L1361"/>
      <c r="M1361"/>
      <c r="N1361"/>
      <c r="O1361"/>
      <c r="P1361"/>
      <c r="Q1361"/>
      <c r="R1361"/>
      <c r="S1361"/>
      <c r="T1361"/>
      <c r="U1361"/>
      <c r="V1361"/>
      <c r="W1361"/>
      <c r="X1361"/>
      <c r="Y1361"/>
      <c r="Z1361"/>
      <c r="AA1361"/>
    </row>
    <row r="1362" spans="1:27" s="1" customFormat="1" x14ac:dyDescent="0.3">
      <c r="A1362"/>
      <c r="B1362"/>
      <c r="C1362"/>
      <c r="D1362"/>
      <c r="E1362"/>
      <c r="F1362"/>
      <c r="G1362"/>
      <c r="H1362"/>
      <c r="I1362"/>
      <c r="J1362"/>
      <c r="K1362"/>
      <c r="L1362"/>
      <c r="M1362"/>
      <c r="N1362"/>
      <c r="O1362"/>
      <c r="P1362"/>
      <c r="Q1362"/>
      <c r="R1362"/>
      <c r="S1362"/>
      <c r="T1362"/>
      <c r="U1362"/>
      <c r="V1362"/>
      <c r="W1362"/>
      <c r="X1362"/>
      <c r="Y1362"/>
      <c r="Z1362"/>
      <c r="AA1362"/>
    </row>
    <row r="1363" spans="1:27" s="1" customFormat="1" x14ac:dyDescent="0.3">
      <c r="A1363"/>
      <c r="B1363"/>
      <c r="C1363"/>
      <c r="D1363"/>
      <c r="E1363"/>
      <c r="F1363"/>
      <c r="G1363"/>
      <c r="H1363"/>
      <c r="I1363"/>
      <c r="J1363"/>
      <c r="K1363"/>
      <c r="L1363"/>
      <c r="M1363"/>
      <c r="N1363"/>
      <c r="O1363"/>
      <c r="P1363"/>
      <c r="Q1363"/>
      <c r="R1363"/>
      <c r="S1363"/>
      <c r="T1363"/>
      <c r="U1363"/>
      <c r="V1363"/>
      <c r="W1363"/>
      <c r="X1363"/>
      <c r="Y1363"/>
      <c r="Z1363"/>
      <c r="AA1363"/>
    </row>
    <row r="1364" spans="1:27" s="1" customFormat="1" x14ac:dyDescent="0.3">
      <c r="A1364"/>
      <c r="B1364"/>
      <c r="C1364"/>
      <c r="D1364"/>
      <c r="E1364"/>
      <c r="F1364"/>
      <c r="G1364"/>
      <c r="H1364"/>
      <c r="I1364"/>
      <c r="J1364"/>
      <c r="K1364"/>
      <c r="L1364"/>
      <c r="M1364"/>
      <c r="N1364"/>
      <c r="O1364"/>
      <c r="P1364"/>
      <c r="Q1364"/>
      <c r="R1364"/>
      <c r="S1364"/>
      <c r="T1364"/>
      <c r="U1364"/>
      <c r="V1364"/>
      <c r="W1364"/>
      <c r="X1364"/>
      <c r="Y1364"/>
      <c r="Z1364"/>
      <c r="AA1364"/>
    </row>
    <row r="1365" spans="1:27" s="1" customFormat="1" x14ac:dyDescent="0.3">
      <c r="A1365"/>
      <c r="B1365"/>
      <c r="C1365"/>
      <c r="D1365"/>
      <c r="E1365"/>
      <c r="F1365"/>
      <c r="G1365"/>
      <c r="H1365"/>
      <c r="I1365"/>
      <c r="J1365"/>
      <c r="K1365"/>
      <c r="L1365"/>
      <c r="M1365"/>
      <c r="N1365"/>
      <c r="O1365"/>
      <c r="P1365"/>
      <c r="Q1365"/>
      <c r="R1365"/>
      <c r="S1365"/>
      <c r="T1365"/>
      <c r="U1365"/>
      <c r="V1365"/>
      <c r="W1365"/>
      <c r="X1365"/>
      <c r="Y1365"/>
      <c r="Z1365"/>
      <c r="AA1365"/>
    </row>
    <row r="1366" spans="1:27" s="1" customFormat="1" x14ac:dyDescent="0.3">
      <c r="A1366"/>
      <c r="B1366"/>
      <c r="C1366"/>
      <c r="D1366"/>
      <c r="E1366"/>
      <c r="F1366"/>
      <c r="G1366"/>
      <c r="H1366"/>
      <c r="I1366"/>
      <c r="J1366"/>
      <c r="K1366"/>
      <c r="L1366"/>
      <c r="M1366"/>
      <c r="N1366"/>
      <c r="O1366"/>
      <c r="P1366"/>
      <c r="Q1366"/>
      <c r="R1366"/>
      <c r="S1366"/>
      <c r="T1366"/>
      <c r="U1366"/>
      <c r="V1366"/>
      <c r="W1366"/>
      <c r="X1366"/>
      <c r="Y1366"/>
      <c r="Z1366"/>
      <c r="AA1366"/>
    </row>
    <row r="1367" spans="1:27" s="1" customFormat="1" x14ac:dyDescent="0.3">
      <c r="A1367"/>
      <c r="B1367"/>
      <c r="C1367"/>
      <c r="D1367"/>
      <c r="E1367"/>
      <c r="F1367"/>
      <c r="G1367"/>
      <c r="H1367"/>
      <c r="I1367"/>
      <c r="J1367"/>
      <c r="K1367"/>
      <c r="L1367"/>
      <c r="M1367"/>
      <c r="N1367"/>
      <c r="O1367"/>
      <c r="P1367"/>
      <c r="Q1367"/>
      <c r="R1367"/>
      <c r="S1367"/>
      <c r="T1367"/>
      <c r="U1367"/>
      <c r="V1367"/>
      <c r="W1367"/>
      <c r="X1367"/>
      <c r="Y1367"/>
      <c r="Z1367"/>
      <c r="AA1367"/>
    </row>
    <row r="1368" spans="1:27" s="1" customFormat="1" x14ac:dyDescent="0.3">
      <c r="A1368"/>
      <c r="B1368"/>
      <c r="C1368"/>
      <c r="D1368"/>
      <c r="E1368"/>
      <c r="F1368"/>
      <c r="G1368"/>
      <c r="H1368"/>
      <c r="I1368"/>
      <c r="J1368"/>
      <c r="K1368"/>
      <c r="L1368"/>
      <c r="M1368"/>
      <c r="N1368"/>
      <c r="O1368"/>
      <c r="P1368"/>
      <c r="Q1368"/>
      <c r="R1368"/>
      <c r="S1368"/>
      <c r="T1368"/>
      <c r="U1368"/>
      <c r="V1368"/>
      <c r="W1368"/>
      <c r="X1368"/>
      <c r="Y1368"/>
      <c r="Z1368"/>
      <c r="AA1368"/>
    </row>
    <row r="1369" spans="1:27" s="1" customFormat="1" x14ac:dyDescent="0.3">
      <c r="A1369"/>
      <c r="B1369"/>
      <c r="C1369"/>
      <c r="D1369"/>
      <c r="E1369"/>
      <c r="F1369"/>
      <c r="G1369"/>
      <c r="H1369"/>
      <c r="I1369"/>
      <c r="J1369"/>
      <c r="K1369"/>
      <c r="L1369"/>
      <c r="M1369"/>
      <c r="N1369"/>
      <c r="O1369"/>
      <c r="P1369"/>
      <c r="Q1369"/>
      <c r="R1369"/>
      <c r="S1369"/>
      <c r="T1369"/>
      <c r="U1369"/>
      <c r="V1369"/>
      <c r="W1369"/>
      <c r="X1369"/>
      <c r="Y1369"/>
      <c r="Z1369"/>
      <c r="AA1369"/>
    </row>
    <row r="1370" spans="1:27" s="1" customFormat="1" x14ac:dyDescent="0.3">
      <c r="A1370"/>
      <c r="B1370"/>
      <c r="C1370"/>
      <c r="D1370"/>
      <c r="E1370"/>
      <c r="F1370"/>
      <c r="G1370"/>
      <c r="H1370"/>
      <c r="I1370"/>
      <c r="J1370"/>
      <c r="K1370"/>
      <c r="L1370"/>
      <c r="M1370"/>
      <c r="N1370"/>
      <c r="O1370"/>
      <c r="P1370"/>
      <c r="Q1370"/>
      <c r="R1370"/>
      <c r="S1370"/>
      <c r="T1370"/>
      <c r="U1370"/>
      <c r="V1370"/>
      <c r="W1370"/>
      <c r="X1370"/>
      <c r="Y1370"/>
      <c r="Z1370"/>
      <c r="AA1370"/>
    </row>
    <row r="1371" spans="1:27" s="1" customFormat="1" x14ac:dyDescent="0.3">
      <c r="A1371"/>
      <c r="B1371"/>
      <c r="C1371"/>
      <c r="D1371"/>
      <c r="E1371"/>
      <c r="F1371"/>
      <c r="G1371"/>
      <c r="H1371"/>
      <c r="I1371"/>
      <c r="J1371"/>
      <c r="K1371"/>
      <c r="L1371"/>
      <c r="M1371"/>
      <c r="N1371"/>
      <c r="O1371"/>
      <c r="P1371"/>
      <c r="Q1371"/>
      <c r="R1371"/>
      <c r="S1371"/>
      <c r="T1371"/>
      <c r="U1371"/>
      <c r="V1371"/>
      <c r="W1371"/>
      <c r="X1371"/>
      <c r="Y1371"/>
      <c r="Z1371"/>
      <c r="AA1371"/>
    </row>
    <row r="1372" spans="1:27" s="1" customFormat="1" x14ac:dyDescent="0.3">
      <c r="A1372"/>
      <c r="B1372"/>
      <c r="C1372"/>
      <c r="D1372"/>
      <c r="E1372"/>
      <c r="F1372"/>
      <c r="G1372"/>
      <c r="H1372"/>
      <c r="I1372"/>
      <c r="J1372"/>
      <c r="K1372"/>
      <c r="L1372"/>
      <c r="M1372"/>
      <c r="N1372"/>
      <c r="O1372"/>
      <c r="P1372"/>
      <c r="Q1372"/>
      <c r="R1372"/>
      <c r="S1372"/>
      <c r="T1372"/>
      <c r="U1372"/>
      <c r="V1372"/>
      <c r="W1372"/>
      <c r="X1372"/>
      <c r="Y1372"/>
      <c r="Z1372"/>
      <c r="AA1372"/>
    </row>
    <row r="1373" spans="1:27" s="1" customFormat="1" x14ac:dyDescent="0.3">
      <c r="A1373"/>
      <c r="B1373"/>
      <c r="C1373"/>
      <c r="D1373"/>
      <c r="E1373"/>
      <c r="F1373"/>
      <c r="G1373"/>
      <c r="H1373"/>
      <c r="I1373"/>
      <c r="J1373"/>
      <c r="K1373"/>
      <c r="L1373"/>
      <c r="M1373"/>
      <c r="N1373"/>
      <c r="O1373"/>
      <c r="P1373"/>
      <c r="Q1373"/>
      <c r="R1373"/>
      <c r="S1373"/>
      <c r="T1373"/>
      <c r="U1373"/>
      <c r="V1373"/>
      <c r="W1373"/>
      <c r="X1373"/>
      <c r="Y1373"/>
      <c r="Z1373"/>
      <c r="AA1373"/>
    </row>
    <row r="1374" spans="1:27" s="1" customFormat="1" x14ac:dyDescent="0.3">
      <c r="A1374"/>
      <c r="B1374"/>
      <c r="C1374"/>
      <c r="D1374"/>
      <c r="E1374"/>
      <c r="F1374"/>
      <c r="G1374"/>
      <c r="H1374"/>
      <c r="I1374"/>
      <c r="J1374"/>
      <c r="K1374"/>
      <c r="L1374"/>
      <c r="M1374"/>
      <c r="N1374"/>
      <c r="O1374"/>
      <c r="P1374"/>
      <c r="Q1374"/>
      <c r="R1374"/>
      <c r="S1374"/>
      <c r="T1374"/>
      <c r="U1374"/>
      <c r="V1374"/>
      <c r="W1374"/>
      <c r="X1374"/>
      <c r="Y1374"/>
      <c r="Z1374"/>
      <c r="AA1374"/>
    </row>
    <row r="1375" spans="1:27" s="1" customFormat="1" x14ac:dyDescent="0.3">
      <c r="A1375"/>
      <c r="B1375"/>
      <c r="C1375"/>
      <c r="D1375"/>
      <c r="E1375"/>
      <c r="F1375"/>
      <c r="G1375"/>
      <c r="H1375"/>
      <c r="I1375"/>
      <c r="J1375"/>
      <c r="K1375"/>
      <c r="L1375"/>
      <c r="M1375"/>
      <c r="N1375"/>
      <c r="O1375"/>
      <c r="P1375"/>
      <c r="Q1375"/>
      <c r="R1375"/>
      <c r="S1375"/>
      <c r="T1375"/>
      <c r="U1375"/>
      <c r="V1375"/>
      <c r="W1375"/>
      <c r="X1375"/>
      <c r="Y1375"/>
      <c r="Z1375"/>
      <c r="AA1375"/>
    </row>
    <row r="1376" spans="1:27" s="1" customFormat="1" x14ac:dyDescent="0.3">
      <c r="A1376"/>
      <c r="B1376"/>
      <c r="C1376"/>
      <c r="D1376"/>
      <c r="E1376"/>
      <c r="F1376"/>
      <c r="G1376"/>
      <c r="H1376"/>
      <c r="I1376"/>
      <c r="J1376"/>
      <c r="K1376"/>
      <c r="L1376"/>
      <c r="M1376"/>
      <c r="N1376"/>
      <c r="O1376"/>
      <c r="P1376"/>
      <c r="Q1376"/>
      <c r="R1376"/>
      <c r="S1376"/>
      <c r="T1376"/>
      <c r="U1376"/>
      <c r="V1376"/>
      <c r="W1376"/>
      <c r="X1376"/>
      <c r="Y1376"/>
      <c r="Z1376"/>
      <c r="AA1376"/>
    </row>
    <row r="1377" spans="1:27" s="1" customFormat="1" x14ac:dyDescent="0.3">
      <c r="A1377"/>
      <c r="B1377"/>
      <c r="C1377"/>
      <c r="D1377"/>
      <c r="E1377"/>
      <c r="F1377"/>
      <c r="G1377"/>
      <c r="H1377"/>
      <c r="I1377"/>
      <c r="J1377"/>
      <c r="K1377"/>
      <c r="L1377"/>
      <c r="M1377"/>
      <c r="N1377"/>
      <c r="O1377"/>
      <c r="P1377"/>
      <c r="Q1377"/>
      <c r="R1377"/>
      <c r="S1377"/>
      <c r="T1377"/>
      <c r="U1377"/>
      <c r="V1377"/>
      <c r="W1377"/>
      <c r="X1377"/>
      <c r="Y1377"/>
      <c r="Z1377"/>
      <c r="AA1377"/>
    </row>
    <row r="1378" spans="1:27" s="1" customFormat="1" x14ac:dyDescent="0.3">
      <c r="A1378"/>
      <c r="B1378"/>
      <c r="C1378"/>
      <c r="D1378"/>
      <c r="E1378"/>
      <c r="F1378"/>
      <c r="G1378"/>
      <c r="H1378"/>
      <c r="I1378"/>
      <c r="J1378"/>
      <c r="K1378"/>
      <c r="L1378"/>
      <c r="M1378"/>
      <c r="N1378"/>
      <c r="O1378"/>
      <c r="P1378"/>
      <c r="Q1378"/>
      <c r="R1378"/>
      <c r="S1378"/>
      <c r="T1378"/>
      <c r="U1378"/>
      <c r="V1378"/>
      <c r="W1378"/>
      <c r="X1378"/>
      <c r="Y1378"/>
      <c r="Z1378"/>
      <c r="AA1378"/>
    </row>
    <row r="1379" spans="1:27" s="1" customFormat="1" x14ac:dyDescent="0.3">
      <c r="A1379"/>
      <c r="B1379"/>
      <c r="C1379"/>
      <c r="D1379"/>
      <c r="E1379"/>
      <c r="F1379"/>
      <c r="G1379"/>
      <c r="H1379"/>
      <c r="I1379"/>
      <c r="J1379"/>
      <c r="K1379"/>
      <c r="L1379"/>
      <c r="M1379"/>
      <c r="N1379"/>
      <c r="O1379"/>
      <c r="P1379"/>
      <c r="Q1379"/>
      <c r="R1379"/>
      <c r="S1379"/>
      <c r="T1379"/>
      <c r="U1379"/>
      <c r="V1379"/>
      <c r="W1379"/>
      <c r="X1379"/>
      <c r="Y1379"/>
      <c r="Z1379"/>
      <c r="AA1379"/>
    </row>
    <row r="1380" spans="1:27" s="1" customFormat="1" x14ac:dyDescent="0.3">
      <c r="A1380"/>
      <c r="B1380"/>
      <c r="C1380"/>
      <c r="D1380"/>
      <c r="E1380"/>
      <c r="F1380"/>
      <c r="G1380"/>
      <c r="H1380"/>
      <c r="I1380"/>
      <c r="J1380"/>
      <c r="K1380"/>
      <c r="L1380"/>
      <c r="M1380"/>
      <c r="N1380"/>
      <c r="O1380"/>
      <c r="P1380"/>
      <c r="Q1380"/>
      <c r="R1380"/>
      <c r="S1380"/>
      <c r="T1380"/>
      <c r="U1380"/>
      <c r="V1380"/>
      <c r="W1380"/>
      <c r="X1380"/>
      <c r="Y1380"/>
      <c r="Z1380"/>
      <c r="AA1380"/>
    </row>
    <row r="1381" spans="1:27" s="1" customFormat="1" x14ac:dyDescent="0.3">
      <c r="A1381"/>
      <c r="B1381"/>
      <c r="C1381"/>
      <c r="D1381"/>
      <c r="E1381"/>
      <c r="F1381"/>
      <c r="G1381"/>
      <c r="H1381"/>
      <c r="I1381"/>
      <c r="J1381"/>
      <c r="K1381"/>
      <c r="L1381"/>
      <c r="M1381"/>
      <c r="N1381"/>
      <c r="O1381"/>
      <c r="P1381"/>
      <c r="Q1381"/>
      <c r="R1381"/>
      <c r="S1381"/>
      <c r="T1381"/>
      <c r="U1381"/>
      <c r="V1381"/>
      <c r="W1381"/>
      <c r="X1381"/>
      <c r="Y1381"/>
      <c r="Z1381"/>
      <c r="AA1381"/>
    </row>
    <row r="1382" spans="1:27" s="1" customFormat="1" x14ac:dyDescent="0.3">
      <c r="A1382"/>
      <c r="B1382"/>
      <c r="C1382"/>
      <c r="D1382"/>
      <c r="E1382"/>
      <c r="F1382"/>
      <c r="G1382"/>
      <c r="H1382"/>
      <c r="I1382"/>
      <c r="J1382"/>
      <c r="K1382"/>
      <c r="L1382"/>
      <c r="M1382"/>
      <c r="N1382"/>
      <c r="O1382"/>
      <c r="P1382"/>
      <c r="Q1382"/>
      <c r="R1382"/>
      <c r="S1382"/>
      <c r="T1382"/>
      <c r="U1382"/>
      <c r="V1382"/>
      <c r="W1382"/>
      <c r="X1382"/>
      <c r="Y1382"/>
      <c r="Z1382"/>
      <c r="AA1382"/>
    </row>
    <row r="1383" spans="1:27" s="1" customFormat="1" x14ac:dyDescent="0.3">
      <c r="A1383"/>
      <c r="B1383"/>
      <c r="C1383"/>
      <c r="D1383"/>
      <c r="E1383"/>
      <c r="F1383"/>
      <c r="G1383"/>
      <c r="H1383"/>
      <c r="I1383"/>
      <c r="J1383"/>
      <c r="K1383"/>
      <c r="L1383"/>
      <c r="M1383"/>
      <c r="N1383"/>
      <c r="O1383"/>
      <c r="P1383"/>
      <c r="Q1383"/>
      <c r="R1383"/>
      <c r="S1383"/>
      <c r="T1383"/>
      <c r="U1383"/>
      <c r="V1383"/>
      <c r="W1383"/>
      <c r="X1383"/>
      <c r="Y1383"/>
      <c r="Z1383"/>
      <c r="AA1383"/>
    </row>
    <row r="1384" spans="1:27" s="1" customFormat="1" x14ac:dyDescent="0.3">
      <c r="A1384"/>
      <c r="B1384"/>
      <c r="C1384"/>
      <c r="D1384"/>
      <c r="E1384"/>
      <c r="F1384"/>
      <c r="G1384"/>
      <c r="H1384"/>
      <c r="I1384"/>
      <c r="J1384"/>
      <c r="K1384"/>
      <c r="L1384"/>
      <c r="M1384"/>
      <c r="N1384"/>
      <c r="O1384"/>
      <c r="P1384"/>
      <c r="Q1384"/>
      <c r="R1384"/>
      <c r="S1384"/>
      <c r="T1384"/>
      <c r="U1384"/>
      <c r="V1384"/>
      <c r="W1384"/>
      <c r="X1384"/>
      <c r="Y1384"/>
      <c r="Z1384"/>
      <c r="AA1384"/>
    </row>
    <row r="1385" spans="1:27" s="1" customFormat="1" x14ac:dyDescent="0.3">
      <c r="A1385"/>
      <c r="B1385"/>
      <c r="C1385"/>
      <c r="D1385"/>
      <c r="E1385"/>
      <c r="F1385"/>
      <c r="G1385"/>
      <c r="H1385"/>
      <c r="I1385"/>
      <c r="J1385"/>
      <c r="K1385"/>
      <c r="L1385"/>
      <c r="M1385"/>
      <c r="N1385"/>
      <c r="O1385"/>
      <c r="P1385"/>
      <c r="Q1385"/>
      <c r="R1385"/>
      <c r="S1385"/>
      <c r="T1385"/>
      <c r="U1385"/>
      <c r="V1385"/>
      <c r="W1385"/>
      <c r="X1385"/>
      <c r="Y1385"/>
      <c r="Z1385"/>
      <c r="AA1385"/>
    </row>
    <row r="1386" spans="1:27" s="1" customFormat="1" x14ac:dyDescent="0.3">
      <c r="A1386"/>
      <c r="B1386"/>
      <c r="C1386"/>
      <c r="D1386"/>
      <c r="E1386"/>
      <c r="F1386"/>
      <c r="G1386"/>
      <c r="H1386"/>
      <c r="I1386"/>
      <c r="J1386"/>
      <c r="K1386"/>
      <c r="L1386"/>
      <c r="M1386"/>
      <c r="N1386"/>
      <c r="O1386"/>
      <c r="P1386"/>
      <c r="Q1386"/>
      <c r="R1386"/>
      <c r="S1386"/>
      <c r="T1386"/>
      <c r="U1386"/>
      <c r="V1386"/>
      <c r="W1386"/>
      <c r="X1386"/>
      <c r="Y1386"/>
      <c r="Z1386"/>
      <c r="AA1386"/>
    </row>
    <row r="1387" spans="1:27" s="1" customFormat="1" x14ac:dyDescent="0.3">
      <c r="A1387"/>
      <c r="B1387"/>
      <c r="C1387"/>
      <c r="D1387"/>
      <c r="E1387"/>
      <c r="F1387"/>
      <c r="G1387"/>
      <c r="H1387"/>
      <c r="I1387"/>
      <c r="J1387"/>
      <c r="K1387"/>
      <c r="L1387"/>
      <c r="M1387"/>
      <c r="N1387"/>
      <c r="O1387"/>
      <c r="P1387"/>
      <c r="Q1387"/>
      <c r="R1387"/>
      <c r="S1387"/>
      <c r="T1387"/>
      <c r="U1387"/>
      <c r="V1387"/>
      <c r="W1387"/>
      <c r="X1387"/>
      <c r="Y1387"/>
      <c r="Z1387"/>
      <c r="AA1387"/>
    </row>
    <row r="1388" spans="1:27" s="1" customFormat="1" x14ac:dyDescent="0.3">
      <c r="A1388"/>
      <c r="B1388"/>
      <c r="C1388"/>
      <c r="D1388"/>
      <c r="E1388"/>
      <c r="F1388"/>
      <c r="G1388"/>
      <c r="H1388"/>
      <c r="I1388"/>
      <c r="J1388"/>
      <c r="K1388"/>
      <c r="L1388"/>
      <c r="M1388"/>
      <c r="N1388"/>
      <c r="O1388"/>
      <c r="P1388"/>
      <c r="Q1388"/>
      <c r="R1388"/>
      <c r="S1388"/>
      <c r="T1388"/>
      <c r="U1388"/>
      <c r="V1388"/>
      <c r="W1388"/>
      <c r="X1388"/>
      <c r="Y1388"/>
      <c r="Z1388"/>
      <c r="AA1388"/>
    </row>
    <row r="1389" spans="1:27" s="1" customFormat="1" x14ac:dyDescent="0.3">
      <c r="A1389"/>
      <c r="B1389"/>
      <c r="C1389"/>
      <c r="D1389"/>
      <c r="E1389"/>
      <c r="F1389"/>
      <c r="G1389"/>
      <c r="H1389"/>
      <c r="I1389"/>
      <c r="J1389"/>
      <c r="K1389"/>
      <c r="L1389"/>
      <c r="M1389"/>
      <c r="N1389"/>
      <c r="O1389"/>
      <c r="P1389"/>
      <c r="Q1389"/>
      <c r="R1389"/>
      <c r="S1389"/>
      <c r="T1389"/>
      <c r="U1389"/>
      <c r="V1389"/>
      <c r="W1389"/>
      <c r="X1389"/>
      <c r="Y1389"/>
      <c r="Z1389"/>
      <c r="AA1389"/>
    </row>
    <row r="1390" spans="1:27" s="1" customFormat="1" x14ac:dyDescent="0.3">
      <c r="A1390"/>
      <c r="B1390"/>
      <c r="C1390"/>
      <c r="D1390"/>
      <c r="E1390"/>
      <c r="F1390"/>
      <c r="G1390"/>
      <c r="H1390"/>
      <c r="I1390"/>
      <c r="J1390"/>
      <c r="K1390"/>
      <c r="L1390"/>
      <c r="M1390"/>
      <c r="N1390"/>
      <c r="O1390"/>
      <c r="P1390"/>
      <c r="Q1390"/>
      <c r="R1390"/>
      <c r="S1390"/>
      <c r="T1390"/>
      <c r="U1390"/>
      <c r="V1390"/>
      <c r="W1390"/>
      <c r="X1390"/>
      <c r="Y1390"/>
      <c r="Z1390"/>
      <c r="AA1390"/>
    </row>
    <row r="1391" spans="1:27" s="1" customFormat="1" x14ac:dyDescent="0.3">
      <c r="A1391"/>
      <c r="B1391"/>
      <c r="C1391"/>
      <c r="D1391"/>
      <c r="E1391"/>
      <c r="F1391"/>
      <c r="G1391"/>
      <c r="H1391"/>
      <c r="I1391"/>
      <c r="J1391"/>
      <c r="K1391"/>
      <c r="L1391"/>
      <c r="M1391"/>
      <c r="N1391"/>
      <c r="O1391"/>
      <c r="P1391"/>
      <c r="Q1391"/>
      <c r="R1391"/>
      <c r="S1391"/>
      <c r="T1391"/>
      <c r="U1391"/>
      <c r="V1391"/>
      <c r="W1391"/>
      <c r="X1391"/>
      <c r="Y1391"/>
      <c r="Z1391"/>
      <c r="AA1391"/>
    </row>
    <row r="1392" spans="1:27" s="1" customFormat="1" x14ac:dyDescent="0.3">
      <c r="A1392"/>
      <c r="B1392"/>
      <c r="C1392"/>
      <c r="D1392"/>
      <c r="E1392"/>
      <c r="F1392"/>
      <c r="G1392"/>
      <c r="H1392"/>
      <c r="I1392"/>
      <c r="J1392"/>
      <c r="K1392"/>
      <c r="L1392"/>
      <c r="M1392"/>
      <c r="N1392"/>
      <c r="O1392"/>
      <c r="P1392"/>
      <c r="Q1392"/>
      <c r="R1392"/>
      <c r="S1392"/>
      <c r="T1392"/>
      <c r="U1392"/>
      <c r="V1392"/>
      <c r="W1392"/>
      <c r="X1392"/>
      <c r="Y1392"/>
      <c r="Z1392"/>
      <c r="AA1392"/>
    </row>
    <row r="1393" spans="1:27" s="1" customFormat="1" x14ac:dyDescent="0.3">
      <c r="A1393"/>
      <c r="B1393"/>
      <c r="C1393"/>
      <c r="D1393"/>
      <c r="E1393"/>
      <c r="F1393"/>
      <c r="G1393"/>
      <c r="H1393"/>
      <c r="I1393"/>
      <c r="J1393"/>
      <c r="K1393"/>
      <c r="L1393"/>
      <c r="M1393"/>
      <c r="N1393"/>
      <c r="O1393"/>
      <c r="P1393"/>
      <c r="Q1393"/>
      <c r="R1393"/>
      <c r="S1393"/>
      <c r="T1393"/>
      <c r="U1393"/>
      <c r="V1393"/>
      <c r="W1393"/>
      <c r="X1393"/>
      <c r="Y1393"/>
      <c r="Z1393"/>
      <c r="AA1393"/>
    </row>
    <row r="1394" spans="1:27" s="1" customFormat="1" x14ac:dyDescent="0.3">
      <c r="A1394"/>
      <c r="B1394"/>
      <c r="C1394"/>
      <c r="D1394"/>
      <c r="E1394"/>
      <c r="F1394"/>
      <c r="G1394"/>
      <c r="H1394"/>
      <c r="I1394"/>
      <c r="J1394"/>
      <c r="K1394"/>
      <c r="L1394"/>
      <c r="M1394"/>
      <c r="N1394"/>
      <c r="O1394"/>
      <c r="P1394"/>
      <c r="Q1394"/>
      <c r="R1394"/>
      <c r="S1394"/>
      <c r="T1394"/>
      <c r="U1394"/>
      <c r="V1394"/>
      <c r="W1394"/>
      <c r="X1394"/>
      <c r="Y1394"/>
      <c r="Z1394"/>
      <c r="AA1394"/>
    </row>
    <row r="1395" spans="1:27" s="1" customFormat="1" x14ac:dyDescent="0.3">
      <c r="A1395"/>
      <c r="B1395"/>
      <c r="C1395"/>
      <c r="D1395"/>
      <c r="E1395"/>
      <c r="F1395"/>
      <c r="G1395"/>
      <c r="H1395"/>
      <c r="I1395"/>
      <c r="J1395"/>
      <c r="K1395"/>
      <c r="L1395"/>
      <c r="M1395"/>
      <c r="N1395"/>
      <c r="O1395"/>
      <c r="P1395"/>
      <c r="Q1395"/>
      <c r="R1395"/>
      <c r="S1395"/>
      <c r="T1395"/>
      <c r="U1395"/>
      <c r="V1395"/>
      <c r="W1395"/>
      <c r="X1395"/>
      <c r="Y1395"/>
      <c r="Z1395"/>
      <c r="AA1395"/>
    </row>
    <row r="1396" spans="1:27" s="1" customFormat="1" x14ac:dyDescent="0.3">
      <c r="A1396"/>
      <c r="B1396"/>
      <c r="C1396"/>
      <c r="D1396"/>
      <c r="E1396"/>
      <c r="F1396"/>
      <c r="G1396"/>
      <c r="H1396"/>
      <c r="I1396"/>
      <c r="J1396"/>
      <c r="K1396"/>
      <c r="L1396"/>
      <c r="M1396"/>
      <c r="N1396"/>
      <c r="O1396"/>
      <c r="P1396"/>
      <c r="Q1396"/>
      <c r="R1396"/>
      <c r="S1396"/>
      <c r="T1396"/>
      <c r="U1396"/>
      <c r="V1396"/>
      <c r="W1396"/>
      <c r="X1396"/>
      <c r="Y1396"/>
      <c r="Z1396"/>
      <c r="AA1396"/>
    </row>
    <row r="1397" spans="1:27" s="1" customFormat="1" x14ac:dyDescent="0.3">
      <c r="A1397"/>
      <c r="B1397"/>
      <c r="C1397"/>
      <c r="D1397"/>
      <c r="E1397"/>
      <c r="F1397"/>
      <c r="G1397"/>
      <c r="H1397"/>
      <c r="I1397"/>
      <c r="J1397"/>
      <c r="K1397"/>
      <c r="L1397"/>
      <c r="M1397"/>
      <c r="N1397"/>
      <c r="O1397"/>
      <c r="P1397"/>
      <c r="Q1397"/>
      <c r="R1397"/>
      <c r="S1397"/>
      <c r="T1397"/>
      <c r="U1397"/>
      <c r="V1397"/>
      <c r="W1397"/>
      <c r="X1397"/>
      <c r="Y1397"/>
      <c r="Z1397"/>
      <c r="AA1397"/>
    </row>
    <row r="1398" spans="1:27" s="1" customFormat="1" x14ac:dyDescent="0.3">
      <c r="A1398"/>
      <c r="B1398"/>
      <c r="C1398"/>
      <c r="D1398"/>
      <c r="E1398"/>
      <c r="F1398"/>
      <c r="G1398"/>
      <c r="H1398"/>
      <c r="I1398"/>
      <c r="J1398"/>
      <c r="K1398"/>
      <c r="L1398"/>
      <c r="M1398"/>
      <c r="N1398"/>
      <c r="O1398"/>
      <c r="P1398"/>
      <c r="Q1398"/>
      <c r="R1398"/>
      <c r="S1398"/>
      <c r="T1398"/>
      <c r="U1398"/>
      <c r="V1398"/>
      <c r="W1398"/>
      <c r="X1398"/>
      <c r="Y1398"/>
      <c r="Z1398"/>
      <c r="AA1398"/>
    </row>
    <row r="1399" spans="1:27" s="1" customFormat="1" x14ac:dyDescent="0.3">
      <c r="A1399"/>
      <c r="B1399"/>
      <c r="C1399"/>
      <c r="D1399"/>
      <c r="E1399"/>
      <c r="F1399"/>
      <c r="G1399"/>
      <c r="H1399"/>
      <c r="I1399"/>
      <c r="J1399"/>
      <c r="K1399"/>
      <c r="L1399"/>
      <c r="M1399"/>
      <c r="N1399"/>
      <c r="O1399"/>
      <c r="P1399"/>
      <c r="Q1399"/>
      <c r="R1399"/>
      <c r="S1399"/>
      <c r="T1399"/>
      <c r="U1399"/>
      <c r="V1399"/>
      <c r="W1399"/>
      <c r="X1399"/>
      <c r="Y1399"/>
      <c r="Z1399"/>
      <c r="AA1399"/>
    </row>
    <row r="1400" spans="1:27" s="1" customFormat="1" x14ac:dyDescent="0.3">
      <c r="A1400"/>
      <c r="B1400"/>
      <c r="C1400"/>
      <c r="D1400"/>
      <c r="E1400"/>
      <c r="F1400"/>
      <c r="G1400"/>
      <c r="H1400"/>
      <c r="I1400"/>
      <c r="J1400"/>
      <c r="K1400"/>
      <c r="L1400"/>
      <c r="M1400"/>
      <c r="N1400"/>
      <c r="O1400"/>
      <c r="P1400"/>
      <c r="Q1400"/>
      <c r="R1400"/>
      <c r="S1400"/>
      <c r="T1400"/>
      <c r="U1400"/>
      <c r="V1400"/>
      <c r="W1400"/>
      <c r="X1400"/>
      <c r="Y1400"/>
      <c r="Z1400"/>
      <c r="AA1400"/>
    </row>
    <row r="1401" spans="1:27" s="1" customFormat="1" x14ac:dyDescent="0.3">
      <c r="A1401"/>
      <c r="B1401"/>
      <c r="C1401"/>
      <c r="D1401"/>
      <c r="E1401"/>
      <c r="F1401"/>
      <c r="G1401"/>
      <c r="H1401"/>
      <c r="I1401"/>
      <c r="J1401"/>
      <c r="K1401"/>
      <c r="L1401"/>
      <c r="M1401"/>
      <c r="N1401"/>
      <c r="O1401"/>
      <c r="P1401"/>
      <c r="Q1401"/>
      <c r="R1401"/>
      <c r="S1401"/>
      <c r="T1401"/>
      <c r="U1401"/>
      <c r="V1401"/>
      <c r="W1401"/>
      <c r="X1401"/>
      <c r="Y1401"/>
      <c r="Z1401"/>
      <c r="AA1401"/>
    </row>
    <row r="1402" spans="1:27" s="1" customFormat="1" x14ac:dyDescent="0.3">
      <c r="A1402"/>
      <c r="B1402"/>
      <c r="C1402"/>
      <c r="D1402"/>
      <c r="E1402"/>
      <c r="F1402"/>
      <c r="G1402"/>
      <c r="H1402"/>
      <c r="I1402"/>
      <c r="J1402"/>
      <c r="K1402"/>
      <c r="L1402"/>
      <c r="M1402"/>
      <c r="N1402"/>
      <c r="O1402"/>
      <c r="P1402"/>
      <c r="Q1402"/>
      <c r="R1402"/>
      <c r="S1402"/>
      <c r="T1402"/>
      <c r="U1402"/>
      <c r="V1402"/>
      <c r="W1402"/>
      <c r="X1402"/>
      <c r="Y1402"/>
      <c r="Z1402"/>
      <c r="AA1402"/>
    </row>
    <row r="1403" spans="1:27" s="1" customFormat="1" x14ac:dyDescent="0.3">
      <c r="A1403"/>
      <c r="B1403"/>
      <c r="C1403"/>
      <c r="D1403"/>
      <c r="E1403"/>
      <c r="F1403"/>
      <c r="G1403"/>
      <c r="H1403"/>
      <c r="I1403"/>
      <c r="J1403"/>
      <c r="K1403"/>
      <c r="L1403"/>
      <c r="M1403"/>
      <c r="N1403"/>
      <c r="O1403"/>
      <c r="P1403"/>
      <c r="Q1403"/>
      <c r="R1403"/>
      <c r="S1403"/>
      <c r="T1403"/>
      <c r="U1403"/>
      <c r="V1403"/>
      <c r="W1403"/>
      <c r="X1403"/>
      <c r="Y1403"/>
      <c r="Z1403"/>
      <c r="AA1403"/>
    </row>
    <row r="1404" spans="1:27" s="1" customFormat="1" x14ac:dyDescent="0.3">
      <c r="A1404"/>
      <c r="B1404"/>
      <c r="C1404"/>
      <c r="D1404"/>
      <c r="E1404"/>
      <c r="F1404"/>
      <c r="G1404"/>
      <c r="H1404"/>
      <c r="I1404"/>
      <c r="J1404"/>
      <c r="K1404"/>
      <c r="L1404"/>
      <c r="M1404"/>
      <c r="N1404"/>
      <c r="O1404"/>
      <c r="P1404"/>
      <c r="Q1404"/>
      <c r="R1404"/>
      <c r="S1404"/>
      <c r="T1404"/>
      <c r="U1404"/>
      <c r="V1404"/>
      <c r="W1404"/>
      <c r="X1404"/>
      <c r="Y1404"/>
      <c r="Z1404"/>
      <c r="AA1404"/>
    </row>
    <row r="1405" spans="1:27" s="1" customFormat="1" x14ac:dyDescent="0.3">
      <c r="A1405"/>
      <c r="B1405"/>
      <c r="C1405"/>
      <c r="D1405"/>
      <c r="E1405"/>
      <c r="F1405"/>
      <c r="G1405"/>
      <c r="H1405"/>
      <c r="I1405"/>
      <c r="J1405"/>
      <c r="K1405"/>
      <c r="L1405"/>
      <c r="M1405"/>
      <c r="N1405"/>
      <c r="O1405"/>
      <c r="P1405"/>
      <c r="Q1405"/>
      <c r="R1405"/>
      <c r="S1405"/>
      <c r="T1405"/>
      <c r="U1405"/>
      <c r="V1405"/>
      <c r="W1405"/>
      <c r="X1405"/>
      <c r="Y1405"/>
      <c r="Z1405"/>
      <c r="AA1405"/>
    </row>
    <row r="1406" spans="1:27" s="1" customFormat="1" x14ac:dyDescent="0.3">
      <c r="A1406"/>
      <c r="B1406"/>
      <c r="C1406"/>
      <c r="D1406"/>
      <c r="E1406"/>
      <c r="F1406"/>
      <c r="G1406"/>
      <c r="H1406"/>
      <c r="I1406"/>
      <c r="J1406"/>
      <c r="K1406"/>
      <c r="L1406"/>
      <c r="M1406"/>
      <c r="N1406"/>
      <c r="O1406"/>
      <c r="P1406"/>
      <c r="Q1406"/>
      <c r="R1406"/>
      <c r="S1406"/>
      <c r="T1406"/>
      <c r="U1406"/>
      <c r="V1406"/>
      <c r="W1406"/>
      <c r="X1406"/>
      <c r="Y1406"/>
      <c r="Z1406"/>
      <c r="AA1406"/>
    </row>
    <row r="1407" spans="1:27" s="1" customFormat="1" x14ac:dyDescent="0.3">
      <c r="A1407"/>
      <c r="B1407"/>
      <c r="C1407"/>
      <c r="D1407"/>
      <c r="E1407"/>
      <c r="F1407"/>
      <c r="G1407"/>
      <c r="H1407"/>
      <c r="I1407"/>
      <c r="J1407"/>
      <c r="K1407"/>
      <c r="L1407"/>
      <c r="M1407"/>
      <c r="N1407"/>
      <c r="O1407"/>
      <c r="P1407"/>
      <c r="Q1407"/>
      <c r="R1407"/>
      <c r="S1407"/>
      <c r="T1407"/>
      <c r="U1407"/>
      <c r="V1407"/>
      <c r="W1407"/>
      <c r="X1407"/>
      <c r="Y1407"/>
      <c r="Z1407"/>
      <c r="AA1407"/>
    </row>
    <row r="1408" spans="1:27" s="1" customFormat="1" x14ac:dyDescent="0.3">
      <c r="A1408"/>
      <c r="B1408"/>
      <c r="C1408"/>
      <c r="D1408"/>
      <c r="E1408"/>
      <c r="F1408"/>
      <c r="G1408"/>
      <c r="H1408"/>
      <c r="I1408"/>
      <c r="J1408"/>
      <c r="K1408"/>
      <c r="L1408"/>
      <c r="M1408"/>
      <c r="N1408"/>
      <c r="O1408"/>
      <c r="P1408"/>
      <c r="Q1408"/>
      <c r="R1408"/>
      <c r="S1408"/>
      <c r="T1408"/>
      <c r="U1408"/>
      <c r="V1408"/>
      <c r="W1408"/>
      <c r="X1408"/>
      <c r="Y1408"/>
      <c r="Z1408"/>
      <c r="AA1408"/>
    </row>
    <row r="1409" spans="1:27" s="1" customFormat="1" x14ac:dyDescent="0.3">
      <c r="A1409"/>
      <c r="B1409"/>
      <c r="C1409"/>
      <c r="D1409"/>
      <c r="E1409"/>
      <c r="F1409"/>
      <c r="G1409"/>
      <c r="H1409"/>
      <c r="I1409"/>
      <c r="J1409"/>
      <c r="K1409"/>
      <c r="L1409"/>
      <c r="M1409"/>
      <c r="N1409"/>
      <c r="O1409"/>
      <c r="P1409"/>
      <c r="Q1409"/>
      <c r="R1409"/>
      <c r="S1409"/>
      <c r="T1409"/>
      <c r="U1409"/>
      <c r="V1409"/>
      <c r="W1409"/>
      <c r="X1409"/>
      <c r="Y1409"/>
      <c r="Z1409"/>
      <c r="AA1409"/>
    </row>
    <row r="1410" spans="1:27" s="1" customFormat="1" x14ac:dyDescent="0.3">
      <c r="A1410"/>
      <c r="B1410"/>
      <c r="C1410"/>
      <c r="D1410"/>
      <c r="E1410"/>
      <c r="F1410"/>
      <c r="G1410"/>
      <c r="H1410"/>
      <c r="I1410"/>
      <c r="J1410"/>
      <c r="K1410"/>
      <c r="L1410"/>
      <c r="M1410"/>
      <c r="N1410"/>
      <c r="O1410"/>
      <c r="P1410"/>
      <c r="Q1410"/>
      <c r="R1410"/>
      <c r="S1410"/>
      <c r="T1410"/>
      <c r="U1410"/>
      <c r="V1410"/>
      <c r="W1410"/>
      <c r="X1410"/>
      <c r="Y1410"/>
      <c r="Z1410"/>
      <c r="AA1410"/>
    </row>
    <row r="1411" spans="1:27" s="1" customFormat="1" x14ac:dyDescent="0.3">
      <c r="A1411"/>
      <c r="B1411"/>
      <c r="C1411"/>
      <c r="D1411"/>
      <c r="E1411"/>
      <c r="F1411"/>
      <c r="G1411"/>
      <c r="H1411"/>
      <c r="I1411"/>
      <c r="J1411"/>
      <c r="K1411"/>
      <c r="L1411"/>
      <c r="M1411"/>
      <c r="N1411"/>
      <c r="O1411"/>
      <c r="P1411"/>
      <c r="Q1411"/>
      <c r="R1411"/>
      <c r="S1411"/>
      <c r="T1411"/>
      <c r="U1411"/>
      <c r="V1411"/>
      <c r="W1411"/>
      <c r="X1411"/>
      <c r="Y1411"/>
      <c r="Z1411"/>
      <c r="AA1411"/>
    </row>
    <row r="1412" spans="1:27" s="1" customFormat="1" x14ac:dyDescent="0.3">
      <c r="A1412"/>
      <c r="B1412"/>
      <c r="C1412"/>
      <c r="D1412"/>
      <c r="E1412"/>
      <c r="F1412"/>
      <c r="G1412"/>
      <c r="H1412"/>
      <c r="I1412"/>
      <c r="J1412"/>
      <c r="K1412"/>
      <c r="L1412"/>
      <c r="M1412"/>
      <c r="N1412"/>
      <c r="O1412"/>
      <c r="P1412"/>
      <c r="Q1412"/>
      <c r="R1412"/>
      <c r="S1412"/>
      <c r="T1412"/>
      <c r="U1412"/>
      <c r="V1412"/>
      <c r="W1412"/>
      <c r="X1412"/>
      <c r="Y1412"/>
      <c r="Z1412"/>
      <c r="AA1412"/>
    </row>
    <row r="1413" spans="1:27" s="1" customFormat="1" x14ac:dyDescent="0.3">
      <c r="A1413"/>
      <c r="B1413"/>
      <c r="C1413"/>
      <c r="D1413"/>
      <c r="E1413"/>
      <c r="F1413"/>
      <c r="G1413"/>
      <c r="H1413"/>
      <c r="I1413"/>
      <c r="J1413"/>
      <c r="K1413"/>
      <c r="L1413"/>
      <c r="M1413"/>
      <c r="N1413"/>
      <c r="O1413"/>
      <c r="P1413"/>
      <c r="Q1413"/>
      <c r="R1413"/>
      <c r="S1413"/>
      <c r="T1413"/>
      <c r="U1413"/>
      <c r="V1413"/>
      <c r="W1413"/>
      <c r="X1413"/>
      <c r="Y1413"/>
      <c r="Z1413"/>
      <c r="AA1413"/>
    </row>
    <row r="1414" spans="1:27" s="1" customFormat="1" x14ac:dyDescent="0.3">
      <c r="A1414"/>
      <c r="B1414"/>
      <c r="C1414"/>
      <c r="D1414"/>
      <c r="E1414"/>
      <c r="F1414"/>
      <c r="G1414"/>
      <c r="H1414"/>
      <c r="I1414"/>
      <c r="J1414"/>
      <c r="K1414"/>
      <c r="L1414"/>
      <c r="M1414"/>
      <c r="N1414"/>
      <c r="O1414"/>
      <c r="P1414"/>
      <c r="Q1414"/>
      <c r="R1414"/>
      <c r="S1414"/>
      <c r="T1414"/>
      <c r="U1414"/>
      <c r="V1414"/>
      <c r="W1414"/>
      <c r="X1414"/>
      <c r="Y1414"/>
      <c r="Z1414"/>
      <c r="AA1414"/>
    </row>
    <row r="1415" spans="1:27" s="1" customFormat="1" x14ac:dyDescent="0.3">
      <c r="A1415"/>
      <c r="B1415"/>
      <c r="C1415"/>
      <c r="D1415"/>
      <c r="E1415"/>
      <c r="F1415"/>
      <c r="G1415"/>
      <c r="H1415"/>
      <c r="I1415"/>
      <c r="J1415"/>
      <c r="K1415"/>
      <c r="L1415"/>
      <c r="M1415"/>
      <c r="N1415"/>
      <c r="O1415"/>
      <c r="P1415"/>
      <c r="Q1415"/>
      <c r="R1415"/>
      <c r="S1415"/>
      <c r="T1415"/>
      <c r="U1415"/>
      <c r="V1415"/>
      <c r="W1415"/>
      <c r="X1415"/>
      <c r="Y1415"/>
      <c r="Z1415"/>
      <c r="AA1415"/>
    </row>
    <row r="1416" spans="1:27" s="1" customFormat="1" x14ac:dyDescent="0.3">
      <c r="A1416"/>
      <c r="B1416"/>
      <c r="C1416"/>
      <c r="D1416"/>
      <c r="E1416"/>
      <c r="F1416"/>
      <c r="G1416"/>
      <c r="H1416"/>
      <c r="I1416"/>
      <c r="J1416"/>
      <c r="K1416"/>
      <c r="L1416"/>
      <c r="M1416"/>
      <c r="N1416"/>
      <c r="O1416"/>
      <c r="P1416"/>
      <c r="Q1416"/>
      <c r="R1416"/>
      <c r="S1416"/>
      <c r="T1416"/>
      <c r="U1416"/>
      <c r="V1416"/>
      <c r="W1416"/>
      <c r="X1416"/>
      <c r="Y1416"/>
      <c r="Z1416"/>
      <c r="AA1416"/>
    </row>
    <row r="1417" spans="1:27" s="1" customFormat="1" x14ac:dyDescent="0.3">
      <c r="A1417"/>
      <c r="B1417"/>
      <c r="C1417"/>
      <c r="D1417"/>
      <c r="E1417"/>
      <c r="F1417"/>
      <c r="G1417"/>
      <c r="H1417"/>
      <c r="I1417"/>
      <c r="J1417"/>
      <c r="K1417"/>
      <c r="L1417"/>
      <c r="M1417"/>
      <c r="N1417"/>
      <c r="O1417"/>
      <c r="P1417"/>
      <c r="Q1417"/>
      <c r="R1417"/>
      <c r="S1417"/>
      <c r="T1417"/>
      <c r="U1417"/>
      <c r="V1417"/>
      <c r="W1417"/>
      <c r="X1417"/>
      <c r="Y1417"/>
      <c r="Z1417"/>
      <c r="AA1417"/>
    </row>
    <row r="1418" spans="1:27" s="1" customFormat="1" x14ac:dyDescent="0.3">
      <c r="A1418"/>
      <c r="B1418"/>
      <c r="C1418"/>
      <c r="D1418"/>
      <c r="E1418"/>
      <c r="F1418"/>
      <c r="G1418"/>
      <c r="H1418"/>
      <c r="I1418"/>
      <c r="J1418"/>
      <c r="K1418"/>
      <c r="L1418"/>
      <c r="M1418"/>
      <c r="N1418"/>
      <c r="O1418"/>
      <c r="P1418"/>
      <c r="Q1418"/>
      <c r="R1418"/>
      <c r="S1418"/>
      <c r="T1418"/>
      <c r="U1418"/>
      <c r="V1418"/>
      <c r="W1418"/>
      <c r="X1418"/>
      <c r="Y1418"/>
      <c r="Z1418"/>
      <c r="AA1418"/>
    </row>
    <row r="1419" spans="1:27" s="1" customFormat="1" x14ac:dyDescent="0.3">
      <c r="A1419"/>
      <c r="B1419"/>
      <c r="C1419"/>
      <c r="D1419"/>
      <c r="E1419"/>
      <c r="F1419"/>
      <c r="G1419"/>
      <c r="H1419"/>
      <c r="I1419"/>
      <c r="J1419"/>
      <c r="K1419"/>
      <c r="L1419"/>
      <c r="M1419"/>
      <c r="N1419"/>
      <c r="O1419"/>
      <c r="P1419"/>
      <c r="Q1419"/>
      <c r="R1419"/>
      <c r="S1419"/>
      <c r="T1419"/>
      <c r="U1419"/>
      <c r="V1419"/>
      <c r="W1419"/>
      <c r="X1419"/>
      <c r="Y1419"/>
      <c r="Z1419"/>
      <c r="AA1419"/>
    </row>
    <row r="1420" spans="1:27" s="1" customFormat="1" x14ac:dyDescent="0.3">
      <c r="A1420"/>
      <c r="B1420"/>
      <c r="C1420"/>
      <c r="D1420"/>
      <c r="E1420"/>
      <c r="F1420"/>
      <c r="G1420"/>
      <c r="H1420"/>
      <c r="I1420"/>
      <c r="J1420"/>
      <c r="K1420"/>
      <c r="L1420"/>
      <c r="M1420"/>
      <c r="N1420"/>
      <c r="O1420"/>
      <c r="P1420"/>
      <c r="Q1420"/>
      <c r="R1420"/>
      <c r="S1420"/>
      <c r="T1420"/>
      <c r="U1420"/>
      <c r="V1420"/>
      <c r="W1420"/>
      <c r="X1420"/>
      <c r="Y1420"/>
      <c r="Z1420"/>
      <c r="AA1420"/>
    </row>
    <row r="1421" spans="1:27" s="1" customFormat="1" x14ac:dyDescent="0.3">
      <c r="A1421"/>
      <c r="B1421"/>
      <c r="C1421"/>
      <c r="D1421"/>
      <c r="E1421"/>
      <c r="F1421"/>
      <c r="G1421"/>
      <c r="H1421"/>
      <c r="I1421"/>
      <c r="J1421"/>
      <c r="K1421"/>
      <c r="L1421"/>
      <c r="M1421"/>
      <c r="N1421"/>
      <c r="O1421"/>
      <c r="P1421"/>
      <c r="Q1421"/>
      <c r="R1421"/>
      <c r="S1421"/>
      <c r="T1421"/>
      <c r="U1421"/>
      <c r="V1421"/>
      <c r="W1421"/>
      <c r="X1421"/>
      <c r="Y1421"/>
      <c r="Z1421"/>
      <c r="AA1421"/>
    </row>
    <row r="1422" spans="1:27" s="1" customFormat="1" x14ac:dyDescent="0.3">
      <c r="A1422"/>
      <c r="B1422"/>
      <c r="C1422"/>
      <c r="D1422"/>
      <c r="E1422"/>
      <c r="F1422"/>
      <c r="G1422"/>
      <c r="H1422"/>
      <c r="I1422"/>
      <c r="J1422"/>
      <c r="K1422"/>
      <c r="L1422"/>
      <c r="M1422"/>
      <c r="N1422"/>
      <c r="O1422"/>
      <c r="P1422"/>
      <c r="Q1422"/>
      <c r="R1422"/>
      <c r="S1422"/>
      <c r="T1422"/>
      <c r="U1422"/>
      <c r="V1422"/>
      <c r="W1422"/>
      <c r="X1422"/>
      <c r="Y1422"/>
      <c r="Z1422"/>
      <c r="AA1422"/>
    </row>
    <row r="1423" spans="1:27" s="1" customFormat="1" x14ac:dyDescent="0.3">
      <c r="A1423"/>
      <c r="B1423"/>
      <c r="C1423"/>
      <c r="D1423"/>
      <c r="E1423"/>
      <c r="F1423"/>
      <c r="G1423"/>
      <c r="H1423"/>
      <c r="I1423"/>
      <c r="J1423"/>
      <c r="K1423"/>
      <c r="L1423"/>
      <c r="M1423"/>
      <c r="N1423"/>
      <c r="O1423"/>
      <c r="P1423"/>
      <c r="Q1423"/>
      <c r="R1423"/>
      <c r="S1423"/>
      <c r="T1423"/>
      <c r="U1423"/>
      <c r="V1423"/>
      <c r="W1423"/>
      <c r="X1423"/>
      <c r="Y1423"/>
      <c r="Z1423"/>
      <c r="AA1423"/>
    </row>
    <row r="1424" spans="1:27" s="1" customFormat="1" x14ac:dyDescent="0.3">
      <c r="A1424"/>
      <c r="B1424"/>
      <c r="C1424"/>
      <c r="D1424"/>
      <c r="E1424"/>
      <c r="F1424"/>
      <c r="G1424"/>
      <c r="H1424"/>
      <c r="I1424"/>
      <c r="J1424"/>
      <c r="K1424"/>
      <c r="L1424"/>
      <c r="M1424"/>
      <c r="N1424"/>
      <c r="O1424"/>
      <c r="P1424"/>
      <c r="Q1424"/>
      <c r="R1424"/>
      <c r="S1424"/>
      <c r="T1424"/>
      <c r="U1424"/>
      <c r="V1424"/>
      <c r="W1424"/>
      <c r="X1424"/>
      <c r="Y1424"/>
      <c r="Z1424"/>
      <c r="AA1424"/>
    </row>
    <row r="1425" spans="1:27" s="1" customFormat="1" x14ac:dyDescent="0.3">
      <c r="A1425"/>
      <c r="B1425"/>
      <c r="C1425"/>
      <c r="D1425"/>
      <c r="E1425"/>
      <c r="F1425"/>
      <c r="G1425"/>
      <c r="H1425"/>
      <c r="I1425"/>
      <c r="J1425"/>
      <c r="K1425"/>
      <c r="L1425"/>
      <c r="M1425"/>
      <c r="N1425"/>
      <c r="O1425"/>
      <c r="P1425"/>
      <c r="Q1425"/>
      <c r="R1425"/>
      <c r="S1425"/>
      <c r="T1425"/>
      <c r="U1425"/>
      <c r="V1425"/>
      <c r="W1425"/>
      <c r="X1425"/>
      <c r="Y1425"/>
      <c r="Z1425"/>
      <c r="AA1425"/>
    </row>
    <row r="1426" spans="1:27" s="1" customFormat="1" x14ac:dyDescent="0.3">
      <c r="A1426"/>
      <c r="B1426"/>
      <c r="C1426"/>
      <c r="D1426"/>
      <c r="E1426"/>
      <c r="F1426"/>
      <c r="G1426"/>
      <c r="H1426"/>
      <c r="I1426"/>
      <c r="J1426"/>
      <c r="K1426"/>
      <c r="L1426"/>
      <c r="M1426"/>
      <c r="N1426"/>
      <c r="O1426"/>
      <c r="P1426"/>
      <c r="Q1426"/>
      <c r="R1426"/>
      <c r="S1426"/>
      <c r="T1426"/>
      <c r="U1426"/>
      <c r="V1426"/>
      <c r="W1426"/>
      <c r="X1426"/>
      <c r="Y1426"/>
      <c r="Z1426"/>
      <c r="AA1426"/>
    </row>
    <row r="1427" spans="1:27" s="1" customFormat="1" x14ac:dyDescent="0.3">
      <c r="A1427"/>
      <c r="B1427"/>
      <c r="C1427"/>
      <c r="D1427"/>
      <c r="E1427"/>
      <c r="F1427"/>
      <c r="G1427"/>
      <c r="H1427"/>
      <c r="I1427"/>
      <c r="J1427"/>
      <c r="K1427"/>
      <c r="L1427"/>
      <c r="M1427"/>
      <c r="N1427"/>
      <c r="O1427"/>
      <c r="P1427"/>
      <c r="Q1427"/>
      <c r="R1427"/>
      <c r="S1427"/>
      <c r="T1427"/>
      <c r="U1427"/>
      <c r="V1427"/>
      <c r="W1427"/>
      <c r="X1427"/>
      <c r="Y1427"/>
      <c r="Z1427"/>
      <c r="AA1427"/>
    </row>
    <row r="1428" spans="1:27" s="1" customFormat="1" x14ac:dyDescent="0.3">
      <c r="A1428"/>
      <c r="B1428"/>
      <c r="C1428"/>
      <c r="D1428"/>
      <c r="E1428"/>
      <c r="F1428"/>
      <c r="G1428"/>
      <c r="H1428"/>
      <c r="I1428"/>
      <c r="J1428"/>
      <c r="K1428"/>
      <c r="L1428"/>
      <c r="M1428"/>
      <c r="N1428"/>
      <c r="O1428"/>
      <c r="P1428"/>
      <c r="Q1428"/>
      <c r="R1428"/>
      <c r="S1428"/>
      <c r="T1428"/>
      <c r="U1428"/>
      <c r="V1428"/>
      <c r="W1428"/>
      <c r="X1428"/>
      <c r="Y1428"/>
      <c r="Z1428"/>
      <c r="AA1428"/>
    </row>
    <row r="1429" spans="1:27" s="1" customFormat="1" x14ac:dyDescent="0.3">
      <c r="A1429"/>
      <c r="B1429"/>
      <c r="C1429"/>
      <c r="D1429"/>
      <c r="E1429"/>
      <c r="F1429"/>
      <c r="G1429"/>
      <c r="H1429"/>
      <c r="I1429"/>
      <c r="J1429"/>
      <c r="K1429"/>
      <c r="L1429"/>
      <c r="M1429"/>
      <c r="N1429"/>
      <c r="O1429"/>
      <c r="P1429"/>
      <c r="Q1429"/>
      <c r="R1429"/>
      <c r="S1429"/>
      <c r="T1429"/>
      <c r="U1429"/>
      <c r="V1429"/>
      <c r="W1429"/>
      <c r="X1429"/>
      <c r="Y1429"/>
      <c r="Z1429"/>
      <c r="AA1429"/>
    </row>
    <row r="1430" spans="1:27" s="1" customFormat="1" x14ac:dyDescent="0.3">
      <c r="A1430"/>
      <c r="B1430"/>
      <c r="C1430"/>
      <c r="D1430"/>
      <c r="E1430"/>
      <c r="F1430"/>
      <c r="G1430"/>
      <c r="H1430"/>
      <c r="I1430"/>
      <c r="J1430"/>
      <c r="K1430"/>
      <c r="L1430"/>
      <c r="M1430"/>
      <c r="N1430"/>
      <c r="O1430"/>
      <c r="P1430"/>
      <c r="Q1430"/>
      <c r="R1430"/>
      <c r="S1430"/>
      <c r="T1430"/>
      <c r="U1430"/>
      <c r="V1430"/>
      <c r="W1430"/>
      <c r="X1430"/>
      <c r="Y1430"/>
      <c r="Z1430"/>
      <c r="AA1430"/>
    </row>
    <row r="1431" spans="1:27" s="1" customFormat="1" x14ac:dyDescent="0.3">
      <c r="A1431"/>
      <c r="B1431"/>
      <c r="C1431"/>
      <c r="D1431"/>
      <c r="E1431"/>
      <c r="F1431"/>
      <c r="G1431"/>
      <c r="H1431"/>
      <c r="I1431"/>
      <c r="J1431"/>
      <c r="K1431"/>
      <c r="L1431"/>
      <c r="M1431"/>
      <c r="N1431"/>
      <c r="O1431"/>
      <c r="P1431"/>
      <c r="Q1431"/>
      <c r="R1431"/>
      <c r="S1431"/>
      <c r="T1431"/>
      <c r="U1431"/>
      <c r="V1431"/>
      <c r="W1431"/>
      <c r="X1431"/>
      <c r="Y1431"/>
      <c r="Z1431"/>
      <c r="AA1431"/>
    </row>
    <row r="1432" spans="1:27" s="1" customFormat="1" x14ac:dyDescent="0.3">
      <c r="A1432"/>
      <c r="B1432"/>
      <c r="C1432"/>
      <c r="D1432"/>
      <c r="E1432"/>
      <c r="F1432"/>
      <c r="G1432"/>
      <c r="H1432"/>
      <c r="I1432"/>
      <c r="J1432"/>
      <c r="K1432"/>
      <c r="L1432"/>
      <c r="M1432"/>
      <c r="N1432"/>
      <c r="O1432"/>
      <c r="P1432"/>
      <c r="Q1432"/>
      <c r="R1432"/>
      <c r="S1432"/>
      <c r="T1432"/>
      <c r="U1432"/>
      <c r="V1432"/>
      <c r="W1432"/>
      <c r="X1432"/>
      <c r="Y1432"/>
      <c r="Z1432"/>
      <c r="AA1432"/>
    </row>
    <row r="1433" spans="1:27" s="1" customFormat="1" x14ac:dyDescent="0.3">
      <c r="A1433"/>
      <c r="B1433"/>
      <c r="C1433"/>
      <c r="D1433"/>
      <c r="E1433"/>
      <c r="F1433"/>
      <c r="G1433"/>
      <c r="H1433"/>
      <c r="I1433"/>
      <c r="J1433"/>
      <c r="K1433"/>
      <c r="L1433"/>
      <c r="M1433"/>
      <c r="N1433"/>
      <c r="O1433"/>
      <c r="P1433"/>
      <c r="Q1433"/>
      <c r="R1433"/>
      <c r="S1433"/>
      <c r="T1433"/>
      <c r="U1433"/>
      <c r="V1433"/>
      <c r="W1433"/>
      <c r="X1433"/>
      <c r="Y1433"/>
      <c r="Z1433"/>
      <c r="AA1433"/>
    </row>
    <row r="1434" spans="1:27" s="1" customFormat="1" x14ac:dyDescent="0.3">
      <c r="A1434"/>
      <c r="B1434"/>
      <c r="C1434"/>
      <c r="D1434"/>
      <c r="E1434"/>
      <c r="F1434"/>
      <c r="G1434"/>
      <c r="H1434"/>
      <c r="I1434"/>
      <c r="J1434"/>
      <c r="K1434"/>
      <c r="L1434"/>
      <c r="M1434"/>
      <c r="N1434"/>
      <c r="O1434"/>
      <c r="P1434"/>
      <c r="Q1434"/>
      <c r="R1434"/>
      <c r="S1434"/>
      <c r="T1434"/>
      <c r="U1434"/>
      <c r="V1434"/>
      <c r="W1434"/>
      <c r="X1434"/>
      <c r="Y1434"/>
      <c r="Z1434"/>
      <c r="AA1434"/>
    </row>
    <row r="1435" spans="1:27" s="1" customFormat="1" x14ac:dyDescent="0.3">
      <c r="A1435"/>
      <c r="B1435"/>
      <c r="C1435"/>
      <c r="D1435"/>
      <c r="E1435"/>
      <c r="F1435"/>
      <c r="G1435"/>
      <c r="H1435"/>
      <c r="I1435"/>
      <c r="J1435"/>
      <c r="K1435"/>
      <c r="L1435"/>
      <c r="M1435"/>
      <c r="N1435"/>
      <c r="O1435"/>
      <c r="P1435"/>
      <c r="Q1435"/>
      <c r="R1435"/>
      <c r="S1435"/>
      <c r="T1435"/>
      <c r="U1435"/>
      <c r="V1435"/>
      <c r="W1435"/>
      <c r="X1435"/>
      <c r="Y1435"/>
      <c r="Z1435"/>
      <c r="AA1435"/>
    </row>
    <row r="1436" spans="1:27" s="1" customFormat="1" x14ac:dyDescent="0.3">
      <c r="A1436"/>
      <c r="B1436"/>
      <c r="C1436"/>
      <c r="D1436"/>
      <c r="E1436"/>
      <c r="F1436"/>
      <c r="G1436"/>
      <c r="H1436"/>
      <c r="I1436"/>
      <c r="J1436"/>
      <c r="K1436"/>
      <c r="L1436"/>
      <c r="M1436"/>
      <c r="N1436"/>
      <c r="O1436"/>
      <c r="P1436"/>
      <c r="Q1436"/>
      <c r="R1436"/>
      <c r="S1436"/>
      <c r="T1436"/>
      <c r="U1436"/>
      <c r="V1436"/>
      <c r="W1436"/>
      <c r="X1436"/>
      <c r="Y1436"/>
      <c r="Z1436"/>
      <c r="AA1436"/>
    </row>
    <row r="1437" spans="1:27" s="1" customFormat="1" x14ac:dyDescent="0.3">
      <c r="A1437"/>
      <c r="B1437"/>
      <c r="C1437"/>
      <c r="D1437"/>
      <c r="E1437"/>
      <c r="F1437"/>
      <c r="G1437"/>
      <c r="H1437"/>
      <c r="I1437"/>
      <c r="J1437"/>
      <c r="K1437"/>
      <c r="L1437"/>
      <c r="M1437"/>
      <c r="N1437"/>
      <c r="O1437"/>
      <c r="P1437"/>
      <c r="Q1437"/>
      <c r="R1437"/>
      <c r="S1437"/>
      <c r="T1437"/>
      <c r="U1437"/>
      <c r="V1437"/>
      <c r="W1437"/>
      <c r="X1437"/>
      <c r="Y1437"/>
      <c r="Z1437"/>
      <c r="AA1437"/>
    </row>
    <row r="1438" spans="1:27" s="1" customFormat="1" x14ac:dyDescent="0.3">
      <c r="A1438"/>
      <c r="B1438"/>
      <c r="C1438"/>
      <c r="D1438"/>
      <c r="E1438"/>
      <c r="F1438"/>
      <c r="G1438"/>
      <c r="H1438"/>
      <c r="I1438"/>
      <c r="J1438"/>
      <c r="K1438"/>
      <c r="L1438"/>
      <c r="M1438"/>
      <c r="N1438"/>
      <c r="O1438"/>
      <c r="P1438"/>
      <c r="Q1438"/>
      <c r="R1438"/>
      <c r="S1438"/>
      <c r="T1438"/>
      <c r="U1438"/>
      <c r="V1438"/>
      <c r="W1438"/>
      <c r="X1438"/>
      <c r="Y1438"/>
      <c r="Z1438"/>
      <c r="AA1438"/>
    </row>
    <row r="1439" spans="1:27" s="1" customFormat="1" x14ac:dyDescent="0.3">
      <c r="A1439"/>
      <c r="B1439"/>
      <c r="C1439"/>
      <c r="D1439"/>
      <c r="E1439"/>
      <c r="F1439"/>
      <c r="G1439"/>
      <c r="H1439"/>
      <c r="I1439"/>
      <c r="J1439"/>
      <c r="K1439"/>
      <c r="L1439"/>
      <c r="M1439"/>
      <c r="N1439"/>
      <c r="O1439"/>
      <c r="P1439"/>
      <c r="Q1439"/>
      <c r="R1439"/>
      <c r="S1439"/>
      <c r="T1439"/>
      <c r="U1439"/>
      <c r="V1439"/>
      <c r="W1439"/>
      <c r="X1439"/>
      <c r="Y1439"/>
      <c r="Z1439"/>
      <c r="AA1439"/>
    </row>
    <row r="1440" spans="1:27" s="1" customFormat="1" x14ac:dyDescent="0.3">
      <c r="A1440"/>
      <c r="B1440"/>
      <c r="C1440"/>
      <c r="D1440"/>
      <c r="E1440"/>
      <c r="F1440"/>
      <c r="G1440"/>
      <c r="H1440"/>
      <c r="I1440"/>
      <c r="J1440"/>
      <c r="K1440"/>
      <c r="L1440"/>
      <c r="M1440"/>
      <c r="N1440"/>
      <c r="O1440"/>
      <c r="P1440"/>
      <c r="Q1440"/>
      <c r="R1440"/>
      <c r="S1440"/>
      <c r="T1440"/>
      <c r="U1440"/>
      <c r="V1440"/>
      <c r="W1440"/>
      <c r="X1440"/>
      <c r="Y1440"/>
      <c r="Z1440"/>
      <c r="AA1440"/>
    </row>
    <row r="1441" spans="1:27" s="1" customFormat="1" x14ac:dyDescent="0.3">
      <c r="A1441"/>
      <c r="B1441"/>
      <c r="C1441"/>
      <c r="D1441"/>
      <c r="E1441"/>
      <c r="F1441"/>
      <c r="G1441"/>
      <c r="H1441"/>
      <c r="I1441"/>
      <c r="J1441"/>
      <c r="K1441"/>
      <c r="L1441"/>
      <c r="M1441"/>
      <c r="N1441"/>
      <c r="O1441"/>
      <c r="P1441"/>
      <c r="Q1441"/>
      <c r="R1441"/>
      <c r="S1441"/>
      <c r="T1441"/>
      <c r="U1441"/>
      <c r="V1441"/>
      <c r="W1441"/>
      <c r="X1441"/>
      <c r="Y1441"/>
      <c r="Z1441"/>
      <c r="AA1441"/>
    </row>
    <row r="1442" spans="1:27" s="1" customFormat="1" x14ac:dyDescent="0.3">
      <c r="A1442"/>
      <c r="B1442"/>
      <c r="C1442"/>
      <c r="D1442"/>
      <c r="E1442"/>
      <c r="F1442"/>
      <c r="G1442"/>
      <c r="H1442"/>
      <c r="I1442"/>
      <c r="J1442"/>
      <c r="K1442"/>
      <c r="L1442"/>
      <c r="M1442"/>
      <c r="N1442"/>
      <c r="O1442"/>
      <c r="P1442"/>
      <c r="Q1442"/>
      <c r="R1442"/>
      <c r="S1442"/>
      <c r="T1442"/>
      <c r="U1442"/>
      <c r="V1442"/>
      <c r="W1442"/>
      <c r="X1442"/>
      <c r="Y1442"/>
      <c r="Z1442"/>
      <c r="AA1442"/>
    </row>
    <row r="1443" spans="1:27" s="1" customFormat="1" x14ac:dyDescent="0.3">
      <c r="A1443"/>
      <c r="B1443"/>
      <c r="C1443"/>
      <c r="D1443"/>
      <c r="E1443"/>
      <c r="F1443"/>
      <c r="G1443"/>
      <c r="H1443"/>
      <c r="I1443"/>
      <c r="J1443"/>
      <c r="K1443"/>
      <c r="L1443"/>
      <c r="M1443"/>
      <c r="N1443"/>
      <c r="O1443"/>
      <c r="P1443"/>
      <c r="Q1443"/>
      <c r="R1443"/>
      <c r="S1443"/>
      <c r="T1443"/>
      <c r="U1443"/>
      <c r="V1443"/>
      <c r="W1443"/>
      <c r="X1443"/>
      <c r="Y1443"/>
      <c r="Z1443"/>
      <c r="AA1443"/>
    </row>
    <row r="1444" spans="1:27" s="1" customFormat="1" x14ac:dyDescent="0.3">
      <c r="A1444"/>
      <c r="B1444"/>
      <c r="C1444"/>
      <c r="D1444"/>
      <c r="E1444"/>
      <c r="F1444"/>
      <c r="G1444"/>
      <c r="H1444"/>
      <c r="I1444"/>
      <c r="J1444"/>
      <c r="K1444"/>
      <c r="L1444"/>
      <c r="M1444"/>
      <c r="N1444"/>
      <c r="O1444"/>
      <c r="P1444"/>
      <c r="Q1444"/>
      <c r="R1444"/>
      <c r="S1444"/>
      <c r="T1444"/>
      <c r="U1444"/>
      <c r="V1444"/>
      <c r="W1444"/>
      <c r="X1444"/>
      <c r="Y1444"/>
      <c r="Z1444"/>
      <c r="AA1444"/>
    </row>
    <row r="1445" spans="1:27" s="1" customFormat="1" x14ac:dyDescent="0.3">
      <c r="A1445"/>
      <c r="B1445"/>
      <c r="C1445"/>
      <c r="D1445"/>
      <c r="E1445"/>
      <c r="F1445"/>
      <c r="G1445"/>
      <c r="H1445"/>
      <c r="I1445"/>
      <c r="J1445"/>
      <c r="K1445"/>
      <c r="L1445"/>
      <c r="M1445"/>
      <c r="N1445"/>
      <c r="O1445"/>
      <c r="P1445"/>
      <c r="Q1445"/>
      <c r="R1445"/>
      <c r="S1445"/>
      <c r="T1445"/>
      <c r="U1445"/>
      <c r="V1445"/>
      <c r="W1445"/>
      <c r="X1445"/>
      <c r="Y1445"/>
      <c r="Z1445"/>
      <c r="AA1445"/>
    </row>
    <row r="1446" spans="1:27" s="1" customFormat="1" x14ac:dyDescent="0.3">
      <c r="A1446"/>
      <c r="B1446"/>
      <c r="C1446"/>
      <c r="D1446"/>
      <c r="E1446"/>
      <c r="F1446"/>
      <c r="G1446"/>
      <c r="H1446"/>
      <c r="I1446"/>
      <c r="J1446"/>
      <c r="K1446"/>
      <c r="L1446"/>
      <c r="M1446"/>
      <c r="N1446"/>
      <c r="O1446"/>
      <c r="P1446"/>
      <c r="Q1446"/>
      <c r="R1446"/>
      <c r="S1446"/>
      <c r="T1446"/>
      <c r="U1446"/>
      <c r="V1446"/>
      <c r="W1446"/>
      <c r="X1446"/>
      <c r="Y1446"/>
      <c r="Z1446"/>
      <c r="AA1446"/>
    </row>
    <row r="1447" spans="1:27" s="1" customFormat="1" x14ac:dyDescent="0.3">
      <c r="A1447"/>
      <c r="B1447"/>
      <c r="C1447"/>
      <c r="D1447"/>
      <c r="E1447"/>
      <c r="F1447"/>
      <c r="G1447"/>
      <c r="H1447"/>
      <c r="I1447"/>
      <c r="J1447"/>
      <c r="K1447"/>
      <c r="L1447"/>
      <c r="M1447"/>
      <c r="N1447"/>
      <c r="O1447"/>
      <c r="P1447"/>
      <c r="Q1447"/>
      <c r="R1447"/>
      <c r="S1447"/>
      <c r="T1447"/>
      <c r="U1447"/>
      <c r="V1447"/>
      <c r="W1447"/>
      <c r="X1447"/>
      <c r="Y1447"/>
      <c r="Z1447"/>
      <c r="AA1447"/>
    </row>
    <row r="1448" spans="1:27" s="1" customFormat="1" x14ac:dyDescent="0.3">
      <c r="A1448"/>
      <c r="B1448"/>
      <c r="C1448"/>
      <c r="D1448"/>
      <c r="E1448"/>
      <c r="F1448"/>
      <c r="G1448"/>
      <c r="H1448"/>
      <c r="I1448"/>
      <c r="J1448"/>
      <c r="K1448"/>
      <c r="L1448"/>
      <c r="M1448"/>
      <c r="N1448"/>
      <c r="O1448"/>
      <c r="P1448"/>
      <c r="Q1448"/>
      <c r="R1448"/>
      <c r="S1448"/>
      <c r="T1448"/>
      <c r="U1448"/>
      <c r="V1448"/>
      <c r="W1448"/>
      <c r="X1448"/>
      <c r="Y1448"/>
      <c r="Z1448"/>
      <c r="AA1448"/>
    </row>
    <row r="1449" spans="1:27" s="1" customFormat="1" x14ac:dyDescent="0.3">
      <c r="A1449"/>
      <c r="B1449"/>
      <c r="C1449"/>
      <c r="D1449"/>
      <c r="E1449"/>
      <c r="F1449"/>
      <c r="G1449"/>
      <c r="H1449"/>
      <c r="I1449"/>
      <c r="J1449"/>
      <c r="K1449"/>
      <c r="L1449"/>
      <c r="M1449"/>
      <c r="N1449"/>
      <c r="O1449"/>
      <c r="P1449"/>
      <c r="Q1449"/>
      <c r="R1449"/>
      <c r="S1449"/>
      <c r="T1449"/>
      <c r="U1449"/>
      <c r="V1449"/>
      <c r="W1449"/>
      <c r="X1449"/>
      <c r="Y1449"/>
      <c r="Z1449"/>
      <c r="AA1449"/>
    </row>
    <row r="1450" spans="1:27" s="1" customFormat="1" x14ac:dyDescent="0.3">
      <c r="A1450"/>
      <c r="B1450"/>
      <c r="C1450"/>
      <c r="D1450"/>
      <c r="E1450"/>
      <c r="F1450"/>
      <c r="G1450"/>
      <c r="H1450"/>
      <c r="I1450"/>
      <c r="J1450"/>
      <c r="K1450"/>
      <c r="L1450"/>
      <c r="M1450"/>
      <c r="N1450"/>
      <c r="O1450"/>
      <c r="P1450"/>
      <c r="Q1450"/>
      <c r="R1450"/>
      <c r="S1450"/>
      <c r="T1450"/>
      <c r="U1450"/>
      <c r="V1450"/>
      <c r="W1450"/>
      <c r="X1450"/>
      <c r="Y1450"/>
      <c r="Z1450"/>
      <c r="AA1450"/>
    </row>
    <row r="1451" spans="1:27" s="1" customFormat="1" x14ac:dyDescent="0.3">
      <c r="A1451"/>
      <c r="B1451"/>
      <c r="C1451"/>
      <c r="D1451"/>
      <c r="E1451"/>
      <c r="F1451"/>
      <c r="G1451"/>
      <c r="H1451"/>
      <c r="I1451"/>
      <c r="J1451"/>
      <c r="K1451"/>
      <c r="L1451"/>
      <c r="M1451"/>
      <c r="N1451"/>
      <c r="O1451"/>
      <c r="P1451"/>
      <c r="Q1451"/>
      <c r="R1451"/>
      <c r="S1451"/>
      <c r="T1451"/>
      <c r="U1451"/>
      <c r="V1451"/>
      <c r="W1451"/>
      <c r="X1451"/>
      <c r="Y1451"/>
      <c r="Z1451"/>
      <c r="AA1451"/>
    </row>
    <row r="1452" spans="1:27" s="1" customFormat="1" x14ac:dyDescent="0.3">
      <c r="A1452"/>
      <c r="B1452"/>
      <c r="C1452"/>
      <c r="D1452"/>
      <c r="E1452"/>
      <c r="F1452"/>
      <c r="G1452"/>
      <c r="H1452"/>
      <c r="I1452"/>
      <c r="J1452"/>
      <c r="K1452"/>
      <c r="L1452"/>
      <c r="M1452"/>
      <c r="N1452"/>
      <c r="O1452"/>
      <c r="P1452"/>
      <c r="Q1452"/>
      <c r="R1452"/>
      <c r="S1452"/>
      <c r="T1452"/>
      <c r="U1452"/>
      <c r="V1452"/>
      <c r="W1452"/>
      <c r="X1452"/>
      <c r="Y1452"/>
      <c r="Z1452"/>
      <c r="AA1452"/>
    </row>
    <row r="1453" spans="1:27" s="1" customFormat="1" x14ac:dyDescent="0.3">
      <c r="A1453"/>
      <c r="B1453"/>
      <c r="C1453"/>
      <c r="D1453"/>
      <c r="E1453"/>
      <c r="F1453"/>
      <c r="G1453"/>
      <c r="H1453"/>
      <c r="I1453"/>
      <c r="J1453"/>
      <c r="K1453"/>
      <c r="L1453"/>
      <c r="M1453"/>
      <c r="N1453"/>
      <c r="O1453"/>
      <c r="P1453"/>
      <c r="Q1453"/>
      <c r="R1453"/>
      <c r="S1453"/>
      <c r="T1453"/>
      <c r="U1453"/>
      <c r="V1453"/>
      <c r="W1453"/>
      <c r="X1453"/>
      <c r="Y1453"/>
      <c r="Z1453"/>
      <c r="AA1453"/>
    </row>
    <row r="1454" spans="1:27" s="1" customFormat="1" x14ac:dyDescent="0.3">
      <c r="A1454"/>
      <c r="B1454"/>
      <c r="C1454"/>
      <c r="D1454"/>
      <c r="E1454"/>
      <c r="F1454"/>
      <c r="G1454"/>
      <c r="H1454"/>
      <c r="I1454"/>
      <c r="J1454"/>
      <c r="K1454"/>
      <c r="L1454"/>
      <c r="M1454"/>
      <c r="N1454"/>
      <c r="O1454"/>
      <c r="P1454"/>
      <c r="Q1454"/>
      <c r="R1454"/>
      <c r="S1454"/>
      <c r="T1454"/>
      <c r="U1454"/>
      <c r="V1454"/>
      <c r="W1454"/>
      <c r="X1454"/>
      <c r="Y1454"/>
      <c r="Z1454"/>
      <c r="AA1454"/>
    </row>
    <row r="1455" spans="1:27" s="1" customFormat="1" x14ac:dyDescent="0.3">
      <c r="A1455"/>
      <c r="B1455"/>
      <c r="C1455"/>
      <c r="D1455"/>
      <c r="E1455"/>
      <c r="F1455"/>
      <c r="G1455"/>
      <c r="H1455"/>
      <c r="I1455"/>
      <c r="J1455"/>
      <c r="K1455"/>
      <c r="L1455"/>
      <c r="M1455"/>
      <c r="N1455"/>
      <c r="O1455"/>
      <c r="P1455"/>
      <c r="Q1455"/>
      <c r="R1455"/>
      <c r="S1455"/>
      <c r="T1455"/>
      <c r="U1455"/>
      <c r="V1455"/>
      <c r="W1455"/>
      <c r="X1455"/>
      <c r="Y1455"/>
      <c r="Z1455"/>
      <c r="AA1455"/>
    </row>
    <row r="1456" spans="1:27" s="1" customFormat="1" x14ac:dyDescent="0.3">
      <c r="A1456"/>
      <c r="B1456"/>
      <c r="C1456"/>
      <c r="D1456"/>
      <c r="E1456"/>
      <c r="F1456"/>
      <c r="G1456"/>
      <c r="H1456"/>
      <c r="I1456"/>
      <c r="J1456"/>
      <c r="K1456"/>
      <c r="L1456"/>
      <c r="M1456"/>
      <c r="N1456"/>
      <c r="O1456"/>
      <c r="P1456"/>
      <c r="Q1456"/>
      <c r="R1456"/>
      <c r="S1456"/>
      <c r="T1456"/>
      <c r="U1456"/>
      <c r="V1456"/>
      <c r="W1456"/>
      <c r="X1456"/>
      <c r="Y1456"/>
      <c r="Z1456"/>
      <c r="AA1456"/>
    </row>
    <row r="1457" spans="1:27" s="1" customFormat="1" x14ac:dyDescent="0.3">
      <c r="A1457"/>
      <c r="B1457"/>
      <c r="C1457"/>
      <c r="D1457"/>
      <c r="E1457"/>
      <c r="F1457"/>
      <c r="G1457"/>
      <c r="H1457"/>
      <c r="I1457"/>
      <c r="J1457"/>
      <c r="K1457"/>
      <c r="L1457"/>
      <c r="M1457"/>
      <c r="N1457"/>
      <c r="O1457"/>
      <c r="P1457"/>
      <c r="Q1457"/>
      <c r="R1457"/>
      <c r="S1457"/>
      <c r="T1457"/>
      <c r="U1457"/>
      <c r="V1457"/>
      <c r="W1457"/>
      <c r="X1457"/>
      <c r="Y1457"/>
      <c r="Z1457"/>
      <c r="AA1457"/>
    </row>
    <row r="1458" spans="1:27" s="1" customFormat="1" x14ac:dyDescent="0.3">
      <c r="A1458"/>
      <c r="B1458"/>
      <c r="C1458"/>
      <c r="D1458"/>
      <c r="E1458"/>
      <c r="F1458"/>
      <c r="G1458"/>
      <c r="H1458"/>
      <c r="I1458"/>
      <c r="J1458"/>
      <c r="K1458"/>
      <c r="L1458"/>
      <c r="M1458"/>
      <c r="N1458"/>
      <c r="O1458"/>
      <c r="P1458"/>
      <c r="Q1458"/>
      <c r="R1458"/>
      <c r="S1458"/>
      <c r="T1458"/>
      <c r="U1458"/>
      <c r="V1458"/>
      <c r="W1458"/>
      <c r="X1458"/>
      <c r="Y1458"/>
      <c r="Z1458"/>
      <c r="AA1458"/>
    </row>
    <row r="1459" spans="1:27" s="1" customFormat="1" x14ac:dyDescent="0.3">
      <c r="A1459"/>
      <c r="B1459"/>
      <c r="C1459"/>
      <c r="D1459"/>
      <c r="E1459"/>
      <c r="F1459"/>
      <c r="G1459"/>
      <c r="H1459"/>
      <c r="I1459"/>
      <c r="J1459"/>
      <c r="K1459"/>
      <c r="L1459"/>
      <c r="M1459"/>
      <c r="N1459"/>
      <c r="O1459"/>
      <c r="P1459"/>
      <c r="Q1459"/>
      <c r="R1459"/>
      <c r="S1459"/>
      <c r="T1459"/>
      <c r="U1459"/>
      <c r="V1459"/>
      <c r="W1459"/>
      <c r="X1459"/>
      <c r="Y1459"/>
      <c r="Z1459"/>
      <c r="AA1459"/>
    </row>
    <row r="1460" spans="1:27" s="1" customFormat="1" x14ac:dyDescent="0.3">
      <c r="A1460"/>
      <c r="B1460"/>
      <c r="C1460"/>
      <c r="D1460"/>
      <c r="E1460"/>
      <c r="F1460"/>
      <c r="G1460"/>
      <c r="H1460"/>
      <c r="I1460"/>
      <c r="J1460"/>
      <c r="K1460"/>
      <c r="L1460"/>
      <c r="M1460"/>
      <c r="N1460"/>
      <c r="O1460"/>
      <c r="P1460"/>
      <c r="Q1460"/>
      <c r="R1460"/>
      <c r="S1460"/>
      <c r="T1460"/>
      <c r="U1460"/>
      <c r="V1460"/>
      <c r="W1460"/>
      <c r="X1460"/>
      <c r="Y1460"/>
      <c r="Z1460"/>
      <c r="AA1460"/>
    </row>
    <row r="1461" spans="1:27" s="1" customFormat="1" x14ac:dyDescent="0.3">
      <c r="A1461"/>
      <c r="B1461"/>
      <c r="C1461"/>
      <c r="D1461"/>
      <c r="E1461"/>
      <c r="F1461"/>
      <c r="G1461"/>
      <c r="H1461"/>
      <c r="I1461"/>
      <c r="J1461"/>
      <c r="K1461"/>
      <c r="L1461"/>
      <c r="M1461"/>
      <c r="N1461"/>
      <c r="O1461"/>
      <c r="P1461"/>
      <c r="Q1461"/>
      <c r="R1461"/>
      <c r="S1461"/>
      <c r="T1461"/>
      <c r="U1461"/>
      <c r="V1461"/>
      <c r="W1461"/>
      <c r="X1461"/>
      <c r="Y1461"/>
      <c r="Z1461"/>
      <c r="AA1461"/>
    </row>
    <row r="1462" spans="1:27" s="1" customFormat="1" x14ac:dyDescent="0.3">
      <c r="A1462"/>
      <c r="B1462"/>
      <c r="C1462"/>
      <c r="D1462"/>
      <c r="E1462"/>
      <c r="F1462"/>
      <c r="G1462"/>
      <c r="H1462"/>
      <c r="I1462"/>
      <c r="J1462"/>
      <c r="K1462"/>
      <c r="L1462"/>
      <c r="M1462"/>
      <c r="N1462"/>
      <c r="O1462"/>
      <c r="P1462"/>
      <c r="Q1462"/>
      <c r="R1462"/>
      <c r="S1462"/>
      <c r="T1462"/>
      <c r="U1462"/>
      <c r="V1462"/>
      <c r="W1462"/>
      <c r="X1462"/>
      <c r="Y1462"/>
      <c r="Z1462"/>
      <c r="AA1462"/>
    </row>
    <row r="1463" spans="1:27" s="1" customFormat="1" x14ac:dyDescent="0.3">
      <c r="A1463"/>
      <c r="B1463"/>
      <c r="C1463"/>
      <c r="D1463"/>
      <c r="E1463"/>
      <c r="F1463"/>
      <c r="G1463"/>
      <c r="H1463"/>
      <c r="I1463"/>
      <c r="J1463"/>
      <c r="K1463"/>
      <c r="L1463"/>
      <c r="M1463"/>
      <c r="N1463"/>
      <c r="O1463"/>
      <c r="P1463"/>
      <c r="Q1463"/>
      <c r="R1463"/>
      <c r="S1463"/>
      <c r="T1463"/>
      <c r="U1463"/>
      <c r="V1463"/>
      <c r="W1463"/>
      <c r="X1463"/>
      <c r="Y1463"/>
      <c r="Z1463"/>
      <c r="AA1463"/>
    </row>
    <row r="1464" spans="1:27" s="1" customFormat="1" x14ac:dyDescent="0.3">
      <c r="A1464"/>
      <c r="B1464"/>
      <c r="C1464"/>
      <c r="D1464"/>
      <c r="E1464"/>
      <c r="F1464"/>
      <c r="G1464"/>
      <c r="H1464"/>
      <c r="I1464"/>
      <c r="J1464"/>
      <c r="K1464"/>
      <c r="L1464"/>
      <c r="M1464"/>
      <c r="N1464"/>
      <c r="O1464"/>
      <c r="P1464"/>
      <c r="Q1464"/>
      <c r="R1464"/>
      <c r="S1464"/>
      <c r="T1464"/>
      <c r="U1464"/>
      <c r="V1464"/>
      <c r="W1464"/>
      <c r="X1464"/>
      <c r="Y1464"/>
      <c r="Z1464"/>
      <c r="AA1464"/>
    </row>
    <row r="1465" spans="1:27" s="1" customFormat="1" x14ac:dyDescent="0.3">
      <c r="A1465"/>
      <c r="B1465"/>
      <c r="C1465"/>
      <c r="D1465"/>
      <c r="E1465"/>
      <c r="F1465"/>
      <c r="G1465"/>
      <c r="H1465"/>
      <c r="I1465"/>
      <c r="J1465"/>
      <c r="K1465"/>
      <c r="L1465"/>
      <c r="M1465"/>
      <c r="N1465"/>
      <c r="O1465"/>
      <c r="P1465"/>
      <c r="Q1465"/>
      <c r="R1465"/>
      <c r="S1465"/>
      <c r="T1465"/>
      <c r="U1465"/>
      <c r="V1465"/>
      <c r="W1465"/>
      <c r="X1465"/>
      <c r="Y1465"/>
      <c r="Z1465"/>
      <c r="AA1465"/>
    </row>
    <row r="1466" spans="1:27" s="1" customFormat="1" x14ac:dyDescent="0.3">
      <c r="A1466"/>
      <c r="B1466"/>
      <c r="C1466"/>
      <c r="D1466"/>
      <c r="E1466"/>
      <c r="F1466"/>
      <c r="G1466"/>
      <c r="H1466"/>
      <c r="I1466"/>
      <c r="J1466"/>
      <c r="K1466"/>
      <c r="L1466"/>
      <c r="M1466"/>
      <c r="N1466"/>
      <c r="O1466"/>
      <c r="P1466"/>
      <c r="Q1466"/>
      <c r="R1466"/>
      <c r="S1466"/>
      <c r="T1466"/>
      <c r="U1466"/>
      <c r="V1466"/>
      <c r="W1466"/>
      <c r="X1466"/>
      <c r="Y1466"/>
      <c r="Z1466"/>
      <c r="AA1466"/>
    </row>
    <row r="1467" spans="1:27" s="1" customFormat="1" x14ac:dyDescent="0.3">
      <c r="A1467"/>
      <c r="B1467"/>
      <c r="C1467"/>
      <c r="D1467"/>
      <c r="E1467"/>
      <c r="F1467"/>
      <c r="G1467"/>
      <c r="H1467"/>
      <c r="I1467"/>
      <c r="J1467"/>
      <c r="K1467"/>
      <c r="L1467"/>
      <c r="M1467"/>
      <c r="N1467"/>
      <c r="O1467"/>
      <c r="P1467"/>
      <c r="Q1467"/>
      <c r="R1467"/>
      <c r="S1467"/>
      <c r="T1467"/>
      <c r="U1467"/>
      <c r="V1467"/>
      <c r="W1467"/>
      <c r="X1467"/>
      <c r="Y1467"/>
      <c r="Z1467"/>
      <c r="AA1467"/>
    </row>
    <row r="1468" spans="1:27" s="1" customFormat="1" x14ac:dyDescent="0.3">
      <c r="A1468"/>
      <c r="B1468"/>
      <c r="C1468"/>
      <c r="D1468"/>
      <c r="E1468"/>
      <c r="F1468"/>
      <c r="G1468"/>
      <c r="H1468"/>
      <c r="I1468"/>
      <c r="J1468"/>
      <c r="K1468"/>
      <c r="L1468"/>
      <c r="M1468"/>
      <c r="N1468"/>
      <c r="O1468"/>
      <c r="P1468"/>
      <c r="Q1468"/>
      <c r="R1468"/>
      <c r="S1468"/>
      <c r="T1468"/>
      <c r="U1468"/>
      <c r="V1468"/>
      <c r="W1468"/>
      <c r="X1468"/>
      <c r="Y1468"/>
      <c r="Z1468"/>
      <c r="AA1468"/>
    </row>
    <row r="1469" spans="1:27" s="1" customFormat="1" x14ac:dyDescent="0.3">
      <c r="A1469"/>
      <c r="B1469"/>
      <c r="C1469"/>
      <c r="D1469"/>
      <c r="E1469"/>
      <c r="F1469"/>
      <c r="G1469"/>
      <c r="H1469"/>
      <c r="I1469"/>
      <c r="J1469"/>
      <c r="K1469"/>
      <c r="L1469"/>
      <c r="M1469"/>
      <c r="N1469"/>
      <c r="O1469"/>
      <c r="P1469"/>
      <c r="Q1469"/>
      <c r="R1469"/>
      <c r="S1469"/>
      <c r="T1469"/>
      <c r="U1469"/>
      <c r="V1469"/>
      <c r="W1469"/>
      <c r="X1469"/>
      <c r="Y1469"/>
      <c r="Z1469"/>
      <c r="AA1469"/>
    </row>
    <row r="1470" spans="1:27" s="1" customFormat="1" x14ac:dyDescent="0.3">
      <c r="A1470"/>
      <c r="B1470"/>
      <c r="C1470"/>
      <c r="D1470"/>
      <c r="E1470"/>
      <c r="F1470"/>
      <c r="G1470"/>
      <c r="H1470"/>
      <c r="I1470"/>
      <c r="J1470"/>
      <c r="K1470"/>
      <c r="L1470"/>
      <c r="M1470"/>
      <c r="N1470"/>
      <c r="O1470"/>
      <c r="P1470"/>
      <c r="Q1470"/>
      <c r="R1470"/>
      <c r="S1470"/>
      <c r="T1470"/>
      <c r="U1470"/>
      <c r="V1470"/>
      <c r="W1470"/>
      <c r="X1470"/>
      <c r="Y1470"/>
      <c r="Z1470"/>
      <c r="AA1470"/>
    </row>
    <row r="1471" spans="1:27" s="1" customFormat="1" x14ac:dyDescent="0.3">
      <c r="A1471"/>
      <c r="B1471"/>
      <c r="C1471"/>
      <c r="D1471"/>
      <c r="E1471"/>
      <c r="F1471"/>
      <c r="G1471"/>
      <c r="H1471"/>
      <c r="I1471"/>
      <c r="J1471"/>
      <c r="K1471"/>
      <c r="L1471"/>
      <c r="M1471"/>
      <c r="N1471"/>
      <c r="O1471"/>
      <c r="P1471"/>
      <c r="Q1471"/>
      <c r="R1471"/>
      <c r="S1471"/>
      <c r="T1471"/>
      <c r="U1471"/>
      <c r="V1471"/>
      <c r="W1471"/>
      <c r="X1471"/>
      <c r="Y1471"/>
      <c r="Z1471"/>
      <c r="AA1471"/>
    </row>
    <row r="1472" spans="1:27" s="1" customFormat="1" x14ac:dyDescent="0.3">
      <c r="A1472"/>
      <c r="B1472"/>
      <c r="C1472"/>
      <c r="D1472"/>
      <c r="E1472"/>
      <c r="F1472"/>
      <c r="G1472"/>
      <c r="H1472"/>
      <c r="I1472"/>
      <c r="J1472"/>
      <c r="K1472"/>
      <c r="L1472"/>
      <c r="M1472"/>
      <c r="N1472"/>
      <c r="O1472"/>
      <c r="P1472"/>
      <c r="Q1472"/>
      <c r="R1472"/>
      <c r="S1472"/>
      <c r="T1472"/>
      <c r="U1472"/>
      <c r="V1472"/>
      <c r="W1472"/>
      <c r="X1472"/>
      <c r="Y1472"/>
      <c r="Z1472"/>
      <c r="AA1472"/>
    </row>
    <row r="1473" spans="1:27" s="1" customFormat="1" x14ac:dyDescent="0.3">
      <c r="A1473"/>
      <c r="B1473"/>
      <c r="C1473"/>
      <c r="D1473"/>
      <c r="E1473"/>
      <c r="F1473"/>
      <c r="G1473"/>
      <c r="H1473"/>
      <c r="I1473"/>
      <c r="J1473"/>
      <c r="K1473"/>
      <c r="L1473"/>
      <c r="M1473"/>
      <c r="N1473"/>
      <c r="O1473"/>
      <c r="P1473"/>
      <c r="Q1473"/>
      <c r="R1473"/>
      <c r="S1473"/>
      <c r="T1473"/>
      <c r="U1473"/>
      <c r="V1473"/>
      <c r="W1473"/>
      <c r="X1473"/>
      <c r="Y1473"/>
      <c r="Z1473"/>
      <c r="AA1473"/>
    </row>
    <row r="1474" spans="1:27" s="1" customFormat="1" x14ac:dyDescent="0.3">
      <c r="A1474"/>
      <c r="B1474"/>
      <c r="C1474"/>
      <c r="D1474"/>
      <c r="E1474"/>
      <c r="F1474"/>
      <c r="G1474"/>
      <c r="H1474"/>
      <c r="I1474"/>
      <c r="J1474"/>
      <c r="K1474"/>
      <c r="L1474"/>
      <c r="M1474"/>
      <c r="N1474"/>
      <c r="O1474"/>
      <c r="P1474"/>
      <c r="Q1474"/>
      <c r="R1474"/>
      <c r="S1474"/>
      <c r="T1474"/>
      <c r="U1474"/>
      <c r="V1474"/>
      <c r="W1474"/>
      <c r="X1474"/>
      <c r="Y1474"/>
      <c r="Z1474"/>
      <c r="AA1474"/>
    </row>
    <row r="1475" spans="1:27" s="1" customFormat="1" x14ac:dyDescent="0.3">
      <c r="A1475"/>
      <c r="B1475"/>
      <c r="C1475"/>
      <c r="D1475"/>
      <c r="E1475"/>
      <c r="F1475"/>
      <c r="G1475"/>
      <c r="H1475"/>
      <c r="I1475"/>
      <c r="J1475"/>
      <c r="K1475"/>
      <c r="L1475"/>
      <c r="M1475"/>
      <c r="N1475"/>
      <c r="O1475"/>
      <c r="P1475"/>
      <c r="Q1475"/>
      <c r="R1475"/>
      <c r="S1475"/>
      <c r="T1475"/>
      <c r="U1475"/>
      <c r="V1475"/>
      <c r="W1475"/>
      <c r="X1475"/>
      <c r="Y1475"/>
      <c r="Z1475"/>
      <c r="AA1475"/>
    </row>
    <row r="1476" spans="1:27" s="1" customFormat="1" x14ac:dyDescent="0.3">
      <c r="A1476"/>
      <c r="B1476"/>
      <c r="C1476"/>
      <c r="D1476"/>
      <c r="E1476"/>
      <c r="F1476"/>
      <c r="G1476"/>
      <c r="H1476"/>
      <c r="I1476"/>
      <c r="J1476"/>
      <c r="K1476"/>
      <c r="L1476"/>
      <c r="M1476"/>
      <c r="N1476"/>
      <c r="O1476"/>
      <c r="P1476"/>
      <c r="Q1476"/>
      <c r="R1476"/>
      <c r="S1476"/>
      <c r="T1476"/>
      <c r="U1476"/>
      <c r="V1476"/>
      <c r="W1476"/>
      <c r="X1476"/>
      <c r="Y1476"/>
      <c r="Z1476"/>
      <c r="AA1476"/>
    </row>
    <row r="1477" spans="1:27" s="1" customFormat="1" x14ac:dyDescent="0.3">
      <c r="A1477"/>
      <c r="B1477"/>
      <c r="C1477"/>
      <c r="D1477"/>
      <c r="E1477"/>
      <c r="F1477"/>
      <c r="G1477"/>
      <c r="H1477"/>
      <c r="I1477"/>
      <c r="J1477"/>
      <c r="K1477"/>
      <c r="L1477"/>
      <c r="M1477"/>
      <c r="N1477"/>
      <c r="O1477"/>
      <c r="P1477"/>
      <c r="Q1477"/>
      <c r="R1477"/>
      <c r="S1477"/>
      <c r="T1477"/>
      <c r="U1477"/>
      <c r="V1477"/>
      <c r="W1477"/>
      <c r="X1477"/>
      <c r="Y1477"/>
      <c r="Z1477"/>
      <c r="AA1477"/>
    </row>
    <row r="1478" spans="1:27" s="1" customFormat="1" x14ac:dyDescent="0.3">
      <c r="A1478"/>
      <c r="B1478"/>
      <c r="C1478"/>
      <c r="D1478"/>
      <c r="E1478"/>
      <c r="F1478"/>
      <c r="G1478"/>
      <c r="H1478"/>
      <c r="I1478"/>
      <c r="J1478"/>
      <c r="K1478"/>
      <c r="L1478"/>
      <c r="M1478"/>
      <c r="N1478"/>
      <c r="O1478"/>
      <c r="P1478"/>
      <c r="Q1478"/>
      <c r="R1478"/>
      <c r="S1478"/>
      <c r="T1478"/>
      <c r="U1478"/>
      <c r="V1478"/>
      <c r="W1478"/>
      <c r="X1478"/>
      <c r="Y1478"/>
      <c r="Z1478"/>
      <c r="AA1478"/>
    </row>
    <row r="1479" spans="1:27" s="1" customFormat="1" x14ac:dyDescent="0.3">
      <c r="A1479"/>
      <c r="B1479"/>
      <c r="C1479"/>
      <c r="D1479"/>
      <c r="E1479"/>
      <c r="F1479"/>
      <c r="G1479"/>
      <c r="H1479"/>
      <c r="I1479"/>
      <c r="J1479"/>
      <c r="K1479"/>
      <c r="L1479"/>
      <c r="M1479"/>
      <c r="N1479"/>
      <c r="O1479"/>
      <c r="P1479"/>
      <c r="Q1479"/>
      <c r="R1479"/>
      <c r="S1479"/>
      <c r="T1479"/>
      <c r="U1479"/>
      <c r="V1479"/>
      <c r="W1479"/>
      <c r="X1479"/>
      <c r="Y1479"/>
      <c r="Z1479"/>
      <c r="AA1479"/>
    </row>
    <row r="1480" spans="1:27" s="1" customFormat="1" x14ac:dyDescent="0.3">
      <c r="A1480"/>
      <c r="B1480"/>
      <c r="C1480"/>
      <c r="D1480"/>
      <c r="E1480"/>
      <c r="F1480"/>
      <c r="G1480"/>
      <c r="H1480"/>
      <c r="I1480"/>
      <c r="J1480"/>
      <c r="K1480"/>
      <c r="L1480"/>
      <c r="M1480"/>
      <c r="N1480"/>
      <c r="O1480"/>
      <c r="P1480"/>
      <c r="Q1480"/>
      <c r="R1480"/>
      <c r="S1480"/>
      <c r="T1480"/>
      <c r="U1480"/>
      <c r="V1480"/>
      <c r="W1480"/>
      <c r="X1480"/>
      <c r="Y1480"/>
      <c r="Z1480"/>
      <c r="AA1480"/>
    </row>
    <row r="1481" spans="1:27" s="1" customFormat="1" x14ac:dyDescent="0.3">
      <c r="A1481"/>
      <c r="B1481"/>
      <c r="C1481"/>
      <c r="D1481"/>
      <c r="E1481"/>
      <c r="F1481"/>
      <c r="G1481"/>
      <c r="H1481"/>
      <c r="I1481"/>
      <c r="J1481"/>
      <c r="K1481"/>
      <c r="L1481"/>
      <c r="M1481"/>
      <c r="N1481"/>
      <c r="O1481"/>
      <c r="P1481"/>
      <c r="Q1481"/>
      <c r="R1481"/>
      <c r="S1481"/>
      <c r="T1481"/>
      <c r="U1481"/>
      <c r="V1481"/>
      <c r="W1481"/>
      <c r="X1481"/>
      <c r="Y1481"/>
      <c r="Z1481"/>
      <c r="AA1481"/>
    </row>
    <row r="1482" spans="1:27" s="1" customFormat="1" x14ac:dyDescent="0.3">
      <c r="A1482"/>
      <c r="B1482"/>
      <c r="C1482"/>
      <c r="D1482"/>
      <c r="E1482"/>
      <c r="F1482"/>
      <c r="G1482"/>
      <c r="H1482"/>
      <c r="I1482"/>
      <c r="J1482"/>
      <c r="K1482"/>
      <c r="L1482"/>
      <c r="M1482"/>
      <c r="N1482"/>
      <c r="O1482"/>
      <c r="P1482"/>
      <c r="Q1482"/>
      <c r="R1482"/>
      <c r="S1482"/>
      <c r="T1482"/>
      <c r="U1482"/>
      <c r="V1482"/>
      <c r="W1482"/>
      <c r="X1482"/>
      <c r="Y1482"/>
      <c r="Z1482"/>
      <c r="AA1482"/>
    </row>
    <row r="1483" spans="1:27" s="1" customFormat="1" x14ac:dyDescent="0.3">
      <c r="A1483"/>
      <c r="B1483"/>
      <c r="C1483"/>
      <c r="D1483"/>
      <c r="E1483"/>
      <c r="F1483"/>
      <c r="G1483"/>
      <c r="H1483"/>
      <c r="I1483"/>
      <c r="J1483"/>
      <c r="K1483"/>
      <c r="L1483"/>
      <c r="M1483"/>
      <c r="N1483"/>
      <c r="O1483"/>
      <c r="P1483"/>
      <c r="Q1483"/>
      <c r="R1483"/>
      <c r="S1483"/>
      <c r="T1483"/>
      <c r="U1483"/>
      <c r="V1483"/>
      <c r="W1483"/>
      <c r="X1483"/>
      <c r="Y1483"/>
      <c r="Z1483"/>
      <c r="AA1483"/>
    </row>
    <row r="1484" spans="1:27" s="1" customFormat="1" x14ac:dyDescent="0.3">
      <c r="A1484"/>
      <c r="B1484"/>
      <c r="C1484"/>
      <c r="D1484"/>
      <c r="E1484"/>
      <c r="F1484"/>
      <c r="G1484"/>
      <c r="H1484"/>
      <c r="I1484"/>
      <c r="J1484"/>
      <c r="K1484"/>
      <c r="L1484"/>
      <c r="M1484"/>
      <c r="N1484"/>
      <c r="O1484"/>
      <c r="P1484"/>
      <c r="Q1484"/>
      <c r="R1484"/>
      <c r="S1484"/>
      <c r="T1484"/>
      <c r="U1484"/>
      <c r="V1484"/>
      <c r="W1484"/>
      <c r="X1484"/>
      <c r="Y1484"/>
      <c r="Z1484"/>
      <c r="AA1484"/>
    </row>
    <row r="1485" spans="1:27" s="1" customFormat="1" x14ac:dyDescent="0.3">
      <c r="A1485"/>
      <c r="B1485"/>
      <c r="C1485"/>
      <c r="D1485"/>
      <c r="E1485"/>
      <c r="F1485"/>
      <c r="G1485"/>
      <c r="H1485"/>
      <c r="I1485"/>
      <c r="J1485"/>
      <c r="K1485"/>
      <c r="L1485"/>
      <c r="M1485"/>
      <c r="N1485"/>
      <c r="O1485"/>
      <c r="P1485"/>
      <c r="Q1485"/>
      <c r="R1485"/>
      <c r="S1485"/>
      <c r="T1485"/>
      <c r="U1485"/>
      <c r="V1485"/>
      <c r="W1485"/>
      <c r="X1485"/>
      <c r="Y1485"/>
      <c r="Z1485"/>
      <c r="AA1485"/>
    </row>
    <row r="1486" spans="1:27" s="1" customFormat="1" x14ac:dyDescent="0.3">
      <c r="A1486"/>
      <c r="B1486"/>
      <c r="C1486"/>
      <c r="D1486"/>
      <c r="E1486"/>
      <c r="F1486"/>
      <c r="G1486"/>
      <c r="H1486"/>
      <c r="I1486"/>
      <c r="J1486"/>
      <c r="K1486"/>
      <c r="L1486"/>
      <c r="M1486"/>
      <c r="N1486"/>
      <c r="O1486"/>
      <c r="P1486"/>
      <c r="Q1486"/>
      <c r="R1486"/>
      <c r="S1486"/>
      <c r="T1486"/>
      <c r="U1486"/>
      <c r="V1486"/>
      <c r="W1486"/>
      <c r="X1486"/>
      <c r="Y1486"/>
      <c r="Z1486"/>
      <c r="AA1486"/>
    </row>
    <row r="1487" spans="1:27" s="1" customFormat="1" x14ac:dyDescent="0.3">
      <c r="A1487"/>
      <c r="B1487"/>
      <c r="C1487"/>
      <c r="D1487"/>
      <c r="E1487"/>
      <c r="F1487"/>
      <c r="G1487"/>
      <c r="H1487"/>
      <c r="I1487"/>
      <c r="J1487"/>
      <c r="K1487"/>
      <c r="L1487"/>
      <c r="M1487"/>
      <c r="N1487"/>
      <c r="O1487"/>
      <c r="P1487"/>
      <c r="Q1487"/>
      <c r="R1487"/>
      <c r="S1487"/>
      <c r="T1487"/>
      <c r="U1487"/>
      <c r="V1487"/>
      <c r="W1487"/>
      <c r="X1487"/>
      <c r="Y1487"/>
      <c r="Z1487"/>
      <c r="AA1487"/>
    </row>
    <row r="1488" spans="1:27" s="1" customFormat="1" x14ac:dyDescent="0.3">
      <c r="A1488"/>
      <c r="B1488"/>
      <c r="C1488"/>
      <c r="D1488"/>
      <c r="E1488"/>
      <c r="F1488"/>
      <c r="G1488"/>
      <c r="H1488"/>
      <c r="I1488"/>
      <c r="J1488"/>
      <c r="K1488"/>
      <c r="L1488"/>
      <c r="M1488"/>
      <c r="N1488"/>
      <c r="O1488"/>
      <c r="P1488"/>
      <c r="Q1488"/>
      <c r="R1488"/>
      <c r="S1488"/>
      <c r="T1488"/>
      <c r="U1488"/>
      <c r="V1488"/>
      <c r="W1488"/>
      <c r="X1488"/>
      <c r="Y1488"/>
      <c r="Z1488"/>
      <c r="AA1488"/>
    </row>
    <row r="1489" spans="1:27" s="1" customFormat="1" x14ac:dyDescent="0.3">
      <c r="A1489"/>
      <c r="B1489"/>
      <c r="C1489"/>
      <c r="D1489"/>
      <c r="E1489"/>
      <c r="F1489"/>
      <c r="G1489"/>
      <c r="H1489"/>
      <c r="I1489"/>
      <c r="J1489"/>
      <c r="K1489"/>
      <c r="L1489"/>
      <c r="M1489"/>
      <c r="N1489"/>
      <c r="O1489"/>
      <c r="P1489"/>
      <c r="Q1489"/>
      <c r="R1489"/>
      <c r="S1489"/>
      <c r="T1489"/>
      <c r="U1489"/>
      <c r="V1489"/>
      <c r="W1489"/>
      <c r="X1489"/>
      <c r="Y1489"/>
      <c r="Z1489"/>
      <c r="AA1489"/>
    </row>
    <row r="1490" spans="1:27" s="1" customFormat="1" x14ac:dyDescent="0.3">
      <c r="A1490"/>
      <c r="B1490"/>
      <c r="C1490"/>
      <c r="D1490"/>
      <c r="E1490"/>
      <c r="F1490"/>
      <c r="G1490"/>
      <c r="H1490"/>
      <c r="I1490"/>
      <c r="J1490"/>
      <c r="K1490"/>
      <c r="L1490"/>
      <c r="M1490"/>
      <c r="N1490"/>
      <c r="O1490"/>
      <c r="P1490"/>
      <c r="Q1490"/>
      <c r="R1490"/>
      <c r="S1490"/>
      <c r="T1490"/>
      <c r="U1490"/>
      <c r="V1490"/>
      <c r="W1490"/>
      <c r="X1490"/>
      <c r="Y1490"/>
      <c r="Z1490"/>
      <c r="AA1490"/>
    </row>
    <row r="1491" spans="1:27" s="1" customFormat="1" x14ac:dyDescent="0.3">
      <c r="A1491"/>
      <c r="B1491"/>
      <c r="C1491"/>
      <c r="D1491"/>
      <c r="E1491"/>
      <c r="F1491"/>
      <c r="G1491"/>
      <c r="H1491"/>
      <c r="I1491"/>
      <c r="J1491"/>
      <c r="K1491"/>
      <c r="L1491"/>
      <c r="M1491"/>
      <c r="N1491"/>
      <c r="O1491"/>
      <c r="P1491"/>
      <c r="Q1491"/>
      <c r="R1491"/>
      <c r="S1491"/>
      <c r="T1491"/>
      <c r="U1491"/>
      <c r="V1491"/>
      <c r="W1491"/>
      <c r="X1491"/>
      <c r="Y1491"/>
      <c r="Z1491"/>
      <c r="AA1491"/>
    </row>
    <row r="1492" spans="1:27" s="1" customFormat="1" x14ac:dyDescent="0.3">
      <c r="A1492"/>
      <c r="B1492"/>
      <c r="C1492"/>
      <c r="D1492"/>
      <c r="E1492"/>
      <c r="F1492"/>
      <c r="G1492"/>
      <c r="H1492"/>
      <c r="I1492"/>
      <c r="J1492"/>
      <c r="K1492"/>
      <c r="L1492"/>
      <c r="M1492"/>
      <c r="N1492"/>
      <c r="O1492"/>
      <c r="P1492"/>
      <c r="Q1492"/>
      <c r="R1492"/>
      <c r="S1492"/>
      <c r="T1492"/>
      <c r="U1492"/>
      <c r="V1492"/>
      <c r="W1492"/>
      <c r="X1492"/>
      <c r="Y1492"/>
      <c r="Z1492"/>
      <c r="AA1492"/>
    </row>
    <row r="1493" spans="1:27" s="1" customFormat="1" x14ac:dyDescent="0.3">
      <c r="A1493"/>
      <c r="B1493"/>
      <c r="C1493"/>
      <c r="D1493"/>
      <c r="E1493"/>
      <c r="F1493"/>
      <c r="G1493"/>
      <c r="H1493"/>
      <c r="I1493"/>
      <c r="J1493"/>
      <c r="K1493"/>
      <c r="L1493"/>
      <c r="M1493"/>
      <c r="N1493"/>
      <c r="O1493"/>
      <c r="P1493"/>
      <c r="Q1493"/>
      <c r="R1493"/>
      <c r="S1493"/>
      <c r="T1493"/>
      <c r="U1493"/>
      <c r="V1493"/>
      <c r="W1493"/>
      <c r="X1493"/>
      <c r="Y1493"/>
      <c r="Z1493"/>
      <c r="AA1493"/>
    </row>
    <row r="1494" spans="1:27" s="1" customFormat="1" x14ac:dyDescent="0.3">
      <c r="A1494"/>
      <c r="B1494"/>
      <c r="C1494"/>
      <c r="D1494"/>
      <c r="E1494"/>
      <c r="F1494"/>
      <c r="G1494"/>
      <c r="H1494"/>
      <c r="I1494"/>
      <c r="J1494"/>
      <c r="K1494"/>
      <c r="L1494"/>
      <c r="M1494"/>
      <c r="N1494"/>
      <c r="O1494"/>
      <c r="P1494"/>
      <c r="Q1494"/>
      <c r="R1494"/>
      <c r="S1494"/>
      <c r="T1494"/>
      <c r="U1494"/>
      <c r="V1494"/>
      <c r="W1494"/>
      <c r="X1494"/>
      <c r="Y1494"/>
      <c r="Z1494"/>
      <c r="AA1494"/>
    </row>
    <row r="1495" spans="1:27" s="1" customFormat="1" x14ac:dyDescent="0.3">
      <c r="A1495"/>
      <c r="B1495"/>
      <c r="C1495"/>
      <c r="D1495"/>
      <c r="E1495"/>
      <c r="F1495"/>
      <c r="G1495"/>
      <c r="H1495"/>
      <c r="I1495"/>
      <c r="J1495"/>
      <c r="K1495"/>
      <c r="L1495"/>
      <c r="M1495"/>
      <c r="N1495"/>
      <c r="O1495"/>
      <c r="P1495"/>
      <c r="Q1495"/>
      <c r="R1495"/>
      <c r="S1495"/>
      <c r="T1495"/>
      <c r="U1495"/>
      <c r="V1495"/>
      <c r="W1495"/>
      <c r="X1495"/>
      <c r="Y1495"/>
      <c r="Z1495"/>
      <c r="AA1495"/>
    </row>
    <row r="1496" spans="1:27" s="1" customFormat="1" x14ac:dyDescent="0.3">
      <c r="A1496"/>
      <c r="B1496"/>
      <c r="C1496"/>
      <c r="D1496"/>
      <c r="E1496"/>
      <c r="F1496"/>
      <c r="G1496"/>
      <c r="H1496"/>
      <c r="I1496"/>
      <c r="J1496"/>
      <c r="K1496"/>
      <c r="L1496"/>
      <c r="M1496"/>
      <c r="N1496"/>
      <c r="O1496"/>
      <c r="P1496"/>
      <c r="Q1496"/>
      <c r="R1496"/>
      <c r="S1496"/>
      <c r="T1496"/>
      <c r="U1496"/>
      <c r="V1496"/>
      <c r="W1496"/>
      <c r="X1496"/>
      <c r="Y1496"/>
      <c r="Z1496"/>
      <c r="AA1496"/>
    </row>
    <row r="1497" spans="1:27" s="1" customFormat="1" x14ac:dyDescent="0.3">
      <c r="A1497"/>
      <c r="B1497"/>
      <c r="C1497"/>
      <c r="D1497"/>
      <c r="E1497"/>
      <c r="F1497"/>
      <c r="G1497"/>
      <c r="H1497"/>
      <c r="I1497"/>
      <c r="J1497"/>
      <c r="K1497"/>
      <c r="L1497"/>
      <c r="M1497"/>
      <c r="N1497"/>
      <c r="O1497"/>
      <c r="P1497"/>
      <c r="Q1497"/>
      <c r="R1497"/>
      <c r="S1497"/>
      <c r="T1497"/>
      <c r="U1497"/>
      <c r="V1497"/>
      <c r="W1497"/>
      <c r="X1497"/>
      <c r="Y1497"/>
      <c r="Z1497"/>
      <c r="AA1497"/>
    </row>
    <row r="1498" spans="1:27" s="1" customFormat="1" x14ac:dyDescent="0.3">
      <c r="A1498"/>
      <c r="B1498"/>
      <c r="C1498"/>
      <c r="D1498"/>
      <c r="E1498"/>
      <c r="F1498"/>
      <c r="G1498"/>
      <c r="H1498"/>
      <c r="I1498"/>
      <c r="J1498"/>
      <c r="K1498"/>
      <c r="L1498"/>
      <c r="M1498"/>
      <c r="N1498"/>
      <c r="O1498"/>
      <c r="P1498"/>
      <c r="Q1498"/>
      <c r="R1498"/>
      <c r="S1498"/>
      <c r="T1498"/>
      <c r="U1498"/>
      <c r="V1498"/>
      <c r="W1498"/>
      <c r="X1498"/>
      <c r="Y1498"/>
      <c r="Z1498"/>
      <c r="AA1498"/>
    </row>
    <row r="1499" spans="1:27" s="1" customFormat="1" x14ac:dyDescent="0.3">
      <c r="A1499"/>
      <c r="B1499"/>
      <c r="C1499"/>
      <c r="D1499"/>
      <c r="E1499"/>
      <c r="F1499"/>
      <c r="G1499"/>
      <c r="H1499"/>
      <c r="I1499"/>
      <c r="J1499"/>
      <c r="K1499"/>
      <c r="L1499"/>
      <c r="M1499"/>
      <c r="N1499"/>
      <c r="O1499"/>
      <c r="P1499"/>
      <c r="Q1499"/>
      <c r="R1499"/>
      <c r="S1499"/>
      <c r="T1499"/>
      <c r="U1499"/>
      <c r="V1499"/>
      <c r="W1499"/>
      <c r="X1499"/>
      <c r="Y1499"/>
      <c r="Z1499"/>
      <c r="AA1499"/>
    </row>
    <row r="1500" spans="1:27" s="1" customFormat="1" x14ac:dyDescent="0.3">
      <c r="A1500"/>
      <c r="B1500"/>
      <c r="C1500"/>
      <c r="D1500"/>
      <c r="E1500"/>
      <c r="F1500"/>
      <c r="G1500"/>
      <c r="H1500"/>
      <c r="I1500"/>
      <c r="J1500"/>
      <c r="K1500"/>
      <c r="L1500"/>
      <c r="M1500"/>
      <c r="N1500"/>
      <c r="O1500"/>
      <c r="P1500"/>
      <c r="Q1500"/>
      <c r="R1500"/>
      <c r="S1500"/>
      <c r="T1500"/>
      <c r="U1500"/>
      <c r="V1500"/>
      <c r="W1500"/>
      <c r="X1500"/>
      <c r="Y1500"/>
      <c r="Z1500"/>
      <c r="AA1500"/>
    </row>
    <row r="1501" spans="1:27" s="1" customFormat="1" x14ac:dyDescent="0.3">
      <c r="A1501"/>
      <c r="B1501"/>
      <c r="C1501"/>
      <c r="D1501"/>
      <c r="E1501"/>
      <c r="F1501"/>
      <c r="G1501"/>
      <c r="H1501"/>
      <c r="I1501"/>
      <c r="J1501"/>
      <c r="K1501"/>
      <c r="L1501"/>
      <c r="M1501"/>
      <c r="N1501"/>
      <c r="O1501"/>
      <c r="P1501"/>
      <c r="Q1501"/>
      <c r="R1501"/>
      <c r="S1501"/>
      <c r="T1501"/>
      <c r="U1501"/>
      <c r="V1501"/>
      <c r="W1501"/>
      <c r="X1501"/>
      <c r="Y1501"/>
      <c r="Z1501"/>
      <c r="AA1501"/>
    </row>
    <row r="1502" spans="1:27" s="1" customFormat="1" x14ac:dyDescent="0.3">
      <c r="A1502"/>
      <c r="B1502"/>
      <c r="C1502"/>
      <c r="D1502"/>
      <c r="E1502"/>
      <c r="F1502"/>
      <c r="G1502"/>
      <c r="H1502"/>
      <c r="I1502"/>
      <c r="J1502"/>
      <c r="K1502"/>
      <c r="L1502"/>
      <c r="M1502"/>
      <c r="N1502"/>
      <c r="O1502"/>
      <c r="P1502"/>
      <c r="Q1502"/>
      <c r="R1502"/>
      <c r="S1502"/>
      <c r="T1502"/>
      <c r="U1502"/>
      <c r="V1502"/>
      <c r="W1502"/>
      <c r="X1502"/>
      <c r="Y1502"/>
      <c r="Z1502"/>
      <c r="AA1502"/>
    </row>
    <row r="1503" spans="1:27" s="1" customFormat="1" x14ac:dyDescent="0.3">
      <c r="A1503"/>
      <c r="B1503"/>
      <c r="C1503"/>
      <c r="D1503"/>
      <c r="E1503"/>
      <c r="F1503"/>
      <c r="G1503"/>
      <c r="H1503"/>
      <c r="I1503"/>
      <c r="J1503"/>
      <c r="K1503"/>
      <c r="L1503"/>
      <c r="M1503"/>
      <c r="N1503"/>
      <c r="O1503"/>
      <c r="P1503"/>
      <c r="Q1503"/>
      <c r="R1503"/>
      <c r="S1503"/>
      <c r="T1503"/>
      <c r="U1503"/>
      <c r="V1503"/>
      <c r="W1503"/>
      <c r="X1503"/>
      <c r="Y1503"/>
      <c r="Z1503"/>
      <c r="AA1503"/>
    </row>
    <row r="1504" spans="1:27" s="1" customFormat="1" x14ac:dyDescent="0.3">
      <c r="A1504"/>
      <c r="B1504"/>
      <c r="C1504"/>
      <c r="D1504"/>
      <c r="E1504"/>
      <c r="F1504"/>
      <c r="G1504"/>
      <c r="H1504"/>
      <c r="I1504"/>
      <c r="J1504"/>
      <c r="K1504"/>
      <c r="L1504"/>
      <c r="M1504"/>
      <c r="N1504"/>
      <c r="O1504"/>
      <c r="P1504"/>
      <c r="Q1504"/>
      <c r="R1504"/>
      <c r="S1504"/>
      <c r="T1504"/>
      <c r="U1504"/>
      <c r="V1504"/>
      <c r="W1504"/>
      <c r="X1504"/>
      <c r="Y1504"/>
      <c r="Z1504"/>
      <c r="AA1504"/>
    </row>
    <row r="1505" spans="1:27" s="1" customFormat="1" x14ac:dyDescent="0.3">
      <c r="A1505"/>
      <c r="B1505"/>
      <c r="C1505"/>
      <c r="D1505"/>
      <c r="E1505"/>
      <c r="F1505"/>
      <c r="G1505"/>
      <c r="H1505"/>
      <c r="I1505"/>
      <c r="J1505"/>
      <c r="K1505"/>
      <c r="L1505"/>
      <c r="M1505"/>
      <c r="N1505"/>
      <c r="O1505"/>
      <c r="P1505"/>
      <c r="Q1505"/>
      <c r="R1505"/>
      <c r="S1505"/>
      <c r="T1505"/>
      <c r="U1505"/>
      <c r="V1505"/>
      <c r="W1505"/>
      <c r="X1505"/>
      <c r="Y1505"/>
      <c r="Z1505"/>
      <c r="AA1505"/>
    </row>
    <row r="1506" spans="1:27" s="1" customFormat="1" x14ac:dyDescent="0.3">
      <c r="A1506"/>
      <c r="B1506"/>
      <c r="C1506"/>
      <c r="D1506"/>
      <c r="E1506"/>
      <c r="F1506"/>
      <c r="G1506"/>
      <c r="H1506"/>
      <c r="I1506"/>
      <c r="J1506"/>
      <c r="K1506"/>
      <c r="L1506"/>
      <c r="M1506"/>
      <c r="N1506"/>
      <c r="O1506"/>
      <c r="P1506"/>
      <c r="Q1506"/>
      <c r="R1506"/>
      <c r="S1506"/>
      <c r="T1506"/>
      <c r="U1506"/>
      <c r="V1506"/>
      <c r="W1506"/>
      <c r="X1506"/>
      <c r="Y1506"/>
      <c r="Z1506"/>
      <c r="AA1506"/>
    </row>
    <row r="1507" spans="1:27" s="1" customFormat="1" x14ac:dyDescent="0.3">
      <c r="A1507"/>
      <c r="B1507"/>
      <c r="C1507"/>
      <c r="D1507"/>
      <c r="E1507"/>
      <c r="F1507"/>
      <c r="G1507"/>
      <c r="H1507"/>
      <c r="I1507"/>
      <c r="J1507"/>
      <c r="K1507"/>
      <c r="L1507"/>
      <c r="M1507"/>
      <c r="N1507"/>
      <c r="O1507"/>
      <c r="P1507"/>
      <c r="Q1507"/>
      <c r="R1507"/>
      <c r="S1507"/>
      <c r="T1507"/>
      <c r="U1507"/>
      <c r="V1507"/>
      <c r="W1507"/>
      <c r="X1507"/>
      <c r="Y1507"/>
      <c r="Z1507"/>
      <c r="AA1507"/>
    </row>
    <row r="1508" spans="1:27" s="1" customFormat="1" x14ac:dyDescent="0.3">
      <c r="A1508"/>
      <c r="B1508"/>
      <c r="C1508"/>
      <c r="D1508"/>
      <c r="E1508"/>
      <c r="F1508"/>
      <c r="G1508"/>
      <c r="H1508"/>
      <c r="I1508"/>
      <c r="J1508"/>
      <c r="K1508"/>
      <c r="L1508"/>
      <c r="M1508"/>
      <c r="N1508"/>
      <c r="O1508"/>
      <c r="P1508"/>
      <c r="Q1508"/>
      <c r="R1508"/>
      <c r="S1508"/>
      <c r="T1508"/>
      <c r="U1508"/>
      <c r="V1508"/>
      <c r="W1508"/>
      <c r="X1508"/>
      <c r="Y1508"/>
      <c r="Z1508"/>
      <c r="AA1508"/>
    </row>
    <row r="1509" spans="1:27" s="1" customFormat="1" x14ac:dyDescent="0.3">
      <c r="A1509"/>
      <c r="B1509"/>
      <c r="C1509"/>
      <c r="D1509"/>
      <c r="E1509"/>
      <c r="F1509"/>
      <c r="G1509"/>
      <c r="H1509"/>
      <c r="I1509"/>
      <c r="J1509"/>
      <c r="K1509"/>
      <c r="L1509"/>
      <c r="M1509"/>
      <c r="N1509"/>
      <c r="O1509"/>
      <c r="P1509"/>
      <c r="Q1509"/>
      <c r="R1509"/>
      <c r="S1509"/>
      <c r="T1509"/>
      <c r="U1509"/>
      <c r="V1509"/>
      <c r="W1509"/>
      <c r="X1509"/>
      <c r="Y1509"/>
      <c r="Z1509"/>
      <c r="AA1509"/>
    </row>
    <row r="1510" spans="1:27" s="1" customFormat="1" x14ac:dyDescent="0.3">
      <c r="A1510"/>
      <c r="B1510"/>
      <c r="C1510"/>
      <c r="D1510"/>
      <c r="E1510"/>
      <c r="F1510"/>
      <c r="G1510"/>
      <c r="H1510"/>
      <c r="I1510"/>
      <c r="J1510"/>
      <c r="K1510"/>
      <c r="L1510"/>
      <c r="M1510"/>
      <c r="N1510"/>
      <c r="O1510"/>
      <c r="P1510"/>
      <c r="Q1510"/>
      <c r="R1510"/>
      <c r="S1510"/>
      <c r="T1510"/>
      <c r="U1510"/>
      <c r="V1510"/>
      <c r="W1510"/>
      <c r="X1510"/>
      <c r="Y1510"/>
      <c r="Z1510"/>
      <c r="AA1510"/>
    </row>
    <row r="1511" spans="1:27" s="1" customFormat="1" x14ac:dyDescent="0.3">
      <c r="A1511"/>
      <c r="B1511"/>
      <c r="C1511"/>
      <c r="D1511"/>
      <c r="E1511"/>
      <c r="F1511"/>
      <c r="G1511"/>
      <c r="H1511"/>
      <c r="I1511"/>
      <c r="J1511"/>
      <c r="K1511"/>
      <c r="L1511"/>
      <c r="M1511"/>
      <c r="N1511"/>
      <c r="O1511"/>
      <c r="P1511"/>
      <c r="Q1511"/>
      <c r="R1511"/>
      <c r="S1511"/>
      <c r="T1511"/>
      <c r="U1511"/>
      <c r="V1511"/>
      <c r="W1511"/>
      <c r="X1511"/>
      <c r="Y1511"/>
      <c r="Z1511"/>
      <c r="AA1511"/>
    </row>
    <row r="1512" spans="1:27" s="1" customFormat="1" x14ac:dyDescent="0.3">
      <c r="A1512"/>
      <c r="B1512"/>
      <c r="C1512"/>
      <c r="D1512"/>
      <c r="E1512"/>
      <c r="F1512"/>
      <c r="G1512"/>
      <c r="H1512"/>
      <c r="I1512"/>
      <c r="J1512"/>
      <c r="K1512"/>
      <c r="L1512"/>
      <c r="M1512"/>
      <c r="N1512"/>
      <c r="O1512"/>
      <c r="P1512"/>
      <c r="Q1512"/>
      <c r="R1512"/>
      <c r="S1512"/>
      <c r="T1512"/>
      <c r="U1512"/>
      <c r="V1512"/>
      <c r="W1512"/>
      <c r="X1512"/>
      <c r="Y1512"/>
      <c r="Z1512"/>
      <c r="AA1512"/>
    </row>
    <row r="1513" spans="1:27" s="1" customFormat="1" x14ac:dyDescent="0.3">
      <c r="A1513"/>
      <c r="B1513"/>
      <c r="C1513"/>
      <c r="D1513"/>
      <c r="E1513"/>
      <c r="F1513"/>
      <c r="G1513"/>
      <c r="H1513"/>
      <c r="I1513"/>
      <c r="J1513"/>
      <c r="K1513"/>
      <c r="L1513"/>
      <c r="M1513"/>
      <c r="N1513"/>
      <c r="O1513"/>
      <c r="P1513"/>
      <c r="Q1513"/>
      <c r="R1513"/>
      <c r="S1513"/>
      <c r="T1513"/>
      <c r="U1513"/>
      <c r="V1513"/>
      <c r="W1513"/>
      <c r="X1513"/>
      <c r="Y1513"/>
      <c r="Z1513"/>
      <c r="AA1513"/>
    </row>
    <row r="1514" spans="1:27" s="1" customFormat="1" x14ac:dyDescent="0.3">
      <c r="A1514"/>
      <c r="B1514"/>
      <c r="C1514"/>
      <c r="D1514"/>
      <c r="E1514"/>
      <c r="F1514"/>
      <c r="G1514"/>
      <c r="H1514"/>
      <c r="I1514"/>
      <c r="J1514"/>
      <c r="K1514"/>
      <c r="L1514"/>
      <c r="M1514"/>
      <c r="N1514"/>
      <c r="O1514"/>
      <c r="P1514"/>
      <c r="Q1514"/>
      <c r="R1514"/>
      <c r="S1514"/>
      <c r="T1514"/>
      <c r="U1514"/>
      <c r="V1514"/>
      <c r="W1514"/>
      <c r="X1514"/>
      <c r="Y1514"/>
      <c r="Z1514"/>
      <c r="AA1514"/>
    </row>
    <row r="1515" spans="1:27" s="1" customFormat="1" x14ac:dyDescent="0.3">
      <c r="A1515"/>
      <c r="B1515"/>
      <c r="C1515"/>
      <c r="D1515"/>
      <c r="E1515"/>
      <c r="F1515"/>
      <c r="G1515"/>
      <c r="H1515"/>
      <c r="I1515"/>
      <c r="J1515"/>
      <c r="K1515"/>
      <c r="L1515"/>
      <c r="M1515"/>
      <c r="N1515"/>
      <c r="O1515"/>
      <c r="P1515"/>
      <c r="Q1515"/>
      <c r="R1515"/>
      <c r="S1515"/>
      <c r="T1515"/>
      <c r="U1515"/>
      <c r="V1515"/>
      <c r="W1515"/>
      <c r="X1515"/>
      <c r="Y1515"/>
      <c r="Z1515"/>
      <c r="AA1515"/>
    </row>
    <row r="1516" spans="1:27" s="1" customFormat="1" x14ac:dyDescent="0.3">
      <c r="A1516"/>
      <c r="B1516"/>
      <c r="C1516"/>
      <c r="D1516"/>
      <c r="E1516"/>
      <c r="F1516"/>
      <c r="G1516"/>
      <c r="H1516"/>
      <c r="I1516"/>
      <c r="J1516"/>
      <c r="K1516"/>
      <c r="L1516"/>
      <c r="M1516"/>
      <c r="N1516"/>
      <c r="O1516"/>
      <c r="P1516"/>
      <c r="Q1516"/>
      <c r="R1516"/>
      <c r="S1516"/>
      <c r="T1516"/>
      <c r="U1516"/>
      <c r="V1516"/>
      <c r="W1516"/>
      <c r="X1516"/>
      <c r="Y1516"/>
      <c r="Z1516"/>
      <c r="AA1516"/>
    </row>
    <row r="1517" spans="1:27" s="1" customFormat="1" x14ac:dyDescent="0.3">
      <c r="A1517"/>
      <c r="B1517"/>
      <c r="C1517"/>
      <c r="D1517"/>
      <c r="E1517"/>
      <c r="F1517"/>
      <c r="G1517"/>
      <c r="H1517"/>
      <c r="I1517"/>
      <c r="J1517"/>
      <c r="K1517"/>
      <c r="L1517"/>
      <c r="M1517"/>
      <c r="N1517"/>
      <c r="O1517"/>
      <c r="P1517"/>
      <c r="Q1517"/>
      <c r="R1517"/>
      <c r="S1517"/>
      <c r="T1517"/>
      <c r="U1517"/>
      <c r="V1517"/>
      <c r="W1517"/>
      <c r="X1517"/>
      <c r="Y1517"/>
      <c r="Z1517"/>
      <c r="AA1517"/>
    </row>
    <row r="1518" spans="1:27" s="1" customFormat="1" x14ac:dyDescent="0.3">
      <c r="A1518"/>
      <c r="B1518"/>
      <c r="C1518"/>
      <c r="D1518"/>
      <c r="E1518"/>
      <c r="F1518"/>
      <c r="G1518"/>
      <c r="H1518"/>
      <c r="I1518"/>
      <c r="J1518"/>
      <c r="K1518"/>
      <c r="L1518"/>
      <c r="M1518"/>
      <c r="N1518"/>
      <c r="O1518"/>
      <c r="P1518"/>
      <c r="Q1518"/>
      <c r="R1518"/>
      <c r="S1518"/>
      <c r="T1518"/>
      <c r="U1518"/>
      <c r="V1518"/>
      <c r="W1518"/>
      <c r="X1518"/>
      <c r="Y1518"/>
      <c r="Z1518"/>
      <c r="AA1518"/>
    </row>
    <row r="1519" spans="1:27" s="1" customFormat="1" x14ac:dyDescent="0.3">
      <c r="A1519"/>
      <c r="B1519"/>
      <c r="C1519"/>
      <c r="D1519"/>
      <c r="E1519"/>
      <c r="F1519"/>
      <c r="G1519"/>
      <c r="H1519"/>
      <c r="I1519"/>
      <c r="J1519"/>
      <c r="K1519"/>
      <c r="L1519"/>
      <c r="M1519"/>
      <c r="N1519"/>
      <c r="O1519"/>
      <c r="P1519"/>
      <c r="Q1519"/>
      <c r="R1519"/>
      <c r="S1519"/>
      <c r="T1519"/>
      <c r="U1519"/>
      <c r="V1519"/>
      <c r="W1519"/>
      <c r="X1519"/>
      <c r="Y1519"/>
      <c r="Z1519"/>
      <c r="AA1519"/>
    </row>
    <row r="1520" spans="1:27" s="1" customFormat="1" x14ac:dyDescent="0.3">
      <c r="A1520"/>
      <c r="B1520"/>
      <c r="C1520"/>
      <c r="D1520"/>
      <c r="E1520"/>
      <c r="F1520"/>
      <c r="G1520"/>
      <c r="H1520"/>
      <c r="I1520"/>
      <c r="J1520"/>
      <c r="K1520"/>
      <c r="L1520"/>
      <c r="M1520"/>
      <c r="N1520"/>
      <c r="O1520"/>
      <c r="P1520"/>
      <c r="Q1520"/>
      <c r="R1520"/>
      <c r="S1520"/>
      <c r="T1520"/>
      <c r="U1520"/>
      <c r="V1520"/>
      <c r="W1520"/>
      <c r="X1520"/>
      <c r="Y1520"/>
      <c r="Z1520"/>
      <c r="AA1520"/>
    </row>
    <row r="1521" spans="1:27" s="1" customFormat="1" x14ac:dyDescent="0.3">
      <c r="A1521"/>
      <c r="B1521"/>
      <c r="C1521"/>
      <c r="D1521"/>
      <c r="E1521"/>
      <c r="F1521"/>
      <c r="G1521"/>
      <c r="H1521"/>
      <c r="I1521"/>
      <c r="J1521"/>
      <c r="K1521"/>
      <c r="L1521"/>
      <c r="M1521"/>
      <c r="N1521"/>
      <c r="O1521"/>
      <c r="P1521"/>
      <c r="Q1521"/>
      <c r="R1521"/>
      <c r="S1521"/>
      <c r="T1521"/>
      <c r="U1521"/>
      <c r="V1521"/>
      <c r="W1521"/>
      <c r="X1521"/>
      <c r="Y1521"/>
      <c r="Z1521"/>
      <c r="AA1521"/>
    </row>
    <row r="1522" spans="1:27" s="1" customFormat="1" x14ac:dyDescent="0.3">
      <c r="A1522"/>
      <c r="B1522"/>
      <c r="C1522"/>
      <c r="D1522"/>
      <c r="E1522"/>
      <c r="F1522"/>
      <c r="G1522"/>
      <c r="H1522"/>
      <c r="I1522"/>
      <c r="J1522"/>
      <c r="K1522"/>
      <c r="L1522"/>
      <c r="M1522"/>
      <c r="N1522"/>
      <c r="O1522"/>
      <c r="P1522"/>
      <c r="Q1522"/>
      <c r="R1522"/>
      <c r="S1522"/>
      <c r="T1522"/>
      <c r="U1522"/>
      <c r="V1522"/>
      <c r="W1522"/>
      <c r="X1522"/>
      <c r="Y1522"/>
      <c r="Z1522"/>
      <c r="AA1522"/>
    </row>
    <row r="1523" spans="1:27" s="1" customFormat="1" x14ac:dyDescent="0.3">
      <c r="A1523"/>
      <c r="B1523"/>
      <c r="C1523"/>
      <c r="D1523"/>
      <c r="E1523"/>
      <c r="F1523"/>
      <c r="G1523"/>
      <c r="H1523"/>
      <c r="I1523"/>
      <c r="J1523"/>
      <c r="K1523"/>
      <c r="L1523"/>
      <c r="M1523"/>
      <c r="N1523"/>
      <c r="O1523"/>
      <c r="P1523"/>
      <c r="Q1523"/>
      <c r="R1523"/>
      <c r="S1523"/>
      <c r="T1523"/>
      <c r="U1523"/>
      <c r="V1523"/>
      <c r="W1523"/>
      <c r="X1523"/>
      <c r="Y1523"/>
      <c r="Z1523"/>
      <c r="AA1523"/>
    </row>
    <row r="1524" spans="1:27" s="1" customFormat="1" x14ac:dyDescent="0.3">
      <c r="A1524"/>
      <c r="B1524"/>
      <c r="C1524"/>
      <c r="D1524"/>
      <c r="E1524"/>
      <c r="F1524"/>
      <c r="G1524"/>
      <c r="H1524"/>
      <c r="I1524"/>
      <c r="J1524"/>
      <c r="K1524"/>
      <c r="L1524"/>
      <c r="M1524"/>
      <c r="N1524"/>
      <c r="O1524"/>
      <c r="P1524"/>
      <c r="Q1524"/>
      <c r="R1524"/>
      <c r="S1524"/>
      <c r="T1524"/>
      <c r="U1524"/>
      <c r="V1524"/>
      <c r="W1524"/>
      <c r="X1524"/>
      <c r="Y1524"/>
      <c r="Z1524"/>
      <c r="AA1524"/>
    </row>
    <row r="1525" spans="1:27" s="1" customFormat="1" x14ac:dyDescent="0.3">
      <c r="A1525"/>
      <c r="B1525"/>
      <c r="C1525"/>
      <c r="D1525"/>
      <c r="E1525"/>
      <c r="F1525"/>
      <c r="G1525"/>
      <c r="H1525"/>
      <c r="I1525"/>
      <c r="J1525"/>
      <c r="K1525"/>
      <c r="L1525"/>
      <c r="M1525"/>
      <c r="N1525"/>
      <c r="O1525"/>
      <c r="P1525"/>
      <c r="Q1525"/>
      <c r="R1525"/>
      <c r="S1525"/>
      <c r="T1525"/>
      <c r="U1525"/>
      <c r="V1525"/>
      <c r="W1525"/>
      <c r="X1525"/>
      <c r="Y1525"/>
      <c r="Z1525"/>
      <c r="AA1525"/>
    </row>
    <row r="1526" spans="1:27" s="1" customFormat="1" x14ac:dyDescent="0.3">
      <c r="A1526"/>
      <c r="B1526"/>
      <c r="C1526"/>
      <c r="D1526"/>
      <c r="E1526"/>
      <c r="F1526"/>
      <c r="G1526"/>
      <c r="H1526"/>
      <c r="I1526"/>
      <c r="J1526"/>
      <c r="K1526"/>
      <c r="L1526"/>
      <c r="M1526"/>
      <c r="N1526"/>
      <c r="O1526"/>
      <c r="P1526"/>
      <c r="Q1526"/>
      <c r="R1526"/>
      <c r="S1526"/>
      <c r="T1526"/>
      <c r="U1526"/>
      <c r="V1526"/>
      <c r="W1526"/>
      <c r="X1526"/>
      <c r="Y1526"/>
      <c r="Z1526"/>
      <c r="AA1526"/>
    </row>
    <row r="1527" spans="1:27" s="1" customFormat="1" x14ac:dyDescent="0.3">
      <c r="A1527"/>
      <c r="B1527"/>
      <c r="C1527"/>
      <c r="D1527"/>
      <c r="E1527"/>
      <c r="F1527"/>
      <c r="G1527"/>
      <c r="H1527"/>
      <c r="I1527"/>
      <c r="J1527"/>
      <c r="K1527"/>
      <c r="L1527"/>
      <c r="M1527"/>
      <c r="N1527"/>
      <c r="O1527"/>
      <c r="P1527"/>
      <c r="Q1527"/>
      <c r="R1527"/>
      <c r="S1527"/>
      <c r="T1527"/>
      <c r="U1527"/>
      <c r="V1527"/>
      <c r="W1527"/>
      <c r="X1527"/>
      <c r="Y1527"/>
      <c r="Z1527"/>
      <c r="AA1527"/>
    </row>
    <row r="1528" spans="1:27" s="1" customFormat="1" x14ac:dyDescent="0.3">
      <c r="A1528"/>
      <c r="B1528"/>
      <c r="C1528"/>
      <c r="D1528"/>
      <c r="E1528"/>
      <c r="F1528"/>
      <c r="G1528"/>
      <c r="H1528"/>
      <c r="I1528"/>
      <c r="J1528"/>
      <c r="K1528"/>
      <c r="L1528"/>
      <c r="M1528"/>
      <c r="N1528"/>
      <c r="O1528"/>
      <c r="P1528"/>
      <c r="Q1528"/>
      <c r="R1528"/>
      <c r="S1528"/>
      <c r="T1528"/>
      <c r="U1528"/>
      <c r="V1528"/>
      <c r="W1528"/>
      <c r="X1528"/>
      <c r="Y1528"/>
      <c r="Z1528"/>
      <c r="AA1528"/>
    </row>
    <row r="1529" spans="1:27" s="1" customFormat="1" x14ac:dyDescent="0.3">
      <c r="A1529"/>
      <c r="B1529"/>
      <c r="C1529"/>
      <c r="D1529"/>
      <c r="E1529"/>
      <c r="F1529"/>
      <c r="G1529"/>
      <c r="H1529"/>
      <c r="I1529"/>
      <c r="J1529"/>
      <c r="K1529"/>
      <c r="L1529"/>
      <c r="M1529"/>
      <c r="N1529"/>
      <c r="O1529"/>
      <c r="P1529"/>
      <c r="Q1529"/>
      <c r="R1529"/>
      <c r="S1529"/>
      <c r="T1529"/>
      <c r="U1529"/>
      <c r="V1529"/>
      <c r="W1529"/>
      <c r="X1529"/>
      <c r="Y1529"/>
      <c r="Z1529"/>
      <c r="AA1529"/>
    </row>
    <row r="1530" spans="1:27" s="1" customFormat="1" x14ac:dyDescent="0.3">
      <c r="A1530"/>
      <c r="B1530"/>
      <c r="C1530"/>
      <c r="D1530"/>
      <c r="E1530"/>
      <c r="F1530"/>
      <c r="G1530"/>
      <c r="H1530"/>
      <c r="I1530"/>
      <c r="J1530"/>
      <c r="K1530"/>
      <c r="L1530"/>
      <c r="M1530"/>
      <c r="N1530"/>
      <c r="O1530"/>
      <c r="P1530"/>
      <c r="Q1530"/>
      <c r="R1530"/>
      <c r="S1530"/>
      <c r="T1530"/>
      <c r="U1530"/>
      <c r="V1530"/>
      <c r="W1530"/>
      <c r="X1530"/>
      <c r="Y1530"/>
      <c r="Z1530"/>
      <c r="AA1530"/>
    </row>
    <row r="1531" spans="1:27" s="1" customFormat="1" x14ac:dyDescent="0.3">
      <c r="A1531"/>
      <c r="B1531"/>
      <c r="C1531"/>
      <c r="D1531"/>
      <c r="E1531"/>
      <c r="F1531"/>
      <c r="G1531"/>
      <c r="H1531"/>
      <c r="I1531"/>
      <c r="J1531"/>
      <c r="K1531"/>
      <c r="L1531"/>
      <c r="M1531"/>
      <c r="N1531"/>
      <c r="O1531"/>
      <c r="P1531"/>
      <c r="Q1531"/>
      <c r="R1531"/>
      <c r="S1531"/>
      <c r="T1531"/>
      <c r="U1531"/>
      <c r="V1531"/>
      <c r="W1531"/>
      <c r="X1531"/>
      <c r="Y1531"/>
      <c r="Z1531"/>
      <c r="AA1531"/>
    </row>
    <row r="1532" spans="1:27" s="1" customFormat="1" x14ac:dyDescent="0.3">
      <c r="A1532"/>
      <c r="B1532"/>
      <c r="C1532"/>
      <c r="D1532"/>
      <c r="E1532"/>
      <c r="F1532"/>
      <c r="G1532"/>
      <c r="H1532"/>
      <c r="I1532"/>
      <c r="J1532"/>
      <c r="K1532"/>
      <c r="L1532"/>
      <c r="M1532"/>
      <c r="N1532"/>
      <c r="O1532"/>
      <c r="P1532"/>
      <c r="Q1532"/>
      <c r="R1532"/>
      <c r="S1532"/>
      <c r="T1532"/>
      <c r="U1532"/>
      <c r="V1532"/>
      <c r="W1532"/>
      <c r="X1532"/>
      <c r="Y1532"/>
      <c r="Z1532"/>
      <c r="AA1532"/>
    </row>
    <row r="1533" spans="1:27" s="1" customFormat="1" x14ac:dyDescent="0.3">
      <c r="A1533"/>
      <c r="B1533"/>
      <c r="C1533"/>
      <c r="D1533"/>
      <c r="E1533"/>
      <c r="F1533"/>
      <c r="G1533"/>
      <c r="H1533"/>
      <c r="I1533"/>
      <c r="J1533"/>
      <c r="K1533"/>
      <c r="L1533"/>
      <c r="M1533"/>
      <c r="N1533"/>
      <c r="O1533"/>
      <c r="P1533"/>
      <c r="Q1533"/>
      <c r="R1533"/>
      <c r="S1533"/>
      <c r="T1533"/>
      <c r="U1533"/>
      <c r="V1533"/>
      <c r="W1533"/>
      <c r="X1533"/>
      <c r="Y1533"/>
      <c r="Z1533"/>
      <c r="AA1533"/>
    </row>
    <row r="1534" spans="1:27" s="1" customFormat="1" x14ac:dyDescent="0.3">
      <c r="A1534"/>
      <c r="B1534"/>
      <c r="C1534"/>
      <c r="D1534"/>
      <c r="E1534"/>
      <c r="F1534"/>
      <c r="G1534"/>
      <c r="H1534"/>
      <c r="I1534"/>
      <c r="J1534"/>
      <c r="K1534"/>
      <c r="L1534"/>
      <c r="M1534"/>
      <c r="N1534"/>
      <c r="O1534"/>
      <c r="P1534"/>
      <c r="Q1534"/>
      <c r="R1534"/>
      <c r="S1534"/>
      <c r="T1534"/>
      <c r="U1534"/>
      <c r="V1534"/>
      <c r="W1534"/>
      <c r="X1534"/>
      <c r="Y1534"/>
      <c r="Z1534"/>
      <c r="AA1534"/>
    </row>
    <row r="1535" spans="1:27" s="1" customFormat="1" x14ac:dyDescent="0.3">
      <c r="A1535"/>
      <c r="B1535"/>
      <c r="C1535"/>
      <c r="D1535"/>
      <c r="E1535"/>
      <c r="F1535"/>
      <c r="G1535"/>
      <c r="H1535"/>
      <c r="I1535"/>
      <c r="J1535"/>
      <c r="K1535"/>
      <c r="L1535"/>
      <c r="M1535"/>
      <c r="N1535"/>
      <c r="O1535"/>
      <c r="P1535"/>
      <c r="Q1535"/>
      <c r="R1535"/>
      <c r="S1535"/>
      <c r="T1535"/>
      <c r="U1535"/>
      <c r="V1535"/>
      <c r="W1535"/>
      <c r="X1535"/>
      <c r="Y1535"/>
      <c r="Z1535"/>
      <c r="AA1535"/>
    </row>
    <row r="1536" spans="1:27" s="1" customFormat="1" x14ac:dyDescent="0.3">
      <c r="A1536"/>
      <c r="B1536"/>
      <c r="C1536"/>
      <c r="D1536"/>
      <c r="E1536"/>
      <c r="F1536"/>
      <c r="G1536"/>
      <c r="H1536"/>
      <c r="I1536"/>
      <c r="J1536"/>
      <c r="K1536"/>
      <c r="L1536"/>
      <c r="M1536"/>
      <c r="N1536"/>
      <c r="O1536"/>
      <c r="P1536"/>
      <c r="Q1536"/>
      <c r="R1536"/>
      <c r="S1536"/>
      <c r="T1536"/>
      <c r="U1536"/>
      <c r="V1536"/>
      <c r="W1536"/>
      <c r="X1536"/>
      <c r="Y1536"/>
      <c r="Z1536"/>
      <c r="AA1536"/>
    </row>
    <row r="1537" spans="1:27" s="1" customFormat="1" x14ac:dyDescent="0.3">
      <c r="A1537"/>
      <c r="B1537"/>
      <c r="C1537"/>
      <c r="D1537"/>
      <c r="E1537"/>
      <c r="F1537"/>
      <c r="G1537"/>
      <c r="H1537"/>
      <c r="I1537"/>
      <c r="J1537"/>
      <c r="K1537"/>
      <c r="L1537"/>
      <c r="M1537"/>
      <c r="N1537"/>
      <c r="O1537"/>
      <c r="P1537"/>
      <c r="Q1537"/>
      <c r="R1537"/>
      <c r="S1537"/>
      <c r="T1537"/>
      <c r="U1537"/>
      <c r="V1537"/>
      <c r="W1537"/>
      <c r="X1537"/>
      <c r="Y1537"/>
      <c r="Z1537"/>
      <c r="AA1537"/>
    </row>
    <row r="1538" spans="1:27" s="1" customFormat="1" x14ac:dyDescent="0.3">
      <c r="A1538"/>
      <c r="B1538"/>
      <c r="C1538"/>
      <c r="D1538"/>
      <c r="E1538"/>
      <c r="F1538"/>
      <c r="G1538"/>
      <c r="H1538"/>
      <c r="I1538"/>
      <c r="J1538"/>
      <c r="K1538"/>
      <c r="L1538"/>
      <c r="M1538"/>
      <c r="N1538"/>
      <c r="O1538"/>
      <c r="P1538"/>
      <c r="Q1538"/>
      <c r="R1538"/>
      <c r="S1538"/>
      <c r="T1538"/>
      <c r="U1538"/>
      <c r="V1538"/>
      <c r="W1538"/>
      <c r="X1538"/>
      <c r="Y1538"/>
      <c r="Z1538"/>
      <c r="AA1538"/>
    </row>
    <row r="1539" spans="1:27" s="1" customFormat="1" x14ac:dyDescent="0.3">
      <c r="A1539"/>
      <c r="B1539"/>
      <c r="C1539"/>
      <c r="D1539"/>
      <c r="E1539"/>
      <c r="F1539"/>
      <c r="G1539"/>
      <c r="H1539"/>
      <c r="I1539"/>
      <c r="J1539"/>
      <c r="K1539"/>
      <c r="L1539"/>
      <c r="M1539"/>
      <c r="N1539"/>
      <c r="O1539"/>
      <c r="P1539"/>
      <c r="Q1539"/>
      <c r="R1539"/>
      <c r="S1539"/>
      <c r="T1539"/>
      <c r="U1539"/>
      <c r="V1539"/>
      <c r="W1539"/>
      <c r="X1539"/>
      <c r="Y1539"/>
      <c r="Z1539"/>
      <c r="AA1539"/>
    </row>
    <row r="1540" spans="1:27" s="1" customFormat="1" x14ac:dyDescent="0.3">
      <c r="A1540"/>
      <c r="B1540"/>
      <c r="C1540"/>
      <c r="D1540"/>
      <c r="E1540"/>
      <c r="F1540"/>
      <c r="G1540"/>
      <c r="H1540"/>
      <c r="I1540"/>
      <c r="J1540"/>
      <c r="K1540"/>
      <c r="L1540"/>
      <c r="M1540"/>
      <c r="N1540"/>
      <c r="O1540"/>
      <c r="P1540"/>
      <c r="Q1540"/>
      <c r="R1540"/>
      <c r="S1540"/>
      <c r="T1540"/>
      <c r="U1540"/>
      <c r="V1540"/>
      <c r="W1540"/>
      <c r="X1540"/>
      <c r="Y1540"/>
      <c r="Z1540"/>
      <c r="AA1540"/>
    </row>
    <row r="1541" spans="1:27" s="1" customFormat="1" x14ac:dyDescent="0.3">
      <c r="A1541"/>
      <c r="B1541"/>
      <c r="C1541"/>
      <c r="D1541"/>
      <c r="E1541"/>
      <c r="F1541"/>
      <c r="G1541"/>
      <c r="H1541"/>
      <c r="I1541"/>
      <c r="J1541"/>
      <c r="K1541"/>
      <c r="L1541"/>
      <c r="M1541"/>
      <c r="N1541"/>
      <c r="O1541"/>
      <c r="P1541"/>
      <c r="Q1541"/>
      <c r="R1541"/>
      <c r="S1541"/>
      <c r="T1541"/>
      <c r="U1541"/>
      <c r="V1541"/>
      <c r="W1541"/>
      <c r="X1541"/>
      <c r="Y1541"/>
      <c r="Z1541"/>
      <c r="AA1541"/>
    </row>
    <row r="1542" spans="1:27" s="1" customFormat="1" x14ac:dyDescent="0.3">
      <c r="A1542"/>
      <c r="B1542"/>
      <c r="C1542"/>
      <c r="D1542"/>
      <c r="E1542"/>
      <c r="F1542"/>
      <c r="G1542"/>
      <c r="H1542"/>
      <c r="I1542"/>
      <c r="J1542"/>
      <c r="K1542"/>
      <c r="L1542"/>
      <c r="M1542"/>
      <c r="N1542"/>
      <c r="O1542"/>
      <c r="P1542"/>
      <c r="Q1542"/>
      <c r="R1542"/>
      <c r="S1542"/>
      <c r="T1542"/>
      <c r="U1542"/>
      <c r="V1542"/>
      <c r="W1542"/>
      <c r="X1542"/>
      <c r="Y1542"/>
      <c r="Z1542"/>
      <c r="AA1542"/>
    </row>
    <row r="1543" spans="1:27" s="1" customFormat="1" x14ac:dyDescent="0.3">
      <c r="A1543"/>
      <c r="B1543"/>
      <c r="C1543"/>
      <c r="D1543"/>
      <c r="E1543"/>
      <c r="F1543"/>
      <c r="G1543"/>
      <c r="H1543"/>
      <c r="I1543"/>
      <c r="J1543"/>
      <c r="K1543"/>
      <c r="L1543"/>
      <c r="M1543"/>
      <c r="N1543"/>
      <c r="O1543"/>
      <c r="P1543"/>
      <c r="Q1543"/>
      <c r="R1543"/>
      <c r="S1543"/>
      <c r="T1543"/>
      <c r="U1543"/>
      <c r="V1543"/>
      <c r="W1543"/>
      <c r="X1543"/>
      <c r="Y1543"/>
      <c r="Z1543"/>
      <c r="AA1543"/>
    </row>
    <row r="1544" spans="1:27" s="1" customFormat="1" x14ac:dyDescent="0.3">
      <c r="A1544"/>
      <c r="B1544"/>
      <c r="C1544"/>
      <c r="D1544"/>
      <c r="E1544"/>
      <c r="F1544"/>
      <c r="G1544"/>
      <c r="H1544"/>
      <c r="I1544"/>
      <c r="J1544"/>
      <c r="K1544"/>
      <c r="L1544"/>
      <c r="M1544"/>
      <c r="N1544"/>
      <c r="O1544"/>
      <c r="P1544"/>
      <c r="Q1544"/>
      <c r="R1544"/>
      <c r="S1544"/>
      <c r="T1544"/>
      <c r="U1544"/>
      <c r="V1544"/>
      <c r="W1544"/>
      <c r="X1544"/>
      <c r="Y1544"/>
      <c r="Z1544"/>
      <c r="AA1544"/>
    </row>
    <row r="1545" spans="1:27" s="1" customFormat="1" x14ac:dyDescent="0.3">
      <c r="A1545"/>
      <c r="B1545"/>
      <c r="C1545"/>
      <c r="D1545"/>
      <c r="E1545"/>
      <c r="F1545"/>
      <c r="G1545"/>
      <c r="H1545"/>
      <c r="I1545"/>
      <c r="J1545"/>
      <c r="K1545"/>
      <c r="L1545"/>
      <c r="M1545"/>
      <c r="N1545"/>
      <c r="O1545"/>
      <c r="P1545"/>
      <c r="Q1545"/>
      <c r="R1545"/>
      <c r="S1545"/>
      <c r="T1545"/>
      <c r="U1545"/>
      <c r="V1545"/>
      <c r="W1545"/>
      <c r="X1545"/>
      <c r="Y1545"/>
      <c r="Z1545"/>
      <c r="AA1545"/>
    </row>
    <row r="1546" spans="1:27" s="1" customFormat="1" x14ac:dyDescent="0.3">
      <c r="A1546"/>
      <c r="B1546"/>
      <c r="C1546"/>
      <c r="D1546"/>
      <c r="E1546"/>
      <c r="F1546"/>
      <c r="G1546"/>
      <c r="H1546"/>
      <c r="I1546"/>
      <c r="J1546"/>
      <c r="K1546"/>
      <c r="L1546"/>
      <c r="M1546"/>
      <c r="N1546"/>
      <c r="O1546"/>
      <c r="P1546"/>
      <c r="Q1546"/>
      <c r="R1546"/>
      <c r="S1546"/>
      <c r="T1546"/>
      <c r="U1546"/>
      <c r="V1546"/>
      <c r="W1546"/>
      <c r="X1546"/>
      <c r="Y1546"/>
      <c r="Z1546"/>
      <c r="AA1546"/>
    </row>
    <row r="1547" spans="1:27" s="1" customFormat="1" x14ac:dyDescent="0.3">
      <c r="A1547"/>
      <c r="B1547"/>
      <c r="C1547"/>
      <c r="D1547"/>
      <c r="E1547"/>
      <c r="F1547"/>
      <c r="G1547"/>
      <c r="H1547"/>
      <c r="I1547"/>
      <c r="J1547"/>
      <c r="K1547"/>
      <c r="L1547"/>
      <c r="M1547"/>
      <c r="N1547"/>
      <c r="O1547"/>
      <c r="P1547"/>
      <c r="Q1547"/>
      <c r="R1547"/>
      <c r="S1547"/>
      <c r="T1547"/>
      <c r="U1547"/>
      <c r="V1547"/>
      <c r="W1547"/>
      <c r="X1547"/>
      <c r="Y1547"/>
      <c r="Z1547"/>
      <c r="AA1547"/>
    </row>
    <row r="1548" spans="1:27" s="1" customFormat="1" x14ac:dyDescent="0.3">
      <c r="A1548"/>
      <c r="B1548"/>
      <c r="C1548"/>
      <c r="D1548"/>
      <c r="E1548"/>
      <c r="F1548"/>
      <c r="G1548"/>
      <c r="H1548"/>
      <c r="I1548"/>
      <c r="J1548"/>
      <c r="K1548"/>
      <c r="L1548"/>
      <c r="M1548"/>
      <c r="N1548"/>
      <c r="O1548"/>
      <c r="P1548"/>
      <c r="Q1548"/>
      <c r="R1548"/>
      <c r="S1548"/>
      <c r="T1548"/>
      <c r="U1548"/>
      <c r="V1548"/>
      <c r="W1548"/>
      <c r="X1548"/>
      <c r="Y1548"/>
      <c r="Z1548"/>
      <c r="AA1548"/>
    </row>
    <row r="1549" spans="1:27" s="1" customFormat="1" x14ac:dyDescent="0.3">
      <c r="A1549"/>
      <c r="B1549"/>
      <c r="C1549"/>
      <c r="D1549"/>
      <c r="E1549"/>
      <c r="F1549"/>
      <c r="G1549"/>
      <c r="H1549"/>
      <c r="I1549"/>
      <c r="J1549"/>
      <c r="K1549"/>
      <c r="L1549"/>
      <c r="M1549"/>
      <c r="N1549"/>
      <c r="O1549"/>
      <c r="P1549"/>
      <c r="Q1549"/>
      <c r="R1549"/>
      <c r="S1549"/>
      <c r="T1549"/>
      <c r="U1549"/>
      <c r="V1549"/>
      <c r="W1549"/>
      <c r="X1549"/>
      <c r="Y1549"/>
      <c r="Z1549"/>
      <c r="AA1549"/>
    </row>
    <row r="1550" spans="1:27" s="1" customFormat="1" x14ac:dyDescent="0.3">
      <c r="A1550"/>
      <c r="B1550"/>
      <c r="C1550"/>
      <c r="D1550"/>
      <c r="E1550"/>
      <c r="F1550"/>
      <c r="G1550"/>
      <c r="H1550"/>
      <c r="I1550"/>
      <c r="J1550"/>
      <c r="K1550"/>
      <c r="L1550"/>
      <c r="M1550"/>
      <c r="N1550"/>
      <c r="O1550"/>
      <c r="P1550"/>
      <c r="Q1550"/>
      <c r="R1550"/>
      <c r="S1550"/>
      <c r="T1550"/>
      <c r="U1550"/>
      <c r="V1550"/>
      <c r="W1550"/>
      <c r="X1550"/>
      <c r="Y1550"/>
      <c r="Z1550"/>
      <c r="AA1550"/>
    </row>
    <row r="1551" spans="1:27" s="1" customFormat="1" x14ac:dyDescent="0.3">
      <c r="A1551"/>
      <c r="B1551"/>
      <c r="C1551"/>
      <c r="D1551"/>
      <c r="E1551"/>
      <c r="F1551"/>
      <c r="G1551"/>
      <c r="H1551"/>
      <c r="I1551"/>
      <c r="J1551"/>
      <c r="K1551"/>
      <c r="L1551"/>
      <c r="M1551"/>
      <c r="N1551"/>
      <c r="O1551"/>
      <c r="P1551"/>
      <c r="Q1551"/>
      <c r="R1551"/>
      <c r="S1551"/>
      <c r="T1551"/>
      <c r="U1551"/>
      <c r="V1551"/>
      <c r="W1551"/>
      <c r="X1551"/>
      <c r="Y1551"/>
      <c r="Z1551"/>
      <c r="AA1551"/>
    </row>
    <row r="1552" spans="1:27" s="1" customFormat="1" x14ac:dyDescent="0.3">
      <c r="A1552"/>
      <c r="B1552"/>
      <c r="C1552"/>
      <c r="D1552"/>
      <c r="E1552"/>
      <c r="F1552"/>
      <c r="G1552"/>
      <c r="H1552"/>
      <c r="I1552"/>
      <c r="J1552"/>
      <c r="K1552"/>
      <c r="L1552"/>
      <c r="M1552"/>
      <c r="N1552"/>
      <c r="O1552"/>
      <c r="P1552"/>
      <c r="Q1552"/>
      <c r="R1552"/>
      <c r="S1552"/>
      <c r="T1552"/>
      <c r="U1552"/>
      <c r="V1552"/>
      <c r="W1552"/>
      <c r="X1552"/>
      <c r="Y1552"/>
      <c r="Z1552"/>
      <c r="AA1552"/>
    </row>
    <row r="1553" spans="1:27" s="1" customFormat="1" x14ac:dyDescent="0.3">
      <c r="A1553"/>
      <c r="B1553"/>
      <c r="C1553"/>
      <c r="D1553"/>
      <c r="E1553"/>
      <c r="F1553"/>
      <c r="G1553"/>
      <c r="H1553"/>
      <c r="I1553"/>
      <c r="J1553"/>
      <c r="K1553"/>
      <c r="L1553"/>
      <c r="M1553"/>
      <c r="N1553"/>
      <c r="O1553"/>
      <c r="P1553"/>
      <c r="Q1553"/>
      <c r="R1553"/>
      <c r="S1553"/>
      <c r="T1553"/>
      <c r="U1553"/>
      <c r="V1553"/>
      <c r="W1553"/>
      <c r="X1553"/>
      <c r="Y1553"/>
      <c r="Z1553"/>
      <c r="AA1553"/>
    </row>
    <row r="1554" spans="1:27" s="1" customFormat="1" x14ac:dyDescent="0.3">
      <c r="A1554"/>
      <c r="B1554"/>
      <c r="C1554"/>
      <c r="D1554"/>
      <c r="E1554"/>
      <c r="F1554"/>
      <c r="G1554"/>
      <c r="H1554"/>
      <c r="I1554"/>
      <c r="J1554"/>
      <c r="K1554"/>
      <c r="L1554"/>
      <c r="M1554"/>
      <c r="N1554"/>
      <c r="O1554"/>
      <c r="P1554"/>
      <c r="Q1554"/>
      <c r="R1554"/>
      <c r="S1554"/>
      <c r="T1554"/>
      <c r="U1554"/>
      <c r="V1554"/>
      <c r="W1554"/>
      <c r="X1554"/>
      <c r="Y1554"/>
      <c r="Z1554"/>
      <c r="AA1554"/>
    </row>
    <row r="1555" spans="1:27" s="1" customFormat="1" x14ac:dyDescent="0.3">
      <c r="A1555"/>
      <c r="B1555"/>
      <c r="C1555"/>
      <c r="D1555"/>
      <c r="E1555"/>
      <c r="F1555"/>
      <c r="G1555"/>
      <c r="H1555"/>
      <c r="I1555"/>
      <c r="J1555"/>
      <c r="K1555"/>
      <c r="L1555"/>
      <c r="M1555"/>
      <c r="N1555"/>
      <c r="O1555"/>
      <c r="P1555"/>
      <c r="Q1555"/>
      <c r="R1555"/>
      <c r="S1555"/>
      <c r="T1555"/>
      <c r="U1555"/>
      <c r="V1555"/>
      <c r="W1555"/>
      <c r="X1555"/>
      <c r="Y1555"/>
      <c r="Z1555"/>
      <c r="AA1555"/>
    </row>
    <row r="1556" spans="1:27" s="1" customFormat="1" x14ac:dyDescent="0.3">
      <c r="A1556"/>
      <c r="B1556"/>
      <c r="C1556"/>
      <c r="D1556"/>
      <c r="E1556"/>
      <c r="F1556"/>
      <c r="G1556"/>
      <c r="H1556"/>
      <c r="I1556"/>
      <c r="J1556"/>
      <c r="K1556"/>
      <c r="L1556"/>
      <c r="M1556"/>
      <c r="N1556"/>
      <c r="O1556"/>
      <c r="P1556"/>
      <c r="Q1556"/>
      <c r="R1556"/>
      <c r="S1556"/>
      <c r="T1556"/>
      <c r="U1556"/>
      <c r="V1556"/>
      <c r="W1556"/>
      <c r="X1556"/>
      <c r="Y1556"/>
      <c r="Z1556"/>
      <c r="AA1556"/>
    </row>
    <row r="1557" spans="1:27" s="1" customFormat="1" x14ac:dyDescent="0.3">
      <c r="A1557"/>
      <c r="B1557"/>
      <c r="C1557"/>
      <c r="D1557"/>
      <c r="E1557"/>
      <c r="F1557"/>
      <c r="G1557"/>
      <c r="H1557"/>
      <c r="I1557"/>
      <c r="J1557"/>
      <c r="K1557"/>
      <c r="L1557"/>
      <c r="M1557"/>
      <c r="N1557"/>
      <c r="O1557"/>
      <c r="P1557"/>
      <c r="Q1557"/>
      <c r="R1557"/>
      <c r="S1557"/>
      <c r="T1557"/>
      <c r="U1557"/>
      <c r="V1557"/>
      <c r="W1557"/>
      <c r="X1557"/>
      <c r="Y1557"/>
      <c r="Z1557"/>
      <c r="AA1557"/>
    </row>
    <row r="1558" spans="1:27" s="1" customFormat="1" x14ac:dyDescent="0.3">
      <c r="A1558"/>
      <c r="B1558"/>
      <c r="C1558"/>
      <c r="D1558"/>
      <c r="E1558"/>
      <c r="F1558"/>
      <c r="G1558"/>
      <c r="H1558"/>
      <c r="I1558"/>
      <c r="J1558"/>
      <c r="K1558"/>
      <c r="L1558"/>
      <c r="M1558"/>
      <c r="N1558"/>
      <c r="O1558"/>
      <c r="P1558"/>
      <c r="Q1558"/>
      <c r="R1558"/>
      <c r="S1558"/>
      <c r="T1558"/>
      <c r="U1558"/>
      <c r="V1558"/>
      <c r="W1558"/>
      <c r="X1558"/>
      <c r="Y1558"/>
      <c r="Z1558"/>
      <c r="AA1558"/>
    </row>
    <row r="1559" spans="1:27" s="1" customFormat="1" x14ac:dyDescent="0.3">
      <c r="A1559"/>
      <c r="B1559"/>
      <c r="C1559"/>
      <c r="D1559"/>
      <c r="E1559"/>
      <c r="F1559"/>
      <c r="G1559"/>
      <c r="H1559"/>
      <c r="I1559"/>
      <c r="J1559"/>
      <c r="K1559"/>
      <c r="L1559"/>
      <c r="M1559"/>
      <c r="N1559"/>
      <c r="O1559"/>
      <c r="P1559"/>
      <c r="Q1559"/>
      <c r="R1559"/>
      <c r="S1559"/>
      <c r="T1559"/>
      <c r="U1559"/>
      <c r="V1559"/>
      <c r="W1559"/>
      <c r="X1559"/>
      <c r="Y1559"/>
      <c r="Z1559"/>
      <c r="AA1559"/>
    </row>
    <row r="1560" spans="1:27" s="1" customFormat="1" x14ac:dyDescent="0.3">
      <c r="A1560"/>
      <c r="B1560"/>
      <c r="C1560"/>
      <c r="D1560"/>
      <c r="E1560"/>
      <c r="F1560"/>
      <c r="G1560"/>
      <c r="H1560"/>
      <c r="I1560"/>
      <c r="J1560"/>
      <c r="K1560"/>
      <c r="L1560"/>
      <c r="M1560"/>
      <c r="N1560"/>
      <c r="O1560"/>
      <c r="P1560"/>
      <c r="Q1560"/>
      <c r="R1560"/>
      <c r="S1560"/>
      <c r="T1560"/>
      <c r="U1560"/>
      <c r="V1560"/>
      <c r="W1560"/>
      <c r="X1560"/>
      <c r="Y1560"/>
      <c r="Z1560"/>
      <c r="AA1560"/>
    </row>
    <row r="1561" spans="1:27" s="1" customFormat="1" x14ac:dyDescent="0.3">
      <c r="A1561"/>
      <c r="B1561"/>
      <c r="C1561"/>
      <c r="D1561"/>
      <c r="E1561"/>
      <c r="F1561"/>
      <c r="G1561"/>
      <c r="H1561"/>
      <c r="I1561"/>
      <c r="J1561"/>
      <c r="K1561"/>
      <c r="L1561"/>
      <c r="M1561"/>
      <c r="N1561"/>
      <c r="O1561"/>
      <c r="P1561"/>
      <c r="Q1561"/>
      <c r="R1561"/>
      <c r="S1561"/>
      <c r="T1561"/>
      <c r="U1561"/>
      <c r="V1561"/>
      <c r="W1561"/>
      <c r="X1561"/>
      <c r="Y1561"/>
      <c r="Z1561"/>
      <c r="AA1561"/>
    </row>
    <row r="1562" spans="1:27" s="1" customFormat="1" x14ac:dyDescent="0.3">
      <c r="A1562"/>
      <c r="B1562"/>
      <c r="C1562"/>
      <c r="D1562"/>
      <c r="E1562"/>
      <c r="F1562"/>
      <c r="G1562"/>
      <c r="H1562"/>
      <c r="I1562"/>
      <c r="J1562"/>
      <c r="K1562"/>
      <c r="L1562"/>
      <c r="M1562"/>
      <c r="N1562"/>
      <c r="O1562"/>
      <c r="P1562"/>
      <c r="Q1562"/>
      <c r="R1562"/>
      <c r="S1562"/>
      <c r="T1562"/>
      <c r="U1562"/>
      <c r="V1562"/>
      <c r="W1562"/>
      <c r="X1562"/>
      <c r="Y1562"/>
      <c r="Z1562"/>
      <c r="AA1562"/>
    </row>
    <row r="1563" spans="1:27" s="1" customFormat="1" x14ac:dyDescent="0.3">
      <c r="A1563"/>
      <c r="B1563"/>
      <c r="C1563"/>
      <c r="D1563"/>
      <c r="E1563"/>
      <c r="F1563"/>
      <c r="G1563"/>
      <c r="H1563"/>
      <c r="I1563"/>
      <c r="J1563"/>
      <c r="K1563"/>
      <c r="L1563"/>
      <c r="M1563"/>
      <c r="N1563"/>
      <c r="O1563"/>
      <c r="P1563"/>
      <c r="Q1563"/>
      <c r="R1563"/>
      <c r="S1563"/>
      <c r="T1563"/>
      <c r="U1563"/>
      <c r="V1563"/>
      <c r="W1563"/>
      <c r="X1563"/>
      <c r="Y1563"/>
      <c r="Z1563"/>
      <c r="AA1563"/>
    </row>
    <row r="1564" spans="1:27" s="1" customFormat="1" x14ac:dyDescent="0.3">
      <c r="A1564"/>
      <c r="B1564"/>
      <c r="C1564"/>
      <c r="D1564"/>
      <c r="E1564"/>
      <c r="F1564"/>
      <c r="G1564"/>
      <c r="H1564"/>
      <c r="I1564"/>
      <c r="J1564"/>
      <c r="K1564"/>
      <c r="L1564"/>
      <c r="M1564"/>
      <c r="N1564"/>
      <c r="O1564"/>
      <c r="P1564"/>
      <c r="Q1564"/>
      <c r="R1564"/>
      <c r="S1564"/>
      <c r="T1564"/>
      <c r="U1564"/>
      <c r="V1564"/>
      <c r="W1564"/>
      <c r="X1564"/>
      <c r="Y1564"/>
      <c r="Z1564"/>
      <c r="AA1564"/>
    </row>
    <row r="1565" spans="1:27" s="1" customFormat="1" x14ac:dyDescent="0.3">
      <c r="A1565"/>
      <c r="B1565"/>
      <c r="C1565"/>
      <c r="D1565"/>
      <c r="E1565"/>
      <c r="F1565"/>
      <c r="G1565"/>
      <c r="H1565"/>
      <c r="I1565"/>
      <c r="J1565"/>
      <c r="K1565"/>
      <c r="L1565"/>
      <c r="M1565"/>
      <c r="N1565"/>
      <c r="O1565"/>
      <c r="P1565"/>
      <c r="Q1565"/>
      <c r="R1565"/>
      <c r="S1565"/>
      <c r="T1565"/>
      <c r="U1565"/>
      <c r="V1565"/>
      <c r="W1565"/>
      <c r="X1565"/>
      <c r="Y1565"/>
      <c r="Z1565"/>
      <c r="AA1565"/>
    </row>
    <row r="1566" spans="1:27" s="1" customFormat="1" x14ac:dyDescent="0.3">
      <c r="A1566"/>
      <c r="B1566"/>
      <c r="C1566"/>
      <c r="D1566"/>
      <c r="E1566"/>
      <c r="F1566"/>
      <c r="G1566"/>
      <c r="H1566"/>
      <c r="I1566"/>
      <c r="J1566"/>
      <c r="K1566"/>
      <c r="L1566"/>
      <c r="M1566"/>
      <c r="N1566"/>
      <c r="O1566"/>
      <c r="P1566"/>
      <c r="Q1566"/>
      <c r="R1566"/>
      <c r="S1566"/>
      <c r="T1566"/>
      <c r="U1566"/>
      <c r="V1566"/>
      <c r="W1566"/>
      <c r="X1566"/>
      <c r="Y1566"/>
      <c r="Z1566"/>
      <c r="AA1566"/>
    </row>
    <row r="1567" spans="1:27" s="1" customFormat="1" x14ac:dyDescent="0.3">
      <c r="A1567"/>
      <c r="B1567"/>
      <c r="C1567"/>
      <c r="D1567"/>
      <c r="E1567"/>
      <c r="F1567"/>
      <c r="G1567"/>
      <c r="H1567"/>
      <c r="I1567"/>
      <c r="J1567"/>
      <c r="K1567"/>
      <c r="L1567"/>
      <c r="M1567"/>
      <c r="N1567"/>
      <c r="O1567"/>
      <c r="P1567"/>
      <c r="Q1567"/>
      <c r="R1567"/>
      <c r="S1567"/>
      <c r="T1567"/>
      <c r="U1567"/>
      <c r="V1567"/>
      <c r="W1567"/>
      <c r="X1567"/>
      <c r="Y1567"/>
      <c r="Z1567"/>
      <c r="AA1567"/>
    </row>
    <row r="1568" spans="1:27" s="1" customFormat="1" x14ac:dyDescent="0.3">
      <c r="A1568"/>
      <c r="B1568"/>
      <c r="C1568"/>
      <c r="D1568"/>
      <c r="E1568"/>
      <c r="F1568"/>
      <c r="G1568"/>
      <c r="H1568"/>
      <c r="I1568"/>
      <c r="J1568"/>
      <c r="K1568"/>
      <c r="L1568"/>
      <c r="M1568"/>
      <c r="N1568"/>
      <c r="O1568"/>
      <c r="P1568"/>
      <c r="Q1568"/>
      <c r="R1568"/>
      <c r="S1568"/>
      <c r="T1568"/>
      <c r="U1568"/>
      <c r="V1568"/>
      <c r="W1568"/>
      <c r="X1568"/>
      <c r="Y1568"/>
      <c r="Z1568"/>
      <c r="AA1568"/>
    </row>
    <row r="1569" spans="1:27" s="1" customFormat="1" x14ac:dyDescent="0.3">
      <c r="A1569"/>
      <c r="B1569"/>
      <c r="C1569"/>
      <c r="D1569"/>
      <c r="E1569"/>
      <c r="F1569"/>
      <c r="G1569"/>
      <c r="H1569"/>
      <c r="I1569"/>
      <c r="J1569"/>
      <c r="K1569"/>
      <c r="L1569"/>
      <c r="M1569"/>
      <c r="N1569"/>
      <c r="O1569"/>
      <c r="P1569"/>
      <c r="Q1569"/>
      <c r="R1569"/>
      <c r="S1569"/>
      <c r="T1569"/>
      <c r="U1569"/>
      <c r="V1569"/>
      <c r="W1569"/>
      <c r="X1569"/>
      <c r="Y1569"/>
      <c r="Z1569"/>
      <c r="AA1569"/>
    </row>
    <row r="1570" spans="1:27" s="1" customFormat="1" x14ac:dyDescent="0.3">
      <c r="A1570"/>
      <c r="B1570"/>
      <c r="C1570"/>
      <c r="D1570"/>
      <c r="E1570"/>
      <c r="F1570"/>
      <c r="G1570"/>
      <c r="H1570"/>
      <c r="I1570"/>
      <c r="J1570"/>
      <c r="K1570"/>
      <c r="L1570"/>
      <c r="M1570"/>
      <c r="N1570"/>
      <c r="O1570"/>
      <c r="P1570"/>
      <c r="Q1570"/>
      <c r="R1570"/>
      <c r="S1570"/>
      <c r="T1570"/>
      <c r="U1570"/>
      <c r="V1570"/>
      <c r="W1570"/>
      <c r="X1570"/>
      <c r="Y1570"/>
      <c r="Z1570"/>
      <c r="AA1570"/>
    </row>
    <row r="1571" spans="1:27" s="1" customFormat="1" x14ac:dyDescent="0.3">
      <c r="A1571"/>
      <c r="B1571"/>
      <c r="C1571"/>
      <c r="D1571"/>
      <c r="E1571"/>
      <c r="F1571"/>
      <c r="G1571"/>
      <c r="H1571"/>
      <c r="I1571"/>
      <c r="J1571"/>
      <c r="K1571"/>
      <c r="L1571"/>
      <c r="M1571"/>
      <c r="N1571"/>
      <c r="O1571"/>
      <c r="P1571"/>
      <c r="Q1571"/>
      <c r="R1571"/>
      <c r="S1571"/>
      <c r="T1571"/>
      <c r="U1571"/>
      <c r="V1571"/>
      <c r="W1571"/>
      <c r="X1571"/>
      <c r="Y1571"/>
      <c r="Z1571"/>
      <c r="AA1571"/>
    </row>
    <row r="1572" spans="1:27" s="1" customFormat="1" x14ac:dyDescent="0.3">
      <c r="A1572"/>
      <c r="B1572"/>
      <c r="C1572"/>
      <c r="D1572"/>
      <c r="E1572"/>
      <c r="F1572"/>
      <c r="G1572"/>
      <c r="H1572"/>
      <c r="I1572"/>
      <c r="J1572"/>
      <c r="K1572"/>
      <c r="L1572"/>
      <c r="M1572"/>
      <c r="N1572"/>
      <c r="O1572"/>
      <c r="P1572"/>
      <c r="Q1572"/>
      <c r="R1572"/>
      <c r="S1572"/>
      <c r="T1572"/>
      <c r="U1572"/>
      <c r="V1572"/>
      <c r="W1572"/>
      <c r="X1572"/>
      <c r="Y1572"/>
      <c r="Z1572"/>
      <c r="AA1572"/>
    </row>
    <row r="1573" spans="1:27" s="1" customFormat="1" x14ac:dyDescent="0.3">
      <c r="A1573"/>
      <c r="B1573"/>
      <c r="C1573"/>
      <c r="D1573"/>
      <c r="E1573"/>
      <c r="F1573"/>
      <c r="G1573"/>
      <c r="H1573"/>
      <c r="I1573"/>
      <c r="J1573"/>
      <c r="K1573"/>
      <c r="L1573"/>
      <c r="M1573"/>
      <c r="N1573"/>
      <c r="O1573"/>
      <c r="P1573"/>
      <c r="Q1573"/>
      <c r="R1573"/>
      <c r="S1573"/>
      <c r="T1573"/>
      <c r="U1573"/>
      <c r="V1573"/>
      <c r="W1573"/>
      <c r="X1573"/>
      <c r="Y1573"/>
      <c r="Z1573"/>
      <c r="AA1573"/>
    </row>
    <row r="1574" spans="1:27" s="1" customFormat="1" x14ac:dyDescent="0.3">
      <c r="A1574"/>
      <c r="B1574"/>
      <c r="C1574"/>
      <c r="D1574"/>
      <c r="E1574"/>
      <c r="F1574"/>
      <c r="G1574"/>
      <c r="H1574"/>
      <c r="I1574"/>
      <c r="J1574"/>
      <c r="K1574"/>
      <c r="L1574"/>
      <c r="M1574"/>
      <c r="N1574"/>
      <c r="O1574"/>
      <c r="P1574"/>
      <c r="Q1574"/>
      <c r="R1574"/>
      <c r="S1574"/>
      <c r="T1574"/>
      <c r="U1574"/>
      <c r="V1574"/>
      <c r="W1574"/>
      <c r="X1574"/>
      <c r="Y1574"/>
      <c r="Z1574"/>
      <c r="AA1574"/>
    </row>
    <row r="1575" spans="1:27" s="1" customFormat="1" x14ac:dyDescent="0.3">
      <c r="A1575"/>
      <c r="B1575"/>
      <c r="C1575"/>
      <c r="D1575"/>
      <c r="E1575"/>
      <c r="F1575"/>
      <c r="G1575"/>
      <c r="H1575"/>
      <c r="I1575"/>
      <c r="J1575"/>
      <c r="K1575"/>
      <c r="L1575"/>
      <c r="M1575"/>
      <c r="N1575"/>
      <c r="O1575"/>
      <c r="P1575"/>
      <c r="Q1575"/>
      <c r="R1575"/>
      <c r="S1575"/>
      <c r="T1575"/>
      <c r="U1575"/>
      <c r="V1575"/>
      <c r="W1575"/>
      <c r="X1575"/>
      <c r="Y1575"/>
      <c r="Z1575"/>
      <c r="AA1575"/>
    </row>
    <row r="1576" spans="1:27" s="1" customFormat="1" x14ac:dyDescent="0.3">
      <c r="A1576"/>
      <c r="B1576"/>
      <c r="C1576"/>
      <c r="D1576"/>
      <c r="E1576"/>
      <c r="F1576"/>
      <c r="G1576"/>
      <c r="H1576"/>
      <c r="I1576"/>
      <c r="J1576"/>
      <c r="K1576"/>
      <c r="L1576"/>
      <c r="M1576"/>
      <c r="N1576"/>
      <c r="O1576"/>
      <c r="P1576"/>
      <c r="Q1576"/>
      <c r="R1576"/>
      <c r="S1576"/>
      <c r="T1576"/>
      <c r="U1576"/>
      <c r="V1576"/>
      <c r="W1576"/>
      <c r="X1576"/>
      <c r="Y1576"/>
      <c r="Z1576"/>
      <c r="AA1576"/>
    </row>
    <row r="1577" spans="1:27" s="1" customFormat="1" x14ac:dyDescent="0.3">
      <c r="A1577"/>
      <c r="B1577"/>
      <c r="C1577"/>
      <c r="D1577"/>
      <c r="E1577"/>
      <c r="F1577"/>
      <c r="G1577"/>
      <c r="H1577"/>
      <c r="I1577"/>
      <c r="J1577"/>
      <c r="K1577"/>
      <c r="L1577"/>
      <c r="M1577"/>
      <c r="N1577"/>
      <c r="O1577"/>
      <c r="P1577"/>
      <c r="Q1577"/>
      <c r="R1577"/>
      <c r="S1577"/>
      <c r="T1577"/>
      <c r="U1577"/>
      <c r="V1577"/>
      <c r="W1577"/>
      <c r="X1577"/>
      <c r="Y1577"/>
      <c r="Z1577"/>
      <c r="AA1577"/>
    </row>
    <row r="1578" spans="1:27" s="1" customFormat="1" x14ac:dyDescent="0.3">
      <c r="A1578"/>
      <c r="B1578"/>
      <c r="C1578"/>
      <c r="D1578"/>
      <c r="E1578"/>
      <c r="F1578"/>
      <c r="G1578"/>
      <c r="H1578"/>
      <c r="I1578"/>
      <c r="J1578"/>
      <c r="K1578"/>
      <c r="L1578"/>
      <c r="M1578"/>
      <c r="N1578"/>
      <c r="O1578"/>
      <c r="P1578"/>
      <c r="Q1578"/>
      <c r="R1578"/>
      <c r="S1578"/>
      <c r="T1578"/>
      <c r="U1578"/>
      <c r="V1578"/>
      <c r="W1578"/>
      <c r="X1578"/>
      <c r="Y1578"/>
      <c r="Z1578"/>
      <c r="AA1578"/>
    </row>
    <row r="1579" spans="1:27" s="1" customFormat="1" x14ac:dyDescent="0.3">
      <c r="A1579"/>
      <c r="B1579"/>
      <c r="C1579"/>
      <c r="D1579"/>
      <c r="E1579"/>
      <c r="F1579"/>
      <c r="G1579"/>
      <c r="H1579"/>
      <c r="I1579"/>
      <c r="J1579"/>
      <c r="K1579"/>
      <c r="L1579"/>
      <c r="M1579"/>
      <c r="N1579"/>
      <c r="O1579"/>
      <c r="P1579"/>
      <c r="Q1579"/>
      <c r="R1579"/>
      <c r="S1579"/>
      <c r="T1579"/>
      <c r="U1579"/>
      <c r="V1579"/>
      <c r="W1579"/>
      <c r="X1579"/>
      <c r="Y1579"/>
      <c r="Z1579"/>
      <c r="AA1579"/>
    </row>
    <row r="1580" spans="1:27" s="1" customFormat="1" x14ac:dyDescent="0.3">
      <c r="A1580"/>
      <c r="B1580"/>
      <c r="C1580"/>
      <c r="D1580"/>
      <c r="E1580"/>
      <c r="F1580"/>
      <c r="G1580"/>
      <c r="H1580"/>
      <c r="I1580"/>
      <c r="J1580"/>
      <c r="K1580"/>
      <c r="L1580"/>
      <c r="M1580"/>
      <c r="N1580"/>
      <c r="O1580"/>
      <c r="P1580"/>
      <c r="Q1580"/>
      <c r="R1580"/>
      <c r="S1580"/>
      <c r="T1580"/>
      <c r="U1580"/>
      <c r="V1580"/>
      <c r="W1580"/>
      <c r="X1580"/>
      <c r="Y1580"/>
      <c r="Z1580"/>
      <c r="AA1580"/>
    </row>
    <row r="1581" spans="1:27" s="1" customFormat="1" x14ac:dyDescent="0.3">
      <c r="A1581"/>
      <c r="B1581"/>
      <c r="C1581"/>
      <c r="D1581"/>
      <c r="E1581"/>
      <c r="F1581"/>
      <c r="G1581"/>
      <c r="H1581"/>
      <c r="I1581"/>
      <c r="J1581"/>
      <c r="K1581"/>
      <c r="L1581"/>
      <c r="M1581"/>
      <c r="N1581"/>
      <c r="O1581"/>
      <c r="P1581"/>
      <c r="Q1581"/>
      <c r="R1581"/>
      <c r="S1581"/>
      <c r="T1581"/>
      <c r="U1581"/>
      <c r="V1581"/>
      <c r="W1581"/>
      <c r="X1581"/>
      <c r="Y1581"/>
      <c r="Z1581"/>
      <c r="AA1581"/>
    </row>
    <row r="1582" spans="1:27" s="1" customFormat="1" x14ac:dyDescent="0.3">
      <c r="A1582"/>
      <c r="B1582"/>
      <c r="C1582"/>
      <c r="D1582"/>
      <c r="E1582"/>
      <c r="F1582"/>
      <c r="G1582"/>
      <c r="H1582"/>
      <c r="I1582"/>
      <c r="J1582"/>
      <c r="K1582"/>
      <c r="L1582"/>
      <c r="M1582"/>
      <c r="N1582"/>
      <c r="O1582"/>
      <c r="P1582"/>
      <c r="Q1582"/>
      <c r="R1582"/>
      <c r="S1582"/>
      <c r="T1582"/>
      <c r="U1582"/>
      <c r="V1582"/>
      <c r="W1582"/>
      <c r="X1582"/>
      <c r="Y1582"/>
      <c r="Z1582"/>
      <c r="AA1582"/>
    </row>
    <row r="1583" spans="1:27" s="1" customFormat="1" x14ac:dyDescent="0.3">
      <c r="A1583"/>
      <c r="B1583"/>
      <c r="C1583"/>
      <c r="D1583"/>
      <c r="E1583"/>
      <c r="F1583"/>
      <c r="G1583"/>
      <c r="H1583"/>
      <c r="I1583"/>
      <c r="J1583"/>
      <c r="K1583"/>
      <c r="L1583"/>
      <c r="M1583"/>
      <c r="N1583"/>
      <c r="O1583"/>
      <c r="P1583"/>
      <c r="Q1583"/>
      <c r="R1583"/>
      <c r="S1583"/>
      <c r="T1583"/>
      <c r="U1583"/>
      <c r="V1583"/>
      <c r="W1583"/>
      <c r="X1583"/>
      <c r="Y1583"/>
      <c r="Z1583"/>
      <c r="AA1583"/>
    </row>
    <row r="1584" spans="1:27" s="1" customFormat="1" x14ac:dyDescent="0.3">
      <c r="A1584"/>
      <c r="B1584"/>
      <c r="C1584"/>
      <c r="D1584"/>
      <c r="E1584"/>
      <c r="F1584"/>
      <c r="G1584"/>
      <c r="H1584"/>
      <c r="I1584"/>
      <c r="J1584"/>
      <c r="K1584"/>
      <c r="L1584"/>
      <c r="M1584"/>
      <c r="N1584"/>
      <c r="O1584"/>
      <c r="P1584"/>
      <c r="Q1584"/>
      <c r="R1584"/>
      <c r="S1584"/>
      <c r="T1584"/>
      <c r="U1584"/>
      <c r="V1584"/>
      <c r="W1584"/>
      <c r="X1584"/>
      <c r="Y1584"/>
      <c r="Z1584"/>
      <c r="AA1584"/>
    </row>
    <row r="1585" spans="1:27" s="1" customFormat="1" x14ac:dyDescent="0.3">
      <c r="A1585"/>
      <c r="B1585"/>
      <c r="C1585"/>
      <c r="D1585"/>
      <c r="E1585"/>
      <c r="F1585"/>
      <c r="G1585"/>
      <c r="H1585"/>
      <c r="I1585"/>
      <c r="J1585"/>
      <c r="K1585"/>
      <c r="L1585"/>
      <c r="M1585"/>
      <c r="N1585"/>
      <c r="O1585"/>
      <c r="P1585"/>
      <c r="Q1585"/>
      <c r="R1585"/>
      <c r="S1585"/>
      <c r="T1585"/>
      <c r="U1585"/>
      <c r="V1585"/>
      <c r="W1585"/>
      <c r="X1585"/>
      <c r="Y1585"/>
      <c r="Z1585"/>
      <c r="AA1585"/>
    </row>
    <row r="1586" spans="1:27" s="1" customFormat="1" x14ac:dyDescent="0.3">
      <c r="A1586"/>
      <c r="B1586"/>
      <c r="C1586"/>
      <c r="D1586"/>
      <c r="E1586"/>
      <c r="F1586"/>
      <c r="G1586"/>
      <c r="H1586"/>
      <c r="I1586"/>
      <c r="J1586"/>
      <c r="K1586"/>
      <c r="L1586"/>
      <c r="M1586"/>
      <c r="N1586"/>
      <c r="O1586"/>
      <c r="P1586"/>
      <c r="Q1586"/>
      <c r="R1586"/>
      <c r="S1586"/>
      <c r="T1586"/>
      <c r="U1586"/>
      <c r="V1586"/>
      <c r="W1586"/>
      <c r="X1586"/>
      <c r="Y1586"/>
      <c r="Z1586"/>
      <c r="AA1586"/>
    </row>
    <row r="1587" spans="1:27" s="1" customFormat="1" x14ac:dyDescent="0.3">
      <c r="A1587"/>
      <c r="B1587"/>
      <c r="C1587"/>
      <c r="D1587"/>
      <c r="E1587"/>
      <c r="F1587"/>
      <c r="G1587"/>
      <c r="H1587"/>
      <c r="I1587"/>
      <c r="J1587"/>
      <c r="K1587"/>
      <c r="L1587"/>
      <c r="M1587"/>
      <c r="N1587"/>
      <c r="O1587"/>
      <c r="P1587"/>
      <c r="Q1587"/>
      <c r="R1587"/>
      <c r="S1587"/>
      <c r="T1587"/>
      <c r="U1587"/>
      <c r="V1587"/>
      <c r="W1587"/>
      <c r="X1587"/>
      <c r="Y1587"/>
      <c r="Z1587"/>
      <c r="AA1587"/>
    </row>
    <row r="1588" spans="1:27" s="1" customFormat="1" x14ac:dyDescent="0.3">
      <c r="A1588"/>
      <c r="B1588"/>
      <c r="C1588"/>
      <c r="D1588"/>
      <c r="E1588"/>
      <c r="F1588"/>
      <c r="G1588"/>
      <c r="H1588"/>
      <c r="I1588"/>
      <c r="J1588"/>
      <c r="K1588"/>
      <c r="L1588"/>
      <c r="M1588"/>
      <c r="N1588"/>
      <c r="O1588"/>
      <c r="P1588"/>
      <c r="Q1588"/>
      <c r="R1588"/>
      <c r="S1588"/>
      <c r="T1588"/>
      <c r="U1588"/>
      <c r="V1588"/>
      <c r="W1588"/>
      <c r="X1588"/>
      <c r="Y1588"/>
      <c r="Z1588"/>
      <c r="AA1588"/>
    </row>
    <row r="1589" spans="1:27" s="1" customFormat="1" x14ac:dyDescent="0.3">
      <c r="A1589"/>
      <c r="B1589"/>
      <c r="C1589"/>
      <c r="D1589"/>
      <c r="E1589"/>
      <c r="F1589"/>
      <c r="G1589"/>
      <c r="H1589"/>
      <c r="I1589"/>
      <c r="J1589"/>
      <c r="K1589"/>
      <c r="L1589"/>
      <c r="M1589"/>
      <c r="N1589"/>
      <c r="O1589"/>
      <c r="P1589"/>
      <c r="Q1589"/>
      <c r="R1589"/>
      <c r="S1589"/>
      <c r="T1589"/>
      <c r="U1589"/>
      <c r="V1589"/>
      <c r="W1589"/>
      <c r="X1589"/>
      <c r="Y1589"/>
      <c r="Z1589"/>
      <c r="AA1589"/>
    </row>
    <row r="1590" spans="1:27" s="1" customFormat="1" x14ac:dyDescent="0.3">
      <c r="A1590"/>
      <c r="B1590"/>
      <c r="C1590"/>
      <c r="D1590"/>
      <c r="E1590"/>
      <c r="F1590"/>
      <c r="G1590"/>
      <c r="H1590"/>
      <c r="I1590"/>
      <c r="J1590"/>
      <c r="K1590"/>
      <c r="L1590"/>
      <c r="M1590"/>
      <c r="N1590"/>
      <c r="O1590"/>
      <c r="P1590"/>
      <c r="Q1590"/>
      <c r="R1590"/>
      <c r="S1590"/>
      <c r="T1590"/>
      <c r="U1590"/>
      <c r="V1590"/>
      <c r="W1590"/>
      <c r="X1590"/>
      <c r="Y1590"/>
      <c r="Z1590"/>
      <c r="AA1590"/>
    </row>
    <row r="1591" spans="1:27" s="1" customFormat="1" x14ac:dyDescent="0.3">
      <c r="A1591"/>
      <c r="B1591"/>
      <c r="C1591"/>
      <c r="D1591"/>
      <c r="E1591"/>
      <c r="F1591"/>
      <c r="G1591"/>
      <c r="H1591"/>
      <c r="I1591"/>
      <c r="J1591"/>
      <c r="K1591"/>
      <c r="L1591"/>
      <c r="M1591"/>
      <c r="N1591"/>
      <c r="O1591"/>
      <c r="P1591"/>
      <c r="Q1591"/>
      <c r="R1591"/>
      <c r="S1591"/>
      <c r="T1591"/>
      <c r="U1591"/>
      <c r="V1591"/>
      <c r="W1591"/>
      <c r="X1591"/>
      <c r="Y1591"/>
      <c r="Z1591"/>
      <c r="AA1591"/>
    </row>
    <row r="1592" spans="1:27" s="1" customFormat="1" x14ac:dyDescent="0.3">
      <c r="A1592"/>
      <c r="B1592"/>
      <c r="C1592"/>
      <c r="D1592"/>
      <c r="E1592"/>
      <c r="F1592"/>
      <c r="G1592"/>
      <c r="H1592"/>
      <c r="I1592"/>
      <c r="J1592"/>
      <c r="K1592"/>
      <c r="L1592"/>
      <c r="M1592"/>
      <c r="N1592"/>
      <c r="O1592"/>
      <c r="P1592"/>
      <c r="Q1592"/>
      <c r="R1592"/>
      <c r="S1592"/>
      <c r="T1592"/>
      <c r="U1592"/>
      <c r="V1592"/>
      <c r="W1592"/>
      <c r="X1592"/>
      <c r="Y1592"/>
      <c r="Z1592"/>
      <c r="AA1592"/>
    </row>
    <row r="1593" spans="1:27" s="1" customFormat="1" x14ac:dyDescent="0.3">
      <c r="A1593"/>
      <c r="B1593"/>
      <c r="C1593"/>
      <c r="D1593"/>
      <c r="E1593"/>
      <c r="F1593"/>
      <c r="G1593"/>
      <c r="H1593"/>
      <c r="I1593"/>
      <c r="J1593"/>
      <c r="K1593"/>
      <c r="L1593"/>
      <c r="M1593"/>
      <c r="N1593"/>
      <c r="O1593"/>
      <c r="P1593"/>
      <c r="Q1593"/>
      <c r="R1593"/>
      <c r="S1593"/>
      <c r="T1593"/>
      <c r="U1593"/>
      <c r="V1593"/>
      <c r="W1593"/>
      <c r="X1593"/>
      <c r="Y1593"/>
      <c r="Z1593"/>
      <c r="AA1593"/>
    </row>
    <row r="1594" spans="1:27" s="1" customFormat="1" x14ac:dyDescent="0.3">
      <c r="A1594"/>
      <c r="B1594"/>
      <c r="C1594"/>
      <c r="D1594"/>
      <c r="E1594"/>
      <c r="F1594"/>
      <c r="G1594"/>
      <c r="H1594"/>
      <c r="I1594"/>
      <c r="J1594"/>
      <c r="K1594"/>
      <c r="L1594"/>
      <c r="M1594"/>
      <c r="N1594"/>
      <c r="O1594"/>
      <c r="P1594"/>
      <c r="Q1594"/>
      <c r="R1594"/>
      <c r="S1594"/>
      <c r="T1594"/>
      <c r="U1594"/>
      <c r="V1594"/>
      <c r="W1594"/>
      <c r="X1594"/>
      <c r="Y1594"/>
      <c r="Z1594"/>
      <c r="AA1594"/>
    </row>
    <row r="1595" spans="1:27" s="1" customFormat="1" x14ac:dyDescent="0.3">
      <c r="A1595"/>
      <c r="B1595"/>
      <c r="C1595"/>
      <c r="D1595"/>
      <c r="E1595"/>
      <c r="F1595"/>
      <c r="G1595"/>
      <c r="H1595"/>
      <c r="I1595"/>
      <c r="J1595"/>
      <c r="K1595"/>
      <c r="L1595"/>
      <c r="M1595"/>
      <c r="N1595"/>
      <c r="O1595"/>
      <c r="P1595"/>
      <c r="Q1595"/>
      <c r="R1595"/>
      <c r="S1595"/>
      <c r="T1595"/>
      <c r="U1595"/>
      <c r="V1595"/>
      <c r="W1595"/>
      <c r="X1595"/>
      <c r="Y1595"/>
      <c r="Z1595"/>
      <c r="AA1595"/>
    </row>
    <row r="1596" spans="1:27" s="1" customFormat="1" x14ac:dyDescent="0.3">
      <c r="A1596"/>
      <c r="B1596"/>
      <c r="C1596"/>
      <c r="D1596"/>
      <c r="E1596"/>
      <c r="F1596"/>
      <c r="G1596"/>
      <c r="H1596"/>
      <c r="I1596"/>
      <c r="J1596"/>
      <c r="K1596"/>
      <c r="L1596"/>
      <c r="M1596"/>
      <c r="N1596"/>
      <c r="O1596"/>
      <c r="P1596"/>
      <c r="Q1596"/>
      <c r="R1596"/>
      <c r="S1596"/>
      <c r="T1596"/>
      <c r="U1596"/>
      <c r="V1596"/>
      <c r="W1596"/>
      <c r="X1596"/>
      <c r="Y1596"/>
      <c r="Z1596"/>
      <c r="AA1596"/>
    </row>
    <row r="1597" spans="1:27" s="1" customFormat="1" x14ac:dyDescent="0.3">
      <c r="A1597"/>
      <c r="B1597"/>
      <c r="C1597"/>
      <c r="D1597"/>
      <c r="E1597"/>
      <c r="F1597"/>
      <c r="G1597"/>
      <c r="H1597"/>
      <c r="I1597"/>
      <c r="J1597"/>
      <c r="K1597"/>
      <c r="L1597"/>
      <c r="M1597"/>
      <c r="N1597"/>
      <c r="O1597"/>
      <c r="P1597"/>
      <c r="Q1597"/>
      <c r="R1597"/>
      <c r="S1597"/>
      <c r="T1597"/>
      <c r="U1597"/>
      <c r="V1597"/>
      <c r="W1597"/>
      <c r="X1597"/>
      <c r="Y1597"/>
      <c r="Z1597"/>
      <c r="AA1597"/>
    </row>
    <row r="1598" spans="1:27" s="1" customFormat="1" x14ac:dyDescent="0.3">
      <c r="A1598"/>
      <c r="B1598"/>
      <c r="C1598"/>
      <c r="D1598"/>
      <c r="E1598"/>
      <c r="F1598"/>
      <c r="G1598"/>
      <c r="H1598"/>
      <c r="I1598"/>
      <c r="J1598"/>
      <c r="K1598"/>
      <c r="L1598"/>
      <c r="M1598"/>
      <c r="N1598"/>
      <c r="O1598"/>
      <c r="P1598"/>
      <c r="Q1598"/>
      <c r="R1598"/>
      <c r="S1598"/>
      <c r="T1598"/>
      <c r="U1598"/>
      <c r="V1598"/>
      <c r="W1598"/>
      <c r="X1598"/>
      <c r="Y1598"/>
      <c r="Z1598"/>
      <c r="AA1598"/>
    </row>
    <row r="1599" spans="1:27" s="1" customFormat="1" x14ac:dyDescent="0.3">
      <c r="A1599"/>
      <c r="B1599"/>
      <c r="C1599"/>
      <c r="D1599"/>
      <c r="E1599"/>
      <c r="F1599"/>
      <c r="G1599"/>
      <c r="H1599"/>
      <c r="I1599"/>
      <c r="J1599"/>
      <c r="K1599"/>
      <c r="L1599"/>
      <c r="M1599"/>
      <c r="N1599"/>
      <c r="O1599"/>
      <c r="P1599"/>
      <c r="Q1599"/>
      <c r="R1599"/>
      <c r="S1599"/>
      <c r="T1599"/>
      <c r="U1599"/>
      <c r="V1599"/>
      <c r="W1599"/>
      <c r="X1599"/>
      <c r="Y1599"/>
      <c r="Z1599"/>
      <c r="AA1599"/>
    </row>
    <row r="1600" spans="1:27" s="1" customFormat="1" x14ac:dyDescent="0.3">
      <c r="A1600"/>
      <c r="B1600"/>
      <c r="C1600"/>
      <c r="D1600"/>
      <c r="E1600"/>
      <c r="F1600"/>
      <c r="G1600"/>
      <c r="H1600"/>
      <c r="I1600"/>
      <c r="J1600"/>
      <c r="K1600"/>
      <c r="L1600"/>
      <c r="M1600"/>
      <c r="N1600"/>
      <c r="O1600"/>
      <c r="P1600"/>
      <c r="Q1600"/>
      <c r="R1600"/>
      <c r="S1600"/>
      <c r="T1600"/>
      <c r="U1600"/>
      <c r="V1600"/>
      <c r="W1600"/>
      <c r="X1600"/>
      <c r="Y1600"/>
      <c r="Z1600"/>
      <c r="AA1600"/>
    </row>
    <row r="1601" spans="1:27" s="1" customFormat="1" x14ac:dyDescent="0.3">
      <c r="A1601"/>
      <c r="B1601"/>
      <c r="C1601"/>
      <c r="D1601"/>
      <c r="E1601"/>
      <c r="F1601"/>
      <c r="G1601"/>
      <c r="H1601"/>
      <c r="I1601"/>
      <c r="J1601"/>
      <c r="K1601"/>
      <c r="L1601"/>
      <c r="M1601"/>
      <c r="N1601"/>
      <c r="O1601"/>
      <c r="P1601"/>
      <c r="Q1601"/>
      <c r="R1601"/>
      <c r="S1601"/>
      <c r="T1601"/>
      <c r="U1601"/>
      <c r="V1601"/>
      <c r="W1601"/>
      <c r="X1601"/>
      <c r="Y1601"/>
      <c r="Z1601"/>
      <c r="AA1601"/>
    </row>
    <row r="1602" spans="1:27" s="1" customFormat="1" x14ac:dyDescent="0.3">
      <c r="A1602"/>
      <c r="B1602"/>
      <c r="C1602"/>
      <c r="D1602"/>
      <c r="E1602"/>
      <c r="F1602"/>
      <c r="G1602"/>
      <c r="H1602"/>
      <c r="I1602"/>
      <c r="J1602"/>
      <c r="K1602"/>
      <c r="L1602"/>
      <c r="M1602"/>
      <c r="N1602"/>
      <c r="O1602"/>
      <c r="P1602"/>
      <c r="Q1602"/>
      <c r="R1602"/>
      <c r="S1602"/>
      <c r="T1602"/>
      <c r="U1602"/>
      <c r="V1602"/>
      <c r="W1602"/>
      <c r="X1602"/>
      <c r="Y1602"/>
      <c r="Z1602"/>
      <c r="AA1602"/>
    </row>
    <row r="1603" spans="1:27" s="1" customFormat="1" x14ac:dyDescent="0.3">
      <c r="A1603"/>
      <c r="B1603"/>
      <c r="C1603"/>
      <c r="D1603"/>
      <c r="E1603"/>
      <c r="F1603"/>
      <c r="G1603"/>
      <c r="H1603"/>
      <c r="I1603"/>
      <c r="J1603"/>
      <c r="K1603"/>
      <c r="L1603"/>
      <c r="M1603"/>
      <c r="N1603"/>
      <c r="O1603"/>
      <c r="P1603"/>
      <c r="Q1603"/>
      <c r="R1603"/>
      <c r="S1603"/>
      <c r="T1603"/>
      <c r="U1603"/>
      <c r="V1603"/>
      <c r="W1603"/>
      <c r="X1603"/>
      <c r="Y1603"/>
      <c r="Z1603"/>
      <c r="AA1603"/>
    </row>
    <row r="1604" spans="1:27" s="1" customFormat="1" x14ac:dyDescent="0.3">
      <c r="A1604"/>
      <c r="B1604"/>
      <c r="C1604"/>
      <c r="D1604"/>
      <c r="E1604"/>
      <c r="F1604"/>
      <c r="G1604"/>
      <c r="H1604"/>
      <c r="I1604"/>
      <c r="J1604"/>
      <c r="K1604"/>
      <c r="L1604"/>
      <c r="M1604"/>
      <c r="N1604"/>
      <c r="O1604"/>
      <c r="P1604"/>
      <c r="Q1604"/>
      <c r="R1604"/>
      <c r="S1604"/>
      <c r="T1604"/>
      <c r="U1604"/>
      <c r="V1604"/>
      <c r="W1604"/>
      <c r="X1604"/>
      <c r="Y1604"/>
      <c r="Z1604"/>
      <c r="AA1604"/>
    </row>
    <row r="1605" spans="1:27" s="1" customFormat="1" x14ac:dyDescent="0.3">
      <c r="A1605"/>
      <c r="B1605"/>
      <c r="C1605"/>
      <c r="D1605"/>
      <c r="E1605"/>
      <c r="F1605"/>
      <c r="G1605"/>
      <c r="H1605"/>
      <c r="I1605"/>
      <c r="J1605"/>
      <c r="K1605"/>
      <c r="L1605"/>
      <c r="M1605"/>
      <c r="N1605"/>
      <c r="O1605"/>
      <c r="P1605"/>
      <c r="Q1605"/>
      <c r="R1605"/>
      <c r="S1605"/>
      <c r="T1605"/>
      <c r="U1605"/>
      <c r="V1605"/>
      <c r="W1605"/>
      <c r="X1605"/>
      <c r="Y1605"/>
      <c r="Z1605"/>
      <c r="AA1605"/>
    </row>
    <row r="1606" spans="1:27" s="1" customFormat="1" x14ac:dyDescent="0.3">
      <c r="A1606"/>
      <c r="B1606"/>
      <c r="C1606"/>
      <c r="D1606"/>
      <c r="E1606"/>
      <c r="F1606"/>
      <c r="G1606"/>
      <c r="H1606"/>
      <c r="I1606"/>
      <c r="J1606"/>
      <c r="K1606"/>
      <c r="L1606"/>
      <c r="M1606"/>
      <c r="N1606"/>
      <c r="O1606"/>
      <c r="P1606"/>
      <c r="Q1606"/>
      <c r="R1606"/>
      <c r="S1606"/>
      <c r="T1606"/>
      <c r="U1606"/>
      <c r="V1606"/>
      <c r="W1606"/>
      <c r="X1606"/>
      <c r="Y1606"/>
      <c r="Z1606"/>
      <c r="AA1606"/>
    </row>
    <row r="1607" spans="1:27" s="1" customFormat="1" x14ac:dyDescent="0.3">
      <c r="A1607"/>
      <c r="B1607"/>
      <c r="C1607"/>
      <c r="D1607"/>
      <c r="E1607"/>
      <c r="F1607"/>
      <c r="G1607"/>
      <c r="H1607"/>
      <c r="I1607"/>
      <c r="J1607"/>
      <c r="K1607"/>
      <c r="L1607"/>
      <c r="M1607"/>
      <c r="N1607"/>
      <c r="O1607"/>
      <c r="P1607"/>
      <c r="Q1607"/>
      <c r="R1607"/>
      <c r="S1607"/>
      <c r="T1607"/>
      <c r="U1607"/>
      <c r="V1607"/>
      <c r="W1607"/>
      <c r="X1607"/>
      <c r="Y1607"/>
      <c r="Z1607"/>
      <c r="AA1607"/>
    </row>
    <row r="1608" spans="1:27" s="1" customFormat="1" x14ac:dyDescent="0.3">
      <c r="A1608"/>
      <c r="B1608"/>
      <c r="C1608"/>
      <c r="D1608"/>
      <c r="E1608"/>
      <c r="F1608"/>
      <c r="G1608"/>
      <c r="H1608"/>
      <c r="I1608"/>
      <c r="J1608"/>
      <c r="K1608"/>
      <c r="L1608"/>
      <c r="M1608"/>
      <c r="N1608"/>
      <c r="O1608"/>
      <c r="P1608"/>
      <c r="Q1608"/>
      <c r="R1608"/>
      <c r="S1608"/>
      <c r="T1608"/>
      <c r="U1608"/>
      <c r="V1608"/>
      <c r="W1608"/>
      <c r="X1608"/>
      <c r="Y1608"/>
      <c r="Z1608"/>
      <c r="AA1608"/>
    </row>
    <row r="1609" spans="1:27" s="1" customFormat="1" x14ac:dyDescent="0.3">
      <c r="A1609"/>
      <c r="B1609"/>
      <c r="C1609"/>
      <c r="D1609"/>
      <c r="E1609"/>
      <c r="F1609"/>
      <c r="G1609"/>
      <c r="H1609"/>
      <c r="I1609"/>
      <c r="J1609"/>
      <c r="K1609"/>
      <c r="L1609"/>
      <c r="M1609"/>
      <c r="N1609"/>
      <c r="O1609"/>
      <c r="P1609"/>
      <c r="Q1609"/>
      <c r="R1609"/>
      <c r="S1609"/>
      <c r="T1609"/>
      <c r="U1609"/>
      <c r="V1609"/>
      <c r="W1609"/>
      <c r="X1609"/>
      <c r="Y1609"/>
      <c r="Z1609"/>
      <c r="AA1609"/>
    </row>
    <row r="1610" spans="1:27" s="1" customFormat="1" x14ac:dyDescent="0.3">
      <c r="A1610"/>
      <c r="B1610"/>
      <c r="C1610"/>
      <c r="D1610"/>
      <c r="E1610"/>
      <c r="F1610"/>
      <c r="G1610"/>
      <c r="H1610"/>
      <c r="I1610"/>
      <c r="J1610"/>
      <c r="K1610"/>
      <c r="L1610"/>
      <c r="M1610"/>
      <c r="N1610"/>
      <c r="O1610"/>
      <c r="P1610"/>
      <c r="Q1610"/>
      <c r="R1610"/>
      <c r="S1610"/>
      <c r="T1610"/>
      <c r="U1610"/>
      <c r="V1610"/>
      <c r="W1610"/>
      <c r="X1610"/>
      <c r="Y1610"/>
      <c r="Z1610"/>
      <c r="AA1610"/>
    </row>
    <row r="1611" spans="1:27" s="1" customFormat="1" x14ac:dyDescent="0.3">
      <c r="A1611"/>
      <c r="B1611"/>
      <c r="C1611"/>
      <c r="D1611"/>
      <c r="E1611"/>
      <c r="F1611"/>
      <c r="G1611"/>
      <c r="H1611"/>
      <c r="I1611"/>
      <c r="J1611"/>
      <c r="K1611"/>
      <c r="L1611"/>
      <c r="M1611"/>
      <c r="N1611"/>
      <c r="O1611"/>
      <c r="P1611"/>
      <c r="Q1611"/>
      <c r="R1611"/>
      <c r="S1611"/>
      <c r="T1611"/>
      <c r="U1611"/>
      <c r="V1611"/>
      <c r="W1611"/>
      <c r="X1611"/>
      <c r="Y1611"/>
      <c r="Z1611"/>
      <c r="AA1611"/>
    </row>
    <row r="1612" spans="1:27" s="1" customFormat="1" x14ac:dyDescent="0.3">
      <c r="A1612"/>
      <c r="B1612"/>
      <c r="C1612"/>
      <c r="D1612"/>
      <c r="E1612"/>
      <c r="F1612"/>
      <c r="G1612"/>
      <c r="H1612"/>
      <c r="I1612"/>
      <c r="J1612"/>
      <c r="K1612"/>
      <c r="L1612"/>
      <c r="M1612"/>
      <c r="N1612"/>
      <c r="O1612"/>
      <c r="P1612"/>
      <c r="Q1612"/>
      <c r="R1612"/>
      <c r="S1612"/>
      <c r="T1612"/>
      <c r="U1612"/>
      <c r="V1612"/>
      <c r="W1612"/>
      <c r="X1612"/>
      <c r="Y1612"/>
      <c r="Z1612"/>
      <c r="AA1612"/>
    </row>
    <row r="1613" spans="1:27" s="1" customFormat="1" x14ac:dyDescent="0.3">
      <c r="A1613"/>
      <c r="B1613"/>
      <c r="C1613"/>
      <c r="D1613"/>
      <c r="E1613"/>
      <c r="F1613"/>
      <c r="G1613"/>
      <c r="H1613"/>
      <c r="I1613"/>
      <c r="J1613"/>
      <c r="K1613"/>
      <c r="L1613"/>
      <c r="M1613"/>
      <c r="N1613"/>
      <c r="O1613"/>
      <c r="P1613"/>
      <c r="Q1613"/>
      <c r="R1613"/>
      <c r="S1613"/>
      <c r="T1613"/>
      <c r="U1613"/>
      <c r="V1613"/>
      <c r="W1613"/>
      <c r="X1613"/>
      <c r="Y1613"/>
      <c r="Z1613"/>
      <c r="AA1613"/>
    </row>
    <row r="1614" spans="1:27" s="1" customFormat="1" x14ac:dyDescent="0.3">
      <c r="A1614"/>
      <c r="B1614"/>
      <c r="C1614"/>
      <c r="D1614"/>
      <c r="E1614"/>
      <c r="F1614"/>
      <c r="G1614"/>
      <c r="H1614"/>
      <c r="I1614"/>
      <c r="J1614"/>
      <c r="K1614"/>
      <c r="L1614"/>
      <c r="M1614"/>
      <c r="N1614"/>
      <c r="O1614"/>
      <c r="P1614"/>
      <c r="Q1614"/>
      <c r="R1614"/>
      <c r="S1614"/>
      <c r="T1614"/>
      <c r="U1614"/>
      <c r="V1614"/>
      <c r="W1614"/>
      <c r="X1614"/>
      <c r="Y1614"/>
      <c r="Z1614"/>
      <c r="AA1614"/>
    </row>
    <row r="1615" spans="1:27" s="1" customFormat="1" x14ac:dyDescent="0.3">
      <c r="A1615"/>
      <c r="B1615"/>
      <c r="C1615"/>
      <c r="D1615"/>
      <c r="E1615"/>
      <c r="F1615"/>
      <c r="G1615"/>
      <c r="H1615"/>
      <c r="I1615"/>
      <c r="J1615"/>
      <c r="K1615"/>
      <c r="L1615"/>
      <c r="M1615"/>
      <c r="N1615"/>
      <c r="O1615"/>
      <c r="P1615"/>
      <c r="Q1615"/>
      <c r="R1615"/>
      <c r="S1615"/>
      <c r="T1615"/>
      <c r="U1615"/>
      <c r="V1615"/>
      <c r="W1615"/>
      <c r="X1615"/>
      <c r="Y1615"/>
      <c r="Z1615"/>
      <c r="AA1615"/>
    </row>
    <row r="1616" spans="1:27" s="1" customFormat="1" x14ac:dyDescent="0.3">
      <c r="A1616"/>
      <c r="B1616"/>
      <c r="C1616"/>
      <c r="D1616"/>
      <c r="E1616"/>
      <c r="F1616"/>
      <c r="G1616"/>
      <c r="H1616"/>
      <c r="I1616"/>
      <c r="J1616"/>
      <c r="K1616"/>
      <c r="L1616"/>
      <c r="M1616"/>
      <c r="N1616"/>
      <c r="O1616"/>
      <c r="P1616"/>
      <c r="Q1616"/>
      <c r="R1616"/>
      <c r="S1616"/>
      <c r="T1616"/>
      <c r="U1616"/>
      <c r="V1616"/>
      <c r="W1616"/>
      <c r="X1616"/>
      <c r="Y1616"/>
      <c r="Z1616"/>
      <c r="AA1616"/>
    </row>
    <row r="1617" spans="1:27" s="1" customFormat="1" x14ac:dyDescent="0.3">
      <c r="A1617"/>
      <c r="B1617"/>
      <c r="C1617"/>
      <c r="D1617"/>
      <c r="E1617"/>
      <c r="F1617"/>
      <c r="G1617"/>
      <c r="H1617"/>
      <c r="I1617"/>
      <c r="J1617"/>
      <c r="K1617"/>
      <c r="L1617"/>
      <c r="M1617"/>
      <c r="N1617"/>
      <c r="O1617"/>
      <c r="P1617"/>
      <c r="Q1617"/>
      <c r="R1617"/>
      <c r="S1617"/>
      <c r="T1617"/>
      <c r="U1617"/>
      <c r="V1617"/>
      <c r="W1617"/>
      <c r="X1617"/>
      <c r="Y1617"/>
      <c r="Z1617"/>
      <c r="AA1617"/>
    </row>
    <row r="1618" spans="1:27" s="1" customFormat="1" x14ac:dyDescent="0.3">
      <c r="A1618"/>
      <c r="B1618"/>
      <c r="C1618"/>
      <c r="D1618"/>
      <c r="E1618"/>
      <c r="F1618"/>
      <c r="G1618"/>
      <c r="H1618"/>
      <c r="I1618"/>
      <c r="J1618"/>
      <c r="K1618"/>
      <c r="L1618"/>
      <c r="M1618"/>
      <c r="N1618"/>
      <c r="O1618"/>
      <c r="P1618"/>
      <c r="Q1618"/>
      <c r="R1618"/>
      <c r="S1618"/>
      <c r="T1618"/>
      <c r="U1618"/>
      <c r="V1618"/>
      <c r="W1618"/>
      <c r="X1618"/>
      <c r="Y1618"/>
      <c r="Z1618"/>
      <c r="AA1618"/>
    </row>
    <row r="1619" spans="1:27" s="1" customFormat="1" x14ac:dyDescent="0.3">
      <c r="A1619"/>
      <c r="B1619"/>
      <c r="C1619"/>
      <c r="D1619"/>
      <c r="E1619"/>
      <c r="F1619"/>
      <c r="G1619"/>
      <c r="H1619"/>
      <c r="I1619"/>
      <c r="J1619"/>
      <c r="K1619"/>
      <c r="L1619"/>
      <c r="M1619"/>
      <c r="N1619"/>
      <c r="O1619"/>
      <c r="P1619"/>
      <c r="Q1619"/>
      <c r="R1619"/>
      <c r="S1619"/>
      <c r="T1619"/>
      <c r="U1619"/>
      <c r="V1619"/>
      <c r="W1619"/>
      <c r="X1619"/>
      <c r="Y1619"/>
      <c r="Z1619"/>
      <c r="AA1619"/>
    </row>
    <row r="1620" spans="1:27" s="1" customFormat="1" x14ac:dyDescent="0.3">
      <c r="A1620"/>
      <c r="B1620"/>
      <c r="C1620"/>
      <c r="D1620"/>
      <c r="E1620"/>
      <c r="F1620"/>
      <c r="G1620"/>
      <c r="H1620"/>
      <c r="I1620"/>
      <c r="J1620"/>
      <c r="K1620"/>
      <c r="L1620"/>
      <c r="M1620"/>
      <c r="N1620"/>
      <c r="O1620"/>
      <c r="P1620"/>
      <c r="Q1620"/>
      <c r="R1620"/>
      <c r="S1620"/>
      <c r="T1620"/>
      <c r="U1620"/>
      <c r="V1620"/>
      <c r="W1620"/>
      <c r="X1620"/>
      <c r="Y1620"/>
      <c r="Z1620"/>
      <c r="AA1620"/>
    </row>
    <row r="1621" spans="1:27" s="1" customFormat="1" x14ac:dyDescent="0.3">
      <c r="A1621"/>
      <c r="B1621"/>
      <c r="C1621"/>
      <c r="D1621"/>
      <c r="E1621"/>
      <c r="F1621"/>
      <c r="G1621"/>
      <c r="H1621"/>
      <c r="I1621"/>
      <c r="J1621"/>
      <c r="K1621"/>
      <c r="L1621"/>
      <c r="M1621"/>
      <c r="N1621"/>
      <c r="O1621"/>
      <c r="P1621"/>
      <c r="Q1621"/>
      <c r="R1621"/>
      <c r="S1621"/>
      <c r="T1621"/>
      <c r="U1621"/>
      <c r="V1621"/>
      <c r="W1621"/>
      <c r="X1621"/>
      <c r="Y1621"/>
      <c r="Z1621"/>
      <c r="AA1621"/>
    </row>
    <row r="1622" spans="1:27" s="1" customFormat="1" x14ac:dyDescent="0.3">
      <c r="A1622"/>
      <c r="B1622"/>
      <c r="C1622"/>
      <c r="D1622"/>
      <c r="E1622"/>
      <c r="F1622"/>
      <c r="G1622"/>
      <c r="H1622"/>
      <c r="I1622"/>
      <c r="J1622"/>
      <c r="K1622"/>
      <c r="L1622"/>
      <c r="M1622"/>
      <c r="N1622"/>
      <c r="O1622"/>
      <c r="P1622"/>
      <c r="Q1622"/>
      <c r="R1622"/>
      <c r="S1622"/>
      <c r="T1622"/>
      <c r="U1622"/>
      <c r="V1622"/>
      <c r="W1622"/>
      <c r="X1622"/>
      <c r="Y1622"/>
      <c r="Z1622"/>
      <c r="AA1622"/>
    </row>
    <row r="1623" spans="1:27" s="1" customFormat="1" x14ac:dyDescent="0.3">
      <c r="A1623"/>
      <c r="B1623"/>
      <c r="C1623"/>
      <c r="D1623"/>
      <c r="E1623"/>
      <c r="F1623"/>
      <c r="G1623"/>
      <c r="H1623"/>
      <c r="I1623"/>
      <c r="J1623"/>
      <c r="K1623"/>
      <c r="L1623"/>
      <c r="M1623"/>
      <c r="N1623"/>
      <c r="O1623"/>
      <c r="P1623"/>
      <c r="Q1623"/>
      <c r="R1623"/>
      <c r="S1623"/>
      <c r="T1623"/>
      <c r="U1623"/>
      <c r="V1623"/>
      <c r="W1623"/>
      <c r="X1623"/>
      <c r="Y1623"/>
      <c r="Z1623"/>
      <c r="AA1623"/>
    </row>
    <row r="1624" spans="1:27" s="1" customFormat="1" x14ac:dyDescent="0.3">
      <c r="A1624"/>
      <c r="B1624"/>
      <c r="C1624"/>
      <c r="D1624"/>
      <c r="E1624"/>
      <c r="F1624"/>
      <c r="G1624"/>
      <c r="H1624"/>
      <c r="I1624"/>
      <c r="J1624"/>
      <c r="K1624"/>
      <c r="L1624"/>
      <c r="M1624"/>
      <c r="N1624"/>
      <c r="O1624"/>
      <c r="P1624"/>
      <c r="Q1624"/>
      <c r="R1624"/>
      <c r="S1624"/>
      <c r="T1624"/>
      <c r="U1624"/>
      <c r="V1624"/>
      <c r="W1624"/>
      <c r="X1624"/>
      <c r="Y1624"/>
      <c r="Z1624"/>
      <c r="AA1624"/>
    </row>
    <row r="1625" spans="1:27" s="1" customFormat="1" x14ac:dyDescent="0.3">
      <c r="A1625"/>
      <c r="B1625"/>
      <c r="C1625"/>
      <c r="D1625"/>
      <c r="E1625"/>
      <c r="F1625"/>
      <c r="G1625"/>
      <c r="H1625"/>
      <c r="I1625"/>
      <c r="J1625"/>
      <c r="K1625"/>
      <c r="L1625"/>
      <c r="M1625"/>
      <c r="N1625"/>
      <c r="O1625"/>
      <c r="P1625"/>
      <c r="Q1625"/>
      <c r="R1625"/>
      <c r="S1625"/>
      <c r="T1625"/>
      <c r="U1625"/>
      <c r="V1625"/>
      <c r="W1625"/>
      <c r="X1625"/>
      <c r="Y1625"/>
      <c r="Z1625"/>
      <c r="AA1625"/>
    </row>
    <row r="1626" spans="1:27" s="1" customFormat="1" x14ac:dyDescent="0.3">
      <c r="A1626"/>
      <c r="B1626"/>
      <c r="C1626"/>
      <c r="D1626"/>
      <c r="E1626"/>
      <c r="F1626"/>
      <c r="G1626"/>
      <c r="H1626"/>
      <c r="I1626"/>
      <c r="J1626"/>
      <c r="K1626"/>
      <c r="L1626"/>
      <c r="M1626"/>
      <c r="N1626"/>
      <c r="O1626"/>
      <c r="P1626"/>
      <c r="Q1626"/>
      <c r="R1626"/>
      <c r="S1626"/>
      <c r="T1626"/>
      <c r="U1626"/>
      <c r="V1626"/>
      <c r="W1626"/>
      <c r="X1626"/>
      <c r="Y1626"/>
      <c r="Z1626"/>
      <c r="AA1626"/>
    </row>
    <row r="1627" spans="1:27" s="1" customFormat="1" x14ac:dyDescent="0.3">
      <c r="A1627"/>
      <c r="B1627"/>
      <c r="C1627"/>
      <c r="D1627"/>
      <c r="E1627"/>
      <c r="F1627"/>
      <c r="G1627"/>
      <c r="H1627"/>
      <c r="I1627"/>
      <c r="J1627"/>
      <c r="K1627"/>
      <c r="L1627"/>
      <c r="M1627"/>
      <c r="N1627"/>
      <c r="O1627"/>
      <c r="P1627"/>
      <c r="Q1627"/>
      <c r="R1627"/>
      <c r="S1627"/>
      <c r="T1627"/>
      <c r="U1627"/>
      <c r="V1627"/>
      <c r="W1627"/>
      <c r="X1627"/>
      <c r="Y1627"/>
      <c r="Z1627"/>
      <c r="AA1627"/>
    </row>
    <row r="1628" spans="1:27" s="1" customFormat="1" x14ac:dyDescent="0.3">
      <c r="A1628"/>
      <c r="B1628"/>
      <c r="C1628"/>
      <c r="D1628"/>
      <c r="E1628"/>
      <c r="F1628"/>
      <c r="G1628"/>
      <c r="H1628"/>
      <c r="I1628"/>
      <c r="J1628"/>
      <c r="K1628"/>
      <c r="L1628"/>
      <c r="M1628"/>
      <c r="N1628"/>
      <c r="O1628"/>
      <c r="P1628"/>
      <c r="Q1628"/>
      <c r="R1628"/>
      <c r="S1628"/>
      <c r="T1628"/>
      <c r="U1628"/>
      <c r="V1628"/>
      <c r="W1628"/>
      <c r="X1628"/>
      <c r="Y1628"/>
      <c r="Z1628"/>
      <c r="AA1628"/>
    </row>
    <row r="1629" spans="1:27" s="1" customFormat="1" x14ac:dyDescent="0.3">
      <c r="A1629"/>
      <c r="B1629"/>
      <c r="C1629"/>
      <c r="D1629"/>
      <c r="E1629"/>
      <c r="F1629"/>
      <c r="G1629"/>
      <c r="H1629"/>
      <c r="I1629"/>
      <c r="J1629"/>
      <c r="K1629"/>
      <c r="L1629"/>
      <c r="M1629"/>
      <c r="N1629"/>
      <c r="O1629"/>
      <c r="P1629"/>
      <c r="Q1629"/>
      <c r="R1629"/>
      <c r="S1629"/>
      <c r="T1629"/>
      <c r="U1629"/>
      <c r="V1629"/>
      <c r="W1629"/>
      <c r="X1629"/>
      <c r="Y1629"/>
      <c r="Z1629"/>
      <c r="AA1629"/>
    </row>
    <row r="1630" spans="1:27" s="1" customFormat="1" x14ac:dyDescent="0.3">
      <c r="A1630"/>
      <c r="B1630"/>
      <c r="C1630"/>
      <c r="D1630"/>
      <c r="E1630"/>
      <c r="F1630"/>
      <c r="G1630"/>
      <c r="H1630"/>
      <c r="I1630"/>
      <c r="J1630"/>
      <c r="K1630"/>
      <c r="L1630"/>
      <c r="M1630"/>
      <c r="N1630"/>
      <c r="O1630"/>
      <c r="P1630"/>
      <c r="Q1630"/>
      <c r="R1630"/>
      <c r="S1630"/>
      <c r="T1630"/>
      <c r="U1630"/>
      <c r="V1630"/>
      <c r="W1630"/>
      <c r="X1630"/>
      <c r="Y1630"/>
      <c r="Z1630"/>
      <c r="AA1630"/>
    </row>
    <row r="1631" spans="1:27" s="1" customFormat="1" x14ac:dyDescent="0.3">
      <c r="A1631"/>
      <c r="B1631"/>
      <c r="C1631"/>
      <c r="D1631"/>
      <c r="E1631"/>
      <c r="F1631"/>
      <c r="G1631"/>
      <c r="H1631"/>
      <c r="I1631"/>
      <c r="J1631"/>
      <c r="K1631"/>
      <c r="L1631"/>
      <c r="M1631"/>
      <c r="N1631"/>
      <c r="O1631"/>
      <c r="P1631"/>
      <c r="Q1631"/>
      <c r="R1631"/>
      <c r="S1631"/>
      <c r="T1631"/>
      <c r="U1631"/>
      <c r="V1631"/>
      <c r="W1631"/>
      <c r="X1631"/>
      <c r="Y1631"/>
      <c r="Z1631"/>
      <c r="AA1631"/>
    </row>
    <row r="1632" spans="1:27" s="1" customFormat="1" x14ac:dyDescent="0.3">
      <c r="A1632"/>
      <c r="B1632"/>
      <c r="C1632"/>
      <c r="D1632"/>
      <c r="E1632"/>
      <c r="F1632"/>
      <c r="G1632"/>
      <c r="H1632"/>
      <c r="I1632"/>
      <c r="J1632"/>
      <c r="K1632"/>
      <c r="L1632"/>
      <c r="M1632"/>
      <c r="N1632"/>
      <c r="O1632"/>
      <c r="P1632"/>
      <c r="Q1632"/>
      <c r="R1632"/>
      <c r="S1632"/>
      <c r="T1632"/>
      <c r="U1632"/>
      <c r="V1632"/>
      <c r="W1632"/>
      <c r="X1632"/>
      <c r="Y1632"/>
      <c r="Z1632"/>
      <c r="AA1632"/>
    </row>
    <row r="1633" spans="1:27" s="1" customFormat="1" x14ac:dyDescent="0.3">
      <c r="A1633"/>
      <c r="B1633"/>
      <c r="C1633"/>
      <c r="D1633"/>
      <c r="E1633"/>
      <c r="F1633"/>
      <c r="G1633"/>
      <c r="H1633"/>
      <c r="I1633"/>
      <c r="J1633"/>
      <c r="K1633"/>
      <c r="L1633"/>
      <c r="M1633"/>
      <c r="N1633"/>
      <c r="O1633"/>
      <c r="P1633"/>
      <c r="Q1633"/>
      <c r="R1633"/>
      <c r="S1633"/>
      <c r="T1633"/>
      <c r="U1633"/>
      <c r="V1633"/>
      <c r="W1633"/>
      <c r="X1633"/>
      <c r="Y1633"/>
      <c r="Z1633"/>
      <c r="AA1633"/>
    </row>
    <row r="1634" spans="1:27" s="1" customFormat="1" x14ac:dyDescent="0.3">
      <c r="A1634"/>
      <c r="B1634"/>
      <c r="C1634"/>
      <c r="D1634"/>
      <c r="E1634"/>
      <c r="F1634"/>
      <c r="G1634"/>
      <c r="H1634"/>
      <c r="I1634"/>
      <c r="J1634"/>
      <c r="K1634"/>
      <c r="L1634"/>
      <c r="M1634"/>
      <c r="N1634"/>
      <c r="O1634"/>
      <c r="P1634"/>
      <c r="Q1634"/>
      <c r="R1634"/>
      <c r="S1634"/>
      <c r="T1634"/>
      <c r="U1634"/>
      <c r="V1634"/>
      <c r="W1634"/>
      <c r="X1634"/>
      <c r="Y1634"/>
      <c r="Z1634"/>
      <c r="AA1634"/>
    </row>
    <row r="1635" spans="1:27" s="1" customFormat="1" x14ac:dyDescent="0.3">
      <c r="A1635"/>
      <c r="B1635"/>
      <c r="C1635"/>
      <c r="D1635"/>
      <c r="E1635"/>
      <c r="F1635"/>
      <c r="G1635"/>
      <c r="H1635"/>
      <c r="I1635"/>
      <c r="J1635"/>
      <c r="K1635"/>
      <c r="L1635"/>
      <c r="M1635"/>
      <c r="N1635"/>
      <c r="O1635"/>
      <c r="P1635"/>
      <c r="Q1635"/>
      <c r="R1635"/>
      <c r="S1635"/>
      <c r="T1635"/>
      <c r="U1635"/>
      <c r="V1635"/>
      <c r="W1635"/>
      <c r="X1635"/>
      <c r="Y1635"/>
      <c r="Z1635"/>
      <c r="AA1635"/>
    </row>
    <row r="1636" spans="1:27" s="1" customFormat="1" x14ac:dyDescent="0.3">
      <c r="A1636"/>
      <c r="B1636"/>
      <c r="C1636"/>
      <c r="D1636"/>
      <c r="E1636"/>
      <c r="F1636"/>
      <c r="G1636"/>
      <c r="H1636"/>
      <c r="I1636"/>
      <c r="J1636"/>
      <c r="K1636"/>
      <c r="L1636"/>
      <c r="M1636"/>
      <c r="N1636"/>
      <c r="O1636"/>
      <c r="P1636"/>
      <c r="Q1636"/>
      <c r="R1636"/>
      <c r="S1636"/>
      <c r="T1636"/>
      <c r="U1636"/>
      <c r="V1636"/>
      <c r="W1636"/>
      <c r="X1636"/>
      <c r="Y1636"/>
      <c r="Z1636"/>
      <c r="AA1636"/>
    </row>
    <row r="1637" spans="1:27" s="1" customFormat="1" x14ac:dyDescent="0.3">
      <c r="A1637"/>
      <c r="B1637"/>
      <c r="C1637"/>
      <c r="D1637"/>
      <c r="E1637"/>
      <c r="F1637"/>
      <c r="G1637"/>
      <c r="H1637"/>
      <c r="I1637"/>
      <c r="J1637"/>
      <c r="K1637"/>
      <c r="L1637"/>
      <c r="M1637"/>
      <c r="N1637"/>
      <c r="O1637"/>
      <c r="P1637"/>
      <c r="Q1637"/>
      <c r="R1637"/>
      <c r="S1637"/>
      <c r="T1637"/>
      <c r="U1637"/>
      <c r="V1637"/>
      <c r="W1637"/>
      <c r="X1637"/>
      <c r="Y1637"/>
      <c r="Z1637"/>
      <c r="AA1637"/>
    </row>
    <row r="1638" spans="1:27" s="1" customFormat="1" x14ac:dyDescent="0.3">
      <c r="A1638"/>
      <c r="B1638"/>
      <c r="C1638"/>
      <c r="D1638"/>
      <c r="E1638"/>
      <c r="F1638"/>
      <c r="G1638"/>
      <c r="H1638"/>
      <c r="I1638"/>
      <c r="J1638"/>
      <c r="K1638"/>
      <c r="L1638"/>
      <c r="M1638"/>
      <c r="N1638"/>
      <c r="O1638"/>
      <c r="P1638"/>
      <c r="Q1638"/>
      <c r="R1638"/>
      <c r="S1638"/>
      <c r="T1638"/>
      <c r="U1638"/>
      <c r="V1638"/>
      <c r="W1638"/>
      <c r="X1638"/>
      <c r="Y1638"/>
      <c r="Z1638"/>
      <c r="AA1638"/>
    </row>
    <row r="1639" spans="1:27" s="1" customFormat="1" x14ac:dyDescent="0.3">
      <c r="A1639"/>
      <c r="B1639"/>
      <c r="C1639"/>
      <c r="D1639"/>
      <c r="E1639"/>
      <c r="F1639"/>
      <c r="G1639"/>
      <c r="H1639"/>
      <c r="I1639"/>
      <c r="J1639"/>
      <c r="K1639"/>
      <c r="L1639"/>
      <c r="M1639"/>
      <c r="N1639"/>
      <c r="O1639"/>
      <c r="P1639"/>
      <c r="Q1639"/>
      <c r="R1639"/>
      <c r="S1639"/>
      <c r="T1639"/>
      <c r="U1639"/>
      <c r="V1639"/>
      <c r="W1639"/>
      <c r="X1639"/>
      <c r="Y1639"/>
      <c r="Z1639"/>
      <c r="AA1639"/>
    </row>
    <row r="1640" spans="1:27" s="1" customFormat="1" x14ac:dyDescent="0.3">
      <c r="A1640"/>
      <c r="B1640"/>
      <c r="C1640"/>
      <c r="D1640"/>
      <c r="E1640"/>
      <c r="F1640"/>
      <c r="G1640"/>
      <c r="H1640"/>
      <c r="I1640"/>
      <c r="J1640"/>
      <c r="K1640"/>
      <c r="L1640"/>
      <c r="M1640"/>
      <c r="N1640"/>
      <c r="O1640"/>
      <c r="P1640"/>
      <c r="Q1640"/>
      <c r="R1640"/>
      <c r="S1640"/>
      <c r="T1640"/>
      <c r="U1640"/>
      <c r="V1640"/>
      <c r="W1640"/>
      <c r="X1640"/>
      <c r="Y1640"/>
      <c r="Z1640"/>
      <c r="AA1640"/>
    </row>
    <row r="1641" spans="1:27" s="1" customFormat="1" x14ac:dyDescent="0.3">
      <c r="A1641"/>
      <c r="B1641"/>
      <c r="C1641"/>
      <c r="D1641"/>
      <c r="E1641"/>
      <c r="F1641"/>
      <c r="G1641"/>
      <c r="H1641"/>
      <c r="I1641"/>
      <c r="J1641"/>
      <c r="K1641"/>
      <c r="L1641"/>
      <c r="M1641"/>
      <c r="N1641"/>
      <c r="O1641"/>
      <c r="P1641"/>
      <c r="Q1641"/>
      <c r="R1641"/>
      <c r="S1641"/>
      <c r="T1641"/>
      <c r="U1641"/>
      <c r="V1641"/>
      <c r="W1641"/>
      <c r="X1641"/>
      <c r="Y1641"/>
      <c r="Z1641"/>
      <c r="AA1641"/>
    </row>
    <row r="1642" spans="1:27" s="1" customFormat="1" x14ac:dyDescent="0.3">
      <c r="A1642"/>
      <c r="B1642"/>
      <c r="C1642"/>
      <c r="D1642"/>
      <c r="E1642"/>
      <c r="F1642"/>
      <c r="G1642"/>
      <c r="H1642"/>
      <c r="I1642"/>
      <c r="J1642"/>
      <c r="K1642"/>
      <c r="L1642"/>
      <c r="M1642"/>
      <c r="N1642"/>
      <c r="O1642"/>
      <c r="P1642"/>
      <c r="Q1642"/>
      <c r="R1642"/>
      <c r="S1642"/>
      <c r="T1642"/>
      <c r="U1642"/>
      <c r="V1642"/>
      <c r="W1642"/>
      <c r="X1642"/>
      <c r="Y1642"/>
      <c r="Z1642"/>
      <c r="AA1642"/>
    </row>
    <row r="1643" spans="1:27" s="1" customFormat="1" x14ac:dyDescent="0.3">
      <c r="A1643"/>
      <c r="B1643"/>
      <c r="C1643"/>
      <c r="D1643"/>
      <c r="E1643"/>
      <c r="F1643"/>
      <c r="G1643"/>
      <c r="H1643"/>
      <c r="I1643"/>
      <c r="J1643"/>
      <c r="K1643"/>
      <c r="L1643"/>
      <c r="M1643"/>
      <c r="N1643"/>
      <c r="O1643"/>
      <c r="P1643"/>
      <c r="Q1643"/>
      <c r="R1643"/>
      <c r="S1643"/>
      <c r="T1643"/>
      <c r="U1643"/>
      <c r="V1643"/>
      <c r="W1643"/>
      <c r="X1643"/>
      <c r="Y1643"/>
      <c r="Z1643"/>
      <c r="AA1643"/>
    </row>
    <row r="1644" spans="1:27" s="1" customFormat="1" x14ac:dyDescent="0.3">
      <c r="A1644"/>
      <c r="B1644"/>
      <c r="C1644"/>
      <c r="D1644"/>
      <c r="E1644"/>
      <c r="F1644"/>
      <c r="G1644"/>
      <c r="H1644"/>
      <c r="I1644"/>
      <c r="J1644"/>
      <c r="K1644"/>
      <c r="L1644"/>
      <c r="M1644"/>
      <c r="N1644"/>
      <c r="O1644"/>
      <c r="P1644"/>
      <c r="Q1644"/>
      <c r="R1644"/>
      <c r="S1644"/>
      <c r="T1644"/>
      <c r="U1644"/>
      <c r="V1644"/>
      <c r="W1644"/>
      <c r="X1644"/>
      <c r="Y1644"/>
      <c r="Z1644"/>
      <c r="AA1644"/>
    </row>
    <row r="1645" spans="1:27" s="1" customFormat="1" x14ac:dyDescent="0.3">
      <c r="A1645"/>
      <c r="B1645"/>
      <c r="C1645"/>
      <c r="D1645"/>
      <c r="E1645"/>
      <c r="F1645"/>
      <c r="G1645"/>
      <c r="H1645"/>
      <c r="I1645"/>
      <c r="J1645"/>
      <c r="K1645"/>
      <c r="L1645"/>
      <c r="M1645"/>
      <c r="N1645"/>
      <c r="O1645"/>
      <c r="P1645"/>
      <c r="Q1645"/>
      <c r="R1645"/>
      <c r="S1645"/>
      <c r="T1645"/>
      <c r="U1645"/>
      <c r="V1645"/>
      <c r="W1645"/>
      <c r="X1645"/>
      <c r="Y1645"/>
      <c r="Z1645"/>
      <c r="AA1645"/>
    </row>
    <row r="1646" spans="1:27" s="1" customFormat="1" x14ac:dyDescent="0.3">
      <c r="A1646"/>
      <c r="B1646"/>
      <c r="C1646"/>
      <c r="D1646"/>
      <c r="E1646"/>
      <c r="F1646"/>
      <c r="G1646"/>
      <c r="H1646"/>
      <c r="I1646"/>
      <c r="J1646"/>
      <c r="K1646"/>
      <c r="L1646"/>
      <c r="M1646"/>
      <c r="N1646"/>
      <c r="O1646"/>
      <c r="P1646"/>
      <c r="Q1646"/>
      <c r="R1646"/>
      <c r="S1646"/>
      <c r="T1646"/>
      <c r="U1646"/>
      <c r="V1646"/>
      <c r="W1646"/>
      <c r="X1646"/>
      <c r="Y1646"/>
      <c r="Z1646"/>
      <c r="AA1646"/>
    </row>
    <row r="1647" spans="1:27" s="1" customFormat="1" x14ac:dyDescent="0.3">
      <c r="A1647"/>
      <c r="B1647"/>
      <c r="C1647"/>
      <c r="D1647"/>
      <c r="E1647"/>
      <c r="F1647"/>
      <c r="G1647"/>
      <c r="H1647"/>
      <c r="I1647"/>
      <c r="J1647"/>
      <c r="K1647"/>
      <c r="L1647"/>
      <c r="M1647"/>
      <c r="N1647"/>
      <c r="O1647"/>
      <c r="P1647"/>
      <c r="Q1647"/>
      <c r="R1647"/>
      <c r="S1647"/>
      <c r="T1647"/>
      <c r="U1647"/>
      <c r="V1647"/>
      <c r="W1647"/>
      <c r="X1647"/>
      <c r="Y1647"/>
      <c r="Z1647"/>
      <c r="AA1647"/>
    </row>
    <row r="1648" spans="1:27" s="1" customFormat="1" x14ac:dyDescent="0.3">
      <c r="A1648"/>
      <c r="B1648"/>
      <c r="C1648"/>
      <c r="D1648"/>
      <c r="E1648"/>
      <c r="F1648"/>
      <c r="G1648"/>
      <c r="H1648"/>
      <c r="I1648"/>
      <c r="J1648"/>
      <c r="K1648"/>
      <c r="L1648"/>
      <c r="M1648"/>
      <c r="N1648"/>
      <c r="O1648"/>
      <c r="P1648"/>
      <c r="Q1648"/>
      <c r="R1648"/>
      <c r="S1648"/>
      <c r="T1648"/>
      <c r="U1648"/>
      <c r="V1648"/>
      <c r="W1648"/>
      <c r="X1648"/>
      <c r="Y1648"/>
      <c r="Z1648"/>
      <c r="AA1648"/>
    </row>
    <row r="1649" spans="1:27" s="1" customFormat="1" x14ac:dyDescent="0.3">
      <c r="A1649"/>
      <c r="B1649"/>
      <c r="C1649"/>
      <c r="D1649"/>
      <c r="E1649"/>
      <c r="F1649"/>
      <c r="G1649"/>
      <c r="H1649"/>
      <c r="I1649"/>
      <c r="J1649"/>
      <c r="K1649"/>
      <c r="L1649"/>
      <c r="M1649"/>
      <c r="N1649"/>
      <c r="O1649"/>
      <c r="P1649"/>
      <c r="Q1649"/>
      <c r="R1649"/>
      <c r="S1649"/>
      <c r="T1649"/>
      <c r="U1649"/>
      <c r="V1649"/>
      <c r="W1649"/>
      <c r="X1649"/>
      <c r="Y1649"/>
      <c r="Z1649"/>
      <c r="AA1649"/>
    </row>
    <row r="1650" spans="1:27" s="1" customFormat="1" x14ac:dyDescent="0.3">
      <c r="A1650"/>
      <c r="B1650"/>
      <c r="C1650"/>
      <c r="D1650"/>
      <c r="E1650"/>
      <c r="F1650"/>
      <c r="G1650"/>
      <c r="H1650"/>
      <c r="I1650"/>
      <c r="J1650"/>
      <c r="K1650"/>
      <c r="L1650"/>
      <c r="M1650"/>
      <c r="N1650"/>
      <c r="O1650"/>
      <c r="P1650"/>
      <c r="Q1650"/>
      <c r="R1650"/>
      <c r="S1650"/>
      <c r="T1650"/>
      <c r="U1650"/>
      <c r="V1650"/>
      <c r="W1650"/>
      <c r="X1650"/>
      <c r="Y1650"/>
      <c r="Z1650"/>
      <c r="AA1650"/>
    </row>
    <row r="1651" spans="1:27" s="1" customFormat="1" x14ac:dyDescent="0.3">
      <c r="A1651"/>
      <c r="B1651"/>
      <c r="C1651"/>
      <c r="D1651"/>
      <c r="E1651"/>
      <c r="F1651"/>
      <c r="G1651"/>
      <c r="H1651"/>
      <c r="I1651"/>
      <c r="J1651"/>
      <c r="K1651"/>
      <c r="L1651"/>
      <c r="M1651"/>
      <c r="N1651"/>
      <c r="O1651"/>
      <c r="P1651"/>
      <c r="Q1651"/>
      <c r="R1651"/>
      <c r="S1651"/>
      <c r="T1651"/>
      <c r="U1651"/>
      <c r="V1651"/>
      <c r="W1651"/>
      <c r="X1651"/>
      <c r="Y1651"/>
      <c r="Z1651"/>
      <c r="AA1651"/>
    </row>
    <row r="1652" spans="1:27" s="1" customFormat="1" x14ac:dyDescent="0.3">
      <c r="A1652"/>
      <c r="B1652"/>
      <c r="C1652"/>
      <c r="D1652"/>
      <c r="E1652"/>
      <c r="F1652"/>
      <c r="G1652"/>
      <c r="H1652"/>
      <c r="I1652"/>
      <c r="J1652"/>
      <c r="K1652"/>
      <c r="L1652"/>
      <c r="M1652"/>
      <c r="N1652"/>
      <c r="O1652"/>
      <c r="P1652"/>
      <c r="Q1652"/>
      <c r="R1652"/>
      <c r="S1652"/>
      <c r="T1652"/>
      <c r="U1652"/>
      <c r="V1652"/>
      <c r="W1652"/>
      <c r="X1652"/>
      <c r="Y1652"/>
      <c r="Z1652"/>
      <c r="AA1652"/>
    </row>
    <row r="1653" spans="1:27" s="1" customFormat="1" x14ac:dyDescent="0.3">
      <c r="A1653"/>
      <c r="B1653"/>
      <c r="C1653"/>
      <c r="D1653"/>
      <c r="E1653"/>
      <c r="F1653"/>
      <c r="G1653"/>
      <c r="H1653"/>
      <c r="I1653"/>
      <c r="J1653"/>
      <c r="K1653"/>
      <c r="L1653"/>
      <c r="M1653"/>
      <c r="N1653"/>
      <c r="O1653"/>
      <c r="P1653"/>
      <c r="Q1653"/>
      <c r="R1653"/>
      <c r="S1653"/>
      <c r="T1653"/>
      <c r="U1653"/>
      <c r="V1653"/>
      <c r="W1653"/>
      <c r="X1653"/>
      <c r="Y1653"/>
      <c r="Z1653"/>
      <c r="AA1653"/>
    </row>
    <row r="1654" spans="1:27" s="1" customFormat="1" x14ac:dyDescent="0.3">
      <c r="A1654"/>
      <c r="B1654"/>
      <c r="C1654"/>
      <c r="D1654"/>
      <c r="E1654"/>
      <c r="F1654"/>
      <c r="G1654"/>
      <c r="H1654"/>
      <c r="I1654"/>
      <c r="J1654"/>
      <c r="K1654"/>
      <c r="L1654"/>
      <c r="M1654"/>
      <c r="N1654"/>
      <c r="O1654"/>
      <c r="P1654"/>
      <c r="Q1654"/>
      <c r="R1654"/>
      <c r="S1654"/>
      <c r="T1654"/>
      <c r="U1654"/>
      <c r="V1654"/>
      <c r="W1654"/>
      <c r="X1654"/>
      <c r="Y1654"/>
      <c r="Z1654"/>
      <c r="AA1654"/>
    </row>
    <row r="1655" spans="1:27" s="1" customFormat="1" x14ac:dyDescent="0.3">
      <c r="A1655"/>
      <c r="B1655"/>
      <c r="C1655"/>
      <c r="D1655"/>
      <c r="E1655"/>
      <c r="F1655"/>
      <c r="G1655"/>
      <c r="H1655"/>
      <c r="I1655"/>
      <c r="J1655"/>
      <c r="K1655"/>
      <c r="L1655"/>
      <c r="M1655"/>
      <c r="N1655"/>
      <c r="O1655"/>
      <c r="P1655"/>
      <c r="Q1655"/>
      <c r="R1655"/>
      <c r="S1655"/>
      <c r="T1655"/>
      <c r="U1655"/>
      <c r="V1655"/>
      <c r="W1655"/>
      <c r="X1655"/>
      <c r="Y1655"/>
      <c r="Z1655"/>
      <c r="AA1655"/>
    </row>
    <row r="1656" spans="1:27" s="1" customFormat="1" x14ac:dyDescent="0.3">
      <c r="A1656"/>
      <c r="B1656"/>
      <c r="C1656"/>
      <c r="D1656"/>
      <c r="E1656"/>
      <c r="F1656"/>
      <c r="G1656"/>
      <c r="H1656"/>
      <c r="I1656"/>
      <c r="J1656"/>
      <c r="K1656"/>
      <c r="L1656"/>
      <c r="M1656"/>
      <c r="N1656"/>
      <c r="O1656"/>
      <c r="P1656"/>
      <c r="Q1656"/>
      <c r="R1656"/>
      <c r="S1656"/>
      <c r="T1656"/>
      <c r="U1656"/>
      <c r="V1656"/>
      <c r="W1656"/>
      <c r="X1656"/>
      <c r="Y1656"/>
      <c r="Z1656"/>
      <c r="AA1656"/>
    </row>
    <row r="1657" spans="1:27" s="1" customFormat="1" x14ac:dyDescent="0.3">
      <c r="A1657"/>
      <c r="B1657"/>
      <c r="C1657"/>
      <c r="D1657"/>
      <c r="E1657"/>
      <c r="F1657"/>
      <c r="G1657"/>
      <c r="H1657"/>
      <c r="I1657"/>
      <c r="J1657"/>
      <c r="K1657"/>
      <c r="L1657"/>
      <c r="M1657"/>
      <c r="N1657"/>
      <c r="O1657"/>
      <c r="P1657"/>
      <c r="Q1657"/>
      <c r="R1657"/>
      <c r="S1657"/>
      <c r="T1657"/>
      <c r="U1657"/>
      <c r="V1657"/>
      <c r="W1657"/>
      <c r="X1657"/>
      <c r="Y1657"/>
      <c r="Z1657"/>
      <c r="AA1657"/>
    </row>
    <row r="1658" spans="1:27" s="1" customFormat="1" x14ac:dyDescent="0.3">
      <c r="A1658"/>
      <c r="B1658"/>
      <c r="C1658"/>
      <c r="D1658"/>
      <c r="E1658"/>
      <c r="F1658"/>
      <c r="G1658"/>
      <c r="H1658"/>
      <c r="I1658"/>
      <c r="J1658"/>
      <c r="K1658"/>
      <c r="L1658"/>
      <c r="M1658"/>
      <c r="N1658"/>
      <c r="O1658"/>
      <c r="P1658"/>
      <c r="Q1658"/>
      <c r="R1658"/>
      <c r="S1658"/>
      <c r="T1658"/>
      <c r="U1658"/>
      <c r="V1658"/>
      <c r="W1658"/>
      <c r="X1658"/>
      <c r="Y1658"/>
      <c r="Z1658"/>
      <c r="AA1658"/>
    </row>
    <row r="1659" spans="1:27" s="1" customFormat="1" x14ac:dyDescent="0.3">
      <c r="A1659"/>
      <c r="B1659"/>
      <c r="C1659"/>
      <c r="D1659"/>
      <c r="E1659"/>
      <c r="F1659"/>
      <c r="G1659"/>
      <c r="H1659"/>
      <c r="I1659"/>
      <c r="J1659"/>
      <c r="K1659"/>
      <c r="L1659"/>
      <c r="M1659"/>
      <c r="N1659"/>
      <c r="O1659"/>
      <c r="P1659"/>
      <c r="Q1659"/>
      <c r="R1659"/>
      <c r="S1659"/>
      <c r="T1659"/>
      <c r="U1659"/>
      <c r="V1659"/>
      <c r="W1659"/>
      <c r="X1659"/>
      <c r="Y1659"/>
      <c r="Z1659"/>
      <c r="AA1659"/>
    </row>
    <row r="1660" spans="1:27" s="1" customFormat="1" x14ac:dyDescent="0.3">
      <c r="A1660"/>
      <c r="B1660"/>
      <c r="C1660"/>
      <c r="D1660"/>
      <c r="E1660"/>
      <c r="F1660"/>
      <c r="G1660"/>
      <c r="H1660"/>
      <c r="I1660"/>
      <c r="J1660"/>
      <c r="K1660"/>
      <c r="L1660"/>
      <c r="M1660"/>
      <c r="N1660"/>
      <c r="O1660"/>
      <c r="P1660"/>
      <c r="Q1660"/>
      <c r="R1660"/>
      <c r="S1660"/>
      <c r="T1660"/>
      <c r="U1660"/>
      <c r="V1660"/>
      <c r="W1660"/>
      <c r="X1660"/>
      <c r="Y1660"/>
      <c r="Z1660"/>
      <c r="AA1660"/>
    </row>
    <row r="1661" spans="1:27" s="1" customFormat="1" x14ac:dyDescent="0.3">
      <c r="A1661"/>
      <c r="B1661"/>
      <c r="C1661"/>
      <c r="D1661"/>
      <c r="E1661"/>
      <c r="F1661"/>
      <c r="G1661"/>
      <c r="H1661"/>
      <c r="I1661"/>
      <c r="J1661"/>
      <c r="K1661"/>
      <c r="L1661"/>
      <c r="M1661"/>
      <c r="N1661"/>
      <c r="O1661"/>
      <c r="P1661"/>
      <c r="Q1661"/>
      <c r="R1661"/>
      <c r="S1661"/>
      <c r="T1661"/>
      <c r="U1661"/>
      <c r="V1661"/>
      <c r="W1661"/>
      <c r="X1661"/>
      <c r="Y1661"/>
      <c r="Z1661"/>
      <c r="AA1661"/>
    </row>
    <row r="1662" spans="1:27" s="1" customFormat="1" x14ac:dyDescent="0.3">
      <c r="A1662"/>
      <c r="B1662"/>
      <c r="C1662"/>
      <c r="D1662"/>
      <c r="E1662"/>
      <c r="F1662"/>
      <c r="G1662"/>
      <c r="H1662"/>
      <c r="I1662"/>
      <c r="J1662"/>
      <c r="K1662"/>
      <c r="L1662"/>
      <c r="M1662"/>
      <c r="N1662"/>
      <c r="O1662"/>
      <c r="P1662"/>
      <c r="Q1662"/>
      <c r="R1662"/>
      <c r="S1662"/>
      <c r="T1662"/>
      <c r="U1662"/>
      <c r="V1662"/>
      <c r="W1662"/>
      <c r="X1662"/>
      <c r="Y1662"/>
      <c r="Z1662"/>
      <c r="AA1662"/>
    </row>
    <row r="1663" spans="1:27" s="1" customFormat="1" x14ac:dyDescent="0.3">
      <c r="A1663"/>
      <c r="B1663"/>
      <c r="C1663"/>
      <c r="D1663"/>
      <c r="E1663"/>
      <c r="F1663"/>
      <c r="G1663"/>
      <c r="H1663"/>
      <c r="I1663"/>
      <c r="J1663"/>
      <c r="K1663"/>
      <c r="L1663"/>
      <c r="M1663"/>
      <c r="N1663"/>
      <c r="O1663"/>
      <c r="P1663"/>
      <c r="Q1663"/>
      <c r="R1663"/>
      <c r="S1663"/>
      <c r="T1663"/>
      <c r="U1663"/>
      <c r="V1663"/>
      <c r="W1663"/>
      <c r="X1663"/>
      <c r="Y1663"/>
      <c r="Z1663"/>
      <c r="AA1663"/>
    </row>
    <row r="1664" spans="1:27" s="1" customFormat="1" x14ac:dyDescent="0.3">
      <c r="A1664"/>
      <c r="B1664"/>
      <c r="C1664"/>
      <c r="D1664"/>
      <c r="E1664"/>
      <c r="F1664"/>
      <c r="G1664"/>
      <c r="H1664"/>
      <c r="I1664"/>
      <c r="J1664"/>
      <c r="K1664"/>
      <c r="L1664"/>
      <c r="M1664"/>
      <c r="N1664"/>
      <c r="O1664"/>
      <c r="P1664"/>
      <c r="Q1664"/>
      <c r="R1664"/>
      <c r="S1664"/>
      <c r="T1664"/>
      <c r="U1664"/>
      <c r="V1664"/>
      <c r="W1664"/>
      <c r="X1664"/>
      <c r="Y1664"/>
      <c r="Z1664"/>
      <c r="AA1664"/>
    </row>
    <row r="1665" spans="1:27" s="1" customFormat="1" x14ac:dyDescent="0.3">
      <c r="A1665"/>
      <c r="B1665"/>
      <c r="C1665"/>
      <c r="D1665"/>
      <c r="E1665"/>
      <c r="F1665"/>
      <c r="G1665"/>
      <c r="H1665"/>
      <c r="I1665"/>
      <c r="J1665"/>
      <c r="K1665"/>
      <c r="L1665"/>
      <c r="M1665"/>
      <c r="N1665"/>
      <c r="O1665"/>
      <c r="P1665"/>
      <c r="Q1665"/>
      <c r="R1665"/>
      <c r="S1665"/>
      <c r="T1665"/>
      <c r="U1665"/>
      <c r="V1665"/>
      <c r="W1665"/>
      <c r="X1665"/>
      <c r="Y1665"/>
      <c r="Z1665"/>
      <c r="AA1665"/>
    </row>
    <row r="1666" spans="1:27" s="1" customFormat="1" x14ac:dyDescent="0.3">
      <c r="A1666"/>
      <c r="B1666"/>
      <c r="C1666"/>
      <c r="D1666"/>
      <c r="E1666"/>
      <c r="F1666"/>
      <c r="G1666"/>
      <c r="H1666"/>
      <c r="I1666"/>
      <c r="J1666"/>
      <c r="K1666"/>
      <c r="L1666"/>
      <c r="M1666"/>
      <c r="N1666"/>
      <c r="O1666"/>
      <c r="P1666"/>
      <c r="Q1666"/>
      <c r="R1666"/>
      <c r="S1666"/>
      <c r="T1666"/>
      <c r="U1666"/>
      <c r="V1666"/>
      <c r="W1666"/>
      <c r="X1666"/>
      <c r="Y1666"/>
      <c r="Z1666"/>
      <c r="AA1666"/>
    </row>
    <row r="1667" spans="1:27" s="1" customFormat="1" x14ac:dyDescent="0.3">
      <c r="A1667"/>
      <c r="B1667"/>
      <c r="C1667"/>
      <c r="D1667"/>
      <c r="E1667"/>
      <c r="F1667"/>
      <c r="G1667"/>
      <c r="H1667"/>
      <c r="I1667"/>
      <c r="J1667"/>
      <c r="K1667"/>
      <c r="L1667"/>
      <c r="M1667"/>
      <c r="N1667"/>
      <c r="O1667"/>
      <c r="P1667"/>
      <c r="Q1667"/>
      <c r="R1667"/>
      <c r="S1667"/>
      <c r="T1667"/>
      <c r="U1667"/>
      <c r="V1667"/>
      <c r="W1667"/>
      <c r="X1667"/>
      <c r="Y1667"/>
      <c r="Z1667"/>
      <c r="AA1667"/>
    </row>
    <row r="1668" spans="1:27" s="1" customFormat="1" x14ac:dyDescent="0.3">
      <c r="A1668"/>
      <c r="B1668"/>
      <c r="C1668"/>
      <c r="D1668"/>
      <c r="E1668"/>
      <c r="F1668"/>
      <c r="G1668"/>
      <c r="H1668"/>
      <c r="I1668"/>
      <c r="J1668"/>
      <c r="K1668"/>
      <c r="L1668"/>
      <c r="M1668"/>
      <c r="N1668"/>
      <c r="O1668"/>
      <c r="P1668"/>
      <c r="Q1668"/>
      <c r="R1668"/>
      <c r="S1668"/>
      <c r="T1668"/>
      <c r="U1668"/>
      <c r="V1668"/>
      <c r="W1668"/>
      <c r="X1668"/>
      <c r="Y1668"/>
      <c r="Z1668"/>
      <c r="AA1668"/>
    </row>
    <row r="1669" spans="1:27" s="1" customFormat="1" x14ac:dyDescent="0.3">
      <c r="A1669"/>
      <c r="B1669"/>
      <c r="C1669"/>
      <c r="D1669"/>
      <c r="E1669"/>
      <c r="F1669"/>
      <c r="G1669"/>
      <c r="H1669"/>
      <c r="I1669"/>
      <c r="J1669"/>
      <c r="K1669"/>
      <c r="L1669"/>
      <c r="M1669"/>
      <c r="N1669"/>
      <c r="O1669"/>
      <c r="P1669"/>
      <c r="Q1669"/>
      <c r="R1669"/>
      <c r="S1669"/>
      <c r="T1669"/>
      <c r="U1669"/>
      <c r="V1669"/>
      <c r="W1669"/>
      <c r="X1669"/>
      <c r="Y1669"/>
      <c r="Z1669"/>
      <c r="AA1669"/>
    </row>
    <row r="1670" spans="1:27" s="1" customFormat="1" x14ac:dyDescent="0.3">
      <c r="A1670"/>
      <c r="B1670"/>
      <c r="C1670"/>
      <c r="D1670"/>
      <c r="E1670"/>
      <c r="F1670"/>
      <c r="G1670"/>
      <c r="H1670"/>
      <c r="I1670"/>
      <c r="J1670"/>
      <c r="K1670"/>
      <c r="L1670"/>
      <c r="M1670"/>
      <c r="N1670"/>
      <c r="O1670"/>
      <c r="P1670"/>
      <c r="Q1670"/>
      <c r="R1670"/>
      <c r="S1670"/>
      <c r="T1670"/>
      <c r="U1670"/>
      <c r="V1670"/>
      <c r="W1670"/>
      <c r="X1670"/>
      <c r="Y1670"/>
      <c r="Z1670"/>
      <c r="AA1670"/>
    </row>
    <row r="1671" spans="1:27" s="1" customFormat="1" x14ac:dyDescent="0.3">
      <c r="A1671"/>
      <c r="B1671"/>
      <c r="C1671"/>
      <c r="D1671"/>
      <c r="E1671"/>
      <c r="F1671"/>
      <c r="G1671"/>
      <c r="H1671"/>
      <c r="I1671"/>
      <c r="J1671"/>
      <c r="K1671"/>
      <c r="L1671"/>
      <c r="M1671"/>
      <c r="N1671"/>
      <c r="O1671"/>
      <c r="P1671"/>
      <c r="Q1671"/>
      <c r="R1671"/>
      <c r="S1671"/>
      <c r="T1671"/>
      <c r="U1671"/>
      <c r="V1671"/>
      <c r="W1671"/>
      <c r="X1671"/>
      <c r="Y1671"/>
      <c r="Z1671"/>
      <c r="AA1671"/>
    </row>
    <row r="1672" spans="1:27" s="1" customFormat="1" x14ac:dyDescent="0.3">
      <c r="A1672"/>
      <c r="B1672"/>
      <c r="C1672"/>
      <c r="D1672"/>
      <c r="E1672"/>
      <c r="F1672"/>
      <c r="G1672"/>
      <c r="H1672"/>
      <c r="I1672"/>
      <c r="J1672"/>
      <c r="K1672"/>
      <c r="L1672"/>
      <c r="M1672"/>
      <c r="N1672"/>
      <c r="O1672"/>
      <c r="P1672"/>
      <c r="Q1672"/>
      <c r="R1672"/>
      <c r="S1672"/>
      <c r="T1672"/>
      <c r="U1672"/>
      <c r="V1672"/>
      <c r="W1672"/>
      <c r="X1672"/>
      <c r="Y1672"/>
      <c r="Z1672"/>
      <c r="AA1672"/>
    </row>
    <row r="1673" spans="1:27" s="1" customFormat="1" x14ac:dyDescent="0.3">
      <c r="A1673"/>
      <c r="B1673"/>
      <c r="C1673"/>
      <c r="D1673"/>
      <c r="E1673"/>
      <c r="F1673"/>
      <c r="G1673"/>
      <c r="H1673"/>
      <c r="I1673"/>
      <c r="J1673"/>
      <c r="K1673"/>
      <c r="L1673"/>
      <c r="M1673"/>
      <c r="N1673"/>
      <c r="O1673"/>
      <c r="P1673"/>
      <c r="Q1673"/>
      <c r="R1673"/>
      <c r="S1673"/>
      <c r="T1673"/>
      <c r="U1673"/>
      <c r="V1673"/>
      <c r="W1673"/>
      <c r="X1673"/>
      <c r="Y1673"/>
      <c r="Z1673"/>
      <c r="AA1673"/>
    </row>
    <row r="1674" spans="1:27" s="1" customFormat="1" x14ac:dyDescent="0.3">
      <c r="A1674"/>
      <c r="B1674"/>
      <c r="C1674"/>
      <c r="D1674"/>
      <c r="E1674"/>
      <c r="F1674"/>
      <c r="G1674"/>
      <c r="H1674"/>
      <c r="I1674"/>
      <c r="J1674"/>
      <c r="K1674"/>
      <c r="L1674"/>
      <c r="M1674"/>
      <c r="N1674"/>
      <c r="O1674"/>
      <c r="P1674"/>
      <c r="Q1674"/>
      <c r="R1674"/>
      <c r="S1674"/>
      <c r="T1674"/>
      <c r="U1674"/>
      <c r="V1674"/>
      <c r="W1674"/>
      <c r="X1674"/>
      <c r="Y1674"/>
      <c r="Z1674"/>
      <c r="AA1674"/>
    </row>
    <row r="1675" spans="1:27" s="1" customFormat="1" x14ac:dyDescent="0.3">
      <c r="A1675"/>
      <c r="B1675"/>
      <c r="C1675"/>
      <c r="D1675"/>
      <c r="E1675"/>
      <c r="F1675"/>
      <c r="G1675"/>
      <c r="H1675"/>
      <c r="I1675"/>
      <c r="J1675"/>
      <c r="K1675"/>
      <c r="L1675"/>
      <c r="M1675"/>
      <c r="N1675"/>
      <c r="O1675"/>
      <c r="P1675"/>
      <c r="Q1675"/>
      <c r="R1675"/>
      <c r="S1675"/>
      <c r="T1675"/>
      <c r="U1675"/>
      <c r="V1675"/>
      <c r="W1675"/>
      <c r="X1675"/>
      <c r="Y1675"/>
      <c r="Z1675"/>
      <c r="AA1675"/>
    </row>
    <row r="1676" spans="1:27" s="1" customFormat="1" x14ac:dyDescent="0.3">
      <c r="A1676"/>
      <c r="B1676"/>
      <c r="C1676"/>
      <c r="D1676"/>
      <c r="E1676"/>
      <c r="F1676"/>
      <c r="G1676"/>
      <c r="H1676"/>
      <c r="I1676"/>
      <c r="J1676"/>
      <c r="K1676"/>
      <c r="L1676"/>
      <c r="M1676"/>
      <c r="N1676"/>
      <c r="O1676"/>
      <c r="P1676"/>
      <c r="Q1676"/>
      <c r="R1676"/>
      <c r="S1676"/>
      <c r="T1676"/>
      <c r="U1676"/>
      <c r="V1676"/>
      <c r="W1676"/>
      <c r="X1676"/>
      <c r="Y1676"/>
      <c r="Z1676"/>
      <c r="AA1676"/>
    </row>
    <row r="1677" spans="1:27" s="1" customFormat="1" x14ac:dyDescent="0.3">
      <c r="A1677"/>
      <c r="B1677"/>
      <c r="C1677"/>
      <c r="D1677"/>
      <c r="E1677"/>
      <c r="F1677"/>
      <c r="G1677"/>
      <c r="H1677"/>
      <c r="I1677"/>
      <c r="J1677"/>
      <c r="K1677"/>
      <c r="L1677"/>
      <c r="M1677"/>
      <c r="N1677"/>
      <c r="O1677"/>
      <c r="P1677"/>
      <c r="Q1677"/>
      <c r="R1677"/>
      <c r="S1677"/>
      <c r="T1677"/>
      <c r="U1677"/>
      <c r="V1677"/>
      <c r="W1677"/>
      <c r="X1677"/>
      <c r="Y1677"/>
      <c r="Z1677"/>
      <c r="AA1677"/>
    </row>
    <row r="1678" spans="1:27" s="1" customFormat="1" x14ac:dyDescent="0.3">
      <c r="A1678"/>
      <c r="B1678"/>
      <c r="C1678"/>
      <c r="D1678"/>
      <c r="E1678"/>
      <c r="F1678"/>
      <c r="G1678"/>
      <c r="H1678"/>
      <c r="I1678"/>
      <c r="J1678"/>
      <c r="K1678"/>
      <c r="L1678"/>
      <c r="M1678"/>
      <c r="N1678"/>
      <c r="O1678"/>
      <c r="P1678"/>
      <c r="Q1678"/>
      <c r="R1678"/>
      <c r="S1678"/>
      <c r="T1678"/>
      <c r="U1678"/>
      <c r="V1678"/>
      <c r="W1678"/>
      <c r="X1678"/>
      <c r="Y1678"/>
      <c r="Z1678"/>
      <c r="AA1678"/>
    </row>
    <row r="1679" spans="1:27" s="1" customFormat="1" x14ac:dyDescent="0.3">
      <c r="A1679"/>
      <c r="B1679"/>
      <c r="C1679"/>
      <c r="D1679"/>
      <c r="E1679"/>
      <c r="F1679"/>
      <c r="G1679"/>
      <c r="H1679"/>
      <c r="I1679"/>
      <c r="J1679"/>
      <c r="K1679"/>
      <c r="L1679"/>
      <c r="M1679"/>
      <c r="N1679"/>
      <c r="O1679"/>
      <c r="P1679"/>
      <c r="Q1679"/>
      <c r="R1679"/>
      <c r="S1679"/>
      <c r="T1679"/>
      <c r="U1679"/>
      <c r="V1679"/>
      <c r="W1679"/>
      <c r="X1679"/>
      <c r="Y1679"/>
      <c r="Z1679"/>
      <c r="AA1679"/>
    </row>
    <row r="1680" spans="1:27" s="1" customFormat="1" x14ac:dyDescent="0.3">
      <c r="A1680"/>
      <c r="B1680"/>
      <c r="C1680"/>
      <c r="D1680"/>
      <c r="E1680"/>
      <c r="F1680"/>
      <c r="G1680"/>
      <c r="H1680"/>
      <c r="I1680"/>
      <c r="J1680"/>
      <c r="K1680"/>
      <c r="L1680"/>
      <c r="M1680"/>
      <c r="N1680"/>
      <c r="O1680"/>
      <c r="P1680"/>
      <c r="Q1680"/>
      <c r="R1680"/>
      <c r="S1680"/>
      <c r="T1680"/>
      <c r="U1680"/>
      <c r="V1680"/>
      <c r="W1680"/>
      <c r="X1680"/>
      <c r="Y1680"/>
      <c r="Z1680"/>
      <c r="AA1680"/>
    </row>
    <row r="1681" spans="1:27" s="1" customFormat="1" x14ac:dyDescent="0.3">
      <c r="A1681"/>
      <c r="B1681"/>
      <c r="C1681"/>
      <c r="D1681"/>
      <c r="E1681"/>
      <c r="F1681"/>
      <c r="G1681"/>
      <c r="H1681"/>
      <c r="I1681"/>
      <c r="J1681"/>
      <c r="K1681"/>
      <c r="L1681"/>
      <c r="M1681"/>
      <c r="N1681"/>
      <c r="O1681"/>
      <c r="P1681"/>
      <c r="Q1681"/>
      <c r="R1681"/>
      <c r="S1681"/>
      <c r="T1681"/>
      <c r="U1681"/>
      <c r="V1681"/>
      <c r="W1681"/>
      <c r="X1681"/>
      <c r="Y1681"/>
      <c r="Z1681"/>
      <c r="AA1681"/>
    </row>
    <row r="1682" spans="1:27" s="1" customFormat="1" x14ac:dyDescent="0.3">
      <c r="A1682"/>
      <c r="B1682"/>
      <c r="C1682"/>
      <c r="D1682"/>
      <c r="E1682"/>
      <c r="F1682"/>
      <c r="G1682"/>
      <c r="H1682"/>
      <c r="I1682"/>
      <c r="J1682"/>
      <c r="K1682"/>
      <c r="L1682"/>
      <c r="M1682"/>
      <c r="N1682"/>
      <c r="O1682"/>
      <c r="P1682"/>
      <c r="Q1682"/>
      <c r="R1682"/>
      <c r="S1682"/>
      <c r="T1682"/>
      <c r="U1682"/>
      <c r="V1682"/>
      <c r="W1682"/>
      <c r="X1682"/>
      <c r="Y1682"/>
      <c r="Z1682"/>
      <c r="AA1682"/>
    </row>
    <row r="1683" spans="1:27" s="1" customFormat="1" x14ac:dyDescent="0.3">
      <c r="A1683"/>
      <c r="B1683"/>
      <c r="C1683"/>
      <c r="D1683"/>
      <c r="E1683"/>
      <c r="F1683"/>
      <c r="G1683"/>
      <c r="H1683"/>
      <c r="I1683"/>
      <c r="J1683"/>
      <c r="K1683"/>
      <c r="L1683"/>
      <c r="M1683"/>
      <c r="N1683"/>
      <c r="O1683"/>
      <c r="P1683"/>
      <c r="Q1683"/>
      <c r="R1683"/>
      <c r="S1683"/>
      <c r="T1683"/>
      <c r="U1683"/>
      <c r="V1683"/>
      <c r="W1683"/>
      <c r="X1683"/>
      <c r="Y1683"/>
      <c r="Z1683"/>
      <c r="AA1683"/>
    </row>
    <row r="1684" spans="1:27" s="1" customFormat="1" x14ac:dyDescent="0.3">
      <c r="A1684"/>
      <c r="B1684"/>
      <c r="C1684"/>
      <c r="D1684"/>
      <c r="E1684"/>
      <c r="F1684"/>
      <c r="G1684"/>
      <c r="H1684"/>
      <c r="I1684"/>
      <c r="J1684"/>
      <c r="K1684"/>
      <c r="L1684"/>
      <c r="M1684"/>
      <c r="N1684"/>
      <c r="O1684"/>
      <c r="P1684"/>
      <c r="Q1684"/>
      <c r="R1684"/>
      <c r="S1684"/>
      <c r="T1684"/>
      <c r="U1684"/>
      <c r="V1684"/>
      <c r="W1684"/>
      <c r="X1684"/>
      <c r="Y1684"/>
      <c r="Z1684"/>
      <c r="AA1684"/>
    </row>
    <row r="1685" spans="1:27" s="1" customFormat="1" x14ac:dyDescent="0.3">
      <c r="A1685"/>
      <c r="B1685"/>
      <c r="C1685"/>
      <c r="D1685"/>
      <c r="E1685"/>
      <c r="F1685"/>
      <c r="G1685"/>
      <c r="H1685"/>
      <c r="I1685"/>
      <c r="J1685"/>
      <c r="K1685"/>
      <c r="L1685"/>
      <c r="M1685"/>
      <c r="N1685"/>
      <c r="O1685"/>
      <c r="P1685"/>
      <c r="Q1685"/>
      <c r="R1685"/>
      <c r="S1685"/>
      <c r="T1685"/>
      <c r="U1685"/>
      <c r="V1685"/>
      <c r="W1685"/>
      <c r="X1685"/>
      <c r="Y1685"/>
      <c r="Z1685"/>
      <c r="AA1685"/>
    </row>
    <row r="1686" spans="1:27" s="1" customFormat="1" x14ac:dyDescent="0.3">
      <c r="A1686"/>
      <c r="B1686"/>
      <c r="C1686"/>
      <c r="D1686"/>
      <c r="E1686"/>
      <c r="F1686"/>
      <c r="G1686"/>
      <c r="H1686"/>
      <c r="I1686"/>
      <c r="J1686"/>
      <c r="K1686"/>
      <c r="L1686"/>
      <c r="M1686"/>
      <c r="N1686"/>
      <c r="O1686"/>
      <c r="P1686"/>
      <c r="Q1686"/>
      <c r="R1686"/>
      <c r="S1686"/>
      <c r="T1686"/>
      <c r="U1686"/>
      <c r="V1686"/>
      <c r="W1686"/>
      <c r="X1686"/>
      <c r="Y1686"/>
      <c r="Z1686"/>
      <c r="AA1686"/>
    </row>
    <row r="1687" spans="1:27" s="1" customFormat="1" x14ac:dyDescent="0.3">
      <c r="A1687"/>
      <c r="B1687"/>
      <c r="C1687"/>
      <c r="D1687"/>
      <c r="E1687"/>
      <c r="F1687"/>
      <c r="G1687"/>
      <c r="H1687"/>
      <c r="I1687"/>
      <c r="J1687"/>
      <c r="K1687"/>
      <c r="L1687"/>
      <c r="M1687"/>
      <c r="N1687"/>
      <c r="O1687"/>
      <c r="P1687"/>
      <c r="Q1687"/>
      <c r="R1687"/>
      <c r="S1687"/>
      <c r="T1687"/>
      <c r="U1687"/>
      <c r="V1687"/>
      <c r="W1687"/>
      <c r="X1687"/>
      <c r="Y1687"/>
      <c r="Z1687"/>
      <c r="AA1687"/>
    </row>
    <row r="1688" spans="1:27" s="1" customFormat="1" x14ac:dyDescent="0.3">
      <c r="A1688"/>
      <c r="B1688"/>
      <c r="C1688"/>
      <c r="D1688"/>
      <c r="E1688"/>
      <c r="F1688"/>
      <c r="G1688"/>
      <c r="H1688"/>
      <c r="I1688"/>
      <c r="J1688"/>
      <c r="K1688"/>
      <c r="L1688"/>
      <c r="M1688"/>
      <c r="N1688"/>
      <c r="O1688"/>
      <c r="P1688"/>
      <c r="Q1688"/>
      <c r="R1688"/>
      <c r="S1688"/>
      <c r="T1688"/>
      <c r="U1688"/>
      <c r="V1688"/>
      <c r="W1688"/>
      <c r="X1688"/>
      <c r="Y1688"/>
      <c r="Z1688"/>
      <c r="AA1688"/>
    </row>
    <row r="1689" spans="1:27" s="1" customFormat="1" x14ac:dyDescent="0.3">
      <c r="A1689"/>
      <c r="B1689"/>
      <c r="C1689"/>
      <c r="D1689"/>
      <c r="E1689"/>
      <c r="F1689"/>
      <c r="G1689"/>
      <c r="H1689"/>
      <c r="I1689"/>
      <c r="J1689"/>
      <c r="K1689"/>
      <c r="L1689"/>
      <c r="M1689"/>
      <c r="N1689"/>
      <c r="O1689"/>
      <c r="P1689"/>
      <c r="Q1689"/>
      <c r="R1689"/>
      <c r="S1689"/>
      <c r="T1689"/>
      <c r="U1689"/>
      <c r="V1689"/>
      <c r="W1689"/>
      <c r="X1689"/>
      <c r="Y1689"/>
      <c r="Z1689"/>
      <c r="AA1689"/>
    </row>
    <row r="1690" spans="1:27" s="1" customFormat="1" x14ac:dyDescent="0.3">
      <c r="A1690"/>
      <c r="B1690"/>
      <c r="C1690"/>
      <c r="D1690"/>
      <c r="E1690"/>
      <c r="F1690"/>
      <c r="G1690"/>
      <c r="H1690"/>
      <c r="I1690"/>
      <c r="J1690"/>
      <c r="K1690"/>
      <c r="L1690"/>
      <c r="M1690"/>
      <c r="N1690"/>
      <c r="O1690"/>
      <c r="P1690"/>
      <c r="Q1690"/>
      <c r="R1690"/>
      <c r="S1690"/>
      <c r="T1690"/>
      <c r="U1690"/>
      <c r="V1690"/>
      <c r="W1690"/>
      <c r="X1690"/>
      <c r="Y1690"/>
      <c r="Z1690"/>
      <c r="AA1690"/>
    </row>
    <row r="1691" spans="1:27" s="1" customFormat="1" x14ac:dyDescent="0.3">
      <c r="A1691"/>
      <c r="B1691"/>
      <c r="C1691"/>
      <c r="D1691"/>
      <c r="E1691"/>
      <c r="F1691"/>
      <c r="G1691"/>
      <c r="H1691"/>
      <c r="I1691"/>
      <c r="J1691"/>
      <c r="K1691"/>
      <c r="L1691"/>
      <c r="M1691"/>
      <c r="N1691"/>
      <c r="O1691"/>
      <c r="P1691"/>
      <c r="Q1691"/>
      <c r="R1691"/>
      <c r="S1691"/>
      <c r="T1691"/>
      <c r="U1691"/>
      <c r="V1691"/>
      <c r="W1691"/>
      <c r="X1691"/>
      <c r="Y1691"/>
      <c r="Z1691"/>
      <c r="AA1691"/>
    </row>
    <row r="1692" spans="1:27" s="1" customFormat="1" x14ac:dyDescent="0.3">
      <c r="A1692"/>
      <c r="B1692"/>
      <c r="C1692"/>
      <c r="D1692"/>
      <c r="E1692"/>
      <c r="F1692"/>
      <c r="G1692"/>
      <c r="H1692"/>
      <c r="I1692"/>
      <c r="J1692"/>
      <c r="K1692"/>
      <c r="L1692"/>
      <c r="M1692"/>
      <c r="N1692"/>
      <c r="O1692"/>
      <c r="P1692"/>
      <c r="Q1692"/>
      <c r="R1692"/>
      <c r="S1692"/>
      <c r="T1692"/>
      <c r="U1692"/>
      <c r="V1692"/>
      <c r="W1692"/>
      <c r="X1692"/>
      <c r="Y1692"/>
      <c r="Z1692"/>
      <c r="AA1692"/>
    </row>
    <row r="1693" spans="1:27" s="1" customFormat="1" x14ac:dyDescent="0.3">
      <c r="A1693"/>
      <c r="B1693"/>
      <c r="C1693"/>
      <c r="D1693"/>
      <c r="E1693"/>
      <c r="F1693"/>
      <c r="G1693"/>
      <c r="H1693"/>
      <c r="I1693"/>
      <c r="J1693"/>
      <c r="K1693"/>
      <c r="L1693"/>
      <c r="M1693"/>
      <c r="N1693"/>
      <c r="O1693"/>
      <c r="P1693"/>
      <c r="Q1693"/>
      <c r="R1693"/>
      <c r="S1693"/>
      <c r="T1693"/>
      <c r="U1693"/>
      <c r="V1693"/>
      <c r="W1693"/>
      <c r="X1693"/>
      <c r="Y1693"/>
      <c r="Z1693"/>
      <c r="AA1693"/>
    </row>
    <row r="1694" spans="1:27" s="1" customFormat="1" x14ac:dyDescent="0.3">
      <c r="A1694"/>
      <c r="B1694"/>
      <c r="C1694"/>
      <c r="D1694"/>
      <c r="E1694"/>
      <c r="F1694"/>
      <c r="G1694"/>
      <c r="H1694"/>
      <c r="I1694"/>
      <c r="J1694"/>
      <c r="K1694"/>
      <c r="L1694"/>
      <c r="M1694"/>
      <c r="N1694"/>
      <c r="O1694"/>
      <c r="P1694"/>
      <c r="Q1694"/>
      <c r="R1694"/>
      <c r="S1694"/>
      <c r="T1694"/>
      <c r="U1694"/>
      <c r="V1694"/>
      <c r="W1694"/>
      <c r="X1694"/>
      <c r="Y1694"/>
      <c r="Z1694"/>
      <c r="AA1694"/>
    </row>
    <row r="1695" spans="1:27" s="1" customFormat="1" x14ac:dyDescent="0.3">
      <c r="A1695"/>
      <c r="B1695"/>
      <c r="C1695"/>
      <c r="D1695"/>
      <c r="E1695"/>
      <c r="F1695"/>
      <c r="G1695"/>
      <c r="H1695"/>
      <c r="I1695"/>
      <c r="J1695"/>
      <c r="K1695"/>
      <c r="L1695"/>
      <c r="M1695"/>
      <c r="N1695"/>
      <c r="O1695"/>
      <c r="P1695"/>
      <c r="Q1695"/>
      <c r="R1695"/>
      <c r="S1695"/>
      <c r="T1695"/>
      <c r="U1695"/>
      <c r="V1695"/>
      <c r="W1695"/>
      <c r="X1695"/>
      <c r="Y1695"/>
      <c r="Z1695"/>
      <c r="AA1695"/>
    </row>
    <row r="1696" spans="1:27" s="1" customFormat="1" x14ac:dyDescent="0.3">
      <c r="A1696"/>
      <c r="B1696"/>
      <c r="C1696"/>
      <c r="D1696"/>
      <c r="E1696"/>
      <c r="F1696"/>
      <c r="G1696"/>
      <c r="H1696"/>
      <c r="I1696"/>
      <c r="J1696"/>
      <c r="K1696"/>
      <c r="L1696"/>
      <c r="M1696"/>
      <c r="N1696"/>
      <c r="O1696"/>
      <c r="P1696"/>
      <c r="Q1696"/>
      <c r="R1696"/>
      <c r="S1696"/>
      <c r="T1696"/>
      <c r="U1696"/>
      <c r="V1696"/>
      <c r="W1696"/>
      <c r="X1696"/>
      <c r="Y1696"/>
      <c r="Z1696"/>
      <c r="AA1696"/>
    </row>
    <row r="1697" spans="1:27" s="1" customFormat="1" x14ac:dyDescent="0.3">
      <c r="A1697"/>
      <c r="B1697"/>
      <c r="C1697"/>
      <c r="D1697"/>
      <c r="E1697"/>
      <c r="F1697"/>
      <c r="G1697"/>
      <c r="H1697"/>
      <c r="I1697"/>
      <c r="J1697"/>
      <c r="K1697"/>
      <c r="L1697"/>
      <c r="M1697"/>
      <c r="N1697"/>
      <c r="O1697"/>
      <c r="P1697"/>
      <c r="Q1697"/>
      <c r="R1697"/>
      <c r="S1697"/>
      <c r="T1697"/>
      <c r="U1697"/>
      <c r="V1697"/>
      <c r="W1697"/>
      <c r="X1697"/>
      <c r="Y1697"/>
      <c r="Z1697"/>
      <c r="AA1697"/>
    </row>
    <row r="1698" spans="1:27" s="1" customFormat="1" x14ac:dyDescent="0.3">
      <c r="A1698"/>
      <c r="B1698"/>
      <c r="C1698"/>
      <c r="D1698"/>
      <c r="E1698"/>
      <c r="F1698"/>
      <c r="G1698"/>
      <c r="H1698"/>
      <c r="I1698"/>
      <c r="J1698"/>
      <c r="K1698"/>
      <c r="L1698"/>
      <c r="M1698"/>
      <c r="N1698"/>
      <c r="O1698"/>
      <c r="P1698"/>
      <c r="Q1698"/>
      <c r="R1698"/>
      <c r="S1698"/>
      <c r="T1698"/>
      <c r="U1698"/>
      <c r="V1698"/>
      <c r="W1698"/>
      <c r="X1698"/>
      <c r="Y1698"/>
      <c r="Z1698"/>
      <c r="AA1698"/>
    </row>
    <row r="1699" spans="1:27" s="1" customFormat="1" x14ac:dyDescent="0.3">
      <c r="A1699"/>
      <c r="B1699"/>
      <c r="C1699"/>
      <c r="D1699"/>
      <c r="E1699"/>
      <c r="F1699"/>
      <c r="G1699"/>
      <c r="H1699"/>
      <c r="I1699"/>
      <c r="J1699"/>
      <c r="K1699"/>
      <c r="L1699"/>
      <c r="M1699"/>
      <c r="N1699"/>
      <c r="O1699"/>
      <c r="P1699"/>
      <c r="Q1699"/>
      <c r="R1699"/>
      <c r="S1699"/>
      <c r="T1699"/>
      <c r="U1699"/>
      <c r="V1699"/>
      <c r="W1699"/>
      <c r="X1699"/>
      <c r="Y1699"/>
      <c r="Z1699"/>
      <c r="AA1699"/>
    </row>
    <row r="1700" spans="1:27" s="1" customFormat="1" x14ac:dyDescent="0.3">
      <c r="A1700"/>
      <c r="B1700"/>
      <c r="C1700"/>
      <c r="D1700"/>
      <c r="E1700"/>
      <c r="F1700"/>
      <c r="G1700"/>
      <c r="H1700"/>
      <c r="I1700"/>
      <c r="J1700"/>
      <c r="K1700"/>
      <c r="L1700"/>
      <c r="M1700"/>
      <c r="N1700"/>
      <c r="O1700"/>
      <c r="P1700"/>
      <c r="Q1700"/>
      <c r="R1700"/>
      <c r="S1700"/>
      <c r="T1700"/>
      <c r="U1700"/>
      <c r="V1700"/>
      <c r="W1700"/>
      <c r="X1700"/>
      <c r="Y1700"/>
      <c r="Z1700"/>
      <c r="AA1700"/>
    </row>
    <row r="1701" spans="1:27" s="1" customFormat="1" x14ac:dyDescent="0.3">
      <c r="A1701"/>
      <c r="B1701"/>
      <c r="C1701"/>
      <c r="D1701"/>
      <c r="E1701"/>
      <c r="F1701"/>
      <c r="G1701"/>
      <c r="H1701"/>
      <c r="I1701"/>
      <c r="J1701"/>
      <c r="K1701"/>
      <c r="L1701"/>
      <c r="M1701"/>
      <c r="N1701"/>
      <c r="O1701"/>
      <c r="P1701"/>
      <c r="Q1701"/>
      <c r="R1701"/>
      <c r="S1701"/>
      <c r="T1701"/>
      <c r="U1701"/>
      <c r="V1701"/>
      <c r="W1701"/>
      <c r="X1701"/>
      <c r="Y1701"/>
      <c r="Z1701"/>
      <c r="AA1701"/>
    </row>
    <row r="1702" spans="1:27" s="1" customFormat="1" x14ac:dyDescent="0.3">
      <c r="A1702"/>
      <c r="B1702"/>
      <c r="C1702"/>
      <c r="D1702"/>
      <c r="E1702"/>
      <c r="F1702"/>
      <c r="G1702"/>
      <c r="H1702"/>
      <c r="I1702"/>
      <c r="J1702"/>
      <c r="K1702"/>
      <c r="L1702"/>
      <c r="M1702"/>
      <c r="N1702"/>
      <c r="O1702"/>
      <c r="P1702"/>
      <c r="Q1702"/>
      <c r="R1702"/>
      <c r="S1702"/>
      <c r="T1702"/>
      <c r="U1702"/>
      <c r="V1702"/>
      <c r="W1702"/>
      <c r="X1702"/>
      <c r="Y1702"/>
      <c r="Z1702"/>
      <c r="AA1702"/>
    </row>
    <row r="1703" spans="1:27" s="1" customFormat="1" x14ac:dyDescent="0.3">
      <c r="A1703"/>
      <c r="B1703"/>
      <c r="C1703"/>
      <c r="D1703"/>
      <c r="E1703"/>
      <c r="F1703"/>
      <c r="G1703"/>
      <c r="H1703"/>
      <c r="I1703"/>
      <c r="J1703"/>
      <c r="K1703"/>
      <c r="L1703"/>
      <c r="M1703"/>
      <c r="N1703"/>
      <c r="O1703"/>
      <c r="P1703"/>
      <c r="Q1703"/>
      <c r="R1703"/>
      <c r="S1703"/>
      <c r="T1703"/>
      <c r="U1703"/>
      <c r="V1703"/>
      <c r="W1703"/>
      <c r="X1703"/>
      <c r="Y1703"/>
      <c r="Z1703"/>
      <c r="AA1703"/>
    </row>
    <row r="1704" spans="1:27" s="1" customFormat="1" x14ac:dyDescent="0.3">
      <c r="A1704"/>
      <c r="B1704"/>
      <c r="C1704"/>
      <c r="D1704"/>
      <c r="E1704"/>
      <c r="F1704"/>
      <c r="G1704"/>
      <c r="H1704"/>
      <c r="I1704"/>
      <c r="J1704"/>
      <c r="K1704"/>
      <c r="L1704"/>
      <c r="M1704"/>
      <c r="N1704"/>
      <c r="O1704"/>
      <c r="P1704"/>
      <c r="Q1704"/>
      <c r="R1704"/>
      <c r="S1704"/>
      <c r="T1704"/>
      <c r="U1704"/>
      <c r="V1704"/>
      <c r="W1704"/>
      <c r="X1704"/>
      <c r="Y1704"/>
      <c r="Z1704"/>
      <c r="AA1704"/>
    </row>
    <row r="1705" spans="1:27" s="1" customFormat="1" x14ac:dyDescent="0.3">
      <c r="A1705"/>
      <c r="B1705"/>
      <c r="C1705"/>
      <c r="D1705"/>
      <c r="E1705"/>
      <c r="F1705"/>
      <c r="G1705"/>
      <c r="H1705"/>
      <c r="I1705"/>
      <c r="J1705"/>
      <c r="K1705"/>
      <c r="L1705"/>
      <c r="M1705"/>
      <c r="N1705"/>
      <c r="O1705"/>
      <c r="P1705"/>
      <c r="Q1705"/>
      <c r="R1705"/>
      <c r="S1705"/>
      <c r="T1705"/>
      <c r="U1705"/>
      <c r="V1705"/>
      <c r="W1705"/>
      <c r="X1705"/>
      <c r="Y1705"/>
      <c r="Z1705"/>
      <c r="AA1705"/>
    </row>
    <row r="1706" spans="1:27" s="1" customFormat="1" x14ac:dyDescent="0.3">
      <c r="A1706"/>
      <c r="B1706"/>
      <c r="C1706"/>
      <c r="D1706"/>
      <c r="E1706"/>
      <c r="F1706"/>
      <c r="G1706"/>
      <c r="H1706"/>
      <c r="I1706"/>
      <c r="J1706"/>
      <c r="K1706"/>
      <c r="L1706"/>
      <c r="M1706"/>
      <c r="N1706"/>
      <c r="O1706"/>
      <c r="P1706"/>
      <c r="Q1706"/>
      <c r="R1706"/>
      <c r="S1706"/>
      <c r="T1706"/>
      <c r="U1706"/>
      <c r="V1706"/>
      <c r="W1706"/>
      <c r="X1706"/>
      <c r="Y1706"/>
      <c r="Z1706"/>
      <c r="AA1706"/>
    </row>
    <row r="1707" spans="1:27" s="1" customFormat="1" x14ac:dyDescent="0.3">
      <c r="A1707"/>
      <c r="B1707"/>
      <c r="C1707"/>
      <c r="D1707"/>
      <c r="E1707"/>
      <c r="F1707"/>
      <c r="G1707"/>
      <c r="H1707"/>
      <c r="I1707"/>
      <c r="J1707"/>
      <c r="K1707"/>
      <c r="L1707"/>
      <c r="M1707"/>
      <c r="N1707"/>
      <c r="O1707"/>
      <c r="P1707"/>
      <c r="Q1707"/>
      <c r="R1707"/>
      <c r="S1707"/>
      <c r="T1707"/>
      <c r="U1707"/>
      <c r="V1707"/>
      <c r="W1707"/>
      <c r="X1707"/>
      <c r="Y1707"/>
      <c r="Z1707"/>
      <c r="AA1707"/>
    </row>
    <row r="1708" spans="1:27" s="1" customFormat="1" x14ac:dyDescent="0.3">
      <c r="A1708"/>
      <c r="B1708"/>
      <c r="C1708"/>
      <c r="D1708"/>
      <c r="E1708"/>
      <c r="F1708"/>
      <c r="G1708"/>
      <c r="H1708"/>
      <c r="I1708"/>
      <c r="J1708"/>
      <c r="K1708"/>
      <c r="L1708"/>
      <c r="M1708"/>
      <c r="N1708"/>
      <c r="O1708"/>
      <c r="P1708"/>
      <c r="Q1708"/>
      <c r="R1708"/>
      <c r="S1708"/>
      <c r="T1708"/>
      <c r="U1708"/>
      <c r="V1708"/>
      <c r="W1708"/>
      <c r="X1708"/>
      <c r="Y1708"/>
      <c r="Z1708"/>
      <c r="AA1708"/>
    </row>
    <row r="1709" spans="1:27" s="1" customFormat="1" x14ac:dyDescent="0.3">
      <c r="A1709"/>
      <c r="B1709"/>
      <c r="C1709"/>
      <c r="D1709"/>
      <c r="E1709"/>
      <c r="F1709"/>
      <c r="G1709"/>
      <c r="H1709"/>
      <c r="I1709"/>
      <c r="J1709"/>
      <c r="K1709"/>
      <c r="L1709"/>
      <c r="M1709"/>
      <c r="N1709"/>
      <c r="O1709"/>
      <c r="P1709"/>
      <c r="Q1709"/>
      <c r="R1709"/>
      <c r="S1709"/>
      <c r="T1709"/>
      <c r="U1709"/>
      <c r="V1709"/>
      <c r="W1709"/>
      <c r="X1709"/>
      <c r="Y1709"/>
      <c r="Z1709"/>
      <c r="AA1709"/>
    </row>
    <row r="1710" spans="1:27" s="1" customFormat="1" x14ac:dyDescent="0.3">
      <c r="A1710"/>
      <c r="B1710"/>
      <c r="C1710"/>
      <c r="D1710"/>
      <c r="E1710"/>
      <c r="F1710"/>
      <c r="G1710"/>
      <c r="H1710"/>
      <c r="I1710"/>
      <c r="J1710"/>
      <c r="K1710"/>
      <c r="L1710"/>
      <c r="M1710"/>
      <c r="N1710"/>
      <c r="O1710"/>
      <c r="P1710"/>
      <c r="Q1710"/>
      <c r="R1710"/>
      <c r="S1710"/>
      <c r="T1710"/>
      <c r="U1710"/>
      <c r="V1710"/>
      <c r="W1710"/>
      <c r="X1710"/>
      <c r="Y1710"/>
      <c r="Z1710"/>
      <c r="AA1710"/>
    </row>
    <row r="1711" spans="1:27" s="1" customFormat="1" x14ac:dyDescent="0.3">
      <c r="A1711"/>
      <c r="B1711"/>
      <c r="C1711"/>
      <c r="D1711"/>
      <c r="E1711"/>
      <c r="F1711"/>
      <c r="G1711"/>
      <c r="H1711"/>
      <c r="I1711"/>
      <c r="J1711"/>
      <c r="K1711"/>
      <c r="L1711"/>
      <c r="M1711"/>
      <c r="N1711"/>
      <c r="O1711"/>
      <c r="P1711"/>
      <c r="Q1711"/>
      <c r="R1711"/>
      <c r="S1711"/>
      <c r="T1711"/>
      <c r="U1711"/>
      <c r="V1711"/>
      <c r="W1711"/>
      <c r="X1711"/>
      <c r="Y1711"/>
      <c r="Z1711"/>
      <c r="AA1711"/>
    </row>
    <row r="1712" spans="1:27" s="1" customFormat="1" x14ac:dyDescent="0.3">
      <c r="A1712"/>
      <c r="B1712"/>
      <c r="C1712"/>
      <c r="D1712"/>
      <c r="E1712"/>
      <c r="F1712"/>
      <c r="G1712"/>
      <c r="H1712"/>
      <c r="I1712"/>
      <c r="J1712"/>
      <c r="K1712"/>
      <c r="L1712"/>
      <c r="M1712"/>
      <c r="N1712"/>
      <c r="O1712"/>
      <c r="P1712"/>
      <c r="Q1712"/>
      <c r="R1712"/>
      <c r="S1712"/>
      <c r="T1712"/>
      <c r="U1712"/>
      <c r="V1712"/>
      <c r="W1712"/>
      <c r="X1712"/>
      <c r="Y1712"/>
      <c r="Z1712"/>
      <c r="AA1712"/>
    </row>
    <row r="1713" spans="1:27" s="1" customFormat="1" x14ac:dyDescent="0.3">
      <c r="A1713"/>
      <c r="B1713"/>
      <c r="C1713"/>
      <c r="D1713"/>
      <c r="E1713"/>
      <c r="F1713"/>
      <c r="G1713"/>
      <c r="H1713"/>
      <c r="I1713"/>
      <c r="J1713"/>
      <c r="K1713"/>
      <c r="L1713"/>
      <c r="M1713"/>
      <c r="N1713"/>
      <c r="O1713"/>
      <c r="P1713"/>
      <c r="Q1713"/>
      <c r="R1713"/>
      <c r="S1713"/>
      <c r="T1713"/>
      <c r="U1713"/>
      <c r="V1713"/>
      <c r="W1713"/>
      <c r="X1713"/>
      <c r="Y1713"/>
      <c r="Z1713"/>
      <c r="AA1713"/>
    </row>
    <row r="1714" spans="1:27" s="1" customFormat="1" x14ac:dyDescent="0.3">
      <c r="A1714"/>
      <c r="B1714"/>
      <c r="C1714"/>
      <c r="D1714"/>
      <c r="E1714"/>
      <c r="F1714"/>
      <c r="G1714"/>
      <c r="H1714"/>
      <c r="I1714"/>
      <c r="J1714"/>
      <c r="K1714"/>
      <c r="L1714"/>
      <c r="M1714"/>
      <c r="N1714"/>
      <c r="O1714"/>
      <c r="P1714"/>
      <c r="Q1714"/>
      <c r="R1714"/>
      <c r="S1714"/>
      <c r="T1714"/>
      <c r="U1714"/>
      <c r="V1714"/>
      <c r="W1714"/>
      <c r="X1714"/>
      <c r="Y1714"/>
      <c r="Z1714"/>
      <c r="AA1714"/>
    </row>
    <row r="1715" spans="1:27" s="1" customFormat="1" x14ac:dyDescent="0.3">
      <c r="A1715"/>
      <c r="B1715"/>
      <c r="C1715"/>
      <c r="D1715"/>
      <c r="E1715"/>
      <c r="F1715"/>
      <c r="G1715"/>
      <c r="H1715"/>
      <c r="I1715"/>
      <c r="J1715"/>
      <c r="K1715"/>
      <c r="L1715"/>
      <c r="M1715"/>
      <c r="N1715"/>
      <c r="O1715"/>
      <c r="P1715"/>
      <c r="Q1715"/>
      <c r="R1715"/>
      <c r="S1715"/>
      <c r="T1715"/>
      <c r="U1715"/>
      <c r="V1715"/>
      <c r="W1715"/>
      <c r="X1715"/>
      <c r="Y1715"/>
      <c r="Z1715"/>
      <c r="AA1715"/>
    </row>
    <row r="1716" spans="1:27" s="1" customFormat="1" x14ac:dyDescent="0.3">
      <c r="A1716"/>
      <c r="B1716"/>
      <c r="C1716"/>
      <c r="D1716"/>
      <c r="E1716"/>
      <c r="F1716"/>
      <c r="G1716"/>
      <c r="H1716"/>
      <c r="I1716"/>
      <c r="J1716"/>
      <c r="K1716"/>
      <c r="L1716"/>
      <c r="M1716"/>
      <c r="N1716"/>
      <c r="O1716"/>
      <c r="P1716"/>
      <c r="Q1716"/>
      <c r="R1716"/>
      <c r="S1716"/>
      <c r="T1716"/>
      <c r="U1716"/>
      <c r="V1716"/>
      <c r="W1716"/>
      <c r="X1716"/>
      <c r="Y1716"/>
      <c r="Z1716"/>
      <c r="AA1716"/>
    </row>
    <row r="1717" spans="1:27" s="1" customFormat="1" x14ac:dyDescent="0.3">
      <c r="A1717"/>
      <c r="B1717"/>
      <c r="C1717"/>
      <c r="D1717"/>
      <c r="E1717"/>
      <c r="F1717"/>
      <c r="G1717"/>
      <c r="H1717"/>
      <c r="I1717"/>
      <c r="J1717"/>
      <c r="K1717"/>
      <c r="L1717"/>
      <c r="M1717"/>
      <c r="N1717"/>
      <c r="O1717"/>
      <c r="P1717"/>
      <c r="Q1717"/>
      <c r="R1717"/>
      <c r="S1717"/>
      <c r="T1717"/>
      <c r="U1717"/>
      <c r="V1717"/>
      <c r="W1717"/>
      <c r="X1717"/>
      <c r="Y1717"/>
      <c r="Z1717"/>
      <c r="AA1717"/>
    </row>
    <row r="1718" spans="1:27" s="1" customFormat="1" x14ac:dyDescent="0.3">
      <c r="A1718"/>
      <c r="B1718"/>
      <c r="C1718"/>
      <c r="D1718"/>
      <c r="E1718"/>
      <c r="F1718"/>
      <c r="G1718"/>
      <c r="H1718"/>
      <c r="I1718"/>
      <c r="J1718"/>
      <c r="K1718"/>
      <c r="L1718"/>
      <c r="M1718"/>
      <c r="N1718"/>
      <c r="O1718"/>
      <c r="P1718"/>
      <c r="Q1718"/>
      <c r="R1718"/>
      <c r="S1718"/>
      <c r="T1718"/>
      <c r="U1718"/>
      <c r="V1718"/>
      <c r="W1718"/>
      <c r="X1718"/>
      <c r="Y1718"/>
      <c r="Z1718"/>
      <c r="AA1718"/>
    </row>
    <row r="1719" spans="1:27" s="1" customFormat="1" x14ac:dyDescent="0.3">
      <c r="A1719"/>
      <c r="B1719"/>
      <c r="C1719"/>
      <c r="D1719"/>
      <c r="E1719"/>
      <c r="F1719"/>
      <c r="G1719"/>
      <c r="H1719"/>
      <c r="I1719"/>
      <c r="J1719"/>
      <c r="K1719"/>
      <c r="L1719"/>
      <c r="M1719"/>
      <c r="N1719"/>
      <c r="O1719"/>
      <c r="P1719"/>
      <c r="Q1719"/>
      <c r="R1719"/>
      <c r="S1719"/>
      <c r="T1719"/>
      <c r="U1719"/>
      <c r="V1719"/>
      <c r="W1719"/>
      <c r="X1719"/>
      <c r="Y1719"/>
      <c r="Z1719"/>
      <c r="AA1719"/>
    </row>
    <row r="1720" spans="1:27" s="1" customFormat="1" x14ac:dyDescent="0.3">
      <c r="A1720"/>
      <c r="B1720"/>
      <c r="C1720"/>
      <c r="D1720"/>
      <c r="E1720"/>
      <c r="F1720"/>
      <c r="G1720"/>
      <c r="H1720"/>
      <c r="I1720"/>
      <c r="J1720"/>
      <c r="K1720"/>
      <c r="L1720"/>
      <c r="M1720"/>
      <c r="N1720"/>
      <c r="O1720"/>
      <c r="P1720"/>
      <c r="Q1720"/>
      <c r="R1720"/>
      <c r="S1720"/>
      <c r="T1720"/>
      <c r="U1720"/>
      <c r="V1720"/>
      <c r="W1720"/>
      <c r="X1720"/>
      <c r="Y1720"/>
      <c r="Z1720"/>
      <c r="AA1720"/>
    </row>
    <row r="1721" spans="1:27" s="1" customFormat="1" x14ac:dyDescent="0.3">
      <c r="A1721"/>
      <c r="B1721"/>
      <c r="C1721"/>
      <c r="D1721"/>
      <c r="E1721"/>
      <c r="F1721"/>
      <c r="G1721"/>
      <c r="H1721"/>
      <c r="I1721"/>
      <c r="J1721"/>
      <c r="K1721"/>
      <c r="L1721"/>
      <c r="M1721"/>
      <c r="N1721"/>
      <c r="O1721"/>
      <c r="P1721"/>
      <c r="Q1721"/>
      <c r="R1721"/>
      <c r="S1721"/>
      <c r="T1721"/>
      <c r="U1721"/>
      <c r="V1721"/>
      <c r="W1721"/>
      <c r="X1721"/>
      <c r="Y1721"/>
      <c r="Z1721"/>
      <c r="AA1721"/>
    </row>
    <row r="1722" spans="1:27" s="1" customFormat="1" x14ac:dyDescent="0.3">
      <c r="A1722"/>
      <c r="B1722"/>
      <c r="C1722"/>
      <c r="D1722"/>
      <c r="E1722"/>
      <c r="F1722"/>
      <c r="G1722"/>
      <c r="H1722"/>
      <c r="I1722"/>
      <c r="J1722"/>
      <c r="K1722"/>
      <c r="L1722"/>
      <c r="M1722"/>
      <c r="N1722"/>
      <c r="O1722"/>
      <c r="P1722"/>
      <c r="Q1722"/>
      <c r="R1722"/>
      <c r="S1722"/>
      <c r="T1722"/>
      <c r="U1722"/>
      <c r="V1722"/>
      <c r="W1722"/>
      <c r="X1722"/>
      <c r="Y1722"/>
      <c r="Z1722"/>
      <c r="AA1722"/>
    </row>
    <row r="1723" spans="1:27" s="1" customFormat="1" x14ac:dyDescent="0.3">
      <c r="A1723"/>
      <c r="B1723"/>
      <c r="C1723"/>
      <c r="D1723"/>
      <c r="E1723"/>
      <c r="F1723"/>
      <c r="G1723"/>
      <c r="H1723"/>
      <c r="I1723"/>
      <c r="J1723"/>
      <c r="K1723"/>
      <c r="L1723"/>
      <c r="M1723"/>
      <c r="N1723"/>
      <c r="O1723"/>
      <c r="P1723"/>
      <c r="Q1723"/>
      <c r="R1723"/>
      <c r="S1723"/>
      <c r="T1723"/>
      <c r="U1723"/>
      <c r="V1723"/>
      <c r="W1723"/>
      <c r="X1723"/>
      <c r="Y1723"/>
      <c r="Z1723"/>
      <c r="AA1723"/>
    </row>
    <row r="1724" spans="1:27" s="1" customFormat="1" x14ac:dyDescent="0.3">
      <c r="A1724"/>
      <c r="B1724"/>
      <c r="C1724"/>
      <c r="D1724"/>
      <c r="E1724"/>
      <c r="F1724"/>
      <c r="G1724"/>
      <c r="H1724"/>
      <c r="I1724"/>
      <c r="J1724"/>
      <c r="K1724"/>
      <c r="L1724"/>
      <c r="M1724"/>
      <c r="N1724"/>
      <c r="O1724"/>
      <c r="P1724"/>
      <c r="Q1724"/>
      <c r="R1724"/>
      <c r="S1724"/>
      <c r="T1724"/>
      <c r="U1724"/>
      <c r="V1724"/>
      <c r="W1724"/>
      <c r="X1724"/>
      <c r="Y1724"/>
      <c r="Z1724"/>
      <c r="AA1724"/>
    </row>
    <row r="1725" spans="1:27" s="1" customFormat="1" x14ac:dyDescent="0.3">
      <c r="A1725"/>
      <c r="B1725"/>
      <c r="C1725"/>
      <c r="D1725"/>
      <c r="E1725"/>
      <c r="F1725"/>
      <c r="G1725"/>
      <c r="H1725"/>
      <c r="I1725"/>
      <c r="J1725"/>
      <c r="K1725"/>
      <c r="L1725"/>
      <c r="M1725"/>
      <c r="N1725"/>
      <c r="O1725"/>
      <c r="P1725"/>
      <c r="Q1725"/>
      <c r="R1725"/>
      <c r="S1725"/>
      <c r="T1725"/>
      <c r="U1725"/>
      <c r="V1725"/>
      <c r="W1725"/>
      <c r="X1725"/>
      <c r="Y1725"/>
      <c r="Z1725"/>
      <c r="AA1725"/>
    </row>
    <row r="1726" spans="1:27" s="1" customFormat="1" x14ac:dyDescent="0.3">
      <c r="A1726"/>
      <c r="B1726"/>
      <c r="C1726"/>
      <c r="D1726"/>
      <c r="E1726"/>
      <c r="F1726"/>
      <c r="G1726"/>
      <c r="H1726"/>
      <c r="I1726"/>
      <c r="J1726"/>
      <c r="K1726"/>
      <c r="L1726"/>
      <c r="M1726"/>
      <c r="N1726"/>
      <c r="O1726"/>
      <c r="P1726"/>
      <c r="Q1726"/>
      <c r="R1726"/>
      <c r="S1726"/>
      <c r="T1726"/>
      <c r="U1726"/>
      <c r="V1726"/>
      <c r="W1726"/>
      <c r="X1726"/>
      <c r="Y1726"/>
      <c r="Z1726"/>
      <c r="AA1726"/>
    </row>
    <row r="1727" spans="1:27" s="1" customFormat="1" x14ac:dyDescent="0.3">
      <c r="A1727"/>
      <c r="B1727"/>
      <c r="C1727"/>
      <c r="D1727"/>
      <c r="E1727"/>
      <c r="F1727"/>
      <c r="G1727"/>
      <c r="H1727"/>
      <c r="I1727"/>
      <c r="J1727"/>
      <c r="K1727"/>
      <c r="L1727"/>
      <c r="M1727"/>
      <c r="N1727"/>
      <c r="O1727"/>
      <c r="P1727"/>
      <c r="Q1727"/>
      <c r="R1727"/>
      <c r="S1727"/>
      <c r="T1727"/>
      <c r="U1727"/>
      <c r="V1727"/>
      <c r="W1727"/>
      <c r="X1727"/>
      <c r="Y1727"/>
      <c r="Z1727"/>
      <c r="AA1727"/>
    </row>
    <row r="1728" spans="1:27" s="1" customFormat="1" x14ac:dyDescent="0.3">
      <c r="A1728"/>
      <c r="B1728"/>
      <c r="C1728"/>
      <c r="D1728"/>
      <c r="E1728"/>
      <c r="F1728"/>
      <c r="G1728"/>
      <c r="H1728"/>
      <c r="I1728"/>
      <c r="J1728"/>
      <c r="K1728"/>
      <c r="L1728"/>
      <c r="M1728"/>
      <c r="N1728"/>
      <c r="O1728"/>
      <c r="P1728"/>
      <c r="Q1728"/>
      <c r="R1728"/>
      <c r="S1728"/>
      <c r="T1728"/>
      <c r="U1728"/>
      <c r="V1728"/>
      <c r="W1728"/>
      <c r="X1728"/>
      <c r="Y1728"/>
      <c r="Z1728"/>
      <c r="AA1728"/>
    </row>
    <row r="1729" spans="1:27" s="1" customFormat="1" x14ac:dyDescent="0.3">
      <c r="A1729"/>
      <c r="B1729"/>
      <c r="C1729"/>
      <c r="D1729"/>
      <c r="E1729"/>
      <c r="F1729"/>
      <c r="G1729"/>
      <c r="H1729"/>
      <c r="I1729"/>
      <c r="J1729"/>
      <c r="K1729"/>
      <c r="L1729"/>
      <c r="M1729"/>
      <c r="N1729"/>
      <c r="O1729"/>
      <c r="P1729"/>
      <c r="Q1729"/>
      <c r="R1729"/>
      <c r="S1729"/>
      <c r="T1729"/>
      <c r="U1729"/>
      <c r="V1729"/>
      <c r="W1729"/>
      <c r="X1729"/>
      <c r="Y1729"/>
      <c r="Z1729"/>
      <c r="AA1729"/>
    </row>
    <row r="1730" spans="1:27" s="1" customFormat="1" x14ac:dyDescent="0.3">
      <c r="A1730"/>
      <c r="B1730"/>
      <c r="C1730"/>
      <c r="D1730"/>
      <c r="E1730"/>
      <c r="F1730"/>
      <c r="G1730"/>
      <c r="H1730"/>
      <c r="I1730"/>
      <c r="J1730"/>
      <c r="K1730"/>
      <c r="L1730"/>
      <c r="M1730"/>
      <c r="N1730"/>
      <c r="O1730"/>
      <c r="P1730"/>
      <c r="Q1730"/>
      <c r="R1730"/>
      <c r="S1730"/>
      <c r="T1730"/>
      <c r="U1730"/>
      <c r="V1730"/>
      <c r="W1730"/>
      <c r="X1730"/>
      <c r="Y1730"/>
      <c r="Z1730"/>
      <c r="AA1730"/>
    </row>
    <row r="1731" spans="1:27" s="1" customFormat="1" x14ac:dyDescent="0.3">
      <c r="A1731"/>
      <c r="B1731"/>
      <c r="C1731"/>
      <c r="D1731"/>
      <c r="E1731"/>
      <c r="F1731"/>
      <c r="G1731"/>
      <c r="H1731"/>
      <c r="I1731"/>
      <c r="J1731"/>
      <c r="K1731"/>
      <c r="L1731"/>
      <c r="M1731"/>
      <c r="N1731"/>
      <c r="O1731"/>
      <c r="P1731"/>
      <c r="Q1731"/>
      <c r="R1731"/>
      <c r="S1731"/>
      <c r="T1731"/>
      <c r="U1731"/>
      <c r="V1731"/>
      <c r="W1731"/>
      <c r="X1731"/>
      <c r="Y1731"/>
      <c r="Z1731"/>
      <c r="AA1731"/>
    </row>
    <row r="1732" spans="1:27" s="1" customFormat="1" x14ac:dyDescent="0.3">
      <c r="A1732"/>
      <c r="B1732"/>
      <c r="C1732"/>
      <c r="D1732"/>
      <c r="E1732"/>
      <c r="F1732"/>
      <c r="G1732"/>
      <c r="H1732"/>
      <c r="I1732"/>
      <c r="J1732"/>
      <c r="K1732"/>
      <c r="L1732"/>
      <c r="M1732"/>
      <c r="N1732"/>
      <c r="O1732"/>
      <c r="P1732"/>
      <c r="Q1732"/>
      <c r="R1732"/>
      <c r="S1732"/>
      <c r="T1732"/>
      <c r="U1732"/>
      <c r="V1732"/>
      <c r="W1732"/>
      <c r="X1732"/>
      <c r="Y1732"/>
      <c r="Z1732"/>
      <c r="AA1732"/>
    </row>
    <row r="1733" spans="1:27" s="1" customFormat="1" x14ac:dyDescent="0.3">
      <c r="A1733"/>
      <c r="B1733"/>
      <c r="C1733"/>
      <c r="D1733"/>
      <c r="E1733"/>
      <c r="F1733"/>
      <c r="G1733"/>
      <c r="H1733"/>
      <c r="I1733"/>
      <c r="J1733"/>
      <c r="K1733"/>
      <c r="L1733"/>
      <c r="M1733"/>
      <c r="N1733"/>
      <c r="O1733"/>
      <c r="P1733"/>
      <c r="Q1733"/>
      <c r="R1733"/>
      <c r="S1733"/>
      <c r="T1733"/>
      <c r="U1733"/>
      <c r="V1733"/>
      <c r="W1733"/>
      <c r="X1733"/>
      <c r="Y1733"/>
      <c r="Z1733"/>
      <c r="AA1733"/>
    </row>
    <row r="1734" spans="1:27" s="1" customFormat="1" x14ac:dyDescent="0.3">
      <c r="A1734"/>
      <c r="B1734"/>
      <c r="C1734"/>
      <c r="D1734"/>
      <c r="E1734"/>
      <c r="F1734"/>
      <c r="G1734"/>
      <c r="H1734"/>
      <c r="I1734"/>
      <c r="J1734"/>
      <c r="K1734"/>
      <c r="L1734"/>
      <c r="M1734"/>
      <c r="N1734"/>
      <c r="O1734"/>
      <c r="P1734"/>
      <c r="Q1734"/>
      <c r="R1734"/>
      <c r="S1734"/>
      <c r="T1734"/>
      <c r="U1734"/>
      <c r="V1734"/>
      <c r="W1734"/>
      <c r="X1734"/>
      <c r="Y1734"/>
      <c r="Z1734"/>
      <c r="AA1734"/>
    </row>
    <row r="1735" spans="1:27" s="1" customFormat="1" x14ac:dyDescent="0.3">
      <c r="A1735"/>
      <c r="B1735"/>
      <c r="C1735"/>
      <c r="D1735"/>
      <c r="E1735"/>
      <c r="F1735"/>
      <c r="G1735"/>
      <c r="H1735"/>
      <c r="I1735"/>
      <c r="J1735"/>
      <c r="K1735"/>
      <c r="L1735"/>
      <c r="M1735"/>
      <c r="N1735"/>
      <c r="O1735"/>
      <c r="P1735"/>
      <c r="Q1735"/>
      <c r="R1735"/>
      <c r="S1735"/>
      <c r="T1735"/>
      <c r="U1735"/>
      <c r="V1735"/>
      <c r="W1735"/>
      <c r="X1735"/>
      <c r="Y1735"/>
      <c r="Z1735"/>
      <c r="AA1735"/>
    </row>
    <row r="1736" spans="1:27" s="1" customFormat="1" x14ac:dyDescent="0.3">
      <c r="A1736"/>
      <c r="B1736"/>
      <c r="C1736"/>
      <c r="D1736"/>
      <c r="E1736"/>
      <c r="F1736"/>
      <c r="G1736"/>
      <c r="H1736"/>
      <c r="I1736"/>
      <c r="J1736"/>
      <c r="K1736"/>
      <c r="L1736"/>
      <c r="M1736"/>
      <c r="N1736"/>
      <c r="O1736"/>
      <c r="P1736"/>
      <c r="Q1736"/>
      <c r="R1736"/>
      <c r="S1736"/>
      <c r="T1736"/>
      <c r="U1736"/>
      <c r="V1736"/>
      <c r="W1736"/>
      <c r="X1736"/>
      <c r="Y1736"/>
      <c r="Z1736"/>
      <c r="AA1736"/>
    </row>
    <row r="1737" spans="1:27" s="1" customFormat="1" x14ac:dyDescent="0.3">
      <c r="A1737"/>
      <c r="B1737"/>
      <c r="C1737"/>
      <c r="D1737"/>
      <c r="E1737"/>
      <c r="F1737"/>
      <c r="G1737"/>
      <c r="H1737"/>
      <c r="I1737"/>
      <c r="J1737"/>
      <c r="K1737"/>
      <c r="L1737"/>
      <c r="M1737"/>
      <c r="N1737"/>
      <c r="O1737"/>
      <c r="P1737"/>
      <c r="Q1737"/>
      <c r="R1737"/>
      <c r="S1737"/>
      <c r="T1737"/>
      <c r="U1737"/>
      <c r="V1737"/>
      <c r="W1737"/>
      <c r="X1737"/>
      <c r="Y1737"/>
      <c r="Z1737"/>
      <c r="AA1737"/>
    </row>
    <row r="1738" spans="1:27" s="1" customFormat="1" x14ac:dyDescent="0.3">
      <c r="A1738"/>
      <c r="B1738"/>
      <c r="C1738"/>
      <c r="D1738"/>
      <c r="E1738"/>
      <c r="F1738"/>
      <c r="G1738"/>
      <c r="H1738"/>
      <c r="I1738"/>
      <c r="J1738"/>
      <c r="K1738"/>
      <c r="L1738"/>
      <c r="M1738"/>
      <c r="N1738"/>
      <c r="O1738"/>
      <c r="P1738"/>
      <c r="Q1738"/>
      <c r="R1738"/>
      <c r="S1738"/>
      <c r="T1738"/>
      <c r="U1738"/>
      <c r="V1738"/>
      <c r="W1738"/>
      <c r="X1738"/>
      <c r="Y1738"/>
      <c r="Z1738"/>
      <c r="AA1738"/>
    </row>
    <row r="1739" spans="1:27" s="1" customFormat="1" x14ac:dyDescent="0.3">
      <c r="A1739"/>
      <c r="B1739"/>
      <c r="C1739"/>
      <c r="D1739"/>
      <c r="E1739"/>
      <c r="F1739"/>
      <c r="G1739"/>
      <c r="H1739"/>
      <c r="I1739"/>
      <c r="J1739"/>
      <c r="K1739"/>
      <c r="L1739"/>
      <c r="M1739"/>
      <c r="N1739"/>
      <c r="O1739"/>
      <c r="P1739"/>
      <c r="Q1739"/>
      <c r="R1739"/>
      <c r="S1739"/>
      <c r="T1739"/>
      <c r="U1739"/>
      <c r="V1739"/>
      <c r="W1739"/>
      <c r="X1739"/>
      <c r="Y1739"/>
      <c r="Z1739"/>
      <c r="AA1739"/>
    </row>
    <row r="1740" spans="1:27" s="1" customFormat="1" x14ac:dyDescent="0.3">
      <c r="A1740"/>
      <c r="B1740"/>
      <c r="C1740"/>
      <c r="D1740"/>
      <c r="E1740"/>
      <c r="F1740"/>
      <c r="G1740"/>
      <c r="H1740"/>
      <c r="I1740"/>
      <c r="J1740"/>
      <c r="K1740"/>
      <c r="L1740"/>
      <c r="M1740"/>
      <c r="N1740"/>
      <c r="O1740"/>
      <c r="P1740"/>
      <c r="Q1740"/>
      <c r="R1740"/>
      <c r="S1740"/>
      <c r="T1740"/>
      <c r="U1740"/>
      <c r="V1740"/>
      <c r="W1740"/>
      <c r="X1740"/>
      <c r="Y1740"/>
      <c r="Z1740"/>
      <c r="AA1740"/>
    </row>
    <row r="1741" spans="1:27" s="1" customFormat="1" x14ac:dyDescent="0.3">
      <c r="A1741"/>
      <c r="B1741"/>
      <c r="C1741"/>
      <c r="D1741"/>
      <c r="E1741"/>
      <c r="F1741"/>
      <c r="G1741"/>
      <c r="H1741"/>
      <c r="I1741"/>
      <c r="J1741"/>
      <c r="K1741"/>
      <c r="L1741"/>
      <c r="M1741"/>
      <c r="N1741"/>
      <c r="O1741"/>
      <c r="P1741"/>
      <c r="Q1741"/>
      <c r="R1741"/>
      <c r="S1741"/>
      <c r="T1741"/>
      <c r="U1741"/>
      <c r="V1741"/>
      <c r="W1741"/>
      <c r="X1741"/>
      <c r="Y1741"/>
      <c r="Z1741"/>
      <c r="AA1741"/>
    </row>
    <row r="1742" spans="1:27" s="1" customFormat="1" x14ac:dyDescent="0.3">
      <c r="A1742"/>
      <c r="B1742"/>
      <c r="C1742"/>
      <c r="D1742"/>
      <c r="E1742"/>
      <c r="F1742"/>
      <c r="G1742"/>
      <c r="H1742"/>
      <c r="I1742"/>
      <c r="J1742"/>
      <c r="K1742"/>
      <c r="L1742"/>
      <c r="M1742"/>
      <c r="N1742"/>
      <c r="O1742"/>
      <c r="P1742"/>
      <c r="Q1742"/>
      <c r="R1742"/>
      <c r="S1742"/>
      <c r="T1742"/>
      <c r="U1742"/>
      <c r="V1742"/>
      <c r="W1742"/>
      <c r="X1742"/>
      <c r="Y1742"/>
      <c r="Z1742"/>
      <c r="AA1742"/>
    </row>
    <row r="1743" spans="1:27" s="1" customFormat="1" x14ac:dyDescent="0.3">
      <c r="A1743"/>
      <c r="B1743"/>
      <c r="C1743"/>
      <c r="D1743"/>
      <c r="E1743"/>
      <c r="F1743"/>
      <c r="G1743"/>
      <c r="H1743"/>
      <c r="I1743"/>
      <c r="J1743"/>
      <c r="K1743"/>
      <c r="L1743"/>
      <c r="M1743"/>
      <c r="N1743"/>
      <c r="O1743"/>
      <c r="P1743"/>
      <c r="Q1743"/>
      <c r="R1743"/>
      <c r="S1743"/>
      <c r="T1743"/>
      <c r="U1743"/>
      <c r="V1743"/>
      <c r="W1743"/>
      <c r="X1743"/>
      <c r="Y1743"/>
      <c r="Z1743"/>
      <c r="AA1743"/>
    </row>
    <row r="1744" spans="1:27" s="1" customFormat="1" x14ac:dyDescent="0.3">
      <c r="A1744"/>
      <c r="B1744"/>
      <c r="C1744"/>
      <c r="D1744"/>
      <c r="E1744"/>
      <c r="F1744"/>
      <c r="G1744"/>
      <c r="H1744"/>
      <c r="I1744"/>
      <c r="J1744"/>
      <c r="K1744"/>
      <c r="L1744"/>
      <c r="M1744"/>
      <c r="N1744"/>
      <c r="O1744"/>
      <c r="P1744"/>
      <c r="Q1744"/>
      <c r="R1744"/>
      <c r="S1744"/>
      <c r="T1744"/>
      <c r="U1744"/>
      <c r="V1744"/>
      <c r="W1744"/>
      <c r="X1744"/>
      <c r="Y1744"/>
      <c r="Z1744"/>
      <c r="AA1744"/>
    </row>
    <row r="1745" spans="1:27" s="1" customFormat="1" x14ac:dyDescent="0.3">
      <c r="A1745"/>
      <c r="B1745"/>
      <c r="C1745"/>
      <c r="D1745"/>
      <c r="E1745"/>
      <c r="F1745"/>
      <c r="G1745"/>
      <c r="H1745"/>
      <c r="I1745"/>
      <c r="J1745"/>
      <c r="K1745"/>
      <c r="L1745"/>
      <c r="M1745"/>
      <c r="N1745"/>
      <c r="O1745"/>
      <c r="P1745"/>
      <c r="Q1745"/>
      <c r="R1745"/>
      <c r="S1745"/>
      <c r="T1745"/>
      <c r="U1745"/>
      <c r="V1745"/>
      <c r="W1745"/>
      <c r="X1745"/>
      <c r="Y1745"/>
      <c r="Z1745"/>
      <c r="AA1745"/>
    </row>
    <row r="1746" spans="1:27" s="1" customFormat="1" x14ac:dyDescent="0.3">
      <c r="A1746"/>
      <c r="B1746"/>
      <c r="C1746"/>
      <c r="D1746"/>
      <c r="E1746"/>
      <c r="F1746"/>
      <c r="G1746"/>
      <c r="H1746"/>
      <c r="I1746"/>
      <c r="J1746"/>
      <c r="K1746"/>
      <c r="L1746"/>
      <c r="M1746"/>
      <c r="N1746"/>
      <c r="O1746"/>
      <c r="P1746"/>
      <c r="Q1746"/>
      <c r="R1746"/>
      <c r="S1746"/>
      <c r="T1746"/>
      <c r="U1746"/>
      <c r="V1746"/>
      <c r="W1746"/>
      <c r="X1746"/>
      <c r="Y1746"/>
      <c r="Z1746"/>
      <c r="AA1746"/>
    </row>
    <row r="1747" spans="1:27" s="1" customFormat="1" x14ac:dyDescent="0.3">
      <c r="A1747"/>
      <c r="B1747"/>
      <c r="C1747"/>
      <c r="D1747"/>
      <c r="E1747"/>
      <c r="F1747"/>
      <c r="G1747"/>
      <c r="H1747"/>
      <c r="I1747"/>
      <c r="J1747"/>
      <c r="K1747"/>
      <c r="L1747"/>
      <c r="M1747"/>
      <c r="N1747"/>
      <c r="O1747"/>
      <c r="P1747"/>
      <c r="Q1747"/>
      <c r="R1747"/>
      <c r="S1747"/>
      <c r="T1747"/>
      <c r="U1747"/>
      <c r="V1747"/>
      <c r="W1747"/>
      <c r="X1747"/>
      <c r="Y1747"/>
      <c r="Z1747"/>
      <c r="AA1747"/>
    </row>
    <row r="1748" spans="1:27" s="1" customFormat="1" x14ac:dyDescent="0.3">
      <c r="A1748"/>
      <c r="B1748"/>
      <c r="C1748"/>
      <c r="D1748"/>
      <c r="E1748"/>
      <c r="F1748"/>
      <c r="G1748"/>
      <c r="H1748"/>
      <c r="I1748"/>
      <c r="J1748"/>
      <c r="K1748"/>
      <c r="L1748"/>
      <c r="M1748"/>
      <c r="N1748"/>
      <c r="O1748"/>
      <c r="P1748"/>
      <c r="Q1748"/>
      <c r="R1748"/>
      <c r="S1748"/>
      <c r="T1748"/>
      <c r="U1748"/>
      <c r="V1748"/>
      <c r="W1748"/>
      <c r="X1748"/>
      <c r="Y1748"/>
      <c r="Z1748"/>
      <c r="AA1748"/>
    </row>
    <row r="1749" spans="1:27" s="1" customFormat="1" x14ac:dyDescent="0.3">
      <c r="A1749"/>
      <c r="B1749"/>
      <c r="C1749"/>
      <c r="D1749"/>
      <c r="E1749"/>
      <c r="F1749"/>
      <c r="G1749"/>
      <c r="H1749"/>
      <c r="I1749"/>
      <c r="J1749"/>
      <c r="K1749"/>
      <c r="L1749"/>
      <c r="M1749"/>
      <c r="N1749"/>
      <c r="O1749"/>
      <c r="P1749"/>
      <c r="Q1749"/>
      <c r="R1749"/>
      <c r="S1749"/>
      <c r="T1749"/>
      <c r="U1749"/>
      <c r="V1749"/>
      <c r="W1749"/>
      <c r="X1749"/>
      <c r="Y1749"/>
      <c r="Z1749"/>
      <c r="AA1749"/>
    </row>
    <row r="1750" spans="1:27" s="1" customFormat="1" x14ac:dyDescent="0.3">
      <c r="A1750"/>
      <c r="B1750"/>
      <c r="C1750"/>
      <c r="D1750"/>
      <c r="E1750"/>
      <c r="F1750"/>
      <c r="G1750"/>
      <c r="H1750"/>
      <c r="I1750"/>
      <c r="J1750"/>
      <c r="K1750"/>
      <c r="L1750"/>
      <c r="M1750"/>
      <c r="N1750"/>
      <c r="O1750"/>
      <c r="P1750"/>
      <c r="Q1750"/>
      <c r="R1750"/>
      <c r="S1750"/>
      <c r="T1750"/>
      <c r="U1750"/>
      <c r="V1750"/>
      <c r="W1750"/>
      <c r="X1750"/>
      <c r="Y1750"/>
      <c r="Z1750"/>
      <c r="AA1750"/>
    </row>
    <row r="1751" spans="1:27" s="1" customFormat="1" x14ac:dyDescent="0.3">
      <c r="A1751"/>
      <c r="B1751"/>
      <c r="C1751"/>
      <c r="D1751"/>
      <c r="E1751"/>
      <c r="F1751"/>
      <c r="G1751"/>
      <c r="H1751"/>
      <c r="I1751"/>
      <c r="J1751"/>
      <c r="K1751"/>
      <c r="L1751"/>
      <c r="M1751"/>
      <c r="N1751"/>
      <c r="O1751"/>
      <c r="P1751"/>
      <c r="Q1751"/>
      <c r="R1751"/>
      <c r="S1751"/>
      <c r="T1751"/>
      <c r="U1751"/>
      <c r="V1751"/>
      <c r="W1751"/>
      <c r="X1751"/>
      <c r="Y1751"/>
      <c r="Z1751"/>
      <c r="AA1751"/>
    </row>
    <row r="1752" spans="1:27" s="1" customFormat="1" x14ac:dyDescent="0.3">
      <c r="A1752"/>
      <c r="B1752"/>
      <c r="C1752"/>
      <c r="D1752"/>
      <c r="E1752"/>
      <c r="F1752"/>
      <c r="G1752"/>
      <c r="H1752"/>
      <c r="I1752"/>
      <c r="J1752"/>
      <c r="K1752"/>
      <c r="L1752"/>
      <c r="M1752"/>
      <c r="N1752"/>
      <c r="O1752"/>
      <c r="P1752"/>
      <c r="Q1752"/>
      <c r="R1752"/>
      <c r="S1752"/>
      <c r="T1752"/>
      <c r="U1752"/>
      <c r="V1752"/>
      <c r="W1752"/>
      <c r="X1752"/>
      <c r="Y1752"/>
      <c r="Z1752"/>
      <c r="AA1752"/>
    </row>
    <row r="1753" spans="1:27" s="1" customFormat="1" x14ac:dyDescent="0.3">
      <c r="A1753"/>
      <c r="B1753"/>
      <c r="C1753"/>
      <c r="D1753"/>
      <c r="E1753"/>
      <c r="F1753"/>
      <c r="G1753"/>
      <c r="H1753"/>
      <c r="I1753"/>
      <c r="J1753"/>
      <c r="K1753"/>
      <c r="L1753"/>
      <c r="M1753"/>
      <c r="N1753"/>
      <c r="O1753"/>
      <c r="P1753"/>
      <c r="Q1753"/>
      <c r="R1753"/>
      <c r="S1753"/>
      <c r="T1753"/>
      <c r="U1753"/>
      <c r="V1753"/>
      <c r="W1753"/>
      <c r="X1753"/>
      <c r="Y1753"/>
      <c r="Z1753"/>
      <c r="AA1753"/>
    </row>
    <row r="1754" spans="1:27" s="1" customFormat="1" x14ac:dyDescent="0.3">
      <c r="A1754"/>
      <c r="B1754"/>
      <c r="C1754"/>
      <c r="D1754"/>
      <c r="E1754"/>
      <c r="F1754"/>
      <c r="G1754"/>
      <c r="H1754"/>
      <c r="I1754"/>
      <c r="J1754"/>
      <c r="K1754"/>
      <c r="L1754"/>
      <c r="M1754"/>
      <c r="N1754"/>
      <c r="O1754"/>
      <c r="P1754"/>
      <c r="Q1754"/>
      <c r="R1754"/>
      <c r="S1754"/>
      <c r="T1754"/>
      <c r="U1754"/>
      <c r="V1754"/>
      <c r="W1754"/>
      <c r="X1754"/>
      <c r="Y1754"/>
      <c r="Z1754"/>
      <c r="AA1754"/>
    </row>
    <row r="1755" spans="1:27" s="1" customFormat="1" x14ac:dyDescent="0.3">
      <c r="A1755"/>
      <c r="B1755"/>
      <c r="C1755"/>
      <c r="D1755"/>
      <c r="E1755"/>
      <c r="F1755"/>
      <c r="G1755"/>
      <c r="H1755"/>
      <c r="I1755"/>
      <c r="J1755"/>
      <c r="K1755"/>
      <c r="L1755"/>
      <c r="M1755"/>
      <c r="N1755"/>
      <c r="O1755"/>
      <c r="P1755"/>
      <c r="Q1755"/>
      <c r="R1755"/>
      <c r="S1755"/>
      <c r="T1755"/>
      <c r="U1755"/>
      <c r="V1755"/>
      <c r="W1755"/>
      <c r="X1755"/>
      <c r="Y1755"/>
      <c r="Z1755"/>
      <c r="AA1755"/>
    </row>
    <row r="1756" spans="1:27" s="1" customFormat="1" x14ac:dyDescent="0.3">
      <c r="A1756"/>
      <c r="B1756"/>
      <c r="C1756"/>
      <c r="D1756"/>
      <c r="E1756"/>
      <c r="F1756"/>
      <c r="G1756"/>
      <c r="H1756"/>
      <c r="I1756"/>
      <c r="J1756"/>
      <c r="K1756"/>
      <c r="L1756"/>
      <c r="M1756"/>
      <c r="N1756"/>
      <c r="O1756"/>
      <c r="P1756"/>
      <c r="Q1756"/>
      <c r="R1756"/>
      <c r="S1756"/>
      <c r="T1756"/>
      <c r="U1756"/>
      <c r="V1756"/>
      <c r="W1756"/>
      <c r="X1756"/>
      <c r="Y1756"/>
      <c r="Z1756"/>
      <c r="AA1756"/>
    </row>
    <row r="1757" spans="1:27" s="1" customFormat="1" x14ac:dyDescent="0.3">
      <c r="A1757"/>
      <c r="B1757"/>
      <c r="C1757"/>
      <c r="D1757"/>
      <c r="E1757"/>
      <c r="F1757"/>
      <c r="G1757"/>
      <c r="H1757"/>
      <c r="I1757"/>
      <c r="J1757"/>
      <c r="K1757"/>
      <c r="L1757"/>
      <c r="M1757"/>
      <c r="N1757"/>
      <c r="O1757"/>
      <c r="P1757"/>
      <c r="Q1757"/>
      <c r="R1757"/>
      <c r="S1757"/>
      <c r="T1757"/>
      <c r="U1757"/>
      <c r="V1757"/>
      <c r="W1757"/>
      <c r="X1757"/>
      <c r="Y1757"/>
      <c r="Z1757"/>
      <c r="AA1757"/>
    </row>
    <row r="1758" spans="1:27" s="1" customFormat="1" x14ac:dyDescent="0.3">
      <c r="A1758"/>
      <c r="B1758"/>
      <c r="C1758"/>
      <c r="D1758"/>
      <c r="E1758"/>
      <c r="F1758"/>
      <c r="G1758"/>
      <c r="H1758"/>
      <c r="I1758"/>
      <c r="J1758"/>
      <c r="K1758"/>
      <c r="L1758"/>
      <c r="M1758"/>
      <c r="N1758"/>
      <c r="O1758"/>
      <c r="P1758"/>
      <c r="Q1758"/>
      <c r="R1758"/>
      <c r="S1758"/>
      <c r="T1758"/>
      <c r="U1758"/>
      <c r="V1758"/>
      <c r="W1758"/>
      <c r="X1758"/>
      <c r="Y1758"/>
      <c r="Z1758"/>
      <c r="AA1758"/>
    </row>
    <row r="1759" spans="1:27" s="1" customFormat="1" x14ac:dyDescent="0.3">
      <c r="A1759"/>
      <c r="B1759"/>
      <c r="C1759"/>
      <c r="D1759"/>
      <c r="E1759"/>
      <c r="F1759"/>
      <c r="G1759"/>
      <c r="H1759"/>
      <c r="I1759"/>
      <c r="J1759"/>
      <c r="K1759"/>
      <c r="L1759"/>
      <c r="M1759"/>
      <c r="N1759"/>
      <c r="O1759"/>
      <c r="P1759"/>
      <c r="Q1759"/>
      <c r="R1759"/>
      <c r="S1759"/>
      <c r="T1759"/>
      <c r="U1759"/>
      <c r="V1759"/>
      <c r="W1759"/>
      <c r="X1759"/>
      <c r="Y1759"/>
      <c r="Z1759"/>
      <c r="AA1759"/>
    </row>
    <row r="1760" spans="1:27" s="1" customFormat="1" x14ac:dyDescent="0.3">
      <c r="A1760"/>
      <c r="B1760"/>
      <c r="C1760"/>
      <c r="D1760"/>
      <c r="E1760"/>
      <c r="F1760"/>
      <c r="G1760"/>
      <c r="H1760"/>
      <c r="I1760"/>
      <c r="J1760"/>
      <c r="K1760"/>
      <c r="L1760"/>
      <c r="M1760"/>
      <c r="N1760"/>
      <c r="O1760"/>
      <c r="P1760"/>
      <c r="Q1760"/>
      <c r="R1760"/>
      <c r="S1760"/>
      <c r="T1760"/>
      <c r="U1760"/>
      <c r="V1760"/>
      <c r="W1760"/>
      <c r="X1760"/>
      <c r="Y1760"/>
      <c r="Z1760"/>
      <c r="AA1760"/>
    </row>
    <row r="1761" spans="1:27" s="1" customFormat="1" x14ac:dyDescent="0.3">
      <c r="A1761"/>
      <c r="B1761"/>
      <c r="C1761"/>
      <c r="D1761"/>
      <c r="E1761"/>
      <c r="F1761"/>
      <c r="G1761"/>
      <c r="H1761"/>
      <c r="I1761"/>
      <c r="J1761"/>
      <c r="K1761"/>
      <c r="L1761"/>
      <c r="M1761"/>
      <c r="N1761"/>
      <c r="O1761"/>
      <c r="P1761"/>
      <c r="Q1761"/>
      <c r="R1761"/>
      <c r="S1761"/>
      <c r="T1761"/>
      <c r="U1761"/>
      <c r="V1761"/>
      <c r="W1761"/>
      <c r="X1761"/>
      <c r="Y1761"/>
      <c r="Z1761"/>
      <c r="AA1761"/>
    </row>
    <row r="1762" spans="1:27" s="1" customFormat="1" x14ac:dyDescent="0.3">
      <c r="A1762"/>
      <c r="B1762"/>
      <c r="C1762"/>
      <c r="D1762"/>
      <c r="E1762"/>
      <c r="F1762"/>
      <c r="G1762"/>
      <c r="H1762"/>
      <c r="I1762"/>
      <c r="J1762"/>
      <c r="K1762"/>
      <c r="L1762"/>
      <c r="M1762"/>
      <c r="N1762"/>
      <c r="O1762"/>
      <c r="P1762"/>
      <c r="Q1762"/>
      <c r="R1762"/>
      <c r="S1762"/>
      <c r="T1762"/>
      <c r="U1762"/>
      <c r="V1762"/>
      <c r="W1762"/>
      <c r="X1762"/>
      <c r="Y1762"/>
      <c r="Z1762"/>
      <c r="AA1762"/>
    </row>
    <row r="1763" spans="1:27" s="1" customFormat="1" x14ac:dyDescent="0.3">
      <c r="A1763"/>
      <c r="B1763"/>
      <c r="C1763"/>
      <c r="D1763"/>
      <c r="E1763"/>
      <c r="F1763"/>
      <c r="G1763"/>
      <c r="H1763"/>
      <c r="I1763"/>
      <c r="J1763"/>
      <c r="K1763"/>
      <c r="L1763"/>
      <c r="M1763"/>
      <c r="N1763"/>
      <c r="O1763"/>
      <c r="P1763"/>
      <c r="Q1763"/>
      <c r="R1763"/>
      <c r="S1763"/>
      <c r="T1763"/>
      <c r="U1763"/>
      <c r="V1763"/>
      <c r="W1763"/>
      <c r="X1763"/>
      <c r="Y1763"/>
      <c r="Z1763"/>
      <c r="AA1763"/>
    </row>
    <row r="1764" spans="1:27" s="1" customFormat="1" x14ac:dyDescent="0.3">
      <c r="A1764"/>
      <c r="B1764"/>
      <c r="C1764"/>
      <c r="D1764"/>
      <c r="E1764"/>
      <c r="F1764"/>
      <c r="G1764"/>
      <c r="H1764"/>
      <c r="I1764"/>
      <c r="J1764"/>
      <c r="K1764"/>
      <c r="L1764"/>
      <c r="M1764"/>
      <c r="N1764"/>
      <c r="O1764"/>
      <c r="P1764"/>
      <c r="Q1764"/>
      <c r="R1764"/>
      <c r="S1764"/>
      <c r="T1764"/>
      <c r="U1764"/>
      <c r="V1764"/>
      <c r="W1764"/>
      <c r="X1764"/>
      <c r="Y1764"/>
      <c r="Z1764"/>
      <c r="AA1764"/>
    </row>
    <row r="1765" spans="1:27" s="1" customFormat="1" x14ac:dyDescent="0.3">
      <c r="A1765"/>
      <c r="B1765"/>
      <c r="C1765"/>
      <c r="D1765"/>
      <c r="E1765"/>
      <c r="F1765"/>
      <c r="G1765"/>
      <c r="H1765"/>
      <c r="I1765"/>
      <c r="J1765"/>
      <c r="K1765"/>
      <c r="L1765"/>
      <c r="M1765"/>
      <c r="N1765"/>
      <c r="O1765"/>
      <c r="P1765"/>
      <c r="Q1765"/>
      <c r="R1765"/>
      <c r="S1765"/>
      <c r="T1765"/>
      <c r="U1765"/>
      <c r="V1765"/>
      <c r="W1765"/>
      <c r="X1765"/>
      <c r="Y1765"/>
      <c r="Z1765"/>
      <c r="AA1765"/>
    </row>
    <row r="1766" spans="1:27" s="1" customFormat="1" x14ac:dyDescent="0.3">
      <c r="A1766"/>
      <c r="B1766"/>
      <c r="C1766"/>
      <c r="D1766"/>
      <c r="E1766"/>
      <c r="F1766"/>
      <c r="G1766"/>
      <c r="H1766"/>
      <c r="I1766"/>
      <c r="J1766"/>
      <c r="K1766"/>
      <c r="L1766"/>
      <c r="M1766"/>
      <c r="N1766"/>
      <c r="O1766"/>
      <c r="P1766"/>
      <c r="Q1766"/>
      <c r="R1766"/>
      <c r="S1766"/>
      <c r="T1766"/>
      <c r="U1766"/>
      <c r="V1766"/>
      <c r="W1766"/>
      <c r="X1766"/>
      <c r="Y1766"/>
      <c r="Z1766"/>
      <c r="AA1766"/>
    </row>
    <row r="1767" spans="1:27" s="1" customFormat="1" x14ac:dyDescent="0.3">
      <c r="A1767"/>
      <c r="B1767"/>
      <c r="C1767"/>
      <c r="D1767"/>
      <c r="E1767"/>
      <c r="F1767"/>
      <c r="G1767"/>
      <c r="H1767"/>
      <c r="I1767"/>
      <c r="J1767"/>
      <c r="K1767"/>
      <c r="L1767"/>
      <c r="M1767"/>
      <c r="N1767"/>
      <c r="O1767"/>
      <c r="P1767"/>
      <c r="Q1767"/>
      <c r="R1767"/>
      <c r="S1767"/>
      <c r="T1767"/>
      <c r="U1767"/>
      <c r="V1767"/>
      <c r="W1767"/>
      <c r="X1767"/>
      <c r="Y1767"/>
      <c r="Z1767"/>
      <c r="AA1767"/>
    </row>
    <row r="1768" spans="1:27" s="1" customFormat="1" x14ac:dyDescent="0.3">
      <c r="A1768"/>
      <c r="B1768"/>
      <c r="C1768"/>
      <c r="D1768"/>
      <c r="E1768"/>
      <c r="F1768"/>
      <c r="G1768"/>
      <c r="H1768"/>
      <c r="I1768"/>
      <c r="J1768"/>
      <c r="K1768"/>
      <c r="L1768"/>
      <c r="M1768"/>
      <c r="N1768"/>
      <c r="O1768"/>
      <c r="P1768"/>
      <c r="Q1768"/>
      <c r="R1768"/>
      <c r="S1768"/>
      <c r="T1768"/>
      <c r="U1768"/>
      <c r="V1768"/>
      <c r="W1768"/>
      <c r="X1768"/>
      <c r="Y1768"/>
      <c r="Z1768"/>
      <c r="AA1768"/>
    </row>
    <row r="1769" spans="1:27" s="1" customFormat="1" x14ac:dyDescent="0.3">
      <c r="A1769"/>
      <c r="B1769"/>
      <c r="C1769"/>
      <c r="D1769"/>
      <c r="E1769"/>
      <c r="F1769"/>
      <c r="G1769"/>
      <c r="H1769"/>
      <c r="I1769"/>
      <c r="J1769"/>
      <c r="K1769"/>
      <c r="L1769"/>
      <c r="M1769"/>
      <c r="N1769"/>
      <c r="O1769"/>
      <c r="P1769"/>
      <c r="Q1769"/>
      <c r="R1769"/>
      <c r="S1769"/>
      <c r="T1769"/>
      <c r="U1769"/>
      <c r="V1769"/>
      <c r="W1769"/>
      <c r="X1769"/>
      <c r="Y1769"/>
      <c r="Z1769"/>
      <c r="AA1769"/>
    </row>
    <row r="1770" spans="1:27" s="1" customFormat="1" x14ac:dyDescent="0.3">
      <c r="A1770"/>
      <c r="B1770"/>
      <c r="C1770"/>
      <c r="D1770"/>
      <c r="E1770"/>
      <c r="F1770"/>
      <c r="G1770"/>
      <c r="H1770"/>
      <c r="I1770"/>
      <c r="J1770"/>
      <c r="K1770"/>
      <c r="L1770"/>
      <c r="M1770"/>
      <c r="N1770"/>
      <c r="O1770"/>
      <c r="P1770"/>
      <c r="Q1770"/>
      <c r="R1770"/>
      <c r="S1770"/>
      <c r="T1770"/>
      <c r="U1770"/>
      <c r="V1770"/>
      <c r="W1770"/>
      <c r="X1770"/>
      <c r="Y1770"/>
      <c r="Z1770"/>
      <c r="AA1770"/>
    </row>
    <row r="1771" spans="1:27" s="1" customFormat="1" x14ac:dyDescent="0.3">
      <c r="A1771"/>
      <c r="B1771"/>
      <c r="C1771"/>
      <c r="D1771"/>
      <c r="E1771"/>
      <c r="F1771"/>
      <c r="G1771"/>
      <c r="H1771"/>
      <c r="I1771"/>
      <c r="J1771"/>
      <c r="K1771"/>
      <c r="L1771"/>
      <c r="M1771"/>
      <c r="N1771"/>
      <c r="O1771"/>
      <c r="P1771"/>
      <c r="Q1771"/>
      <c r="R1771"/>
      <c r="S1771"/>
      <c r="T1771"/>
      <c r="U1771"/>
      <c r="V1771"/>
      <c r="W1771"/>
      <c r="X1771"/>
      <c r="Y1771"/>
      <c r="Z1771"/>
      <c r="AA1771"/>
    </row>
    <row r="1772" spans="1:27" s="1" customFormat="1" x14ac:dyDescent="0.3">
      <c r="A1772"/>
      <c r="B1772"/>
      <c r="C1772"/>
      <c r="D1772"/>
      <c r="E1772"/>
      <c r="F1772"/>
      <c r="G1772"/>
      <c r="H1772"/>
      <c r="I1772"/>
      <c r="J1772"/>
      <c r="K1772"/>
      <c r="L1772"/>
      <c r="M1772"/>
      <c r="N1772"/>
      <c r="O1772"/>
      <c r="P1772"/>
      <c r="Q1772"/>
      <c r="R1772"/>
      <c r="S1772"/>
      <c r="T1772"/>
      <c r="U1772"/>
      <c r="V1772"/>
      <c r="W1772"/>
      <c r="X1772"/>
      <c r="Y1772"/>
      <c r="Z1772"/>
      <c r="AA1772"/>
    </row>
    <row r="1773" spans="1:27" s="1" customFormat="1" x14ac:dyDescent="0.3">
      <c r="A1773"/>
      <c r="B1773"/>
      <c r="C1773"/>
      <c r="D1773"/>
      <c r="E1773"/>
      <c r="F1773"/>
      <c r="G1773"/>
      <c r="H1773"/>
      <c r="I1773"/>
      <c r="J1773"/>
      <c r="K1773"/>
      <c r="L1773"/>
      <c r="M1773"/>
      <c r="N1773"/>
      <c r="O1773"/>
      <c r="P1773"/>
      <c r="Q1773"/>
      <c r="R1773"/>
      <c r="S1773"/>
      <c r="T1773"/>
      <c r="U1773"/>
      <c r="V1773"/>
      <c r="W1773"/>
      <c r="X1773"/>
      <c r="Y1773"/>
      <c r="Z1773"/>
      <c r="AA1773"/>
    </row>
    <row r="1774" spans="1:27" s="1" customFormat="1" x14ac:dyDescent="0.3">
      <c r="A1774"/>
      <c r="B1774"/>
      <c r="C1774"/>
      <c r="D1774"/>
      <c r="E1774"/>
      <c r="F1774"/>
      <c r="G1774"/>
      <c r="H1774"/>
      <c r="I1774"/>
      <c r="J1774"/>
      <c r="K1774"/>
      <c r="L1774"/>
      <c r="M1774"/>
      <c r="N1774"/>
      <c r="O1774"/>
      <c r="P1774"/>
      <c r="Q1774"/>
      <c r="R1774"/>
      <c r="S1774"/>
      <c r="T1774"/>
      <c r="U1774"/>
      <c r="V1774"/>
      <c r="W1774"/>
      <c r="X1774"/>
      <c r="Y1774"/>
      <c r="Z1774"/>
      <c r="AA1774"/>
    </row>
    <row r="1775" spans="1:27" s="1" customFormat="1" x14ac:dyDescent="0.3">
      <c r="A1775"/>
      <c r="B1775"/>
      <c r="C1775"/>
      <c r="D1775"/>
      <c r="E1775"/>
      <c r="F1775"/>
      <c r="G1775"/>
      <c r="H1775"/>
      <c r="I1775"/>
      <c r="J1775"/>
      <c r="K1775"/>
      <c r="L1775"/>
      <c r="M1775"/>
      <c r="N1775"/>
      <c r="O1775"/>
      <c r="P1775"/>
      <c r="Q1775"/>
      <c r="R1775"/>
      <c r="S1775"/>
      <c r="T1775"/>
      <c r="U1775"/>
      <c r="V1775"/>
      <c r="W1775"/>
      <c r="X1775"/>
      <c r="Y1775"/>
      <c r="Z1775"/>
      <c r="AA1775"/>
    </row>
    <row r="1776" spans="1:27" s="1" customFormat="1" x14ac:dyDescent="0.3">
      <c r="A1776"/>
      <c r="B1776"/>
      <c r="C1776"/>
      <c r="D1776"/>
      <c r="E1776"/>
      <c r="F1776"/>
      <c r="G1776"/>
      <c r="H1776"/>
      <c r="I1776"/>
      <c r="J1776"/>
      <c r="K1776"/>
      <c r="L1776"/>
      <c r="M1776"/>
      <c r="N1776"/>
      <c r="O1776"/>
      <c r="P1776"/>
      <c r="Q1776"/>
      <c r="R1776"/>
      <c r="S1776"/>
      <c r="T1776"/>
      <c r="U1776"/>
      <c r="V1776"/>
      <c r="W1776"/>
      <c r="X1776"/>
      <c r="Y1776"/>
      <c r="Z1776"/>
      <c r="AA1776"/>
    </row>
    <row r="1777" spans="1:27" s="1" customFormat="1" x14ac:dyDescent="0.3">
      <c r="A1777"/>
      <c r="B1777"/>
      <c r="C1777"/>
      <c r="D1777"/>
      <c r="E1777"/>
      <c r="F1777"/>
      <c r="G1777"/>
      <c r="H1777"/>
      <c r="I1777"/>
      <c r="J1777"/>
      <c r="K1777"/>
      <c r="L1777"/>
      <c r="M1777"/>
      <c r="N1777"/>
      <c r="O1777"/>
      <c r="P1777"/>
      <c r="Q1777"/>
      <c r="R1777"/>
      <c r="S1777"/>
      <c r="T1777"/>
      <c r="U1777"/>
      <c r="V1777"/>
      <c r="W1777"/>
      <c r="X1777"/>
      <c r="Y1777"/>
      <c r="Z1777"/>
      <c r="AA1777"/>
    </row>
    <row r="1778" spans="1:27" s="1" customFormat="1" x14ac:dyDescent="0.3">
      <c r="A1778"/>
      <c r="B1778"/>
      <c r="C1778"/>
      <c r="D1778"/>
      <c r="E1778"/>
      <c r="F1778"/>
      <c r="G1778"/>
      <c r="H1778"/>
      <c r="I1778"/>
      <c r="J1778"/>
      <c r="K1778"/>
      <c r="L1778"/>
      <c r="M1778"/>
      <c r="N1778"/>
      <c r="O1778"/>
      <c r="P1778"/>
      <c r="Q1778"/>
      <c r="R1778"/>
      <c r="S1778"/>
      <c r="T1778"/>
      <c r="U1778"/>
      <c r="V1778"/>
      <c r="W1778"/>
      <c r="X1778"/>
      <c r="Y1778"/>
      <c r="Z1778"/>
      <c r="AA1778"/>
    </row>
    <row r="1779" spans="1:27" s="1" customFormat="1" x14ac:dyDescent="0.3">
      <c r="A1779"/>
      <c r="B1779"/>
      <c r="C1779"/>
      <c r="D1779"/>
      <c r="E1779"/>
      <c r="F1779"/>
      <c r="G1779"/>
      <c r="H1779"/>
      <c r="I1779"/>
      <c r="J1779"/>
      <c r="K1779"/>
      <c r="L1779"/>
      <c r="M1779"/>
      <c r="N1779"/>
      <c r="O1779"/>
      <c r="P1779"/>
      <c r="Q1779"/>
      <c r="R1779"/>
      <c r="S1779"/>
      <c r="T1779"/>
      <c r="U1779"/>
      <c r="V1779"/>
      <c r="W1779"/>
      <c r="X1779"/>
      <c r="Y1779"/>
      <c r="Z1779"/>
      <c r="AA1779"/>
    </row>
    <row r="1780" spans="1:27" s="1" customFormat="1" x14ac:dyDescent="0.3">
      <c r="A1780"/>
      <c r="B1780"/>
      <c r="C1780"/>
      <c r="D1780"/>
      <c r="E1780"/>
      <c r="F1780"/>
      <c r="G1780"/>
      <c r="H1780"/>
      <c r="I1780"/>
      <c r="J1780"/>
      <c r="K1780"/>
      <c r="L1780"/>
      <c r="M1780"/>
      <c r="N1780"/>
      <c r="O1780"/>
      <c r="P1780"/>
      <c r="Q1780"/>
      <c r="R1780"/>
      <c r="S1780"/>
      <c r="T1780"/>
      <c r="U1780"/>
      <c r="V1780"/>
      <c r="W1780"/>
      <c r="X1780"/>
      <c r="Y1780"/>
      <c r="Z1780"/>
      <c r="AA1780"/>
    </row>
    <row r="1781" spans="1:27" s="1" customFormat="1" x14ac:dyDescent="0.3">
      <c r="A1781"/>
      <c r="B1781"/>
      <c r="C1781"/>
      <c r="D1781"/>
      <c r="E1781"/>
      <c r="F1781"/>
      <c r="G1781"/>
      <c r="H1781"/>
      <c r="I1781"/>
      <c r="J1781"/>
      <c r="K1781"/>
      <c r="L1781"/>
      <c r="M1781"/>
      <c r="N1781"/>
      <c r="O1781"/>
      <c r="P1781"/>
      <c r="Q1781"/>
      <c r="R1781"/>
      <c r="S1781"/>
      <c r="T1781"/>
      <c r="U1781"/>
      <c r="V1781"/>
      <c r="W1781"/>
      <c r="X1781"/>
      <c r="Y1781"/>
      <c r="Z1781"/>
      <c r="AA1781"/>
    </row>
    <row r="1782" spans="1:27" s="1" customFormat="1" x14ac:dyDescent="0.3">
      <c r="A1782"/>
      <c r="B1782"/>
      <c r="C1782"/>
      <c r="D1782"/>
      <c r="E1782"/>
      <c r="F1782"/>
      <c r="G1782"/>
      <c r="H1782"/>
      <c r="I1782"/>
      <c r="J1782"/>
      <c r="K1782"/>
      <c r="L1782"/>
      <c r="M1782"/>
      <c r="N1782"/>
      <c r="O1782"/>
      <c r="P1782"/>
      <c r="Q1782"/>
      <c r="R1782"/>
      <c r="S1782"/>
      <c r="T1782"/>
      <c r="U1782"/>
      <c r="V1782"/>
      <c r="W1782"/>
      <c r="X1782"/>
      <c r="Y1782"/>
      <c r="Z1782"/>
      <c r="AA1782"/>
    </row>
    <row r="1783" spans="1:27" s="1" customFormat="1" x14ac:dyDescent="0.3">
      <c r="A1783"/>
      <c r="B1783"/>
      <c r="C1783"/>
      <c r="D1783"/>
      <c r="E1783"/>
      <c r="F1783"/>
      <c r="G1783"/>
      <c r="H1783"/>
      <c r="I1783"/>
      <c r="J1783"/>
      <c r="K1783"/>
      <c r="L1783"/>
      <c r="M1783"/>
      <c r="N1783"/>
      <c r="O1783"/>
      <c r="P1783"/>
      <c r="Q1783"/>
      <c r="R1783"/>
      <c r="S1783"/>
      <c r="T1783"/>
      <c r="U1783"/>
      <c r="V1783"/>
      <c r="W1783"/>
      <c r="X1783"/>
      <c r="Y1783"/>
      <c r="Z1783"/>
      <c r="AA1783"/>
    </row>
    <row r="1784" spans="1:27" s="1" customFormat="1" x14ac:dyDescent="0.3">
      <c r="A1784"/>
      <c r="B1784"/>
      <c r="C1784"/>
      <c r="D1784"/>
      <c r="E1784"/>
      <c r="F1784"/>
      <c r="G1784"/>
      <c r="H1784"/>
      <c r="I1784"/>
      <c r="J1784"/>
      <c r="K1784"/>
      <c r="L1784"/>
      <c r="M1784"/>
      <c r="N1784"/>
      <c r="O1784"/>
      <c r="P1784"/>
      <c r="Q1784"/>
      <c r="R1784"/>
      <c r="S1784"/>
      <c r="T1784"/>
      <c r="U1784"/>
      <c r="V1784"/>
      <c r="W1784"/>
      <c r="X1784"/>
      <c r="Y1784"/>
      <c r="Z1784"/>
      <c r="AA1784"/>
    </row>
    <row r="1785" spans="1:27" s="1" customFormat="1" x14ac:dyDescent="0.3">
      <c r="A1785"/>
      <c r="B1785"/>
      <c r="C1785"/>
      <c r="D1785"/>
      <c r="E1785"/>
      <c r="F1785"/>
      <c r="G1785"/>
      <c r="H1785"/>
      <c r="I1785"/>
      <c r="J1785"/>
      <c r="K1785"/>
      <c r="L1785"/>
      <c r="M1785"/>
      <c r="N1785"/>
      <c r="O1785"/>
      <c r="P1785"/>
      <c r="Q1785"/>
      <c r="R1785"/>
      <c r="S1785"/>
      <c r="T1785"/>
      <c r="U1785"/>
      <c r="V1785"/>
      <c r="W1785"/>
      <c r="X1785"/>
      <c r="Y1785"/>
      <c r="Z1785"/>
      <c r="AA1785"/>
    </row>
    <row r="1786" spans="1:27" s="1" customFormat="1" x14ac:dyDescent="0.3">
      <c r="A1786"/>
      <c r="B1786"/>
      <c r="C1786"/>
      <c r="D1786"/>
      <c r="E1786"/>
      <c r="F1786"/>
      <c r="G1786"/>
      <c r="H1786"/>
      <c r="I1786"/>
      <c r="J1786"/>
      <c r="K1786"/>
      <c r="L1786"/>
      <c r="M1786"/>
      <c r="N1786"/>
      <c r="O1786"/>
      <c r="P1786"/>
      <c r="Q1786"/>
      <c r="R1786"/>
      <c r="S1786"/>
      <c r="T1786"/>
      <c r="U1786"/>
      <c r="V1786"/>
      <c r="W1786"/>
      <c r="X1786"/>
      <c r="Y1786"/>
      <c r="Z1786"/>
      <c r="AA1786"/>
    </row>
    <row r="1787" spans="1:27" s="1" customFormat="1" x14ac:dyDescent="0.3">
      <c r="A1787"/>
      <c r="B1787"/>
      <c r="C1787"/>
      <c r="D1787"/>
      <c r="E1787"/>
      <c r="F1787"/>
      <c r="G1787"/>
      <c r="H1787"/>
      <c r="I1787"/>
      <c r="J1787"/>
      <c r="K1787"/>
      <c r="L1787"/>
      <c r="M1787"/>
      <c r="N1787"/>
      <c r="O1787"/>
      <c r="P1787"/>
      <c r="Q1787"/>
      <c r="R1787"/>
      <c r="S1787"/>
      <c r="T1787"/>
      <c r="U1787"/>
      <c r="V1787"/>
      <c r="W1787"/>
      <c r="X1787"/>
      <c r="Y1787"/>
      <c r="Z1787"/>
      <c r="AA1787"/>
    </row>
    <row r="1788" spans="1:27" s="1" customFormat="1" x14ac:dyDescent="0.3">
      <c r="A1788"/>
      <c r="B1788"/>
      <c r="C1788"/>
      <c r="D1788"/>
      <c r="E1788"/>
      <c r="F1788"/>
      <c r="G1788"/>
      <c r="H1788"/>
      <c r="I1788"/>
      <c r="J1788"/>
      <c r="K1788"/>
      <c r="L1788"/>
      <c r="M1788"/>
      <c r="N1788"/>
      <c r="O1788"/>
      <c r="P1788"/>
      <c r="Q1788"/>
      <c r="R1788"/>
      <c r="S1788"/>
      <c r="T1788"/>
      <c r="U1788"/>
      <c r="V1788"/>
      <c r="W1788"/>
      <c r="X1788"/>
      <c r="Y1788"/>
      <c r="Z1788"/>
      <c r="AA1788"/>
    </row>
    <row r="1789" spans="1:27" s="1" customFormat="1" x14ac:dyDescent="0.3">
      <c r="A1789"/>
      <c r="B1789"/>
      <c r="C1789"/>
      <c r="D1789"/>
      <c r="E1789"/>
      <c r="F1789"/>
      <c r="G1789"/>
      <c r="H1789"/>
      <c r="I1789"/>
      <c r="J1789"/>
      <c r="K1789"/>
      <c r="L1789"/>
      <c r="M1789"/>
      <c r="N1789"/>
      <c r="O1789"/>
      <c r="P1789"/>
      <c r="Q1789"/>
      <c r="R1789"/>
      <c r="S1789"/>
      <c r="T1789"/>
      <c r="U1789"/>
      <c r="V1789"/>
      <c r="W1789"/>
      <c r="X1789"/>
      <c r="Y1789"/>
      <c r="Z1789"/>
      <c r="AA1789"/>
    </row>
    <row r="1790" spans="1:27" s="1" customFormat="1" x14ac:dyDescent="0.3">
      <c r="A1790"/>
      <c r="B1790"/>
      <c r="C1790"/>
      <c r="D1790"/>
      <c r="E1790"/>
      <c r="F1790"/>
      <c r="G1790"/>
      <c r="H1790"/>
      <c r="I1790"/>
      <c r="J1790"/>
      <c r="K1790"/>
      <c r="L1790"/>
      <c r="M1790"/>
      <c r="N1790"/>
      <c r="O1790"/>
      <c r="P1790"/>
      <c r="Q1790"/>
      <c r="R1790"/>
      <c r="S1790"/>
      <c r="T1790"/>
      <c r="U1790"/>
      <c r="V1790"/>
      <c r="W1790"/>
      <c r="X1790"/>
      <c r="Y1790"/>
      <c r="Z1790"/>
      <c r="AA1790"/>
    </row>
    <row r="1791" spans="1:27" s="1" customFormat="1" x14ac:dyDescent="0.3">
      <c r="A1791"/>
      <c r="B1791"/>
      <c r="C1791"/>
      <c r="D1791"/>
      <c r="E1791"/>
      <c r="F1791"/>
      <c r="G1791"/>
      <c r="H1791"/>
      <c r="I1791"/>
      <c r="J1791"/>
      <c r="K1791"/>
      <c r="L1791"/>
      <c r="M1791"/>
      <c r="N1791"/>
      <c r="O1791"/>
      <c r="P1791"/>
      <c r="Q1791"/>
      <c r="R1791"/>
      <c r="S1791"/>
      <c r="T1791"/>
      <c r="U1791"/>
      <c r="V1791"/>
      <c r="W1791"/>
      <c r="X1791"/>
      <c r="Y1791"/>
      <c r="Z1791"/>
      <c r="AA1791"/>
    </row>
    <row r="1792" spans="1:27" s="1" customFormat="1" x14ac:dyDescent="0.3">
      <c r="A1792"/>
      <c r="B1792"/>
      <c r="C1792"/>
      <c r="D1792"/>
      <c r="E1792"/>
      <c r="F1792"/>
      <c r="G1792"/>
      <c r="H1792"/>
      <c r="I1792"/>
      <c r="J1792"/>
      <c r="K1792"/>
      <c r="L1792"/>
      <c r="M1792"/>
      <c r="N1792"/>
      <c r="O1792"/>
      <c r="P1792"/>
      <c r="Q1792"/>
      <c r="R1792"/>
      <c r="S1792"/>
      <c r="T1792"/>
      <c r="U1792"/>
      <c r="V1792"/>
      <c r="W1792"/>
      <c r="X1792"/>
      <c r="Y1792"/>
      <c r="Z1792"/>
      <c r="AA1792"/>
    </row>
    <row r="1793" spans="1:27" s="1" customFormat="1" x14ac:dyDescent="0.3">
      <c r="A1793"/>
      <c r="B1793"/>
      <c r="C1793"/>
      <c r="D1793"/>
      <c r="E1793"/>
      <c r="F1793"/>
      <c r="G1793"/>
      <c r="H1793"/>
      <c r="I1793"/>
      <c r="J1793"/>
      <c r="K1793"/>
      <c r="L1793"/>
      <c r="M1793"/>
      <c r="N1793"/>
      <c r="O1793"/>
      <c r="P1793"/>
      <c r="Q1793"/>
      <c r="R1793"/>
      <c r="S1793"/>
      <c r="T1793"/>
      <c r="U1793"/>
      <c r="V1793"/>
      <c r="W1793"/>
      <c r="X1793"/>
      <c r="Y1793"/>
      <c r="Z1793"/>
      <c r="AA1793"/>
    </row>
    <row r="1794" spans="1:27" s="1" customFormat="1" x14ac:dyDescent="0.3">
      <c r="A1794"/>
      <c r="B1794"/>
      <c r="C1794"/>
      <c r="D1794"/>
      <c r="E1794"/>
      <c r="F1794"/>
      <c r="G1794"/>
      <c r="H1794"/>
      <c r="I1794"/>
      <c r="J1794"/>
      <c r="K1794"/>
      <c r="L1794"/>
      <c r="M1794"/>
      <c r="N1794"/>
      <c r="O1794"/>
      <c r="P1794"/>
      <c r="Q1794"/>
      <c r="R1794"/>
      <c r="S1794"/>
      <c r="T1794"/>
      <c r="U1794"/>
      <c r="V1794"/>
      <c r="W1794"/>
      <c r="X1794"/>
      <c r="Y1794"/>
      <c r="Z1794"/>
      <c r="AA1794"/>
    </row>
    <row r="1795" spans="1:27" s="1" customFormat="1" x14ac:dyDescent="0.3">
      <c r="A1795"/>
      <c r="B1795"/>
      <c r="C1795"/>
      <c r="D1795"/>
      <c r="E1795"/>
      <c r="F1795"/>
      <c r="G1795"/>
      <c r="H1795"/>
      <c r="I1795"/>
      <c r="J1795"/>
      <c r="K1795"/>
      <c r="L1795"/>
      <c r="M1795"/>
      <c r="N1795"/>
      <c r="O1795"/>
      <c r="P1795"/>
      <c r="Q1795"/>
      <c r="R1795"/>
      <c r="S1795"/>
      <c r="T1795"/>
      <c r="U1795"/>
      <c r="V1795"/>
      <c r="W1795"/>
      <c r="X1795"/>
      <c r="Y1795"/>
      <c r="Z1795"/>
      <c r="AA1795"/>
    </row>
    <row r="1796" spans="1:27" s="1" customFormat="1" x14ac:dyDescent="0.3">
      <c r="A1796"/>
      <c r="B1796"/>
      <c r="C1796"/>
      <c r="D1796"/>
      <c r="E1796"/>
      <c r="F1796"/>
      <c r="G1796"/>
      <c r="H1796"/>
      <c r="I1796"/>
      <c r="J1796"/>
      <c r="K1796"/>
      <c r="L1796"/>
      <c r="M1796"/>
      <c r="N1796"/>
      <c r="O1796"/>
      <c r="P1796"/>
      <c r="Q1796"/>
      <c r="R1796"/>
      <c r="S1796"/>
      <c r="T1796"/>
      <c r="U1796"/>
      <c r="V1796"/>
      <c r="W1796"/>
      <c r="X1796"/>
      <c r="Y1796"/>
      <c r="Z1796"/>
      <c r="AA1796"/>
    </row>
    <row r="1797" spans="1:27" s="1" customFormat="1" x14ac:dyDescent="0.3">
      <c r="A1797"/>
      <c r="B1797"/>
      <c r="C1797"/>
      <c r="D1797"/>
      <c r="E1797"/>
      <c r="F1797"/>
      <c r="G1797"/>
      <c r="H1797"/>
      <c r="I1797"/>
      <c r="J1797"/>
      <c r="K1797"/>
      <c r="L1797"/>
      <c r="M1797"/>
      <c r="N1797"/>
      <c r="O1797"/>
      <c r="P1797"/>
      <c r="Q1797"/>
      <c r="R1797"/>
      <c r="S1797"/>
      <c r="T1797"/>
      <c r="U1797"/>
      <c r="V1797"/>
      <c r="W1797"/>
      <c r="X1797"/>
      <c r="Y1797"/>
      <c r="Z1797"/>
      <c r="AA1797"/>
    </row>
    <row r="1798" spans="1:27" s="1" customFormat="1" x14ac:dyDescent="0.3">
      <c r="A1798"/>
      <c r="B1798"/>
      <c r="C1798"/>
      <c r="D1798"/>
      <c r="E1798"/>
      <c r="F1798"/>
      <c r="G1798"/>
      <c r="H1798"/>
      <c r="I1798"/>
      <c r="J1798"/>
      <c r="K1798"/>
      <c r="L1798"/>
      <c r="M1798"/>
      <c r="N1798"/>
      <c r="O1798"/>
      <c r="P1798"/>
      <c r="Q1798"/>
      <c r="R1798"/>
      <c r="S1798"/>
      <c r="T1798"/>
      <c r="U1798"/>
      <c r="V1798"/>
      <c r="W1798"/>
      <c r="X1798"/>
      <c r="Y1798"/>
      <c r="Z1798"/>
      <c r="AA1798"/>
    </row>
    <row r="1799" spans="1:27" s="1" customFormat="1" x14ac:dyDescent="0.3">
      <c r="A1799"/>
      <c r="B1799"/>
      <c r="C1799"/>
      <c r="D1799"/>
      <c r="E1799"/>
      <c r="F1799"/>
      <c r="G1799"/>
      <c r="H1799"/>
      <c r="I1799"/>
      <c r="J1799"/>
      <c r="K1799"/>
      <c r="L1799"/>
      <c r="M1799"/>
      <c r="N1799"/>
      <c r="O1799"/>
      <c r="P1799"/>
      <c r="Q1799"/>
      <c r="R1799"/>
      <c r="S1799"/>
      <c r="T1799"/>
      <c r="U1799"/>
      <c r="V1799"/>
      <c r="W1799"/>
      <c r="X1799"/>
      <c r="Y1799"/>
      <c r="Z1799"/>
      <c r="AA1799"/>
    </row>
    <row r="1800" spans="1:27" s="1" customFormat="1" x14ac:dyDescent="0.3">
      <c r="A1800"/>
      <c r="B1800"/>
      <c r="C1800"/>
      <c r="D1800"/>
      <c r="E1800"/>
      <c r="F1800"/>
      <c r="G1800"/>
      <c r="H1800"/>
      <c r="I1800"/>
      <c r="J1800"/>
      <c r="K1800"/>
      <c r="L1800"/>
      <c r="M1800"/>
      <c r="N1800"/>
      <c r="O1800"/>
      <c r="P1800"/>
      <c r="Q1800"/>
      <c r="R1800"/>
      <c r="S1800"/>
      <c r="T1800"/>
      <c r="U1800"/>
      <c r="V1800"/>
      <c r="W1800"/>
      <c r="X1800"/>
      <c r="Y1800"/>
      <c r="Z1800"/>
      <c r="AA1800"/>
    </row>
    <row r="1801" spans="1:27" s="1" customFormat="1" x14ac:dyDescent="0.3">
      <c r="A1801"/>
      <c r="B1801"/>
      <c r="C1801"/>
      <c r="D1801"/>
      <c r="E1801"/>
      <c r="F1801"/>
      <c r="G1801"/>
      <c r="H1801"/>
      <c r="I1801"/>
      <c r="J1801"/>
      <c r="K1801"/>
      <c r="L1801"/>
      <c r="M1801"/>
      <c r="N1801"/>
      <c r="O1801"/>
      <c r="P1801"/>
      <c r="Q1801"/>
      <c r="R1801"/>
      <c r="S1801"/>
      <c r="T1801"/>
      <c r="U1801"/>
      <c r="V1801"/>
      <c r="W1801"/>
      <c r="X1801"/>
      <c r="Y1801"/>
      <c r="Z1801"/>
      <c r="AA1801"/>
    </row>
    <row r="1802" spans="1:27" s="1" customFormat="1" x14ac:dyDescent="0.3">
      <c r="A1802"/>
      <c r="B1802"/>
      <c r="C1802"/>
      <c r="D1802"/>
      <c r="E1802"/>
      <c r="F1802"/>
      <c r="G1802"/>
      <c r="H1802"/>
      <c r="I1802"/>
      <c r="J1802"/>
      <c r="K1802"/>
      <c r="L1802"/>
      <c r="M1802"/>
      <c r="N1802"/>
      <c r="O1802"/>
      <c r="P1802"/>
      <c r="Q1802"/>
      <c r="R1802"/>
      <c r="S1802"/>
      <c r="T1802"/>
      <c r="U1802"/>
      <c r="V1802"/>
      <c r="W1802"/>
      <c r="X1802"/>
      <c r="Y1802"/>
      <c r="Z1802"/>
      <c r="AA1802"/>
    </row>
    <row r="1803" spans="1:27" s="1" customFormat="1" x14ac:dyDescent="0.3">
      <c r="A1803"/>
      <c r="B1803"/>
      <c r="C1803"/>
      <c r="D1803"/>
      <c r="E1803"/>
      <c r="F1803"/>
      <c r="G1803"/>
      <c r="H1803"/>
      <c r="I1803"/>
      <c r="J1803"/>
      <c r="K1803"/>
      <c r="L1803"/>
      <c r="M1803"/>
      <c r="N1803"/>
      <c r="O1803"/>
      <c r="P1803"/>
      <c r="Q1803"/>
      <c r="R1803"/>
      <c r="S1803"/>
      <c r="T1803"/>
      <c r="U1803"/>
      <c r="V1803"/>
      <c r="W1803"/>
      <c r="X1803"/>
      <c r="Y1803"/>
      <c r="Z1803"/>
      <c r="AA1803"/>
    </row>
    <row r="1804" spans="1:27" s="1" customFormat="1" x14ac:dyDescent="0.3">
      <c r="A1804"/>
      <c r="B1804"/>
      <c r="C1804"/>
      <c r="D1804"/>
      <c r="E1804"/>
      <c r="F1804"/>
      <c r="G1804"/>
      <c r="H1804"/>
      <c r="I1804"/>
      <c r="J1804"/>
      <c r="K1804"/>
      <c r="L1804"/>
      <c r="M1804"/>
      <c r="N1804"/>
      <c r="O1804"/>
      <c r="P1804"/>
      <c r="Q1804"/>
      <c r="R1804"/>
      <c r="S1804"/>
      <c r="T1804"/>
      <c r="U1804"/>
      <c r="V1804"/>
      <c r="W1804"/>
      <c r="X1804"/>
      <c r="Y1804"/>
      <c r="Z1804"/>
      <c r="AA1804"/>
    </row>
    <row r="1805" spans="1:27" s="1" customFormat="1" x14ac:dyDescent="0.3">
      <c r="A1805"/>
      <c r="B1805"/>
      <c r="C1805"/>
      <c r="D1805"/>
      <c r="E1805"/>
      <c r="F1805"/>
      <c r="G1805"/>
      <c r="H1805"/>
      <c r="I1805"/>
      <c r="J1805"/>
      <c r="K1805"/>
      <c r="L1805"/>
      <c r="M1805"/>
      <c r="N1805"/>
      <c r="O1805"/>
      <c r="P1805"/>
      <c r="Q1805"/>
      <c r="R1805"/>
      <c r="S1805"/>
      <c r="T1805"/>
      <c r="U1805"/>
      <c r="V1805"/>
      <c r="W1805"/>
      <c r="X1805"/>
      <c r="Y1805"/>
      <c r="Z1805"/>
      <c r="AA1805"/>
    </row>
    <row r="1806" spans="1:27" s="1" customFormat="1" x14ac:dyDescent="0.3">
      <c r="A1806"/>
      <c r="B1806"/>
      <c r="C1806"/>
      <c r="D1806"/>
      <c r="E1806"/>
      <c r="F1806"/>
      <c r="G1806"/>
      <c r="H1806"/>
      <c r="I1806"/>
      <c r="J1806"/>
      <c r="K1806"/>
      <c r="L1806"/>
      <c r="M1806"/>
      <c r="N1806"/>
      <c r="O1806"/>
      <c r="P1806"/>
      <c r="Q1806"/>
      <c r="R1806"/>
      <c r="S1806"/>
      <c r="T1806"/>
      <c r="U1806"/>
      <c r="V1806"/>
      <c r="W1806"/>
      <c r="X1806"/>
      <c r="Y1806"/>
      <c r="Z1806"/>
      <c r="AA1806"/>
    </row>
    <row r="1807" spans="1:27" s="1" customFormat="1" x14ac:dyDescent="0.3">
      <c r="A1807"/>
      <c r="B1807"/>
      <c r="C1807"/>
      <c r="D1807"/>
      <c r="E1807"/>
      <c r="F1807"/>
      <c r="G1807"/>
      <c r="H1807"/>
      <c r="I1807"/>
      <c r="J1807"/>
      <c r="K1807"/>
      <c r="L1807"/>
      <c r="M1807"/>
      <c r="N1807"/>
      <c r="O1807"/>
      <c r="P1807"/>
      <c r="Q1807"/>
      <c r="R1807"/>
      <c r="S1807"/>
      <c r="T1807"/>
      <c r="U1807"/>
      <c r="V1807"/>
      <c r="W1807"/>
      <c r="X1807"/>
      <c r="Y1807"/>
      <c r="Z1807"/>
      <c r="AA1807"/>
    </row>
    <row r="1808" spans="1:27" s="1" customFormat="1" x14ac:dyDescent="0.3">
      <c r="A1808"/>
      <c r="B1808"/>
      <c r="C1808"/>
      <c r="D1808"/>
      <c r="E1808"/>
      <c r="F1808"/>
      <c r="G1808"/>
      <c r="H1808"/>
      <c r="I1808"/>
      <c r="J1808"/>
      <c r="K1808"/>
      <c r="L1808"/>
      <c r="M1808"/>
      <c r="N1808"/>
      <c r="O1808"/>
      <c r="P1808"/>
      <c r="Q1808"/>
      <c r="R1808"/>
      <c r="S1808"/>
      <c r="T1808"/>
      <c r="U1808"/>
      <c r="V1808"/>
      <c r="W1808"/>
      <c r="X1808"/>
      <c r="Y1808"/>
      <c r="Z1808"/>
      <c r="AA1808"/>
    </row>
    <row r="1809" spans="1:27" s="1" customFormat="1" x14ac:dyDescent="0.3">
      <c r="A1809"/>
      <c r="B1809"/>
      <c r="C1809"/>
      <c r="D1809"/>
      <c r="E1809"/>
      <c r="F1809"/>
      <c r="G1809"/>
      <c r="H1809"/>
      <c r="I1809"/>
      <c r="J1809"/>
      <c r="K1809"/>
      <c r="L1809"/>
      <c r="M1809"/>
      <c r="N1809"/>
      <c r="O1809"/>
      <c r="P1809"/>
      <c r="Q1809"/>
      <c r="R1809"/>
      <c r="S1809"/>
      <c r="T1809"/>
      <c r="U1809"/>
      <c r="V1809"/>
      <c r="W1809"/>
      <c r="X1809"/>
      <c r="Y1809"/>
      <c r="Z1809"/>
      <c r="AA1809"/>
    </row>
    <row r="1810" spans="1:27" s="1" customFormat="1" x14ac:dyDescent="0.3">
      <c r="A1810"/>
      <c r="B1810"/>
      <c r="C1810"/>
      <c r="D1810"/>
      <c r="E1810"/>
      <c r="F1810"/>
      <c r="G1810"/>
      <c r="H1810"/>
      <c r="I1810"/>
      <c r="J1810"/>
      <c r="K1810"/>
      <c r="L1810"/>
      <c r="M1810"/>
      <c r="N1810"/>
      <c r="O1810"/>
      <c r="P1810"/>
      <c r="Q1810"/>
      <c r="R1810"/>
      <c r="S1810"/>
      <c r="T1810"/>
      <c r="U1810"/>
      <c r="V1810"/>
      <c r="W1810"/>
      <c r="X1810"/>
      <c r="Y1810"/>
      <c r="Z1810"/>
      <c r="AA1810"/>
    </row>
    <row r="1811" spans="1:27" s="1" customFormat="1" x14ac:dyDescent="0.3">
      <c r="A1811"/>
      <c r="B1811"/>
      <c r="C1811"/>
      <c r="D1811"/>
      <c r="E1811"/>
      <c r="F1811"/>
      <c r="G1811"/>
      <c r="H1811"/>
      <c r="I1811"/>
      <c r="J1811"/>
      <c r="K1811"/>
      <c r="L1811"/>
      <c r="M1811"/>
      <c r="N1811"/>
      <c r="O1811"/>
      <c r="P1811"/>
      <c r="Q1811"/>
      <c r="R1811"/>
      <c r="S1811"/>
      <c r="T1811"/>
      <c r="U1811"/>
      <c r="V1811"/>
      <c r="W1811"/>
      <c r="X1811"/>
      <c r="Y1811"/>
      <c r="Z1811"/>
      <c r="AA1811"/>
    </row>
    <row r="1812" spans="1:27" s="1" customFormat="1" x14ac:dyDescent="0.3">
      <c r="A1812"/>
      <c r="B1812"/>
      <c r="C1812"/>
      <c r="D1812"/>
      <c r="E1812"/>
      <c r="F1812"/>
      <c r="G1812"/>
      <c r="H1812"/>
      <c r="I1812"/>
      <c r="J1812"/>
      <c r="K1812"/>
      <c r="L1812"/>
      <c r="M1812"/>
      <c r="N1812"/>
      <c r="O1812"/>
      <c r="P1812"/>
      <c r="Q1812"/>
      <c r="R1812"/>
      <c r="S1812"/>
      <c r="T1812"/>
      <c r="U1812"/>
      <c r="V1812"/>
      <c r="W1812"/>
      <c r="X1812"/>
      <c r="Y1812"/>
      <c r="Z1812"/>
      <c r="AA1812"/>
    </row>
    <row r="1813" spans="1:27" s="1" customFormat="1" x14ac:dyDescent="0.3">
      <c r="A1813"/>
      <c r="B1813"/>
      <c r="C1813"/>
      <c r="D1813"/>
      <c r="E1813"/>
      <c r="F1813"/>
      <c r="G1813"/>
      <c r="H1813"/>
      <c r="I1813"/>
      <c r="J1813"/>
      <c r="K1813"/>
      <c r="L1813"/>
      <c r="M1813"/>
      <c r="N1813"/>
      <c r="O1813"/>
      <c r="P1813"/>
      <c r="Q1813"/>
      <c r="R1813"/>
      <c r="S1813"/>
      <c r="T1813"/>
      <c r="U1813"/>
      <c r="V1813"/>
      <c r="W1813"/>
      <c r="X1813"/>
      <c r="Y1813"/>
      <c r="Z1813"/>
      <c r="AA1813"/>
    </row>
    <row r="1814" spans="1:27" s="1" customFormat="1" x14ac:dyDescent="0.3">
      <c r="A1814"/>
      <c r="B1814"/>
      <c r="C1814"/>
      <c r="D1814"/>
      <c r="E1814"/>
      <c r="F1814"/>
      <c r="G1814"/>
      <c r="H1814"/>
      <c r="I1814"/>
      <c r="J1814"/>
      <c r="K1814"/>
      <c r="L1814"/>
      <c r="M1814"/>
      <c r="N1814"/>
      <c r="O1814"/>
      <c r="P1814"/>
      <c r="Q1814"/>
      <c r="R1814"/>
      <c r="S1814"/>
      <c r="T1814"/>
      <c r="U1814"/>
      <c r="V1814"/>
      <c r="W1814"/>
      <c r="X1814"/>
      <c r="Y1814"/>
      <c r="Z1814"/>
      <c r="AA1814"/>
    </row>
    <row r="1815" spans="1:27" s="1" customFormat="1" x14ac:dyDescent="0.3">
      <c r="A1815"/>
      <c r="B1815"/>
      <c r="C1815"/>
      <c r="D1815"/>
      <c r="E1815"/>
      <c r="F1815"/>
      <c r="G1815"/>
      <c r="H1815"/>
      <c r="I1815"/>
      <c r="J1815"/>
      <c r="K1815"/>
      <c r="L1815"/>
      <c r="M1815"/>
      <c r="N1815"/>
      <c r="O1815"/>
      <c r="P1815"/>
      <c r="Q1815"/>
      <c r="R1815"/>
      <c r="S1815"/>
      <c r="T1815"/>
      <c r="U1815"/>
      <c r="V1815"/>
      <c r="W1815"/>
      <c r="X1815"/>
      <c r="Y1815"/>
      <c r="Z1815"/>
      <c r="AA1815"/>
    </row>
    <row r="1816" spans="1:27" s="1" customFormat="1" x14ac:dyDescent="0.3">
      <c r="A1816"/>
      <c r="B1816"/>
      <c r="C1816"/>
      <c r="D1816"/>
      <c r="E1816"/>
      <c r="F1816"/>
      <c r="G1816"/>
      <c r="H1816"/>
      <c r="I1816"/>
      <c r="J1816"/>
      <c r="K1816"/>
      <c r="L1816"/>
      <c r="M1816"/>
      <c r="N1816"/>
      <c r="O1816"/>
      <c r="P1816"/>
      <c r="Q1816"/>
      <c r="R1816"/>
      <c r="S1816"/>
      <c r="T1816"/>
      <c r="U1816"/>
      <c r="V1816"/>
      <c r="W1816"/>
      <c r="X1816"/>
      <c r="Y1816"/>
      <c r="Z1816"/>
      <c r="AA1816"/>
    </row>
    <row r="1817" spans="1:27" s="1" customFormat="1" x14ac:dyDescent="0.3">
      <c r="A1817"/>
      <c r="B1817"/>
      <c r="C1817"/>
      <c r="D1817"/>
      <c r="E1817"/>
      <c r="F1817"/>
      <c r="G1817"/>
      <c r="H1817"/>
      <c r="I1817"/>
      <c r="J1817"/>
      <c r="K1817"/>
      <c r="L1817"/>
      <c r="M1817"/>
      <c r="N1817"/>
      <c r="O1817"/>
      <c r="P1817"/>
      <c r="Q1817"/>
      <c r="R1817"/>
      <c r="S1817"/>
      <c r="T1817"/>
      <c r="U1817"/>
      <c r="V1817"/>
      <c r="W1817"/>
      <c r="X1817"/>
      <c r="Y1817"/>
      <c r="Z1817"/>
      <c r="AA1817"/>
    </row>
    <row r="1818" spans="1:27" s="1" customFormat="1" x14ac:dyDescent="0.3">
      <c r="A1818"/>
      <c r="B1818"/>
      <c r="C1818"/>
      <c r="D1818"/>
      <c r="E1818"/>
      <c r="F1818"/>
      <c r="G1818"/>
      <c r="H1818"/>
      <c r="I1818"/>
      <c r="J1818"/>
      <c r="K1818"/>
      <c r="L1818"/>
      <c r="M1818"/>
      <c r="N1818"/>
      <c r="O1818"/>
      <c r="P1818"/>
      <c r="Q1818"/>
      <c r="R1818"/>
      <c r="S1818"/>
      <c r="T1818"/>
      <c r="U1818"/>
      <c r="V1818"/>
      <c r="W1818"/>
      <c r="X1818"/>
      <c r="Y1818"/>
      <c r="Z1818"/>
      <c r="AA1818"/>
    </row>
    <row r="1819" spans="1:27" s="1" customFormat="1" x14ac:dyDescent="0.3">
      <c r="A1819"/>
      <c r="B1819"/>
      <c r="C1819"/>
      <c r="D1819"/>
      <c r="E1819"/>
      <c r="F1819"/>
      <c r="G1819"/>
      <c r="H1819"/>
      <c r="I1819"/>
      <c r="J1819"/>
      <c r="K1819"/>
      <c r="L1819"/>
      <c r="M1819"/>
      <c r="N1819"/>
      <c r="O1819"/>
      <c r="P1819"/>
      <c r="Q1819"/>
      <c r="R1819"/>
      <c r="S1819"/>
      <c r="T1819"/>
      <c r="U1819"/>
      <c r="V1819"/>
      <c r="W1819"/>
      <c r="X1819"/>
      <c r="Y1819"/>
      <c r="Z1819"/>
      <c r="AA1819"/>
    </row>
    <row r="1820" spans="1:27" s="1" customFormat="1" x14ac:dyDescent="0.3">
      <c r="A1820"/>
      <c r="B1820"/>
      <c r="C1820"/>
      <c r="D1820"/>
      <c r="E1820"/>
      <c r="F1820"/>
      <c r="G1820"/>
      <c r="H1820"/>
      <c r="I1820"/>
      <c r="J1820"/>
      <c r="K1820"/>
      <c r="L1820"/>
      <c r="M1820"/>
      <c r="N1820"/>
      <c r="O1820"/>
      <c r="P1820"/>
      <c r="Q1820"/>
      <c r="R1820"/>
      <c r="S1820"/>
      <c r="T1820"/>
      <c r="U1820"/>
      <c r="V1820"/>
      <c r="W1820"/>
      <c r="X1820"/>
      <c r="Y1820"/>
      <c r="Z1820"/>
      <c r="AA1820"/>
    </row>
    <row r="1821" spans="1:27" s="1" customFormat="1" x14ac:dyDescent="0.3">
      <c r="A1821"/>
      <c r="B1821"/>
      <c r="C1821"/>
      <c r="D1821"/>
      <c r="E1821"/>
      <c r="F1821"/>
      <c r="G1821"/>
      <c r="H1821"/>
      <c r="I1821"/>
      <c r="J1821"/>
      <c r="K1821"/>
      <c r="L1821"/>
      <c r="M1821"/>
      <c r="N1821"/>
      <c r="O1821"/>
      <c r="P1821"/>
      <c r="Q1821"/>
      <c r="R1821"/>
      <c r="S1821"/>
      <c r="T1821"/>
      <c r="U1821"/>
      <c r="V1821"/>
      <c r="W1821"/>
      <c r="X1821"/>
      <c r="Y1821"/>
      <c r="Z1821"/>
      <c r="AA1821"/>
    </row>
    <row r="1822" spans="1:27" s="1" customFormat="1" x14ac:dyDescent="0.3">
      <c r="A1822"/>
      <c r="B1822"/>
      <c r="C1822"/>
      <c r="D1822"/>
      <c r="E1822"/>
      <c r="F1822"/>
      <c r="G1822"/>
      <c r="H1822"/>
      <c r="I1822"/>
      <c r="J1822"/>
      <c r="K1822"/>
      <c r="L1822"/>
      <c r="M1822"/>
      <c r="N1822"/>
      <c r="O1822"/>
      <c r="P1822"/>
      <c r="Q1822"/>
      <c r="R1822"/>
      <c r="S1822"/>
      <c r="T1822"/>
      <c r="U1822"/>
      <c r="V1822"/>
      <c r="W1822"/>
      <c r="X1822"/>
      <c r="Y1822"/>
      <c r="Z1822"/>
      <c r="AA1822"/>
    </row>
    <row r="1823" spans="1:27" s="1" customFormat="1" x14ac:dyDescent="0.3">
      <c r="A1823"/>
      <c r="B1823"/>
      <c r="C1823"/>
      <c r="D1823"/>
      <c r="E1823"/>
      <c r="F1823"/>
      <c r="G1823"/>
      <c r="H1823"/>
      <c r="I1823"/>
      <c r="J1823"/>
      <c r="K1823"/>
      <c r="L1823"/>
      <c r="M1823"/>
      <c r="N1823"/>
      <c r="O1823"/>
      <c r="P1823"/>
      <c r="Q1823"/>
      <c r="R1823"/>
      <c r="S1823"/>
      <c r="T1823"/>
      <c r="U1823"/>
      <c r="V1823"/>
      <c r="W1823"/>
      <c r="X1823"/>
      <c r="Y1823"/>
      <c r="Z1823"/>
      <c r="AA1823"/>
    </row>
    <row r="1824" spans="1:27" s="1" customFormat="1" x14ac:dyDescent="0.3">
      <c r="A1824"/>
      <c r="B1824"/>
      <c r="C1824"/>
      <c r="D1824"/>
      <c r="E1824"/>
      <c r="F1824"/>
      <c r="G1824"/>
      <c r="H1824"/>
      <c r="I1824"/>
      <c r="J1824"/>
      <c r="K1824"/>
      <c r="L1824"/>
      <c r="M1824"/>
      <c r="N1824"/>
      <c r="O1824"/>
      <c r="P1824"/>
      <c r="Q1824"/>
      <c r="R1824"/>
      <c r="S1824"/>
      <c r="T1824"/>
      <c r="U1824"/>
      <c r="V1824"/>
      <c r="W1824"/>
      <c r="X1824"/>
      <c r="Y1824"/>
      <c r="Z1824"/>
      <c r="AA1824"/>
    </row>
    <row r="1825" spans="1:27" s="1" customFormat="1" x14ac:dyDescent="0.3">
      <c r="A1825"/>
      <c r="B1825"/>
      <c r="C1825"/>
      <c r="D1825"/>
      <c r="E1825"/>
      <c r="F1825"/>
      <c r="G1825"/>
      <c r="H1825"/>
      <c r="I1825"/>
      <c r="J1825"/>
      <c r="K1825"/>
      <c r="L1825"/>
      <c r="M1825"/>
      <c r="N1825"/>
      <c r="O1825"/>
      <c r="P1825"/>
      <c r="Q1825"/>
      <c r="R1825"/>
      <c r="S1825"/>
      <c r="T1825"/>
      <c r="U1825"/>
      <c r="V1825"/>
      <c r="W1825"/>
      <c r="X1825"/>
      <c r="Y1825"/>
      <c r="Z1825"/>
      <c r="AA1825"/>
    </row>
    <row r="1826" spans="1:27" s="1" customFormat="1" x14ac:dyDescent="0.3">
      <c r="A1826"/>
      <c r="B1826"/>
      <c r="C1826"/>
      <c r="D1826"/>
      <c r="E1826"/>
      <c r="F1826"/>
      <c r="G1826"/>
      <c r="H1826"/>
      <c r="I1826"/>
      <c r="J1826"/>
      <c r="K1826"/>
      <c r="L1826"/>
      <c r="M1826"/>
      <c r="N1826"/>
      <c r="O1826"/>
      <c r="P1826"/>
      <c r="Q1826"/>
      <c r="R1826"/>
      <c r="S1826"/>
      <c r="T1826"/>
      <c r="U1826"/>
      <c r="V1826"/>
      <c r="W1826"/>
      <c r="X1826"/>
      <c r="Y1826"/>
      <c r="Z1826"/>
      <c r="AA1826"/>
    </row>
    <row r="1827" spans="1:27" s="1" customFormat="1" x14ac:dyDescent="0.3">
      <c r="A1827"/>
      <c r="B1827"/>
      <c r="C1827"/>
      <c r="D1827"/>
      <c r="E1827"/>
      <c r="F1827"/>
      <c r="G1827"/>
      <c r="H1827"/>
      <c r="I1827"/>
      <c r="J1827"/>
      <c r="K1827"/>
      <c r="L1827"/>
      <c r="M1827"/>
      <c r="N1827"/>
      <c r="O1827"/>
      <c r="P1827"/>
      <c r="Q1827"/>
      <c r="R1827"/>
      <c r="S1827"/>
      <c r="T1827"/>
      <c r="U1827"/>
      <c r="V1827"/>
      <c r="W1827"/>
      <c r="X1827"/>
      <c r="Y1827"/>
      <c r="Z1827"/>
      <c r="AA1827"/>
    </row>
    <row r="1828" spans="1:27" s="1" customFormat="1" x14ac:dyDescent="0.3">
      <c r="A1828"/>
      <c r="B1828"/>
      <c r="C1828"/>
      <c r="D1828"/>
      <c r="E1828"/>
      <c r="F1828"/>
      <c r="G1828"/>
      <c r="H1828"/>
      <c r="I1828"/>
      <c r="J1828"/>
      <c r="K1828"/>
      <c r="L1828"/>
      <c r="M1828"/>
      <c r="N1828"/>
      <c r="O1828"/>
      <c r="P1828"/>
      <c r="Q1828"/>
      <c r="R1828"/>
      <c r="S1828"/>
      <c r="T1828"/>
      <c r="U1828"/>
      <c r="V1828"/>
      <c r="W1828"/>
      <c r="X1828"/>
      <c r="Y1828"/>
      <c r="Z1828"/>
      <c r="AA1828"/>
    </row>
    <row r="1829" spans="1:27" s="1" customFormat="1" x14ac:dyDescent="0.3">
      <c r="A1829"/>
      <c r="B1829"/>
      <c r="C1829"/>
      <c r="D1829"/>
      <c r="E1829"/>
      <c r="F1829"/>
      <c r="G1829"/>
      <c r="H1829"/>
      <c r="I1829"/>
      <c r="J1829"/>
      <c r="K1829"/>
      <c r="L1829"/>
      <c r="M1829"/>
      <c r="N1829"/>
      <c r="O1829"/>
      <c r="P1829"/>
      <c r="Q1829"/>
      <c r="R1829"/>
      <c r="S1829"/>
      <c r="T1829"/>
      <c r="U1829"/>
      <c r="V1829"/>
      <c r="W1829"/>
      <c r="X1829"/>
      <c r="Y1829"/>
      <c r="Z1829"/>
      <c r="AA1829"/>
    </row>
    <row r="1830" spans="1:27" s="1" customFormat="1" x14ac:dyDescent="0.3">
      <c r="A1830"/>
      <c r="B1830"/>
      <c r="C1830"/>
      <c r="D1830"/>
      <c r="E1830"/>
      <c r="F1830"/>
      <c r="G1830"/>
      <c r="H1830"/>
      <c r="I1830"/>
      <c r="J1830"/>
      <c r="K1830"/>
      <c r="L1830"/>
      <c r="M1830"/>
      <c r="N1830"/>
      <c r="O1830"/>
      <c r="P1830"/>
      <c r="Q1830"/>
      <c r="R1830"/>
      <c r="S1830"/>
      <c r="T1830"/>
      <c r="U1830"/>
      <c r="V1830"/>
      <c r="W1830"/>
      <c r="X1830"/>
      <c r="Y1830"/>
      <c r="Z1830"/>
      <c r="AA1830"/>
    </row>
    <row r="1831" spans="1:27" s="1" customFormat="1" x14ac:dyDescent="0.3">
      <c r="A1831"/>
      <c r="B1831"/>
      <c r="C1831"/>
      <c r="D1831"/>
      <c r="E1831"/>
      <c r="F1831"/>
      <c r="G1831"/>
      <c r="H1831"/>
      <c r="I1831"/>
      <c r="J1831"/>
      <c r="K1831"/>
      <c r="L1831"/>
      <c r="M1831"/>
      <c r="N1831"/>
      <c r="O1831"/>
      <c r="P1831"/>
      <c r="Q1831"/>
      <c r="R1831"/>
      <c r="S1831"/>
      <c r="T1831"/>
      <c r="U1831"/>
      <c r="V1831"/>
      <c r="W1831"/>
      <c r="X1831"/>
      <c r="Y1831"/>
      <c r="Z1831"/>
      <c r="AA1831"/>
    </row>
    <row r="1832" spans="1:27" s="1" customFormat="1" x14ac:dyDescent="0.3">
      <c r="A1832"/>
      <c r="B1832"/>
      <c r="C1832"/>
      <c r="D1832"/>
      <c r="E1832"/>
      <c r="F1832"/>
      <c r="G1832"/>
      <c r="H1832"/>
      <c r="I1832"/>
      <c r="J1832"/>
      <c r="K1832"/>
      <c r="L1832"/>
      <c r="M1832"/>
      <c r="N1832"/>
      <c r="O1832"/>
      <c r="P1832"/>
      <c r="Q1832"/>
      <c r="R1832"/>
      <c r="S1832"/>
      <c r="T1832"/>
      <c r="U1832"/>
      <c r="V1832"/>
      <c r="W1832"/>
      <c r="X1832"/>
      <c r="Y1832"/>
      <c r="Z1832"/>
      <c r="AA1832"/>
    </row>
    <row r="1833" spans="1:27" s="1" customFormat="1" x14ac:dyDescent="0.3">
      <c r="A1833"/>
      <c r="B1833"/>
      <c r="C1833"/>
      <c r="D1833"/>
      <c r="E1833"/>
      <c r="F1833"/>
      <c r="G1833"/>
      <c r="H1833"/>
      <c r="I1833"/>
      <c r="J1833"/>
      <c r="K1833"/>
      <c r="L1833"/>
      <c r="M1833"/>
      <c r="N1833"/>
      <c r="O1833"/>
      <c r="P1833"/>
      <c r="Q1833"/>
      <c r="R1833"/>
      <c r="S1833"/>
      <c r="T1833"/>
      <c r="U1833"/>
      <c r="V1833"/>
      <c r="W1833"/>
      <c r="X1833"/>
      <c r="Y1833"/>
      <c r="Z1833"/>
      <c r="AA1833"/>
    </row>
    <row r="1834" spans="1:27" s="1" customFormat="1" x14ac:dyDescent="0.3">
      <c r="A1834"/>
      <c r="B1834"/>
      <c r="C1834"/>
      <c r="D1834"/>
      <c r="E1834"/>
      <c r="F1834"/>
      <c r="G1834"/>
      <c r="H1834"/>
      <c r="I1834"/>
      <c r="J1834"/>
      <c r="K1834"/>
      <c r="L1834"/>
      <c r="M1834"/>
      <c r="N1834"/>
      <c r="O1834"/>
      <c r="P1834"/>
      <c r="Q1834"/>
      <c r="R1834"/>
      <c r="S1834"/>
      <c r="T1834"/>
      <c r="U1834"/>
      <c r="V1834"/>
      <c r="W1834"/>
      <c r="X1834"/>
      <c r="Y1834"/>
      <c r="Z1834"/>
      <c r="AA1834"/>
    </row>
    <row r="1835" spans="1:27" s="1" customFormat="1" x14ac:dyDescent="0.3">
      <c r="A1835"/>
      <c r="B1835"/>
      <c r="C1835"/>
      <c r="D1835"/>
      <c r="E1835"/>
      <c r="F1835"/>
      <c r="G1835"/>
      <c r="H1835"/>
      <c r="I1835"/>
      <c r="J1835"/>
      <c r="K1835"/>
      <c r="L1835"/>
      <c r="M1835"/>
      <c r="N1835"/>
      <c r="O1835"/>
      <c r="P1835"/>
      <c r="Q1835"/>
      <c r="R1835"/>
      <c r="S1835"/>
      <c r="T1835"/>
      <c r="U1835"/>
      <c r="V1835"/>
      <c r="W1835"/>
      <c r="X1835"/>
      <c r="Y1835"/>
      <c r="Z1835"/>
      <c r="AA1835"/>
    </row>
    <row r="1836" spans="1:27" s="1" customFormat="1" x14ac:dyDescent="0.3">
      <c r="A1836"/>
      <c r="B1836"/>
      <c r="C1836"/>
      <c r="D1836"/>
      <c r="E1836"/>
      <c r="F1836"/>
      <c r="G1836"/>
      <c r="H1836"/>
      <c r="I1836"/>
      <c r="J1836"/>
      <c r="K1836"/>
      <c r="L1836"/>
      <c r="M1836"/>
      <c r="N1836"/>
      <c r="O1836"/>
      <c r="P1836"/>
      <c r="Q1836"/>
      <c r="R1836"/>
      <c r="S1836"/>
      <c r="T1836"/>
      <c r="U1836"/>
      <c r="V1836"/>
      <c r="W1836"/>
      <c r="X1836"/>
      <c r="Y1836"/>
      <c r="Z1836"/>
      <c r="AA1836"/>
    </row>
    <row r="1837" spans="1:27" s="1" customFormat="1" x14ac:dyDescent="0.3">
      <c r="A1837"/>
      <c r="B1837"/>
      <c r="C1837"/>
      <c r="D1837"/>
      <c r="E1837"/>
      <c r="F1837"/>
      <c r="G1837"/>
      <c r="H1837"/>
      <c r="I1837"/>
      <c r="J1837"/>
      <c r="K1837"/>
      <c r="L1837"/>
      <c r="M1837"/>
      <c r="N1837"/>
      <c r="O1837"/>
      <c r="P1837"/>
      <c r="Q1837"/>
      <c r="R1837"/>
      <c r="S1837"/>
      <c r="T1837"/>
      <c r="U1837"/>
      <c r="V1837"/>
      <c r="W1837"/>
      <c r="X1837"/>
      <c r="Y1837"/>
      <c r="Z1837"/>
      <c r="AA1837"/>
    </row>
    <row r="1838" spans="1:27" s="1" customFormat="1" x14ac:dyDescent="0.3">
      <c r="A1838"/>
      <c r="B1838"/>
      <c r="C1838"/>
      <c r="D1838"/>
      <c r="E1838"/>
      <c r="F1838"/>
      <c r="G1838"/>
      <c r="H1838"/>
      <c r="I1838"/>
      <c r="J1838"/>
      <c r="K1838"/>
      <c r="L1838"/>
      <c r="M1838"/>
      <c r="N1838"/>
      <c r="O1838"/>
      <c r="P1838"/>
      <c r="Q1838"/>
      <c r="R1838"/>
      <c r="S1838"/>
      <c r="T1838"/>
      <c r="U1838"/>
      <c r="V1838"/>
      <c r="W1838"/>
      <c r="X1838"/>
      <c r="Y1838"/>
      <c r="Z1838"/>
      <c r="AA1838"/>
    </row>
    <row r="1839" spans="1:27" s="1" customFormat="1" x14ac:dyDescent="0.3">
      <c r="A1839"/>
      <c r="B1839"/>
      <c r="C1839"/>
      <c r="D1839"/>
      <c r="E1839"/>
      <c r="F1839"/>
      <c r="G1839"/>
      <c r="H1839"/>
      <c r="I1839"/>
      <c r="J1839"/>
      <c r="K1839"/>
      <c r="L1839"/>
      <c r="M1839"/>
      <c r="N1839"/>
      <c r="O1839"/>
      <c r="P1839"/>
      <c r="Q1839"/>
      <c r="R1839"/>
      <c r="S1839"/>
      <c r="T1839"/>
      <c r="U1839"/>
      <c r="V1839"/>
      <c r="W1839"/>
      <c r="X1839"/>
      <c r="Y1839"/>
      <c r="Z1839"/>
      <c r="AA1839"/>
    </row>
    <row r="1840" spans="1:27" s="1" customFormat="1" x14ac:dyDescent="0.3">
      <c r="A1840"/>
      <c r="B1840"/>
      <c r="C1840"/>
      <c r="D1840"/>
      <c r="E1840"/>
      <c r="F1840"/>
      <c r="G1840"/>
      <c r="H1840"/>
      <c r="I1840"/>
      <c r="J1840"/>
      <c r="K1840"/>
      <c r="L1840"/>
      <c r="M1840"/>
      <c r="N1840"/>
      <c r="O1840"/>
      <c r="P1840"/>
      <c r="Q1840"/>
      <c r="R1840"/>
      <c r="S1840"/>
      <c r="T1840"/>
      <c r="U1840"/>
      <c r="V1840"/>
      <c r="W1840"/>
      <c r="X1840"/>
      <c r="Y1840"/>
      <c r="Z1840"/>
      <c r="AA1840"/>
    </row>
    <row r="1841" spans="1:27" s="1" customFormat="1" x14ac:dyDescent="0.3">
      <c r="A1841"/>
      <c r="B1841"/>
      <c r="C1841"/>
      <c r="D1841"/>
      <c r="E1841"/>
      <c r="F1841"/>
      <c r="G1841"/>
      <c r="H1841"/>
      <c r="I1841"/>
      <c r="J1841"/>
      <c r="K1841"/>
      <c r="L1841"/>
      <c r="M1841"/>
      <c r="N1841"/>
      <c r="O1841"/>
      <c r="P1841"/>
      <c r="Q1841"/>
      <c r="R1841"/>
      <c r="S1841"/>
      <c r="T1841"/>
      <c r="U1841"/>
      <c r="V1841"/>
      <c r="W1841"/>
      <c r="X1841"/>
      <c r="Y1841"/>
      <c r="Z1841"/>
      <c r="AA1841"/>
    </row>
    <row r="1842" spans="1:27" s="1" customFormat="1" x14ac:dyDescent="0.3">
      <c r="A1842"/>
      <c r="B1842"/>
      <c r="C1842"/>
      <c r="D1842"/>
      <c r="E1842"/>
      <c r="F1842"/>
      <c r="G1842"/>
      <c r="H1842"/>
      <c r="I1842"/>
      <c r="J1842"/>
      <c r="K1842"/>
      <c r="L1842"/>
      <c r="M1842"/>
      <c r="N1842"/>
      <c r="O1842"/>
      <c r="P1842"/>
      <c r="Q1842"/>
      <c r="R1842"/>
      <c r="S1842"/>
      <c r="T1842"/>
      <c r="U1842"/>
      <c r="V1842"/>
      <c r="W1842"/>
      <c r="X1842"/>
      <c r="Y1842"/>
      <c r="Z1842"/>
      <c r="AA1842"/>
    </row>
    <row r="1843" spans="1:27" s="1" customFormat="1" x14ac:dyDescent="0.3">
      <c r="A1843"/>
      <c r="B1843"/>
      <c r="C1843"/>
      <c r="D1843"/>
      <c r="E1843"/>
      <c r="F1843"/>
      <c r="G1843"/>
      <c r="H1843"/>
      <c r="I1843"/>
      <c r="J1843"/>
      <c r="K1843"/>
      <c r="L1843"/>
      <c r="M1843"/>
      <c r="N1843"/>
      <c r="O1843"/>
      <c r="P1843"/>
      <c r="Q1843"/>
      <c r="R1843"/>
      <c r="S1843"/>
      <c r="T1843"/>
      <c r="U1843"/>
      <c r="V1843"/>
      <c r="W1843"/>
      <c r="X1843"/>
      <c r="Y1843"/>
      <c r="Z1843"/>
      <c r="AA1843"/>
    </row>
    <row r="1844" spans="1:27" s="1" customFormat="1" x14ac:dyDescent="0.3">
      <c r="A1844"/>
      <c r="B1844"/>
      <c r="C1844"/>
      <c r="D1844"/>
      <c r="E1844"/>
      <c r="F1844"/>
      <c r="G1844"/>
      <c r="H1844"/>
      <c r="I1844"/>
      <c r="J1844"/>
      <c r="K1844"/>
      <c r="L1844"/>
      <c r="M1844"/>
      <c r="N1844"/>
      <c r="O1844"/>
      <c r="P1844"/>
      <c r="Q1844"/>
      <c r="R1844"/>
      <c r="S1844"/>
      <c r="T1844"/>
      <c r="U1844"/>
      <c r="V1844"/>
      <c r="W1844"/>
      <c r="X1844"/>
      <c r="Y1844"/>
      <c r="Z1844"/>
      <c r="AA1844"/>
    </row>
    <row r="1845" spans="1:27" s="1" customFormat="1" x14ac:dyDescent="0.3">
      <c r="A1845"/>
      <c r="B1845"/>
      <c r="C1845"/>
      <c r="D1845"/>
      <c r="E1845"/>
      <c r="F1845"/>
      <c r="G1845"/>
      <c r="H1845"/>
      <c r="I1845"/>
      <c r="J1845"/>
      <c r="K1845"/>
      <c r="L1845"/>
      <c r="M1845"/>
      <c r="N1845"/>
      <c r="O1845"/>
      <c r="P1845"/>
      <c r="Q1845"/>
      <c r="R1845"/>
      <c r="S1845"/>
      <c r="T1845"/>
      <c r="U1845"/>
      <c r="V1845"/>
      <c r="W1845"/>
      <c r="X1845"/>
      <c r="Y1845"/>
      <c r="Z1845"/>
      <c r="AA1845"/>
    </row>
    <row r="1846" spans="1:27" s="1" customFormat="1" x14ac:dyDescent="0.3">
      <c r="A1846"/>
      <c r="B1846"/>
      <c r="C1846"/>
      <c r="D1846"/>
      <c r="E1846"/>
      <c r="F1846"/>
      <c r="G1846"/>
      <c r="H1846"/>
      <c r="I1846"/>
      <c r="J1846"/>
      <c r="K1846"/>
      <c r="L1846"/>
      <c r="M1846"/>
      <c r="N1846"/>
      <c r="O1846"/>
      <c r="P1846"/>
      <c r="Q1846"/>
      <c r="R1846"/>
      <c r="S1846"/>
      <c r="T1846"/>
      <c r="U1846"/>
      <c r="V1846"/>
      <c r="W1846"/>
      <c r="X1846"/>
      <c r="Y1846"/>
      <c r="Z1846"/>
      <c r="AA1846"/>
    </row>
    <row r="1847" spans="1:27" s="1" customFormat="1" x14ac:dyDescent="0.3">
      <c r="A1847"/>
      <c r="B1847"/>
      <c r="C1847"/>
      <c r="D1847"/>
      <c r="E1847"/>
      <c r="F1847"/>
      <c r="G1847"/>
      <c r="H1847"/>
      <c r="I1847"/>
      <c r="J1847"/>
      <c r="K1847"/>
      <c r="L1847"/>
      <c r="M1847"/>
      <c r="N1847"/>
      <c r="O1847"/>
      <c r="P1847"/>
      <c r="Q1847"/>
      <c r="R1847"/>
      <c r="S1847"/>
      <c r="T1847"/>
      <c r="U1847"/>
      <c r="V1847"/>
      <c r="W1847"/>
      <c r="X1847"/>
      <c r="Y1847"/>
      <c r="Z1847"/>
      <c r="AA1847"/>
    </row>
    <row r="1848" spans="1:27" s="1" customFormat="1" x14ac:dyDescent="0.3">
      <c r="A1848"/>
      <c r="B1848"/>
      <c r="C1848"/>
      <c r="D1848"/>
      <c r="E1848"/>
      <c r="F1848"/>
      <c r="G1848"/>
      <c r="H1848"/>
      <c r="I1848"/>
      <c r="J1848"/>
      <c r="K1848"/>
      <c r="L1848"/>
      <c r="M1848"/>
      <c r="N1848"/>
      <c r="O1848"/>
      <c r="P1848"/>
      <c r="Q1848"/>
      <c r="R1848"/>
      <c r="S1848"/>
      <c r="T1848"/>
      <c r="U1848"/>
      <c r="V1848"/>
      <c r="W1848"/>
      <c r="X1848"/>
      <c r="Y1848"/>
      <c r="Z1848"/>
      <c r="AA1848"/>
    </row>
    <row r="1849" spans="1:27" s="1" customFormat="1" x14ac:dyDescent="0.3">
      <c r="A1849"/>
      <c r="B1849"/>
      <c r="C1849"/>
      <c r="D1849"/>
      <c r="E1849"/>
      <c r="F1849"/>
      <c r="G1849"/>
      <c r="H1849"/>
      <c r="I1849"/>
      <c r="J1849"/>
      <c r="K1849"/>
      <c r="L1849"/>
      <c r="M1849"/>
      <c r="N1849"/>
      <c r="O1849"/>
      <c r="P1849"/>
      <c r="Q1849"/>
      <c r="R1849"/>
      <c r="S1849"/>
      <c r="T1849"/>
      <c r="U1849"/>
      <c r="V1849"/>
      <c r="W1849"/>
      <c r="X1849"/>
      <c r="Y1849"/>
      <c r="Z1849"/>
      <c r="AA1849"/>
    </row>
    <row r="1850" spans="1:27" s="1" customFormat="1" x14ac:dyDescent="0.3">
      <c r="A1850"/>
      <c r="B1850"/>
      <c r="C1850"/>
      <c r="D1850"/>
      <c r="E1850"/>
      <c r="F1850"/>
      <c r="G1850"/>
      <c r="H1850"/>
      <c r="I1850"/>
      <c r="J1850"/>
      <c r="K1850"/>
      <c r="L1850"/>
      <c r="M1850"/>
      <c r="N1850"/>
      <c r="O1850"/>
      <c r="P1850"/>
      <c r="Q1850"/>
      <c r="R1850"/>
      <c r="S1850"/>
      <c r="T1850"/>
      <c r="U1850"/>
      <c r="V1850"/>
      <c r="W1850"/>
      <c r="X1850"/>
      <c r="Y1850"/>
      <c r="Z1850"/>
      <c r="AA1850"/>
    </row>
    <row r="1851" spans="1:27" s="1" customFormat="1" x14ac:dyDescent="0.3">
      <c r="A1851"/>
      <c r="B1851"/>
      <c r="C1851"/>
      <c r="D1851"/>
      <c r="E1851"/>
      <c r="F1851"/>
      <c r="G1851"/>
      <c r="H1851"/>
      <c r="I1851"/>
      <c r="J1851"/>
      <c r="K1851"/>
      <c r="L1851"/>
      <c r="M1851"/>
      <c r="N1851"/>
      <c r="O1851"/>
      <c r="P1851"/>
      <c r="Q1851"/>
      <c r="R1851"/>
      <c r="S1851"/>
      <c r="T1851"/>
      <c r="U1851"/>
      <c r="V1851"/>
      <c r="W1851"/>
      <c r="X1851"/>
      <c r="Y1851"/>
      <c r="Z1851"/>
      <c r="AA1851"/>
    </row>
    <row r="1852" spans="1:27" s="1" customFormat="1" x14ac:dyDescent="0.3">
      <c r="A1852"/>
      <c r="B1852"/>
      <c r="C1852"/>
      <c r="D1852"/>
      <c r="E1852"/>
      <c r="F1852"/>
      <c r="G1852"/>
      <c r="H1852"/>
      <c r="I1852"/>
      <c r="J1852"/>
      <c r="K1852"/>
      <c r="L1852"/>
      <c r="M1852"/>
      <c r="N1852"/>
      <c r="O1852"/>
      <c r="P1852"/>
      <c r="Q1852"/>
      <c r="R1852"/>
      <c r="S1852"/>
      <c r="T1852"/>
      <c r="U1852"/>
      <c r="V1852"/>
      <c r="W1852"/>
      <c r="X1852"/>
      <c r="Y1852"/>
      <c r="Z1852"/>
      <c r="AA1852"/>
    </row>
    <row r="1853" spans="1:27" s="1" customFormat="1" x14ac:dyDescent="0.3">
      <c r="A1853"/>
      <c r="B1853"/>
      <c r="C1853"/>
      <c r="D1853"/>
      <c r="E1853"/>
      <c r="F1853"/>
      <c r="G1853"/>
      <c r="H1853"/>
      <c r="I1853"/>
      <c r="J1853"/>
      <c r="K1853"/>
      <c r="L1853"/>
      <c r="M1853"/>
      <c r="N1853"/>
      <c r="O1853"/>
      <c r="P1853"/>
      <c r="Q1853"/>
      <c r="R1853"/>
      <c r="S1853"/>
      <c r="T1853"/>
      <c r="U1853"/>
      <c r="V1853"/>
      <c r="W1853"/>
      <c r="X1853"/>
      <c r="Y1853"/>
      <c r="Z1853"/>
      <c r="AA1853"/>
    </row>
    <row r="1854" spans="1:27" s="1" customFormat="1" x14ac:dyDescent="0.3">
      <c r="A1854"/>
      <c r="B1854"/>
      <c r="C1854"/>
      <c r="D1854"/>
      <c r="E1854"/>
      <c r="F1854"/>
      <c r="G1854"/>
      <c r="H1854"/>
      <c r="I1854"/>
      <c r="J1854"/>
      <c r="K1854"/>
      <c r="L1854"/>
      <c r="M1854"/>
      <c r="N1854"/>
      <c r="O1854"/>
      <c r="P1854"/>
      <c r="Q1854"/>
      <c r="R1854"/>
      <c r="S1854"/>
      <c r="T1854"/>
      <c r="U1854"/>
      <c r="V1854"/>
      <c r="W1854"/>
      <c r="X1854"/>
      <c r="Y1854"/>
      <c r="Z1854"/>
      <c r="AA1854"/>
    </row>
    <row r="1855" spans="1:27" s="1" customFormat="1" x14ac:dyDescent="0.3">
      <c r="A1855"/>
      <c r="B1855"/>
      <c r="C1855"/>
      <c r="D1855"/>
      <c r="E1855"/>
      <c r="F1855"/>
      <c r="G1855"/>
      <c r="H1855"/>
      <c r="I1855"/>
      <c r="J1855"/>
      <c r="K1855"/>
      <c r="L1855"/>
      <c r="M1855"/>
      <c r="N1855"/>
      <c r="O1855"/>
      <c r="P1855"/>
      <c r="Q1855"/>
      <c r="R1855"/>
      <c r="S1855"/>
      <c r="T1855"/>
      <c r="U1855"/>
      <c r="V1855"/>
      <c r="W1855"/>
      <c r="X1855"/>
      <c r="Y1855"/>
      <c r="Z1855"/>
      <c r="AA1855"/>
    </row>
    <row r="1856" spans="1:27" s="1" customFormat="1" x14ac:dyDescent="0.3">
      <c r="A1856"/>
      <c r="B1856"/>
      <c r="C1856"/>
      <c r="D1856"/>
      <c r="E1856"/>
      <c r="F1856"/>
      <c r="G1856"/>
      <c r="H1856"/>
      <c r="I1856"/>
      <c r="J1856"/>
      <c r="K1856"/>
      <c r="L1856"/>
      <c r="M1856"/>
      <c r="N1856"/>
      <c r="O1856"/>
      <c r="P1856"/>
      <c r="Q1856"/>
      <c r="R1856"/>
      <c r="S1856"/>
      <c r="T1856"/>
      <c r="U1856"/>
      <c r="V1856"/>
      <c r="W1856"/>
      <c r="X1856"/>
      <c r="Y1856"/>
      <c r="Z1856"/>
      <c r="AA1856"/>
    </row>
    <row r="1857" spans="1:27" s="1" customFormat="1" x14ac:dyDescent="0.3">
      <c r="A1857"/>
      <c r="B1857"/>
      <c r="C1857"/>
      <c r="D1857"/>
      <c r="E1857"/>
      <c r="F1857"/>
      <c r="G1857"/>
      <c r="H1857"/>
      <c r="I1857"/>
      <c r="J1857"/>
      <c r="K1857"/>
      <c r="L1857"/>
      <c r="M1857"/>
      <c r="N1857"/>
      <c r="O1857"/>
      <c r="P1857"/>
      <c r="Q1857"/>
      <c r="R1857"/>
      <c r="S1857"/>
      <c r="T1857"/>
      <c r="U1857"/>
      <c r="V1857"/>
      <c r="W1857"/>
      <c r="X1857"/>
      <c r="Y1857"/>
      <c r="Z1857"/>
      <c r="AA1857"/>
    </row>
    <row r="1858" spans="1:27" s="1" customFormat="1" x14ac:dyDescent="0.3">
      <c r="A1858"/>
      <c r="B1858"/>
      <c r="C1858"/>
      <c r="D1858"/>
      <c r="E1858"/>
      <c r="F1858"/>
      <c r="G1858"/>
      <c r="H1858"/>
      <c r="I1858"/>
      <c r="J1858"/>
      <c r="K1858"/>
      <c r="L1858"/>
      <c r="M1858"/>
      <c r="N1858"/>
      <c r="O1858"/>
      <c r="P1858"/>
      <c r="Q1858"/>
      <c r="R1858"/>
      <c r="S1858"/>
      <c r="T1858"/>
      <c r="U1858"/>
      <c r="V1858"/>
      <c r="W1858"/>
      <c r="X1858"/>
      <c r="Y1858"/>
      <c r="Z1858"/>
      <c r="AA1858"/>
    </row>
    <row r="1859" spans="1:27" s="1" customFormat="1" x14ac:dyDescent="0.3">
      <c r="A1859"/>
      <c r="B1859"/>
      <c r="C1859"/>
      <c r="D1859"/>
      <c r="E1859"/>
      <c r="F1859"/>
      <c r="G1859"/>
      <c r="H1859"/>
      <c r="I1859"/>
      <c r="J1859"/>
      <c r="K1859"/>
      <c r="L1859"/>
      <c r="M1859"/>
      <c r="N1859"/>
      <c r="O1859"/>
      <c r="P1859"/>
      <c r="Q1859"/>
      <c r="R1859"/>
      <c r="S1859"/>
      <c r="T1859"/>
      <c r="U1859"/>
      <c r="V1859"/>
      <c r="W1859"/>
      <c r="X1859"/>
      <c r="Y1859"/>
      <c r="Z1859"/>
      <c r="AA1859"/>
    </row>
    <row r="1860" spans="1:27" s="1" customFormat="1" x14ac:dyDescent="0.3">
      <c r="A1860"/>
      <c r="B1860"/>
      <c r="C1860"/>
      <c r="D1860"/>
      <c r="E1860"/>
      <c r="F1860"/>
      <c r="G1860"/>
      <c r="H1860"/>
      <c r="I1860"/>
      <c r="J1860"/>
      <c r="K1860"/>
      <c r="L1860"/>
      <c r="M1860"/>
      <c r="N1860"/>
      <c r="O1860"/>
      <c r="P1860"/>
      <c r="Q1860"/>
      <c r="R1860"/>
      <c r="S1860"/>
      <c r="T1860"/>
      <c r="U1860"/>
      <c r="V1860"/>
      <c r="W1860"/>
      <c r="X1860"/>
      <c r="Y1860"/>
      <c r="Z1860"/>
      <c r="AA1860"/>
    </row>
    <row r="1861" spans="1:27" s="1" customFormat="1" x14ac:dyDescent="0.3">
      <c r="A1861"/>
      <c r="B1861"/>
      <c r="C1861"/>
      <c r="D1861"/>
      <c r="E1861"/>
      <c r="F1861"/>
      <c r="G1861"/>
      <c r="H1861"/>
      <c r="I1861"/>
      <c r="J1861"/>
      <c r="K1861"/>
      <c r="L1861"/>
      <c r="M1861"/>
      <c r="N1861"/>
      <c r="O1861"/>
      <c r="P1861"/>
      <c r="Q1861"/>
      <c r="R1861"/>
      <c r="S1861"/>
      <c r="T1861"/>
      <c r="U1861"/>
      <c r="V1861"/>
      <c r="W1861"/>
      <c r="X1861"/>
      <c r="Y1861"/>
      <c r="Z1861"/>
      <c r="AA1861"/>
    </row>
    <row r="1862" spans="1:27" s="1" customFormat="1" x14ac:dyDescent="0.3">
      <c r="A1862"/>
      <c r="B1862"/>
      <c r="C1862"/>
      <c r="D1862"/>
      <c r="E1862"/>
      <c r="F1862"/>
      <c r="G1862"/>
      <c r="H1862"/>
      <c r="I1862"/>
      <c r="J1862"/>
      <c r="K1862"/>
      <c r="L1862"/>
      <c r="M1862"/>
      <c r="N1862"/>
      <c r="O1862"/>
      <c r="P1862"/>
      <c r="Q1862"/>
      <c r="R1862"/>
      <c r="S1862"/>
      <c r="T1862"/>
      <c r="U1862"/>
      <c r="V1862"/>
      <c r="W1862"/>
      <c r="X1862"/>
      <c r="Y1862"/>
      <c r="Z1862"/>
      <c r="AA1862"/>
    </row>
    <row r="1863" spans="1:27" s="1" customFormat="1" x14ac:dyDescent="0.3">
      <c r="A1863"/>
      <c r="B1863"/>
      <c r="C1863"/>
      <c r="D1863"/>
      <c r="E1863"/>
      <c r="F1863"/>
      <c r="G1863"/>
      <c r="H1863"/>
      <c r="I1863"/>
      <c r="J1863"/>
      <c r="K1863"/>
      <c r="L1863"/>
      <c r="M1863"/>
      <c r="N1863"/>
      <c r="O1863"/>
      <c r="P1863"/>
      <c r="Q1863"/>
      <c r="R1863"/>
      <c r="S1863"/>
      <c r="T1863"/>
      <c r="U1863"/>
      <c r="V1863"/>
      <c r="W1863"/>
      <c r="X1863"/>
      <c r="Y1863"/>
      <c r="Z1863"/>
      <c r="AA1863"/>
    </row>
    <row r="1864" spans="1:27" s="1" customFormat="1" x14ac:dyDescent="0.3">
      <c r="A1864"/>
      <c r="B1864"/>
      <c r="C1864"/>
      <c r="D1864"/>
      <c r="E1864"/>
      <c r="F1864"/>
      <c r="G1864"/>
      <c r="H1864"/>
      <c r="I1864"/>
      <c r="J1864"/>
      <c r="K1864"/>
      <c r="L1864"/>
      <c r="M1864"/>
      <c r="N1864"/>
      <c r="O1864"/>
      <c r="P1864"/>
      <c r="Q1864"/>
      <c r="R1864"/>
      <c r="S1864"/>
      <c r="T1864"/>
      <c r="U1864"/>
      <c r="V1864"/>
      <c r="W1864"/>
      <c r="X1864"/>
      <c r="Y1864"/>
      <c r="Z1864"/>
      <c r="AA1864"/>
    </row>
    <row r="1865" spans="1:27" s="1" customFormat="1" x14ac:dyDescent="0.3">
      <c r="A1865"/>
      <c r="B1865"/>
      <c r="C1865"/>
      <c r="D1865"/>
      <c r="E1865"/>
      <c r="F1865"/>
      <c r="G1865"/>
      <c r="H1865"/>
      <c r="I1865"/>
      <c r="J1865"/>
      <c r="K1865"/>
      <c r="L1865"/>
      <c r="M1865"/>
      <c r="N1865"/>
      <c r="O1865"/>
      <c r="P1865"/>
      <c r="Q1865"/>
      <c r="R1865"/>
      <c r="S1865"/>
      <c r="T1865"/>
      <c r="U1865"/>
      <c r="V1865"/>
      <c r="W1865"/>
      <c r="X1865"/>
      <c r="Y1865"/>
      <c r="Z1865"/>
      <c r="AA1865"/>
    </row>
    <row r="1866" spans="1:27" s="1" customFormat="1" x14ac:dyDescent="0.3">
      <c r="A1866"/>
      <c r="B1866"/>
      <c r="C1866"/>
      <c r="D1866"/>
      <c r="E1866"/>
      <c r="F1866"/>
      <c r="G1866"/>
      <c r="H1866"/>
      <c r="I1866"/>
      <c r="J1866"/>
      <c r="K1866"/>
      <c r="L1866"/>
      <c r="M1866"/>
      <c r="N1866"/>
      <c r="O1866"/>
      <c r="P1866"/>
      <c r="Q1866"/>
      <c r="R1866"/>
      <c r="S1866"/>
      <c r="T1866"/>
      <c r="U1866"/>
      <c r="V1866"/>
      <c r="W1866"/>
      <c r="X1866"/>
      <c r="Y1866"/>
      <c r="Z1866"/>
      <c r="AA1866"/>
    </row>
    <row r="1867" spans="1:27" s="1" customFormat="1" x14ac:dyDescent="0.3">
      <c r="A1867"/>
      <c r="B1867"/>
      <c r="C1867"/>
      <c r="D1867"/>
      <c r="E1867"/>
      <c r="F1867"/>
      <c r="G1867"/>
      <c r="H1867"/>
      <c r="I1867"/>
      <c r="J1867"/>
      <c r="K1867"/>
      <c r="L1867"/>
      <c r="M1867"/>
      <c r="N1867"/>
      <c r="O1867"/>
      <c r="P1867"/>
      <c r="Q1867"/>
      <c r="R1867"/>
      <c r="S1867"/>
      <c r="T1867"/>
      <c r="U1867"/>
      <c r="V1867"/>
      <c r="W1867"/>
      <c r="X1867"/>
      <c r="Y1867"/>
      <c r="Z1867"/>
      <c r="AA1867"/>
    </row>
    <row r="1868" spans="1:27" s="1" customFormat="1" x14ac:dyDescent="0.3">
      <c r="A1868"/>
      <c r="B1868"/>
      <c r="C1868"/>
      <c r="D1868"/>
      <c r="E1868"/>
      <c r="F1868"/>
      <c r="G1868"/>
      <c r="H1868"/>
      <c r="I1868"/>
      <c r="J1868"/>
      <c r="K1868"/>
      <c r="L1868"/>
      <c r="M1868"/>
      <c r="N1868"/>
      <c r="O1868"/>
      <c r="P1868"/>
      <c r="Q1868"/>
      <c r="R1868"/>
      <c r="S1868"/>
      <c r="T1868"/>
      <c r="U1868"/>
      <c r="V1868"/>
      <c r="W1868"/>
      <c r="X1868"/>
      <c r="Y1868"/>
      <c r="Z1868"/>
      <c r="AA1868"/>
    </row>
    <row r="1869" spans="1:27" s="1" customFormat="1" x14ac:dyDescent="0.3">
      <c r="A1869"/>
      <c r="B1869"/>
      <c r="C1869"/>
      <c r="D1869"/>
      <c r="E1869"/>
      <c r="F1869"/>
      <c r="G1869"/>
      <c r="H1869"/>
      <c r="I1869"/>
      <c r="J1869"/>
      <c r="K1869"/>
      <c r="L1869"/>
      <c r="M1869"/>
      <c r="N1869"/>
      <c r="O1869"/>
      <c r="P1869"/>
      <c r="Q1869"/>
      <c r="R1869"/>
      <c r="S1869"/>
      <c r="T1869"/>
      <c r="U1869"/>
      <c r="V1869"/>
      <c r="W1869"/>
      <c r="X1869"/>
      <c r="Y1869"/>
      <c r="Z1869"/>
      <c r="AA1869"/>
    </row>
    <row r="1870" spans="1:27" s="1" customFormat="1" x14ac:dyDescent="0.3">
      <c r="A1870"/>
      <c r="B1870"/>
      <c r="C1870"/>
      <c r="D1870"/>
      <c r="E1870"/>
      <c r="F1870"/>
      <c r="G1870"/>
      <c r="H1870"/>
      <c r="I1870"/>
      <c r="J1870"/>
      <c r="K1870"/>
      <c r="L1870"/>
      <c r="M1870"/>
      <c r="N1870"/>
      <c r="O1870"/>
      <c r="P1870"/>
      <c r="Q1870"/>
      <c r="R1870"/>
      <c r="S1870"/>
      <c r="T1870"/>
      <c r="U1870"/>
      <c r="V1870"/>
      <c r="W1870"/>
      <c r="X1870"/>
      <c r="Y1870"/>
      <c r="Z1870"/>
      <c r="AA1870"/>
    </row>
    <row r="1871" spans="1:27" s="1" customFormat="1" x14ac:dyDescent="0.3">
      <c r="A1871"/>
      <c r="B1871"/>
      <c r="C1871"/>
      <c r="D1871"/>
      <c r="E1871"/>
      <c r="F1871"/>
      <c r="G1871"/>
      <c r="H1871"/>
      <c r="I1871"/>
      <c r="J1871"/>
      <c r="K1871"/>
      <c r="L1871"/>
      <c r="M1871"/>
      <c r="N1871"/>
      <c r="O1871"/>
      <c r="P1871"/>
      <c r="Q1871"/>
      <c r="R1871"/>
      <c r="S1871"/>
      <c r="T1871"/>
      <c r="U1871"/>
      <c r="V1871"/>
      <c r="W1871"/>
      <c r="X1871"/>
      <c r="Y1871"/>
      <c r="Z1871"/>
      <c r="AA1871"/>
    </row>
    <row r="1872" spans="1:27" s="1" customFormat="1" x14ac:dyDescent="0.3">
      <c r="A1872"/>
      <c r="B1872"/>
      <c r="C1872"/>
      <c r="D1872"/>
      <c r="E1872"/>
      <c r="F1872"/>
      <c r="G1872"/>
      <c r="H1872"/>
      <c r="I1872"/>
      <c r="J1872"/>
      <c r="K1872"/>
      <c r="L1872"/>
      <c r="M1872"/>
      <c r="N1872"/>
      <c r="O1872"/>
      <c r="P1872"/>
      <c r="Q1872"/>
      <c r="R1872"/>
      <c r="S1872"/>
      <c r="T1872"/>
      <c r="U1872"/>
      <c r="V1872"/>
      <c r="W1872"/>
      <c r="X1872"/>
      <c r="Y1872"/>
      <c r="Z1872"/>
      <c r="AA1872"/>
    </row>
    <row r="1873" spans="1:27" s="1" customFormat="1" x14ac:dyDescent="0.3">
      <c r="A1873"/>
      <c r="B1873"/>
      <c r="C1873"/>
      <c r="D1873"/>
      <c r="E1873"/>
      <c r="F1873"/>
      <c r="G1873"/>
      <c r="H1873"/>
      <c r="I1873"/>
      <c r="J1873"/>
      <c r="K1873"/>
      <c r="L1873"/>
      <c r="M1873"/>
      <c r="N1873"/>
      <c r="O1873"/>
      <c r="P1873"/>
      <c r="Q1873"/>
      <c r="R1873"/>
      <c r="S1873"/>
      <c r="T1873"/>
      <c r="U1873"/>
      <c r="V1873"/>
      <c r="W1873"/>
      <c r="X1873"/>
      <c r="Y1873"/>
      <c r="Z1873"/>
      <c r="AA1873"/>
    </row>
    <row r="1874" spans="1:27" s="1" customFormat="1" x14ac:dyDescent="0.3">
      <c r="A1874"/>
      <c r="B1874"/>
      <c r="C1874"/>
      <c r="D1874"/>
      <c r="E1874"/>
      <c r="F1874"/>
      <c r="G1874"/>
      <c r="H1874"/>
      <c r="I1874"/>
      <c r="J1874"/>
      <c r="K1874"/>
      <c r="L1874"/>
      <c r="M1874"/>
      <c r="N1874"/>
      <c r="O1874"/>
      <c r="P1874"/>
      <c r="Q1874"/>
      <c r="R1874"/>
      <c r="S1874"/>
      <c r="T1874"/>
      <c r="U1874"/>
      <c r="V1874"/>
      <c r="W1874"/>
      <c r="X1874"/>
      <c r="Y1874"/>
      <c r="Z1874"/>
      <c r="AA1874"/>
    </row>
    <row r="1875" spans="1:27" s="1" customFormat="1" x14ac:dyDescent="0.3">
      <c r="A1875"/>
      <c r="B1875"/>
      <c r="C1875"/>
      <c r="D1875"/>
      <c r="E1875"/>
      <c r="F1875"/>
      <c r="G1875"/>
      <c r="H1875"/>
      <c r="I1875"/>
      <c r="J1875"/>
      <c r="K1875"/>
      <c r="L1875"/>
      <c r="M1875"/>
      <c r="N1875"/>
      <c r="O1875"/>
      <c r="P1875"/>
      <c r="Q1875"/>
      <c r="R1875"/>
      <c r="S1875"/>
      <c r="T1875"/>
      <c r="U1875"/>
      <c r="V1875"/>
      <c r="W1875"/>
      <c r="X1875"/>
      <c r="Y1875"/>
      <c r="Z1875"/>
      <c r="AA1875"/>
    </row>
    <row r="1876" spans="1:27" s="1" customFormat="1" x14ac:dyDescent="0.3">
      <c r="A1876"/>
      <c r="B1876"/>
      <c r="C1876"/>
      <c r="D1876"/>
      <c r="E1876"/>
      <c r="F1876"/>
      <c r="G1876"/>
      <c r="H1876"/>
      <c r="I1876"/>
      <c r="J1876"/>
      <c r="K1876"/>
      <c r="L1876"/>
      <c r="M1876"/>
      <c r="N1876"/>
      <c r="O1876"/>
      <c r="P1876"/>
      <c r="Q1876"/>
      <c r="R1876"/>
      <c r="S1876"/>
      <c r="T1876"/>
      <c r="U1876"/>
      <c r="V1876"/>
      <c r="W1876"/>
      <c r="X1876"/>
      <c r="Y1876"/>
      <c r="Z1876"/>
      <c r="AA1876"/>
    </row>
    <row r="1877" spans="1:27" s="1" customFormat="1" x14ac:dyDescent="0.3">
      <c r="A1877"/>
      <c r="B1877"/>
      <c r="C1877"/>
      <c r="D1877"/>
      <c r="E1877"/>
      <c r="F1877"/>
      <c r="G1877"/>
      <c r="H1877"/>
      <c r="I1877"/>
      <c r="J1877"/>
      <c r="K1877"/>
      <c r="L1877"/>
      <c r="M1877"/>
      <c r="N1877"/>
      <c r="O1877"/>
      <c r="P1877"/>
      <c r="Q1877"/>
      <c r="R1877"/>
      <c r="S1877"/>
      <c r="T1877"/>
      <c r="U1877"/>
      <c r="V1877"/>
      <c r="W1877"/>
      <c r="X1877"/>
      <c r="Y1877"/>
      <c r="Z1877"/>
      <c r="AA1877"/>
    </row>
    <row r="1878" spans="1:27" s="1" customFormat="1" x14ac:dyDescent="0.3">
      <c r="A1878"/>
      <c r="B1878"/>
      <c r="C1878"/>
      <c r="D1878"/>
      <c r="E1878"/>
      <c r="F1878"/>
      <c r="G1878"/>
      <c r="H1878"/>
      <c r="I1878"/>
      <c r="J1878"/>
      <c r="K1878"/>
      <c r="L1878"/>
      <c r="M1878"/>
      <c r="N1878"/>
      <c r="O1878"/>
      <c r="P1878"/>
      <c r="Q1878"/>
      <c r="R1878"/>
      <c r="S1878"/>
      <c r="T1878"/>
      <c r="U1878"/>
      <c r="V1878"/>
      <c r="W1878"/>
      <c r="X1878"/>
      <c r="Y1878"/>
      <c r="Z1878"/>
      <c r="AA1878"/>
    </row>
    <row r="1879" spans="1:27" s="1" customFormat="1" x14ac:dyDescent="0.3">
      <c r="A1879"/>
      <c r="B1879"/>
      <c r="C1879"/>
      <c r="D1879"/>
      <c r="E1879"/>
      <c r="F1879"/>
      <c r="G1879"/>
      <c r="H1879"/>
      <c r="I1879"/>
      <c r="J1879"/>
      <c r="K1879"/>
      <c r="L1879"/>
      <c r="M1879"/>
      <c r="N1879"/>
      <c r="O1879"/>
      <c r="P1879"/>
      <c r="Q1879"/>
      <c r="R1879"/>
      <c r="S1879"/>
      <c r="T1879"/>
      <c r="U1879"/>
      <c r="V1879"/>
      <c r="W1879"/>
      <c r="X1879"/>
      <c r="Y1879"/>
      <c r="Z1879"/>
      <c r="AA1879"/>
    </row>
    <row r="1880" spans="1:27" s="1" customFormat="1" x14ac:dyDescent="0.3">
      <c r="A1880"/>
      <c r="B1880"/>
      <c r="C1880"/>
      <c r="D1880"/>
      <c r="E1880"/>
      <c r="F1880"/>
      <c r="G1880"/>
      <c r="H1880"/>
      <c r="I1880"/>
      <c r="J1880"/>
      <c r="K1880"/>
      <c r="L1880"/>
      <c r="M1880"/>
      <c r="N1880"/>
      <c r="O1880"/>
      <c r="P1880"/>
      <c r="Q1880"/>
      <c r="R1880"/>
      <c r="S1880"/>
      <c r="T1880"/>
      <c r="U1880"/>
      <c r="V1880"/>
      <c r="W1880"/>
      <c r="X1880"/>
      <c r="Y1880"/>
      <c r="Z1880"/>
      <c r="AA1880"/>
    </row>
    <row r="1881" spans="1:27" s="1" customFormat="1" x14ac:dyDescent="0.3">
      <c r="A1881"/>
      <c r="B1881"/>
      <c r="C1881"/>
      <c r="D1881"/>
      <c r="E1881"/>
      <c r="F1881"/>
      <c r="G1881"/>
      <c r="H1881"/>
      <c r="I1881"/>
      <c r="J1881"/>
      <c r="K1881"/>
      <c r="L1881"/>
      <c r="M1881"/>
      <c r="N1881"/>
      <c r="O1881"/>
      <c r="P1881"/>
      <c r="Q1881"/>
      <c r="R1881"/>
      <c r="S1881"/>
      <c r="T1881"/>
      <c r="U1881"/>
      <c r="V1881"/>
      <c r="W1881"/>
      <c r="X1881"/>
      <c r="Y1881"/>
      <c r="Z1881"/>
      <c r="AA1881"/>
    </row>
    <row r="1882" spans="1:27" s="1" customFormat="1" x14ac:dyDescent="0.3">
      <c r="A1882"/>
      <c r="B1882"/>
      <c r="C1882"/>
      <c r="D1882"/>
      <c r="E1882"/>
      <c r="F1882"/>
      <c r="G1882"/>
      <c r="H1882"/>
      <c r="I1882"/>
      <c r="J1882"/>
      <c r="K1882"/>
      <c r="L1882"/>
      <c r="M1882"/>
      <c r="N1882"/>
      <c r="O1882"/>
      <c r="P1882"/>
      <c r="Q1882"/>
      <c r="R1882"/>
      <c r="S1882"/>
      <c r="T1882"/>
      <c r="U1882"/>
      <c r="V1882"/>
      <c r="W1882"/>
      <c r="X1882"/>
      <c r="Y1882"/>
      <c r="Z1882"/>
      <c r="AA1882"/>
    </row>
    <row r="1883" spans="1:27" s="1" customFormat="1" x14ac:dyDescent="0.3">
      <c r="A1883"/>
      <c r="B1883"/>
      <c r="C1883"/>
      <c r="D1883"/>
      <c r="E1883"/>
      <c r="F1883"/>
      <c r="G1883"/>
      <c r="H1883"/>
      <c r="I1883"/>
      <c r="J1883"/>
      <c r="K1883"/>
      <c r="L1883"/>
      <c r="M1883"/>
      <c r="N1883"/>
      <c r="O1883"/>
      <c r="P1883"/>
      <c r="Q1883"/>
      <c r="R1883"/>
      <c r="S1883"/>
      <c r="T1883"/>
      <c r="U1883"/>
      <c r="V1883"/>
      <c r="W1883"/>
      <c r="X1883"/>
      <c r="Y1883"/>
      <c r="Z1883"/>
      <c r="AA1883"/>
    </row>
    <row r="1884" spans="1:27" s="1" customFormat="1" x14ac:dyDescent="0.3">
      <c r="A1884"/>
      <c r="B1884"/>
      <c r="C1884"/>
      <c r="D1884"/>
      <c r="E1884"/>
      <c r="F1884"/>
      <c r="G1884"/>
      <c r="H1884"/>
      <c r="I1884"/>
      <c r="J1884"/>
      <c r="K1884"/>
      <c r="L1884"/>
      <c r="M1884"/>
      <c r="N1884"/>
      <c r="O1884"/>
      <c r="P1884"/>
      <c r="Q1884"/>
      <c r="R1884"/>
      <c r="S1884"/>
      <c r="T1884"/>
      <c r="U1884"/>
      <c r="V1884"/>
      <c r="W1884"/>
      <c r="X1884"/>
      <c r="Y1884"/>
      <c r="Z1884"/>
      <c r="AA1884"/>
    </row>
    <row r="1885" spans="1:27" s="1" customFormat="1" x14ac:dyDescent="0.3">
      <c r="A1885"/>
      <c r="B1885"/>
      <c r="C1885"/>
      <c r="D1885"/>
      <c r="E1885"/>
      <c r="F1885"/>
      <c r="G1885"/>
      <c r="H1885"/>
      <c r="I1885"/>
      <c r="J1885"/>
      <c r="K1885"/>
      <c r="L1885"/>
      <c r="M1885"/>
      <c r="N1885"/>
      <c r="O1885"/>
      <c r="P1885"/>
      <c r="Q1885"/>
      <c r="R1885"/>
      <c r="S1885"/>
      <c r="T1885"/>
      <c r="U1885"/>
      <c r="V1885"/>
      <c r="W1885"/>
      <c r="X1885"/>
      <c r="Y1885"/>
      <c r="Z1885"/>
      <c r="AA1885"/>
    </row>
    <row r="1886" spans="1:27" s="1" customFormat="1" x14ac:dyDescent="0.3">
      <c r="A1886"/>
      <c r="B1886"/>
      <c r="C1886"/>
      <c r="D1886"/>
      <c r="E1886"/>
      <c r="F1886"/>
      <c r="G1886"/>
      <c r="H1886"/>
      <c r="I1886"/>
      <c r="J1886"/>
      <c r="K1886"/>
      <c r="L1886"/>
      <c r="M1886"/>
      <c r="N1886"/>
      <c r="O1886"/>
      <c r="P1886"/>
      <c r="Q1886"/>
      <c r="R1886"/>
      <c r="S1886"/>
      <c r="T1886"/>
      <c r="U1886"/>
      <c r="V1886"/>
      <c r="W1886"/>
      <c r="X1886"/>
      <c r="Y1886"/>
      <c r="Z1886"/>
      <c r="AA1886"/>
    </row>
    <row r="1887" spans="1:27" s="1" customFormat="1" x14ac:dyDescent="0.3">
      <c r="A1887"/>
      <c r="B1887"/>
      <c r="C1887"/>
      <c r="D1887"/>
      <c r="E1887"/>
      <c r="F1887"/>
      <c r="G1887"/>
      <c r="H1887"/>
      <c r="I1887"/>
      <c r="J1887"/>
      <c r="K1887"/>
      <c r="L1887"/>
      <c r="M1887"/>
      <c r="N1887"/>
      <c r="O1887"/>
      <c r="P1887"/>
      <c r="Q1887"/>
      <c r="R1887"/>
      <c r="S1887"/>
      <c r="T1887"/>
      <c r="U1887"/>
      <c r="V1887"/>
      <c r="W1887"/>
      <c r="X1887"/>
      <c r="Y1887"/>
      <c r="Z1887"/>
      <c r="AA1887"/>
    </row>
    <row r="1888" spans="1:27" s="1" customFormat="1" x14ac:dyDescent="0.3">
      <c r="A1888"/>
      <c r="B1888"/>
      <c r="C1888"/>
      <c r="D1888"/>
      <c r="E1888"/>
      <c r="F1888"/>
      <c r="G1888"/>
      <c r="H1888"/>
      <c r="I1888"/>
      <c r="J1888"/>
      <c r="K1888"/>
      <c r="L1888"/>
      <c r="M1888"/>
      <c r="N1888"/>
      <c r="O1888"/>
      <c r="P1888"/>
      <c r="Q1888"/>
      <c r="R1888"/>
      <c r="S1888"/>
      <c r="T1888"/>
      <c r="U1888"/>
      <c r="V1888"/>
      <c r="W1888"/>
      <c r="X1888"/>
      <c r="Y1888"/>
      <c r="Z1888"/>
      <c r="AA1888"/>
    </row>
    <row r="1889" spans="1:27" s="1" customFormat="1" x14ac:dyDescent="0.3">
      <c r="A1889"/>
      <c r="B1889"/>
      <c r="C1889"/>
      <c r="D1889"/>
      <c r="E1889"/>
      <c r="F1889"/>
      <c r="G1889"/>
      <c r="H1889"/>
      <c r="I1889"/>
      <c r="J1889"/>
      <c r="K1889"/>
      <c r="L1889"/>
      <c r="M1889"/>
      <c r="N1889"/>
      <c r="O1889"/>
      <c r="P1889"/>
      <c r="Q1889"/>
      <c r="R1889"/>
      <c r="S1889"/>
      <c r="T1889"/>
      <c r="U1889"/>
      <c r="V1889"/>
      <c r="W1889"/>
      <c r="X1889"/>
      <c r="Y1889"/>
      <c r="Z1889"/>
      <c r="AA1889"/>
    </row>
    <row r="1890" spans="1:27" s="1" customFormat="1" x14ac:dyDescent="0.3">
      <c r="A1890"/>
      <c r="B1890"/>
      <c r="C1890"/>
      <c r="D1890"/>
      <c r="E1890"/>
      <c r="F1890"/>
      <c r="G1890"/>
      <c r="H1890"/>
      <c r="I1890"/>
      <c r="J1890"/>
      <c r="K1890"/>
      <c r="L1890"/>
      <c r="M1890"/>
      <c r="N1890"/>
      <c r="O1890"/>
      <c r="P1890"/>
      <c r="Q1890"/>
      <c r="R1890"/>
      <c r="S1890"/>
      <c r="T1890"/>
      <c r="U1890"/>
      <c r="V1890"/>
      <c r="W1890"/>
      <c r="X1890"/>
      <c r="Y1890"/>
      <c r="Z1890"/>
      <c r="AA1890"/>
    </row>
    <row r="1891" spans="1:27" s="1" customFormat="1" x14ac:dyDescent="0.3">
      <c r="A1891"/>
      <c r="B1891"/>
      <c r="C1891"/>
      <c r="D1891"/>
      <c r="E1891"/>
      <c r="F1891"/>
      <c r="G1891"/>
      <c r="H1891"/>
      <c r="I1891"/>
      <c r="J1891"/>
      <c r="K1891"/>
      <c r="L1891"/>
      <c r="M1891"/>
      <c r="N1891"/>
      <c r="O1891"/>
      <c r="P1891"/>
      <c r="Q1891"/>
      <c r="R1891"/>
      <c r="S1891"/>
      <c r="T1891"/>
      <c r="U1891"/>
      <c r="V1891"/>
      <c r="W1891"/>
      <c r="X1891"/>
      <c r="Y1891"/>
      <c r="Z1891"/>
      <c r="AA1891"/>
    </row>
    <row r="1892" spans="1:27" s="1" customFormat="1" x14ac:dyDescent="0.3">
      <c r="A1892"/>
      <c r="B1892"/>
      <c r="C1892"/>
      <c r="D1892"/>
      <c r="E1892"/>
      <c r="F1892"/>
      <c r="G1892"/>
      <c r="H1892"/>
      <c r="I1892"/>
      <c r="J1892"/>
      <c r="K1892"/>
      <c r="L1892"/>
      <c r="M1892"/>
      <c r="N1892"/>
      <c r="O1892"/>
      <c r="P1892"/>
      <c r="Q1892"/>
      <c r="R1892"/>
      <c r="S1892"/>
      <c r="T1892"/>
      <c r="U1892"/>
      <c r="V1892"/>
      <c r="W1892"/>
      <c r="X1892"/>
      <c r="Y1892"/>
      <c r="Z1892"/>
      <c r="AA1892"/>
    </row>
    <row r="1893" spans="1:27" s="1" customFormat="1" x14ac:dyDescent="0.3">
      <c r="A1893"/>
      <c r="B1893"/>
      <c r="C1893"/>
      <c r="D1893"/>
      <c r="E1893"/>
      <c r="F1893"/>
      <c r="G1893"/>
      <c r="H1893"/>
      <c r="I1893"/>
      <c r="J1893"/>
      <c r="K1893"/>
      <c r="L1893"/>
      <c r="M1893"/>
      <c r="N1893"/>
      <c r="O1893"/>
      <c r="P1893"/>
      <c r="Q1893"/>
      <c r="R1893"/>
      <c r="S1893"/>
      <c r="T1893"/>
      <c r="U1893"/>
      <c r="V1893"/>
      <c r="W1893"/>
      <c r="X1893"/>
      <c r="Y1893"/>
      <c r="Z1893"/>
      <c r="AA1893"/>
    </row>
    <row r="1894" spans="1:27" s="1" customFormat="1" x14ac:dyDescent="0.3">
      <c r="A1894"/>
      <c r="B1894"/>
      <c r="C1894"/>
      <c r="D1894"/>
      <c r="E1894"/>
      <c r="F1894"/>
      <c r="G1894"/>
      <c r="H1894"/>
      <c r="I1894"/>
      <c r="J1894"/>
      <c r="K1894"/>
      <c r="L1894"/>
      <c r="M1894"/>
      <c r="N1894"/>
      <c r="O1894"/>
      <c r="P1894"/>
      <c r="Q1894"/>
      <c r="R1894"/>
      <c r="S1894"/>
      <c r="T1894"/>
      <c r="U1894"/>
      <c r="V1894"/>
      <c r="W1894"/>
      <c r="X1894"/>
      <c r="Y1894"/>
      <c r="Z1894"/>
      <c r="AA1894"/>
    </row>
    <row r="1895" spans="1:27" s="1" customFormat="1" x14ac:dyDescent="0.3">
      <c r="A1895"/>
      <c r="B1895"/>
      <c r="C1895"/>
      <c r="D1895"/>
      <c r="E1895"/>
      <c r="F1895"/>
      <c r="G1895"/>
      <c r="H1895"/>
      <c r="I1895"/>
      <c r="J1895"/>
      <c r="K1895"/>
      <c r="L1895"/>
      <c r="M1895"/>
      <c r="N1895"/>
      <c r="O1895"/>
      <c r="P1895"/>
      <c r="Q1895"/>
      <c r="R1895"/>
      <c r="S1895"/>
      <c r="T1895"/>
      <c r="U1895"/>
      <c r="V1895"/>
      <c r="W1895"/>
      <c r="X1895"/>
      <c r="Y1895"/>
      <c r="Z1895"/>
      <c r="AA1895"/>
    </row>
    <row r="1896" spans="1:27" s="1" customFormat="1" x14ac:dyDescent="0.3">
      <c r="A1896"/>
      <c r="B1896"/>
      <c r="C1896"/>
      <c r="D1896"/>
      <c r="E1896"/>
      <c r="F1896"/>
      <c r="G1896"/>
      <c r="H1896"/>
      <c r="I1896"/>
      <c r="J1896"/>
      <c r="K1896"/>
      <c r="L1896"/>
      <c r="M1896"/>
      <c r="N1896"/>
      <c r="O1896"/>
      <c r="P1896"/>
      <c r="Q1896"/>
      <c r="R1896"/>
      <c r="S1896"/>
      <c r="T1896"/>
      <c r="U1896"/>
      <c r="V1896"/>
      <c r="W1896"/>
      <c r="X1896"/>
      <c r="Y1896"/>
      <c r="Z1896"/>
      <c r="AA1896"/>
    </row>
    <row r="1897" spans="1:27" s="1" customFormat="1" x14ac:dyDescent="0.3">
      <c r="A1897"/>
      <c r="B1897"/>
      <c r="C1897"/>
      <c r="D1897"/>
      <c r="E1897"/>
      <c r="F1897"/>
      <c r="G1897"/>
      <c r="H1897"/>
      <c r="I1897"/>
      <c r="J1897"/>
      <c r="K1897"/>
      <c r="L1897"/>
      <c r="M1897"/>
      <c r="N1897"/>
      <c r="O1897"/>
      <c r="P1897"/>
      <c r="Q1897"/>
      <c r="R1897"/>
      <c r="S1897"/>
      <c r="T1897"/>
      <c r="U1897"/>
      <c r="V1897"/>
      <c r="W1897"/>
      <c r="X1897"/>
      <c r="Y1897"/>
      <c r="Z1897"/>
      <c r="AA1897"/>
    </row>
    <row r="1898" spans="1:27" s="1" customFormat="1" x14ac:dyDescent="0.3">
      <c r="A1898"/>
      <c r="B1898"/>
      <c r="C1898"/>
      <c r="D1898"/>
      <c r="E1898"/>
      <c r="F1898"/>
      <c r="G1898"/>
      <c r="H1898"/>
      <c r="I1898"/>
      <c r="J1898"/>
      <c r="K1898"/>
      <c r="L1898"/>
      <c r="M1898"/>
      <c r="N1898"/>
      <c r="O1898"/>
      <c r="P1898"/>
      <c r="Q1898"/>
      <c r="R1898"/>
      <c r="S1898"/>
      <c r="T1898"/>
      <c r="U1898"/>
      <c r="V1898"/>
      <c r="W1898"/>
      <c r="X1898"/>
      <c r="Y1898"/>
      <c r="Z1898"/>
      <c r="AA1898"/>
    </row>
    <row r="1899" spans="1:27" s="1" customFormat="1" x14ac:dyDescent="0.3">
      <c r="A1899"/>
      <c r="B1899"/>
      <c r="C1899"/>
      <c r="D1899"/>
      <c r="E1899"/>
      <c r="F1899"/>
      <c r="G1899"/>
      <c r="H1899"/>
      <c r="I1899"/>
      <c r="J1899"/>
      <c r="K1899"/>
      <c r="L1899"/>
      <c r="M1899"/>
      <c r="N1899"/>
      <c r="O1899"/>
      <c r="P1899"/>
      <c r="Q1899"/>
      <c r="R1899"/>
      <c r="S1899"/>
      <c r="T1899"/>
      <c r="U1899"/>
      <c r="V1899"/>
      <c r="W1899"/>
      <c r="X1899"/>
      <c r="Y1899"/>
      <c r="Z1899"/>
      <c r="AA1899"/>
    </row>
    <row r="1900" spans="1:27" s="1" customFormat="1" x14ac:dyDescent="0.3">
      <c r="A1900"/>
      <c r="B1900"/>
      <c r="C1900"/>
      <c r="D1900"/>
      <c r="E1900"/>
      <c r="F1900"/>
      <c r="G1900"/>
      <c r="H1900"/>
      <c r="I1900"/>
      <c r="J1900"/>
      <c r="K1900"/>
      <c r="L1900"/>
      <c r="M1900"/>
      <c r="N1900"/>
      <c r="O1900"/>
      <c r="P1900"/>
      <c r="Q1900"/>
      <c r="R1900"/>
      <c r="S1900"/>
      <c r="T1900"/>
      <c r="U1900"/>
      <c r="V1900"/>
      <c r="W1900"/>
      <c r="X1900"/>
      <c r="Y1900"/>
      <c r="Z1900"/>
      <c r="AA1900"/>
    </row>
    <row r="1901" spans="1:27" s="1" customFormat="1" x14ac:dyDescent="0.3">
      <c r="A1901"/>
      <c r="B1901"/>
      <c r="C1901"/>
      <c r="D1901"/>
      <c r="E1901"/>
      <c r="F1901"/>
      <c r="G1901"/>
      <c r="H1901"/>
      <c r="I1901"/>
      <c r="J1901"/>
      <c r="K1901"/>
      <c r="L1901"/>
      <c r="M1901"/>
      <c r="N1901"/>
      <c r="O1901"/>
      <c r="P1901"/>
      <c r="Q1901"/>
      <c r="R1901"/>
      <c r="S1901"/>
      <c r="T1901"/>
      <c r="U1901"/>
      <c r="V1901"/>
      <c r="W1901"/>
      <c r="X1901"/>
      <c r="Y1901"/>
      <c r="Z1901"/>
      <c r="AA1901"/>
    </row>
    <row r="1902" spans="1:27" s="1" customFormat="1" x14ac:dyDescent="0.3">
      <c r="A1902"/>
      <c r="B1902"/>
      <c r="C1902"/>
      <c r="D1902"/>
      <c r="E1902"/>
      <c r="F1902"/>
      <c r="G1902"/>
      <c r="H1902"/>
      <c r="I1902"/>
      <c r="J1902"/>
      <c r="K1902"/>
      <c r="L1902"/>
      <c r="M1902"/>
      <c r="N1902"/>
      <c r="O1902"/>
      <c r="P1902"/>
      <c r="Q1902"/>
      <c r="R1902"/>
      <c r="S1902"/>
      <c r="T1902"/>
      <c r="U1902"/>
      <c r="V1902"/>
      <c r="W1902"/>
      <c r="X1902"/>
      <c r="Y1902"/>
      <c r="Z1902"/>
      <c r="AA1902"/>
    </row>
    <row r="1903" spans="1:27" s="1" customFormat="1" x14ac:dyDescent="0.3">
      <c r="A1903"/>
      <c r="B1903"/>
      <c r="C1903"/>
      <c r="D1903"/>
      <c r="E1903"/>
      <c r="F1903"/>
      <c r="G1903"/>
      <c r="H1903"/>
      <c r="I1903"/>
      <c r="J1903"/>
      <c r="K1903"/>
      <c r="L1903"/>
      <c r="M1903"/>
      <c r="N1903"/>
      <c r="O1903"/>
      <c r="P1903"/>
      <c r="Q1903"/>
      <c r="R1903"/>
      <c r="S1903"/>
      <c r="T1903"/>
      <c r="U1903"/>
      <c r="V1903"/>
      <c r="W1903"/>
      <c r="X1903"/>
      <c r="Y1903"/>
      <c r="Z1903"/>
      <c r="AA1903"/>
    </row>
    <row r="1904" spans="1:27" s="1" customFormat="1" x14ac:dyDescent="0.3">
      <c r="A1904"/>
      <c r="B1904"/>
      <c r="C1904"/>
      <c r="D1904"/>
      <c r="E1904"/>
      <c r="F1904"/>
      <c r="G1904"/>
      <c r="H1904"/>
      <c r="I1904"/>
      <c r="J1904"/>
      <c r="K1904"/>
      <c r="L1904"/>
      <c r="M1904"/>
      <c r="N1904"/>
      <c r="O1904"/>
      <c r="P1904"/>
      <c r="Q1904"/>
      <c r="R1904"/>
      <c r="S1904"/>
      <c r="T1904"/>
      <c r="U1904"/>
      <c r="V1904"/>
      <c r="W1904"/>
      <c r="X1904"/>
      <c r="Y1904"/>
      <c r="Z1904"/>
      <c r="AA1904"/>
    </row>
    <row r="1905" spans="1:27" s="1" customFormat="1" x14ac:dyDescent="0.3">
      <c r="A1905"/>
      <c r="B1905"/>
      <c r="C1905"/>
      <c r="D1905"/>
      <c r="E1905"/>
      <c r="F1905"/>
      <c r="G1905"/>
      <c r="H1905"/>
      <c r="I1905"/>
      <c r="J1905"/>
      <c r="K1905"/>
      <c r="L1905"/>
      <c r="M1905"/>
      <c r="N1905"/>
      <c r="O1905"/>
      <c r="P1905"/>
      <c r="Q1905"/>
      <c r="R1905"/>
      <c r="S1905"/>
      <c r="T1905"/>
      <c r="U1905"/>
      <c r="V1905"/>
      <c r="W1905"/>
      <c r="X1905"/>
      <c r="Y1905"/>
      <c r="Z1905"/>
      <c r="AA1905"/>
    </row>
    <row r="1906" spans="1:27" s="1" customFormat="1" x14ac:dyDescent="0.3">
      <c r="A1906"/>
      <c r="B1906"/>
      <c r="C1906"/>
      <c r="D1906"/>
      <c r="E1906"/>
      <c r="F1906"/>
      <c r="G1906"/>
      <c r="H1906"/>
      <c r="I1906"/>
      <c r="J1906"/>
      <c r="K1906"/>
      <c r="L1906"/>
      <c r="M1906"/>
      <c r="N1906"/>
      <c r="O1906"/>
      <c r="P1906"/>
      <c r="Q1906"/>
      <c r="R1906"/>
      <c r="S1906"/>
      <c r="T1906"/>
      <c r="U1906"/>
      <c r="V1906"/>
      <c r="W1906"/>
      <c r="X1906"/>
      <c r="Y1906"/>
      <c r="Z1906"/>
      <c r="AA1906"/>
    </row>
    <row r="1907" spans="1:27" s="1" customFormat="1" x14ac:dyDescent="0.3">
      <c r="A1907"/>
      <c r="B1907"/>
      <c r="C1907"/>
      <c r="D1907"/>
      <c r="E1907"/>
      <c r="F1907"/>
      <c r="G1907"/>
      <c r="H1907"/>
      <c r="I1907"/>
      <c r="J1907"/>
      <c r="K1907"/>
      <c r="L1907"/>
      <c r="M1907"/>
      <c r="N1907"/>
      <c r="O1907"/>
      <c r="P1907"/>
      <c r="Q1907"/>
      <c r="R1907"/>
      <c r="S1907"/>
      <c r="T1907"/>
      <c r="U1907"/>
      <c r="V1907"/>
      <c r="W1907"/>
      <c r="X1907"/>
      <c r="Y1907"/>
      <c r="Z1907"/>
      <c r="AA1907"/>
    </row>
    <row r="1908" spans="1:27" s="1" customFormat="1" x14ac:dyDescent="0.3">
      <c r="A1908"/>
      <c r="B1908"/>
      <c r="C1908"/>
      <c r="D1908"/>
      <c r="E1908"/>
      <c r="F1908"/>
      <c r="G1908"/>
      <c r="H1908"/>
      <c r="I1908"/>
      <c r="J1908"/>
      <c r="K1908"/>
      <c r="L1908"/>
      <c r="M1908"/>
      <c r="N1908"/>
      <c r="O1908"/>
      <c r="P1908"/>
      <c r="Q1908"/>
      <c r="R1908"/>
      <c r="S1908"/>
      <c r="T1908"/>
      <c r="U1908"/>
      <c r="V1908"/>
      <c r="W1908"/>
      <c r="X1908"/>
      <c r="Y1908"/>
      <c r="Z1908"/>
      <c r="AA1908"/>
    </row>
    <row r="1909" spans="1:27" s="1" customFormat="1" x14ac:dyDescent="0.3">
      <c r="A1909"/>
      <c r="B1909"/>
      <c r="C1909"/>
      <c r="D1909"/>
      <c r="E1909"/>
      <c r="F1909"/>
      <c r="G1909"/>
      <c r="H1909"/>
      <c r="I1909"/>
      <c r="J1909"/>
      <c r="K1909"/>
      <c r="L1909"/>
      <c r="M1909"/>
      <c r="N1909"/>
      <c r="O1909"/>
      <c r="P1909"/>
      <c r="Q1909"/>
      <c r="R1909"/>
      <c r="S1909"/>
      <c r="T1909"/>
      <c r="U1909"/>
      <c r="V1909"/>
      <c r="W1909"/>
      <c r="X1909"/>
      <c r="Y1909"/>
      <c r="Z1909"/>
      <c r="AA1909"/>
    </row>
    <row r="1910" spans="1:27" s="1" customFormat="1" x14ac:dyDescent="0.3">
      <c r="A1910"/>
      <c r="B1910"/>
      <c r="C1910"/>
      <c r="D1910"/>
      <c r="E1910"/>
      <c r="F1910"/>
      <c r="G1910"/>
      <c r="H1910"/>
      <c r="I1910"/>
      <c r="J1910"/>
      <c r="K1910"/>
      <c r="L1910"/>
      <c r="M1910"/>
      <c r="N1910"/>
      <c r="O1910"/>
      <c r="P1910"/>
      <c r="Q1910"/>
      <c r="R1910"/>
      <c r="S1910"/>
      <c r="T1910"/>
      <c r="U1910"/>
      <c r="V1910"/>
      <c r="W1910"/>
      <c r="X1910"/>
      <c r="Y1910"/>
      <c r="Z1910"/>
      <c r="AA1910"/>
    </row>
    <row r="1911" spans="1:27" s="1" customFormat="1" x14ac:dyDescent="0.3">
      <c r="A1911"/>
      <c r="B1911"/>
      <c r="C1911"/>
      <c r="D1911"/>
      <c r="E1911"/>
      <c r="F1911"/>
      <c r="G1911"/>
      <c r="H1911"/>
      <c r="I1911"/>
      <c r="J1911"/>
      <c r="K1911"/>
      <c r="L1911"/>
      <c r="M1911"/>
      <c r="N1911"/>
      <c r="O1911"/>
      <c r="P1911"/>
      <c r="Q1911"/>
      <c r="R1911"/>
      <c r="S1911"/>
      <c r="T1911"/>
      <c r="U1911"/>
      <c r="V1911"/>
      <c r="W1911"/>
      <c r="X1911"/>
      <c r="Y1911"/>
      <c r="Z1911"/>
      <c r="AA1911"/>
    </row>
    <row r="1912" spans="1:27" s="1" customFormat="1" x14ac:dyDescent="0.3">
      <c r="A1912"/>
      <c r="B1912"/>
      <c r="C1912"/>
      <c r="D1912"/>
      <c r="E1912"/>
      <c r="F1912"/>
      <c r="G1912"/>
      <c r="H1912"/>
      <c r="I1912"/>
      <c r="J1912"/>
      <c r="K1912"/>
      <c r="L1912"/>
      <c r="M1912"/>
      <c r="N1912"/>
      <c r="O1912"/>
      <c r="P1912"/>
      <c r="Q1912"/>
      <c r="R1912"/>
      <c r="S1912"/>
      <c r="T1912"/>
      <c r="U1912"/>
      <c r="V1912"/>
      <c r="W1912"/>
      <c r="X1912"/>
      <c r="Y1912"/>
      <c r="Z1912"/>
      <c r="AA1912"/>
    </row>
    <row r="1913" spans="1:27" s="1" customFormat="1" x14ac:dyDescent="0.3">
      <c r="A1913"/>
      <c r="B1913"/>
      <c r="C1913"/>
      <c r="D1913"/>
      <c r="E1913"/>
      <c r="F1913"/>
      <c r="G1913"/>
      <c r="H1913"/>
      <c r="I1913"/>
      <c r="J1913"/>
      <c r="K1913"/>
      <c r="L1913"/>
      <c r="M1913"/>
      <c r="N1913"/>
      <c r="O1913"/>
      <c r="P1913"/>
      <c r="Q1913"/>
      <c r="R1913"/>
      <c r="S1913"/>
      <c r="T1913"/>
      <c r="U1913"/>
      <c r="V1913"/>
      <c r="W1913"/>
      <c r="X1913"/>
      <c r="Y1913"/>
      <c r="Z1913"/>
      <c r="AA1913"/>
    </row>
    <row r="1914" spans="1:27" s="1" customFormat="1" x14ac:dyDescent="0.3">
      <c r="A1914"/>
      <c r="B1914"/>
      <c r="C1914"/>
      <c r="D1914"/>
      <c r="E1914"/>
      <c r="F1914"/>
      <c r="G1914"/>
      <c r="H1914"/>
      <c r="I1914"/>
      <c r="J1914"/>
      <c r="K1914"/>
      <c r="L1914"/>
      <c r="M1914"/>
      <c r="N1914"/>
      <c r="O1914"/>
      <c r="P1914"/>
      <c r="Q1914"/>
      <c r="R1914"/>
      <c r="S1914"/>
      <c r="T1914"/>
      <c r="U1914"/>
      <c r="V1914"/>
      <c r="W1914"/>
      <c r="X1914"/>
      <c r="Y1914"/>
      <c r="Z1914"/>
      <c r="AA1914"/>
    </row>
    <row r="1915" spans="1:27" s="1" customFormat="1" x14ac:dyDescent="0.3">
      <c r="A1915"/>
      <c r="B1915"/>
      <c r="C1915"/>
      <c r="D1915"/>
      <c r="E1915"/>
      <c r="F1915"/>
      <c r="G1915"/>
      <c r="H1915"/>
      <c r="I1915"/>
      <c r="J1915"/>
      <c r="K1915"/>
      <c r="L1915"/>
      <c r="M1915"/>
      <c r="N1915"/>
      <c r="O1915"/>
      <c r="P1915"/>
      <c r="Q1915"/>
      <c r="R1915"/>
      <c r="S1915"/>
      <c r="T1915"/>
      <c r="U1915"/>
      <c r="V1915"/>
      <c r="W1915"/>
      <c r="X1915"/>
      <c r="Y1915"/>
      <c r="Z1915"/>
      <c r="AA1915"/>
    </row>
    <row r="1916" spans="1:27" s="1" customFormat="1" x14ac:dyDescent="0.3">
      <c r="A1916"/>
      <c r="B1916"/>
      <c r="C1916"/>
      <c r="D1916"/>
      <c r="E1916"/>
      <c r="F1916"/>
      <c r="G1916"/>
      <c r="H1916"/>
      <c r="I1916"/>
      <c r="J1916"/>
      <c r="K1916"/>
      <c r="L1916"/>
      <c r="M1916"/>
      <c r="N1916"/>
      <c r="O1916"/>
      <c r="P1916"/>
      <c r="Q1916"/>
      <c r="R1916"/>
      <c r="S1916"/>
      <c r="T1916"/>
      <c r="U1916"/>
      <c r="V1916"/>
      <c r="W1916"/>
      <c r="X1916"/>
      <c r="Y1916"/>
      <c r="Z1916"/>
      <c r="AA1916"/>
    </row>
    <row r="1917" spans="1:27" s="1" customFormat="1" x14ac:dyDescent="0.3">
      <c r="A1917"/>
      <c r="B1917"/>
      <c r="C1917"/>
      <c r="D1917"/>
      <c r="E1917"/>
      <c r="F1917"/>
      <c r="G1917"/>
      <c r="H1917"/>
      <c r="I1917"/>
      <c r="J1917"/>
      <c r="K1917"/>
      <c r="L1917"/>
      <c r="M1917"/>
      <c r="N1917"/>
      <c r="O1917"/>
      <c r="P1917"/>
      <c r="Q1917"/>
      <c r="R1917"/>
      <c r="S1917"/>
      <c r="T1917"/>
      <c r="U1917"/>
      <c r="V1917"/>
      <c r="W1917"/>
      <c r="X1917"/>
      <c r="Y1917"/>
      <c r="Z1917"/>
      <c r="AA1917"/>
    </row>
    <row r="1918" spans="1:27" s="1" customFormat="1" x14ac:dyDescent="0.3">
      <c r="A1918"/>
      <c r="B1918"/>
      <c r="C1918"/>
      <c r="D1918"/>
      <c r="E1918"/>
      <c r="F1918"/>
      <c r="G1918"/>
      <c r="H1918"/>
      <c r="I1918"/>
      <c r="J1918"/>
      <c r="K1918"/>
      <c r="L1918"/>
      <c r="M1918"/>
      <c r="N1918"/>
      <c r="O1918"/>
      <c r="P1918"/>
      <c r="Q1918"/>
      <c r="R1918"/>
      <c r="S1918"/>
      <c r="T1918"/>
      <c r="U1918"/>
      <c r="V1918"/>
      <c r="W1918"/>
      <c r="X1918"/>
      <c r="Y1918"/>
      <c r="Z1918"/>
      <c r="AA1918"/>
    </row>
    <row r="1919" spans="1:27" s="1" customFormat="1" x14ac:dyDescent="0.3">
      <c r="A1919"/>
      <c r="B1919"/>
      <c r="C1919"/>
      <c r="D1919"/>
      <c r="E1919"/>
      <c r="F1919"/>
      <c r="G1919"/>
      <c r="H1919"/>
      <c r="I1919"/>
      <c r="J1919"/>
      <c r="K1919"/>
      <c r="L1919"/>
      <c r="M1919"/>
      <c r="N1919"/>
      <c r="O1919"/>
      <c r="P1919"/>
      <c r="Q1919"/>
      <c r="R1919"/>
      <c r="S1919"/>
      <c r="T1919"/>
      <c r="U1919"/>
      <c r="V1919"/>
      <c r="W1919"/>
      <c r="X1919"/>
      <c r="Y1919"/>
      <c r="Z1919"/>
      <c r="AA1919"/>
    </row>
    <row r="1920" spans="1:27" s="1" customFormat="1" x14ac:dyDescent="0.3">
      <c r="A1920"/>
      <c r="B1920"/>
      <c r="C1920"/>
      <c r="D1920"/>
      <c r="E1920"/>
      <c r="F1920"/>
      <c r="G1920"/>
      <c r="H1920"/>
      <c r="I1920"/>
      <c r="J1920"/>
      <c r="K1920"/>
      <c r="L1920"/>
      <c r="M1920"/>
      <c r="N1920"/>
      <c r="O1920"/>
      <c r="P1920"/>
      <c r="Q1920"/>
      <c r="R1920"/>
      <c r="S1920"/>
      <c r="T1920"/>
      <c r="U1920"/>
      <c r="V1920"/>
      <c r="W1920"/>
      <c r="X1920"/>
      <c r="Y1920"/>
      <c r="Z1920"/>
      <c r="AA1920"/>
    </row>
    <row r="1921" spans="1:27" s="1" customFormat="1" x14ac:dyDescent="0.3">
      <c r="A1921"/>
      <c r="B1921"/>
      <c r="C1921"/>
      <c r="D1921"/>
      <c r="E1921"/>
      <c r="F1921"/>
      <c r="G1921"/>
      <c r="H1921"/>
      <c r="I1921"/>
      <c r="J1921"/>
      <c r="K1921"/>
      <c r="L1921"/>
      <c r="M1921"/>
      <c r="N1921"/>
      <c r="O1921"/>
      <c r="P1921"/>
      <c r="Q1921"/>
      <c r="R1921"/>
      <c r="S1921"/>
      <c r="T1921"/>
      <c r="U1921"/>
      <c r="V1921"/>
      <c r="W1921"/>
      <c r="X1921"/>
      <c r="Y1921"/>
      <c r="Z1921"/>
      <c r="AA1921"/>
    </row>
    <row r="1922" spans="1:27" s="1" customFormat="1" x14ac:dyDescent="0.3">
      <c r="A1922"/>
      <c r="B1922"/>
      <c r="C1922"/>
      <c r="D1922"/>
      <c r="E1922"/>
      <c r="F1922"/>
      <c r="G1922"/>
      <c r="H1922"/>
      <c r="I1922"/>
      <c r="J1922"/>
      <c r="K1922"/>
      <c r="L1922"/>
      <c r="M1922"/>
      <c r="N1922"/>
      <c r="O1922"/>
      <c r="P1922"/>
      <c r="Q1922"/>
      <c r="R1922"/>
      <c r="S1922"/>
      <c r="T1922"/>
      <c r="U1922"/>
      <c r="V1922"/>
      <c r="W1922"/>
      <c r="X1922"/>
      <c r="Y1922"/>
      <c r="Z1922"/>
      <c r="AA1922"/>
    </row>
    <row r="1923" spans="1:27" s="1" customFormat="1" x14ac:dyDescent="0.3">
      <c r="A1923"/>
      <c r="B1923"/>
      <c r="C1923"/>
      <c r="D1923"/>
      <c r="E1923"/>
      <c r="F1923"/>
      <c r="G1923"/>
      <c r="H1923"/>
      <c r="I1923"/>
      <c r="J1923"/>
      <c r="K1923"/>
      <c r="L1923"/>
      <c r="M1923"/>
      <c r="N1923"/>
      <c r="O1923"/>
      <c r="P1923"/>
      <c r="Q1923"/>
      <c r="R1923"/>
      <c r="S1923"/>
      <c r="T1923"/>
      <c r="U1923"/>
      <c r="V1923"/>
      <c r="W1923"/>
      <c r="X1923"/>
      <c r="Y1923"/>
      <c r="Z1923"/>
      <c r="AA1923"/>
    </row>
    <row r="1924" spans="1:27" s="1" customFormat="1" x14ac:dyDescent="0.3">
      <c r="A1924"/>
      <c r="B1924"/>
      <c r="C1924"/>
      <c r="D1924"/>
      <c r="E1924"/>
      <c r="F1924"/>
      <c r="G1924"/>
      <c r="H1924"/>
      <c r="I1924"/>
      <c r="J1924"/>
      <c r="K1924"/>
      <c r="L1924"/>
      <c r="M1924"/>
      <c r="N1924"/>
      <c r="O1924"/>
      <c r="P1924"/>
      <c r="Q1924"/>
      <c r="R1924"/>
      <c r="S1924"/>
      <c r="T1924"/>
      <c r="U1924"/>
      <c r="V1924"/>
      <c r="W1924"/>
      <c r="X1924"/>
      <c r="Y1924"/>
      <c r="Z1924"/>
      <c r="AA1924"/>
    </row>
    <row r="1925" spans="1:27" s="1" customFormat="1" x14ac:dyDescent="0.3">
      <c r="A1925"/>
      <c r="B1925"/>
      <c r="C1925"/>
      <c r="D1925"/>
      <c r="E1925"/>
      <c r="F1925"/>
      <c r="G1925"/>
      <c r="H1925"/>
      <c r="I1925"/>
      <c r="J1925"/>
      <c r="K1925"/>
      <c r="L1925"/>
      <c r="M1925"/>
      <c r="N1925"/>
      <c r="O1925"/>
      <c r="P1925"/>
      <c r="Q1925"/>
      <c r="R1925"/>
      <c r="S1925"/>
      <c r="T1925"/>
      <c r="U1925"/>
      <c r="V1925"/>
      <c r="W1925"/>
      <c r="X1925"/>
      <c r="Y1925"/>
      <c r="Z1925"/>
      <c r="AA1925"/>
    </row>
    <row r="1926" spans="1:27" s="1" customFormat="1" x14ac:dyDescent="0.3">
      <c r="A1926"/>
      <c r="B1926"/>
      <c r="C1926"/>
      <c r="D1926"/>
      <c r="E1926"/>
      <c r="F1926"/>
      <c r="G1926"/>
      <c r="H1926"/>
      <c r="I1926"/>
      <c r="J1926"/>
      <c r="K1926"/>
      <c r="L1926"/>
      <c r="M1926"/>
      <c r="N1926"/>
      <c r="O1926"/>
      <c r="P1926"/>
      <c r="Q1926"/>
      <c r="R1926"/>
      <c r="S1926"/>
      <c r="T1926"/>
      <c r="U1926"/>
      <c r="V1926"/>
      <c r="W1926"/>
      <c r="X1926"/>
      <c r="Y1926"/>
      <c r="Z1926"/>
      <c r="AA1926"/>
    </row>
    <row r="1927" spans="1:27" s="1" customFormat="1" x14ac:dyDescent="0.3">
      <c r="A1927"/>
      <c r="B1927"/>
      <c r="C1927"/>
      <c r="D1927"/>
      <c r="E1927"/>
      <c r="F1927"/>
      <c r="G1927"/>
      <c r="H1927"/>
      <c r="I1927"/>
      <c r="J1927"/>
      <c r="K1927"/>
      <c r="L1927"/>
      <c r="M1927"/>
      <c r="N1927"/>
      <c r="O1927"/>
      <c r="P1927"/>
      <c r="Q1927"/>
      <c r="R1927"/>
      <c r="S1927"/>
      <c r="T1927"/>
      <c r="U1927"/>
      <c r="V1927"/>
      <c r="W1927"/>
      <c r="X1927"/>
      <c r="Y1927"/>
      <c r="Z1927"/>
      <c r="AA1927"/>
    </row>
    <row r="1928" spans="1:27" s="1" customFormat="1" x14ac:dyDescent="0.3">
      <c r="A1928"/>
      <c r="B1928"/>
      <c r="C1928"/>
      <c r="D1928"/>
      <c r="E1928"/>
      <c r="F1928"/>
      <c r="G1928"/>
      <c r="H1928"/>
      <c r="I1928"/>
      <c r="J1928"/>
      <c r="K1928"/>
      <c r="L1928"/>
      <c r="M1928"/>
      <c r="N1928"/>
      <c r="O1928"/>
      <c r="P1928"/>
      <c r="Q1928"/>
      <c r="R1928"/>
      <c r="S1928"/>
      <c r="T1928"/>
      <c r="U1928"/>
      <c r="V1928"/>
      <c r="W1928"/>
      <c r="X1928"/>
      <c r="Y1928"/>
      <c r="Z1928"/>
      <c r="AA1928"/>
    </row>
    <row r="1929" spans="1:27" s="1" customFormat="1" x14ac:dyDescent="0.3">
      <c r="A1929"/>
      <c r="B1929"/>
      <c r="C1929"/>
      <c r="D1929"/>
      <c r="E1929"/>
      <c r="F1929"/>
      <c r="G1929"/>
      <c r="H1929"/>
      <c r="I1929"/>
      <c r="J1929"/>
      <c r="K1929"/>
      <c r="L1929"/>
      <c r="M1929"/>
      <c r="N1929"/>
      <c r="O1929"/>
      <c r="P1929"/>
      <c r="Q1929"/>
      <c r="R1929"/>
      <c r="S1929"/>
      <c r="T1929"/>
      <c r="U1929"/>
      <c r="V1929"/>
      <c r="W1929"/>
      <c r="X1929"/>
      <c r="Y1929"/>
      <c r="Z1929"/>
      <c r="AA1929"/>
    </row>
    <row r="1930" spans="1:27" s="1" customFormat="1" x14ac:dyDescent="0.3">
      <c r="A1930"/>
      <c r="B1930"/>
      <c r="C1930"/>
      <c r="D1930"/>
      <c r="E1930"/>
      <c r="F1930"/>
      <c r="G1930"/>
      <c r="H1930"/>
      <c r="I1930"/>
      <c r="J1930"/>
      <c r="K1930"/>
      <c r="L1930"/>
      <c r="M1930"/>
      <c r="N1930"/>
      <c r="O1930"/>
      <c r="P1930"/>
      <c r="Q1930"/>
      <c r="R1930"/>
      <c r="S1930"/>
      <c r="T1930"/>
      <c r="U1930"/>
      <c r="V1930"/>
      <c r="W1930"/>
      <c r="X1930"/>
      <c r="Y1930"/>
      <c r="Z1930"/>
      <c r="AA1930"/>
    </row>
    <row r="1931" spans="1:27" s="1" customFormat="1" x14ac:dyDescent="0.3">
      <c r="A1931"/>
      <c r="B1931"/>
      <c r="C1931"/>
      <c r="D1931"/>
      <c r="E1931"/>
      <c r="F1931"/>
      <c r="G1931"/>
      <c r="H1931"/>
      <c r="I1931"/>
      <c r="J1931"/>
      <c r="K1931"/>
      <c r="L1931"/>
      <c r="M1931"/>
      <c r="N1931"/>
      <c r="O1931"/>
      <c r="P1931"/>
      <c r="Q1931"/>
      <c r="R1931"/>
      <c r="S1931"/>
      <c r="T1931"/>
      <c r="U1931"/>
      <c r="V1931"/>
      <c r="W1931"/>
      <c r="X1931"/>
      <c r="Y1931"/>
      <c r="Z1931"/>
      <c r="AA1931"/>
    </row>
    <row r="1932" spans="1:27" s="1" customFormat="1" x14ac:dyDescent="0.3">
      <c r="A1932"/>
      <c r="B1932"/>
      <c r="C1932"/>
      <c r="D1932"/>
      <c r="E1932"/>
      <c r="F1932"/>
      <c r="G1932"/>
      <c r="H1932"/>
      <c r="I1932"/>
      <c r="J1932"/>
      <c r="K1932"/>
      <c r="L1932"/>
      <c r="M1932"/>
      <c r="N1932"/>
      <c r="O1932"/>
      <c r="P1932"/>
      <c r="Q1932"/>
      <c r="R1932"/>
      <c r="S1932"/>
      <c r="T1932"/>
      <c r="U1932"/>
      <c r="V1932"/>
      <c r="W1932"/>
      <c r="X1932"/>
      <c r="Y1932"/>
      <c r="Z1932"/>
      <c r="AA1932"/>
    </row>
    <row r="1933" spans="1:27" s="1" customFormat="1" x14ac:dyDescent="0.3">
      <c r="A1933"/>
      <c r="B1933"/>
      <c r="C1933"/>
      <c r="D1933"/>
      <c r="E1933"/>
      <c r="F1933"/>
      <c r="G1933"/>
      <c r="H1933"/>
      <c r="I1933"/>
      <c r="J1933"/>
      <c r="K1933"/>
      <c r="L1933"/>
      <c r="M1933"/>
      <c r="N1933"/>
      <c r="O1933"/>
      <c r="P1933"/>
      <c r="Q1933"/>
      <c r="R1933"/>
      <c r="S1933"/>
      <c r="T1933"/>
      <c r="U1933"/>
      <c r="V1933"/>
      <c r="W1933"/>
      <c r="X1933"/>
      <c r="Y1933"/>
      <c r="Z1933"/>
      <c r="AA1933"/>
    </row>
    <row r="1934" spans="1:27" s="1" customFormat="1" x14ac:dyDescent="0.3">
      <c r="A1934"/>
      <c r="B1934"/>
      <c r="C1934"/>
      <c r="D1934"/>
      <c r="E1934"/>
      <c r="F1934"/>
      <c r="G1934"/>
      <c r="H1934"/>
      <c r="I1934"/>
      <c r="J1934"/>
      <c r="K1934"/>
      <c r="L1934"/>
      <c r="M1934"/>
      <c r="N1934"/>
      <c r="O1934"/>
      <c r="P1934"/>
      <c r="Q1934"/>
      <c r="R1934"/>
      <c r="S1934"/>
      <c r="T1934"/>
      <c r="U1934"/>
      <c r="V1934"/>
      <c r="W1934"/>
      <c r="X1934"/>
      <c r="Y1934"/>
      <c r="Z1934"/>
      <c r="AA1934"/>
    </row>
    <row r="1935" spans="1:27" s="1" customFormat="1" x14ac:dyDescent="0.3">
      <c r="A1935"/>
      <c r="B1935"/>
      <c r="C1935"/>
      <c r="D1935"/>
      <c r="E1935"/>
      <c r="F1935"/>
      <c r="G1935"/>
      <c r="H1935"/>
      <c r="I1935"/>
      <c r="J1935"/>
      <c r="K1935"/>
      <c r="L1935"/>
      <c r="M1935"/>
      <c r="N1935"/>
      <c r="O1935"/>
      <c r="P1935"/>
      <c r="Q1935"/>
      <c r="R1935"/>
      <c r="S1935"/>
      <c r="T1935"/>
      <c r="U1935"/>
      <c r="V1935"/>
      <c r="W1935"/>
      <c r="X1935"/>
      <c r="Y1935"/>
      <c r="Z1935"/>
      <c r="AA1935"/>
    </row>
    <row r="1936" spans="1:27" s="1" customFormat="1" x14ac:dyDescent="0.3">
      <c r="A1936"/>
      <c r="B1936"/>
      <c r="C1936"/>
      <c r="D1936"/>
      <c r="E1936"/>
      <c r="F1936"/>
      <c r="G1936"/>
      <c r="H1936"/>
      <c r="I1936"/>
      <c r="J1936"/>
      <c r="K1936"/>
      <c r="L1936"/>
      <c r="M1936"/>
      <c r="N1936"/>
      <c r="O1936"/>
      <c r="P1936"/>
      <c r="Q1936"/>
      <c r="R1936"/>
      <c r="S1936"/>
      <c r="T1936"/>
      <c r="U1936"/>
      <c r="V1936"/>
      <c r="W1936"/>
      <c r="X1936"/>
      <c r="Y1936"/>
      <c r="Z1936"/>
      <c r="AA1936"/>
    </row>
    <row r="1937" spans="1:27" s="1" customFormat="1" x14ac:dyDescent="0.3">
      <c r="A1937"/>
      <c r="B1937"/>
      <c r="C1937"/>
      <c r="D1937"/>
      <c r="E1937"/>
      <c r="F1937"/>
      <c r="G1937"/>
      <c r="H1937"/>
      <c r="I1937"/>
      <c r="J1937"/>
      <c r="K1937"/>
      <c r="L1937"/>
      <c r="M1937"/>
      <c r="N1937"/>
      <c r="O1937"/>
      <c r="P1937"/>
      <c r="Q1937"/>
      <c r="R1937"/>
      <c r="S1937"/>
      <c r="T1937"/>
      <c r="U1937"/>
      <c r="V1937"/>
      <c r="W1937"/>
      <c r="X1937"/>
      <c r="Y1937"/>
      <c r="Z1937"/>
      <c r="AA1937"/>
    </row>
    <row r="1938" spans="1:27" s="1" customFormat="1" x14ac:dyDescent="0.3">
      <c r="A1938"/>
      <c r="B1938"/>
      <c r="C1938"/>
      <c r="D1938"/>
      <c r="E1938"/>
      <c r="F1938"/>
      <c r="G1938"/>
      <c r="H1938"/>
      <c r="I1938"/>
      <c r="J1938"/>
      <c r="K1938"/>
      <c r="L1938"/>
      <c r="M1938"/>
      <c r="N1938"/>
      <c r="O1938"/>
      <c r="P1938"/>
      <c r="Q1938"/>
      <c r="R1938"/>
      <c r="S1938"/>
      <c r="T1938"/>
      <c r="U1938"/>
      <c r="V1938"/>
      <c r="W1938"/>
      <c r="X1938"/>
      <c r="Y1938"/>
      <c r="Z1938"/>
      <c r="AA1938"/>
    </row>
    <row r="1939" spans="1:27" s="1" customFormat="1" x14ac:dyDescent="0.3">
      <c r="A1939"/>
      <c r="B1939"/>
      <c r="C1939"/>
      <c r="D1939"/>
      <c r="E1939"/>
      <c r="F1939"/>
      <c r="G1939"/>
      <c r="H1939"/>
      <c r="I1939"/>
      <c r="J1939"/>
      <c r="K1939"/>
      <c r="L1939"/>
      <c r="M1939"/>
      <c r="N1939"/>
      <c r="O1939"/>
      <c r="P1939"/>
      <c r="Q1939"/>
      <c r="R1939"/>
      <c r="S1939"/>
      <c r="T1939"/>
      <c r="U1939"/>
      <c r="V1939"/>
      <c r="W1939"/>
      <c r="X1939"/>
      <c r="Y1939"/>
      <c r="Z1939"/>
      <c r="AA1939"/>
    </row>
    <row r="1940" spans="1:27" s="1" customFormat="1" x14ac:dyDescent="0.3">
      <c r="A1940"/>
      <c r="B1940"/>
      <c r="C1940"/>
      <c r="D1940"/>
      <c r="E1940"/>
      <c r="F1940"/>
      <c r="G1940"/>
      <c r="H1940"/>
      <c r="I1940"/>
      <c r="J1940"/>
      <c r="K1940"/>
      <c r="L1940"/>
      <c r="M1940"/>
      <c r="N1940"/>
      <c r="O1940"/>
      <c r="P1940"/>
      <c r="Q1940"/>
      <c r="R1940"/>
      <c r="S1940"/>
      <c r="T1940"/>
      <c r="U1940"/>
      <c r="V1940"/>
      <c r="W1940"/>
      <c r="X1940"/>
      <c r="Y1940"/>
      <c r="Z1940"/>
      <c r="AA1940"/>
    </row>
    <row r="1941" spans="1:27" s="1" customFormat="1" x14ac:dyDescent="0.3">
      <c r="A1941"/>
      <c r="B1941"/>
      <c r="C1941"/>
      <c r="D1941"/>
      <c r="E1941"/>
      <c r="F1941"/>
      <c r="G1941"/>
      <c r="H1941"/>
      <c r="I1941"/>
      <c r="J1941"/>
      <c r="K1941"/>
      <c r="L1941"/>
      <c r="M1941"/>
      <c r="N1941"/>
      <c r="O1941"/>
      <c r="P1941"/>
      <c r="Q1941"/>
      <c r="R1941"/>
      <c r="S1941"/>
      <c r="T1941"/>
      <c r="U1941"/>
      <c r="V1941"/>
      <c r="W1941"/>
      <c r="X1941"/>
      <c r="Y1941"/>
      <c r="Z1941"/>
      <c r="AA1941"/>
    </row>
    <row r="1942" spans="1:27" s="1" customFormat="1" x14ac:dyDescent="0.3">
      <c r="A1942"/>
      <c r="B1942"/>
      <c r="C1942"/>
      <c r="D1942"/>
      <c r="E1942"/>
      <c r="F1942"/>
      <c r="G1942"/>
      <c r="H1942"/>
      <c r="I1942"/>
      <c r="J1942"/>
      <c r="K1942"/>
      <c r="L1942"/>
      <c r="M1942"/>
      <c r="N1942"/>
      <c r="O1942"/>
      <c r="P1942"/>
      <c r="Q1942"/>
      <c r="R1942"/>
      <c r="S1942"/>
      <c r="T1942"/>
      <c r="U1942"/>
      <c r="V1942"/>
      <c r="W1942"/>
      <c r="X1942"/>
      <c r="Y1942"/>
      <c r="Z1942"/>
      <c r="AA1942"/>
    </row>
    <row r="1943" spans="1:27" s="1" customFormat="1" x14ac:dyDescent="0.3">
      <c r="A1943"/>
      <c r="B1943"/>
      <c r="C1943"/>
      <c r="D1943"/>
      <c r="E1943"/>
      <c r="F1943"/>
      <c r="G1943"/>
      <c r="H1943"/>
      <c r="I1943"/>
      <c r="J1943"/>
      <c r="K1943"/>
      <c r="L1943"/>
      <c r="M1943"/>
      <c r="N1943"/>
      <c r="O1943"/>
      <c r="P1943"/>
      <c r="Q1943"/>
      <c r="R1943"/>
      <c r="S1943"/>
      <c r="T1943"/>
      <c r="U1943"/>
      <c r="V1943"/>
      <c r="W1943"/>
      <c r="X1943"/>
      <c r="Y1943"/>
      <c r="Z1943"/>
      <c r="AA1943"/>
    </row>
    <row r="1944" spans="1:27" s="1" customFormat="1" x14ac:dyDescent="0.3">
      <c r="A1944"/>
      <c r="B1944"/>
      <c r="C1944"/>
      <c r="D1944"/>
      <c r="E1944"/>
      <c r="F1944"/>
      <c r="G1944"/>
      <c r="H1944"/>
      <c r="I1944"/>
      <c r="J1944"/>
      <c r="K1944"/>
      <c r="L1944"/>
      <c r="M1944"/>
      <c r="N1944"/>
      <c r="O1944"/>
      <c r="P1944"/>
      <c r="Q1944"/>
      <c r="R1944"/>
      <c r="S1944"/>
      <c r="T1944"/>
      <c r="U1944"/>
      <c r="V1944"/>
      <c r="W1944"/>
      <c r="X1944"/>
      <c r="Y1944"/>
      <c r="Z1944"/>
      <c r="AA1944"/>
    </row>
    <row r="1945" spans="1:27" s="1" customFormat="1" x14ac:dyDescent="0.3">
      <c r="A1945"/>
      <c r="B1945"/>
      <c r="C1945"/>
      <c r="D1945"/>
      <c r="E1945"/>
      <c r="F1945"/>
      <c r="G1945"/>
      <c r="H1945"/>
      <c r="I1945"/>
      <c r="J1945"/>
      <c r="K1945"/>
      <c r="L1945"/>
      <c r="M1945"/>
      <c r="N1945"/>
      <c r="O1945"/>
      <c r="P1945"/>
      <c r="Q1945"/>
      <c r="R1945"/>
      <c r="S1945"/>
      <c r="T1945"/>
      <c r="U1945"/>
      <c r="V1945"/>
      <c r="W1945"/>
      <c r="X1945"/>
      <c r="Y1945"/>
      <c r="Z1945"/>
      <c r="AA1945"/>
    </row>
    <row r="1946" spans="1:27" s="1" customFormat="1" x14ac:dyDescent="0.3">
      <c r="A1946"/>
      <c r="B1946"/>
      <c r="C1946"/>
      <c r="D1946"/>
      <c r="E1946"/>
      <c r="F1946"/>
      <c r="G1946"/>
      <c r="H1946"/>
      <c r="I1946"/>
      <c r="J1946"/>
      <c r="K1946"/>
      <c r="L1946"/>
      <c r="M1946"/>
      <c r="N1946"/>
      <c r="O1946"/>
      <c r="P1946"/>
      <c r="Q1946"/>
      <c r="R1946"/>
      <c r="S1946"/>
      <c r="T1946"/>
      <c r="U1946"/>
      <c r="V1946"/>
      <c r="W1946"/>
      <c r="X1946"/>
      <c r="Y1946"/>
      <c r="Z1946"/>
      <c r="AA1946"/>
    </row>
    <row r="1947" spans="1:27" s="1" customFormat="1" x14ac:dyDescent="0.3">
      <c r="A1947"/>
      <c r="B1947"/>
      <c r="C1947"/>
      <c r="D1947"/>
      <c r="E1947"/>
      <c r="F1947"/>
      <c r="G1947"/>
      <c r="H1947"/>
      <c r="I1947"/>
      <c r="J1947"/>
      <c r="K1947"/>
      <c r="L1947"/>
      <c r="M1947"/>
      <c r="N1947"/>
      <c r="O1947"/>
      <c r="P1947"/>
      <c r="Q1947"/>
      <c r="R1947"/>
      <c r="S1947"/>
      <c r="T1947"/>
      <c r="U1947"/>
      <c r="V1947"/>
      <c r="W1947"/>
      <c r="X1947"/>
      <c r="Y1947"/>
      <c r="Z1947"/>
      <c r="AA1947"/>
    </row>
    <row r="1948" spans="1:27" s="1" customFormat="1" x14ac:dyDescent="0.3">
      <c r="A1948"/>
      <c r="B1948"/>
      <c r="C1948"/>
      <c r="D1948"/>
      <c r="E1948"/>
      <c r="F1948"/>
      <c r="G1948"/>
      <c r="H1948"/>
      <c r="I1948"/>
      <c r="J1948"/>
      <c r="K1948"/>
      <c r="L1948"/>
      <c r="M1948"/>
      <c r="N1948"/>
      <c r="O1948"/>
      <c r="P1948"/>
      <c r="Q1948"/>
      <c r="R1948"/>
      <c r="S1948"/>
      <c r="T1948"/>
      <c r="U1948"/>
      <c r="V1948"/>
      <c r="W1948"/>
      <c r="X1948"/>
      <c r="Y1948"/>
      <c r="Z1948"/>
      <c r="AA1948"/>
    </row>
    <row r="1949" spans="1:27" s="1" customFormat="1" x14ac:dyDescent="0.3">
      <c r="A1949"/>
      <c r="B1949"/>
      <c r="C1949"/>
      <c r="D1949"/>
      <c r="E1949"/>
      <c r="F1949"/>
      <c r="G1949"/>
      <c r="H1949"/>
      <c r="I1949"/>
      <c r="J1949"/>
      <c r="K1949"/>
      <c r="L1949"/>
      <c r="M1949"/>
      <c r="N1949"/>
      <c r="O1949"/>
      <c r="P1949"/>
      <c r="Q1949"/>
      <c r="R1949"/>
      <c r="S1949"/>
      <c r="T1949"/>
      <c r="U1949"/>
      <c r="V1949"/>
      <c r="W1949"/>
      <c r="X1949"/>
      <c r="Y1949"/>
      <c r="Z1949"/>
      <c r="AA1949"/>
    </row>
    <row r="1950" spans="1:27" s="1" customFormat="1" x14ac:dyDescent="0.3">
      <c r="A1950"/>
      <c r="B1950"/>
      <c r="C1950"/>
      <c r="D1950"/>
      <c r="E1950"/>
      <c r="F1950"/>
      <c r="G1950"/>
      <c r="H1950"/>
      <c r="I1950"/>
      <c r="J1950"/>
      <c r="K1950"/>
      <c r="L1950"/>
      <c r="M1950"/>
      <c r="N1950"/>
      <c r="O1950"/>
      <c r="P1950"/>
      <c r="Q1950"/>
      <c r="R1950"/>
      <c r="S1950"/>
      <c r="T1950"/>
      <c r="U1950"/>
      <c r="V1950"/>
      <c r="W1950"/>
      <c r="X1950"/>
      <c r="Y1950"/>
      <c r="Z1950"/>
      <c r="AA1950"/>
    </row>
    <row r="1951" spans="1:27" s="1" customFormat="1" x14ac:dyDescent="0.3">
      <c r="A1951"/>
      <c r="B1951"/>
      <c r="C1951"/>
      <c r="D1951"/>
      <c r="E1951"/>
      <c r="F1951"/>
      <c r="G1951"/>
      <c r="H1951"/>
      <c r="I1951"/>
      <c r="J1951"/>
      <c r="K1951"/>
      <c r="L1951"/>
      <c r="M1951"/>
      <c r="N1951"/>
      <c r="O1951"/>
      <c r="P1951"/>
      <c r="Q1951"/>
      <c r="R1951"/>
      <c r="S1951"/>
      <c r="T1951"/>
      <c r="U1951"/>
      <c r="V1951"/>
      <c r="W1951"/>
      <c r="X1951"/>
      <c r="Y1951"/>
      <c r="Z1951"/>
      <c r="AA1951"/>
    </row>
    <row r="1952" spans="1:27" s="1" customFormat="1" x14ac:dyDescent="0.3">
      <c r="A1952"/>
      <c r="B1952"/>
      <c r="C1952"/>
      <c r="D1952"/>
      <c r="E1952"/>
      <c r="F1952"/>
      <c r="G1952"/>
      <c r="H1952"/>
      <c r="I1952"/>
      <c r="J1952"/>
      <c r="K1952"/>
      <c r="L1952"/>
      <c r="M1952"/>
      <c r="N1952"/>
      <c r="O1952"/>
      <c r="P1952"/>
      <c r="Q1952"/>
      <c r="R1952"/>
      <c r="S1952"/>
      <c r="T1952"/>
      <c r="U1952"/>
      <c r="V1952"/>
      <c r="W1952"/>
      <c r="X1952"/>
      <c r="Y1952"/>
      <c r="Z1952"/>
      <c r="AA1952"/>
    </row>
    <row r="1953" spans="1:27" s="1" customFormat="1" x14ac:dyDescent="0.3">
      <c r="A1953"/>
      <c r="B1953"/>
      <c r="C1953"/>
      <c r="D1953"/>
      <c r="E1953"/>
      <c r="F1953"/>
      <c r="G1953"/>
      <c r="H1953"/>
      <c r="I1953"/>
      <c r="J1953"/>
      <c r="K1953"/>
      <c r="L1953"/>
      <c r="M1953"/>
      <c r="N1953"/>
      <c r="O1953"/>
      <c r="P1953"/>
      <c r="Q1953"/>
      <c r="R1953"/>
      <c r="S1953"/>
      <c r="T1953"/>
      <c r="U1953"/>
      <c r="V1953"/>
      <c r="W1953"/>
      <c r="X1953"/>
      <c r="Y1953"/>
      <c r="Z1953"/>
      <c r="AA1953"/>
    </row>
    <row r="1954" spans="1:27" s="1" customFormat="1" x14ac:dyDescent="0.3">
      <c r="A1954"/>
      <c r="B1954"/>
      <c r="C1954"/>
      <c r="D1954"/>
      <c r="E1954"/>
      <c r="F1954"/>
      <c r="G1954"/>
      <c r="H1954"/>
      <c r="I1954"/>
      <c r="J1954"/>
      <c r="K1954"/>
      <c r="L1954"/>
      <c r="M1954"/>
      <c r="N1954"/>
      <c r="O1954"/>
      <c r="P1954"/>
      <c r="Q1954"/>
      <c r="R1954"/>
      <c r="S1954"/>
      <c r="T1954"/>
      <c r="U1954"/>
      <c r="V1954"/>
      <c r="W1954"/>
      <c r="X1954"/>
      <c r="Y1954"/>
      <c r="Z1954"/>
      <c r="AA1954"/>
    </row>
    <row r="1955" spans="1:27" s="1" customFormat="1" x14ac:dyDescent="0.3">
      <c r="A1955"/>
      <c r="B1955"/>
      <c r="C1955"/>
      <c r="D1955"/>
      <c r="E1955"/>
      <c r="F1955"/>
      <c r="G1955"/>
      <c r="H1955"/>
      <c r="I1955"/>
      <c r="J1955"/>
      <c r="K1955"/>
      <c r="L1955"/>
      <c r="M1955"/>
      <c r="N1955"/>
      <c r="O1955"/>
      <c r="P1955"/>
      <c r="Q1955"/>
      <c r="R1955"/>
      <c r="S1955"/>
      <c r="T1955"/>
      <c r="U1955"/>
      <c r="V1955"/>
      <c r="W1955"/>
      <c r="X1955"/>
      <c r="Y1955"/>
      <c r="Z1955"/>
      <c r="AA1955"/>
    </row>
    <row r="1956" spans="1:27" s="1" customFormat="1" x14ac:dyDescent="0.3">
      <c r="A1956"/>
      <c r="B1956"/>
      <c r="C1956"/>
      <c r="D1956"/>
      <c r="E1956"/>
      <c r="F1956"/>
      <c r="G1956"/>
      <c r="H1956"/>
      <c r="I1956"/>
      <c r="J1956"/>
      <c r="K1956"/>
      <c r="L1956"/>
      <c r="M1956"/>
      <c r="N1956"/>
      <c r="O1956"/>
      <c r="P1956"/>
      <c r="Q1956"/>
      <c r="R1956"/>
      <c r="S1956"/>
      <c r="T1956"/>
      <c r="U1956"/>
      <c r="V1956"/>
      <c r="W1956"/>
      <c r="X1956"/>
      <c r="Y1956"/>
      <c r="Z1956"/>
      <c r="AA1956"/>
    </row>
    <row r="1957" spans="1:27" s="1" customFormat="1" x14ac:dyDescent="0.3">
      <c r="A1957"/>
      <c r="B1957"/>
      <c r="C1957"/>
      <c r="D1957"/>
      <c r="E1957"/>
      <c r="F1957"/>
      <c r="G1957"/>
      <c r="H1957"/>
      <c r="I1957"/>
      <c r="J1957"/>
      <c r="K1957"/>
      <c r="L1957"/>
      <c r="M1957"/>
      <c r="N1957"/>
      <c r="O1957"/>
      <c r="P1957"/>
      <c r="Q1957"/>
      <c r="R1957"/>
      <c r="S1957"/>
      <c r="T1957"/>
      <c r="U1957"/>
      <c r="V1957"/>
      <c r="W1957"/>
      <c r="X1957"/>
      <c r="Y1957"/>
      <c r="Z1957"/>
      <c r="AA1957"/>
    </row>
    <row r="1958" spans="1:27" s="1" customFormat="1" x14ac:dyDescent="0.3">
      <c r="A1958"/>
      <c r="B1958"/>
      <c r="C1958"/>
      <c r="D1958"/>
      <c r="E1958"/>
      <c r="F1958"/>
      <c r="G1958"/>
      <c r="H1958"/>
      <c r="I1958"/>
      <c r="J1958"/>
      <c r="K1958"/>
      <c r="L1958"/>
      <c r="M1958"/>
      <c r="N1958"/>
      <c r="O1958"/>
      <c r="P1958"/>
      <c r="Q1958"/>
      <c r="R1958"/>
      <c r="S1958"/>
      <c r="T1958"/>
      <c r="U1958"/>
      <c r="V1958"/>
      <c r="W1958"/>
      <c r="X1958"/>
      <c r="Y1958"/>
      <c r="Z1958"/>
      <c r="AA1958"/>
    </row>
    <row r="1959" spans="1:27" s="1" customFormat="1" x14ac:dyDescent="0.3">
      <c r="A1959"/>
      <c r="B1959"/>
      <c r="C1959"/>
      <c r="D1959"/>
      <c r="E1959"/>
      <c r="F1959"/>
      <c r="G1959"/>
      <c r="H1959"/>
      <c r="I1959"/>
      <c r="J1959"/>
      <c r="K1959"/>
      <c r="L1959"/>
      <c r="M1959"/>
      <c r="N1959"/>
      <c r="O1959"/>
      <c r="P1959"/>
      <c r="Q1959"/>
      <c r="R1959"/>
      <c r="S1959"/>
      <c r="T1959"/>
      <c r="U1959"/>
      <c r="V1959"/>
      <c r="W1959"/>
      <c r="X1959"/>
      <c r="Y1959"/>
      <c r="Z1959"/>
      <c r="AA1959"/>
    </row>
    <row r="1960" spans="1:27" s="1" customFormat="1" x14ac:dyDescent="0.3">
      <c r="A1960"/>
      <c r="B1960"/>
      <c r="C1960"/>
      <c r="D1960"/>
      <c r="E1960"/>
      <c r="F1960"/>
      <c r="G1960"/>
      <c r="H1960"/>
      <c r="I1960"/>
      <c r="J1960"/>
      <c r="K1960"/>
      <c r="L1960"/>
      <c r="M1960"/>
      <c r="N1960"/>
      <c r="O1960"/>
      <c r="P1960"/>
      <c r="Q1960"/>
      <c r="R1960"/>
      <c r="S1960"/>
      <c r="T1960"/>
      <c r="U1960"/>
      <c r="V1960"/>
      <c r="W1960"/>
      <c r="X1960"/>
      <c r="Y1960"/>
      <c r="Z1960"/>
      <c r="AA1960"/>
    </row>
    <row r="1961" spans="1:27" s="1" customFormat="1" x14ac:dyDescent="0.3">
      <c r="A1961"/>
      <c r="B1961"/>
      <c r="C1961"/>
      <c r="D1961"/>
      <c r="E1961"/>
      <c r="F1961"/>
      <c r="G1961"/>
      <c r="H1961"/>
      <c r="I1961"/>
      <c r="J1961"/>
      <c r="K1961"/>
      <c r="L1961"/>
      <c r="M1961"/>
      <c r="N1961"/>
      <c r="O1961"/>
      <c r="P1961"/>
      <c r="Q1961"/>
      <c r="R1961"/>
      <c r="S1961"/>
      <c r="T1961"/>
      <c r="U1961"/>
      <c r="V1961"/>
      <c r="W1961"/>
      <c r="X1961"/>
      <c r="Y1961"/>
      <c r="Z1961"/>
      <c r="AA1961"/>
    </row>
    <row r="1962" spans="1:27" s="1" customFormat="1" x14ac:dyDescent="0.3">
      <c r="A1962"/>
      <c r="B1962"/>
      <c r="C1962"/>
      <c r="D1962"/>
      <c r="E1962"/>
      <c r="F1962"/>
      <c r="G1962"/>
      <c r="H1962"/>
      <c r="I1962"/>
      <c r="J1962"/>
      <c r="K1962"/>
      <c r="L1962"/>
      <c r="M1962"/>
      <c r="N1962"/>
      <c r="O1962"/>
      <c r="P1962"/>
      <c r="Q1962"/>
      <c r="R1962"/>
      <c r="S1962"/>
      <c r="T1962"/>
      <c r="U1962"/>
      <c r="V1962"/>
      <c r="W1962"/>
      <c r="X1962"/>
      <c r="Y1962"/>
      <c r="Z1962"/>
      <c r="AA1962"/>
    </row>
    <row r="1963" spans="1:27" s="1" customFormat="1" x14ac:dyDescent="0.3">
      <c r="A1963"/>
      <c r="B1963"/>
      <c r="C1963"/>
      <c r="D1963"/>
      <c r="E1963"/>
      <c r="F1963"/>
      <c r="G1963"/>
      <c r="H1963"/>
      <c r="I1963"/>
      <c r="J1963"/>
      <c r="K1963"/>
      <c r="L1963"/>
      <c r="M1963"/>
      <c r="N1963"/>
      <c r="O1963"/>
      <c r="P1963"/>
      <c r="Q1963"/>
      <c r="R1963"/>
      <c r="S1963"/>
      <c r="T1963"/>
      <c r="U1963"/>
      <c r="V1963"/>
      <c r="W1963"/>
      <c r="X1963"/>
      <c r="Y1963"/>
      <c r="Z1963"/>
      <c r="AA1963"/>
    </row>
    <row r="1964" spans="1:27" s="1" customFormat="1" x14ac:dyDescent="0.3">
      <c r="A1964"/>
      <c r="B1964"/>
      <c r="C1964"/>
      <c r="D1964"/>
      <c r="E1964"/>
      <c r="F1964"/>
      <c r="G1964"/>
      <c r="H1964"/>
      <c r="I1964"/>
      <c r="J1964"/>
      <c r="K1964"/>
      <c r="L1964"/>
      <c r="M1964"/>
      <c r="N1964"/>
      <c r="O1964"/>
      <c r="P1964"/>
      <c r="Q1964"/>
      <c r="R1964"/>
      <c r="S1964"/>
      <c r="T1964"/>
      <c r="U1964"/>
      <c r="V1964"/>
      <c r="W1964"/>
      <c r="X1964"/>
      <c r="Y1964"/>
      <c r="Z1964"/>
      <c r="AA1964"/>
    </row>
    <row r="1965" spans="1:27" s="1" customFormat="1" x14ac:dyDescent="0.3">
      <c r="A1965"/>
      <c r="B1965"/>
      <c r="C1965"/>
      <c r="D1965"/>
      <c r="E1965"/>
      <c r="F1965"/>
      <c r="G1965"/>
      <c r="H1965"/>
      <c r="I1965"/>
      <c r="J1965"/>
      <c r="K1965"/>
      <c r="L1965"/>
      <c r="M1965"/>
      <c r="N1965"/>
      <c r="O1965"/>
      <c r="P1965"/>
      <c r="Q1965"/>
      <c r="R1965"/>
      <c r="S1965"/>
      <c r="T1965"/>
      <c r="U1965"/>
      <c r="V1965"/>
      <c r="W1965"/>
      <c r="X1965"/>
      <c r="Y1965"/>
      <c r="Z1965"/>
      <c r="AA1965"/>
    </row>
    <row r="1966" spans="1:27" s="1" customFormat="1" x14ac:dyDescent="0.3">
      <c r="A1966"/>
      <c r="B1966"/>
      <c r="C1966"/>
      <c r="D1966"/>
      <c r="E1966"/>
      <c r="F1966"/>
      <c r="G1966"/>
      <c r="H1966"/>
      <c r="I1966"/>
      <c r="J1966"/>
      <c r="K1966"/>
      <c r="L1966"/>
      <c r="M1966"/>
      <c r="N1966"/>
      <c r="O1966"/>
      <c r="P1966"/>
      <c r="Q1966"/>
      <c r="R1966"/>
      <c r="S1966"/>
      <c r="T1966"/>
      <c r="U1966"/>
      <c r="V1966"/>
      <c r="W1966"/>
      <c r="X1966"/>
      <c r="Y1966"/>
      <c r="Z1966"/>
      <c r="AA1966"/>
    </row>
    <row r="1967" spans="1:27" s="1" customFormat="1" x14ac:dyDescent="0.3">
      <c r="A1967"/>
      <c r="B1967"/>
      <c r="C1967"/>
      <c r="D1967"/>
      <c r="E1967"/>
      <c r="F1967"/>
      <c r="G1967"/>
      <c r="H1967"/>
      <c r="I1967"/>
      <c r="J1967"/>
      <c r="K1967"/>
      <c r="L1967"/>
      <c r="M1967"/>
      <c r="N1967"/>
      <c r="O1967"/>
      <c r="P1967"/>
      <c r="Q1967"/>
      <c r="R1967"/>
      <c r="S1967"/>
      <c r="T1967"/>
      <c r="U1967"/>
      <c r="V1967"/>
      <c r="W1967"/>
      <c r="X1967"/>
      <c r="Y1967"/>
      <c r="Z1967"/>
      <c r="AA1967"/>
    </row>
    <row r="1968" spans="1:27" s="1" customFormat="1" x14ac:dyDescent="0.3">
      <c r="A1968"/>
      <c r="B1968"/>
      <c r="C1968"/>
      <c r="D1968"/>
      <c r="E1968"/>
      <c r="F1968"/>
      <c r="G1968"/>
      <c r="H1968"/>
      <c r="I1968"/>
      <c r="J1968"/>
      <c r="K1968"/>
      <c r="L1968"/>
      <c r="M1968"/>
      <c r="N1968"/>
      <c r="O1968"/>
      <c r="P1968"/>
      <c r="Q1968"/>
      <c r="R1968"/>
      <c r="S1968"/>
      <c r="T1968"/>
      <c r="U1968"/>
      <c r="V1968"/>
      <c r="W1968"/>
      <c r="X1968"/>
      <c r="Y1968"/>
      <c r="Z1968"/>
      <c r="AA1968"/>
    </row>
    <row r="1969" spans="1:27" s="1" customFormat="1" x14ac:dyDescent="0.3">
      <c r="A1969"/>
      <c r="B1969"/>
      <c r="C1969"/>
      <c r="D1969"/>
      <c r="E1969"/>
      <c r="F1969"/>
      <c r="G1969"/>
      <c r="H1969"/>
      <c r="I1969"/>
      <c r="J1969"/>
      <c r="K1969"/>
      <c r="L1969"/>
      <c r="M1969"/>
      <c r="N1969"/>
      <c r="O1969"/>
      <c r="P1969"/>
      <c r="Q1969"/>
      <c r="R1969"/>
      <c r="S1969"/>
      <c r="T1969"/>
      <c r="U1969"/>
      <c r="V1969"/>
      <c r="W1969"/>
      <c r="X1969"/>
      <c r="Y1969"/>
      <c r="Z1969"/>
      <c r="AA1969"/>
    </row>
    <row r="1970" spans="1:27" s="1" customFormat="1" x14ac:dyDescent="0.3">
      <c r="A1970"/>
      <c r="B1970"/>
      <c r="C1970"/>
      <c r="D1970"/>
      <c r="E1970"/>
      <c r="F1970"/>
      <c r="G1970"/>
      <c r="H1970"/>
      <c r="I1970"/>
      <c r="J1970"/>
      <c r="K1970"/>
      <c r="L1970"/>
      <c r="M1970"/>
      <c r="N1970"/>
      <c r="O1970"/>
      <c r="P1970"/>
      <c r="Q1970"/>
      <c r="R1970"/>
      <c r="S1970"/>
      <c r="T1970"/>
      <c r="U1970"/>
      <c r="V1970"/>
      <c r="W1970"/>
      <c r="X1970"/>
      <c r="Y1970"/>
      <c r="Z1970"/>
      <c r="AA1970"/>
    </row>
    <row r="1971" spans="1:27" s="1" customFormat="1" x14ac:dyDescent="0.3">
      <c r="A1971"/>
      <c r="B1971"/>
      <c r="C1971"/>
      <c r="D1971"/>
      <c r="E1971"/>
      <c r="F1971"/>
      <c r="G1971"/>
      <c r="H1971"/>
      <c r="I1971"/>
      <c r="J1971"/>
      <c r="K1971"/>
      <c r="L1971"/>
      <c r="M1971"/>
      <c r="N1971"/>
      <c r="O1971"/>
      <c r="P1971"/>
      <c r="Q1971"/>
      <c r="R1971"/>
      <c r="S1971"/>
      <c r="T1971"/>
      <c r="U1971"/>
      <c r="V1971"/>
      <c r="W1971"/>
      <c r="X1971"/>
      <c r="Y1971"/>
      <c r="Z1971"/>
      <c r="AA1971"/>
    </row>
    <row r="1972" spans="1:27" s="1" customFormat="1" x14ac:dyDescent="0.3">
      <c r="A1972"/>
      <c r="B1972"/>
      <c r="C1972"/>
      <c r="D1972"/>
      <c r="E1972"/>
      <c r="F1972"/>
      <c r="G1972"/>
      <c r="H1972"/>
      <c r="I1972"/>
      <c r="J1972"/>
      <c r="K1972"/>
      <c r="L1972"/>
      <c r="M1972"/>
      <c r="N1972"/>
      <c r="O1972"/>
      <c r="P1972"/>
      <c r="Q1972"/>
      <c r="R1972"/>
      <c r="S1972"/>
      <c r="T1972"/>
      <c r="U1972"/>
      <c r="V1972"/>
      <c r="W1972"/>
      <c r="X1972"/>
      <c r="Y1972"/>
      <c r="Z1972"/>
      <c r="AA1972"/>
    </row>
    <row r="1973" spans="1:27" s="1" customFormat="1" x14ac:dyDescent="0.3">
      <c r="A1973"/>
      <c r="B1973"/>
      <c r="C1973"/>
      <c r="D1973"/>
      <c r="E1973"/>
      <c r="F1973"/>
      <c r="G1973"/>
      <c r="H1973"/>
      <c r="I1973"/>
      <c r="J1973"/>
      <c r="K1973"/>
      <c r="L1973"/>
      <c r="M1973"/>
      <c r="N1973"/>
      <c r="O1973"/>
      <c r="P1973"/>
      <c r="Q1973"/>
      <c r="R1973"/>
      <c r="S1973"/>
      <c r="T1973"/>
      <c r="U1973"/>
      <c r="V1973"/>
      <c r="W1973"/>
      <c r="X1973"/>
      <c r="Y1973"/>
      <c r="Z1973"/>
      <c r="AA1973"/>
    </row>
    <row r="1974" spans="1:27" s="1" customFormat="1" x14ac:dyDescent="0.3">
      <c r="A1974"/>
      <c r="B1974"/>
      <c r="C1974"/>
      <c r="D1974"/>
      <c r="E1974"/>
      <c r="F1974"/>
      <c r="G1974"/>
      <c r="H1974"/>
      <c r="I1974"/>
      <c r="J1974"/>
      <c r="K1974"/>
      <c r="L1974"/>
      <c r="M1974"/>
      <c r="N1974"/>
      <c r="O1974"/>
      <c r="P1974"/>
      <c r="Q1974"/>
      <c r="R1974"/>
      <c r="S1974"/>
      <c r="T1974"/>
      <c r="U1974"/>
      <c r="V1974"/>
      <c r="W1974"/>
      <c r="X1974"/>
      <c r="Y1974"/>
      <c r="Z1974"/>
      <c r="AA1974"/>
    </row>
    <row r="1975" spans="1:27" s="1" customFormat="1" x14ac:dyDescent="0.3">
      <c r="A1975"/>
      <c r="B1975"/>
      <c r="C1975"/>
      <c r="D1975"/>
      <c r="E1975"/>
      <c r="F1975"/>
      <c r="G1975"/>
      <c r="H1975"/>
      <c r="I1975"/>
      <c r="J1975"/>
      <c r="K1975"/>
      <c r="L1975"/>
      <c r="M1975"/>
      <c r="N1975"/>
      <c r="O1975"/>
      <c r="P1975"/>
      <c r="Q1975"/>
      <c r="R1975"/>
      <c r="S1975"/>
      <c r="T1975"/>
      <c r="U1975"/>
      <c r="V1975"/>
      <c r="W1975"/>
      <c r="X1975"/>
      <c r="Y1975"/>
      <c r="Z1975"/>
      <c r="AA1975"/>
    </row>
    <row r="1976" spans="1:27" s="1" customFormat="1" x14ac:dyDescent="0.3">
      <c r="A1976"/>
      <c r="B1976"/>
      <c r="C1976"/>
      <c r="D1976"/>
      <c r="E1976"/>
      <c r="F1976"/>
      <c r="G1976"/>
      <c r="H1976"/>
      <c r="I1976"/>
      <c r="J1976"/>
      <c r="K1976"/>
      <c r="L1976"/>
      <c r="M1976"/>
      <c r="N1976"/>
      <c r="O1976"/>
      <c r="P1976"/>
      <c r="Q1976"/>
      <c r="R1976"/>
      <c r="S1976"/>
      <c r="T1976"/>
      <c r="U1976"/>
      <c r="V1976"/>
      <c r="W1976"/>
      <c r="X1976"/>
      <c r="Y1976"/>
      <c r="Z1976"/>
      <c r="AA1976"/>
    </row>
    <row r="1977" spans="1:27" s="1" customFormat="1" x14ac:dyDescent="0.3">
      <c r="A1977"/>
      <c r="B1977"/>
      <c r="C1977"/>
      <c r="D1977"/>
      <c r="E1977"/>
      <c r="F1977"/>
      <c r="G1977"/>
      <c r="H1977"/>
      <c r="I1977"/>
      <c r="J1977"/>
      <c r="K1977"/>
      <c r="L1977"/>
      <c r="M1977"/>
      <c r="N1977"/>
      <c r="O1977"/>
      <c r="P1977"/>
      <c r="Q1977"/>
      <c r="R1977"/>
      <c r="S1977"/>
      <c r="T1977"/>
      <c r="U1977"/>
      <c r="V1977"/>
      <c r="W1977"/>
      <c r="X1977"/>
      <c r="Y1977"/>
      <c r="Z1977"/>
      <c r="AA1977"/>
    </row>
    <row r="1978" spans="1:27" s="1" customFormat="1" x14ac:dyDescent="0.3">
      <c r="A1978"/>
      <c r="B1978"/>
      <c r="C1978"/>
      <c r="D1978"/>
      <c r="E1978"/>
      <c r="F1978"/>
      <c r="G1978"/>
      <c r="H1978"/>
      <c r="I1978"/>
      <c r="J1978"/>
      <c r="K1978"/>
      <c r="L1978"/>
      <c r="M1978"/>
      <c r="N1978"/>
      <c r="O1978"/>
      <c r="P1978"/>
      <c r="Q1978"/>
      <c r="R1978"/>
      <c r="S1978"/>
      <c r="T1978"/>
      <c r="U1978"/>
      <c r="V1978"/>
      <c r="W1978"/>
      <c r="X1978"/>
      <c r="Y1978"/>
      <c r="Z1978"/>
      <c r="AA1978"/>
    </row>
    <row r="1979" spans="1:27" s="1" customFormat="1" x14ac:dyDescent="0.3">
      <c r="A1979"/>
      <c r="B1979"/>
      <c r="C1979"/>
      <c r="D1979"/>
      <c r="E1979"/>
      <c r="F1979"/>
      <c r="G1979"/>
      <c r="H1979"/>
      <c r="I1979"/>
      <c r="J1979"/>
      <c r="K1979"/>
      <c r="L1979"/>
      <c r="M1979"/>
      <c r="N1979"/>
      <c r="O1979"/>
      <c r="P1979"/>
      <c r="Q1979"/>
      <c r="R1979"/>
      <c r="S1979"/>
      <c r="T1979"/>
      <c r="U1979"/>
      <c r="V1979"/>
      <c r="W1979"/>
      <c r="X1979"/>
      <c r="Y1979"/>
      <c r="Z1979"/>
      <c r="AA1979"/>
    </row>
    <row r="1980" spans="1:27" s="1" customFormat="1" x14ac:dyDescent="0.3">
      <c r="A1980"/>
      <c r="B1980"/>
      <c r="C1980"/>
      <c r="D1980"/>
      <c r="E1980"/>
      <c r="F1980"/>
      <c r="G1980"/>
      <c r="H1980"/>
      <c r="I1980"/>
      <c r="J1980"/>
      <c r="K1980"/>
      <c r="L1980"/>
      <c r="M1980"/>
      <c r="N1980"/>
      <c r="O1980"/>
      <c r="P1980"/>
      <c r="Q1980"/>
      <c r="R1980"/>
      <c r="S1980"/>
      <c r="T1980"/>
      <c r="U1980"/>
      <c r="V1980"/>
      <c r="W1980"/>
      <c r="X1980"/>
      <c r="Y1980"/>
      <c r="Z1980"/>
      <c r="AA1980"/>
    </row>
    <row r="1981" spans="1:27" s="1" customFormat="1" x14ac:dyDescent="0.3">
      <c r="A1981"/>
      <c r="B1981"/>
      <c r="C1981"/>
      <c r="D1981"/>
      <c r="E1981"/>
      <c r="F1981"/>
      <c r="G1981"/>
      <c r="H1981"/>
      <c r="I1981"/>
      <c r="J1981"/>
      <c r="K1981"/>
      <c r="L1981"/>
      <c r="M1981"/>
      <c r="N1981"/>
      <c r="O1981"/>
      <c r="P1981"/>
      <c r="Q1981"/>
      <c r="R1981"/>
      <c r="S1981"/>
      <c r="T1981"/>
      <c r="U1981"/>
      <c r="V1981"/>
      <c r="W1981"/>
      <c r="X1981"/>
      <c r="Y1981"/>
      <c r="Z1981"/>
      <c r="AA1981"/>
    </row>
    <row r="1982" spans="1:27" s="1" customFormat="1" x14ac:dyDescent="0.3">
      <c r="A1982"/>
      <c r="B1982"/>
      <c r="C1982"/>
      <c r="D1982"/>
      <c r="E1982"/>
      <c r="F1982"/>
      <c r="G1982"/>
      <c r="H1982"/>
      <c r="I1982"/>
      <c r="J1982"/>
      <c r="K1982"/>
      <c r="L1982"/>
      <c r="M1982"/>
      <c r="N1982"/>
      <c r="O1982"/>
      <c r="P1982"/>
      <c r="Q1982"/>
      <c r="R1982"/>
      <c r="S1982"/>
      <c r="T1982"/>
      <c r="U1982"/>
      <c r="V1982"/>
      <c r="W1982"/>
      <c r="X1982"/>
      <c r="Y1982"/>
      <c r="Z1982"/>
      <c r="AA1982"/>
    </row>
    <row r="1983" spans="1:27" s="1" customFormat="1" x14ac:dyDescent="0.3">
      <c r="A1983"/>
      <c r="B1983"/>
      <c r="C1983"/>
      <c r="D1983"/>
      <c r="E1983"/>
      <c r="F1983"/>
      <c r="G1983"/>
      <c r="H1983"/>
      <c r="I1983"/>
      <c r="J1983"/>
      <c r="K1983"/>
      <c r="L1983"/>
      <c r="M1983"/>
      <c r="N1983"/>
      <c r="O1983"/>
      <c r="P1983"/>
      <c r="Q1983"/>
      <c r="R1983"/>
      <c r="S1983"/>
      <c r="T1983"/>
      <c r="U1983"/>
      <c r="V1983"/>
      <c r="W1983"/>
      <c r="X1983"/>
      <c r="Y1983"/>
      <c r="Z1983"/>
      <c r="AA1983"/>
    </row>
    <row r="1984" spans="1:27" s="1" customFormat="1" x14ac:dyDescent="0.3">
      <c r="A1984"/>
      <c r="B1984"/>
      <c r="C1984"/>
      <c r="D1984"/>
      <c r="E1984"/>
      <c r="F1984"/>
      <c r="G1984"/>
      <c r="H1984"/>
      <c r="I1984"/>
      <c r="J1984"/>
      <c r="K1984"/>
      <c r="L1984"/>
      <c r="M1984"/>
      <c r="N1984"/>
      <c r="O1984"/>
      <c r="P1984"/>
      <c r="Q1984"/>
      <c r="R1984"/>
      <c r="S1984"/>
      <c r="T1984"/>
      <c r="U1984"/>
      <c r="V1984"/>
      <c r="W1984"/>
      <c r="X1984"/>
      <c r="Y1984"/>
      <c r="Z1984"/>
      <c r="AA1984"/>
    </row>
    <row r="1985" spans="1:27" s="1" customFormat="1" x14ac:dyDescent="0.3">
      <c r="A1985"/>
      <c r="B1985"/>
      <c r="C1985"/>
      <c r="D1985"/>
      <c r="E1985"/>
      <c r="F1985"/>
      <c r="G1985"/>
      <c r="H1985"/>
      <c r="I1985"/>
      <c r="J1985"/>
      <c r="K1985"/>
      <c r="L1985"/>
      <c r="M1985"/>
      <c r="N1985"/>
      <c r="O1985"/>
      <c r="P1985"/>
      <c r="Q1985"/>
      <c r="R1985"/>
      <c r="S1985"/>
      <c r="T1985"/>
      <c r="U1985"/>
      <c r="V1985"/>
      <c r="W1985"/>
      <c r="X1985"/>
      <c r="Y1985"/>
      <c r="Z1985"/>
      <c r="AA1985"/>
    </row>
    <row r="1986" spans="1:27" s="1" customFormat="1" x14ac:dyDescent="0.3">
      <c r="A1986"/>
      <c r="B1986"/>
      <c r="C1986"/>
      <c r="D1986"/>
      <c r="E1986"/>
      <c r="F1986"/>
      <c r="G1986"/>
      <c r="H1986"/>
      <c r="I1986"/>
      <c r="J1986"/>
      <c r="K1986"/>
      <c r="L1986"/>
      <c r="M1986"/>
      <c r="N1986"/>
      <c r="O1986"/>
      <c r="P1986"/>
      <c r="Q1986"/>
      <c r="R1986"/>
      <c r="S1986"/>
      <c r="T1986"/>
      <c r="U1986"/>
      <c r="V1986"/>
      <c r="W1986"/>
      <c r="X1986"/>
      <c r="Y1986"/>
      <c r="Z1986"/>
      <c r="AA1986"/>
    </row>
    <row r="1987" spans="1:27" s="1" customFormat="1" x14ac:dyDescent="0.3">
      <c r="A1987"/>
      <c r="B1987"/>
      <c r="C1987"/>
      <c r="D1987"/>
      <c r="E1987"/>
      <c r="F1987"/>
      <c r="G1987"/>
      <c r="H1987"/>
      <c r="I1987"/>
      <c r="J1987"/>
      <c r="K1987"/>
      <c r="L1987"/>
      <c r="M1987"/>
      <c r="N1987"/>
      <c r="O1987"/>
      <c r="P1987"/>
      <c r="Q1987"/>
      <c r="R1987"/>
      <c r="S1987"/>
      <c r="T1987"/>
      <c r="U1987"/>
      <c r="V1987"/>
      <c r="W1987"/>
      <c r="X1987"/>
      <c r="Y1987"/>
      <c r="Z1987"/>
      <c r="AA1987"/>
    </row>
    <row r="1988" spans="1:27" s="1" customFormat="1" x14ac:dyDescent="0.3">
      <c r="A1988"/>
      <c r="B1988"/>
      <c r="C1988"/>
      <c r="D1988"/>
      <c r="E1988"/>
      <c r="F1988"/>
      <c r="G1988"/>
      <c r="H1988"/>
      <c r="I1988"/>
      <c r="J1988"/>
      <c r="K1988"/>
      <c r="L1988"/>
      <c r="M1988"/>
      <c r="N1988"/>
      <c r="O1988"/>
      <c r="P1988"/>
      <c r="Q1988"/>
      <c r="R1988"/>
      <c r="S1988"/>
      <c r="T1988"/>
      <c r="U1988"/>
      <c r="V1988"/>
      <c r="W1988"/>
      <c r="X1988"/>
      <c r="Y1988"/>
      <c r="Z1988"/>
      <c r="AA1988"/>
    </row>
    <row r="1989" spans="1:27" s="1" customFormat="1" x14ac:dyDescent="0.3">
      <c r="A1989"/>
      <c r="B1989"/>
      <c r="C1989"/>
      <c r="D1989"/>
      <c r="E1989"/>
      <c r="F1989"/>
      <c r="G1989"/>
      <c r="H1989"/>
      <c r="I1989"/>
      <c r="J1989"/>
      <c r="K1989"/>
      <c r="L1989"/>
      <c r="M1989"/>
      <c r="N1989"/>
      <c r="O1989"/>
      <c r="P1989"/>
      <c r="Q1989"/>
      <c r="R1989"/>
      <c r="S1989"/>
      <c r="T1989"/>
      <c r="U1989"/>
      <c r="V1989"/>
      <c r="W1989"/>
      <c r="X1989"/>
      <c r="Y1989"/>
      <c r="Z1989"/>
      <c r="AA1989"/>
    </row>
    <row r="1990" spans="1:27" s="1" customFormat="1" x14ac:dyDescent="0.3">
      <c r="A1990"/>
      <c r="B1990"/>
      <c r="C1990"/>
      <c r="D1990"/>
      <c r="E1990"/>
      <c r="F1990"/>
      <c r="G1990"/>
      <c r="H1990"/>
      <c r="I1990"/>
      <c r="J1990"/>
      <c r="K1990"/>
      <c r="L1990"/>
      <c r="M1990"/>
      <c r="N1990"/>
      <c r="O1990"/>
      <c r="P1990"/>
      <c r="Q1990"/>
      <c r="R1990"/>
      <c r="S1990"/>
      <c r="T1990"/>
      <c r="U1990"/>
      <c r="V1990"/>
      <c r="W1990"/>
      <c r="X1990"/>
      <c r="Y1990"/>
      <c r="Z1990"/>
      <c r="AA1990"/>
    </row>
    <row r="1991" spans="1:27" s="1" customFormat="1" x14ac:dyDescent="0.3">
      <c r="A1991"/>
      <c r="B1991"/>
      <c r="C1991"/>
      <c r="D1991"/>
      <c r="E1991"/>
      <c r="F1991"/>
      <c r="G1991"/>
      <c r="H1991"/>
      <c r="I1991"/>
      <c r="J1991"/>
      <c r="K1991"/>
      <c r="L1991"/>
      <c r="M1991"/>
      <c r="N1991"/>
      <c r="O1991"/>
      <c r="P1991"/>
      <c r="Q1991"/>
      <c r="R1991"/>
      <c r="S1991"/>
      <c r="T1991"/>
      <c r="U1991"/>
      <c r="V1991"/>
      <c r="W1991"/>
      <c r="X1991"/>
      <c r="Y1991"/>
      <c r="Z1991"/>
      <c r="AA1991"/>
    </row>
    <row r="1992" spans="1:27" s="1" customFormat="1" x14ac:dyDescent="0.3">
      <c r="A1992"/>
      <c r="B1992"/>
      <c r="C1992"/>
      <c r="D1992"/>
      <c r="E1992"/>
      <c r="F1992"/>
      <c r="G1992"/>
      <c r="H1992"/>
      <c r="I1992"/>
      <c r="J1992"/>
      <c r="K1992"/>
      <c r="L1992"/>
      <c r="M1992"/>
      <c r="N1992"/>
      <c r="O1992"/>
      <c r="P1992"/>
      <c r="Q1992"/>
      <c r="R1992"/>
      <c r="S1992"/>
      <c r="T1992"/>
      <c r="U1992"/>
      <c r="V1992"/>
      <c r="W1992"/>
      <c r="X1992"/>
      <c r="Y1992"/>
      <c r="Z1992"/>
      <c r="AA1992"/>
    </row>
    <row r="1993" spans="1:27" s="1" customFormat="1" x14ac:dyDescent="0.3">
      <c r="A1993"/>
      <c r="B1993"/>
      <c r="C1993"/>
      <c r="D1993"/>
      <c r="E1993"/>
      <c r="F1993"/>
      <c r="G1993"/>
      <c r="H1993"/>
      <c r="I1993"/>
      <c r="J1993"/>
      <c r="K1993"/>
      <c r="L1993"/>
      <c r="M1993"/>
      <c r="N1993"/>
      <c r="O1993"/>
      <c r="P1993"/>
      <c r="Q1993"/>
      <c r="R1993"/>
      <c r="S1993"/>
      <c r="T1993"/>
      <c r="U1993"/>
      <c r="V1993"/>
      <c r="W1993"/>
      <c r="X1993"/>
      <c r="Y1993"/>
      <c r="Z1993"/>
      <c r="AA1993"/>
    </row>
    <row r="1994" spans="1:27" s="1" customFormat="1" x14ac:dyDescent="0.3">
      <c r="A1994"/>
      <c r="B1994"/>
      <c r="C1994"/>
      <c r="D1994"/>
      <c r="E1994"/>
      <c r="F1994"/>
      <c r="G1994"/>
      <c r="H1994"/>
      <c r="I1994"/>
      <c r="J1994"/>
      <c r="K1994"/>
      <c r="L1994"/>
      <c r="M1994"/>
      <c r="N1994"/>
      <c r="O1994"/>
      <c r="P1994"/>
      <c r="Q1994"/>
      <c r="R1994"/>
      <c r="S1994"/>
      <c r="T1994"/>
      <c r="U1994"/>
      <c r="V1994"/>
      <c r="W1994"/>
      <c r="X1994"/>
      <c r="Y1994"/>
      <c r="Z1994"/>
      <c r="AA1994"/>
    </row>
    <row r="1995" spans="1:27" s="1" customFormat="1" x14ac:dyDescent="0.3">
      <c r="A1995"/>
      <c r="B1995"/>
      <c r="C1995"/>
      <c r="D1995"/>
      <c r="E1995"/>
      <c r="F1995"/>
      <c r="G1995"/>
      <c r="H1995"/>
      <c r="I1995"/>
      <c r="J1995"/>
      <c r="K1995"/>
      <c r="L1995"/>
      <c r="M1995"/>
      <c r="N1995"/>
      <c r="O1995"/>
      <c r="P1995"/>
      <c r="Q1995"/>
      <c r="R1995"/>
      <c r="S1995"/>
      <c r="T1995"/>
      <c r="U1995"/>
      <c r="V1995"/>
      <c r="W1995"/>
      <c r="X1995"/>
      <c r="Y1995"/>
      <c r="Z1995"/>
      <c r="AA1995"/>
    </row>
    <row r="1996" spans="1:27" s="1" customFormat="1" x14ac:dyDescent="0.3">
      <c r="A1996"/>
      <c r="B1996"/>
      <c r="C1996"/>
      <c r="D1996"/>
      <c r="E1996"/>
      <c r="F1996"/>
      <c r="G1996"/>
      <c r="H1996"/>
      <c r="I1996"/>
      <c r="J1996"/>
      <c r="K1996"/>
      <c r="L1996"/>
      <c r="M1996"/>
      <c r="N1996"/>
      <c r="O1996"/>
      <c r="P1996"/>
      <c r="Q1996"/>
      <c r="R1996"/>
      <c r="S1996"/>
      <c r="T1996"/>
      <c r="U1996"/>
      <c r="V1996"/>
      <c r="W1996"/>
      <c r="X1996"/>
      <c r="Y1996"/>
      <c r="Z1996"/>
      <c r="AA1996"/>
    </row>
    <row r="1997" spans="1:27" s="1" customFormat="1" x14ac:dyDescent="0.3">
      <c r="A1997"/>
      <c r="B1997"/>
      <c r="C1997"/>
      <c r="D1997"/>
      <c r="E1997"/>
      <c r="F1997"/>
      <c r="G1997"/>
      <c r="H1997"/>
      <c r="I1997"/>
      <c r="J1997"/>
      <c r="K1997"/>
      <c r="L1997"/>
      <c r="M1997"/>
      <c r="N1997"/>
      <c r="O1997"/>
      <c r="P1997"/>
      <c r="Q1997"/>
      <c r="R1997"/>
      <c r="S1997"/>
      <c r="T1997"/>
      <c r="U1997"/>
      <c r="V1997"/>
      <c r="W1997"/>
      <c r="X1997"/>
      <c r="Y1997"/>
      <c r="Z1997"/>
      <c r="AA1997"/>
    </row>
    <row r="1998" spans="1:27" s="1" customFormat="1" x14ac:dyDescent="0.3">
      <c r="A1998"/>
      <c r="B1998"/>
      <c r="C1998"/>
      <c r="D1998"/>
      <c r="E1998"/>
      <c r="F1998"/>
      <c r="G1998"/>
      <c r="H1998"/>
      <c r="I1998"/>
      <c r="J1998"/>
      <c r="K1998"/>
      <c r="L1998"/>
      <c r="M1998"/>
      <c r="N1998"/>
      <c r="O1998"/>
      <c r="P1998"/>
      <c r="Q1998"/>
      <c r="R1998"/>
      <c r="S1998"/>
      <c r="T1998"/>
      <c r="U1998"/>
      <c r="V1998"/>
      <c r="W1998"/>
      <c r="X1998"/>
      <c r="Y1998"/>
      <c r="Z1998"/>
      <c r="AA1998"/>
    </row>
    <row r="1999" spans="1:27" s="1" customFormat="1" x14ac:dyDescent="0.3">
      <c r="A1999"/>
      <c r="B1999"/>
      <c r="C1999"/>
      <c r="D1999"/>
      <c r="E1999"/>
      <c r="F1999"/>
      <c r="G1999"/>
      <c r="H1999"/>
      <c r="I1999"/>
      <c r="J1999"/>
      <c r="K1999"/>
      <c r="L1999"/>
      <c r="M1999"/>
      <c r="N1999"/>
      <c r="O1999"/>
      <c r="P1999"/>
      <c r="Q1999"/>
      <c r="R1999"/>
      <c r="S1999"/>
      <c r="T1999"/>
      <c r="U1999"/>
      <c r="V1999"/>
      <c r="W1999"/>
      <c r="X1999"/>
      <c r="Y1999"/>
      <c r="Z1999"/>
      <c r="AA1999"/>
    </row>
    <row r="2000" spans="1:27" s="1" customFormat="1" x14ac:dyDescent="0.3">
      <c r="A2000"/>
      <c r="B2000"/>
      <c r="C2000"/>
      <c r="D2000"/>
      <c r="E2000"/>
      <c r="F2000"/>
      <c r="G2000"/>
      <c r="H2000"/>
      <c r="I2000"/>
      <c r="J2000"/>
      <c r="K2000"/>
      <c r="L2000"/>
      <c r="M2000"/>
      <c r="N2000"/>
      <c r="O2000"/>
      <c r="P2000"/>
      <c r="Q2000"/>
      <c r="R2000"/>
      <c r="S2000"/>
      <c r="T2000"/>
      <c r="U2000"/>
      <c r="V2000"/>
      <c r="W2000"/>
      <c r="X2000"/>
      <c r="Y2000"/>
      <c r="Z2000"/>
      <c r="AA2000"/>
    </row>
    <row r="2001" spans="1:27" s="1" customFormat="1" x14ac:dyDescent="0.3">
      <c r="A2001"/>
      <c r="B2001"/>
      <c r="C2001"/>
      <c r="D2001"/>
      <c r="E2001"/>
      <c r="F2001"/>
      <c r="G2001"/>
      <c r="H2001"/>
      <c r="I2001"/>
      <c r="J2001"/>
      <c r="K2001"/>
      <c r="L2001"/>
      <c r="M2001"/>
      <c r="N2001"/>
      <c r="O2001"/>
      <c r="P2001"/>
      <c r="Q2001"/>
      <c r="R2001"/>
      <c r="S2001"/>
      <c r="T2001"/>
      <c r="U2001"/>
      <c r="V2001"/>
      <c r="W2001"/>
      <c r="X2001"/>
      <c r="Y2001"/>
      <c r="Z2001"/>
      <c r="AA2001"/>
    </row>
    <row r="2002" spans="1:27" s="1" customFormat="1" x14ac:dyDescent="0.3">
      <c r="A2002"/>
      <c r="B2002"/>
      <c r="C2002"/>
      <c r="D2002"/>
      <c r="E2002"/>
      <c r="F2002"/>
      <c r="G2002"/>
      <c r="H2002"/>
      <c r="I2002"/>
      <c r="J2002"/>
      <c r="K2002"/>
      <c r="L2002"/>
      <c r="M2002"/>
      <c r="N2002"/>
      <c r="O2002"/>
      <c r="P2002"/>
      <c r="Q2002"/>
      <c r="R2002"/>
      <c r="S2002"/>
      <c r="T2002"/>
      <c r="U2002"/>
      <c r="V2002"/>
      <c r="W2002"/>
      <c r="X2002"/>
      <c r="Y2002"/>
      <c r="Z2002"/>
      <c r="AA2002"/>
    </row>
    <row r="2003" spans="1:27" s="1" customFormat="1" x14ac:dyDescent="0.3">
      <c r="A2003"/>
      <c r="B2003"/>
      <c r="C2003"/>
      <c r="D2003"/>
      <c r="E2003"/>
      <c r="F2003"/>
      <c r="G2003"/>
      <c r="H2003"/>
      <c r="I2003"/>
      <c r="J2003"/>
      <c r="K2003"/>
      <c r="L2003"/>
      <c r="M2003"/>
      <c r="N2003"/>
      <c r="O2003"/>
      <c r="P2003"/>
      <c r="Q2003"/>
      <c r="R2003"/>
      <c r="S2003"/>
      <c r="T2003"/>
      <c r="U2003"/>
      <c r="V2003"/>
      <c r="W2003"/>
      <c r="X2003"/>
      <c r="Y2003"/>
      <c r="Z2003"/>
      <c r="AA2003"/>
    </row>
    <row r="2004" spans="1:27" s="1" customFormat="1" x14ac:dyDescent="0.3">
      <c r="A2004"/>
      <c r="B2004"/>
      <c r="C2004"/>
      <c r="D2004"/>
      <c r="E2004"/>
      <c r="F2004"/>
      <c r="G2004"/>
      <c r="H2004"/>
      <c r="I2004"/>
      <c r="J2004"/>
      <c r="K2004"/>
      <c r="L2004"/>
      <c r="M2004"/>
      <c r="N2004"/>
      <c r="O2004"/>
      <c r="P2004"/>
      <c r="Q2004"/>
      <c r="R2004"/>
      <c r="S2004"/>
      <c r="T2004"/>
      <c r="U2004"/>
      <c r="V2004"/>
      <c r="W2004"/>
      <c r="X2004"/>
      <c r="Y2004"/>
      <c r="Z2004"/>
      <c r="AA2004"/>
    </row>
    <row r="2005" spans="1:27" s="1" customFormat="1" x14ac:dyDescent="0.3">
      <c r="A2005"/>
      <c r="B2005"/>
      <c r="C2005"/>
      <c r="D2005"/>
      <c r="E2005"/>
      <c r="F2005"/>
      <c r="G2005"/>
      <c r="H2005"/>
      <c r="I2005"/>
      <c r="J2005"/>
      <c r="K2005"/>
      <c r="L2005"/>
      <c r="M2005"/>
      <c r="N2005"/>
      <c r="O2005"/>
      <c r="P2005"/>
      <c r="Q2005"/>
      <c r="R2005"/>
      <c r="S2005"/>
      <c r="T2005"/>
      <c r="U2005"/>
      <c r="V2005"/>
      <c r="W2005"/>
      <c r="X2005"/>
      <c r="Y2005"/>
      <c r="Z2005"/>
      <c r="AA2005"/>
    </row>
    <row r="2006" spans="1:27" s="1" customFormat="1" x14ac:dyDescent="0.3">
      <c r="A2006"/>
      <c r="B2006"/>
      <c r="C2006"/>
      <c r="D2006"/>
      <c r="E2006"/>
      <c r="F2006"/>
      <c r="G2006"/>
      <c r="H2006"/>
      <c r="I2006"/>
      <c r="J2006"/>
      <c r="K2006"/>
      <c r="L2006"/>
      <c r="M2006"/>
      <c r="N2006"/>
      <c r="O2006"/>
      <c r="P2006"/>
      <c r="Q2006"/>
      <c r="R2006"/>
      <c r="S2006"/>
      <c r="T2006"/>
      <c r="U2006"/>
      <c r="V2006"/>
      <c r="W2006"/>
      <c r="X2006"/>
      <c r="Y2006"/>
      <c r="Z2006"/>
      <c r="AA2006"/>
    </row>
    <row r="2007" spans="1:27" s="1" customFormat="1" x14ac:dyDescent="0.3">
      <c r="A2007"/>
      <c r="B2007"/>
      <c r="C2007"/>
      <c r="D2007"/>
      <c r="E2007"/>
      <c r="F2007"/>
      <c r="G2007"/>
      <c r="H2007"/>
      <c r="I2007"/>
      <c r="J2007"/>
      <c r="K2007"/>
      <c r="L2007"/>
      <c r="M2007"/>
      <c r="N2007"/>
      <c r="O2007"/>
      <c r="P2007"/>
      <c r="Q2007"/>
      <c r="R2007"/>
      <c r="S2007"/>
      <c r="T2007"/>
      <c r="U2007"/>
      <c r="V2007"/>
      <c r="W2007"/>
      <c r="X2007"/>
      <c r="Y2007"/>
      <c r="Z2007"/>
      <c r="AA2007"/>
    </row>
    <row r="2008" spans="1:27" s="1" customFormat="1" x14ac:dyDescent="0.3">
      <c r="A2008"/>
      <c r="B2008"/>
      <c r="C2008"/>
      <c r="D2008"/>
      <c r="E2008"/>
      <c r="F2008"/>
      <c r="G2008"/>
      <c r="H2008"/>
      <c r="I2008"/>
      <c r="J2008"/>
      <c r="K2008"/>
      <c r="L2008"/>
      <c r="M2008"/>
      <c r="N2008"/>
      <c r="O2008"/>
      <c r="P2008"/>
      <c r="Q2008"/>
      <c r="R2008"/>
      <c r="S2008"/>
      <c r="T2008"/>
      <c r="U2008"/>
      <c r="V2008"/>
      <c r="W2008"/>
      <c r="X2008"/>
      <c r="Y2008"/>
      <c r="Z2008"/>
      <c r="AA2008"/>
    </row>
    <row r="2009" spans="1:27" s="1" customFormat="1" x14ac:dyDescent="0.3">
      <c r="A2009"/>
      <c r="B2009"/>
      <c r="C2009"/>
      <c r="D2009"/>
      <c r="E2009"/>
      <c r="F2009"/>
      <c r="G2009"/>
      <c r="H2009"/>
      <c r="I2009"/>
      <c r="J2009"/>
      <c r="K2009"/>
      <c r="L2009"/>
      <c r="M2009"/>
      <c r="N2009"/>
      <c r="O2009"/>
      <c r="P2009"/>
      <c r="Q2009"/>
      <c r="R2009"/>
      <c r="S2009"/>
      <c r="T2009"/>
      <c r="U2009"/>
      <c r="V2009"/>
      <c r="W2009"/>
      <c r="X2009"/>
      <c r="Y2009"/>
      <c r="Z2009"/>
      <c r="AA2009"/>
    </row>
    <row r="2010" spans="1:27" s="1" customFormat="1" x14ac:dyDescent="0.3">
      <c r="A2010"/>
      <c r="B2010"/>
      <c r="C2010"/>
      <c r="D2010"/>
      <c r="E2010"/>
      <c r="F2010"/>
      <c r="G2010"/>
      <c r="H2010"/>
      <c r="I2010"/>
      <c r="J2010"/>
      <c r="K2010"/>
      <c r="L2010"/>
      <c r="M2010"/>
      <c r="N2010"/>
      <c r="O2010"/>
      <c r="P2010"/>
      <c r="Q2010"/>
      <c r="R2010"/>
      <c r="S2010"/>
      <c r="T2010"/>
      <c r="U2010"/>
      <c r="V2010"/>
      <c r="W2010"/>
      <c r="X2010"/>
      <c r="Y2010"/>
      <c r="Z2010"/>
      <c r="AA2010"/>
    </row>
    <row r="2011" spans="1:27" s="1" customFormat="1" x14ac:dyDescent="0.3">
      <c r="A2011"/>
      <c r="B2011"/>
      <c r="C2011"/>
      <c r="D2011"/>
      <c r="E2011"/>
      <c r="F2011"/>
      <c r="G2011"/>
      <c r="H2011"/>
      <c r="I2011"/>
      <c r="J2011"/>
      <c r="K2011"/>
      <c r="L2011"/>
      <c r="M2011"/>
      <c r="N2011"/>
      <c r="O2011"/>
      <c r="P2011"/>
      <c r="Q2011"/>
      <c r="R2011"/>
      <c r="S2011"/>
      <c r="T2011"/>
      <c r="U2011"/>
      <c r="V2011"/>
      <c r="W2011"/>
      <c r="X2011"/>
      <c r="Y2011"/>
      <c r="Z2011"/>
      <c r="AA2011"/>
    </row>
    <row r="2012" spans="1:27" s="1" customFormat="1" x14ac:dyDescent="0.3">
      <c r="A2012"/>
      <c r="B2012"/>
      <c r="C2012"/>
      <c r="D2012"/>
      <c r="E2012"/>
      <c r="F2012"/>
      <c r="G2012"/>
      <c r="H2012"/>
      <c r="I2012"/>
      <c r="J2012"/>
      <c r="K2012"/>
      <c r="L2012"/>
      <c r="M2012"/>
      <c r="N2012"/>
      <c r="O2012"/>
      <c r="P2012"/>
      <c r="Q2012"/>
      <c r="R2012"/>
      <c r="S2012"/>
      <c r="T2012"/>
      <c r="U2012"/>
      <c r="V2012"/>
      <c r="W2012"/>
      <c r="X2012"/>
      <c r="Y2012"/>
      <c r="Z2012"/>
      <c r="AA2012"/>
    </row>
    <row r="2013" spans="1:27" s="1" customFormat="1" x14ac:dyDescent="0.3">
      <c r="A2013"/>
      <c r="B2013"/>
      <c r="C2013"/>
      <c r="D2013"/>
      <c r="E2013"/>
      <c r="F2013"/>
      <c r="G2013"/>
      <c r="H2013"/>
      <c r="I2013"/>
      <c r="J2013"/>
      <c r="K2013"/>
      <c r="L2013"/>
      <c r="M2013"/>
      <c r="N2013"/>
      <c r="O2013"/>
      <c r="P2013"/>
      <c r="Q2013"/>
      <c r="R2013"/>
      <c r="S2013"/>
      <c r="T2013"/>
      <c r="U2013"/>
      <c r="V2013"/>
      <c r="W2013"/>
      <c r="X2013"/>
      <c r="Y2013"/>
      <c r="Z2013"/>
      <c r="AA2013"/>
    </row>
    <row r="2014" spans="1:27" s="1" customFormat="1" x14ac:dyDescent="0.3">
      <c r="A2014"/>
      <c r="B2014"/>
      <c r="C2014"/>
      <c r="D2014"/>
      <c r="E2014"/>
      <c r="F2014"/>
      <c r="G2014"/>
      <c r="H2014"/>
      <c r="I2014"/>
      <c r="J2014"/>
      <c r="K2014"/>
      <c r="L2014"/>
      <c r="M2014"/>
      <c r="N2014"/>
      <c r="O2014"/>
      <c r="P2014"/>
      <c r="Q2014"/>
      <c r="R2014"/>
      <c r="S2014"/>
      <c r="T2014"/>
      <c r="U2014"/>
      <c r="V2014"/>
      <c r="W2014"/>
      <c r="X2014"/>
      <c r="Y2014"/>
      <c r="Z2014"/>
      <c r="AA2014"/>
    </row>
    <row r="2015" spans="1:27" s="1" customFormat="1" x14ac:dyDescent="0.3">
      <c r="A2015"/>
      <c r="B2015"/>
      <c r="C2015"/>
      <c r="D2015"/>
      <c r="E2015"/>
      <c r="F2015"/>
      <c r="G2015"/>
      <c r="H2015"/>
      <c r="I2015"/>
      <c r="J2015"/>
      <c r="K2015"/>
      <c r="L2015"/>
      <c r="M2015"/>
      <c r="N2015"/>
      <c r="O2015"/>
      <c r="P2015"/>
      <c r="Q2015"/>
      <c r="R2015"/>
      <c r="S2015"/>
      <c r="T2015"/>
      <c r="U2015"/>
      <c r="V2015"/>
      <c r="W2015"/>
      <c r="X2015"/>
      <c r="Y2015"/>
      <c r="Z2015"/>
      <c r="AA2015"/>
    </row>
    <row r="2016" spans="1:27" s="1" customFormat="1" x14ac:dyDescent="0.3">
      <c r="A2016"/>
      <c r="B2016"/>
      <c r="C2016"/>
      <c r="D2016"/>
      <c r="E2016"/>
      <c r="F2016"/>
      <c r="G2016"/>
      <c r="H2016"/>
      <c r="I2016"/>
      <c r="J2016"/>
      <c r="K2016"/>
      <c r="L2016"/>
      <c r="M2016"/>
      <c r="N2016"/>
      <c r="O2016"/>
      <c r="P2016"/>
      <c r="Q2016"/>
      <c r="R2016"/>
      <c r="S2016"/>
      <c r="T2016"/>
      <c r="U2016"/>
      <c r="V2016"/>
      <c r="W2016"/>
      <c r="X2016"/>
      <c r="Y2016"/>
      <c r="Z2016"/>
      <c r="AA2016"/>
    </row>
    <row r="2017" spans="1:27" s="1" customFormat="1" x14ac:dyDescent="0.3">
      <c r="A2017"/>
      <c r="B2017"/>
      <c r="C2017"/>
      <c r="D2017"/>
      <c r="E2017"/>
      <c r="F2017"/>
      <c r="G2017"/>
      <c r="H2017"/>
      <c r="I2017"/>
      <c r="J2017"/>
      <c r="K2017"/>
      <c r="L2017"/>
      <c r="M2017"/>
      <c r="N2017"/>
      <c r="O2017"/>
      <c r="P2017"/>
      <c r="Q2017"/>
      <c r="R2017"/>
      <c r="S2017"/>
      <c r="T2017"/>
      <c r="U2017"/>
      <c r="V2017"/>
      <c r="W2017"/>
      <c r="X2017"/>
      <c r="Y2017"/>
      <c r="Z2017"/>
      <c r="AA2017"/>
    </row>
    <row r="2018" spans="1:27" s="1" customFormat="1" x14ac:dyDescent="0.3">
      <c r="A2018"/>
      <c r="B2018"/>
      <c r="C2018"/>
      <c r="D2018"/>
      <c r="E2018"/>
      <c r="F2018"/>
      <c r="G2018"/>
      <c r="H2018"/>
      <c r="I2018"/>
      <c r="J2018"/>
      <c r="K2018"/>
      <c r="L2018"/>
      <c r="M2018"/>
      <c r="N2018"/>
      <c r="O2018"/>
      <c r="P2018"/>
      <c r="Q2018"/>
      <c r="R2018"/>
      <c r="S2018"/>
      <c r="T2018"/>
      <c r="U2018"/>
      <c r="V2018"/>
      <c r="W2018"/>
      <c r="X2018"/>
      <c r="Y2018"/>
      <c r="Z2018"/>
      <c r="AA2018"/>
    </row>
    <row r="2019" spans="1:27" s="1" customFormat="1" x14ac:dyDescent="0.3">
      <c r="A2019"/>
      <c r="B2019"/>
      <c r="C2019"/>
      <c r="D2019"/>
      <c r="E2019"/>
      <c r="F2019"/>
      <c r="G2019"/>
      <c r="H2019"/>
      <c r="I2019"/>
      <c r="J2019"/>
      <c r="K2019"/>
      <c r="L2019"/>
      <c r="M2019"/>
      <c r="N2019"/>
      <c r="O2019"/>
      <c r="P2019"/>
      <c r="Q2019"/>
      <c r="R2019"/>
      <c r="S2019"/>
      <c r="T2019"/>
      <c r="U2019"/>
      <c r="V2019"/>
      <c r="W2019"/>
      <c r="X2019"/>
      <c r="Y2019"/>
      <c r="Z2019"/>
      <c r="AA2019"/>
    </row>
    <row r="2020" spans="1:27" s="1" customFormat="1" x14ac:dyDescent="0.3">
      <c r="A2020"/>
      <c r="B2020"/>
      <c r="C2020"/>
      <c r="D2020"/>
      <c r="E2020"/>
      <c r="F2020"/>
      <c r="G2020"/>
      <c r="H2020"/>
      <c r="I2020"/>
      <c r="J2020"/>
      <c r="K2020"/>
      <c r="L2020"/>
      <c r="M2020"/>
      <c r="N2020"/>
      <c r="O2020"/>
      <c r="P2020"/>
      <c r="Q2020"/>
      <c r="R2020"/>
      <c r="S2020"/>
      <c r="T2020"/>
      <c r="U2020"/>
      <c r="V2020"/>
      <c r="W2020"/>
      <c r="X2020"/>
      <c r="Y2020"/>
      <c r="Z2020"/>
      <c r="AA2020"/>
    </row>
    <row r="2021" spans="1:27" s="1" customFormat="1" x14ac:dyDescent="0.3">
      <c r="A2021"/>
      <c r="B2021"/>
      <c r="C2021"/>
      <c r="D2021"/>
      <c r="E2021"/>
      <c r="F2021"/>
      <c r="G2021"/>
      <c r="H2021"/>
      <c r="I2021"/>
      <c r="J2021"/>
      <c r="K2021"/>
      <c r="L2021"/>
      <c r="M2021"/>
      <c r="N2021"/>
      <c r="O2021"/>
      <c r="P2021"/>
      <c r="Q2021"/>
      <c r="R2021"/>
      <c r="S2021"/>
      <c r="T2021"/>
      <c r="U2021"/>
      <c r="V2021"/>
      <c r="W2021"/>
      <c r="X2021"/>
      <c r="Y2021"/>
      <c r="Z2021"/>
      <c r="AA2021"/>
    </row>
    <row r="2022" spans="1:27" s="1" customFormat="1" x14ac:dyDescent="0.3">
      <c r="A2022"/>
      <c r="B2022"/>
      <c r="C2022"/>
      <c r="D2022"/>
      <c r="E2022"/>
      <c r="F2022"/>
      <c r="G2022"/>
      <c r="H2022"/>
      <c r="I2022"/>
      <c r="J2022"/>
      <c r="K2022"/>
      <c r="L2022"/>
      <c r="M2022"/>
      <c r="N2022"/>
      <c r="O2022"/>
      <c r="P2022"/>
      <c r="Q2022"/>
      <c r="R2022"/>
      <c r="S2022"/>
      <c r="T2022"/>
      <c r="U2022"/>
      <c r="V2022"/>
      <c r="W2022"/>
      <c r="X2022"/>
      <c r="Y2022"/>
      <c r="Z2022"/>
      <c r="AA2022"/>
    </row>
    <row r="2023" spans="1:27" s="1" customFormat="1" x14ac:dyDescent="0.3">
      <c r="A2023"/>
      <c r="B2023"/>
      <c r="C2023"/>
      <c r="D2023"/>
      <c r="E2023"/>
      <c r="F2023"/>
      <c r="G2023"/>
      <c r="H2023"/>
      <c r="I2023"/>
      <c r="J2023"/>
      <c r="K2023"/>
      <c r="L2023"/>
      <c r="M2023"/>
      <c r="N2023"/>
      <c r="O2023"/>
      <c r="P2023"/>
      <c r="Q2023"/>
      <c r="R2023"/>
      <c r="S2023"/>
      <c r="T2023"/>
      <c r="U2023"/>
      <c r="V2023"/>
      <c r="W2023"/>
      <c r="X2023"/>
      <c r="Y2023"/>
      <c r="Z2023"/>
      <c r="AA2023"/>
    </row>
    <row r="2024" spans="1:27" s="1" customFormat="1" x14ac:dyDescent="0.3">
      <c r="A2024"/>
      <c r="B2024"/>
      <c r="C2024"/>
      <c r="D2024"/>
      <c r="E2024"/>
      <c r="F2024"/>
      <c r="G2024"/>
      <c r="H2024"/>
      <c r="I2024"/>
      <c r="J2024"/>
      <c r="K2024"/>
      <c r="L2024"/>
      <c r="M2024"/>
      <c r="N2024"/>
      <c r="O2024"/>
      <c r="P2024"/>
      <c r="Q2024"/>
      <c r="R2024"/>
      <c r="S2024"/>
      <c r="T2024"/>
      <c r="U2024"/>
      <c r="V2024"/>
      <c r="W2024"/>
      <c r="X2024"/>
      <c r="Y2024"/>
      <c r="Z2024"/>
      <c r="AA2024"/>
    </row>
    <row r="2025" spans="1:27" s="1" customFormat="1" x14ac:dyDescent="0.3">
      <c r="A2025"/>
      <c r="B2025"/>
      <c r="C2025"/>
      <c r="D2025"/>
      <c r="E2025"/>
      <c r="F2025"/>
      <c r="G2025"/>
      <c r="H2025"/>
      <c r="I2025"/>
      <c r="J2025"/>
      <c r="K2025"/>
      <c r="L2025"/>
      <c r="M2025"/>
      <c r="N2025"/>
      <c r="O2025"/>
      <c r="P2025"/>
      <c r="Q2025"/>
      <c r="R2025"/>
      <c r="S2025"/>
      <c r="T2025"/>
      <c r="U2025"/>
      <c r="V2025"/>
      <c r="W2025"/>
      <c r="X2025"/>
      <c r="Y2025"/>
      <c r="Z2025"/>
      <c r="AA2025"/>
    </row>
    <row r="2026" spans="1:27" s="1" customFormat="1" x14ac:dyDescent="0.3">
      <c r="A2026"/>
      <c r="B2026"/>
      <c r="C2026"/>
      <c r="D2026"/>
      <c r="E2026"/>
      <c r="F2026"/>
      <c r="G2026"/>
      <c r="H2026"/>
      <c r="I2026"/>
      <c r="J2026"/>
      <c r="K2026"/>
      <c r="L2026"/>
      <c r="M2026"/>
      <c r="N2026"/>
      <c r="O2026"/>
      <c r="P2026"/>
      <c r="Q2026"/>
      <c r="R2026"/>
      <c r="S2026"/>
      <c r="T2026"/>
      <c r="U2026"/>
      <c r="V2026"/>
      <c r="W2026"/>
      <c r="X2026"/>
      <c r="Y2026"/>
      <c r="Z2026"/>
      <c r="AA2026"/>
    </row>
    <row r="2027" spans="1:27" s="1" customFormat="1" x14ac:dyDescent="0.3">
      <c r="A2027"/>
      <c r="B2027"/>
      <c r="C2027"/>
      <c r="D2027"/>
      <c r="E2027"/>
      <c r="F2027"/>
      <c r="G2027"/>
      <c r="H2027"/>
      <c r="I2027"/>
      <c r="J2027"/>
      <c r="K2027"/>
      <c r="L2027"/>
      <c r="M2027"/>
      <c r="N2027"/>
      <c r="O2027"/>
      <c r="P2027"/>
      <c r="Q2027"/>
      <c r="R2027"/>
      <c r="S2027"/>
      <c r="T2027"/>
      <c r="U2027"/>
      <c r="V2027"/>
      <c r="W2027"/>
      <c r="X2027"/>
      <c r="Y2027"/>
      <c r="Z2027"/>
      <c r="AA2027"/>
    </row>
    <row r="2028" spans="1:27" s="1" customFormat="1" x14ac:dyDescent="0.3">
      <c r="A2028"/>
      <c r="B2028"/>
      <c r="C2028"/>
      <c r="D2028"/>
      <c r="E2028"/>
      <c r="F2028"/>
      <c r="G2028"/>
      <c r="H2028"/>
      <c r="I2028"/>
      <c r="J2028"/>
      <c r="K2028"/>
      <c r="L2028"/>
      <c r="M2028"/>
      <c r="N2028"/>
      <c r="O2028"/>
      <c r="P2028"/>
      <c r="Q2028"/>
      <c r="R2028"/>
      <c r="S2028"/>
      <c r="T2028"/>
      <c r="U2028"/>
      <c r="V2028"/>
      <c r="W2028"/>
      <c r="X2028"/>
      <c r="Y2028"/>
      <c r="Z2028"/>
      <c r="AA2028"/>
    </row>
    <row r="2029" spans="1:27" s="1" customFormat="1" x14ac:dyDescent="0.3">
      <c r="A2029"/>
      <c r="B2029"/>
      <c r="C2029"/>
      <c r="D2029"/>
      <c r="E2029"/>
      <c r="F2029"/>
      <c r="G2029"/>
      <c r="H2029"/>
      <c r="I2029"/>
      <c r="J2029"/>
      <c r="K2029"/>
      <c r="L2029"/>
      <c r="M2029"/>
      <c r="N2029"/>
      <c r="O2029"/>
      <c r="P2029"/>
      <c r="Q2029"/>
      <c r="R2029"/>
      <c r="S2029"/>
      <c r="T2029"/>
      <c r="U2029"/>
      <c r="V2029"/>
      <c r="W2029"/>
      <c r="X2029"/>
      <c r="Y2029"/>
      <c r="Z2029"/>
      <c r="AA2029"/>
    </row>
    <row r="2030" spans="1:27" s="1" customFormat="1" x14ac:dyDescent="0.3">
      <c r="A2030"/>
      <c r="B2030"/>
      <c r="C2030"/>
      <c r="D2030"/>
      <c r="E2030"/>
      <c r="F2030"/>
      <c r="G2030"/>
      <c r="H2030"/>
      <c r="I2030"/>
      <c r="J2030"/>
      <c r="K2030"/>
      <c r="L2030"/>
      <c r="M2030"/>
      <c r="N2030"/>
      <c r="O2030"/>
      <c r="P2030"/>
      <c r="Q2030"/>
      <c r="R2030"/>
      <c r="S2030"/>
      <c r="T2030"/>
      <c r="U2030"/>
      <c r="V2030"/>
      <c r="W2030"/>
      <c r="X2030"/>
      <c r="Y2030"/>
      <c r="Z2030"/>
      <c r="AA2030"/>
    </row>
    <row r="2031" spans="1:27" s="1" customFormat="1" x14ac:dyDescent="0.3">
      <c r="A2031"/>
      <c r="B2031"/>
      <c r="C2031"/>
      <c r="D2031"/>
      <c r="E2031"/>
      <c r="F2031"/>
      <c r="G2031"/>
      <c r="H2031"/>
      <c r="I2031"/>
      <c r="J2031"/>
      <c r="K2031"/>
      <c r="L2031"/>
      <c r="M2031"/>
      <c r="N2031"/>
      <c r="O2031"/>
      <c r="P2031"/>
      <c r="Q2031"/>
      <c r="R2031"/>
      <c r="S2031"/>
      <c r="T2031"/>
      <c r="U2031"/>
      <c r="V2031"/>
      <c r="W2031"/>
      <c r="X2031"/>
      <c r="Y2031"/>
      <c r="Z2031"/>
      <c r="AA2031"/>
    </row>
    <row r="2032" spans="1:27" s="1" customFormat="1" x14ac:dyDescent="0.3">
      <c r="A2032"/>
      <c r="B2032"/>
      <c r="C2032"/>
      <c r="D2032"/>
      <c r="E2032"/>
      <c r="F2032"/>
      <c r="G2032"/>
      <c r="H2032"/>
      <c r="I2032"/>
      <c r="J2032"/>
      <c r="K2032"/>
      <c r="L2032"/>
      <c r="M2032"/>
      <c r="N2032"/>
      <c r="O2032"/>
      <c r="P2032"/>
      <c r="Q2032"/>
      <c r="R2032"/>
      <c r="S2032"/>
      <c r="T2032"/>
      <c r="U2032"/>
      <c r="V2032"/>
      <c r="W2032"/>
      <c r="X2032"/>
      <c r="Y2032"/>
      <c r="Z2032"/>
      <c r="AA2032"/>
    </row>
    <row r="2033" spans="1:27" s="1" customFormat="1" x14ac:dyDescent="0.3">
      <c r="A2033"/>
      <c r="B2033"/>
      <c r="C2033"/>
      <c r="D2033"/>
      <c r="E2033"/>
      <c r="F2033"/>
      <c r="G2033"/>
      <c r="H2033"/>
      <c r="I2033"/>
      <c r="J2033"/>
      <c r="K2033"/>
      <c r="L2033"/>
      <c r="M2033"/>
      <c r="N2033"/>
      <c r="O2033"/>
      <c r="P2033"/>
      <c r="Q2033"/>
      <c r="R2033"/>
      <c r="S2033"/>
      <c r="T2033"/>
      <c r="U2033"/>
      <c r="V2033"/>
      <c r="W2033"/>
      <c r="X2033"/>
      <c r="Y2033"/>
      <c r="Z2033"/>
      <c r="AA2033"/>
    </row>
    <row r="2034" spans="1:27" s="1" customFormat="1" x14ac:dyDescent="0.3">
      <c r="A2034"/>
      <c r="B2034"/>
      <c r="C2034"/>
      <c r="D2034"/>
      <c r="E2034"/>
      <c r="F2034"/>
      <c r="G2034"/>
      <c r="H2034"/>
      <c r="I2034"/>
      <c r="J2034"/>
      <c r="K2034"/>
      <c r="L2034"/>
      <c r="M2034"/>
      <c r="N2034"/>
      <c r="O2034"/>
      <c r="P2034"/>
      <c r="Q2034"/>
      <c r="R2034"/>
      <c r="S2034"/>
      <c r="T2034"/>
      <c r="U2034"/>
      <c r="V2034"/>
      <c r="W2034"/>
      <c r="X2034"/>
      <c r="Y2034"/>
      <c r="Z2034"/>
      <c r="AA2034"/>
    </row>
    <row r="2035" spans="1:27" s="1" customFormat="1" x14ac:dyDescent="0.3">
      <c r="A2035"/>
      <c r="B2035"/>
      <c r="C2035"/>
      <c r="D2035"/>
      <c r="E2035"/>
      <c r="F2035"/>
      <c r="G2035"/>
      <c r="H2035"/>
      <c r="I2035"/>
      <c r="J2035"/>
      <c r="K2035"/>
      <c r="L2035"/>
      <c r="M2035"/>
      <c r="N2035"/>
      <c r="O2035"/>
      <c r="P2035"/>
      <c r="Q2035"/>
      <c r="R2035"/>
      <c r="S2035"/>
      <c r="T2035"/>
      <c r="U2035"/>
      <c r="V2035"/>
      <c r="W2035"/>
      <c r="X2035"/>
      <c r="Y2035"/>
      <c r="Z2035"/>
      <c r="AA2035"/>
    </row>
    <row r="2036" spans="1:27" s="1" customFormat="1" x14ac:dyDescent="0.3">
      <c r="A2036"/>
      <c r="B2036"/>
      <c r="C2036"/>
      <c r="D2036"/>
      <c r="E2036"/>
      <c r="F2036"/>
      <c r="G2036"/>
      <c r="H2036"/>
      <c r="I2036"/>
      <c r="J2036"/>
      <c r="K2036"/>
      <c r="L2036"/>
      <c r="M2036"/>
      <c r="N2036"/>
      <c r="O2036"/>
      <c r="P2036"/>
      <c r="Q2036"/>
      <c r="R2036"/>
      <c r="S2036"/>
      <c r="T2036"/>
      <c r="U2036"/>
      <c r="V2036"/>
      <c r="W2036"/>
      <c r="X2036"/>
      <c r="Y2036"/>
      <c r="Z2036"/>
      <c r="AA2036"/>
    </row>
    <row r="2037" spans="1:27" s="1" customFormat="1" x14ac:dyDescent="0.3">
      <c r="A2037"/>
      <c r="B2037"/>
      <c r="C2037"/>
      <c r="D2037"/>
      <c r="E2037"/>
      <c r="F2037"/>
      <c r="G2037"/>
      <c r="H2037"/>
      <c r="I2037"/>
      <c r="J2037"/>
      <c r="K2037"/>
      <c r="L2037"/>
      <c r="M2037"/>
      <c r="N2037"/>
      <c r="O2037"/>
      <c r="P2037"/>
      <c r="Q2037"/>
      <c r="R2037"/>
      <c r="S2037"/>
      <c r="T2037"/>
      <c r="U2037"/>
      <c r="V2037"/>
      <c r="W2037"/>
      <c r="X2037"/>
      <c r="Y2037"/>
      <c r="Z2037"/>
      <c r="AA2037"/>
    </row>
    <row r="2038" spans="1:27" s="1" customFormat="1" x14ac:dyDescent="0.3">
      <c r="A2038"/>
      <c r="B2038"/>
      <c r="C2038"/>
      <c r="D2038"/>
      <c r="E2038"/>
      <c r="F2038"/>
      <c r="G2038"/>
      <c r="H2038"/>
      <c r="I2038"/>
      <c r="J2038"/>
      <c r="K2038"/>
      <c r="L2038"/>
      <c r="M2038"/>
      <c r="N2038"/>
      <c r="O2038"/>
      <c r="P2038"/>
      <c r="Q2038"/>
      <c r="R2038"/>
      <c r="S2038"/>
      <c r="T2038"/>
      <c r="U2038"/>
      <c r="V2038"/>
      <c r="W2038"/>
      <c r="X2038"/>
      <c r="Y2038"/>
      <c r="Z2038"/>
      <c r="AA2038"/>
    </row>
    <row r="2039" spans="1:27" s="1" customFormat="1" x14ac:dyDescent="0.3">
      <c r="A2039"/>
      <c r="B2039"/>
      <c r="C2039"/>
      <c r="D2039"/>
      <c r="E2039"/>
      <c r="F2039"/>
      <c r="G2039"/>
      <c r="H2039"/>
      <c r="I2039"/>
      <c r="J2039"/>
      <c r="K2039"/>
      <c r="L2039"/>
      <c r="M2039"/>
      <c r="N2039"/>
      <c r="O2039"/>
      <c r="P2039"/>
      <c r="Q2039"/>
      <c r="R2039"/>
      <c r="S2039"/>
      <c r="T2039"/>
      <c r="U2039"/>
      <c r="V2039"/>
      <c r="W2039"/>
      <c r="X2039"/>
      <c r="Y2039"/>
      <c r="Z2039"/>
      <c r="AA2039"/>
    </row>
    <row r="2040" spans="1:27" s="1" customFormat="1" x14ac:dyDescent="0.3">
      <c r="A2040"/>
      <c r="B2040"/>
      <c r="C2040"/>
      <c r="D2040"/>
      <c r="E2040"/>
      <c r="F2040"/>
      <c r="G2040"/>
      <c r="H2040"/>
      <c r="I2040"/>
      <c r="J2040"/>
      <c r="K2040"/>
      <c r="L2040"/>
      <c r="M2040"/>
      <c r="N2040"/>
      <c r="O2040"/>
      <c r="P2040"/>
      <c r="Q2040"/>
      <c r="R2040"/>
      <c r="S2040"/>
      <c r="T2040"/>
      <c r="U2040"/>
      <c r="V2040"/>
      <c r="W2040"/>
      <c r="X2040"/>
      <c r="Y2040"/>
      <c r="Z2040"/>
      <c r="AA2040"/>
    </row>
    <row r="2041" spans="1:27" s="1" customFormat="1" x14ac:dyDescent="0.3">
      <c r="A2041"/>
      <c r="B2041"/>
      <c r="C2041"/>
      <c r="D2041"/>
      <c r="E2041"/>
      <c r="F2041"/>
      <c r="G2041"/>
      <c r="H2041"/>
      <c r="I2041"/>
      <c r="J2041"/>
      <c r="K2041"/>
      <c r="L2041"/>
      <c r="M2041"/>
      <c r="N2041"/>
      <c r="O2041"/>
      <c r="P2041"/>
      <c r="Q2041"/>
      <c r="R2041"/>
      <c r="S2041"/>
      <c r="T2041"/>
      <c r="U2041"/>
      <c r="V2041"/>
      <c r="W2041"/>
      <c r="X2041"/>
      <c r="Y2041"/>
      <c r="Z2041"/>
      <c r="AA2041"/>
    </row>
    <row r="2042" spans="1:27" s="1" customFormat="1" x14ac:dyDescent="0.3">
      <c r="A2042"/>
      <c r="B2042"/>
      <c r="C2042"/>
      <c r="D2042"/>
      <c r="E2042"/>
      <c r="F2042"/>
      <c r="G2042"/>
      <c r="H2042"/>
      <c r="I2042"/>
      <c r="J2042"/>
      <c r="K2042"/>
      <c r="L2042"/>
      <c r="M2042"/>
      <c r="N2042"/>
      <c r="O2042"/>
      <c r="P2042"/>
      <c r="Q2042"/>
      <c r="R2042"/>
      <c r="S2042"/>
      <c r="T2042"/>
      <c r="U2042"/>
      <c r="V2042"/>
      <c r="W2042"/>
      <c r="X2042"/>
      <c r="Y2042"/>
      <c r="Z2042"/>
      <c r="AA2042"/>
    </row>
    <row r="2043" spans="1:27" s="1" customFormat="1" x14ac:dyDescent="0.3">
      <c r="A2043"/>
      <c r="B2043"/>
      <c r="C2043"/>
      <c r="D2043"/>
      <c r="E2043"/>
      <c r="F2043"/>
      <c r="G2043"/>
      <c r="H2043"/>
      <c r="I2043"/>
      <c r="J2043"/>
      <c r="K2043"/>
      <c r="L2043"/>
      <c r="M2043"/>
      <c r="N2043"/>
      <c r="O2043"/>
      <c r="P2043"/>
      <c r="Q2043"/>
      <c r="R2043"/>
      <c r="S2043"/>
      <c r="T2043"/>
      <c r="U2043"/>
      <c r="V2043"/>
      <c r="W2043"/>
      <c r="X2043"/>
      <c r="Y2043"/>
      <c r="Z2043"/>
      <c r="AA2043"/>
    </row>
    <row r="2044" spans="1:27" s="1" customFormat="1" x14ac:dyDescent="0.3">
      <c r="A2044"/>
      <c r="B2044"/>
      <c r="C2044"/>
      <c r="D2044"/>
      <c r="E2044"/>
      <c r="F2044"/>
      <c r="G2044"/>
      <c r="H2044"/>
      <c r="I2044"/>
      <c r="J2044"/>
      <c r="K2044"/>
      <c r="L2044"/>
      <c r="M2044"/>
      <c r="N2044"/>
      <c r="O2044"/>
      <c r="P2044"/>
      <c r="Q2044"/>
      <c r="R2044"/>
      <c r="S2044"/>
      <c r="T2044"/>
      <c r="U2044"/>
      <c r="V2044"/>
      <c r="W2044"/>
      <c r="X2044"/>
      <c r="Y2044"/>
      <c r="Z2044"/>
      <c r="AA2044"/>
    </row>
    <row r="2045" spans="1:27" s="1" customFormat="1" x14ac:dyDescent="0.3">
      <c r="A2045"/>
      <c r="B2045"/>
      <c r="C2045"/>
      <c r="D2045"/>
      <c r="E2045"/>
      <c r="F2045"/>
      <c r="G2045"/>
      <c r="H2045"/>
      <c r="I2045"/>
      <c r="J2045"/>
      <c r="K2045"/>
      <c r="L2045"/>
      <c r="M2045"/>
      <c r="N2045"/>
      <c r="O2045"/>
      <c r="P2045"/>
      <c r="Q2045"/>
      <c r="R2045"/>
      <c r="S2045"/>
      <c r="T2045"/>
      <c r="U2045"/>
      <c r="V2045"/>
      <c r="W2045"/>
      <c r="X2045"/>
      <c r="Y2045"/>
      <c r="Z2045"/>
      <c r="AA2045"/>
    </row>
    <row r="2046" spans="1:27" s="1" customFormat="1" x14ac:dyDescent="0.3">
      <c r="A2046"/>
      <c r="B2046"/>
      <c r="C2046"/>
      <c r="D2046"/>
      <c r="E2046"/>
      <c r="F2046"/>
      <c r="G2046"/>
      <c r="H2046"/>
      <c r="I2046"/>
      <c r="J2046"/>
      <c r="K2046"/>
      <c r="L2046"/>
      <c r="M2046"/>
      <c r="N2046"/>
      <c r="O2046"/>
      <c r="P2046"/>
      <c r="Q2046"/>
      <c r="R2046"/>
      <c r="S2046"/>
      <c r="T2046"/>
      <c r="U2046"/>
      <c r="V2046"/>
      <c r="W2046"/>
      <c r="X2046"/>
      <c r="Y2046"/>
      <c r="Z2046"/>
      <c r="AA2046"/>
    </row>
    <row r="2047" spans="1:27" s="1" customFormat="1" x14ac:dyDescent="0.3">
      <c r="A2047"/>
      <c r="B2047"/>
      <c r="C2047"/>
      <c r="D2047"/>
      <c r="E2047"/>
      <c r="F2047"/>
      <c r="G2047"/>
      <c r="H2047"/>
      <c r="I2047"/>
      <c r="J2047"/>
      <c r="K2047"/>
      <c r="L2047"/>
      <c r="M2047"/>
      <c r="N2047"/>
      <c r="O2047"/>
      <c r="P2047"/>
      <c r="Q2047"/>
      <c r="R2047"/>
      <c r="S2047"/>
      <c r="T2047"/>
      <c r="U2047"/>
      <c r="V2047"/>
      <c r="W2047"/>
      <c r="X2047"/>
      <c r="Y2047"/>
      <c r="Z2047"/>
      <c r="AA2047"/>
    </row>
    <row r="2048" spans="1:27" s="1" customFormat="1" x14ac:dyDescent="0.3">
      <c r="A2048"/>
      <c r="B2048"/>
      <c r="C2048"/>
      <c r="D2048"/>
      <c r="E2048"/>
      <c r="F2048"/>
      <c r="G2048"/>
      <c r="H2048"/>
      <c r="I2048"/>
      <c r="J2048"/>
      <c r="K2048"/>
      <c r="L2048"/>
      <c r="M2048"/>
      <c r="N2048"/>
      <c r="O2048"/>
      <c r="P2048"/>
      <c r="Q2048"/>
      <c r="R2048"/>
      <c r="S2048"/>
      <c r="T2048"/>
      <c r="U2048"/>
      <c r="V2048"/>
      <c r="W2048"/>
      <c r="X2048"/>
      <c r="Y2048"/>
      <c r="Z2048"/>
      <c r="AA2048"/>
    </row>
    <row r="2049" spans="1:27" s="1" customFormat="1" x14ac:dyDescent="0.3">
      <c r="A2049"/>
      <c r="B2049"/>
      <c r="C2049"/>
      <c r="D2049"/>
      <c r="E2049"/>
      <c r="F2049"/>
      <c r="G2049"/>
      <c r="H2049"/>
      <c r="I2049"/>
      <c r="J2049"/>
      <c r="K2049"/>
      <c r="L2049"/>
      <c r="M2049"/>
      <c r="N2049"/>
      <c r="O2049"/>
      <c r="P2049"/>
      <c r="Q2049"/>
      <c r="R2049"/>
      <c r="S2049"/>
      <c r="T2049"/>
      <c r="U2049"/>
      <c r="V2049"/>
      <c r="W2049"/>
      <c r="X2049"/>
      <c r="Y2049"/>
      <c r="Z2049"/>
      <c r="AA2049"/>
    </row>
    <row r="2050" spans="1:27" s="1" customFormat="1" x14ac:dyDescent="0.3">
      <c r="A2050"/>
      <c r="B2050"/>
      <c r="C2050"/>
      <c r="D2050"/>
      <c r="E2050"/>
      <c r="F2050"/>
      <c r="G2050"/>
      <c r="H2050"/>
      <c r="I2050"/>
      <c r="J2050"/>
      <c r="K2050"/>
      <c r="L2050"/>
      <c r="M2050"/>
      <c r="N2050"/>
      <c r="O2050"/>
      <c r="P2050"/>
      <c r="Q2050"/>
      <c r="R2050"/>
      <c r="S2050"/>
      <c r="T2050"/>
      <c r="U2050"/>
      <c r="V2050"/>
      <c r="W2050"/>
      <c r="X2050"/>
      <c r="Y2050"/>
      <c r="Z2050"/>
      <c r="AA2050"/>
    </row>
    <row r="2051" spans="1:27" s="1" customFormat="1" x14ac:dyDescent="0.3">
      <c r="A2051"/>
      <c r="B2051"/>
      <c r="C2051"/>
      <c r="D2051"/>
      <c r="E2051"/>
      <c r="F2051"/>
      <c r="G2051"/>
      <c r="H2051"/>
      <c r="I2051"/>
      <c r="J2051"/>
      <c r="K2051"/>
      <c r="L2051"/>
      <c r="M2051"/>
      <c r="N2051"/>
      <c r="O2051"/>
      <c r="P2051"/>
      <c r="Q2051"/>
      <c r="R2051"/>
      <c r="S2051"/>
      <c r="T2051"/>
      <c r="U2051"/>
      <c r="V2051"/>
      <c r="W2051"/>
      <c r="X2051"/>
      <c r="Y2051"/>
      <c r="Z2051"/>
      <c r="AA2051"/>
    </row>
    <row r="2052" spans="1:27" s="1" customFormat="1" x14ac:dyDescent="0.3">
      <c r="A2052"/>
      <c r="B2052"/>
      <c r="C2052"/>
      <c r="D2052"/>
      <c r="E2052"/>
      <c r="F2052"/>
      <c r="G2052"/>
      <c r="H2052"/>
      <c r="I2052"/>
      <c r="J2052"/>
      <c r="K2052"/>
      <c r="L2052"/>
      <c r="M2052"/>
      <c r="N2052"/>
      <c r="O2052"/>
      <c r="P2052"/>
      <c r="Q2052"/>
      <c r="R2052"/>
      <c r="S2052"/>
      <c r="T2052"/>
      <c r="U2052"/>
      <c r="V2052"/>
      <c r="W2052"/>
      <c r="X2052"/>
      <c r="Y2052"/>
      <c r="Z2052"/>
      <c r="AA2052"/>
    </row>
    <row r="2053" spans="1:27" s="1" customFormat="1" x14ac:dyDescent="0.3">
      <c r="A2053"/>
      <c r="B2053"/>
      <c r="C2053"/>
      <c r="D2053"/>
      <c r="E2053"/>
      <c r="F2053"/>
      <c r="G2053"/>
      <c r="H2053"/>
      <c r="I2053"/>
      <c r="J2053"/>
      <c r="K2053"/>
      <c r="L2053"/>
      <c r="M2053"/>
      <c r="N2053"/>
      <c r="O2053"/>
      <c r="P2053"/>
      <c r="Q2053"/>
      <c r="R2053"/>
      <c r="S2053"/>
      <c r="T2053"/>
      <c r="U2053"/>
      <c r="V2053"/>
      <c r="W2053"/>
      <c r="X2053"/>
      <c r="Y2053"/>
      <c r="Z2053"/>
      <c r="AA2053"/>
    </row>
    <row r="2054" spans="1:27" s="1" customFormat="1" x14ac:dyDescent="0.3">
      <c r="A2054"/>
      <c r="B2054"/>
      <c r="C2054"/>
      <c r="D2054"/>
      <c r="E2054"/>
      <c r="F2054"/>
      <c r="G2054"/>
      <c r="H2054"/>
      <c r="I2054"/>
      <c r="J2054"/>
      <c r="K2054"/>
      <c r="L2054"/>
      <c r="M2054"/>
      <c r="N2054"/>
      <c r="O2054"/>
      <c r="P2054"/>
      <c r="Q2054"/>
      <c r="R2054"/>
      <c r="S2054"/>
      <c r="T2054"/>
      <c r="U2054"/>
      <c r="V2054"/>
      <c r="W2054"/>
      <c r="X2054"/>
      <c r="Y2054"/>
      <c r="Z2054"/>
      <c r="AA2054"/>
    </row>
    <row r="2055" spans="1:27" s="1" customFormat="1" x14ac:dyDescent="0.3">
      <c r="A2055"/>
      <c r="B2055"/>
      <c r="C2055"/>
      <c r="D2055"/>
      <c r="E2055"/>
      <c r="F2055"/>
      <c r="G2055"/>
      <c r="H2055"/>
      <c r="I2055"/>
      <c r="J2055"/>
      <c r="K2055"/>
      <c r="L2055"/>
      <c r="M2055"/>
      <c r="N2055"/>
      <c r="O2055"/>
      <c r="P2055"/>
      <c r="Q2055"/>
      <c r="R2055"/>
      <c r="S2055"/>
      <c r="T2055"/>
      <c r="U2055"/>
      <c r="V2055"/>
      <c r="W2055"/>
      <c r="X2055"/>
      <c r="Y2055"/>
      <c r="Z2055"/>
      <c r="AA2055"/>
    </row>
    <row r="2056" spans="1:27" s="1" customFormat="1" x14ac:dyDescent="0.3">
      <c r="A2056"/>
      <c r="B2056"/>
      <c r="C2056"/>
      <c r="D2056"/>
      <c r="E2056"/>
      <c r="F2056"/>
      <c r="G2056"/>
      <c r="H2056"/>
      <c r="I2056"/>
      <c r="J2056"/>
      <c r="K2056"/>
      <c r="L2056"/>
      <c r="M2056"/>
      <c r="N2056"/>
      <c r="O2056"/>
      <c r="P2056"/>
      <c r="Q2056"/>
      <c r="R2056"/>
      <c r="S2056"/>
      <c r="T2056"/>
      <c r="U2056"/>
      <c r="V2056"/>
      <c r="W2056"/>
      <c r="X2056"/>
      <c r="Y2056"/>
      <c r="Z2056"/>
      <c r="AA2056"/>
    </row>
    <row r="2057" spans="1:27" s="1" customFormat="1" x14ac:dyDescent="0.3">
      <c r="A2057"/>
      <c r="B2057"/>
      <c r="C2057"/>
      <c r="D2057"/>
      <c r="E2057"/>
      <c r="F2057"/>
      <c r="G2057"/>
      <c r="H2057"/>
      <c r="I2057"/>
      <c r="J2057"/>
      <c r="K2057"/>
      <c r="L2057"/>
      <c r="M2057"/>
      <c r="N2057"/>
      <c r="O2057"/>
      <c r="P2057"/>
      <c r="Q2057"/>
      <c r="R2057"/>
      <c r="S2057"/>
      <c r="T2057"/>
      <c r="U2057"/>
      <c r="V2057"/>
      <c r="W2057"/>
      <c r="X2057"/>
      <c r="Y2057"/>
      <c r="Z2057"/>
      <c r="AA2057"/>
    </row>
    <row r="2058" spans="1:27" s="1" customFormat="1" x14ac:dyDescent="0.3">
      <c r="A2058"/>
      <c r="B2058"/>
      <c r="C2058"/>
      <c r="D2058"/>
      <c r="E2058"/>
      <c r="F2058"/>
      <c r="G2058"/>
      <c r="H2058"/>
      <c r="I2058"/>
      <c r="J2058"/>
      <c r="K2058"/>
      <c r="L2058"/>
      <c r="M2058"/>
      <c r="N2058"/>
      <c r="O2058"/>
      <c r="P2058"/>
      <c r="Q2058"/>
      <c r="R2058"/>
      <c r="S2058"/>
      <c r="T2058"/>
      <c r="U2058"/>
      <c r="V2058"/>
      <c r="W2058"/>
      <c r="X2058"/>
      <c r="Y2058"/>
      <c r="Z2058"/>
      <c r="AA2058"/>
    </row>
    <row r="2059" spans="1:27" s="1" customFormat="1" x14ac:dyDescent="0.3">
      <c r="A2059"/>
      <c r="B2059"/>
      <c r="C2059"/>
      <c r="D2059"/>
      <c r="E2059"/>
      <c r="F2059"/>
      <c r="G2059"/>
      <c r="H2059"/>
      <c r="I2059"/>
      <c r="J2059"/>
      <c r="K2059"/>
      <c r="L2059"/>
      <c r="M2059"/>
      <c r="N2059"/>
      <c r="O2059"/>
      <c r="P2059"/>
      <c r="Q2059"/>
      <c r="R2059"/>
      <c r="S2059"/>
      <c r="T2059"/>
      <c r="U2059"/>
      <c r="V2059"/>
      <c r="W2059"/>
      <c r="X2059"/>
      <c r="Y2059"/>
      <c r="Z2059"/>
      <c r="AA2059"/>
    </row>
    <row r="2060" spans="1:27" s="1" customFormat="1" x14ac:dyDescent="0.3">
      <c r="A2060"/>
      <c r="B2060"/>
      <c r="C2060"/>
      <c r="D2060"/>
      <c r="E2060"/>
      <c r="F2060"/>
      <c r="G2060"/>
      <c r="H2060"/>
      <c r="I2060"/>
      <c r="J2060"/>
      <c r="K2060"/>
      <c r="L2060"/>
      <c r="M2060"/>
      <c r="N2060"/>
      <c r="O2060"/>
      <c r="P2060"/>
      <c r="Q2060"/>
      <c r="R2060"/>
      <c r="S2060"/>
      <c r="T2060"/>
      <c r="U2060"/>
      <c r="V2060"/>
      <c r="W2060"/>
      <c r="X2060"/>
      <c r="Y2060"/>
      <c r="Z2060"/>
      <c r="AA2060"/>
    </row>
    <row r="2061" spans="1:27" s="1" customFormat="1" x14ac:dyDescent="0.3">
      <c r="A2061"/>
      <c r="B2061"/>
      <c r="C2061"/>
      <c r="D2061"/>
      <c r="E2061"/>
      <c r="F2061"/>
      <c r="G2061"/>
      <c r="H2061"/>
      <c r="I2061"/>
      <c r="J2061"/>
      <c r="K2061"/>
      <c r="L2061"/>
      <c r="M2061"/>
      <c r="N2061"/>
      <c r="O2061"/>
      <c r="P2061"/>
      <c r="Q2061"/>
      <c r="R2061"/>
      <c r="S2061"/>
      <c r="T2061"/>
      <c r="U2061"/>
      <c r="V2061"/>
      <c r="W2061"/>
      <c r="X2061"/>
      <c r="Y2061"/>
      <c r="Z2061"/>
      <c r="AA2061"/>
    </row>
    <row r="2062" spans="1:27" s="1" customFormat="1" x14ac:dyDescent="0.3">
      <c r="A2062"/>
      <c r="B2062"/>
      <c r="C2062"/>
      <c r="D2062"/>
      <c r="E2062"/>
      <c r="F2062"/>
      <c r="G2062"/>
      <c r="H2062"/>
      <c r="I2062"/>
      <c r="J2062"/>
      <c r="K2062"/>
      <c r="L2062"/>
      <c r="M2062"/>
      <c r="N2062"/>
      <c r="O2062"/>
      <c r="P2062"/>
      <c r="Q2062"/>
      <c r="R2062"/>
      <c r="S2062"/>
      <c r="T2062"/>
      <c r="U2062"/>
      <c r="V2062"/>
      <c r="W2062"/>
      <c r="X2062"/>
      <c r="Y2062"/>
      <c r="Z2062"/>
      <c r="AA2062"/>
    </row>
    <row r="2063" spans="1:27" s="1" customFormat="1" x14ac:dyDescent="0.3">
      <c r="A2063"/>
      <c r="B2063"/>
      <c r="C2063"/>
      <c r="D2063"/>
      <c r="E2063"/>
      <c r="F2063"/>
      <c r="G2063"/>
      <c r="H2063"/>
      <c r="I2063"/>
      <c r="J2063"/>
      <c r="K2063"/>
      <c r="L2063"/>
      <c r="M2063"/>
      <c r="N2063"/>
      <c r="O2063"/>
      <c r="P2063"/>
      <c r="Q2063"/>
      <c r="R2063"/>
      <c r="S2063"/>
      <c r="T2063"/>
      <c r="U2063"/>
      <c r="V2063"/>
      <c r="W2063"/>
      <c r="X2063"/>
      <c r="Y2063"/>
      <c r="Z2063"/>
      <c r="AA2063"/>
    </row>
    <row r="2064" spans="1:27" s="1" customFormat="1" x14ac:dyDescent="0.3">
      <c r="A2064"/>
      <c r="B2064"/>
      <c r="C2064"/>
      <c r="D2064"/>
      <c r="E2064"/>
      <c r="F2064"/>
      <c r="G2064"/>
      <c r="H2064"/>
      <c r="I2064"/>
      <c r="J2064"/>
      <c r="K2064"/>
      <c r="L2064"/>
      <c r="M2064"/>
      <c r="N2064"/>
      <c r="O2064"/>
      <c r="P2064"/>
      <c r="Q2064"/>
      <c r="R2064"/>
      <c r="S2064"/>
      <c r="T2064"/>
      <c r="U2064"/>
      <c r="V2064"/>
      <c r="W2064"/>
      <c r="X2064"/>
      <c r="Y2064"/>
      <c r="Z2064"/>
      <c r="AA2064"/>
    </row>
    <row r="2065" spans="1:27" s="1" customFormat="1" x14ac:dyDescent="0.3">
      <c r="A2065"/>
      <c r="B2065"/>
      <c r="C2065"/>
      <c r="D2065"/>
      <c r="E2065"/>
      <c r="F2065"/>
      <c r="G2065"/>
      <c r="H2065"/>
      <c r="I2065"/>
      <c r="J2065"/>
      <c r="K2065"/>
      <c r="L2065"/>
      <c r="M2065"/>
      <c r="N2065"/>
      <c r="O2065"/>
      <c r="P2065"/>
      <c r="Q2065"/>
      <c r="R2065"/>
      <c r="S2065"/>
      <c r="T2065"/>
      <c r="U2065"/>
      <c r="V2065"/>
      <c r="W2065"/>
      <c r="X2065"/>
      <c r="Y2065"/>
      <c r="Z2065"/>
      <c r="AA2065"/>
    </row>
    <row r="2066" spans="1:27" s="1" customFormat="1" x14ac:dyDescent="0.3">
      <c r="A2066"/>
      <c r="B2066"/>
      <c r="C2066"/>
      <c r="D2066"/>
      <c r="E2066"/>
      <c r="F2066"/>
      <c r="G2066"/>
      <c r="H2066"/>
      <c r="I2066"/>
      <c r="J2066"/>
      <c r="K2066"/>
      <c r="L2066"/>
      <c r="M2066"/>
      <c r="N2066"/>
      <c r="O2066"/>
      <c r="P2066"/>
      <c r="Q2066"/>
      <c r="R2066"/>
      <c r="S2066"/>
      <c r="T2066"/>
      <c r="U2066"/>
      <c r="V2066"/>
      <c r="W2066"/>
      <c r="X2066"/>
      <c r="Y2066"/>
      <c r="Z2066"/>
      <c r="AA2066"/>
    </row>
    <row r="2067" spans="1:27" s="1" customFormat="1" x14ac:dyDescent="0.3">
      <c r="A2067"/>
      <c r="B2067"/>
      <c r="C2067"/>
      <c r="D2067"/>
      <c r="E2067"/>
      <c r="F2067"/>
      <c r="G2067"/>
      <c r="H2067"/>
      <c r="I2067"/>
      <c r="J2067"/>
      <c r="K2067"/>
      <c r="L2067"/>
      <c r="M2067"/>
      <c r="N2067"/>
      <c r="O2067"/>
      <c r="P2067"/>
      <c r="Q2067"/>
      <c r="R2067"/>
      <c r="S2067"/>
      <c r="T2067"/>
      <c r="U2067"/>
      <c r="V2067"/>
      <c r="W2067"/>
      <c r="X2067"/>
      <c r="Y2067"/>
      <c r="Z2067"/>
      <c r="AA2067"/>
    </row>
    <row r="2068" spans="1:27" s="1" customFormat="1" x14ac:dyDescent="0.3">
      <c r="A2068"/>
      <c r="B2068"/>
      <c r="C2068"/>
      <c r="D2068"/>
      <c r="E2068"/>
      <c r="F2068"/>
      <c r="G2068"/>
      <c r="H2068"/>
      <c r="I2068"/>
      <c r="J2068"/>
      <c r="K2068"/>
      <c r="L2068"/>
      <c r="M2068"/>
      <c r="N2068"/>
      <c r="O2068"/>
      <c r="P2068"/>
      <c r="Q2068"/>
      <c r="R2068"/>
      <c r="S2068"/>
      <c r="T2068"/>
      <c r="U2068"/>
      <c r="V2068"/>
      <c r="W2068"/>
      <c r="X2068"/>
      <c r="Y2068"/>
      <c r="Z2068"/>
      <c r="AA2068"/>
    </row>
    <row r="2069" spans="1:27" s="1" customFormat="1" x14ac:dyDescent="0.3">
      <c r="A2069"/>
      <c r="B2069"/>
      <c r="C2069"/>
      <c r="D2069"/>
      <c r="E2069"/>
      <c r="F2069"/>
      <c r="G2069"/>
      <c r="H2069"/>
      <c r="I2069"/>
      <c r="J2069"/>
      <c r="K2069"/>
      <c r="L2069"/>
      <c r="M2069"/>
      <c r="N2069"/>
      <c r="O2069"/>
      <c r="P2069"/>
      <c r="Q2069"/>
      <c r="R2069"/>
      <c r="S2069"/>
      <c r="T2069"/>
      <c r="U2069"/>
      <c r="V2069"/>
      <c r="W2069"/>
      <c r="X2069"/>
      <c r="Y2069"/>
      <c r="Z2069"/>
      <c r="AA2069"/>
    </row>
    <row r="2070" spans="1:27" s="1" customFormat="1" x14ac:dyDescent="0.3">
      <c r="A2070"/>
      <c r="B2070"/>
      <c r="C2070"/>
      <c r="D2070"/>
      <c r="E2070"/>
      <c r="F2070"/>
      <c r="G2070"/>
      <c r="H2070"/>
      <c r="I2070"/>
      <c r="J2070"/>
      <c r="K2070"/>
      <c r="L2070"/>
      <c r="M2070"/>
      <c r="N2070"/>
      <c r="O2070"/>
      <c r="P2070"/>
      <c r="Q2070"/>
      <c r="R2070"/>
      <c r="S2070"/>
      <c r="T2070"/>
      <c r="U2070"/>
      <c r="V2070"/>
      <c r="W2070"/>
      <c r="X2070"/>
      <c r="Y2070"/>
      <c r="Z2070"/>
      <c r="AA2070"/>
    </row>
    <row r="2071" spans="1:27" s="1" customFormat="1" x14ac:dyDescent="0.3">
      <c r="A2071"/>
      <c r="B2071"/>
      <c r="C2071"/>
      <c r="D2071"/>
      <c r="E2071"/>
      <c r="F2071"/>
      <c r="G2071"/>
      <c r="H2071"/>
      <c r="I2071"/>
      <c r="J2071"/>
      <c r="K2071"/>
      <c r="L2071"/>
      <c r="M2071"/>
      <c r="N2071"/>
      <c r="O2071"/>
      <c r="P2071"/>
      <c r="Q2071"/>
      <c r="R2071"/>
      <c r="S2071"/>
      <c r="T2071"/>
      <c r="U2071"/>
      <c r="V2071"/>
      <c r="W2071"/>
      <c r="X2071"/>
      <c r="Y2071"/>
      <c r="Z2071"/>
      <c r="AA2071"/>
    </row>
    <row r="2072" spans="1:27" s="1" customFormat="1" x14ac:dyDescent="0.3">
      <c r="A2072"/>
      <c r="B2072"/>
      <c r="C2072"/>
      <c r="D2072"/>
      <c r="E2072"/>
      <c r="F2072"/>
      <c r="G2072"/>
      <c r="H2072"/>
      <c r="I2072"/>
      <c r="J2072"/>
      <c r="K2072"/>
      <c r="L2072"/>
      <c r="M2072"/>
      <c r="N2072"/>
      <c r="O2072"/>
      <c r="P2072"/>
      <c r="Q2072"/>
      <c r="R2072"/>
      <c r="S2072"/>
      <c r="T2072"/>
      <c r="U2072"/>
      <c r="V2072"/>
      <c r="W2072"/>
      <c r="X2072"/>
      <c r="Y2072"/>
      <c r="Z2072"/>
      <c r="AA2072"/>
    </row>
    <row r="2073" spans="1:27" s="1" customFormat="1" x14ac:dyDescent="0.3">
      <c r="A2073"/>
      <c r="B2073"/>
      <c r="C2073"/>
      <c r="D2073"/>
      <c r="E2073"/>
      <c r="F2073"/>
      <c r="G2073"/>
      <c r="H2073"/>
      <c r="I2073"/>
      <c r="J2073"/>
      <c r="K2073"/>
      <c r="L2073"/>
      <c r="M2073"/>
      <c r="N2073"/>
      <c r="O2073"/>
      <c r="P2073"/>
      <c r="Q2073"/>
      <c r="R2073"/>
      <c r="S2073"/>
      <c r="T2073"/>
      <c r="U2073"/>
      <c r="V2073"/>
      <c r="W2073"/>
      <c r="X2073"/>
      <c r="Y2073"/>
      <c r="Z2073"/>
      <c r="AA2073"/>
    </row>
    <row r="2074" spans="1:27" s="1" customFormat="1" x14ac:dyDescent="0.3">
      <c r="A2074"/>
      <c r="B2074"/>
      <c r="C2074"/>
      <c r="D2074"/>
      <c r="E2074"/>
      <c r="F2074"/>
      <c r="G2074"/>
      <c r="H2074"/>
      <c r="I2074"/>
      <c r="J2074"/>
      <c r="K2074"/>
      <c r="L2074"/>
      <c r="M2074"/>
      <c r="N2074"/>
      <c r="O2074"/>
      <c r="P2074"/>
      <c r="Q2074"/>
      <c r="R2074"/>
      <c r="S2074"/>
      <c r="T2074"/>
      <c r="U2074"/>
      <c r="V2074"/>
      <c r="W2074"/>
      <c r="X2074"/>
      <c r="Y2074"/>
      <c r="Z2074"/>
      <c r="AA2074"/>
    </row>
    <row r="2075" spans="1:27" s="1" customFormat="1" x14ac:dyDescent="0.3">
      <c r="A2075"/>
      <c r="B2075"/>
      <c r="C2075"/>
      <c r="D2075"/>
      <c r="E2075"/>
      <c r="F2075"/>
      <c r="G2075"/>
      <c r="H2075"/>
      <c r="I2075"/>
      <c r="J2075"/>
      <c r="K2075"/>
      <c r="L2075"/>
      <c r="M2075"/>
      <c r="N2075"/>
      <c r="O2075"/>
      <c r="P2075"/>
      <c r="Q2075"/>
      <c r="R2075"/>
      <c r="S2075"/>
      <c r="T2075"/>
      <c r="U2075"/>
      <c r="V2075"/>
      <c r="W2075"/>
      <c r="X2075"/>
      <c r="Y2075"/>
      <c r="Z2075"/>
      <c r="AA2075"/>
    </row>
    <row r="2076" spans="1:27" s="1" customFormat="1" x14ac:dyDescent="0.3">
      <c r="A2076"/>
      <c r="B2076"/>
      <c r="C2076"/>
      <c r="D2076"/>
      <c r="E2076"/>
      <c r="F2076"/>
      <c r="G2076"/>
      <c r="H2076"/>
      <c r="I2076"/>
      <c r="J2076"/>
      <c r="K2076"/>
      <c r="L2076"/>
      <c r="M2076"/>
      <c r="N2076"/>
      <c r="O2076"/>
      <c r="P2076"/>
      <c r="Q2076"/>
      <c r="R2076"/>
      <c r="S2076"/>
      <c r="T2076"/>
      <c r="U2076"/>
      <c r="V2076"/>
      <c r="W2076"/>
      <c r="X2076"/>
      <c r="Y2076"/>
      <c r="Z2076"/>
      <c r="AA2076"/>
    </row>
    <row r="2077" spans="1:27" s="1" customFormat="1" x14ac:dyDescent="0.3">
      <c r="A2077"/>
      <c r="B2077"/>
      <c r="C2077"/>
      <c r="D2077"/>
      <c r="E2077"/>
      <c r="F2077"/>
      <c r="G2077"/>
      <c r="H2077"/>
      <c r="I2077"/>
      <c r="J2077"/>
      <c r="K2077"/>
      <c r="L2077"/>
      <c r="M2077"/>
      <c r="N2077"/>
      <c r="O2077"/>
      <c r="P2077"/>
      <c r="Q2077"/>
      <c r="R2077"/>
      <c r="S2077"/>
      <c r="T2077"/>
      <c r="U2077"/>
      <c r="V2077"/>
      <c r="W2077"/>
      <c r="X2077"/>
      <c r="Y2077"/>
      <c r="Z2077"/>
      <c r="AA2077"/>
    </row>
    <row r="2078" spans="1:27" s="1" customFormat="1" x14ac:dyDescent="0.3">
      <c r="A2078"/>
      <c r="B2078"/>
      <c r="C2078"/>
      <c r="D2078"/>
      <c r="E2078"/>
      <c r="F2078"/>
      <c r="G2078"/>
      <c r="H2078"/>
      <c r="I2078"/>
      <c r="J2078"/>
      <c r="K2078"/>
      <c r="L2078"/>
      <c r="M2078"/>
      <c r="N2078"/>
      <c r="O2078"/>
      <c r="P2078"/>
      <c r="Q2078"/>
      <c r="R2078"/>
      <c r="S2078"/>
      <c r="T2078"/>
      <c r="U2078"/>
      <c r="V2078"/>
      <c r="W2078"/>
      <c r="X2078"/>
      <c r="Y2078"/>
      <c r="Z2078"/>
      <c r="AA2078"/>
    </row>
    <row r="2079" spans="1:27" s="1" customFormat="1" x14ac:dyDescent="0.3">
      <c r="A2079"/>
      <c r="B2079"/>
      <c r="C2079"/>
      <c r="D2079"/>
      <c r="E2079"/>
      <c r="F2079"/>
      <c r="G2079"/>
      <c r="H2079"/>
      <c r="I2079"/>
      <c r="J2079"/>
      <c r="K2079"/>
      <c r="L2079"/>
      <c r="M2079"/>
      <c r="N2079"/>
      <c r="O2079"/>
      <c r="P2079"/>
      <c r="Q2079"/>
      <c r="R2079"/>
      <c r="S2079"/>
      <c r="T2079"/>
      <c r="U2079"/>
      <c r="V2079"/>
      <c r="W2079"/>
      <c r="X2079"/>
      <c r="Y2079"/>
      <c r="Z2079"/>
      <c r="AA2079"/>
    </row>
    <row r="2080" spans="1:27" s="1" customFormat="1" x14ac:dyDescent="0.3">
      <c r="A2080"/>
      <c r="B2080"/>
      <c r="C2080"/>
      <c r="D2080"/>
      <c r="E2080"/>
      <c r="F2080"/>
      <c r="G2080"/>
      <c r="H2080"/>
      <c r="I2080"/>
      <c r="J2080"/>
      <c r="K2080"/>
      <c r="L2080"/>
      <c r="M2080"/>
      <c r="N2080"/>
      <c r="O2080"/>
      <c r="P2080"/>
      <c r="Q2080"/>
      <c r="R2080"/>
      <c r="S2080"/>
      <c r="T2080"/>
      <c r="U2080"/>
      <c r="V2080"/>
      <c r="W2080"/>
      <c r="X2080"/>
      <c r="Y2080"/>
      <c r="Z2080"/>
      <c r="AA2080"/>
    </row>
    <row r="2081" spans="1:27" s="1" customFormat="1" x14ac:dyDescent="0.3">
      <c r="A2081"/>
      <c r="B2081"/>
      <c r="C2081"/>
      <c r="D2081"/>
      <c r="E2081"/>
      <c r="F2081"/>
      <c r="G2081"/>
      <c r="H2081"/>
      <c r="I2081"/>
      <c r="J2081"/>
      <c r="K2081"/>
      <c r="L2081"/>
      <c r="M2081"/>
      <c r="N2081"/>
      <c r="O2081"/>
      <c r="P2081"/>
      <c r="Q2081"/>
      <c r="R2081"/>
      <c r="S2081"/>
      <c r="T2081"/>
      <c r="U2081"/>
      <c r="V2081"/>
      <c r="W2081"/>
      <c r="X2081"/>
      <c r="Y2081"/>
      <c r="Z2081"/>
      <c r="AA2081"/>
    </row>
    <row r="2082" spans="1:27" s="1" customFormat="1" x14ac:dyDescent="0.3">
      <c r="A2082"/>
      <c r="B2082"/>
      <c r="C2082"/>
      <c r="D2082"/>
      <c r="E2082"/>
      <c r="F2082"/>
      <c r="G2082"/>
      <c r="H2082"/>
      <c r="I2082"/>
      <c r="J2082"/>
      <c r="K2082"/>
      <c r="L2082"/>
      <c r="M2082"/>
      <c r="N2082"/>
      <c r="O2082"/>
      <c r="P2082"/>
      <c r="Q2082"/>
      <c r="R2082"/>
      <c r="S2082"/>
      <c r="T2082"/>
      <c r="U2082"/>
      <c r="V2082"/>
      <c r="W2082"/>
      <c r="X2082"/>
      <c r="Y2082"/>
      <c r="Z2082"/>
      <c r="AA2082"/>
    </row>
    <row r="2083" spans="1:27" s="1" customFormat="1" x14ac:dyDescent="0.3">
      <c r="A2083"/>
      <c r="B2083"/>
      <c r="C2083"/>
      <c r="D2083"/>
      <c r="E2083"/>
      <c r="F2083"/>
      <c r="G2083"/>
      <c r="H2083"/>
      <c r="I2083"/>
      <c r="J2083"/>
      <c r="K2083"/>
      <c r="L2083"/>
      <c r="M2083"/>
      <c r="N2083"/>
      <c r="O2083"/>
      <c r="P2083"/>
      <c r="Q2083"/>
      <c r="R2083"/>
      <c r="S2083"/>
      <c r="T2083"/>
      <c r="U2083"/>
      <c r="V2083"/>
      <c r="W2083"/>
      <c r="X2083"/>
      <c r="Y2083"/>
      <c r="Z2083"/>
      <c r="AA2083"/>
    </row>
    <row r="2084" spans="1:27" s="1" customFormat="1" x14ac:dyDescent="0.3">
      <c r="A2084"/>
      <c r="B2084"/>
      <c r="C2084"/>
      <c r="D2084"/>
      <c r="E2084"/>
      <c r="F2084"/>
      <c r="G2084"/>
      <c r="H2084"/>
      <c r="I2084"/>
      <c r="J2084"/>
      <c r="K2084"/>
      <c r="L2084"/>
      <c r="M2084"/>
      <c r="N2084"/>
      <c r="O2084"/>
      <c r="P2084"/>
      <c r="Q2084"/>
      <c r="R2084"/>
      <c r="S2084"/>
      <c r="T2084"/>
      <c r="U2084"/>
      <c r="V2084"/>
      <c r="W2084"/>
      <c r="X2084"/>
      <c r="Y2084"/>
      <c r="Z2084"/>
      <c r="AA2084"/>
    </row>
    <row r="2085" spans="1:27" s="1" customFormat="1" x14ac:dyDescent="0.3">
      <c r="A2085"/>
      <c r="B2085"/>
      <c r="C2085"/>
      <c r="D2085"/>
      <c r="E2085"/>
      <c r="F2085"/>
      <c r="G2085"/>
      <c r="H2085"/>
      <c r="I2085"/>
      <c r="J2085"/>
      <c r="K2085"/>
      <c r="L2085"/>
      <c r="M2085"/>
      <c r="N2085"/>
      <c r="O2085"/>
      <c r="P2085"/>
      <c r="Q2085"/>
      <c r="R2085"/>
      <c r="S2085"/>
      <c r="T2085"/>
      <c r="U2085"/>
      <c r="V2085"/>
      <c r="W2085"/>
      <c r="X2085"/>
      <c r="Y2085"/>
      <c r="Z2085"/>
      <c r="AA2085"/>
    </row>
    <row r="2086" spans="1:27" s="1" customFormat="1" x14ac:dyDescent="0.3">
      <c r="A2086"/>
      <c r="B2086"/>
      <c r="C2086"/>
      <c r="D2086"/>
      <c r="E2086"/>
      <c r="F2086"/>
      <c r="G2086"/>
      <c r="H2086"/>
      <c r="I2086"/>
      <c r="J2086"/>
      <c r="K2086"/>
      <c r="L2086"/>
      <c r="M2086"/>
      <c r="N2086"/>
      <c r="O2086"/>
      <c r="P2086"/>
      <c r="Q2086"/>
      <c r="R2086"/>
      <c r="S2086"/>
      <c r="T2086"/>
      <c r="U2086"/>
      <c r="V2086"/>
      <c r="W2086"/>
      <c r="X2086"/>
      <c r="Y2086"/>
      <c r="Z2086"/>
      <c r="AA2086"/>
    </row>
    <row r="2087" spans="1:27" s="1" customFormat="1" x14ac:dyDescent="0.3">
      <c r="A2087"/>
      <c r="B2087"/>
      <c r="C2087"/>
      <c r="D2087"/>
      <c r="E2087"/>
      <c r="F2087"/>
      <c r="G2087"/>
      <c r="H2087"/>
      <c r="I2087"/>
      <c r="J2087"/>
      <c r="K2087"/>
      <c r="L2087"/>
      <c r="M2087"/>
      <c r="N2087"/>
      <c r="O2087"/>
      <c r="P2087"/>
      <c r="Q2087"/>
      <c r="R2087"/>
      <c r="S2087"/>
      <c r="T2087"/>
      <c r="U2087"/>
      <c r="V2087"/>
      <c r="W2087"/>
      <c r="X2087"/>
      <c r="Y2087"/>
      <c r="Z2087"/>
      <c r="AA2087"/>
    </row>
    <row r="2088" spans="1:27" s="1" customFormat="1" x14ac:dyDescent="0.3">
      <c r="A2088"/>
      <c r="B2088"/>
      <c r="C2088"/>
      <c r="D2088"/>
      <c r="E2088"/>
      <c r="F2088"/>
      <c r="G2088"/>
      <c r="H2088"/>
      <c r="I2088"/>
      <c r="J2088"/>
      <c r="K2088"/>
      <c r="L2088"/>
      <c r="M2088"/>
      <c r="N2088"/>
      <c r="O2088"/>
      <c r="P2088"/>
      <c r="Q2088"/>
      <c r="R2088"/>
      <c r="S2088"/>
      <c r="T2088"/>
      <c r="U2088"/>
      <c r="V2088"/>
      <c r="W2088"/>
      <c r="X2088"/>
      <c r="Y2088"/>
      <c r="Z2088"/>
      <c r="AA2088"/>
    </row>
    <row r="2089" spans="1:27" s="1" customFormat="1" x14ac:dyDescent="0.3">
      <c r="A2089"/>
      <c r="B2089"/>
      <c r="C2089"/>
      <c r="D2089"/>
      <c r="E2089"/>
      <c r="F2089"/>
      <c r="G2089"/>
      <c r="H2089"/>
      <c r="I2089"/>
      <c r="J2089"/>
      <c r="K2089"/>
      <c r="L2089"/>
      <c r="M2089"/>
      <c r="N2089"/>
      <c r="O2089"/>
      <c r="P2089"/>
      <c r="Q2089"/>
      <c r="R2089"/>
      <c r="S2089"/>
      <c r="T2089"/>
      <c r="U2089"/>
      <c r="V2089"/>
      <c r="W2089"/>
      <c r="X2089"/>
      <c r="Y2089"/>
      <c r="Z2089"/>
      <c r="AA2089"/>
    </row>
    <row r="2090" spans="1:27" s="1" customFormat="1" x14ac:dyDescent="0.3">
      <c r="A2090"/>
      <c r="B2090"/>
      <c r="C2090"/>
      <c r="D2090"/>
      <c r="E2090"/>
      <c r="F2090"/>
      <c r="G2090"/>
      <c r="H2090"/>
      <c r="I2090"/>
      <c r="J2090"/>
      <c r="K2090"/>
      <c r="L2090"/>
      <c r="M2090"/>
      <c r="N2090"/>
      <c r="O2090"/>
      <c r="P2090"/>
      <c r="Q2090"/>
      <c r="R2090"/>
      <c r="S2090"/>
      <c r="T2090"/>
      <c r="U2090"/>
      <c r="V2090"/>
      <c r="W2090"/>
      <c r="X2090"/>
      <c r="Y2090"/>
      <c r="Z2090"/>
      <c r="AA2090"/>
    </row>
    <row r="2091" spans="1:27" s="1" customFormat="1" x14ac:dyDescent="0.3">
      <c r="A2091"/>
      <c r="B2091"/>
      <c r="C2091"/>
      <c r="D2091"/>
      <c r="E2091"/>
      <c r="F2091"/>
      <c r="G2091"/>
      <c r="H2091"/>
      <c r="I2091"/>
      <c r="J2091"/>
      <c r="K2091"/>
      <c r="L2091"/>
      <c r="M2091"/>
      <c r="N2091"/>
      <c r="O2091"/>
      <c r="P2091"/>
      <c r="Q2091"/>
      <c r="R2091"/>
      <c r="S2091"/>
      <c r="T2091"/>
      <c r="U2091"/>
      <c r="V2091"/>
      <c r="W2091"/>
      <c r="X2091"/>
      <c r="Y2091"/>
      <c r="Z2091"/>
      <c r="AA2091"/>
    </row>
    <row r="2092" spans="1:27" s="1" customFormat="1" x14ac:dyDescent="0.3">
      <c r="A2092"/>
      <c r="B2092"/>
      <c r="C2092"/>
      <c r="D2092"/>
      <c r="E2092"/>
      <c r="F2092"/>
      <c r="G2092"/>
      <c r="H2092"/>
      <c r="I2092"/>
      <c r="J2092"/>
      <c r="K2092"/>
      <c r="L2092"/>
      <c r="M2092"/>
      <c r="N2092"/>
      <c r="O2092"/>
      <c r="P2092"/>
      <c r="Q2092"/>
      <c r="R2092"/>
      <c r="S2092"/>
      <c r="T2092"/>
      <c r="U2092"/>
      <c r="V2092"/>
      <c r="W2092"/>
      <c r="X2092"/>
      <c r="Y2092"/>
      <c r="Z2092"/>
      <c r="AA2092"/>
    </row>
    <row r="2093" spans="1:27" s="1" customFormat="1" x14ac:dyDescent="0.3">
      <c r="A2093"/>
      <c r="B2093"/>
      <c r="C2093"/>
      <c r="D2093"/>
      <c r="E2093"/>
      <c r="F2093"/>
      <c r="G2093"/>
      <c r="H2093"/>
      <c r="I2093"/>
      <c r="J2093"/>
      <c r="K2093"/>
      <c r="L2093"/>
      <c r="M2093"/>
      <c r="N2093"/>
      <c r="O2093"/>
      <c r="P2093"/>
      <c r="Q2093"/>
      <c r="R2093"/>
      <c r="S2093"/>
      <c r="T2093"/>
      <c r="U2093"/>
      <c r="V2093"/>
      <c r="W2093"/>
      <c r="X2093"/>
      <c r="Y2093"/>
      <c r="Z2093"/>
      <c r="AA2093"/>
    </row>
    <row r="2094" spans="1:27" s="1" customFormat="1" x14ac:dyDescent="0.3">
      <c r="A2094"/>
      <c r="B2094"/>
      <c r="C2094"/>
      <c r="D2094"/>
      <c r="E2094"/>
      <c r="F2094"/>
      <c r="G2094"/>
      <c r="H2094"/>
      <c r="I2094"/>
      <c r="J2094"/>
      <c r="K2094"/>
      <c r="L2094"/>
      <c r="M2094"/>
      <c r="N2094"/>
      <c r="O2094"/>
      <c r="P2094"/>
      <c r="Q2094"/>
      <c r="R2094"/>
      <c r="S2094"/>
      <c r="T2094"/>
      <c r="U2094"/>
      <c r="V2094"/>
      <c r="W2094"/>
      <c r="X2094"/>
      <c r="Y2094"/>
      <c r="Z2094"/>
      <c r="AA2094"/>
    </row>
    <row r="2095" spans="1:27" s="1" customFormat="1" x14ac:dyDescent="0.3">
      <c r="A2095"/>
      <c r="B2095"/>
      <c r="C2095"/>
      <c r="D2095"/>
      <c r="E2095"/>
      <c r="F2095"/>
      <c r="G2095"/>
      <c r="H2095"/>
      <c r="I2095"/>
      <c r="J2095"/>
      <c r="K2095"/>
      <c r="L2095"/>
      <c r="M2095"/>
      <c r="N2095"/>
      <c r="O2095"/>
      <c r="P2095"/>
      <c r="Q2095"/>
      <c r="R2095"/>
      <c r="S2095"/>
      <c r="T2095"/>
      <c r="U2095"/>
      <c r="V2095"/>
      <c r="W2095"/>
      <c r="X2095"/>
      <c r="Y2095"/>
      <c r="Z2095"/>
      <c r="AA2095"/>
    </row>
    <row r="2096" spans="1:27" s="1" customFormat="1" x14ac:dyDescent="0.3">
      <c r="A2096"/>
      <c r="B2096"/>
      <c r="C2096"/>
      <c r="D2096"/>
      <c r="E2096"/>
      <c r="F2096"/>
      <c r="G2096"/>
      <c r="H2096"/>
      <c r="I2096"/>
      <c r="J2096"/>
      <c r="K2096"/>
      <c r="L2096"/>
      <c r="M2096"/>
      <c r="N2096"/>
      <c r="O2096"/>
      <c r="P2096"/>
      <c r="Q2096"/>
      <c r="R2096"/>
      <c r="S2096"/>
      <c r="T2096"/>
      <c r="U2096"/>
      <c r="V2096"/>
      <c r="W2096"/>
      <c r="X2096"/>
      <c r="Y2096"/>
      <c r="Z2096"/>
      <c r="AA2096"/>
    </row>
    <row r="2097" spans="1:27" s="1" customFormat="1" x14ac:dyDescent="0.3">
      <c r="A2097"/>
      <c r="B2097"/>
      <c r="C2097"/>
      <c r="D2097"/>
      <c r="E2097"/>
      <c r="F2097"/>
      <c r="G2097"/>
      <c r="H2097"/>
      <c r="I2097"/>
      <c r="J2097"/>
      <c r="K2097"/>
      <c r="L2097"/>
      <c r="M2097"/>
      <c r="N2097"/>
      <c r="O2097"/>
      <c r="P2097"/>
      <c r="Q2097"/>
      <c r="R2097"/>
      <c r="S2097"/>
      <c r="T2097"/>
      <c r="U2097"/>
      <c r="V2097"/>
      <c r="W2097"/>
      <c r="X2097"/>
      <c r="Y2097"/>
      <c r="Z2097"/>
      <c r="AA2097"/>
    </row>
    <row r="2098" spans="1:27" s="1" customFormat="1" x14ac:dyDescent="0.3">
      <c r="A2098"/>
      <c r="B2098"/>
      <c r="C2098"/>
      <c r="D2098"/>
      <c r="E2098"/>
      <c r="F2098"/>
      <c r="G2098"/>
      <c r="H2098"/>
      <c r="I2098"/>
      <c r="J2098"/>
      <c r="K2098"/>
      <c r="L2098"/>
      <c r="M2098"/>
      <c r="N2098"/>
      <c r="O2098"/>
      <c r="P2098"/>
      <c r="Q2098"/>
      <c r="R2098"/>
      <c r="S2098"/>
      <c r="T2098"/>
      <c r="U2098"/>
      <c r="V2098"/>
      <c r="W2098"/>
      <c r="X2098"/>
      <c r="Y2098"/>
      <c r="Z2098"/>
      <c r="AA2098"/>
    </row>
    <row r="2099" spans="1:27" s="1" customFormat="1" x14ac:dyDescent="0.3">
      <c r="A2099"/>
      <c r="B2099"/>
      <c r="C2099"/>
      <c r="D2099"/>
      <c r="E2099"/>
      <c r="F2099"/>
      <c r="G2099"/>
      <c r="H2099"/>
      <c r="I2099"/>
      <c r="J2099"/>
      <c r="K2099"/>
      <c r="L2099"/>
      <c r="M2099"/>
      <c r="N2099"/>
      <c r="O2099"/>
      <c r="P2099"/>
      <c r="Q2099"/>
      <c r="R2099"/>
      <c r="S2099"/>
      <c r="T2099"/>
      <c r="U2099"/>
      <c r="V2099"/>
      <c r="W2099"/>
      <c r="X2099"/>
      <c r="Y2099"/>
      <c r="Z2099"/>
      <c r="AA2099"/>
    </row>
    <row r="2100" spans="1:27" s="1" customFormat="1" x14ac:dyDescent="0.3">
      <c r="A2100"/>
      <c r="B2100"/>
      <c r="C2100"/>
      <c r="D2100"/>
      <c r="E2100"/>
      <c r="F2100"/>
      <c r="G2100"/>
      <c r="H2100"/>
      <c r="I2100"/>
      <c r="J2100"/>
      <c r="K2100"/>
      <c r="L2100"/>
      <c r="M2100"/>
      <c r="N2100"/>
      <c r="O2100"/>
      <c r="P2100"/>
      <c r="Q2100"/>
      <c r="R2100"/>
      <c r="S2100"/>
      <c r="T2100"/>
      <c r="U2100"/>
      <c r="V2100"/>
      <c r="W2100"/>
      <c r="X2100"/>
      <c r="Y2100"/>
      <c r="Z2100"/>
      <c r="AA2100"/>
    </row>
    <row r="2101" spans="1:27" s="1" customFormat="1" x14ac:dyDescent="0.3">
      <c r="A2101"/>
      <c r="B2101"/>
      <c r="C2101"/>
      <c r="D2101"/>
      <c r="E2101"/>
      <c r="F2101"/>
      <c r="G2101"/>
      <c r="H2101"/>
      <c r="I2101"/>
      <c r="J2101"/>
      <c r="K2101"/>
      <c r="L2101"/>
      <c r="M2101"/>
      <c r="N2101"/>
      <c r="O2101"/>
      <c r="P2101"/>
      <c r="Q2101"/>
      <c r="R2101"/>
      <c r="S2101"/>
      <c r="T2101"/>
      <c r="U2101"/>
      <c r="V2101"/>
      <c r="W2101"/>
      <c r="X2101"/>
      <c r="Y2101"/>
      <c r="Z2101"/>
      <c r="AA2101"/>
    </row>
    <row r="2102" spans="1:27" s="1" customFormat="1" x14ac:dyDescent="0.3">
      <c r="A2102"/>
      <c r="B2102"/>
      <c r="C2102"/>
      <c r="D2102"/>
      <c r="E2102"/>
      <c r="F2102"/>
      <c r="G2102"/>
      <c r="H2102"/>
      <c r="I2102"/>
      <c r="J2102"/>
      <c r="K2102"/>
      <c r="L2102"/>
      <c r="M2102"/>
      <c r="N2102"/>
      <c r="O2102"/>
      <c r="P2102"/>
      <c r="Q2102"/>
      <c r="R2102"/>
      <c r="S2102"/>
      <c r="T2102"/>
      <c r="U2102"/>
      <c r="V2102"/>
      <c r="W2102"/>
      <c r="X2102"/>
      <c r="Y2102"/>
      <c r="Z2102"/>
      <c r="AA2102"/>
    </row>
    <row r="2103" spans="1:27" s="1" customFormat="1" x14ac:dyDescent="0.3">
      <c r="A2103"/>
      <c r="B2103"/>
      <c r="C2103"/>
      <c r="D2103"/>
      <c r="E2103"/>
      <c r="F2103"/>
      <c r="G2103"/>
      <c r="H2103"/>
      <c r="I2103"/>
      <c r="J2103"/>
      <c r="K2103"/>
      <c r="L2103"/>
      <c r="M2103"/>
      <c r="N2103"/>
      <c r="O2103"/>
      <c r="P2103"/>
      <c r="Q2103"/>
      <c r="R2103"/>
      <c r="S2103"/>
      <c r="T2103"/>
      <c r="U2103"/>
      <c r="V2103"/>
      <c r="W2103"/>
      <c r="X2103"/>
      <c r="Y2103"/>
      <c r="Z2103"/>
      <c r="AA2103"/>
    </row>
    <row r="2104" spans="1:27" s="1" customFormat="1" x14ac:dyDescent="0.3">
      <c r="A2104"/>
      <c r="B2104"/>
      <c r="C2104"/>
      <c r="D2104"/>
      <c r="E2104"/>
      <c r="F2104"/>
      <c r="G2104"/>
      <c r="H2104"/>
      <c r="I2104"/>
      <c r="J2104"/>
      <c r="K2104"/>
      <c r="L2104"/>
      <c r="M2104"/>
      <c r="N2104"/>
      <c r="O2104"/>
      <c r="P2104"/>
      <c r="Q2104"/>
      <c r="R2104"/>
      <c r="S2104"/>
      <c r="T2104"/>
      <c r="U2104"/>
      <c r="V2104"/>
      <c r="W2104"/>
      <c r="X2104"/>
      <c r="Y2104"/>
      <c r="Z2104"/>
      <c r="AA2104"/>
    </row>
    <row r="2105" spans="1:27" s="1" customFormat="1" x14ac:dyDescent="0.3">
      <c r="A2105"/>
      <c r="B2105"/>
      <c r="C2105"/>
      <c r="D2105"/>
      <c r="E2105"/>
      <c r="F2105"/>
      <c r="G2105"/>
      <c r="H2105"/>
      <c r="I2105"/>
      <c r="J2105"/>
      <c r="K2105"/>
      <c r="L2105"/>
      <c r="M2105"/>
      <c r="N2105"/>
      <c r="O2105"/>
      <c r="P2105"/>
      <c r="Q2105"/>
      <c r="R2105"/>
      <c r="S2105"/>
      <c r="T2105"/>
      <c r="U2105"/>
      <c r="V2105"/>
      <c r="W2105"/>
      <c r="X2105"/>
      <c r="Y2105"/>
      <c r="Z2105"/>
      <c r="AA2105"/>
    </row>
    <row r="2106" spans="1:27" s="1" customFormat="1" x14ac:dyDescent="0.3">
      <c r="A2106"/>
      <c r="B2106"/>
      <c r="C2106"/>
      <c r="D2106"/>
      <c r="E2106"/>
      <c r="F2106"/>
      <c r="G2106"/>
      <c r="H2106"/>
      <c r="I2106"/>
      <c r="J2106"/>
      <c r="K2106"/>
      <c r="L2106"/>
      <c r="M2106"/>
      <c r="N2106"/>
      <c r="O2106"/>
      <c r="P2106"/>
      <c r="Q2106"/>
      <c r="R2106"/>
      <c r="S2106"/>
      <c r="T2106"/>
      <c r="U2106"/>
      <c r="V2106"/>
      <c r="W2106"/>
      <c r="X2106"/>
      <c r="Y2106"/>
      <c r="Z2106"/>
      <c r="AA2106"/>
    </row>
    <row r="2107" spans="1:27" s="1" customFormat="1" x14ac:dyDescent="0.3">
      <c r="A2107"/>
      <c r="B2107"/>
      <c r="C2107"/>
      <c r="D2107"/>
      <c r="E2107"/>
      <c r="F2107"/>
      <c r="G2107"/>
      <c r="H2107"/>
      <c r="I2107"/>
      <c r="J2107"/>
      <c r="K2107"/>
      <c r="L2107"/>
      <c r="M2107"/>
      <c r="N2107"/>
      <c r="O2107"/>
      <c r="P2107"/>
      <c r="Q2107"/>
      <c r="R2107"/>
      <c r="S2107"/>
      <c r="T2107"/>
      <c r="U2107"/>
      <c r="V2107"/>
      <c r="W2107"/>
      <c r="X2107"/>
      <c r="Y2107"/>
      <c r="Z2107"/>
      <c r="AA2107"/>
    </row>
    <row r="2108" spans="1:27" s="1" customFormat="1" x14ac:dyDescent="0.3">
      <c r="A2108"/>
      <c r="B2108"/>
      <c r="C2108"/>
      <c r="D2108"/>
      <c r="E2108"/>
      <c r="F2108"/>
      <c r="G2108"/>
      <c r="H2108"/>
      <c r="I2108"/>
      <c r="J2108"/>
      <c r="K2108"/>
      <c r="L2108"/>
      <c r="M2108"/>
      <c r="N2108"/>
      <c r="O2108"/>
      <c r="P2108"/>
      <c r="Q2108"/>
      <c r="R2108"/>
      <c r="S2108"/>
      <c r="T2108"/>
      <c r="U2108"/>
      <c r="V2108"/>
      <c r="W2108"/>
      <c r="X2108"/>
      <c r="Y2108"/>
      <c r="Z2108"/>
      <c r="AA2108"/>
    </row>
    <row r="2109" spans="1:27" s="1" customFormat="1" x14ac:dyDescent="0.3">
      <c r="A2109"/>
      <c r="B2109"/>
      <c r="C2109"/>
      <c r="D2109"/>
      <c r="E2109"/>
      <c r="F2109"/>
      <c r="G2109"/>
      <c r="H2109"/>
      <c r="I2109"/>
      <c r="J2109"/>
      <c r="K2109"/>
      <c r="L2109"/>
      <c r="M2109"/>
      <c r="N2109"/>
      <c r="O2109"/>
      <c r="P2109"/>
      <c r="Q2109"/>
      <c r="R2109"/>
      <c r="S2109"/>
      <c r="T2109"/>
      <c r="U2109"/>
      <c r="V2109"/>
      <c r="W2109"/>
      <c r="X2109"/>
      <c r="Y2109"/>
      <c r="Z2109"/>
      <c r="AA2109"/>
    </row>
    <row r="2110" spans="1:27" s="1" customFormat="1" x14ac:dyDescent="0.3">
      <c r="A2110"/>
      <c r="B2110"/>
      <c r="C2110"/>
      <c r="D2110"/>
      <c r="E2110"/>
      <c r="F2110"/>
      <c r="G2110"/>
      <c r="H2110"/>
      <c r="I2110"/>
      <c r="J2110"/>
      <c r="K2110"/>
      <c r="L2110"/>
      <c r="M2110"/>
      <c r="N2110"/>
      <c r="O2110"/>
      <c r="P2110"/>
      <c r="Q2110"/>
      <c r="R2110"/>
      <c r="S2110"/>
      <c r="T2110"/>
      <c r="U2110"/>
      <c r="V2110"/>
      <c r="W2110"/>
      <c r="X2110"/>
      <c r="Y2110"/>
      <c r="Z2110"/>
      <c r="AA2110"/>
    </row>
    <row r="2111" spans="1:27" s="1" customFormat="1" x14ac:dyDescent="0.3">
      <c r="A2111"/>
      <c r="B2111"/>
      <c r="C2111"/>
      <c r="D2111"/>
      <c r="E2111"/>
      <c r="F2111"/>
      <c r="G2111"/>
      <c r="H2111"/>
      <c r="I2111"/>
      <c r="J2111"/>
      <c r="K2111"/>
      <c r="L2111"/>
      <c r="M2111"/>
      <c r="N2111"/>
      <c r="O2111"/>
      <c r="P2111"/>
      <c r="Q2111"/>
      <c r="R2111"/>
      <c r="S2111"/>
      <c r="T2111"/>
      <c r="U2111"/>
      <c r="V2111"/>
      <c r="W2111"/>
      <c r="X2111"/>
      <c r="Y2111"/>
      <c r="Z2111"/>
      <c r="AA2111"/>
    </row>
    <row r="2112" spans="1:27" s="1" customFormat="1" x14ac:dyDescent="0.3">
      <c r="A2112"/>
      <c r="B2112"/>
      <c r="C2112"/>
      <c r="D2112"/>
      <c r="E2112"/>
      <c r="F2112"/>
      <c r="G2112"/>
      <c r="H2112"/>
      <c r="I2112"/>
      <c r="J2112"/>
      <c r="K2112"/>
      <c r="L2112"/>
      <c r="M2112"/>
      <c r="N2112"/>
      <c r="O2112"/>
      <c r="P2112"/>
      <c r="Q2112"/>
      <c r="R2112"/>
      <c r="S2112"/>
      <c r="T2112"/>
      <c r="U2112"/>
      <c r="V2112"/>
      <c r="W2112"/>
      <c r="X2112"/>
      <c r="Y2112"/>
      <c r="Z2112"/>
      <c r="AA2112"/>
    </row>
    <row r="2113" spans="1:27" s="1" customFormat="1" x14ac:dyDescent="0.3">
      <c r="A2113"/>
      <c r="B2113"/>
      <c r="C2113"/>
      <c r="D2113"/>
      <c r="E2113"/>
      <c r="F2113"/>
      <c r="G2113"/>
      <c r="H2113"/>
      <c r="I2113"/>
      <c r="J2113"/>
      <c r="K2113"/>
      <c r="L2113"/>
      <c r="M2113"/>
      <c r="N2113"/>
      <c r="O2113"/>
      <c r="P2113"/>
      <c r="Q2113"/>
      <c r="R2113"/>
      <c r="S2113"/>
      <c r="T2113"/>
      <c r="U2113"/>
      <c r="V2113"/>
      <c r="W2113"/>
      <c r="X2113"/>
      <c r="Y2113"/>
      <c r="Z2113"/>
      <c r="AA2113"/>
    </row>
    <row r="2114" spans="1:27" s="1" customFormat="1" x14ac:dyDescent="0.3">
      <c r="A2114"/>
      <c r="B2114"/>
      <c r="C2114"/>
      <c r="D2114"/>
      <c r="E2114"/>
      <c r="F2114"/>
      <c r="G2114"/>
      <c r="H2114"/>
      <c r="I2114"/>
      <c r="J2114"/>
      <c r="K2114"/>
      <c r="L2114"/>
      <c r="M2114"/>
      <c r="N2114"/>
      <c r="O2114"/>
      <c r="P2114"/>
      <c r="Q2114"/>
      <c r="R2114"/>
      <c r="S2114"/>
      <c r="T2114"/>
      <c r="U2114"/>
      <c r="V2114"/>
      <c r="W2114"/>
      <c r="X2114"/>
      <c r="Y2114"/>
      <c r="Z2114"/>
      <c r="AA2114"/>
    </row>
    <row r="2115" spans="1:27" s="1" customFormat="1" x14ac:dyDescent="0.3">
      <c r="A2115"/>
      <c r="B2115"/>
      <c r="C2115"/>
      <c r="D2115"/>
      <c r="E2115"/>
      <c r="F2115"/>
      <c r="G2115"/>
      <c r="H2115"/>
      <c r="I2115"/>
      <c r="J2115"/>
      <c r="K2115"/>
      <c r="L2115"/>
      <c r="M2115"/>
      <c r="N2115"/>
      <c r="O2115"/>
      <c r="P2115"/>
      <c r="Q2115"/>
      <c r="R2115"/>
      <c r="S2115"/>
      <c r="T2115"/>
      <c r="U2115"/>
      <c r="V2115"/>
      <c r="W2115"/>
      <c r="X2115"/>
      <c r="Y2115"/>
      <c r="Z2115"/>
      <c r="AA2115"/>
    </row>
    <row r="2116" spans="1:27" s="1" customFormat="1" x14ac:dyDescent="0.3">
      <c r="A2116"/>
      <c r="B2116"/>
      <c r="C2116"/>
      <c r="D2116"/>
      <c r="E2116"/>
      <c r="F2116"/>
      <c r="G2116"/>
      <c r="H2116"/>
      <c r="I2116"/>
      <c r="J2116"/>
      <c r="K2116"/>
      <c r="L2116"/>
      <c r="M2116"/>
      <c r="N2116"/>
      <c r="O2116"/>
      <c r="P2116"/>
      <c r="Q2116"/>
      <c r="R2116"/>
      <c r="S2116"/>
      <c r="T2116"/>
      <c r="U2116"/>
      <c r="V2116"/>
      <c r="W2116"/>
      <c r="X2116"/>
      <c r="Y2116"/>
      <c r="Z2116"/>
      <c r="AA2116"/>
    </row>
    <row r="2117" spans="1:27" s="1" customFormat="1" x14ac:dyDescent="0.3">
      <c r="A2117"/>
      <c r="B2117"/>
      <c r="C2117"/>
      <c r="D2117"/>
      <c r="E2117"/>
      <c r="F2117"/>
      <c r="G2117"/>
      <c r="H2117"/>
      <c r="I2117"/>
      <c r="J2117"/>
      <c r="K2117"/>
      <c r="L2117"/>
      <c r="M2117"/>
      <c r="N2117"/>
      <c r="O2117"/>
      <c r="P2117"/>
      <c r="Q2117"/>
      <c r="R2117"/>
      <c r="S2117"/>
      <c r="T2117"/>
      <c r="U2117"/>
      <c r="V2117"/>
      <c r="W2117"/>
      <c r="X2117"/>
      <c r="Y2117"/>
      <c r="Z2117"/>
      <c r="AA2117"/>
    </row>
    <row r="2118" spans="1:27" s="1" customFormat="1" x14ac:dyDescent="0.3">
      <c r="A2118"/>
      <c r="B2118"/>
      <c r="C2118"/>
      <c r="D2118"/>
      <c r="E2118"/>
      <c r="F2118"/>
      <c r="G2118"/>
      <c r="H2118"/>
      <c r="I2118"/>
      <c r="J2118"/>
      <c r="K2118"/>
      <c r="L2118"/>
      <c r="M2118"/>
      <c r="N2118"/>
      <c r="O2118"/>
      <c r="P2118"/>
      <c r="Q2118"/>
      <c r="R2118"/>
      <c r="S2118"/>
      <c r="T2118"/>
      <c r="U2118"/>
      <c r="V2118"/>
      <c r="W2118"/>
      <c r="X2118"/>
      <c r="Y2118"/>
      <c r="Z2118"/>
      <c r="AA2118"/>
    </row>
    <row r="2119" spans="1:27" s="1" customFormat="1" x14ac:dyDescent="0.3">
      <c r="A2119"/>
      <c r="B2119"/>
      <c r="C2119"/>
      <c r="D2119"/>
      <c r="E2119"/>
      <c r="F2119"/>
      <c r="G2119"/>
      <c r="H2119"/>
      <c r="I2119"/>
      <c r="J2119"/>
      <c r="K2119"/>
      <c r="L2119"/>
      <c r="M2119"/>
      <c r="N2119"/>
      <c r="O2119"/>
      <c r="P2119"/>
      <c r="Q2119"/>
      <c r="R2119"/>
      <c r="S2119"/>
      <c r="T2119"/>
      <c r="U2119"/>
      <c r="V2119"/>
      <c r="W2119"/>
      <c r="X2119"/>
      <c r="Y2119"/>
      <c r="Z2119"/>
      <c r="AA2119"/>
    </row>
    <row r="2120" spans="1:27" s="1" customFormat="1" x14ac:dyDescent="0.3">
      <c r="A2120"/>
      <c r="B2120"/>
      <c r="C2120"/>
      <c r="D2120"/>
      <c r="E2120"/>
      <c r="F2120"/>
      <c r="G2120"/>
      <c r="H2120"/>
      <c r="I2120"/>
      <c r="J2120"/>
      <c r="K2120"/>
      <c r="L2120"/>
      <c r="M2120"/>
      <c r="N2120"/>
      <c r="O2120"/>
      <c r="P2120"/>
      <c r="Q2120"/>
      <c r="R2120"/>
      <c r="S2120"/>
      <c r="T2120"/>
      <c r="U2120"/>
      <c r="V2120"/>
      <c r="W2120"/>
      <c r="X2120"/>
      <c r="Y2120"/>
      <c r="Z2120"/>
      <c r="AA2120"/>
    </row>
    <row r="2121" spans="1:27" s="1" customFormat="1" x14ac:dyDescent="0.3">
      <c r="A2121"/>
      <c r="B2121"/>
      <c r="C2121"/>
      <c r="D2121"/>
      <c r="E2121"/>
      <c r="F2121"/>
      <c r="G2121"/>
      <c r="H2121"/>
      <c r="I2121"/>
      <c r="J2121"/>
      <c r="K2121"/>
      <c r="L2121"/>
      <c r="M2121"/>
      <c r="N2121"/>
      <c r="O2121"/>
      <c r="P2121"/>
      <c r="Q2121"/>
      <c r="R2121"/>
      <c r="S2121"/>
      <c r="T2121"/>
      <c r="U2121"/>
      <c r="V2121"/>
      <c r="W2121"/>
      <c r="X2121"/>
      <c r="Y2121"/>
      <c r="Z2121"/>
      <c r="AA2121"/>
    </row>
    <row r="2122" spans="1:27" s="1" customFormat="1" x14ac:dyDescent="0.3">
      <c r="A2122"/>
      <c r="B2122"/>
      <c r="C2122"/>
      <c r="D2122"/>
      <c r="E2122"/>
      <c r="F2122"/>
      <c r="G2122"/>
      <c r="H2122"/>
      <c r="I2122"/>
      <c r="J2122"/>
      <c r="K2122"/>
      <c r="L2122"/>
      <c r="M2122"/>
      <c r="N2122"/>
      <c r="O2122"/>
      <c r="P2122"/>
      <c r="Q2122"/>
      <c r="R2122"/>
      <c r="S2122"/>
      <c r="T2122"/>
      <c r="U2122"/>
      <c r="V2122"/>
      <c r="W2122"/>
      <c r="X2122"/>
      <c r="Y2122"/>
      <c r="Z2122"/>
      <c r="AA2122"/>
    </row>
    <row r="2123" spans="1:27" s="1" customFormat="1" x14ac:dyDescent="0.3">
      <c r="A2123"/>
      <c r="B2123"/>
      <c r="C2123"/>
      <c r="D2123"/>
      <c r="E2123"/>
      <c r="F2123"/>
      <c r="G2123"/>
      <c r="H2123"/>
      <c r="I2123"/>
      <c r="J2123"/>
      <c r="K2123"/>
      <c r="L2123"/>
      <c r="M2123"/>
      <c r="N2123"/>
      <c r="O2123"/>
      <c r="P2123"/>
      <c r="Q2123"/>
      <c r="R2123"/>
      <c r="S2123"/>
      <c r="T2123"/>
      <c r="U2123"/>
      <c r="V2123"/>
      <c r="W2123"/>
      <c r="X2123"/>
      <c r="Y2123"/>
      <c r="Z2123"/>
      <c r="AA2123"/>
    </row>
    <row r="2124" spans="1:27" s="1" customFormat="1" x14ac:dyDescent="0.3">
      <c r="A2124"/>
      <c r="B2124"/>
      <c r="C2124"/>
      <c r="D2124"/>
      <c r="E2124"/>
      <c r="F2124"/>
      <c r="G2124"/>
      <c r="H2124"/>
      <c r="I2124"/>
      <c r="J2124"/>
      <c r="K2124"/>
      <c r="L2124"/>
      <c r="M2124"/>
      <c r="N2124"/>
      <c r="O2124"/>
      <c r="P2124"/>
      <c r="Q2124"/>
      <c r="R2124"/>
      <c r="S2124"/>
      <c r="T2124"/>
      <c r="U2124"/>
      <c r="V2124"/>
      <c r="W2124"/>
      <c r="X2124"/>
      <c r="Y2124"/>
      <c r="Z2124"/>
      <c r="AA2124"/>
    </row>
    <row r="2125" spans="1:27" s="1" customFormat="1" x14ac:dyDescent="0.3">
      <c r="A2125"/>
      <c r="B2125"/>
      <c r="C2125"/>
      <c r="D2125"/>
      <c r="E2125"/>
      <c r="F2125"/>
      <c r="G2125"/>
      <c r="H2125"/>
      <c r="I2125"/>
      <c r="J2125"/>
      <c r="K2125"/>
      <c r="L2125"/>
      <c r="M2125"/>
      <c r="N2125"/>
      <c r="O2125"/>
      <c r="P2125"/>
      <c r="Q2125"/>
      <c r="R2125"/>
      <c r="S2125"/>
      <c r="T2125"/>
      <c r="U2125"/>
      <c r="V2125"/>
      <c r="W2125"/>
      <c r="X2125"/>
      <c r="Y2125"/>
      <c r="Z2125"/>
      <c r="AA2125"/>
    </row>
    <row r="2126" spans="1:27" s="1" customFormat="1" x14ac:dyDescent="0.3">
      <c r="A2126"/>
      <c r="B2126"/>
      <c r="C2126"/>
      <c r="D2126"/>
      <c r="E2126"/>
      <c r="F2126"/>
      <c r="G2126"/>
      <c r="H2126"/>
      <c r="I2126"/>
      <c r="J2126"/>
      <c r="K2126"/>
      <c r="L2126"/>
      <c r="M2126"/>
      <c r="N2126"/>
      <c r="O2126"/>
      <c r="P2126"/>
      <c r="Q2126"/>
      <c r="R2126"/>
      <c r="S2126"/>
      <c r="T2126"/>
      <c r="U2126"/>
      <c r="V2126"/>
      <c r="W2126"/>
      <c r="X2126"/>
      <c r="Y2126"/>
      <c r="Z2126"/>
      <c r="AA2126"/>
    </row>
    <row r="2127" spans="1:27" s="1" customFormat="1" x14ac:dyDescent="0.3">
      <c r="A2127"/>
      <c r="B2127"/>
      <c r="C2127"/>
      <c r="D2127"/>
      <c r="E2127"/>
      <c r="F2127"/>
      <c r="G2127"/>
      <c r="H2127"/>
      <c r="I2127"/>
      <c r="J2127"/>
      <c r="K2127"/>
      <c r="L2127"/>
      <c r="M2127"/>
      <c r="N2127"/>
      <c r="O2127"/>
      <c r="P2127"/>
      <c r="Q2127"/>
      <c r="R2127"/>
      <c r="S2127"/>
      <c r="T2127"/>
      <c r="U2127"/>
      <c r="V2127"/>
      <c r="W2127"/>
      <c r="X2127"/>
      <c r="Y2127"/>
      <c r="Z2127"/>
      <c r="AA2127"/>
    </row>
    <row r="2128" spans="1:27" s="1" customFormat="1" x14ac:dyDescent="0.3">
      <c r="A2128"/>
      <c r="B2128"/>
      <c r="C2128"/>
      <c r="D2128"/>
      <c r="E2128"/>
      <c r="F2128"/>
      <c r="G2128"/>
      <c r="H2128"/>
      <c r="I2128"/>
      <c r="J2128"/>
      <c r="K2128"/>
      <c r="L2128"/>
      <c r="M2128"/>
      <c r="N2128"/>
      <c r="O2128"/>
      <c r="P2128"/>
      <c r="Q2128"/>
      <c r="R2128"/>
      <c r="S2128"/>
      <c r="T2128"/>
      <c r="U2128"/>
      <c r="V2128"/>
      <c r="W2128"/>
      <c r="X2128"/>
      <c r="Y2128"/>
      <c r="Z2128"/>
      <c r="AA2128"/>
    </row>
    <row r="2129" spans="1:27" s="1" customFormat="1" x14ac:dyDescent="0.3">
      <c r="A2129"/>
      <c r="B2129"/>
      <c r="C2129"/>
      <c r="D2129"/>
      <c r="E2129"/>
      <c r="F2129"/>
      <c r="G2129"/>
      <c r="H2129"/>
      <c r="I2129"/>
      <c r="J2129"/>
      <c r="K2129"/>
      <c r="L2129"/>
      <c r="M2129"/>
      <c r="N2129"/>
      <c r="O2129"/>
      <c r="P2129"/>
      <c r="Q2129"/>
      <c r="R2129"/>
      <c r="S2129"/>
      <c r="T2129"/>
      <c r="U2129"/>
      <c r="V2129"/>
      <c r="W2129"/>
      <c r="X2129"/>
      <c r="Y2129"/>
      <c r="Z2129"/>
      <c r="AA2129"/>
    </row>
    <row r="2130" spans="1:27" s="1" customFormat="1" x14ac:dyDescent="0.3">
      <c r="A2130"/>
      <c r="B2130"/>
      <c r="C2130"/>
      <c r="D2130"/>
      <c r="E2130"/>
      <c r="F2130"/>
      <c r="G2130"/>
      <c r="H2130"/>
      <c r="I2130"/>
      <c r="J2130"/>
      <c r="K2130"/>
      <c r="L2130"/>
      <c r="M2130"/>
      <c r="N2130"/>
      <c r="O2130"/>
      <c r="P2130"/>
      <c r="Q2130"/>
      <c r="R2130"/>
      <c r="S2130"/>
      <c r="T2130"/>
      <c r="U2130"/>
      <c r="V2130"/>
      <c r="W2130"/>
      <c r="X2130"/>
      <c r="Y2130"/>
      <c r="Z2130"/>
      <c r="AA2130"/>
    </row>
    <row r="2131" spans="1:27" s="1" customFormat="1" x14ac:dyDescent="0.3">
      <c r="A2131"/>
      <c r="B2131"/>
      <c r="C2131"/>
      <c r="D2131"/>
      <c r="E2131"/>
      <c r="F2131"/>
      <c r="G2131"/>
      <c r="H2131"/>
      <c r="I2131"/>
      <c r="J2131"/>
      <c r="K2131"/>
      <c r="L2131"/>
      <c r="M2131"/>
      <c r="N2131"/>
      <c r="O2131"/>
      <c r="P2131"/>
      <c r="Q2131"/>
      <c r="R2131"/>
      <c r="S2131"/>
      <c r="T2131"/>
      <c r="U2131"/>
      <c r="V2131"/>
      <c r="W2131"/>
      <c r="X2131"/>
      <c r="Y2131"/>
      <c r="Z2131"/>
      <c r="AA2131"/>
    </row>
    <row r="2132" spans="1:27" s="1" customFormat="1" x14ac:dyDescent="0.3">
      <c r="A2132"/>
      <c r="B2132"/>
      <c r="C2132"/>
      <c r="D2132"/>
      <c r="E2132"/>
      <c r="F2132"/>
      <c r="G2132"/>
      <c r="H2132"/>
      <c r="I2132"/>
      <c r="J2132"/>
      <c r="K2132"/>
      <c r="L2132"/>
      <c r="M2132"/>
      <c r="N2132"/>
      <c r="O2132"/>
      <c r="P2132"/>
      <c r="Q2132"/>
      <c r="R2132"/>
      <c r="S2132"/>
      <c r="T2132"/>
      <c r="U2132"/>
      <c r="V2132"/>
      <c r="W2132"/>
      <c r="X2132"/>
      <c r="Y2132"/>
      <c r="Z2132"/>
      <c r="AA2132"/>
    </row>
    <row r="2133" spans="1:27" s="1" customFormat="1" x14ac:dyDescent="0.3">
      <c r="A2133"/>
      <c r="B2133"/>
      <c r="C2133"/>
      <c r="D2133"/>
      <c r="E2133"/>
      <c r="F2133"/>
      <c r="G2133"/>
      <c r="H2133"/>
      <c r="I2133"/>
      <c r="J2133"/>
      <c r="K2133"/>
      <c r="L2133"/>
      <c r="M2133"/>
      <c r="N2133"/>
      <c r="O2133"/>
      <c r="P2133"/>
      <c r="Q2133"/>
      <c r="R2133"/>
      <c r="S2133"/>
      <c r="T2133"/>
      <c r="U2133"/>
      <c r="V2133"/>
      <c r="W2133"/>
      <c r="X2133"/>
      <c r="Y2133"/>
      <c r="Z2133"/>
      <c r="AA2133"/>
    </row>
    <row r="2134" spans="1:27" s="1" customFormat="1" x14ac:dyDescent="0.3">
      <c r="A2134"/>
      <c r="B2134"/>
      <c r="C2134"/>
      <c r="D2134"/>
      <c r="E2134"/>
      <c r="F2134"/>
      <c r="G2134"/>
      <c r="H2134"/>
      <c r="I2134"/>
      <c r="J2134"/>
      <c r="K2134"/>
      <c r="L2134"/>
      <c r="M2134"/>
      <c r="N2134"/>
      <c r="O2134"/>
      <c r="P2134"/>
      <c r="Q2134"/>
      <c r="R2134"/>
      <c r="S2134"/>
      <c r="T2134"/>
      <c r="U2134"/>
      <c r="V2134"/>
      <c r="W2134"/>
      <c r="X2134"/>
      <c r="Y2134"/>
      <c r="Z2134"/>
      <c r="AA2134"/>
    </row>
    <row r="2135" spans="1:27" s="1" customFormat="1" x14ac:dyDescent="0.3">
      <c r="A2135"/>
      <c r="B2135"/>
      <c r="C2135"/>
      <c r="D2135"/>
      <c r="E2135"/>
      <c r="F2135"/>
      <c r="G2135"/>
      <c r="H2135"/>
      <c r="I2135"/>
      <c r="J2135"/>
      <c r="K2135"/>
      <c r="L2135"/>
      <c r="M2135"/>
      <c r="N2135"/>
      <c r="O2135"/>
      <c r="P2135"/>
      <c r="Q2135"/>
      <c r="R2135"/>
      <c r="S2135"/>
      <c r="T2135"/>
      <c r="U2135"/>
      <c r="V2135"/>
      <c r="W2135"/>
      <c r="X2135"/>
      <c r="Y2135"/>
      <c r="Z2135"/>
      <c r="AA2135"/>
    </row>
    <row r="2136" spans="1:27" s="1" customFormat="1" x14ac:dyDescent="0.3">
      <c r="A2136"/>
      <c r="B2136"/>
      <c r="C2136"/>
      <c r="D2136"/>
      <c r="E2136"/>
      <c r="F2136"/>
      <c r="G2136"/>
      <c r="H2136"/>
      <c r="I2136"/>
      <c r="J2136"/>
      <c r="K2136"/>
      <c r="L2136"/>
      <c r="M2136"/>
      <c r="N2136"/>
      <c r="O2136"/>
      <c r="P2136"/>
      <c r="Q2136"/>
      <c r="R2136"/>
      <c r="S2136"/>
      <c r="T2136"/>
      <c r="U2136"/>
      <c r="V2136"/>
      <c r="W2136"/>
      <c r="X2136"/>
      <c r="Y2136"/>
      <c r="Z2136"/>
      <c r="AA2136"/>
    </row>
    <row r="2137" spans="1:27" s="1" customFormat="1" x14ac:dyDescent="0.3">
      <c r="A2137"/>
      <c r="B2137"/>
      <c r="C2137"/>
      <c r="D2137"/>
      <c r="E2137"/>
      <c r="F2137"/>
      <c r="G2137"/>
      <c r="H2137"/>
      <c r="I2137"/>
      <c r="J2137"/>
      <c r="K2137"/>
      <c r="L2137"/>
      <c r="M2137"/>
      <c r="N2137"/>
      <c r="O2137"/>
      <c r="P2137"/>
      <c r="Q2137"/>
      <c r="R2137"/>
      <c r="S2137"/>
      <c r="T2137"/>
      <c r="U2137"/>
      <c r="V2137"/>
      <c r="W2137"/>
      <c r="X2137"/>
      <c r="Y2137"/>
      <c r="Z2137"/>
      <c r="AA2137"/>
    </row>
    <row r="2138" spans="1:27" s="1" customFormat="1" x14ac:dyDescent="0.3">
      <c r="A2138"/>
      <c r="B2138"/>
      <c r="C2138"/>
      <c r="D2138"/>
      <c r="E2138"/>
      <c r="F2138"/>
      <c r="G2138"/>
      <c r="H2138"/>
      <c r="I2138"/>
      <c r="J2138"/>
      <c r="K2138"/>
      <c r="L2138"/>
      <c r="M2138"/>
      <c r="N2138"/>
      <c r="O2138"/>
      <c r="P2138"/>
      <c r="Q2138"/>
      <c r="R2138"/>
      <c r="S2138"/>
      <c r="T2138"/>
      <c r="U2138"/>
      <c r="V2138"/>
      <c r="W2138"/>
      <c r="X2138"/>
      <c r="Y2138"/>
      <c r="Z2138"/>
      <c r="AA2138"/>
    </row>
    <row r="2139" spans="1:27" s="1" customFormat="1" x14ac:dyDescent="0.3">
      <c r="A2139"/>
      <c r="B2139"/>
      <c r="C2139"/>
      <c r="D2139"/>
      <c r="E2139"/>
      <c r="F2139"/>
      <c r="G2139"/>
      <c r="H2139"/>
      <c r="I2139"/>
      <c r="J2139"/>
      <c r="K2139"/>
      <c r="L2139"/>
      <c r="M2139"/>
      <c r="N2139"/>
      <c r="O2139"/>
      <c r="P2139"/>
      <c r="Q2139"/>
      <c r="R2139"/>
      <c r="S2139"/>
      <c r="T2139"/>
      <c r="U2139"/>
      <c r="V2139"/>
      <c r="W2139"/>
      <c r="X2139"/>
      <c r="Y2139"/>
      <c r="Z2139"/>
      <c r="AA2139"/>
    </row>
    <row r="2140" spans="1:27" s="1" customFormat="1" x14ac:dyDescent="0.3">
      <c r="A2140"/>
      <c r="B2140"/>
      <c r="C2140"/>
      <c r="D2140"/>
      <c r="E2140"/>
      <c r="F2140"/>
      <c r="G2140"/>
      <c r="H2140"/>
      <c r="I2140"/>
      <c r="J2140"/>
      <c r="K2140"/>
      <c r="L2140"/>
      <c r="M2140"/>
      <c r="N2140"/>
      <c r="O2140"/>
      <c r="P2140"/>
      <c r="Q2140"/>
      <c r="R2140"/>
      <c r="S2140"/>
      <c r="T2140"/>
      <c r="U2140"/>
      <c r="V2140"/>
      <c r="W2140"/>
      <c r="X2140"/>
      <c r="Y2140"/>
      <c r="Z2140"/>
      <c r="AA2140"/>
    </row>
    <row r="2141" spans="1:27" s="1" customFormat="1" x14ac:dyDescent="0.3">
      <c r="A2141"/>
      <c r="B2141"/>
      <c r="C2141"/>
      <c r="D2141"/>
      <c r="E2141"/>
      <c r="F2141"/>
      <c r="G2141"/>
      <c r="H2141"/>
      <c r="I2141"/>
      <c r="J2141"/>
      <c r="K2141"/>
      <c r="L2141"/>
      <c r="M2141"/>
      <c r="N2141"/>
      <c r="O2141"/>
      <c r="P2141"/>
      <c r="Q2141"/>
      <c r="R2141"/>
      <c r="S2141"/>
      <c r="T2141"/>
      <c r="U2141"/>
      <c r="V2141"/>
      <c r="W2141"/>
      <c r="X2141"/>
      <c r="Y2141"/>
      <c r="Z2141"/>
      <c r="AA2141"/>
    </row>
    <row r="2142" spans="1:27" s="1" customFormat="1" x14ac:dyDescent="0.3">
      <c r="A2142"/>
      <c r="B2142"/>
      <c r="C2142"/>
      <c r="D2142"/>
      <c r="E2142"/>
      <c r="F2142"/>
      <c r="G2142"/>
      <c r="H2142"/>
      <c r="I2142"/>
      <c r="J2142"/>
      <c r="K2142"/>
      <c r="L2142"/>
      <c r="M2142"/>
      <c r="N2142"/>
      <c r="O2142"/>
      <c r="P2142"/>
      <c r="Q2142"/>
      <c r="R2142"/>
      <c r="S2142"/>
      <c r="T2142"/>
      <c r="U2142"/>
      <c r="V2142"/>
      <c r="W2142"/>
      <c r="X2142"/>
      <c r="Y2142"/>
      <c r="Z2142"/>
      <c r="AA2142"/>
    </row>
    <row r="2143" spans="1:27" s="1" customFormat="1" x14ac:dyDescent="0.3">
      <c r="A2143"/>
      <c r="B2143"/>
      <c r="C2143"/>
      <c r="D2143"/>
      <c r="E2143"/>
      <c r="F2143"/>
      <c r="G2143"/>
      <c r="H2143"/>
      <c r="I2143"/>
      <c r="J2143"/>
      <c r="K2143"/>
      <c r="L2143"/>
      <c r="M2143"/>
      <c r="N2143"/>
      <c r="O2143"/>
      <c r="P2143"/>
      <c r="Q2143"/>
      <c r="R2143"/>
      <c r="S2143"/>
      <c r="T2143"/>
      <c r="U2143"/>
      <c r="V2143"/>
      <c r="W2143"/>
      <c r="X2143"/>
      <c r="Y2143"/>
      <c r="Z2143"/>
      <c r="AA2143"/>
    </row>
    <row r="2144" spans="1:27" s="1" customFormat="1" x14ac:dyDescent="0.3">
      <c r="A2144"/>
      <c r="B2144"/>
      <c r="C2144"/>
      <c r="D2144"/>
      <c r="E2144"/>
      <c r="F2144"/>
      <c r="G2144"/>
      <c r="H2144"/>
      <c r="I2144"/>
      <c r="J2144"/>
      <c r="K2144"/>
      <c r="L2144"/>
      <c r="M2144"/>
      <c r="N2144"/>
      <c r="O2144"/>
      <c r="P2144"/>
      <c r="Q2144"/>
      <c r="R2144"/>
      <c r="S2144"/>
      <c r="T2144"/>
      <c r="U2144"/>
      <c r="V2144"/>
      <c r="W2144"/>
      <c r="X2144"/>
      <c r="Y2144"/>
      <c r="Z2144"/>
      <c r="AA2144"/>
    </row>
    <row r="2145" spans="1:27" s="1" customFormat="1" x14ac:dyDescent="0.3">
      <c r="A2145"/>
      <c r="B2145"/>
      <c r="C2145"/>
      <c r="D2145"/>
      <c r="E2145"/>
      <c r="F2145"/>
      <c r="G2145"/>
      <c r="H2145"/>
      <c r="I2145"/>
      <c r="J2145"/>
      <c r="K2145"/>
      <c r="L2145"/>
      <c r="M2145"/>
      <c r="N2145"/>
      <c r="O2145"/>
      <c r="P2145"/>
      <c r="Q2145"/>
      <c r="R2145"/>
      <c r="S2145"/>
      <c r="T2145"/>
      <c r="U2145"/>
      <c r="V2145"/>
      <c r="W2145"/>
      <c r="X2145"/>
      <c r="Y2145"/>
      <c r="Z2145"/>
      <c r="AA2145"/>
    </row>
    <row r="2146" spans="1:27" s="1" customFormat="1" x14ac:dyDescent="0.3">
      <c r="A2146"/>
      <c r="B2146"/>
      <c r="C2146"/>
      <c r="D2146"/>
      <c r="E2146"/>
      <c r="F2146"/>
      <c r="G2146"/>
      <c r="H2146"/>
      <c r="I2146"/>
      <c r="J2146"/>
      <c r="K2146"/>
      <c r="L2146"/>
      <c r="M2146"/>
      <c r="N2146"/>
      <c r="O2146"/>
      <c r="P2146"/>
      <c r="Q2146"/>
      <c r="R2146"/>
      <c r="S2146"/>
      <c r="T2146"/>
      <c r="U2146"/>
      <c r="V2146"/>
      <c r="W2146"/>
      <c r="X2146"/>
      <c r="Y2146"/>
      <c r="Z2146"/>
      <c r="AA2146"/>
    </row>
    <row r="2147" spans="1:27" s="1" customFormat="1" x14ac:dyDescent="0.3">
      <c r="A2147"/>
      <c r="B2147"/>
      <c r="C2147"/>
      <c r="D2147"/>
      <c r="E2147"/>
      <c r="F2147"/>
      <c r="G2147"/>
      <c r="H2147"/>
      <c r="I2147"/>
      <c r="J2147"/>
      <c r="K2147"/>
      <c r="L2147"/>
      <c r="M2147"/>
      <c r="N2147"/>
      <c r="O2147"/>
      <c r="P2147"/>
      <c r="Q2147"/>
      <c r="R2147"/>
      <c r="S2147"/>
      <c r="T2147"/>
      <c r="U2147"/>
      <c r="V2147"/>
      <c r="W2147"/>
      <c r="X2147"/>
      <c r="Y2147"/>
      <c r="Z2147"/>
      <c r="AA2147"/>
    </row>
    <row r="2148" spans="1:27" s="1" customFormat="1" x14ac:dyDescent="0.3">
      <c r="A2148"/>
      <c r="B2148"/>
      <c r="C2148"/>
      <c r="D2148"/>
      <c r="E2148"/>
      <c r="F2148"/>
      <c r="G2148"/>
      <c r="H2148"/>
      <c r="I2148"/>
      <c r="J2148"/>
      <c r="K2148"/>
      <c r="L2148"/>
      <c r="M2148"/>
      <c r="N2148"/>
      <c r="O2148"/>
      <c r="P2148"/>
      <c r="Q2148"/>
      <c r="R2148"/>
      <c r="S2148"/>
      <c r="T2148"/>
      <c r="U2148"/>
      <c r="V2148"/>
      <c r="W2148"/>
      <c r="X2148"/>
      <c r="Y2148"/>
      <c r="Z2148"/>
      <c r="AA2148"/>
    </row>
    <row r="2149" spans="1:27" s="1" customFormat="1" x14ac:dyDescent="0.3">
      <c r="A2149"/>
      <c r="B2149"/>
      <c r="C2149"/>
      <c r="D2149"/>
      <c r="E2149"/>
      <c r="F2149"/>
      <c r="G2149"/>
      <c r="H2149"/>
      <c r="I2149"/>
      <c r="J2149"/>
      <c r="K2149"/>
      <c r="L2149"/>
      <c r="M2149"/>
      <c r="N2149"/>
      <c r="O2149"/>
      <c r="P2149"/>
      <c r="Q2149"/>
      <c r="R2149"/>
      <c r="S2149"/>
      <c r="T2149"/>
      <c r="U2149"/>
      <c r="V2149"/>
      <c r="W2149"/>
      <c r="X2149"/>
      <c r="Y2149"/>
      <c r="Z2149"/>
      <c r="AA2149"/>
    </row>
    <row r="2150" spans="1:27" s="1" customFormat="1" x14ac:dyDescent="0.3">
      <c r="A2150"/>
      <c r="B2150"/>
      <c r="C2150"/>
      <c r="D2150"/>
      <c r="E2150"/>
      <c r="F2150"/>
      <c r="G2150"/>
      <c r="H2150"/>
      <c r="I2150"/>
      <c r="J2150"/>
      <c r="K2150"/>
      <c r="L2150"/>
      <c r="M2150"/>
      <c r="N2150"/>
      <c r="O2150"/>
      <c r="P2150"/>
      <c r="Q2150"/>
      <c r="R2150"/>
      <c r="S2150"/>
      <c r="T2150"/>
      <c r="U2150"/>
      <c r="V2150"/>
      <c r="W2150"/>
      <c r="X2150"/>
      <c r="Y2150"/>
      <c r="Z2150"/>
      <c r="AA2150"/>
    </row>
    <row r="2151" spans="1:27" s="1" customFormat="1" x14ac:dyDescent="0.3">
      <c r="A2151"/>
      <c r="B2151"/>
      <c r="C2151"/>
      <c r="D2151"/>
      <c r="E2151"/>
      <c r="F2151"/>
      <c r="G2151"/>
      <c r="H2151"/>
      <c r="I2151"/>
      <c r="J2151"/>
      <c r="K2151"/>
      <c r="L2151"/>
      <c r="M2151"/>
      <c r="N2151"/>
      <c r="O2151"/>
      <c r="P2151"/>
      <c r="Q2151"/>
      <c r="R2151"/>
      <c r="S2151"/>
      <c r="T2151"/>
      <c r="U2151"/>
      <c r="V2151"/>
      <c r="W2151"/>
      <c r="X2151"/>
      <c r="Y2151"/>
      <c r="Z2151"/>
      <c r="AA2151"/>
    </row>
    <row r="2152" spans="1:27" s="1" customFormat="1" x14ac:dyDescent="0.3">
      <c r="A2152"/>
      <c r="B2152"/>
      <c r="C2152"/>
      <c r="D2152"/>
      <c r="E2152"/>
      <c r="F2152"/>
      <c r="G2152"/>
      <c r="H2152"/>
      <c r="I2152"/>
      <c r="J2152"/>
      <c r="K2152"/>
      <c r="L2152"/>
      <c r="M2152"/>
      <c r="N2152"/>
      <c r="O2152"/>
      <c r="P2152"/>
      <c r="Q2152"/>
      <c r="R2152"/>
      <c r="S2152"/>
      <c r="T2152"/>
      <c r="U2152"/>
      <c r="V2152"/>
      <c r="W2152"/>
      <c r="X2152"/>
      <c r="Y2152"/>
      <c r="Z2152"/>
      <c r="AA2152"/>
    </row>
    <row r="2153" spans="1:27" s="1" customFormat="1" x14ac:dyDescent="0.3">
      <c r="A2153"/>
      <c r="B2153"/>
      <c r="C2153"/>
      <c r="D2153"/>
      <c r="E2153"/>
      <c r="F2153"/>
      <c r="G2153"/>
      <c r="H2153"/>
      <c r="I2153"/>
      <c r="J2153"/>
      <c r="K2153"/>
      <c r="L2153"/>
      <c r="M2153"/>
      <c r="N2153"/>
      <c r="O2153"/>
      <c r="P2153"/>
      <c r="Q2153"/>
      <c r="R2153"/>
      <c r="S2153"/>
      <c r="T2153"/>
      <c r="U2153"/>
      <c r="V2153"/>
      <c r="W2153"/>
      <c r="X2153"/>
      <c r="Y2153"/>
      <c r="Z2153"/>
      <c r="AA2153"/>
    </row>
    <row r="2154" spans="1:27" s="1" customFormat="1" x14ac:dyDescent="0.3">
      <c r="A2154"/>
      <c r="B2154"/>
      <c r="C2154"/>
      <c r="D2154"/>
      <c r="E2154"/>
      <c r="F2154"/>
      <c r="G2154"/>
      <c r="H2154"/>
      <c r="I2154"/>
      <c r="J2154"/>
      <c r="K2154"/>
      <c r="L2154"/>
      <c r="M2154"/>
      <c r="N2154"/>
      <c r="O2154"/>
      <c r="P2154"/>
      <c r="Q2154"/>
      <c r="R2154"/>
      <c r="S2154"/>
      <c r="T2154"/>
      <c r="U2154"/>
      <c r="V2154"/>
      <c r="W2154"/>
      <c r="X2154"/>
      <c r="Y2154"/>
      <c r="Z2154"/>
      <c r="AA2154"/>
    </row>
    <row r="2155" spans="1:27" s="1" customFormat="1" x14ac:dyDescent="0.3">
      <c r="A2155"/>
      <c r="B2155"/>
      <c r="C2155"/>
      <c r="D2155"/>
      <c r="E2155"/>
      <c r="F2155"/>
      <c r="G2155"/>
      <c r="H2155"/>
      <c r="I2155"/>
      <c r="J2155"/>
      <c r="K2155"/>
      <c r="L2155"/>
      <c r="M2155"/>
      <c r="N2155"/>
      <c r="O2155"/>
      <c r="P2155"/>
      <c r="Q2155"/>
      <c r="R2155"/>
      <c r="S2155"/>
      <c r="T2155"/>
      <c r="U2155"/>
      <c r="V2155"/>
      <c r="W2155"/>
      <c r="X2155"/>
      <c r="Y2155"/>
      <c r="Z2155"/>
      <c r="AA2155"/>
    </row>
    <row r="2156" spans="1:27" s="1" customFormat="1" x14ac:dyDescent="0.3">
      <c r="A2156"/>
      <c r="B2156"/>
      <c r="C2156"/>
      <c r="D2156"/>
      <c r="E2156"/>
      <c r="F2156"/>
      <c r="G2156"/>
      <c r="H2156"/>
      <c r="I2156"/>
      <c r="J2156"/>
      <c r="K2156"/>
      <c r="L2156"/>
      <c r="M2156"/>
      <c r="N2156"/>
      <c r="O2156"/>
      <c r="P2156"/>
      <c r="Q2156"/>
      <c r="R2156"/>
      <c r="S2156"/>
      <c r="T2156"/>
      <c r="U2156"/>
      <c r="V2156"/>
      <c r="W2156"/>
      <c r="X2156"/>
      <c r="Y2156"/>
      <c r="Z2156"/>
      <c r="AA2156"/>
    </row>
    <row r="2157" spans="1:27" s="1" customFormat="1" x14ac:dyDescent="0.3">
      <c r="A2157"/>
      <c r="B2157"/>
      <c r="C2157"/>
      <c r="D2157"/>
      <c r="E2157"/>
      <c r="F2157"/>
      <c r="G2157"/>
      <c r="H2157"/>
      <c r="I2157"/>
      <c r="J2157"/>
      <c r="K2157"/>
      <c r="L2157"/>
      <c r="M2157"/>
      <c r="N2157"/>
      <c r="O2157"/>
      <c r="P2157"/>
      <c r="Q2157"/>
      <c r="R2157"/>
      <c r="S2157"/>
      <c r="T2157"/>
      <c r="U2157"/>
      <c r="V2157"/>
      <c r="W2157"/>
      <c r="X2157"/>
      <c r="Y2157"/>
      <c r="Z2157"/>
      <c r="AA2157"/>
    </row>
    <row r="2158" spans="1:27" s="1" customFormat="1" x14ac:dyDescent="0.3">
      <c r="A2158"/>
      <c r="B2158"/>
      <c r="C2158"/>
      <c r="D2158"/>
      <c r="E2158"/>
      <c r="F2158"/>
      <c r="G2158"/>
      <c r="H2158"/>
      <c r="I2158"/>
      <c r="J2158"/>
      <c r="K2158"/>
      <c r="L2158"/>
      <c r="M2158"/>
      <c r="N2158"/>
      <c r="O2158"/>
      <c r="P2158"/>
      <c r="Q2158"/>
      <c r="R2158"/>
      <c r="S2158"/>
      <c r="T2158"/>
      <c r="U2158"/>
      <c r="V2158"/>
      <c r="W2158"/>
      <c r="X2158"/>
      <c r="Y2158"/>
      <c r="Z2158"/>
      <c r="AA2158"/>
    </row>
    <row r="2159" spans="1:27" s="1" customFormat="1" x14ac:dyDescent="0.3">
      <c r="A2159"/>
      <c r="B2159"/>
      <c r="C2159"/>
      <c r="D2159"/>
      <c r="E2159"/>
      <c r="F2159"/>
      <c r="G2159"/>
      <c r="H2159"/>
      <c r="I2159"/>
      <c r="J2159"/>
      <c r="K2159"/>
      <c r="L2159"/>
      <c r="M2159"/>
      <c r="N2159"/>
      <c r="O2159"/>
      <c r="P2159"/>
      <c r="Q2159"/>
      <c r="R2159"/>
      <c r="S2159"/>
      <c r="T2159"/>
      <c r="U2159"/>
      <c r="V2159"/>
      <c r="W2159"/>
      <c r="X2159"/>
      <c r="Y2159"/>
      <c r="Z2159"/>
      <c r="AA2159"/>
    </row>
    <row r="2160" spans="1:27" s="1" customFormat="1" x14ac:dyDescent="0.3">
      <c r="A2160"/>
      <c r="B2160"/>
      <c r="C2160"/>
      <c r="D2160"/>
      <c r="E2160"/>
      <c r="F2160"/>
      <c r="G2160"/>
      <c r="H2160"/>
      <c r="I2160"/>
      <c r="J2160"/>
      <c r="K2160"/>
      <c r="L2160"/>
      <c r="M2160"/>
      <c r="N2160"/>
      <c r="O2160"/>
      <c r="P2160"/>
      <c r="Q2160"/>
      <c r="R2160"/>
      <c r="S2160"/>
      <c r="T2160"/>
      <c r="U2160"/>
      <c r="V2160"/>
      <c r="W2160"/>
      <c r="X2160"/>
      <c r="Y2160"/>
      <c r="Z2160"/>
      <c r="AA2160"/>
    </row>
    <row r="2161" spans="1:27" s="1" customFormat="1" x14ac:dyDescent="0.3">
      <c r="A2161"/>
      <c r="B2161"/>
      <c r="C2161"/>
      <c r="D2161"/>
      <c r="E2161"/>
      <c r="F2161"/>
      <c r="G2161"/>
      <c r="H2161"/>
      <c r="I2161"/>
      <c r="J2161"/>
      <c r="K2161"/>
      <c r="L2161"/>
      <c r="M2161"/>
      <c r="N2161"/>
      <c r="O2161"/>
      <c r="P2161"/>
      <c r="Q2161"/>
      <c r="R2161"/>
      <c r="S2161"/>
      <c r="T2161"/>
      <c r="U2161"/>
      <c r="V2161"/>
      <c r="W2161"/>
      <c r="X2161"/>
      <c r="Y2161"/>
      <c r="Z2161"/>
      <c r="AA2161"/>
    </row>
    <row r="2162" spans="1:27" s="1" customFormat="1" x14ac:dyDescent="0.3">
      <c r="A2162"/>
      <c r="B2162"/>
      <c r="C2162"/>
      <c r="D2162"/>
      <c r="E2162"/>
      <c r="F2162"/>
      <c r="G2162"/>
      <c r="H2162"/>
      <c r="I2162"/>
      <c r="J2162"/>
      <c r="K2162"/>
      <c r="L2162"/>
      <c r="M2162"/>
      <c r="N2162"/>
      <c r="O2162"/>
      <c r="P2162"/>
      <c r="Q2162"/>
      <c r="R2162"/>
      <c r="S2162"/>
      <c r="T2162"/>
      <c r="U2162"/>
      <c r="V2162"/>
      <c r="W2162"/>
      <c r="X2162"/>
      <c r="Y2162"/>
      <c r="Z2162"/>
      <c r="AA2162"/>
    </row>
    <row r="2163" spans="1:27" s="1" customFormat="1" x14ac:dyDescent="0.3">
      <c r="A2163"/>
      <c r="B2163"/>
      <c r="C2163"/>
      <c r="D2163"/>
      <c r="E2163"/>
      <c r="F2163"/>
      <c r="G2163"/>
      <c r="H2163"/>
      <c r="I2163"/>
      <c r="J2163"/>
      <c r="K2163"/>
      <c r="L2163"/>
      <c r="M2163"/>
      <c r="N2163"/>
      <c r="O2163"/>
      <c r="P2163"/>
      <c r="Q2163"/>
      <c r="R2163"/>
      <c r="S2163"/>
      <c r="T2163"/>
      <c r="U2163"/>
      <c r="V2163"/>
      <c r="W2163"/>
      <c r="X2163"/>
      <c r="Y2163"/>
      <c r="Z2163"/>
      <c r="AA2163"/>
    </row>
    <row r="2164" spans="1:27" s="1" customFormat="1" x14ac:dyDescent="0.3">
      <c r="A2164"/>
      <c r="B2164"/>
      <c r="C2164"/>
      <c r="D2164"/>
      <c r="E2164"/>
      <c r="F2164"/>
      <c r="G2164"/>
      <c r="H2164"/>
      <c r="I2164"/>
      <c r="J2164"/>
      <c r="K2164"/>
      <c r="L2164"/>
      <c r="M2164"/>
      <c r="N2164"/>
      <c r="O2164"/>
      <c r="P2164"/>
      <c r="Q2164"/>
      <c r="R2164"/>
      <c r="S2164"/>
      <c r="T2164"/>
      <c r="U2164"/>
      <c r="V2164"/>
      <c r="W2164"/>
      <c r="X2164"/>
      <c r="Y2164"/>
      <c r="Z2164"/>
      <c r="AA2164"/>
    </row>
    <row r="2165" spans="1:27" s="1" customFormat="1" x14ac:dyDescent="0.3">
      <c r="A2165"/>
      <c r="B2165"/>
      <c r="C2165"/>
      <c r="D2165"/>
      <c r="E2165"/>
      <c r="F2165"/>
      <c r="G2165"/>
      <c r="H2165"/>
      <c r="I2165"/>
      <c r="J2165"/>
      <c r="K2165"/>
      <c r="L2165"/>
      <c r="M2165"/>
      <c r="N2165"/>
      <c r="O2165"/>
      <c r="P2165"/>
      <c r="Q2165"/>
      <c r="R2165"/>
      <c r="S2165"/>
      <c r="T2165"/>
      <c r="U2165"/>
      <c r="V2165"/>
      <c r="W2165"/>
      <c r="X2165"/>
      <c r="Y2165"/>
      <c r="Z2165"/>
      <c r="AA2165"/>
    </row>
    <row r="2166" spans="1:27" s="1" customFormat="1" x14ac:dyDescent="0.3">
      <c r="A2166"/>
      <c r="B2166"/>
      <c r="C2166"/>
      <c r="D2166"/>
      <c r="E2166"/>
      <c r="F2166"/>
      <c r="G2166"/>
      <c r="H2166"/>
      <c r="I2166"/>
      <c r="J2166"/>
      <c r="K2166"/>
      <c r="L2166"/>
      <c r="M2166"/>
      <c r="N2166"/>
      <c r="O2166"/>
      <c r="P2166"/>
      <c r="Q2166"/>
      <c r="R2166"/>
      <c r="S2166"/>
      <c r="T2166"/>
      <c r="U2166"/>
      <c r="V2166"/>
      <c r="W2166"/>
      <c r="X2166"/>
      <c r="Y2166"/>
      <c r="Z2166"/>
      <c r="AA2166"/>
    </row>
    <row r="2167" spans="1:27" s="1" customFormat="1" x14ac:dyDescent="0.3">
      <c r="A2167"/>
      <c r="B2167"/>
      <c r="C2167"/>
      <c r="D2167"/>
      <c r="E2167"/>
      <c r="F2167"/>
      <c r="G2167"/>
      <c r="H2167"/>
      <c r="I2167"/>
      <c r="J2167"/>
      <c r="K2167"/>
      <c r="L2167"/>
      <c r="M2167"/>
      <c r="N2167"/>
      <c r="O2167"/>
      <c r="P2167"/>
      <c r="Q2167"/>
      <c r="R2167"/>
      <c r="S2167"/>
      <c r="T2167"/>
      <c r="U2167"/>
      <c r="V2167"/>
      <c r="W2167"/>
      <c r="X2167"/>
      <c r="Y2167"/>
      <c r="Z2167"/>
      <c r="AA2167"/>
    </row>
    <row r="2168" spans="1:27" s="1" customFormat="1" x14ac:dyDescent="0.3">
      <c r="A2168"/>
      <c r="B2168"/>
      <c r="C2168"/>
      <c r="D2168"/>
      <c r="E2168"/>
      <c r="F2168"/>
      <c r="G2168"/>
      <c r="H2168"/>
      <c r="I2168"/>
      <c r="J2168"/>
      <c r="K2168"/>
      <c r="L2168"/>
      <c r="M2168"/>
      <c r="N2168"/>
      <c r="O2168"/>
      <c r="P2168"/>
      <c r="Q2168"/>
      <c r="R2168"/>
      <c r="S2168"/>
      <c r="T2168"/>
      <c r="U2168"/>
      <c r="V2168"/>
      <c r="W2168"/>
      <c r="X2168"/>
      <c r="Y2168"/>
      <c r="Z2168"/>
      <c r="AA2168"/>
    </row>
    <row r="2169" spans="1:27" s="1" customFormat="1" x14ac:dyDescent="0.3">
      <c r="A2169"/>
      <c r="B2169"/>
      <c r="C2169"/>
      <c r="D2169"/>
      <c r="E2169"/>
      <c r="F2169"/>
      <c r="G2169"/>
      <c r="H2169"/>
      <c r="I2169"/>
      <c r="J2169"/>
      <c r="K2169"/>
      <c r="L2169"/>
      <c r="M2169"/>
      <c r="N2169"/>
      <c r="O2169"/>
      <c r="P2169"/>
      <c r="Q2169"/>
      <c r="R2169"/>
      <c r="S2169"/>
      <c r="T2169"/>
      <c r="U2169"/>
      <c r="V2169"/>
      <c r="W2169"/>
      <c r="X2169"/>
      <c r="Y2169"/>
      <c r="Z2169"/>
      <c r="AA2169"/>
    </row>
    <row r="2170" spans="1:27" s="1" customFormat="1" x14ac:dyDescent="0.3">
      <c r="A2170"/>
      <c r="B2170"/>
      <c r="C2170"/>
      <c r="D2170"/>
      <c r="E2170"/>
      <c r="F2170"/>
      <c r="G2170"/>
      <c r="H2170"/>
      <c r="I2170"/>
      <c r="J2170"/>
      <c r="K2170"/>
      <c r="L2170"/>
      <c r="M2170"/>
      <c r="N2170"/>
      <c r="O2170"/>
      <c r="P2170"/>
      <c r="Q2170"/>
      <c r="R2170"/>
      <c r="S2170"/>
      <c r="T2170"/>
      <c r="U2170"/>
      <c r="V2170"/>
      <c r="W2170"/>
      <c r="X2170"/>
      <c r="Y2170"/>
      <c r="Z2170"/>
      <c r="AA2170"/>
    </row>
    <row r="2171" spans="1:27" s="1" customFormat="1" x14ac:dyDescent="0.3">
      <c r="A2171"/>
      <c r="B2171"/>
      <c r="C2171"/>
      <c r="D2171"/>
      <c r="E2171"/>
      <c r="F2171"/>
      <c r="G2171"/>
      <c r="H2171"/>
      <c r="I2171"/>
      <c r="J2171"/>
      <c r="K2171"/>
      <c r="L2171"/>
      <c r="M2171"/>
      <c r="N2171"/>
      <c r="O2171"/>
      <c r="P2171"/>
      <c r="Q2171"/>
      <c r="R2171"/>
      <c r="S2171"/>
      <c r="T2171"/>
      <c r="U2171"/>
      <c r="V2171"/>
      <c r="W2171"/>
      <c r="X2171"/>
      <c r="Y2171"/>
      <c r="Z2171"/>
      <c r="AA2171"/>
    </row>
    <row r="2172" spans="1:27" s="1" customFormat="1" x14ac:dyDescent="0.3">
      <c r="A2172"/>
      <c r="B2172"/>
      <c r="C2172"/>
      <c r="D2172"/>
      <c r="E2172"/>
      <c r="F2172"/>
      <c r="G2172"/>
      <c r="H2172"/>
      <c r="I2172"/>
      <c r="J2172"/>
      <c r="K2172"/>
      <c r="L2172"/>
      <c r="M2172"/>
      <c r="N2172"/>
      <c r="O2172"/>
      <c r="P2172"/>
      <c r="Q2172"/>
      <c r="R2172"/>
      <c r="S2172"/>
      <c r="T2172"/>
      <c r="U2172"/>
      <c r="V2172"/>
      <c r="W2172"/>
      <c r="X2172"/>
      <c r="Y2172"/>
      <c r="Z2172"/>
      <c r="AA2172"/>
    </row>
    <row r="2173" spans="1:27" s="1" customFormat="1" x14ac:dyDescent="0.3">
      <c r="A2173"/>
      <c r="B2173"/>
      <c r="C2173"/>
      <c r="D2173"/>
      <c r="E2173"/>
      <c r="F2173"/>
      <c r="G2173"/>
      <c r="H2173"/>
      <c r="I2173"/>
      <c r="J2173"/>
      <c r="K2173"/>
      <c r="L2173"/>
      <c r="M2173"/>
      <c r="N2173"/>
      <c r="O2173"/>
      <c r="P2173"/>
      <c r="Q2173"/>
      <c r="R2173"/>
      <c r="S2173"/>
      <c r="T2173"/>
      <c r="U2173"/>
      <c r="V2173"/>
      <c r="W2173"/>
      <c r="X2173"/>
      <c r="Y2173"/>
      <c r="Z2173"/>
      <c r="AA2173"/>
    </row>
    <row r="2174" spans="1:27" s="1" customFormat="1" x14ac:dyDescent="0.3">
      <c r="A2174"/>
      <c r="B2174"/>
      <c r="C2174"/>
      <c r="D2174"/>
      <c r="E2174"/>
      <c r="F2174"/>
      <c r="G2174"/>
      <c r="H2174"/>
      <c r="I2174"/>
      <c r="J2174"/>
      <c r="K2174"/>
      <c r="L2174"/>
      <c r="M2174"/>
      <c r="N2174"/>
      <c r="O2174"/>
      <c r="P2174"/>
      <c r="Q2174"/>
      <c r="R2174"/>
      <c r="S2174"/>
      <c r="T2174"/>
      <c r="U2174"/>
      <c r="V2174"/>
      <c r="W2174"/>
      <c r="X2174"/>
      <c r="Y2174"/>
      <c r="Z2174"/>
      <c r="AA2174"/>
    </row>
    <row r="2175" spans="1:27" s="1" customFormat="1" x14ac:dyDescent="0.3">
      <c r="A2175"/>
      <c r="B2175"/>
      <c r="C2175"/>
      <c r="D2175"/>
      <c r="E2175"/>
      <c r="F2175"/>
      <c r="G2175"/>
      <c r="H2175"/>
      <c r="I2175"/>
      <c r="J2175"/>
      <c r="K2175"/>
      <c r="L2175"/>
      <c r="M2175"/>
      <c r="N2175"/>
      <c r="O2175"/>
      <c r="P2175"/>
      <c r="Q2175"/>
      <c r="R2175"/>
      <c r="S2175"/>
      <c r="T2175"/>
      <c r="U2175"/>
      <c r="V2175"/>
      <c r="W2175"/>
      <c r="X2175"/>
      <c r="Y2175"/>
      <c r="Z2175"/>
      <c r="AA2175"/>
    </row>
    <row r="2176" spans="1:27" s="1" customFormat="1" x14ac:dyDescent="0.3">
      <c r="A2176"/>
      <c r="B2176"/>
      <c r="C2176"/>
      <c r="D2176"/>
      <c r="E2176"/>
      <c r="F2176"/>
      <c r="G2176"/>
      <c r="H2176"/>
      <c r="I2176"/>
      <c r="J2176"/>
      <c r="K2176"/>
      <c r="L2176"/>
      <c r="M2176"/>
      <c r="N2176"/>
      <c r="O2176"/>
      <c r="P2176"/>
      <c r="Q2176"/>
      <c r="R2176"/>
      <c r="S2176"/>
      <c r="T2176"/>
      <c r="U2176"/>
      <c r="V2176"/>
      <c r="W2176"/>
      <c r="X2176"/>
      <c r="Y2176"/>
      <c r="Z2176"/>
      <c r="AA2176"/>
    </row>
    <row r="2177" spans="1:27" s="1" customFormat="1" x14ac:dyDescent="0.3">
      <c r="A2177"/>
      <c r="B2177"/>
      <c r="C2177"/>
      <c r="D2177"/>
      <c r="E2177"/>
      <c r="F2177"/>
      <c r="G2177"/>
      <c r="H2177"/>
      <c r="I2177"/>
      <c r="J2177"/>
      <c r="K2177"/>
      <c r="L2177"/>
      <c r="M2177"/>
      <c r="N2177"/>
      <c r="O2177"/>
      <c r="P2177"/>
      <c r="Q2177"/>
      <c r="R2177"/>
      <c r="S2177"/>
      <c r="T2177"/>
      <c r="U2177"/>
      <c r="V2177"/>
      <c r="W2177"/>
      <c r="X2177"/>
      <c r="Y2177"/>
      <c r="Z2177"/>
      <c r="AA2177"/>
    </row>
    <row r="2178" spans="1:27" s="1" customFormat="1" x14ac:dyDescent="0.3">
      <c r="A2178"/>
      <c r="B2178"/>
      <c r="C2178"/>
      <c r="D2178"/>
      <c r="E2178"/>
      <c r="F2178"/>
      <c r="G2178"/>
      <c r="H2178"/>
      <c r="I2178"/>
      <c r="J2178"/>
      <c r="K2178"/>
      <c r="L2178"/>
      <c r="M2178"/>
      <c r="N2178"/>
      <c r="O2178"/>
      <c r="P2178"/>
      <c r="Q2178"/>
      <c r="R2178"/>
      <c r="S2178"/>
      <c r="T2178"/>
      <c r="U2178"/>
      <c r="V2178"/>
      <c r="W2178"/>
      <c r="X2178"/>
      <c r="Y2178"/>
      <c r="Z2178"/>
      <c r="AA2178"/>
    </row>
    <row r="2179" spans="1:27" s="1" customFormat="1" x14ac:dyDescent="0.3">
      <c r="A2179"/>
      <c r="B2179"/>
      <c r="C2179"/>
      <c r="D2179"/>
      <c r="E2179"/>
      <c r="F2179"/>
      <c r="G2179"/>
      <c r="H2179"/>
      <c r="I2179"/>
      <c r="J2179"/>
      <c r="K2179"/>
      <c r="L2179"/>
      <c r="M2179"/>
      <c r="N2179"/>
      <c r="O2179"/>
      <c r="P2179"/>
      <c r="Q2179"/>
      <c r="R2179"/>
      <c r="S2179"/>
      <c r="T2179"/>
      <c r="U2179"/>
      <c r="V2179"/>
      <c r="W2179"/>
      <c r="X2179"/>
      <c r="Y2179"/>
      <c r="Z2179"/>
      <c r="AA2179"/>
    </row>
    <row r="2180" spans="1:27" s="1" customFormat="1" x14ac:dyDescent="0.3">
      <c r="A2180"/>
      <c r="B2180"/>
      <c r="C2180"/>
      <c r="D2180"/>
      <c r="E2180"/>
      <c r="F2180"/>
      <c r="G2180"/>
      <c r="H2180"/>
      <c r="I2180"/>
      <c r="J2180"/>
      <c r="K2180"/>
      <c r="L2180"/>
      <c r="M2180"/>
      <c r="N2180"/>
      <c r="O2180"/>
      <c r="P2180"/>
      <c r="Q2180"/>
      <c r="R2180"/>
      <c r="S2180"/>
      <c r="T2180"/>
      <c r="U2180"/>
      <c r="V2180"/>
      <c r="W2180"/>
      <c r="X2180"/>
      <c r="Y2180"/>
      <c r="Z2180"/>
      <c r="AA2180"/>
    </row>
    <row r="2181" spans="1:27" s="1" customFormat="1" x14ac:dyDescent="0.3">
      <c r="A2181"/>
      <c r="B2181"/>
      <c r="C2181"/>
      <c r="D2181"/>
      <c r="E2181"/>
      <c r="F2181"/>
      <c r="G2181"/>
      <c r="H2181"/>
      <c r="I2181"/>
      <c r="J2181"/>
      <c r="K2181"/>
      <c r="L2181"/>
      <c r="M2181"/>
      <c r="N2181"/>
      <c r="O2181"/>
      <c r="P2181"/>
      <c r="Q2181"/>
      <c r="R2181"/>
      <c r="S2181"/>
      <c r="T2181"/>
      <c r="U2181"/>
      <c r="V2181"/>
      <c r="W2181"/>
      <c r="X2181"/>
      <c r="Y2181"/>
      <c r="Z2181"/>
      <c r="AA2181"/>
    </row>
    <row r="2182" spans="1:27" s="1" customFormat="1" x14ac:dyDescent="0.3">
      <c r="A2182"/>
      <c r="B2182"/>
      <c r="C2182"/>
      <c r="D2182"/>
      <c r="E2182"/>
      <c r="F2182"/>
      <c r="G2182"/>
      <c r="H2182"/>
      <c r="I2182"/>
      <c r="J2182"/>
      <c r="K2182"/>
      <c r="L2182"/>
      <c r="M2182"/>
      <c r="N2182"/>
      <c r="O2182"/>
      <c r="P2182"/>
      <c r="Q2182"/>
      <c r="R2182"/>
      <c r="S2182"/>
      <c r="T2182"/>
      <c r="U2182"/>
      <c r="V2182"/>
      <c r="W2182"/>
      <c r="X2182"/>
      <c r="Y2182"/>
      <c r="Z2182"/>
      <c r="AA2182"/>
    </row>
    <row r="2183" spans="1:27" s="1" customFormat="1" x14ac:dyDescent="0.3">
      <c r="A2183"/>
      <c r="B2183"/>
      <c r="C2183"/>
      <c r="D2183"/>
      <c r="E2183"/>
      <c r="F2183"/>
      <c r="G2183"/>
      <c r="H2183"/>
      <c r="I2183"/>
      <c r="J2183"/>
      <c r="K2183"/>
      <c r="L2183"/>
      <c r="M2183"/>
      <c r="N2183"/>
      <c r="O2183"/>
      <c r="P2183"/>
      <c r="Q2183"/>
      <c r="R2183"/>
      <c r="S2183"/>
      <c r="T2183"/>
      <c r="U2183"/>
      <c r="V2183"/>
      <c r="W2183"/>
      <c r="X2183"/>
      <c r="Y2183"/>
      <c r="Z2183"/>
      <c r="AA2183"/>
    </row>
    <row r="2184" spans="1:27" s="1" customFormat="1" x14ac:dyDescent="0.3">
      <c r="A2184"/>
      <c r="B2184"/>
      <c r="C2184"/>
      <c r="D2184"/>
      <c r="E2184"/>
      <c r="F2184"/>
      <c r="G2184"/>
      <c r="H2184"/>
      <c r="I2184"/>
      <c r="J2184"/>
      <c r="K2184"/>
      <c r="L2184"/>
      <c r="M2184"/>
      <c r="N2184"/>
      <c r="O2184"/>
      <c r="P2184"/>
      <c r="Q2184"/>
      <c r="R2184"/>
      <c r="S2184"/>
      <c r="T2184"/>
      <c r="U2184"/>
      <c r="V2184"/>
      <c r="W2184"/>
      <c r="X2184"/>
      <c r="Y2184"/>
      <c r="Z2184"/>
      <c r="AA2184"/>
    </row>
    <row r="2185" spans="1:27" s="1" customFormat="1" x14ac:dyDescent="0.3">
      <c r="A2185"/>
      <c r="B2185"/>
      <c r="C2185"/>
      <c r="D2185"/>
      <c r="E2185"/>
      <c r="F2185"/>
      <c r="G2185"/>
      <c r="H2185"/>
      <c r="I2185"/>
      <c r="J2185"/>
      <c r="K2185"/>
      <c r="L2185"/>
      <c r="M2185"/>
      <c r="N2185"/>
      <c r="O2185"/>
      <c r="P2185"/>
      <c r="Q2185"/>
      <c r="R2185"/>
      <c r="S2185"/>
      <c r="T2185"/>
      <c r="U2185"/>
      <c r="V2185"/>
      <c r="W2185"/>
      <c r="X2185"/>
      <c r="Y2185"/>
      <c r="Z2185"/>
      <c r="AA2185"/>
    </row>
    <row r="2186" spans="1:27" s="1" customFormat="1" x14ac:dyDescent="0.3">
      <c r="A2186"/>
      <c r="B2186"/>
      <c r="C2186"/>
      <c r="D2186"/>
      <c r="E2186"/>
      <c r="F2186"/>
      <c r="G2186"/>
      <c r="H2186"/>
      <c r="I2186"/>
      <c r="J2186"/>
      <c r="K2186"/>
      <c r="L2186"/>
      <c r="M2186"/>
      <c r="N2186"/>
      <c r="O2186"/>
      <c r="P2186"/>
      <c r="Q2186"/>
      <c r="R2186"/>
      <c r="S2186"/>
      <c r="T2186"/>
      <c r="U2186"/>
      <c r="V2186"/>
      <c r="W2186"/>
      <c r="X2186"/>
      <c r="Y2186"/>
      <c r="Z2186"/>
      <c r="AA2186"/>
    </row>
    <row r="2187" spans="1:27" s="1" customFormat="1" x14ac:dyDescent="0.3">
      <c r="A2187"/>
      <c r="B2187"/>
      <c r="C2187"/>
      <c r="D2187"/>
      <c r="E2187"/>
      <c r="F2187"/>
      <c r="G2187"/>
      <c r="H2187"/>
      <c r="I2187"/>
      <c r="J2187"/>
      <c r="K2187"/>
      <c r="L2187"/>
      <c r="M2187"/>
      <c r="N2187"/>
      <c r="O2187"/>
      <c r="P2187"/>
      <c r="Q2187"/>
      <c r="R2187"/>
      <c r="S2187"/>
      <c r="T2187"/>
      <c r="U2187"/>
      <c r="V2187"/>
      <c r="W2187"/>
      <c r="X2187"/>
      <c r="Y2187"/>
      <c r="Z2187"/>
      <c r="AA2187"/>
    </row>
    <row r="2188" spans="1:27" s="1" customFormat="1" x14ac:dyDescent="0.3">
      <c r="A2188"/>
      <c r="B2188"/>
      <c r="C2188"/>
      <c r="D2188"/>
      <c r="E2188"/>
      <c r="F2188"/>
      <c r="G2188"/>
      <c r="H2188"/>
      <c r="I2188"/>
      <c r="J2188"/>
      <c r="K2188"/>
      <c r="L2188"/>
      <c r="M2188"/>
      <c r="N2188"/>
      <c r="O2188"/>
      <c r="P2188"/>
      <c r="Q2188"/>
      <c r="R2188"/>
      <c r="S2188"/>
      <c r="T2188"/>
      <c r="U2188"/>
      <c r="V2188"/>
      <c r="W2188"/>
      <c r="X2188"/>
      <c r="Y2188"/>
      <c r="Z2188"/>
      <c r="AA2188"/>
    </row>
    <row r="2189" spans="1:27" s="1" customFormat="1" x14ac:dyDescent="0.3">
      <c r="A2189"/>
      <c r="B2189"/>
      <c r="C2189"/>
      <c r="D2189"/>
      <c r="E2189"/>
      <c r="F2189"/>
      <c r="G2189"/>
      <c r="H2189"/>
      <c r="I2189"/>
      <c r="J2189"/>
      <c r="K2189"/>
      <c r="L2189"/>
      <c r="M2189"/>
      <c r="N2189"/>
      <c r="O2189"/>
      <c r="P2189"/>
      <c r="Q2189"/>
      <c r="R2189"/>
      <c r="S2189"/>
      <c r="T2189"/>
      <c r="U2189"/>
      <c r="V2189"/>
      <c r="W2189"/>
      <c r="X2189"/>
      <c r="Y2189"/>
      <c r="Z2189"/>
      <c r="AA2189"/>
    </row>
    <row r="2190" spans="1:27" s="1" customFormat="1" x14ac:dyDescent="0.3">
      <c r="A2190"/>
      <c r="B2190"/>
      <c r="C2190"/>
      <c r="D2190"/>
      <c r="E2190"/>
      <c r="F2190"/>
      <c r="G2190"/>
      <c r="H2190"/>
      <c r="I2190"/>
      <c r="J2190"/>
      <c r="K2190"/>
      <c r="L2190"/>
      <c r="M2190"/>
      <c r="N2190"/>
      <c r="O2190"/>
      <c r="P2190"/>
      <c r="Q2190"/>
      <c r="R2190"/>
      <c r="S2190"/>
      <c r="T2190"/>
      <c r="U2190"/>
      <c r="V2190"/>
      <c r="W2190"/>
      <c r="X2190"/>
      <c r="Y2190"/>
      <c r="Z2190"/>
      <c r="AA2190"/>
    </row>
    <row r="2191" spans="1:27" s="1" customFormat="1" x14ac:dyDescent="0.3">
      <c r="A2191"/>
      <c r="B2191"/>
      <c r="C2191"/>
      <c r="D2191"/>
      <c r="E2191"/>
      <c r="F2191"/>
      <c r="G2191"/>
      <c r="H2191"/>
      <c r="I2191"/>
      <c r="J2191"/>
      <c r="K2191"/>
      <c r="L2191"/>
      <c r="M2191"/>
      <c r="N2191"/>
      <c r="O2191"/>
      <c r="P2191"/>
      <c r="Q2191"/>
      <c r="R2191"/>
      <c r="S2191"/>
      <c r="T2191"/>
      <c r="U2191"/>
      <c r="V2191"/>
      <c r="W2191"/>
      <c r="X2191"/>
      <c r="Y2191"/>
      <c r="Z2191"/>
      <c r="AA2191"/>
    </row>
    <row r="2192" spans="1:27" s="1" customFormat="1" x14ac:dyDescent="0.3">
      <c r="A2192"/>
      <c r="B2192"/>
      <c r="C2192"/>
      <c r="D2192"/>
      <c r="E2192"/>
      <c r="F2192"/>
      <c r="G2192"/>
      <c r="H2192"/>
      <c r="I2192"/>
      <c r="J2192"/>
      <c r="K2192"/>
      <c r="L2192"/>
      <c r="M2192"/>
      <c r="N2192"/>
      <c r="O2192"/>
      <c r="P2192"/>
      <c r="Q2192"/>
      <c r="R2192"/>
      <c r="S2192"/>
      <c r="T2192"/>
      <c r="U2192"/>
      <c r="V2192"/>
      <c r="W2192"/>
      <c r="X2192"/>
      <c r="Y2192"/>
      <c r="Z2192"/>
      <c r="AA2192"/>
    </row>
    <row r="2193" spans="1:27" s="1" customFormat="1" x14ac:dyDescent="0.3">
      <c r="A2193"/>
      <c r="B2193"/>
      <c r="C2193"/>
      <c r="D2193"/>
      <c r="E2193"/>
      <c r="F2193"/>
      <c r="G2193"/>
      <c r="H2193"/>
      <c r="I2193"/>
      <c r="J2193"/>
      <c r="K2193"/>
      <c r="L2193"/>
      <c r="M2193"/>
      <c r="N2193"/>
      <c r="O2193"/>
      <c r="P2193"/>
      <c r="Q2193"/>
      <c r="R2193"/>
      <c r="S2193"/>
      <c r="T2193"/>
      <c r="U2193"/>
      <c r="V2193"/>
      <c r="W2193"/>
      <c r="X2193"/>
      <c r="Y2193"/>
      <c r="Z2193"/>
      <c r="AA2193"/>
    </row>
    <row r="2194" spans="1:27" s="1" customFormat="1" x14ac:dyDescent="0.3">
      <c r="A2194"/>
      <c r="B2194"/>
      <c r="C2194"/>
      <c r="D2194"/>
      <c r="E2194"/>
      <c r="F2194"/>
      <c r="G2194"/>
      <c r="H2194"/>
      <c r="I2194"/>
      <c r="J2194"/>
      <c r="K2194"/>
      <c r="L2194"/>
      <c r="M2194"/>
      <c r="N2194"/>
      <c r="O2194"/>
      <c r="P2194"/>
      <c r="Q2194"/>
      <c r="R2194"/>
      <c r="S2194"/>
      <c r="T2194"/>
      <c r="U2194"/>
      <c r="V2194"/>
      <c r="W2194"/>
      <c r="X2194"/>
      <c r="Y2194"/>
      <c r="Z2194"/>
      <c r="AA2194"/>
    </row>
    <row r="2195" spans="1:27" s="1" customFormat="1" x14ac:dyDescent="0.3">
      <c r="A2195"/>
      <c r="B2195"/>
      <c r="C2195"/>
      <c r="D2195"/>
      <c r="E2195"/>
      <c r="F2195"/>
      <c r="G2195"/>
      <c r="H2195"/>
      <c r="I2195"/>
      <c r="J2195"/>
      <c r="K2195"/>
      <c r="L2195"/>
      <c r="M2195"/>
      <c r="N2195"/>
      <c r="O2195"/>
      <c r="P2195"/>
      <c r="Q2195"/>
      <c r="R2195"/>
      <c r="S2195"/>
      <c r="T2195"/>
      <c r="U2195"/>
      <c r="V2195"/>
      <c r="W2195"/>
      <c r="X2195"/>
      <c r="Y2195"/>
      <c r="Z2195"/>
      <c r="AA2195"/>
    </row>
    <row r="2196" spans="1:27" s="1" customFormat="1" x14ac:dyDescent="0.3">
      <c r="A2196"/>
      <c r="B2196"/>
      <c r="C2196"/>
      <c r="D2196"/>
      <c r="E2196"/>
      <c r="F2196"/>
      <c r="G2196"/>
      <c r="H2196"/>
      <c r="I2196"/>
      <c r="J2196"/>
      <c r="K2196"/>
      <c r="L2196"/>
      <c r="M2196"/>
      <c r="N2196"/>
      <c r="O2196"/>
      <c r="P2196"/>
      <c r="Q2196"/>
      <c r="R2196"/>
      <c r="S2196"/>
      <c r="T2196"/>
      <c r="U2196"/>
      <c r="V2196"/>
      <c r="W2196"/>
      <c r="X2196"/>
      <c r="Y2196"/>
      <c r="Z2196"/>
      <c r="AA2196"/>
    </row>
    <row r="2197" spans="1:27" s="1" customFormat="1" x14ac:dyDescent="0.3">
      <c r="A2197"/>
      <c r="B2197"/>
      <c r="C2197"/>
      <c r="D2197"/>
      <c r="E2197"/>
      <c r="F2197"/>
      <c r="G2197"/>
      <c r="H2197"/>
      <c r="I2197"/>
      <c r="J2197"/>
      <c r="K2197"/>
      <c r="L2197"/>
      <c r="M2197"/>
      <c r="N2197"/>
      <c r="O2197"/>
      <c r="P2197"/>
      <c r="Q2197"/>
      <c r="R2197"/>
      <c r="S2197"/>
      <c r="T2197"/>
      <c r="U2197"/>
      <c r="V2197"/>
      <c r="W2197"/>
      <c r="X2197"/>
      <c r="Y2197"/>
      <c r="Z2197"/>
      <c r="AA2197"/>
    </row>
    <row r="2198" spans="1:27" s="1" customFormat="1" x14ac:dyDescent="0.3">
      <c r="A2198"/>
      <c r="B2198"/>
      <c r="C2198"/>
      <c r="D2198"/>
      <c r="E2198"/>
      <c r="F2198"/>
      <c r="G2198"/>
      <c r="H2198"/>
      <c r="I2198"/>
      <c r="J2198"/>
      <c r="K2198"/>
      <c r="L2198"/>
      <c r="M2198"/>
      <c r="N2198"/>
      <c r="O2198"/>
      <c r="P2198"/>
      <c r="Q2198"/>
      <c r="R2198"/>
      <c r="S2198"/>
      <c r="T2198"/>
      <c r="U2198"/>
      <c r="V2198"/>
      <c r="W2198"/>
      <c r="X2198"/>
      <c r="Y2198"/>
      <c r="Z2198"/>
      <c r="AA2198"/>
    </row>
    <row r="2199" spans="1:27" s="1" customFormat="1" x14ac:dyDescent="0.3">
      <c r="A2199"/>
      <c r="B2199"/>
      <c r="C2199"/>
      <c r="D2199"/>
      <c r="E2199"/>
      <c r="F2199"/>
      <c r="G2199"/>
      <c r="H2199"/>
      <c r="I2199"/>
      <c r="J2199"/>
      <c r="K2199"/>
      <c r="L2199"/>
      <c r="M2199"/>
      <c r="N2199"/>
      <c r="O2199"/>
      <c r="P2199"/>
      <c r="Q2199"/>
      <c r="R2199"/>
      <c r="S2199"/>
      <c r="T2199"/>
      <c r="U2199"/>
      <c r="V2199"/>
      <c r="W2199"/>
      <c r="X2199"/>
      <c r="Y2199"/>
      <c r="Z2199"/>
      <c r="AA2199"/>
    </row>
    <row r="2200" spans="1:27" s="1" customFormat="1" x14ac:dyDescent="0.3">
      <c r="A2200"/>
      <c r="B2200"/>
      <c r="C2200"/>
      <c r="D2200"/>
      <c r="E2200"/>
      <c r="F2200"/>
      <c r="G2200"/>
      <c r="H2200"/>
      <c r="I2200"/>
      <c r="J2200"/>
      <c r="K2200"/>
      <c r="L2200"/>
      <c r="M2200"/>
      <c r="N2200"/>
      <c r="O2200"/>
      <c r="P2200"/>
      <c r="Q2200"/>
      <c r="R2200"/>
      <c r="S2200"/>
      <c r="T2200"/>
      <c r="U2200"/>
      <c r="V2200"/>
      <c r="W2200"/>
      <c r="X2200"/>
      <c r="Y2200"/>
      <c r="Z2200"/>
      <c r="AA2200"/>
    </row>
    <row r="2201" spans="1:27" s="1" customFormat="1" x14ac:dyDescent="0.3">
      <c r="A2201"/>
      <c r="B2201"/>
      <c r="C2201"/>
      <c r="D2201"/>
      <c r="E2201"/>
      <c r="F2201"/>
      <c r="G2201"/>
      <c r="H2201"/>
      <c r="I2201"/>
      <c r="J2201"/>
      <c r="K2201"/>
      <c r="L2201"/>
      <c r="M2201"/>
      <c r="N2201"/>
      <c r="O2201"/>
      <c r="P2201"/>
      <c r="Q2201"/>
      <c r="R2201"/>
      <c r="S2201"/>
      <c r="T2201"/>
      <c r="U2201"/>
      <c r="V2201"/>
      <c r="W2201"/>
      <c r="X2201"/>
      <c r="Y2201"/>
      <c r="Z2201"/>
      <c r="AA2201"/>
    </row>
    <row r="2202" spans="1:27" s="1" customFormat="1" x14ac:dyDescent="0.3">
      <c r="A2202"/>
      <c r="B2202"/>
      <c r="C2202"/>
      <c r="D2202"/>
      <c r="E2202"/>
      <c r="F2202"/>
      <c r="G2202"/>
      <c r="H2202"/>
      <c r="I2202"/>
      <c r="J2202"/>
      <c r="K2202"/>
      <c r="L2202"/>
      <c r="M2202"/>
      <c r="N2202"/>
      <c r="O2202"/>
      <c r="P2202"/>
      <c r="Q2202"/>
      <c r="R2202"/>
      <c r="S2202"/>
      <c r="T2202"/>
      <c r="U2202"/>
      <c r="V2202"/>
      <c r="W2202"/>
      <c r="X2202"/>
      <c r="Y2202"/>
      <c r="Z2202"/>
      <c r="AA2202"/>
    </row>
    <row r="2203" spans="1:27" s="1" customFormat="1" x14ac:dyDescent="0.3">
      <c r="A2203"/>
      <c r="B2203"/>
      <c r="C2203"/>
      <c r="D2203"/>
      <c r="E2203"/>
      <c r="F2203"/>
      <c r="G2203"/>
      <c r="H2203"/>
      <c r="I2203"/>
      <c r="J2203"/>
      <c r="K2203"/>
      <c r="L2203"/>
      <c r="M2203"/>
      <c r="N2203"/>
      <c r="O2203"/>
      <c r="P2203"/>
      <c r="Q2203"/>
      <c r="R2203"/>
      <c r="S2203"/>
      <c r="T2203"/>
      <c r="U2203"/>
      <c r="V2203"/>
      <c r="W2203"/>
      <c r="X2203"/>
      <c r="Y2203"/>
      <c r="Z2203"/>
      <c r="AA2203"/>
    </row>
    <row r="2204" spans="1:27" s="1" customFormat="1" x14ac:dyDescent="0.3">
      <c r="A2204"/>
      <c r="B2204"/>
      <c r="C2204"/>
      <c r="D2204"/>
      <c r="E2204"/>
      <c r="F2204"/>
      <c r="G2204"/>
      <c r="H2204"/>
      <c r="I2204"/>
      <c r="J2204"/>
      <c r="K2204"/>
      <c r="L2204"/>
      <c r="M2204"/>
      <c r="N2204"/>
      <c r="O2204"/>
      <c r="P2204"/>
      <c r="Q2204"/>
      <c r="R2204"/>
      <c r="S2204"/>
      <c r="T2204"/>
      <c r="U2204"/>
      <c r="V2204"/>
      <c r="W2204"/>
      <c r="X2204"/>
      <c r="Y2204"/>
      <c r="Z2204"/>
      <c r="AA2204"/>
    </row>
    <row r="2205" spans="1:27" s="1" customFormat="1" x14ac:dyDescent="0.3">
      <c r="A2205"/>
      <c r="B2205"/>
      <c r="C2205"/>
      <c r="D2205"/>
      <c r="E2205"/>
      <c r="F2205"/>
      <c r="G2205"/>
      <c r="H2205"/>
      <c r="I2205"/>
      <c r="J2205"/>
      <c r="K2205"/>
      <c r="L2205"/>
      <c r="M2205"/>
      <c r="N2205"/>
      <c r="O2205"/>
      <c r="P2205"/>
      <c r="Q2205"/>
      <c r="R2205"/>
      <c r="S2205"/>
      <c r="T2205"/>
      <c r="U2205"/>
      <c r="V2205"/>
      <c r="W2205"/>
      <c r="X2205"/>
      <c r="Y2205"/>
      <c r="Z2205"/>
      <c r="AA2205"/>
    </row>
    <row r="2206" spans="1:27" s="1" customFormat="1" x14ac:dyDescent="0.3">
      <c r="A2206"/>
      <c r="B2206"/>
      <c r="C2206"/>
      <c r="D2206"/>
      <c r="E2206"/>
      <c r="F2206"/>
      <c r="G2206"/>
      <c r="H2206"/>
      <c r="I2206"/>
      <c r="J2206"/>
      <c r="K2206"/>
      <c r="L2206"/>
      <c r="M2206"/>
      <c r="N2206"/>
      <c r="O2206"/>
      <c r="P2206"/>
      <c r="Q2206"/>
      <c r="R2206"/>
      <c r="S2206"/>
      <c r="T2206"/>
      <c r="U2206"/>
      <c r="V2206"/>
      <c r="W2206"/>
      <c r="X2206"/>
      <c r="Y2206"/>
      <c r="Z2206"/>
      <c r="AA2206"/>
    </row>
    <row r="2207" spans="1:27" s="1" customFormat="1" x14ac:dyDescent="0.3">
      <c r="A2207"/>
      <c r="B2207"/>
      <c r="C2207"/>
      <c r="D2207"/>
      <c r="E2207"/>
      <c r="F2207"/>
      <c r="G2207"/>
      <c r="H2207"/>
      <c r="I2207"/>
      <c r="J2207"/>
      <c r="K2207"/>
      <c r="L2207"/>
      <c r="M2207"/>
      <c r="N2207"/>
      <c r="O2207"/>
      <c r="P2207"/>
      <c r="Q2207"/>
      <c r="R2207"/>
      <c r="S2207"/>
      <c r="T2207"/>
      <c r="U2207"/>
      <c r="V2207"/>
      <c r="W2207"/>
      <c r="X2207"/>
      <c r="Y2207"/>
      <c r="Z2207"/>
      <c r="AA2207"/>
    </row>
    <row r="2208" spans="1:27" s="1" customFormat="1" x14ac:dyDescent="0.3">
      <c r="A2208"/>
      <c r="B2208"/>
      <c r="C2208"/>
      <c r="D2208"/>
      <c r="E2208"/>
      <c r="F2208"/>
      <c r="G2208"/>
      <c r="H2208"/>
      <c r="I2208"/>
      <c r="J2208"/>
      <c r="K2208"/>
      <c r="L2208"/>
      <c r="M2208"/>
      <c r="N2208"/>
      <c r="O2208"/>
      <c r="P2208"/>
      <c r="Q2208"/>
      <c r="R2208"/>
      <c r="S2208"/>
      <c r="T2208"/>
      <c r="U2208"/>
      <c r="V2208"/>
      <c r="W2208"/>
      <c r="X2208"/>
      <c r="Y2208"/>
      <c r="Z2208"/>
      <c r="AA2208"/>
    </row>
    <row r="2209" spans="1:27" s="1" customFormat="1" x14ac:dyDescent="0.3">
      <c r="A2209"/>
      <c r="B2209"/>
      <c r="C2209"/>
      <c r="D2209"/>
      <c r="E2209"/>
      <c r="F2209"/>
      <c r="G2209"/>
      <c r="H2209"/>
      <c r="I2209"/>
      <c r="J2209"/>
      <c r="K2209"/>
      <c r="L2209"/>
      <c r="M2209"/>
      <c r="N2209"/>
      <c r="O2209"/>
      <c r="P2209"/>
      <c r="Q2209"/>
      <c r="R2209"/>
      <c r="S2209"/>
      <c r="T2209"/>
      <c r="U2209"/>
      <c r="V2209"/>
      <c r="W2209"/>
      <c r="X2209"/>
      <c r="Y2209"/>
      <c r="Z2209"/>
      <c r="AA2209"/>
    </row>
    <row r="2210" spans="1:27" s="1" customFormat="1" x14ac:dyDescent="0.3">
      <c r="A2210"/>
      <c r="B2210"/>
      <c r="C2210"/>
      <c r="D2210"/>
      <c r="E2210"/>
      <c r="F2210"/>
      <c r="G2210"/>
      <c r="H2210"/>
      <c r="I2210"/>
      <c r="J2210"/>
      <c r="K2210"/>
      <c r="L2210"/>
      <c r="M2210"/>
      <c r="N2210"/>
      <c r="O2210"/>
      <c r="P2210"/>
      <c r="Q2210"/>
      <c r="R2210"/>
      <c r="S2210"/>
      <c r="T2210"/>
      <c r="U2210"/>
      <c r="V2210"/>
      <c r="W2210"/>
      <c r="X2210"/>
      <c r="Y2210"/>
      <c r="Z2210"/>
      <c r="AA2210"/>
    </row>
    <row r="2211" spans="1:27" s="1" customFormat="1" x14ac:dyDescent="0.3">
      <c r="A2211"/>
      <c r="B2211"/>
      <c r="C2211"/>
      <c r="D2211"/>
      <c r="E2211"/>
      <c r="F2211"/>
      <c r="G2211"/>
      <c r="H2211"/>
      <c r="I2211"/>
      <c r="J2211"/>
      <c r="K2211"/>
      <c r="L2211"/>
      <c r="M2211"/>
      <c r="N2211"/>
      <c r="O2211"/>
      <c r="P2211"/>
      <c r="Q2211"/>
      <c r="R2211"/>
      <c r="S2211"/>
      <c r="T2211"/>
      <c r="U2211"/>
      <c r="V2211"/>
      <c r="W2211"/>
      <c r="X2211"/>
      <c r="Y2211"/>
      <c r="Z2211"/>
      <c r="AA2211"/>
    </row>
    <row r="2212" spans="1:27" s="1" customFormat="1" x14ac:dyDescent="0.3">
      <c r="A2212"/>
      <c r="B2212"/>
      <c r="C2212"/>
      <c r="D2212"/>
      <c r="E2212"/>
      <c r="F2212"/>
      <c r="G2212"/>
      <c r="H2212"/>
      <c r="I2212"/>
      <c r="J2212"/>
      <c r="K2212"/>
      <c r="L2212"/>
      <c r="M2212"/>
      <c r="N2212"/>
      <c r="O2212"/>
      <c r="P2212"/>
      <c r="Q2212"/>
      <c r="R2212"/>
      <c r="S2212"/>
      <c r="T2212"/>
      <c r="U2212"/>
      <c r="V2212"/>
      <c r="W2212"/>
      <c r="X2212"/>
      <c r="Y2212"/>
      <c r="Z2212"/>
      <c r="AA2212"/>
    </row>
    <row r="2213" spans="1:27" s="1" customFormat="1" x14ac:dyDescent="0.3">
      <c r="A2213"/>
      <c r="B2213"/>
      <c r="C2213"/>
      <c r="D2213"/>
      <c r="E2213"/>
      <c r="F2213"/>
      <c r="G2213"/>
      <c r="H2213"/>
      <c r="I2213"/>
      <c r="J2213"/>
      <c r="K2213"/>
      <c r="L2213"/>
      <c r="M2213"/>
      <c r="N2213"/>
      <c r="O2213"/>
      <c r="P2213"/>
      <c r="Q2213"/>
      <c r="R2213"/>
      <c r="S2213"/>
      <c r="T2213"/>
      <c r="U2213"/>
      <c r="V2213"/>
      <c r="W2213"/>
      <c r="X2213"/>
      <c r="Y2213"/>
      <c r="Z2213"/>
      <c r="AA2213"/>
    </row>
    <row r="2214" spans="1:27" s="1" customFormat="1" x14ac:dyDescent="0.3">
      <c r="A2214"/>
      <c r="B2214"/>
      <c r="C2214"/>
      <c r="D2214"/>
      <c r="E2214"/>
      <c r="F2214"/>
      <c r="G2214"/>
      <c r="H2214"/>
      <c r="I2214"/>
      <c r="J2214"/>
      <c r="K2214"/>
      <c r="L2214"/>
      <c r="M2214"/>
      <c r="N2214"/>
      <c r="O2214"/>
      <c r="P2214"/>
      <c r="Q2214"/>
      <c r="R2214"/>
      <c r="S2214"/>
      <c r="T2214"/>
      <c r="U2214"/>
      <c r="V2214"/>
      <c r="W2214"/>
      <c r="X2214"/>
      <c r="Y2214"/>
      <c r="Z2214"/>
      <c r="AA2214"/>
    </row>
    <row r="2215" spans="1:27" s="1" customFormat="1" x14ac:dyDescent="0.3">
      <c r="A2215"/>
      <c r="B2215"/>
      <c r="C2215"/>
      <c r="D2215"/>
      <c r="E2215"/>
      <c r="F2215"/>
      <c r="G2215"/>
      <c r="H2215"/>
      <c r="I2215"/>
      <c r="J2215"/>
      <c r="K2215"/>
      <c r="L2215"/>
      <c r="M2215"/>
      <c r="N2215"/>
      <c r="O2215"/>
      <c r="P2215"/>
      <c r="Q2215"/>
      <c r="R2215"/>
      <c r="S2215"/>
      <c r="T2215"/>
      <c r="U2215"/>
      <c r="V2215"/>
      <c r="W2215"/>
      <c r="X2215"/>
      <c r="Y2215"/>
      <c r="Z2215"/>
      <c r="AA2215"/>
    </row>
    <row r="2216" spans="1:27" s="1" customFormat="1" x14ac:dyDescent="0.3">
      <c r="A2216"/>
      <c r="B2216"/>
      <c r="C2216"/>
      <c r="D2216"/>
      <c r="E2216"/>
      <c r="F2216"/>
      <c r="G2216"/>
      <c r="H2216"/>
      <c r="I2216"/>
      <c r="J2216"/>
      <c r="K2216"/>
      <c r="L2216"/>
      <c r="M2216"/>
      <c r="N2216"/>
      <c r="O2216"/>
      <c r="P2216"/>
      <c r="Q2216"/>
      <c r="R2216"/>
      <c r="S2216"/>
      <c r="T2216"/>
      <c r="U2216"/>
      <c r="V2216"/>
      <c r="W2216"/>
      <c r="X2216"/>
      <c r="Y2216"/>
      <c r="Z2216"/>
      <c r="AA2216"/>
    </row>
    <row r="2217" spans="1:27" s="1" customFormat="1" x14ac:dyDescent="0.3">
      <c r="A2217"/>
      <c r="B2217"/>
      <c r="C2217"/>
      <c r="D2217"/>
      <c r="E2217"/>
      <c r="F2217"/>
      <c r="G2217"/>
      <c r="H2217"/>
      <c r="I2217"/>
      <c r="J2217"/>
      <c r="K2217"/>
      <c r="L2217"/>
      <c r="M2217"/>
      <c r="N2217"/>
      <c r="O2217"/>
      <c r="P2217"/>
      <c r="Q2217"/>
      <c r="R2217"/>
      <c r="S2217"/>
      <c r="T2217"/>
      <c r="U2217"/>
      <c r="V2217"/>
      <c r="W2217"/>
      <c r="X2217"/>
      <c r="Y2217"/>
      <c r="Z2217"/>
      <c r="AA2217"/>
    </row>
    <row r="2218" spans="1:27" s="1" customFormat="1" x14ac:dyDescent="0.3">
      <c r="A2218"/>
      <c r="B2218"/>
      <c r="C2218"/>
      <c r="D2218"/>
      <c r="E2218"/>
      <c r="F2218"/>
      <c r="G2218"/>
      <c r="H2218"/>
      <c r="I2218"/>
      <c r="J2218"/>
      <c r="K2218"/>
      <c r="L2218"/>
      <c r="M2218"/>
      <c r="N2218"/>
      <c r="O2218"/>
      <c r="P2218"/>
      <c r="Q2218"/>
      <c r="R2218"/>
      <c r="S2218"/>
      <c r="T2218"/>
      <c r="U2218"/>
      <c r="V2218"/>
      <c r="W2218"/>
      <c r="X2218"/>
      <c r="Y2218"/>
      <c r="Z2218"/>
      <c r="AA2218"/>
    </row>
    <row r="2219" spans="1:27" s="1" customFormat="1" x14ac:dyDescent="0.3">
      <c r="A2219"/>
      <c r="B2219"/>
      <c r="C2219"/>
      <c r="D2219"/>
      <c r="E2219"/>
      <c r="F2219"/>
      <c r="G2219"/>
      <c r="H2219"/>
      <c r="I2219"/>
      <c r="J2219"/>
      <c r="K2219"/>
      <c r="L2219"/>
      <c r="M2219"/>
      <c r="N2219"/>
      <c r="O2219"/>
      <c r="P2219"/>
      <c r="Q2219"/>
      <c r="R2219"/>
      <c r="S2219"/>
      <c r="T2219"/>
      <c r="U2219"/>
      <c r="V2219"/>
      <c r="W2219"/>
      <c r="X2219"/>
      <c r="Y2219"/>
      <c r="Z2219"/>
      <c r="AA2219"/>
    </row>
    <row r="2220" spans="1:27" s="1" customFormat="1" x14ac:dyDescent="0.3">
      <c r="A2220"/>
      <c r="B2220"/>
      <c r="C2220"/>
      <c r="D2220"/>
      <c r="E2220"/>
      <c r="F2220"/>
      <c r="G2220"/>
      <c r="H2220"/>
      <c r="I2220"/>
      <c r="J2220"/>
      <c r="K2220"/>
      <c r="L2220"/>
      <c r="M2220"/>
      <c r="N2220"/>
      <c r="O2220"/>
      <c r="P2220"/>
      <c r="Q2220"/>
      <c r="R2220"/>
      <c r="S2220"/>
      <c r="T2220"/>
      <c r="U2220"/>
      <c r="V2220"/>
      <c r="W2220"/>
      <c r="X2220"/>
      <c r="Y2220"/>
      <c r="Z2220"/>
      <c r="AA2220"/>
    </row>
    <row r="2221" spans="1:27" s="1" customFormat="1" x14ac:dyDescent="0.3">
      <c r="A2221"/>
      <c r="B2221"/>
      <c r="C2221"/>
      <c r="D2221"/>
      <c r="E2221"/>
      <c r="F2221"/>
      <c r="G2221"/>
      <c r="H2221"/>
      <c r="I2221"/>
      <c r="J2221"/>
      <c r="K2221"/>
      <c r="L2221"/>
      <c r="M2221"/>
      <c r="N2221"/>
      <c r="O2221"/>
      <c r="P2221"/>
      <c r="Q2221"/>
      <c r="R2221"/>
      <c r="S2221"/>
      <c r="T2221"/>
      <c r="U2221"/>
      <c r="V2221"/>
      <c r="W2221"/>
      <c r="X2221"/>
      <c r="Y2221"/>
      <c r="Z2221"/>
      <c r="AA2221"/>
    </row>
    <row r="2222" spans="1:27" s="1" customFormat="1" x14ac:dyDescent="0.3">
      <c r="A2222"/>
      <c r="B2222"/>
      <c r="C2222"/>
      <c r="D2222"/>
      <c r="E2222"/>
      <c r="F2222"/>
      <c r="G2222"/>
      <c r="H2222"/>
      <c r="I2222"/>
      <c r="J2222"/>
      <c r="K2222"/>
      <c r="L2222"/>
      <c r="M2222"/>
      <c r="N2222"/>
      <c r="O2222"/>
      <c r="P2222"/>
      <c r="Q2222"/>
      <c r="R2222"/>
      <c r="S2222"/>
      <c r="T2222"/>
      <c r="U2222"/>
      <c r="V2222"/>
      <c r="W2222"/>
      <c r="X2222"/>
      <c r="Y2222"/>
      <c r="Z2222"/>
      <c r="AA2222"/>
    </row>
    <row r="2223" spans="1:27" s="1" customFormat="1" x14ac:dyDescent="0.3">
      <c r="A2223"/>
      <c r="B2223"/>
      <c r="C2223"/>
      <c r="D2223"/>
      <c r="E2223"/>
      <c r="F2223"/>
      <c r="G2223"/>
      <c r="H2223"/>
      <c r="I2223"/>
      <c r="J2223"/>
      <c r="K2223"/>
      <c r="L2223"/>
      <c r="M2223"/>
      <c r="N2223"/>
      <c r="O2223"/>
      <c r="P2223"/>
      <c r="Q2223"/>
      <c r="R2223"/>
      <c r="S2223"/>
      <c r="T2223"/>
      <c r="U2223"/>
      <c r="V2223"/>
      <c r="W2223"/>
      <c r="X2223"/>
      <c r="Y2223"/>
      <c r="Z2223"/>
      <c r="AA2223"/>
    </row>
    <row r="2224" spans="1:27" s="1" customFormat="1" x14ac:dyDescent="0.3">
      <c r="A2224"/>
      <c r="B2224"/>
      <c r="C2224"/>
      <c r="D2224"/>
      <c r="E2224"/>
      <c r="F2224"/>
      <c r="G2224"/>
      <c r="H2224"/>
      <c r="I2224"/>
      <c r="J2224"/>
      <c r="K2224"/>
      <c r="L2224"/>
      <c r="M2224"/>
      <c r="N2224"/>
      <c r="O2224"/>
      <c r="P2224"/>
      <c r="Q2224"/>
      <c r="R2224"/>
      <c r="S2224"/>
      <c r="T2224"/>
      <c r="U2224"/>
      <c r="V2224"/>
      <c r="W2224"/>
      <c r="X2224"/>
      <c r="Y2224"/>
      <c r="Z2224"/>
      <c r="AA2224"/>
    </row>
    <row r="2225" spans="1:27" s="1" customFormat="1" x14ac:dyDescent="0.3">
      <c r="A2225"/>
      <c r="B2225"/>
      <c r="C2225"/>
      <c r="D2225"/>
      <c r="E2225"/>
      <c r="F2225"/>
      <c r="G2225"/>
      <c r="H2225"/>
      <c r="I2225"/>
      <c r="J2225"/>
      <c r="K2225"/>
      <c r="L2225"/>
      <c r="M2225"/>
      <c r="N2225"/>
      <c r="O2225"/>
      <c r="P2225"/>
      <c r="Q2225"/>
      <c r="R2225"/>
      <c r="S2225"/>
      <c r="T2225"/>
      <c r="U2225"/>
      <c r="V2225"/>
      <c r="W2225"/>
      <c r="X2225"/>
      <c r="Y2225"/>
      <c r="Z2225"/>
      <c r="AA2225"/>
    </row>
    <row r="2226" spans="1:27" s="1" customFormat="1" x14ac:dyDescent="0.3">
      <c r="A2226"/>
      <c r="B2226"/>
      <c r="C2226"/>
      <c r="D2226"/>
      <c r="E2226"/>
      <c r="F2226"/>
      <c r="G2226"/>
      <c r="H2226"/>
      <c r="I2226"/>
      <c r="J2226"/>
      <c r="K2226"/>
      <c r="L2226"/>
      <c r="M2226"/>
      <c r="N2226"/>
      <c r="O2226"/>
      <c r="P2226"/>
      <c r="Q2226"/>
      <c r="R2226"/>
      <c r="S2226"/>
      <c r="T2226"/>
      <c r="U2226"/>
      <c r="V2226"/>
      <c r="W2226"/>
      <c r="X2226"/>
      <c r="Y2226"/>
      <c r="Z2226"/>
      <c r="AA2226"/>
    </row>
    <row r="2227" spans="1:27" s="1" customFormat="1" x14ac:dyDescent="0.3">
      <c r="A2227"/>
      <c r="B2227"/>
      <c r="C2227"/>
      <c r="D2227"/>
      <c r="E2227"/>
      <c r="F2227"/>
      <c r="G2227"/>
      <c r="H2227"/>
      <c r="I2227"/>
      <c r="J2227"/>
      <c r="K2227"/>
      <c r="L2227"/>
      <c r="M2227"/>
      <c r="N2227"/>
      <c r="O2227"/>
      <c r="P2227"/>
      <c r="Q2227"/>
      <c r="R2227"/>
      <c r="S2227"/>
      <c r="T2227"/>
      <c r="U2227"/>
      <c r="V2227"/>
      <c r="W2227"/>
      <c r="X2227"/>
      <c r="Y2227"/>
      <c r="Z2227"/>
      <c r="AA2227"/>
    </row>
    <row r="2228" spans="1:27" s="1" customFormat="1" x14ac:dyDescent="0.3">
      <c r="A2228"/>
      <c r="B2228"/>
      <c r="C2228"/>
      <c r="D2228"/>
      <c r="E2228"/>
      <c r="F2228"/>
      <c r="G2228"/>
      <c r="H2228"/>
      <c r="I2228"/>
      <c r="J2228"/>
      <c r="K2228"/>
      <c r="L2228"/>
      <c r="M2228"/>
      <c r="N2228"/>
      <c r="O2228"/>
      <c r="P2228"/>
      <c r="Q2228"/>
      <c r="R2228"/>
      <c r="S2228"/>
      <c r="T2228"/>
      <c r="U2228"/>
      <c r="V2228"/>
      <c r="W2228"/>
      <c r="X2228"/>
      <c r="Y2228"/>
      <c r="Z2228"/>
      <c r="AA2228"/>
    </row>
    <row r="2229" spans="1:27" s="1" customFormat="1" x14ac:dyDescent="0.3">
      <c r="A2229"/>
      <c r="B2229"/>
      <c r="C2229"/>
      <c r="D2229"/>
      <c r="E2229"/>
      <c r="F2229"/>
      <c r="G2229"/>
      <c r="H2229"/>
      <c r="I2229"/>
      <c r="J2229"/>
      <c r="K2229"/>
      <c r="L2229"/>
      <c r="M2229"/>
      <c r="N2229"/>
      <c r="O2229"/>
      <c r="P2229"/>
      <c r="Q2229"/>
      <c r="R2229"/>
      <c r="S2229"/>
      <c r="T2229"/>
      <c r="U2229"/>
      <c r="V2229"/>
      <c r="W2229"/>
      <c r="X2229"/>
      <c r="Y2229"/>
      <c r="Z2229"/>
      <c r="AA2229"/>
    </row>
    <row r="2230" spans="1:27" s="1" customFormat="1" x14ac:dyDescent="0.3">
      <c r="A2230"/>
      <c r="B2230"/>
      <c r="C2230"/>
      <c r="D2230"/>
      <c r="E2230"/>
      <c r="F2230"/>
      <c r="G2230"/>
      <c r="H2230"/>
      <c r="I2230"/>
      <c r="J2230"/>
      <c r="K2230"/>
      <c r="L2230"/>
      <c r="M2230"/>
      <c r="N2230"/>
      <c r="O2230"/>
      <c r="P2230"/>
      <c r="Q2230"/>
      <c r="R2230"/>
      <c r="S2230"/>
      <c r="T2230"/>
      <c r="U2230"/>
      <c r="V2230"/>
      <c r="W2230"/>
      <c r="X2230"/>
      <c r="Y2230"/>
      <c r="Z2230"/>
      <c r="AA2230"/>
    </row>
    <row r="2231" spans="1:27" s="1" customFormat="1" x14ac:dyDescent="0.3">
      <c r="A2231"/>
      <c r="B2231"/>
      <c r="C2231"/>
      <c r="D2231"/>
      <c r="E2231"/>
      <c r="F2231"/>
      <c r="G2231"/>
      <c r="H2231"/>
      <c r="I2231"/>
      <c r="J2231"/>
      <c r="K2231"/>
      <c r="L2231"/>
      <c r="M2231"/>
      <c r="N2231"/>
      <c r="O2231"/>
      <c r="P2231"/>
      <c r="Q2231"/>
      <c r="R2231"/>
      <c r="S2231"/>
      <c r="T2231"/>
      <c r="U2231"/>
      <c r="V2231"/>
      <c r="W2231"/>
      <c r="X2231"/>
      <c r="Y2231"/>
      <c r="Z2231"/>
      <c r="AA2231"/>
    </row>
    <row r="2232" spans="1:27" s="1" customFormat="1" x14ac:dyDescent="0.3">
      <c r="A2232"/>
      <c r="B2232"/>
      <c r="C2232"/>
      <c r="D2232"/>
      <c r="E2232"/>
      <c r="F2232"/>
      <c r="G2232"/>
      <c r="H2232"/>
      <c r="I2232"/>
      <c r="J2232"/>
      <c r="K2232"/>
      <c r="L2232"/>
      <c r="M2232"/>
      <c r="N2232"/>
      <c r="O2232"/>
      <c r="P2232"/>
      <c r="Q2232"/>
      <c r="R2232"/>
      <c r="S2232"/>
      <c r="T2232"/>
      <c r="U2232"/>
      <c r="V2232"/>
      <c r="W2232"/>
      <c r="X2232"/>
      <c r="Y2232"/>
      <c r="Z2232"/>
      <c r="AA2232"/>
    </row>
    <row r="2233" spans="1:27" s="1" customFormat="1" x14ac:dyDescent="0.3">
      <c r="A2233"/>
      <c r="B2233"/>
      <c r="C2233"/>
      <c r="D2233"/>
      <c r="E2233"/>
      <c r="F2233"/>
      <c r="G2233"/>
      <c r="H2233"/>
      <c r="I2233"/>
      <c r="J2233"/>
      <c r="K2233"/>
      <c r="L2233"/>
      <c r="M2233"/>
      <c r="N2233"/>
      <c r="O2233"/>
      <c r="P2233"/>
      <c r="Q2233"/>
      <c r="R2233"/>
      <c r="S2233"/>
      <c r="T2233"/>
      <c r="U2233"/>
      <c r="V2233"/>
      <c r="W2233"/>
      <c r="X2233"/>
      <c r="Y2233"/>
      <c r="Z2233"/>
      <c r="AA2233"/>
    </row>
    <row r="2234" spans="1:27" s="1" customFormat="1" x14ac:dyDescent="0.3">
      <c r="A2234"/>
      <c r="B2234"/>
      <c r="C2234"/>
      <c r="D2234"/>
      <c r="E2234"/>
      <c r="F2234"/>
      <c r="G2234"/>
      <c r="H2234"/>
      <c r="I2234"/>
      <c r="J2234"/>
      <c r="K2234"/>
      <c r="L2234"/>
      <c r="M2234"/>
      <c r="N2234"/>
      <c r="O2234"/>
      <c r="P2234"/>
      <c r="Q2234"/>
      <c r="R2234"/>
      <c r="S2234"/>
      <c r="T2234"/>
      <c r="U2234"/>
      <c r="V2234"/>
      <c r="W2234"/>
      <c r="X2234"/>
      <c r="Y2234"/>
      <c r="Z2234"/>
      <c r="AA2234"/>
    </row>
    <row r="2235" spans="1:27" s="1" customFormat="1" x14ac:dyDescent="0.3">
      <c r="A2235"/>
      <c r="B2235"/>
      <c r="C2235"/>
      <c r="D2235"/>
      <c r="E2235"/>
      <c r="F2235"/>
      <c r="G2235"/>
      <c r="H2235"/>
      <c r="I2235"/>
      <c r="J2235"/>
      <c r="K2235"/>
      <c r="L2235"/>
      <c r="M2235"/>
      <c r="N2235"/>
      <c r="O2235"/>
      <c r="P2235"/>
      <c r="Q2235"/>
      <c r="R2235"/>
      <c r="S2235"/>
      <c r="T2235"/>
      <c r="U2235"/>
      <c r="V2235"/>
      <c r="W2235"/>
      <c r="X2235"/>
      <c r="Y2235"/>
      <c r="Z2235"/>
      <c r="AA2235"/>
    </row>
    <row r="2236" spans="1:27" s="1" customFormat="1" x14ac:dyDescent="0.3">
      <c r="A2236"/>
      <c r="B2236"/>
      <c r="C2236"/>
      <c r="D2236"/>
      <c r="E2236"/>
      <c r="F2236"/>
      <c r="G2236"/>
      <c r="H2236"/>
      <c r="I2236"/>
      <c r="J2236"/>
      <c r="K2236"/>
      <c r="L2236"/>
      <c r="M2236"/>
      <c r="N2236"/>
      <c r="O2236"/>
      <c r="P2236"/>
      <c r="Q2236"/>
      <c r="R2236"/>
      <c r="S2236"/>
      <c r="T2236"/>
      <c r="U2236"/>
      <c r="V2236"/>
      <c r="W2236"/>
      <c r="X2236"/>
      <c r="Y2236"/>
      <c r="Z2236"/>
      <c r="AA2236"/>
    </row>
    <row r="2237" spans="1:27" s="1" customFormat="1" x14ac:dyDescent="0.3">
      <c r="A2237"/>
      <c r="B2237"/>
      <c r="C2237"/>
      <c r="D2237"/>
      <c r="E2237"/>
      <c r="F2237"/>
      <c r="G2237"/>
      <c r="H2237"/>
      <c r="I2237"/>
      <c r="J2237"/>
      <c r="K2237"/>
      <c r="L2237"/>
      <c r="M2237"/>
      <c r="N2237"/>
      <c r="O2237"/>
      <c r="P2237"/>
      <c r="Q2237"/>
      <c r="R2237"/>
      <c r="S2237"/>
      <c r="T2237"/>
      <c r="U2237"/>
      <c r="V2237"/>
      <c r="W2237"/>
      <c r="X2237"/>
      <c r="Y2237"/>
      <c r="Z2237"/>
      <c r="AA2237"/>
    </row>
    <row r="2238" spans="1:27" s="1" customFormat="1" x14ac:dyDescent="0.3">
      <c r="A2238"/>
      <c r="B2238"/>
      <c r="C2238"/>
      <c r="D2238"/>
      <c r="E2238"/>
      <c r="F2238"/>
      <c r="G2238"/>
      <c r="H2238"/>
      <c r="I2238"/>
      <c r="J2238"/>
      <c r="K2238"/>
      <c r="L2238"/>
      <c r="M2238"/>
      <c r="N2238"/>
      <c r="O2238"/>
      <c r="P2238"/>
      <c r="Q2238"/>
      <c r="R2238"/>
      <c r="S2238"/>
      <c r="T2238"/>
      <c r="U2238"/>
      <c r="V2238"/>
      <c r="W2238"/>
      <c r="X2238"/>
      <c r="Y2238"/>
      <c r="Z2238"/>
      <c r="AA2238"/>
    </row>
    <row r="2239" spans="1:27" s="1" customFormat="1" x14ac:dyDescent="0.3">
      <c r="A2239"/>
      <c r="B2239"/>
      <c r="C2239"/>
      <c r="D2239"/>
      <c r="E2239"/>
      <c r="F2239"/>
      <c r="G2239"/>
      <c r="H2239"/>
      <c r="I2239"/>
      <c r="J2239"/>
      <c r="K2239"/>
      <c r="L2239"/>
      <c r="M2239"/>
      <c r="N2239"/>
      <c r="O2239"/>
      <c r="P2239"/>
      <c r="Q2239"/>
      <c r="R2239"/>
      <c r="S2239"/>
      <c r="T2239"/>
      <c r="U2239"/>
      <c r="V2239"/>
      <c r="W2239"/>
      <c r="X2239"/>
      <c r="Y2239"/>
      <c r="Z2239"/>
      <c r="AA2239"/>
    </row>
    <row r="2240" spans="1:27" s="1" customFormat="1" x14ac:dyDescent="0.3">
      <c r="A2240"/>
      <c r="B2240"/>
      <c r="C2240"/>
      <c r="D2240"/>
      <c r="E2240"/>
      <c r="F2240"/>
      <c r="G2240"/>
      <c r="H2240"/>
      <c r="I2240"/>
      <c r="J2240"/>
      <c r="K2240"/>
      <c r="L2240"/>
      <c r="M2240"/>
      <c r="N2240"/>
      <c r="O2240"/>
      <c r="P2240"/>
      <c r="Q2240"/>
      <c r="R2240"/>
      <c r="S2240"/>
      <c r="T2240"/>
      <c r="U2240"/>
      <c r="V2240"/>
      <c r="W2240"/>
      <c r="X2240"/>
      <c r="Y2240"/>
      <c r="Z2240"/>
      <c r="AA2240"/>
    </row>
    <row r="2241" spans="1:27" s="1" customFormat="1" x14ac:dyDescent="0.3">
      <c r="A2241"/>
      <c r="B2241"/>
      <c r="C2241"/>
      <c r="D2241"/>
      <c r="E2241"/>
      <c r="F2241"/>
      <c r="G2241"/>
      <c r="H2241"/>
      <c r="I2241"/>
      <c r="J2241"/>
      <c r="K2241"/>
      <c r="L2241"/>
      <c r="M2241"/>
      <c r="N2241"/>
      <c r="O2241"/>
      <c r="P2241"/>
      <c r="Q2241"/>
      <c r="R2241"/>
      <c r="S2241"/>
      <c r="T2241"/>
      <c r="U2241"/>
      <c r="V2241"/>
      <c r="W2241"/>
      <c r="X2241"/>
      <c r="Y2241"/>
      <c r="Z2241"/>
      <c r="AA2241"/>
    </row>
    <row r="2242" spans="1:27" s="1" customFormat="1" x14ac:dyDescent="0.3">
      <c r="A2242"/>
      <c r="B2242"/>
      <c r="C2242"/>
      <c r="D2242"/>
      <c r="E2242"/>
      <c r="F2242"/>
      <c r="G2242"/>
      <c r="H2242"/>
      <c r="I2242"/>
      <c r="J2242"/>
      <c r="K2242"/>
      <c r="L2242"/>
      <c r="M2242"/>
      <c r="N2242"/>
      <c r="O2242"/>
      <c r="P2242"/>
      <c r="Q2242"/>
      <c r="R2242"/>
      <c r="S2242"/>
      <c r="T2242"/>
      <c r="U2242"/>
      <c r="V2242"/>
      <c r="W2242"/>
      <c r="X2242"/>
      <c r="Y2242"/>
      <c r="Z2242"/>
      <c r="AA2242"/>
    </row>
    <row r="2243" spans="1:27" s="1" customFormat="1" x14ac:dyDescent="0.3">
      <c r="A2243"/>
      <c r="B2243"/>
      <c r="C2243"/>
      <c r="D2243"/>
      <c r="E2243"/>
      <c r="F2243"/>
      <c r="G2243"/>
      <c r="H2243"/>
      <c r="I2243"/>
      <c r="J2243"/>
      <c r="K2243"/>
      <c r="L2243"/>
      <c r="M2243"/>
      <c r="N2243"/>
      <c r="O2243"/>
      <c r="P2243"/>
      <c r="Q2243"/>
      <c r="R2243"/>
      <c r="S2243"/>
      <c r="T2243"/>
      <c r="U2243"/>
      <c r="V2243"/>
      <c r="W2243"/>
      <c r="X2243"/>
      <c r="Y2243"/>
      <c r="Z2243"/>
      <c r="AA2243"/>
    </row>
    <row r="2244" spans="1:27" s="1" customFormat="1" x14ac:dyDescent="0.3">
      <c r="A2244"/>
      <c r="B2244"/>
      <c r="C2244"/>
      <c r="D2244"/>
      <c r="E2244"/>
      <c r="F2244"/>
      <c r="G2244"/>
      <c r="H2244"/>
      <c r="I2244"/>
      <c r="J2244"/>
      <c r="K2244"/>
      <c r="L2244"/>
      <c r="M2244"/>
      <c r="N2244"/>
      <c r="O2244"/>
      <c r="P2244"/>
      <c r="Q2244"/>
      <c r="R2244"/>
      <c r="S2244"/>
      <c r="T2244"/>
      <c r="U2244"/>
      <c r="V2244"/>
      <c r="W2244"/>
      <c r="X2244"/>
      <c r="Y2244"/>
      <c r="Z2244"/>
      <c r="AA2244"/>
    </row>
    <row r="2245" spans="1:27" s="1" customFormat="1" x14ac:dyDescent="0.3">
      <c r="A2245"/>
      <c r="B2245"/>
      <c r="C2245"/>
      <c r="D2245"/>
      <c r="E2245"/>
      <c r="F2245"/>
      <c r="G2245"/>
      <c r="H2245"/>
      <c r="I2245"/>
      <c r="J2245"/>
      <c r="K2245"/>
      <c r="L2245"/>
      <c r="M2245"/>
      <c r="N2245"/>
      <c r="O2245"/>
      <c r="P2245"/>
      <c r="Q2245"/>
      <c r="R2245"/>
      <c r="S2245"/>
      <c r="T2245"/>
      <c r="U2245"/>
      <c r="V2245"/>
      <c r="W2245"/>
      <c r="X2245"/>
      <c r="Y2245"/>
      <c r="Z2245"/>
      <c r="AA2245"/>
    </row>
    <row r="2246" spans="1:27" s="1" customFormat="1" x14ac:dyDescent="0.3">
      <c r="A2246"/>
      <c r="B2246"/>
      <c r="C2246"/>
      <c r="D2246"/>
      <c r="E2246"/>
      <c r="F2246"/>
      <c r="G2246"/>
      <c r="H2246"/>
      <c r="I2246"/>
      <c r="J2246"/>
      <c r="K2246"/>
      <c r="L2246"/>
      <c r="M2246"/>
      <c r="N2246"/>
      <c r="O2246"/>
      <c r="P2246"/>
      <c r="Q2246"/>
      <c r="R2246"/>
      <c r="S2246"/>
      <c r="T2246"/>
      <c r="U2246"/>
      <c r="V2246"/>
      <c r="W2246"/>
      <c r="X2246"/>
      <c r="Y2246"/>
      <c r="Z2246"/>
      <c r="AA2246"/>
    </row>
    <row r="2247" spans="1:27" s="1" customFormat="1" x14ac:dyDescent="0.3">
      <c r="A2247"/>
      <c r="B2247"/>
      <c r="C2247"/>
      <c r="D2247"/>
      <c r="E2247"/>
      <c r="F2247"/>
      <c r="G2247"/>
      <c r="H2247"/>
      <c r="I2247"/>
      <c r="J2247"/>
      <c r="K2247"/>
      <c r="L2247"/>
      <c r="M2247"/>
      <c r="N2247"/>
      <c r="O2247"/>
      <c r="P2247"/>
      <c r="Q2247"/>
      <c r="R2247"/>
      <c r="S2247"/>
      <c r="T2247"/>
      <c r="U2247"/>
      <c r="V2247"/>
      <c r="W2247"/>
      <c r="X2247"/>
      <c r="Y2247"/>
      <c r="Z2247"/>
      <c r="AA2247"/>
    </row>
    <row r="2248" spans="1:27" s="1" customFormat="1" x14ac:dyDescent="0.3">
      <c r="A2248"/>
      <c r="B2248"/>
      <c r="C2248"/>
      <c r="D2248"/>
      <c r="E2248"/>
      <c r="F2248"/>
      <c r="G2248"/>
      <c r="H2248"/>
      <c r="I2248"/>
      <c r="J2248"/>
      <c r="K2248"/>
      <c r="L2248"/>
      <c r="M2248"/>
      <c r="N2248"/>
      <c r="O2248"/>
      <c r="P2248"/>
      <c r="Q2248"/>
      <c r="R2248"/>
      <c r="S2248"/>
      <c r="T2248"/>
      <c r="U2248"/>
      <c r="V2248"/>
      <c r="W2248"/>
      <c r="X2248"/>
      <c r="Y2248"/>
      <c r="Z2248"/>
      <c r="AA2248"/>
    </row>
    <row r="2249" spans="1:27" s="1" customFormat="1" x14ac:dyDescent="0.3">
      <c r="A2249"/>
      <c r="B2249"/>
      <c r="C2249"/>
      <c r="D2249"/>
      <c r="E2249"/>
      <c r="F2249"/>
      <c r="G2249"/>
      <c r="H2249"/>
      <c r="I2249"/>
      <c r="J2249"/>
      <c r="K2249"/>
      <c r="L2249"/>
      <c r="M2249"/>
      <c r="N2249"/>
      <c r="O2249"/>
      <c r="P2249"/>
      <c r="Q2249"/>
      <c r="R2249"/>
      <c r="S2249"/>
      <c r="T2249"/>
      <c r="U2249"/>
      <c r="V2249"/>
      <c r="W2249"/>
      <c r="X2249"/>
      <c r="Y2249"/>
      <c r="Z2249"/>
      <c r="AA2249"/>
    </row>
    <row r="2250" spans="1:27" s="1" customFormat="1" x14ac:dyDescent="0.3">
      <c r="A2250"/>
      <c r="B2250"/>
      <c r="C2250"/>
      <c r="D2250"/>
      <c r="E2250"/>
      <c r="F2250"/>
      <c r="G2250"/>
      <c r="H2250"/>
      <c r="I2250"/>
      <c r="J2250"/>
      <c r="K2250"/>
      <c r="L2250"/>
      <c r="M2250"/>
      <c r="N2250"/>
      <c r="O2250"/>
      <c r="P2250"/>
      <c r="Q2250"/>
      <c r="R2250"/>
      <c r="S2250"/>
      <c r="T2250"/>
      <c r="U2250"/>
      <c r="V2250"/>
      <c r="W2250"/>
      <c r="X2250"/>
      <c r="Y2250"/>
      <c r="Z2250"/>
      <c r="AA2250"/>
    </row>
    <row r="2251" spans="1:27" s="1" customFormat="1" x14ac:dyDescent="0.3">
      <c r="A2251"/>
      <c r="B2251"/>
      <c r="C2251"/>
      <c r="D2251"/>
      <c r="E2251"/>
      <c r="F2251"/>
      <c r="G2251"/>
      <c r="H2251"/>
      <c r="I2251"/>
      <c r="J2251"/>
      <c r="K2251"/>
      <c r="L2251"/>
      <c r="M2251"/>
      <c r="N2251"/>
      <c r="O2251"/>
      <c r="P2251"/>
      <c r="Q2251"/>
      <c r="R2251"/>
      <c r="S2251"/>
      <c r="T2251"/>
      <c r="U2251"/>
      <c r="V2251"/>
      <c r="W2251"/>
      <c r="X2251"/>
      <c r="Y2251"/>
      <c r="Z2251"/>
      <c r="AA2251"/>
    </row>
    <row r="2252" spans="1:27" s="1" customFormat="1" x14ac:dyDescent="0.3">
      <c r="A2252"/>
      <c r="B2252"/>
      <c r="C2252"/>
      <c r="D2252"/>
      <c r="E2252"/>
      <c r="F2252"/>
      <c r="G2252"/>
      <c r="H2252"/>
      <c r="I2252"/>
      <c r="J2252"/>
      <c r="K2252"/>
      <c r="L2252"/>
      <c r="M2252"/>
      <c r="N2252"/>
      <c r="O2252"/>
      <c r="P2252"/>
      <c r="Q2252"/>
      <c r="R2252"/>
      <c r="S2252"/>
      <c r="T2252"/>
      <c r="U2252"/>
      <c r="V2252"/>
      <c r="W2252"/>
      <c r="X2252"/>
      <c r="Y2252"/>
      <c r="Z2252"/>
      <c r="AA2252"/>
    </row>
    <row r="2253" spans="1:27" s="1" customFormat="1" x14ac:dyDescent="0.3">
      <c r="A2253"/>
      <c r="B2253"/>
      <c r="C2253"/>
      <c r="D2253"/>
      <c r="E2253"/>
      <c r="F2253"/>
      <c r="G2253"/>
      <c r="H2253"/>
      <c r="I2253"/>
      <c r="J2253"/>
      <c r="K2253"/>
      <c r="L2253"/>
      <c r="M2253"/>
      <c r="N2253"/>
      <c r="O2253"/>
      <c r="P2253"/>
      <c r="Q2253"/>
      <c r="R2253"/>
      <c r="S2253"/>
      <c r="T2253"/>
      <c r="U2253"/>
      <c r="V2253"/>
      <c r="W2253"/>
      <c r="X2253"/>
      <c r="Y2253"/>
      <c r="Z2253"/>
      <c r="AA2253"/>
    </row>
    <row r="2254" spans="1:27" s="1" customFormat="1" x14ac:dyDescent="0.3">
      <c r="A2254"/>
      <c r="B2254"/>
      <c r="C2254"/>
      <c r="D2254"/>
      <c r="E2254"/>
      <c r="F2254"/>
      <c r="G2254"/>
      <c r="H2254"/>
      <c r="I2254"/>
      <c r="J2254"/>
      <c r="K2254"/>
      <c r="L2254"/>
      <c r="M2254"/>
      <c r="N2254"/>
      <c r="O2254"/>
      <c r="P2254"/>
      <c r="Q2254"/>
      <c r="R2254"/>
      <c r="S2254"/>
      <c r="T2254"/>
      <c r="U2254"/>
      <c r="V2254"/>
      <c r="W2254"/>
      <c r="X2254"/>
      <c r="Y2254"/>
      <c r="Z2254"/>
      <c r="AA2254"/>
    </row>
    <row r="2255" spans="1:27" s="1" customFormat="1" x14ac:dyDescent="0.3">
      <c r="A2255"/>
      <c r="B2255"/>
      <c r="C2255"/>
      <c r="D2255"/>
      <c r="E2255"/>
      <c r="F2255"/>
      <c r="G2255"/>
      <c r="H2255"/>
      <c r="I2255"/>
      <c r="J2255"/>
      <c r="K2255"/>
      <c r="L2255"/>
      <c r="M2255"/>
      <c r="N2255"/>
      <c r="O2255"/>
      <c r="P2255"/>
      <c r="Q2255"/>
      <c r="R2255"/>
      <c r="S2255"/>
      <c r="T2255"/>
      <c r="U2255"/>
      <c r="V2255"/>
      <c r="W2255"/>
      <c r="X2255"/>
      <c r="Y2255"/>
      <c r="Z2255"/>
      <c r="AA2255"/>
    </row>
    <row r="2256" spans="1:27" s="1" customFormat="1" x14ac:dyDescent="0.3">
      <c r="A2256"/>
      <c r="B2256"/>
      <c r="C2256"/>
      <c r="D2256"/>
      <c r="E2256"/>
      <c r="F2256"/>
      <c r="G2256"/>
      <c r="H2256"/>
      <c r="I2256"/>
      <c r="J2256"/>
      <c r="K2256"/>
      <c r="L2256"/>
      <c r="M2256"/>
      <c r="N2256"/>
      <c r="O2256"/>
      <c r="P2256"/>
      <c r="Q2256"/>
      <c r="R2256"/>
      <c r="S2256"/>
      <c r="T2256"/>
      <c r="U2256"/>
      <c r="V2256"/>
      <c r="W2256"/>
      <c r="X2256"/>
      <c r="Y2256"/>
      <c r="Z2256"/>
      <c r="AA2256"/>
    </row>
    <row r="2257" spans="1:27" s="1" customFormat="1" x14ac:dyDescent="0.3">
      <c r="A2257"/>
      <c r="B2257"/>
      <c r="C2257"/>
      <c r="D2257"/>
      <c r="E2257"/>
      <c r="F2257"/>
      <c r="G2257"/>
      <c r="H2257"/>
      <c r="I2257"/>
      <c r="J2257"/>
      <c r="K2257"/>
      <c r="L2257"/>
      <c r="M2257"/>
      <c r="N2257"/>
      <c r="O2257"/>
      <c r="P2257"/>
      <c r="Q2257"/>
      <c r="R2257"/>
      <c r="S2257"/>
      <c r="T2257"/>
      <c r="U2257"/>
      <c r="V2257"/>
      <c r="W2257"/>
      <c r="X2257"/>
      <c r="Y2257"/>
      <c r="Z2257"/>
      <c r="AA2257"/>
    </row>
    <row r="2258" spans="1:27" s="1" customFormat="1" x14ac:dyDescent="0.3">
      <c r="A2258"/>
      <c r="B2258"/>
      <c r="C2258"/>
      <c r="D2258"/>
      <c r="E2258"/>
      <c r="F2258"/>
      <c r="G2258"/>
      <c r="H2258"/>
      <c r="I2258"/>
      <c r="J2258"/>
      <c r="K2258"/>
      <c r="L2258"/>
      <c r="M2258"/>
      <c r="N2258"/>
      <c r="O2258"/>
      <c r="P2258"/>
      <c r="Q2258"/>
      <c r="R2258"/>
      <c r="S2258"/>
      <c r="T2258"/>
      <c r="U2258"/>
      <c r="V2258"/>
      <c r="W2258"/>
      <c r="X2258"/>
      <c r="Y2258"/>
      <c r="Z2258"/>
      <c r="AA2258"/>
    </row>
    <row r="2259" spans="1:27" s="1" customFormat="1" x14ac:dyDescent="0.3">
      <c r="A2259"/>
      <c r="B2259"/>
      <c r="C2259"/>
      <c r="D2259"/>
      <c r="E2259"/>
      <c r="F2259"/>
      <c r="G2259"/>
      <c r="H2259"/>
      <c r="I2259"/>
      <c r="J2259"/>
      <c r="K2259"/>
      <c r="L2259"/>
      <c r="M2259"/>
      <c r="N2259"/>
      <c r="O2259"/>
      <c r="P2259"/>
      <c r="Q2259"/>
      <c r="R2259"/>
      <c r="S2259"/>
      <c r="T2259"/>
      <c r="U2259"/>
      <c r="V2259"/>
      <c r="W2259"/>
      <c r="X2259"/>
      <c r="Y2259"/>
      <c r="Z2259"/>
      <c r="AA2259"/>
    </row>
    <row r="2260" spans="1:27" s="1" customFormat="1" x14ac:dyDescent="0.3">
      <c r="A2260"/>
      <c r="B2260"/>
      <c r="C2260"/>
      <c r="D2260"/>
      <c r="E2260"/>
      <c r="F2260"/>
      <c r="G2260"/>
      <c r="H2260"/>
      <c r="I2260"/>
      <c r="J2260"/>
      <c r="K2260"/>
      <c r="L2260"/>
      <c r="M2260"/>
      <c r="N2260"/>
      <c r="O2260"/>
      <c r="P2260"/>
      <c r="Q2260"/>
      <c r="R2260"/>
      <c r="S2260"/>
      <c r="T2260"/>
      <c r="U2260"/>
      <c r="V2260"/>
      <c r="W2260"/>
      <c r="X2260"/>
      <c r="Y2260"/>
      <c r="Z2260"/>
      <c r="AA2260"/>
    </row>
    <row r="2261" spans="1:27" s="1" customFormat="1" x14ac:dyDescent="0.3">
      <c r="A2261"/>
      <c r="B2261"/>
      <c r="C2261"/>
      <c r="D2261"/>
      <c r="E2261"/>
      <c r="F2261"/>
      <c r="G2261"/>
      <c r="H2261"/>
      <c r="I2261"/>
      <c r="J2261"/>
      <c r="K2261"/>
      <c r="L2261"/>
      <c r="M2261"/>
      <c r="N2261"/>
      <c r="O2261"/>
      <c r="P2261"/>
      <c r="Q2261"/>
      <c r="R2261"/>
      <c r="S2261"/>
      <c r="T2261"/>
      <c r="U2261"/>
      <c r="V2261"/>
      <c r="W2261"/>
      <c r="X2261"/>
      <c r="Y2261"/>
      <c r="Z2261"/>
      <c r="AA2261"/>
    </row>
    <row r="2262" spans="1:27" s="1" customFormat="1" x14ac:dyDescent="0.3">
      <c r="A2262"/>
      <c r="B2262"/>
      <c r="C2262"/>
      <c r="D2262"/>
      <c r="E2262"/>
      <c r="F2262"/>
      <c r="G2262"/>
      <c r="H2262"/>
      <c r="I2262"/>
      <c r="J2262"/>
      <c r="K2262"/>
      <c r="L2262"/>
      <c r="M2262"/>
      <c r="N2262"/>
      <c r="O2262"/>
      <c r="P2262"/>
      <c r="Q2262"/>
      <c r="R2262"/>
      <c r="S2262"/>
      <c r="T2262"/>
      <c r="U2262"/>
      <c r="V2262"/>
      <c r="W2262"/>
      <c r="X2262"/>
      <c r="Y2262"/>
      <c r="Z2262"/>
      <c r="AA2262"/>
    </row>
    <row r="2263" spans="1:27" s="1" customFormat="1" x14ac:dyDescent="0.3">
      <c r="A2263"/>
      <c r="B2263"/>
      <c r="C2263"/>
      <c r="D2263"/>
      <c r="E2263"/>
      <c r="F2263"/>
      <c r="G2263"/>
      <c r="H2263"/>
      <c r="I2263"/>
      <c r="J2263"/>
      <c r="K2263"/>
      <c r="L2263"/>
      <c r="M2263"/>
      <c r="N2263"/>
      <c r="O2263"/>
      <c r="P2263"/>
      <c r="Q2263"/>
      <c r="R2263"/>
      <c r="S2263"/>
      <c r="T2263"/>
      <c r="U2263"/>
      <c r="V2263"/>
      <c r="W2263"/>
      <c r="X2263"/>
      <c r="Y2263"/>
      <c r="Z2263"/>
      <c r="AA2263"/>
    </row>
    <row r="2264" spans="1:27" s="1" customFormat="1" x14ac:dyDescent="0.3">
      <c r="A2264"/>
      <c r="B2264"/>
      <c r="C2264"/>
      <c r="D2264"/>
      <c r="E2264"/>
      <c r="F2264"/>
      <c r="G2264"/>
      <c r="H2264"/>
      <c r="I2264"/>
      <c r="J2264"/>
      <c r="K2264"/>
      <c r="L2264"/>
      <c r="M2264"/>
      <c r="N2264"/>
      <c r="O2264"/>
      <c r="P2264"/>
      <c r="Q2264"/>
      <c r="R2264"/>
      <c r="S2264"/>
      <c r="T2264"/>
      <c r="U2264"/>
      <c r="V2264"/>
      <c r="W2264"/>
      <c r="X2264"/>
      <c r="Y2264"/>
      <c r="Z2264"/>
      <c r="AA2264"/>
    </row>
    <row r="2265" spans="1:27" s="1" customFormat="1" x14ac:dyDescent="0.3">
      <c r="A2265"/>
      <c r="B2265"/>
      <c r="C2265"/>
      <c r="D2265"/>
      <c r="E2265"/>
      <c r="F2265"/>
      <c r="G2265"/>
      <c r="H2265"/>
      <c r="I2265"/>
      <c r="J2265"/>
      <c r="K2265"/>
      <c r="L2265"/>
      <c r="M2265"/>
      <c r="N2265"/>
      <c r="O2265"/>
      <c r="P2265"/>
      <c r="Q2265"/>
      <c r="R2265"/>
      <c r="S2265"/>
      <c r="T2265"/>
      <c r="U2265"/>
      <c r="V2265"/>
      <c r="W2265"/>
      <c r="X2265"/>
      <c r="Y2265"/>
      <c r="Z2265"/>
      <c r="AA2265"/>
    </row>
    <row r="2266" spans="1:27" s="1" customFormat="1" x14ac:dyDescent="0.3">
      <c r="A2266"/>
      <c r="B2266"/>
      <c r="C2266"/>
      <c r="D2266"/>
      <c r="E2266"/>
      <c r="F2266"/>
      <c r="G2266"/>
      <c r="H2266"/>
      <c r="I2266"/>
      <c r="J2266"/>
      <c r="K2266"/>
      <c r="L2266"/>
      <c r="M2266"/>
      <c r="N2266"/>
      <c r="O2266"/>
      <c r="P2266"/>
      <c r="Q2266"/>
      <c r="R2266"/>
      <c r="S2266"/>
      <c r="T2266"/>
      <c r="U2266"/>
      <c r="V2266"/>
      <c r="W2266"/>
      <c r="X2266"/>
      <c r="Y2266"/>
      <c r="Z2266"/>
      <c r="AA2266"/>
    </row>
    <row r="2267" spans="1:27" s="1" customFormat="1" x14ac:dyDescent="0.3">
      <c r="A2267"/>
      <c r="B2267"/>
      <c r="C2267"/>
      <c r="D2267"/>
      <c r="E2267"/>
      <c r="F2267"/>
      <c r="G2267"/>
      <c r="H2267"/>
      <c r="I2267"/>
      <c r="J2267"/>
      <c r="K2267"/>
      <c r="L2267"/>
      <c r="M2267"/>
      <c r="N2267"/>
      <c r="O2267"/>
      <c r="P2267"/>
      <c r="Q2267"/>
      <c r="R2267"/>
      <c r="S2267"/>
      <c r="T2267"/>
      <c r="U2267"/>
      <c r="V2267"/>
      <c r="W2267"/>
      <c r="X2267"/>
      <c r="Y2267"/>
      <c r="Z2267"/>
      <c r="AA2267"/>
    </row>
    <row r="2268" spans="1:27" s="1" customFormat="1" x14ac:dyDescent="0.3">
      <c r="A2268"/>
      <c r="B2268"/>
      <c r="C2268"/>
      <c r="D2268"/>
      <c r="E2268"/>
      <c r="F2268"/>
      <c r="G2268"/>
      <c r="H2268"/>
      <c r="I2268"/>
      <c r="J2268"/>
      <c r="K2268"/>
      <c r="L2268"/>
      <c r="M2268"/>
      <c r="N2268"/>
      <c r="O2268"/>
      <c r="P2268"/>
      <c r="Q2268"/>
      <c r="R2268"/>
      <c r="S2268"/>
      <c r="T2268"/>
      <c r="U2268"/>
      <c r="V2268"/>
      <c r="W2268"/>
      <c r="X2268"/>
      <c r="Y2268"/>
      <c r="Z2268"/>
      <c r="AA2268"/>
    </row>
    <row r="2269" spans="1:27" s="1" customFormat="1" x14ac:dyDescent="0.3">
      <c r="A2269"/>
      <c r="B2269"/>
      <c r="C2269"/>
      <c r="D2269"/>
      <c r="E2269"/>
      <c r="F2269"/>
      <c r="G2269"/>
      <c r="H2269"/>
      <c r="I2269"/>
      <c r="J2269"/>
      <c r="K2269"/>
      <c r="L2269"/>
      <c r="M2269"/>
      <c r="N2269"/>
      <c r="O2269"/>
      <c r="P2269"/>
      <c r="Q2269"/>
      <c r="R2269"/>
      <c r="S2269"/>
      <c r="T2269"/>
      <c r="U2269"/>
      <c r="V2269"/>
      <c r="W2269"/>
      <c r="X2269"/>
      <c r="Y2269"/>
      <c r="Z2269"/>
      <c r="AA2269"/>
    </row>
    <row r="2270" spans="1:27" s="1" customFormat="1" x14ac:dyDescent="0.3">
      <c r="A2270"/>
      <c r="B2270"/>
      <c r="C2270"/>
      <c r="D2270"/>
      <c r="E2270"/>
      <c r="F2270"/>
      <c r="G2270"/>
      <c r="H2270"/>
      <c r="I2270"/>
      <c r="J2270"/>
      <c r="K2270"/>
      <c r="L2270"/>
      <c r="M2270"/>
      <c r="N2270"/>
      <c r="O2270"/>
      <c r="P2270"/>
      <c r="Q2270"/>
      <c r="R2270"/>
      <c r="S2270"/>
      <c r="T2270"/>
      <c r="U2270"/>
      <c r="V2270"/>
      <c r="W2270"/>
      <c r="X2270"/>
      <c r="Y2270"/>
      <c r="Z2270"/>
      <c r="AA2270"/>
    </row>
    <row r="2271" spans="1:27" s="1" customFormat="1" x14ac:dyDescent="0.3">
      <c r="A2271"/>
      <c r="B2271"/>
      <c r="C2271"/>
      <c r="D2271"/>
      <c r="E2271"/>
      <c r="F2271"/>
      <c r="G2271"/>
      <c r="H2271"/>
      <c r="I2271"/>
      <c r="J2271"/>
      <c r="K2271"/>
      <c r="L2271"/>
      <c r="M2271"/>
      <c r="N2271"/>
      <c r="O2271"/>
      <c r="P2271"/>
      <c r="Q2271"/>
      <c r="R2271"/>
      <c r="S2271"/>
      <c r="T2271"/>
      <c r="U2271"/>
      <c r="V2271"/>
      <c r="W2271"/>
      <c r="X2271"/>
      <c r="Y2271"/>
      <c r="Z2271"/>
      <c r="AA2271"/>
    </row>
    <row r="2272" spans="1:27" s="1" customFormat="1" x14ac:dyDescent="0.3">
      <c r="A2272"/>
      <c r="B2272"/>
      <c r="C2272"/>
      <c r="D2272"/>
      <c r="E2272"/>
      <c r="F2272"/>
      <c r="G2272"/>
      <c r="H2272"/>
      <c r="I2272"/>
      <c r="J2272"/>
      <c r="K2272"/>
      <c r="L2272"/>
      <c r="M2272"/>
      <c r="N2272"/>
      <c r="O2272"/>
      <c r="P2272"/>
      <c r="Q2272"/>
      <c r="R2272"/>
      <c r="S2272"/>
      <c r="T2272"/>
      <c r="U2272"/>
      <c r="V2272"/>
      <c r="W2272"/>
      <c r="X2272"/>
      <c r="Y2272"/>
      <c r="Z2272"/>
      <c r="AA2272"/>
    </row>
    <row r="2273" spans="1:27" s="1" customFormat="1" x14ac:dyDescent="0.3">
      <c r="A2273"/>
      <c r="B2273"/>
      <c r="C2273"/>
      <c r="D2273"/>
      <c r="E2273"/>
      <c r="F2273"/>
      <c r="G2273"/>
      <c r="H2273"/>
      <c r="I2273"/>
      <c r="J2273"/>
      <c r="K2273"/>
      <c r="L2273"/>
      <c r="M2273"/>
      <c r="N2273"/>
      <c r="O2273"/>
      <c r="P2273"/>
      <c r="Q2273"/>
      <c r="R2273"/>
      <c r="S2273"/>
      <c r="T2273"/>
      <c r="U2273"/>
      <c r="V2273"/>
      <c r="W2273"/>
      <c r="X2273"/>
      <c r="Y2273"/>
      <c r="Z2273"/>
      <c r="AA2273"/>
    </row>
    <row r="2274" spans="1:27" s="1" customFormat="1" x14ac:dyDescent="0.3">
      <c r="A2274"/>
      <c r="B2274"/>
      <c r="C2274"/>
      <c r="D2274"/>
      <c r="E2274"/>
      <c r="F2274"/>
      <c r="G2274"/>
      <c r="H2274"/>
      <c r="I2274"/>
      <c r="J2274"/>
      <c r="K2274"/>
      <c r="L2274"/>
      <c r="M2274"/>
      <c r="N2274"/>
      <c r="O2274"/>
      <c r="P2274"/>
      <c r="Q2274"/>
      <c r="R2274"/>
      <c r="S2274"/>
      <c r="T2274"/>
      <c r="U2274"/>
      <c r="V2274"/>
      <c r="W2274"/>
      <c r="X2274"/>
      <c r="Y2274"/>
      <c r="Z2274"/>
      <c r="AA2274"/>
    </row>
    <row r="2275" spans="1:27" s="1" customFormat="1" x14ac:dyDescent="0.3">
      <c r="A2275"/>
      <c r="B2275"/>
      <c r="C2275"/>
      <c r="D2275"/>
      <c r="E2275"/>
      <c r="F2275"/>
      <c r="G2275"/>
      <c r="H2275"/>
      <c r="I2275"/>
      <c r="J2275"/>
      <c r="K2275"/>
      <c r="L2275"/>
      <c r="M2275"/>
      <c r="N2275"/>
      <c r="O2275"/>
      <c r="P2275"/>
      <c r="Q2275"/>
      <c r="R2275"/>
      <c r="S2275"/>
      <c r="T2275"/>
      <c r="U2275"/>
      <c r="V2275"/>
      <c r="W2275"/>
      <c r="X2275"/>
      <c r="Y2275"/>
      <c r="Z2275"/>
      <c r="AA2275"/>
    </row>
    <row r="2276" spans="1:27" s="1" customFormat="1" x14ac:dyDescent="0.3">
      <c r="A2276"/>
      <c r="B2276"/>
      <c r="C2276"/>
      <c r="D2276"/>
      <c r="E2276"/>
      <c r="F2276"/>
      <c r="G2276"/>
      <c r="H2276"/>
      <c r="I2276"/>
      <c r="J2276"/>
      <c r="K2276"/>
      <c r="L2276"/>
      <c r="M2276"/>
      <c r="N2276"/>
      <c r="O2276"/>
      <c r="P2276"/>
      <c r="Q2276"/>
      <c r="R2276"/>
      <c r="S2276"/>
      <c r="T2276"/>
      <c r="U2276"/>
      <c r="V2276"/>
      <c r="W2276"/>
      <c r="X2276"/>
      <c r="Y2276"/>
      <c r="Z2276"/>
      <c r="AA2276"/>
    </row>
    <row r="2277" spans="1:27" s="1" customFormat="1" x14ac:dyDescent="0.3">
      <c r="A2277"/>
      <c r="B2277"/>
      <c r="C2277"/>
      <c r="D2277"/>
      <c r="E2277"/>
      <c r="F2277"/>
      <c r="G2277"/>
      <c r="H2277"/>
      <c r="I2277"/>
      <c r="J2277"/>
      <c r="K2277"/>
      <c r="L2277"/>
      <c r="M2277"/>
      <c r="N2277"/>
      <c r="O2277"/>
      <c r="P2277"/>
      <c r="Q2277"/>
      <c r="R2277"/>
      <c r="S2277"/>
      <c r="T2277"/>
      <c r="U2277"/>
      <c r="V2277"/>
      <c r="W2277"/>
      <c r="X2277"/>
      <c r="Y2277"/>
      <c r="Z2277"/>
      <c r="AA2277"/>
    </row>
    <row r="2278" spans="1:27" s="1" customFormat="1" x14ac:dyDescent="0.3">
      <c r="A2278"/>
      <c r="B2278"/>
      <c r="C2278"/>
      <c r="D2278"/>
      <c r="E2278"/>
      <c r="F2278"/>
      <c r="G2278"/>
      <c r="H2278"/>
      <c r="I2278"/>
      <c r="J2278"/>
      <c r="K2278"/>
      <c r="L2278"/>
      <c r="M2278"/>
      <c r="N2278"/>
      <c r="O2278"/>
      <c r="P2278"/>
      <c r="Q2278"/>
      <c r="R2278"/>
      <c r="S2278"/>
      <c r="T2278"/>
      <c r="U2278"/>
      <c r="V2278"/>
      <c r="W2278"/>
      <c r="X2278"/>
      <c r="Y2278"/>
      <c r="Z2278"/>
      <c r="AA2278"/>
    </row>
    <row r="2279" spans="1:27" s="1" customFormat="1" x14ac:dyDescent="0.3">
      <c r="A2279"/>
      <c r="B2279"/>
      <c r="C2279"/>
      <c r="D2279"/>
      <c r="E2279"/>
      <c r="F2279"/>
      <c r="G2279"/>
      <c r="H2279"/>
      <c r="I2279"/>
      <c r="J2279"/>
      <c r="K2279"/>
      <c r="L2279"/>
      <c r="M2279"/>
      <c r="N2279"/>
      <c r="O2279"/>
      <c r="P2279"/>
      <c r="Q2279"/>
      <c r="R2279"/>
      <c r="S2279"/>
      <c r="T2279"/>
      <c r="U2279"/>
      <c r="V2279"/>
      <c r="W2279"/>
      <c r="X2279"/>
      <c r="Y2279"/>
      <c r="Z2279"/>
      <c r="AA2279"/>
    </row>
    <row r="2280" spans="1:27" s="1" customFormat="1" x14ac:dyDescent="0.3">
      <c r="A2280"/>
      <c r="B2280"/>
      <c r="C2280"/>
      <c r="D2280"/>
      <c r="E2280"/>
      <c r="F2280"/>
      <c r="G2280"/>
      <c r="H2280"/>
      <c r="I2280"/>
      <c r="J2280"/>
      <c r="K2280"/>
      <c r="L2280"/>
      <c r="M2280"/>
      <c r="N2280"/>
      <c r="O2280"/>
      <c r="P2280"/>
      <c r="Q2280"/>
      <c r="R2280"/>
      <c r="S2280"/>
      <c r="T2280"/>
      <c r="U2280"/>
      <c r="V2280"/>
      <c r="W2280"/>
      <c r="X2280"/>
      <c r="Y2280"/>
      <c r="Z2280"/>
      <c r="AA2280"/>
    </row>
    <row r="2281" spans="1:27" s="1" customFormat="1" x14ac:dyDescent="0.3">
      <c r="A2281"/>
      <c r="B2281"/>
      <c r="C2281"/>
      <c r="D2281"/>
      <c r="E2281"/>
      <c r="F2281"/>
      <c r="G2281"/>
      <c r="H2281"/>
      <c r="I2281"/>
      <c r="J2281"/>
      <c r="K2281"/>
      <c r="L2281"/>
      <c r="M2281"/>
      <c r="N2281"/>
      <c r="O2281"/>
      <c r="P2281"/>
      <c r="Q2281"/>
      <c r="R2281"/>
      <c r="S2281"/>
      <c r="T2281"/>
      <c r="U2281"/>
      <c r="V2281"/>
      <c r="W2281"/>
      <c r="X2281"/>
      <c r="Y2281"/>
      <c r="Z2281"/>
      <c r="AA2281"/>
    </row>
    <row r="2282" spans="1:27" s="1" customFormat="1" x14ac:dyDescent="0.3">
      <c r="A2282"/>
      <c r="B2282"/>
      <c r="C2282"/>
      <c r="D2282"/>
      <c r="E2282"/>
      <c r="F2282"/>
      <c r="G2282"/>
      <c r="H2282"/>
      <c r="I2282"/>
      <c r="J2282"/>
      <c r="K2282"/>
      <c r="L2282"/>
      <c r="M2282"/>
      <c r="N2282"/>
      <c r="O2282"/>
      <c r="P2282"/>
      <c r="Q2282"/>
      <c r="R2282"/>
      <c r="S2282"/>
      <c r="T2282"/>
      <c r="U2282"/>
      <c r="V2282"/>
      <c r="W2282"/>
      <c r="X2282"/>
      <c r="Y2282"/>
      <c r="Z2282"/>
      <c r="AA2282"/>
    </row>
    <row r="2283" spans="1:27" s="1" customFormat="1" x14ac:dyDescent="0.3">
      <c r="A2283"/>
      <c r="B2283"/>
      <c r="C2283"/>
      <c r="D2283"/>
      <c r="E2283"/>
      <c r="F2283"/>
      <c r="G2283"/>
      <c r="H2283"/>
      <c r="I2283"/>
      <c r="J2283"/>
      <c r="K2283"/>
      <c r="L2283"/>
      <c r="M2283"/>
      <c r="N2283"/>
      <c r="O2283"/>
      <c r="P2283"/>
      <c r="Q2283"/>
      <c r="R2283"/>
      <c r="S2283"/>
      <c r="T2283"/>
      <c r="U2283"/>
      <c r="V2283"/>
      <c r="W2283"/>
      <c r="X2283"/>
      <c r="Y2283"/>
      <c r="Z2283"/>
      <c r="AA2283"/>
    </row>
    <row r="2284" spans="1:27" s="1" customFormat="1" x14ac:dyDescent="0.3">
      <c r="A2284"/>
      <c r="B2284"/>
      <c r="C2284"/>
      <c r="D2284"/>
      <c r="E2284"/>
      <c r="F2284"/>
      <c r="G2284"/>
      <c r="H2284"/>
      <c r="I2284"/>
      <c r="J2284"/>
      <c r="K2284"/>
      <c r="L2284"/>
      <c r="M2284"/>
      <c r="N2284"/>
      <c r="O2284"/>
      <c r="P2284"/>
      <c r="Q2284"/>
      <c r="R2284"/>
      <c r="S2284"/>
      <c r="T2284"/>
      <c r="U2284"/>
      <c r="V2284"/>
      <c r="W2284"/>
      <c r="X2284"/>
      <c r="Y2284"/>
      <c r="Z2284"/>
      <c r="AA2284"/>
    </row>
    <row r="2285" spans="1:27" s="1" customFormat="1" x14ac:dyDescent="0.3">
      <c r="A2285"/>
      <c r="B2285"/>
      <c r="C2285"/>
      <c r="D2285"/>
      <c r="E2285"/>
      <c r="F2285"/>
      <c r="G2285"/>
      <c r="H2285"/>
      <c r="I2285"/>
      <c r="J2285"/>
      <c r="K2285"/>
      <c r="L2285"/>
      <c r="M2285"/>
      <c r="N2285"/>
      <c r="O2285"/>
      <c r="P2285"/>
      <c r="Q2285"/>
      <c r="R2285"/>
      <c r="S2285"/>
      <c r="T2285"/>
      <c r="U2285"/>
      <c r="V2285"/>
      <c r="W2285"/>
      <c r="X2285"/>
      <c r="Y2285"/>
      <c r="Z2285"/>
      <c r="AA2285"/>
    </row>
    <row r="2286" spans="1:27" s="1" customFormat="1" x14ac:dyDescent="0.3">
      <c r="A2286"/>
      <c r="B2286"/>
      <c r="C2286"/>
      <c r="D2286"/>
      <c r="E2286"/>
      <c r="F2286"/>
      <c r="G2286"/>
      <c r="H2286"/>
      <c r="I2286"/>
      <c r="J2286"/>
      <c r="K2286"/>
      <c r="L2286"/>
      <c r="M2286"/>
      <c r="N2286"/>
      <c r="O2286"/>
      <c r="P2286"/>
      <c r="Q2286"/>
      <c r="R2286"/>
      <c r="S2286"/>
      <c r="T2286"/>
      <c r="U2286"/>
      <c r="V2286"/>
      <c r="W2286"/>
      <c r="X2286"/>
      <c r="Y2286"/>
      <c r="Z2286"/>
      <c r="AA2286"/>
    </row>
    <row r="2287" spans="1:27" s="1" customFormat="1" x14ac:dyDescent="0.3">
      <c r="A2287"/>
      <c r="B2287"/>
      <c r="C2287"/>
      <c r="D2287"/>
      <c r="E2287"/>
      <c r="F2287"/>
      <c r="G2287"/>
      <c r="H2287"/>
      <c r="I2287"/>
      <c r="J2287"/>
      <c r="K2287"/>
      <c r="L2287"/>
      <c r="M2287"/>
      <c r="N2287"/>
      <c r="O2287"/>
      <c r="P2287"/>
      <c r="Q2287"/>
      <c r="R2287"/>
      <c r="S2287"/>
      <c r="T2287"/>
      <c r="U2287"/>
      <c r="V2287"/>
      <c r="W2287"/>
      <c r="X2287"/>
      <c r="Y2287"/>
      <c r="Z2287"/>
      <c r="AA2287"/>
    </row>
    <row r="2288" spans="1:27" s="1" customFormat="1" x14ac:dyDescent="0.3">
      <c r="A2288"/>
      <c r="B2288"/>
      <c r="C2288"/>
      <c r="D2288"/>
      <c r="E2288"/>
      <c r="F2288"/>
      <c r="G2288"/>
      <c r="H2288"/>
      <c r="I2288"/>
      <c r="J2288"/>
      <c r="K2288"/>
      <c r="L2288"/>
      <c r="M2288"/>
      <c r="N2288"/>
      <c r="O2288"/>
      <c r="P2288"/>
      <c r="Q2288"/>
      <c r="R2288"/>
      <c r="S2288"/>
      <c r="T2288"/>
      <c r="U2288"/>
      <c r="V2288"/>
      <c r="W2288"/>
      <c r="X2288"/>
      <c r="Y2288"/>
      <c r="Z2288"/>
      <c r="AA2288"/>
    </row>
    <row r="2289" spans="1:27" s="1" customFormat="1" x14ac:dyDescent="0.3">
      <c r="A2289"/>
      <c r="B2289"/>
      <c r="C2289"/>
      <c r="D2289"/>
      <c r="E2289"/>
      <c r="F2289"/>
      <c r="G2289"/>
      <c r="H2289"/>
      <c r="I2289"/>
      <c r="J2289"/>
      <c r="K2289"/>
      <c r="L2289"/>
      <c r="M2289"/>
      <c r="N2289"/>
      <c r="O2289"/>
      <c r="P2289"/>
      <c r="Q2289"/>
      <c r="R2289"/>
      <c r="S2289"/>
      <c r="T2289"/>
      <c r="U2289"/>
      <c r="V2289"/>
      <c r="W2289"/>
      <c r="X2289"/>
      <c r="Y2289"/>
      <c r="Z2289"/>
      <c r="AA2289"/>
    </row>
    <row r="2290" spans="1:27" s="1" customFormat="1" x14ac:dyDescent="0.3">
      <c r="A2290"/>
      <c r="B2290"/>
      <c r="C2290"/>
      <c r="D2290"/>
      <c r="E2290"/>
      <c r="F2290"/>
      <c r="G2290"/>
      <c r="H2290"/>
      <c r="I2290"/>
      <c r="J2290"/>
      <c r="K2290"/>
      <c r="L2290"/>
      <c r="M2290"/>
      <c r="N2290"/>
      <c r="O2290"/>
      <c r="P2290"/>
      <c r="Q2290"/>
      <c r="R2290"/>
      <c r="S2290"/>
      <c r="T2290"/>
      <c r="U2290"/>
      <c r="V2290"/>
      <c r="W2290"/>
      <c r="X2290"/>
      <c r="Y2290"/>
      <c r="Z2290"/>
      <c r="AA2290"/>
    </row>
    <row r="2291" spans="1:27" s="1" customFormat="1" x14ac:dyDescent="0.3">
      <c r="A2291"/>
      <c r="B2291"/>
      <c r="C2291"/>
      <c r="D2291"/>
      <c r="E2291"/>
      <c r="F2291"/>
      <c r="G2291"/>
      <c r="H2291"/>
      <c r="I2291"/>
      <c r="J2291"/>
      <c r="K2291"/>
      <c r="L2291"/>
      <c r="M2291"/>
      <c r="N2291"/>
      <c r="O2291"/>
      <c r="P2291"/>
      <c r="Q2291"/>
      <c r="R2291"/>
      <c r="S2291"/>
      <c r="T2291"/>
      <c r="U2291"/>
      <c r="V2291"/>
      <c r="W2291"/>
      <c r="X2291"/>
      <c r="Y2291"/>
      <c r="Z2291"/>
      <c r="AA2291"/>
    </row>
    <row r="2292" spans="1:27" s="1" customFormat="1" x14ac:dyDescent="0.3">
      <c r="A2292"/>
      <c r="B2292"/>
      <c r="C2292"/>
      <c r="D2292"/>
      <c r="E2292"/>
      <c r="F2292"/>
      <c r="G2292"/>
      <c r="H2292"/>
      <c r="I2292"/>
      <c r="J2292"/>
      <c r="K2292"/>
      <c r="L2292"/>
      <c r="M2292"/>
      <c r="N2292"/>
      <c r="O2292"/>
      <c r="P2292"/>
      <c r="Q2292"/>
      <c r="R2292"/>
      <c r="S2292"/>
      <c r="T2292"/>
      <c r="U2292"/>
      <c r="V2292"/>
      <c r="W2292"/>
      <c r="X2292"/>
      <c r="Y2292"/>
      <c r="Z2292"/>
      <c r="AA2292"/>
    </row>
    <row r="2293" spans="1:27" s="1" customFormat="1" x14ac:dyDescent="0.3">
      <c r="A2293"/>
      <c r="B2293"/>
      <c r="C2293"/>
      <c r="D2293"/>
      <c r="E2293"/>
      <c r="F2293"/>
      <c r="G2293"/>
      <c r="H2293"/>
      <c r="I2293"/>
      <c r="J2293"/>
      <c r="K2293"/>
      <c r="L2293"/>
      <c r="M2293"/>
      <c r="N2293"/>
      <c r="O2293"/>
      <c r="P2293"/>
      <c r="Q2293"/>
      <c r="R2293"/>
      <c r="S2293"/>
      <c r="T2293"/>
      <c r="U2293"/>
      <c r="V2293"/>
      <c r="W2293"/>
      <c r="X2293"/>
      <c r="Y2293"/>
      <c r="Z2293"/>
      <c r="AA2293"/>
    </row>
    <row r="2294" spans="1:27" s="1" customFormat="1" x14ac:dyDescent="0.3">
      <c r="A2294"/>
      <c r="B2294"/>
      <c r="C2294"/>
      <c r="D2294"/>
      <c r="E2294"/>
      <c r="F2294"/>
      <c r="G2294"/>
      <c r="H2294"/>
      <c r="I2294"/>
      <c r="J2294"/>
      <c r="K2294"/>
      <c r="L2294"/>
      <c r="M2294"/>
      <c r="N2294"/>
      <c r="O2294"/>
      <c r="P2294"/>
      <c r="Q2294"/>
      <c r="R2294"/>
      <c r="S2294"/>
      <c r="T2294"/>
      <c r="U2294"/>
      <c r="V2294"/>
      <c r="W2294"/>
      <c r="X2294"/>
      <c r="Y2294"/>
      <c r="Z2294"/>
      <c r="AA2294"/>
    </row>
    <row r="2295" spans="1:27" s="1" customFormat="1" x14ac:dyDescent="0.3">
      <c r="A2295"/>
      <c r="B2295"/>
      <c r="C2295"/>
      <c r="D2295"/>
      <c r="E2295"/>
      <c r="F2295"/>
      <c r="G2295"/>
      <c r="H2295"/>
      <c r="I2295"/>
      <c r="J2295"/>
      <c r="K2295"/>
      <c r="L2295"/>
      <c r="M2295"/>
      <c r="N2295"/>
      <c r="O2295"/>
      <c r="P2295"/>
      <c r="Q2295"/>
      <c r="R2295"/>
      <c r="S2295"/>
      <c r="T2295"/>
      <c r="U2295"/>
      <c r="V2295"/>
      <c r="W2295"/>
      <c r="X2295"/>
      <c r="Y2295"/>
      <c r="Z2295"/>
      <c r="AA2295"/>
    </row>
    <row r="2296" spans="1:27" s="1" customFormat="1" x14ac:dyDescent="0.3">
      <c r="A2296"/>
      <c r="B2296"/>
      <c r="C2296"/>
      <c r="D2296"/>
      <c r="E2296"/>
      <c r="F2296"/>
      <c r="G2296"/>
      <c r="H2296"/>
      <c r="I2296"/>
      <c r="J2296"/>
      <c r="K2296"/>
      <c r="L2296"/>
      <c r="M2296"/>
      <c r="N2296"/>
      <c r="O2296"/>
      <c r="P2296"/>
      <c r="Q2296"/>
      <c r="R2296"/>
      <c r="S2296"/>
      <c r="T2296"/>
      <c r="U2296"/>
      <c r="V2296"/>
      <c r="W2296"/>
      <c r="X2296"/>
      <c r="Y2296"/>
      <c r="Z2296"/>
      <c r="AA2296"/>
    </row>
    <row r="2297" spans="1:27" s="1" customFormat="1" x14ac:dyDescent="0.3">
      <c r="A2297"/>
      <c r="B2297"/>
      <c r="C2297"/>
      <c r="D2297"/>
      <c r="E2297"/>
      <c r="F2297"/>
      <c r="G2297"/>
      <c r="H2297"/>
      <c r="I2297"/>
      <c r="J2297"/>
      <c r="K2297"/>
      <c r="L2297"/>
      <c r="M2297"/>
      <c r="N2297"/>
      <c r="O2297"/>
      <c r="P2297"/>
      <c r="Q2297"/>
      <c r="R2297"/>
      <c r="S2297"/>
      <c r="T2297"/>
      <c r="U2297"/>
      <c r="V2297"/>
      <c r="W2297"/>
      <c r="X2297"/>
      <c r="Y2297"/>
      <c r="Z2297"/>
      <c r="AA2297"/>
    </row>
    <row r="2298" spans="1:27" s="1" customFormat="1" x14ac:dyDescent="0.3">
      <c r="A2298"/>
      <c r="B2298"/>
      <c r="C2298"/>
      <c r="D2298"/>
      <c r="E2298"/>
      <c r="F2298"/>
      <c r="G2298"/>
      <c r="H2298"/>
      <c r="I2298"/>
      <c r="J2298"/>
      <c r="K2298"/>
      <c r="L2298"/>
      <c r="M2298"/>
      <c r="N2298"/>
      <c r="O2298"/>
      <c r="P2298"/>
      <c r="Q2298"/>
      <c r="R2298"/>
      <c r="S2298"/>
      <c r="T2298"/>
      <c r="U2298"/>
      <c r="V2298"/>
      <c r="W2298"/>
      <c r="X2298"/>
      <c r="Y2298"/>
      <c r="Z2298"/>
      <c r="AA2298"/>
    </row>
    <row r="2299" spans="1:27" s="1" customFormat="1" x14ac:dyDescent="0.3">
      <c r="A2299"/>
      <c r="B2299"/>
      <c r="C2299"/>
      <c r="D2299"/>
      <c r="E2299"/>
      <c r="F2299"/>
      <c r="G2299"/>
      <c r="H2299"/>
      <c r="I2299"/>
      <c r="J2299"/>
      <c r="K2299"/>
      <c r="L2299"/>
      <c r="M2299"/>
      <c r="N2299"/>
      <c r="O2299"/>
      <c r="P2299"/>
      <c r="Q2299"/>
      <c r="R2299"/>
      <c r="S2299"/>
      <c r="T2299"/>
      <c r="U2299"/>
      <c r="V2299"/>
      <c r="W2299"/>
      <c r="X2299"/>
      <c r="Y2299"/>
      <c r="Z2299"/>
      <c r="AA2299"/>
    </row>
    <row r="2300" spans="1:27" s="1" customFormat="1" x14ac:dyDescent="0.3">
      <c r="A2300"/>
      <c r="B2300"/>
      <c r="C2300"/>
      <c r="D2300"/>
      <c r="E2300"/>
      <c r="F2300"/>
      <c r="G2300"/>
      <c r="H2300"/>
      <c r="I2300"/>
      <c r="J2300"/>
      <c r="K2300"/>
      <c r="L2300"/>
      <c r="M2300"/>
      <c r="N2300"/>
      <c r="O2300"/>
      <c r="P2300"/>
      <c r="Q2300"/>
      <c r="R2300"/>
      <c r="S2300"/>
      <c r="T2300"/>
      <c r="U2300"/>
      <c r="V2300"/>
      <c r="W2300"/>
      <c r="X2300"/>
      <c r="Y2300"/>
      <c r="Z2300"/>
      <c r="AA2300"/>
    </row>
    <row r="2301" spans="1:27" s="1" customFormat="1" x14ac:dyDescent="0.3">
      <c r="A2301"/>
      <c r="B2301"/>
      <c r="C2301"/>
      <c r="D2301"/>
      <c r="E2301"/>
      <c r="F2301"/>
      <c r="G2301"/>
      <c r="H2301"/>
      <c r="I2301"/>
      <c r="J2301"/>
      <c r="K2301"/>
      <c r="L2301"/>
      <c r="M2301"/>
      <c r="N2301"/>
      <c r="O2301"/>
      <c r="P2301"/>
      <c r="Q2301"/>
      <c r="R2301"/>
      <c r="S2301"/>
      <c r="T2301"/>
      <c r="U2301"/>
      <c r="V2301"/>
      <c r="W2301"/>
      <c r="X2301"/>
      <c r="Y2301"/>
      <c r="Z2301"/>
      <c r="AA2301"/>
    </row>
    <row r="2302" spans="1:27" s="1" customFormat="1" x14ac:dyDescent="0.3">
      <c r="A2302"/>
      <c r="B2302"/>
      <c r="C2302"/>
      <c r="D2302"/>
      <c r="E2302"/>
      <c r="F2302"/>
      <c r="G2302"/>
      <c r="H2302"/>
      <c r="I2302"/>
      <c r="J2302"/>
      <c r="K2302"/>
      <c r="L2302"/>
      <c r="M2302"/>
      <c r="N2302"/>
      <c r="O2302"/>
      <c r="P2302"/>
      <c r="Q2302"/>
      <c r="R2302"/>
      <c r="S2302"/>
      <c r="T2302"/>
      <c r="U2302"/>
      <c r="V2302"/>
      <c r="W2302"/>
      <c r="X2302"/>
      <c r="Y2302"/>
      <c r="Z2302"/>
      <c r="AA2302"/>
    </row>
    <row r="2303" spans="1:27" s="1" customFormat="1" x14ac:dyDescent="0.3">
      <c r="A2303"/>
      <c r="B2303"/>
      <c r="C2303"/>
      <c r="D2303"/>
      <c r="E2303"/>
      <c r="F2303"/>
      <c r="G2303"/>
      <c r="H2303"/>
      <c r="I2303"/>
      <c r="J2303"/>
      <c r="K2303"/>
      <c r="L2303"/>
      <c r="M2303"/>
      <c r="N2303"/>
      <c r="O2303"/>
      <c r="P2303"/>
      <c r="Q2303"/>
      <c r="R2303"/>
      <c r="S2303"/>
      <c r="T2303"/>
      <c r="U2303"/>
      <c r="V2303"/>
      <c r="W2303"/>
      <c r="X2303"/>
      <c r="Y2303"/>
      <c r="Z2303"/>
      <c r="AA2303"/>
    </row>
    <row r="2304" spans="1:27" s="1" customFormat="1" x14ac:dyDescent="0.3">
      <c r="A2304"/>
      <c r="B2304"/>
      <c r="C2304"/>
      <c r="D2304"/>
      <c r="E2304"/>
      <c r="F2304"/>
      <c r="G2304"/>
      <c r="H2304"/>
      <c r="I2304"/>
      <c r="J2304"/>
      <c r="K2304"/>
      <c r="L2304"/>
      <c r="M2304"/>
      <c r="N2304"/>
      <c r="O2304"/>
      <c r="P2304"/>
      <c r="Q2304"/>
      <c r="R2304"/>
      <c r="S2304"/>
      <c r="T2304"/>
      <c r="U2304"/>
      <c r="V2304"/>
      <c r="W2304"/>
      <c r="X2304"/>
      <c r="Y2304"/>
      <c r="Z2304"/>
      <c r="AA2304"/>
    </row>
    <row r="2305" spans="1:27" s="1" customFormat="1" x14ac:dyDescent="0.3">
      <c r="A2305"/>
      <c r="B2305"/>
      <c r="C2305"/>
      <c r="D2305"/>
      <c r="E2305"/>
      <c r="F2305"/>
      <c r="G2305"/>
      <c r="H2305"/>
      <c r="I2305"/>
      <c r="J2305"/>
      <c r="K2305"/>
      <c r="L2305"/>
      <c r="M2305"/>
      <c r="N2305"/>
      <c r="O2305"/>
      <c r="P2305"/>
      <c r="Q2305"/>
      <c r="R2305"/>
      <c r="S2305"/>
      <c r="T2305"/>
      <c r="U2305"/>
      <c r="V2305"/>
      <c r="W2305"/>
      <c r="X2305"/>
      <c r="Y2305"/>
      <c r="Z2305"/>
      <c r="AA2305"/>
    </row>
    <row r="2306" spans="1:27" s="1" customFormat="1" x14ac:dyDescent="0.3">
      <c r="A2306"/>
      <c r="B2306"/>
      <c r="C2306"/>
      <c r="D2306"/>
      <c r="E2306"/>
      <c r="F2306"/>
      <c r="G2306"/>
      <c r="H2306"/>
      <c r="I2306"/>
      <c r="J2306"/>
      <c r="K2306"/>
      <c r="L2306"/>
      <c r="M2306"/>
      <c r="N2306"/>
      <c r="O2306"/>
      <c r="P2306"/>
      <c r="Q2306"/>
      <c r="R2306"/>
      <c r="S2306"/>
      <c r="T2306"/>
      <c r="U2306"/>
      <c r="V2306"/>
      <c r="W2306"/>
      <c r="X2306"/>
      <c r="Y2306"/>
      <c r="Z2306"/>
      <c r="AA2306"/>
    </row>
    <row r="2307" spans="1:27" s="1" customFormat="1" x14ac:dyDescent="0.3">
      <c r="A2307"/>
      <c r="B2307"/>
      <c r="C2307"/>
      <c r="D2307"/>
      <c r="E2307"/>
      <c r="F2307"/>
      <c r="G2307"/>
      <c r="H2307"/>
      <c r="I2307"/>
      <c r="J2307"/>
      <c r="K2307"/>
      <c r="L2307"/>
      <c r="M2307"/>
      <c r="N2307"/>
      <c r="O2307"/>
      <c r="P2307"/>
      <c r="Q2307"/>
      <c r="R2307"/>
      <c r="S2307"/>
      <c r="T2307"/>
      <c r="U2307"/>
      <c r="V2307"/>
      <c r="W2307"/>
      <c r="X2307"/>
      <c r="Y2307"/>
      <c r="Z2307"/>
      <c r="AA2307"/>
    </row>
    <row r="2308" spans="1:27" s="1" customFormat="1" x14ac:dyDescent="0.3">
      <c r="A2308"/>
      <c r="B2308"/>
      <c r="C2308"/>
      <c r="D2308"/>
      <c r="E2308"/>
      <c r="F2308"/>
      <c r="G2308"/>
      <c r="H2308"/>
      <c r="I2308"/>
      <c r="J2308"/>
      <c r="K2308"/>
      <c r="L2308"/>
      <c r="M2308"/>
      <c r="N2308"/>
      <c r="O2308"/>
      <c r="P2308"/>
      <c r="Q2308"/>
      <c r="R2308"/>
      <c r="S2308"/>
      <c r="T2308"/>
      <c r="U2308"/>
      <c r="V2308"/>
      <c r="W2308"/>
      <c r="X2308"/>
      <c r="Y2308"/>
      <c r="Z2308"/>
      <c r="AA2308"/>
    </row>
    <row r="2309" spans="1:27" s="1" customFormat="1" x14ac:dyDescent="0.3">
      <c r="A2309"/>
      <c r="B2309"/>
      <c r="C2309"/>
      <c r="D2309"/>
      <c r="E2309"/>
      <c r="F2309"/>
      <c r="G2309"/>
      <c r="H2309"/>
      <c r="I2309"/>
      <c r="J2309"/>
      <c r="K2309"/>
      <c r="L2309"/>
      <c r="M2309"/>
      <c r="N2309"/>
      <c r="O2309"/>
      <c r="P2309"/>
      <c r="Q2309"/>
      <c r="R2309"/>
      <c r="S2309"/>
      <c r="T2309"/>
      <c r="U2309"/>
      <c r="V2309"/>
      <c r="W2309"/>
      <c r="X2309"/>
      <c r="Y2309"/>
      <c r="Z2309"/>
      <c r="AA2309"/>
    </row>
    <row r="2310" spans="1:27" s="1" customFormat="1" x14ac:dyDescent="0.3">
      <c r="A2310"/>
      <c r="B2310"/>
      <c r="C2310"/>
      <c r="D2310"/>
      <c r="E2310"/>
      <c r="F2310"/>
      <c r="G2310"/>
      <c r="H2310"/>
      <c r="I2310"/>
      <c r="J2310"/>
      <c r="K2310"/>
      <c r="L2310"/>
      <c r="M2310"/>
      <c r="N2310"/>
      <c r="O2310"/>
      <c r="P2310"/>
      <c r="Q2310"/>
      <c r="R2310"/>
      <c r="S2310"/>
      <c r="T2310"/>
      <c r="U2310"/>
      <c r="V2310"/>
      <c r="W2310"/>
      <c r="X2310"/>
      <c r="Y2310"/>
      <c r="Z2310"/>
      <c r="AA2310"/>
    </row>
    <row r="2311" spans="1:27" s="1" customFormat="1" x14ac:dyDescent="0.3">
      <c r="A2311"/>
      <c r="B2311"/>
      <c r="C2311"/>
      <c r="D2311"/>
      <c r="E2311"/>
      <c r="F2311"/>
      <c r="G2311"/>
      <c r="H2311"/>
      <c r="I2311"/>
      <c r="J2311"/>
      <c r="K2311"/>
      <c r="L2311"/>
      <c r="M2311"/>
      <c r="N2311"/>
      <c r="O2311"/>
      <c r="P2311"/>
      <c r="Q2311"/>
      <c r="R2311"/>
      <c r="S2311"/>
      <c r="T2311"/>
      <c r="U2311"/>
      <c r="V2311"/>
      <c r="W2311"/>
      <c r="X2311"/>
      <c r="Y2311"/>
      <c r="Z2311"/>
      <c r="AA2311"/>
    </row>
    <row r="2312" spans="1:27" s="1" customFormat="1" x14ac:dyDescent="0.3">
      <c r="A2312"/>
      <c r="B2312"/>
      <c r="C2312"/>
      <c r="D2312"/>
      <c r="E2312"/>
      <c r="F2312"/>
      <c r="G2312"/>
      <c r="H2312"/>
      <c r="I2312"/>
      <c r="J2312"/>
      <c r="K2312"/>
      <c r="L2312"/>
      <c r="M2312"/>
      <c r="N2312"/>
      <c r="O2312"/>
      <c r="P2312"/>
      <c r="Q2312"/>
      <c r="R2312"/>
      <c r="S2312"/>
      <c r="T2312"/>
      <c r="U2312"/>
      <c r="V2312"/>
      <c r="W2312"/>
      <c r="X2312"/>
      <c r="Y2312"/>
      <c r="Z2312"/>
      <c r="AA2312"/>
    </row>
    <row r="2313" spans="1:27" s="1" customFormat="1" x14ac:dyDescent="0.3">
      <c r="A2313"/>
      <c r="B2313"/>
      <c r="C2313"/>
      <c r="D2313"/>
      <c r="E2313"/>
      <c r="F2313"/>
      <c r="G2313"/>
      <c r="H2313"/>
      <c r="I2313"/>
      <c r="J2313"/>
      <c r="K2313"/>
      <c r="L2313"/>
      <c r="M2313"/>
      <c r="N2313"/>
      <c r="O2313"/>
      <c r="P2313"/>
      <c r="Q2313"/>
      <c r="R2313"/>
      <c r="S2313"/>
      <c r="T2313"/>
      <c r="U2313"/>
      <c r="V2313"/>
      <c r="W2313"/>
      <c r="X2313"/>
      <c r="Y2313"/>
      <c r="Z2313"/>
      <c r="AA2313"/>
    </row>
    <row r="2314" spans="1:27" s="1" customFormat="1" x14ac:dyDescent="0.3">
      <c r="A2314"/>
      <c r="B2314"/>
      <c r="C2314"/>
      <c r="D2314"/>
      <c r="E2314"/>
      <c r="F2314"/>
      <c r="G2314"/>
      <c r="H2314"/>
      <c r="I2314"/>
      <c r="J2314"/>
      <c r="K2314"/>
      <c r="L2314"/>
      <c r="M2314"/>
      <c r="N2314"/>
      <c r="O2314"/>
      <c r="P2314"/>
      <c r="Q2314"/>
      <c r="R2314"/>
      <c r="S2314"/>
      <c r="T2314"/>
      <c r="U2314"/>
      <c r="V2314"/>
      <c r="W2314"/>
      <c r="X2314"/>
      <c r="Y2314"/>
      <c r="Z2314"/>
      <c r="AA2314"/>
    </row>
    <row r="2315" spans="1:27" s="1" customFormat="1" x14ac:dyDescent="0.3">
      <c r="A2315"/>
      <c r="B2315"/>
      <c r="C2315"/>
      <c r="D2315"/>
      <c r="E2315"/>
      <c r="F2315"/>
      <c r="G2315"/>
      <c r="H2315"/>
      <c r="I2315"/>
      <c r="J2315"/>
      <c r="K2315"/>
      <c r="L2315"/>
      <c r="M2315"/>
      <c r="N2315"/>
      <c r="O2315"/>
      <c r="P2315"/>
      <c r="Q2315"/>
      <c r="R2315"/>
      <c r="S2315"/>
      <c r="T2315"/>
      <c r="U2315"/>
      <c r="V2315"/>
      <c r="W2315"/>
      <c r="X2315"/>
      <c r="Y2315"/>
      <c r="Z2315"/>
      <c r="AA2315"/>
    </row>
    <row r="2316" spans="1:27" s="1" customFormat="1" x14ac:dyDescent="0.3">
      <c r="A2316"/>
      <c r="B2316"/>
      <c r="C2316"/>
      <c r="D2316"/>
      <c r="E2316"/>
      <c r="F2316"/>
      <c r="G2316"/>
      <c r="H2316"/>
      <c r="I2316"/>
      <c r="J2316"/>
      <c r="K2316"/>
      <c r="L2316"/>
      <c r="M2316"/>
      <c r="N2316"/>
      <c r="O2316"/>
      <c r="P2316"/>
      <c r="Q2316"/>
      <c r="R2316"/>
      <c r="S2316"/>
      <c r="T2316"/>
      <c r="U2316"/>
      <c r="V2316"/>
      <c r="W2316"/>
      <c r="X2316"/>
      <c r="Y2316"/>
      <c r="Z2316"/>
      <c r="AA2316"/>
    </row>
    <row r="2317" spans="1:27" s="1" customFormat="1" x14ac:dyDescent="0.3">
      <c r="A2317"/>
      <c r="B2317"/>
      <c r="C2317"/>
      <c r="D2317"/>
      <c r="E2317"/>
      <c r="F2317"/>
      <c r="G2317"/>
      <c r="H2317"/>
      <c r="I2317"/>
      <c r="J2317"/>
      <c r="K2317"/>
      <c r="L2317"/>
      <c r="M2317"/>
      <c r="N2317"/>
      <c r="O2317"/>
      <c r="P2317"/>
      <c r="Q2317"/>
      <c r="R2317"/>
      <c r="S2317"/>
      <c r="T2317"/>
      <c r="U2317"/>
      <c r="V2317"/>
      <c r="W2317"/>
      <c r="X2317"/>
      <c r="Y2317"/>
      <c r="Z2317"/>
      <c r="AA2317"/>
    </row>
    <row r="2318" spans="1:27" s="1" customFormat="1" x14ac:dyDescent="0.3">
      <c r="A2318"/>
      <c r="B2318"/>
      <c r="C2318"/>
      <c r="D2318"/>
      <c r="E2318"/>
      <c r="F2318"/>
      <c r="G2318"/>
      <c r="H2318"/>
      <c r="I2318"/>
      <c r="J2318"/>
      <c r="K2318"/>
      <c r="L2318"/>
      <c r="M2318"/>
      <c r="N2318"/>
      <c r="O2318"/>
      <c r="P2318"/>
      <c r="Q2318"/>
      <c r="R2318"/>
      <c r="S2318"/>
      <c r="T2318"/>
      <c r="U2318"/>
      <c r="V2318"/>
      <c r="W2318"/>
      <c r="X2318"/>
      <c r="Y2318"/>
      <c r="Z2318"/>
      <c r="AA2318"/>
    </row>
    <row r="2319" spans="1:27" s="1" customFormat="1" x14ac:dyDescent="0.3">
      <c r="A2319"/>
      <c r="B2319"/>
      <c r="C2319"/>
      <c r="D2319"/>
      <c r="E2319"/>
      <c r="F2319"/>
      <c r="G2319"/>
      <c r="H2319"/>
      <c r="I2319"/>
      <c r="J2319"/>
      <c r="K2319"/>
      <c r="L2319"/>
      <c r="M2319"/>
      <c r="N2319"/>
      <c r="O2319"/>
      <c r="P2319"/>
      <c r="Q2319"/>
      <c r="R2319"/>
      <c r="S2319"/>
      <c r="T2319"/>
      <c r="U2319"/>
      <c r="V2319"/>
      <c r="W2319"/>
      <c r="X2319"/>
      <c r="Y2319"/>
      <c r="Z2319"/>
      <c r="AA2319"/>
    </row>
    <row r="2320" spans="1:27" s="1" customFormat="1" x14ac:dyDescent="0.3">
      <c r="A2320"/>
      <c r="B2320"/>
      <c r="C2320"/>
      <c r="D2320"/>
      <c r="E2320"/>
      <c r="F2320"/>
      <c r="G2320"/>
      <c r="H2320"/>
      <c r="I2320"/>
      <c r="J2320"/>
      <c r="K2320"/>
      <c r="L2320"/>
      <c r="M2320"/>
      <c r="N2320"/>
      <c r="O2320"/>
      <c r="P2320"/>
      <c r="Q2320"/>
      <c r="R2320"/>
      <c r="S2320"/>
      <c r="T2320"/>
      <c r="U2320"/>
      <c r="V2320"/>
      <c r="W2320"/>
      <c r="X2320"/>
      <c r="Y2320"/>
      <c r="Z2320"/>
      <c r="AA2320"/>
    </row>
    <row r="2321" spans="1:27" s="1" customFormat="1" x14ac:dyDescent="0.3">
      <c r="A2321"/>
      <c r="B2321"/>
      <c r="C2321"/>
      <c r="D2321"/>
      <c r="E2321"/>
      <c r="F2321"/>
      <c r="G2321"/>
      <c r="H2321"/>
      <c r="I2321"/>
      <c r="J2321"/>
      <c r="K2321"/>
      <c r="L2321"/>
      <c r="M2321"/>
      <c r="N2321"/>
      <c r="O2321"/>
      <c r="P2321"/>
      <c r="Q2321"/>
      <c r="R2321"/>
      <c r="S2321"/>
      <c r="T2321"/>
      <c r="U2321"/>
      <c r="V2321"/>
      <c r="W2321"/>
      <c r="X2321"/>
      <c r="Y2321"/>
      <c r="Z2321"/>
      <c r="AA2321"/>
    </row>
    <row r="2322" spans="1:27" s="1" customFormat="1" x14ac:dyDescent="0.3">
      <c r="A2322"/>
      <c r="B2322"/>
      <c r="C2322"/>
      <c r="D2322"/>
      <c r="E2322"/>
      <c r="F2322"/>
      <c r="G2322"/>
      <c r="H2322"/>
      <c r="I2322"/>
      <c r="J2322"/>
      <c r="K2322"/>
      <c r="L2322"/>
      <c r="M2322"/>
      <c r="N2322"/>
      <c r="O2322"/>
      <c r="P2322"/>
      <c r="Q2322"/>
      <c r="R2322"/>
      <c r="S2322"/>
      <c r="T2322"/>
      <c r="U2322"/>
      <c r="V2322"/>
      <c r="W2322"/>
      <c r="X2322"/>
      <c r="Y2322"/>
      <c r="Z2322"/>
      <c r="AA2322"/>
    </row>
    <row r="2323" spans="1:27" s="1" customFormat="1" x14ac:dyDescent="0.3">
      <c r="A2323"/>
      <c r="B2323"/>
      <c r="C2323"/>
      <c r="D2323"/>
      <c r="E2323"/>
      <c r="F2323"/>
      <c r="G2323"/>
      <c r="H2323"/>
      <c r="I2323"/>
      <c r="J2323"/>
      <c r="K2323"/>
      <c r="L2323"/>
      <c r="M2323"/>
      <c r="N2323"/>
      <c r="O2323"/>
      <c r="P2323"/>
      <c r="Q2323"/>
      <c r="R2323"/>
      <c r="S2323"/>
      <c r="T2323"/>
      <c r="U2323"/>
      <c r="V2323"/>
      <c r="W2323"/>
      <c r="X2323"/>
      <c r="Y2323"/>
      <c r="Z2323"/>
      <c r="AA2323"/>
    </row>
    <row r="2324" spans="1:27" s="1" customFormat="1" x14ac:dyDescent="0.3">
      <c r="A2324"/>
      <c r="B2324"/>
      <c r="C2324"/>
      <c r="D2324"/>
      <c r="E2324"/>
      <c r="F2324"/>
      <c r="G2324"/>
      <c r="H2324"/>
      <c r="I2324"/>
      <c r="J2324"/>
      <c r="K2324"/>
      <c r="L2324"/>
      <c r="M2324"/>
      <c r="N2324"/>
      <c r="O2324"/>
      <c r="P2324"/>
      <c r="Q2324"/>
      <c r="R2324"/>
      <c r="S2324"/>
      <c r="T2324"/>
      <c r="U2324"/>
      <c r="V2324"/>
      <c r="W2324"/>
      <c r="X2324"/>
      <c r="Y2324"/>
      <c r="Z2324"/>
      <c r="AA2324"/>
    </row>
    <row r="2325" spans="1:27" s="1" customFormat="1" x14ac:dyDescent="0.3">
      <c r="A2325"/>
      <c r="B2325"/>
      <c r="C2325"/>
      <c r="D2325"/>
      <c r="E2325"/>
      <c r="F2325"/>
      <c r="G2325"/>
      <c r="H2325"/>
      <c r="I2325"/>
      <c r="J2325"/>
      <c r="K2325"/>
      <c r="L2325"/>
      <c r="M2325"/>
      <c r="N2325"/>
      <c r="O2325"/>
      <c r="P2325"/>
      <c r="Q2325"/>
      <c r="R2325"/>
      <c r="S2325"/>
      <c r="T2325"/>
      <c r="U2325"/>
      <c r="V2325"/>
      <c r="W2325"/>
      <c r="X2325"/>
      <c r="Y2325"/>
      <c r="Z2325"/>
      <c r="AA2325"/>
    </row>
    <row r="2326" spans="1:27" s="1" customFormat="1" x14ac:dyDescent="0.3">
      <c r="A2326"/>
      <c r="B2326"/>
      <c r="C2326"/>
      <c r="D2326"/>
      <c r="E2326"/>
      <c r="F2326"/>
      <c r="G2326"/>
      <c r="H2326"/>
      <c r="I2326"/>
      <c r="J2326"/>
      <c r="K2326"/>
      <c r="L2326"/>
      <c r="M2326"/>
      <c r="N2326"/>
      <c r="O2326"/>
      <c r="P2326"/>
      <c r="Q2326"/>
      <c r="R2326"/>
      <c r="S2326"/>
      <c r="T2326"/>
      <c r="U2326"/>
      <c r="V2326"/>
      <c r="W2326"/>
      <c r="X2326"/>
      <c r="Y2326"/>
      <c r="Z2326"/>
      <c r="AA2326"/>
    </row>
    <row r="2327" spans="1:27" s="1" customFormat="1" x14ac:dyDescent="0.3">
      <c r="A2327"/>
      <c r="B2327"/>
      <c r="C2327"/>
      <c r="D2327"/>
      <c r="E2327"/>
      <c r="F2327"/>
      <c r="G2327"/>
      <c r="H2327"/>
      <c r="I2327"/>
      <c r="J2327"/>
      <c r="K2327"/>
      <c r="L2327"/>
      <c r="M2327"/>
      <c r="N2327"/>
      <c r="O2327"/>
      <c r="P2327"/>
      <c r="Q2327"/>
      <c r="R2327"/>
      <c r="S2327"/>
      <c r="T2327"/>
      <c r="U2327"/>
      <c r="V2327"/>
      <c r="W2327"/>
      <c r="X2327"/>
      <c r="Y2327"/>
      <c r="Z2327"/>
      <c r="AA2327"/>
    </row>
    <row r="2328" spans="1:27" s="1" customFormat="1" x14ac:dyDescent="0.3">
      <c r="A2328"/>
      <c r="B2328"/>
      <c r="C2328"/>
      <c r="D2328"/>
      <c r="E2328"/>
      <c r="F2328"/>
      <c r="G2328"/>
      <c r="H2328"/>
      <c r="I2328"/>
      <c r="J2328"/>
      <c r="K2328"/>
      <c r="L2328"/>
      <c r="M2328"/>
      <c r="N2328"/>
      <c r="O2328"/>
      <c r="P2328"/>
      <c r="Q2328"/>
      <c r="R2328"/>
      <c r="S2328"/>
      <c r="T2328"/>
      <c r="U2328"/>
      <c r="V2328"/>
      <c r="W2328"/>
      <c r="X2328"/>
      <c r="Y2328"/>
      <c r="Z2328"/>
      <c r="AA2328"/>
    </row>
    <row r="2329" spans="1:27" s="1" customFormat="1" x14ac:dyDescent="0.3">
      <c r="A2329"/>
      <c r="B2329"/>
      <c r="C2329"/>
      <c r="D2329"/>
      <c r="E2329"/>
      <c r="F2329"/>
      <c r="G2329"/>
      <c r="H2329"/>
      <c r="I2329"/>
      <c r="J2329"/>
      <c r="K2329"/>
      <c r="L2329"/>
      <c r="M2329"/>
      <c r="N2329"/>
      <c r="O2329"/>
      <c r="P2329"/>
      <c r="Q2329"/>
      <c r="R2329"/>
      <c r="S2329"/>
      <c r="T2329"/>
      <c r="U2329"/>
      <c r="V2329"/>
      <c r="W2329"/>
      <c r="X2329"/>
      <c r="Y2329"/>
      <c r="Z2329"/>
      <c r="AA2329"/>
    </row>
    <row r="2330" spans="1:27" s="1" customFormat="1" x14ac:dyDescent="0.3">
      <c r="A2330"/>
      <c r="B2330"/>
      <c r="C2330"/>
      <c r="D2330"/>
      <c r="E2330"/>
      <c r="F2330"/>
      <c r="G2330"/>
      <c r="H2330"/>
      <c r="I2330"/>
      <c r="J2330"/>
      <c r="K2330"/>
      <c r="L2330"/>
      <c r="M2330"/>
      <c r="N2330"/>
      <c r="O2330"/>
      <c r="P2330"/>
      <c r="Q2330"/>
      <c r="R2330"/>
      <c r="S2330"/>
      <c r="T2330"/>
      <c r="U2330"/>
      <c r="V2330"/>
      <c r="W2330"/>
      <c r="X2330"/>
      <c r="Y2330"/>
      <c r="Z2330"/>
      <c r="AA2330"/>
    </row>
    <row r="2331" spans="1:27" s="1" customFormat="1" x14ac:dyDescent="0.3">
      <c r="A2331"/>
      <c r="B2331"/>
      <c r="C2331"/>
      <c r="D2331"/>
      <c r="E2331"/>
      <c r="F2331"/>
      <c r="G2331"/>
      <c r="H2331"/>
      <c r="I2331"/>
      <c r="J2331"/>
      <c r="K2331"/>
      <c r="L2331"/>
      <c r="M2331"/>
      <c r="N2331"/>
      <c r="O2331"/>
      <c r="P2331"/>
      <c r="Q2331"/>
      <c r="R2331"/>
      <c r="S2331"/>
      <c r="T2331"/>
      <c r="U2331"/>
      <c r="V2331"/>
      <c r="W2331"/>
      <c r="X2331"/>
      <c r="Y2331"/>
      <c r="Z2331"/>
      <c r="AA2331"/>
    </row>
    <row r="2332" spans="1:27" s="1" customFormat="1" x14ac:dyDescent="0.3">
      <c r="A2332"/>
      <c r="B2332"/>
      <c r="C2332"/>
      <c r="D2332"/>
      <c r="E2332"/>
      <c r="F2332"/>
      <c r="G2332"/>
      <c r="H2332"/>
      <c r="I2332"/>
      <c r="J2332"/>
      <c r="K2332"/>
      <c r="L2332"/>
      <c r="M2332"/>
      <c r="N2332"/>
      <c r="O2332"/>
      <c r="P2332"/>
      <c r="Q2332"/>
      <c r="R2332"/>
      <c r="S2332"/>
      <c r="T2332"/>
      <c r="U2332"/>
      <c r="V2332"/>
      <c r="W2332"/>
      <c r="X2332"/>
      <c r="Y2332"/>
      <c r="Z2332"/>
      <c r="AA2332"/>
    </row>
    <row r="2333" spans="1:27" s="1" customFormat="1" x14ac:dyDescent="0.3">
      <c r="A2333"/>
      <c r="B2333"/>
      <c r="C2333"/>
      <c r="D2333"/>
      <c r="E2333"/>
      <c r="F2333"/>
      <c r="G2333"/>
      <c r="H2333"/>
      <c r="I2333"/>
      <c r="J2333"/>
      <c r="K2333"/>
      <c r="L2333"/>
      <c r="M2333"/>
      <c r="N2333"/>
      <c r="O2333"/>
      <c r="P2333"/>
      <c r="Q2333"/>
      <c r="R2333"/>
      <c r="S2333"/>
      <c r="T2333"/>
      <c r="U2333"/>
      <c r="V2333"/>
      <c r="W2333"/>
      <c r="X2333"/>
      <c r="Y2333"/>
      <c r="Z2333"/>
      <c r="AA2333"/>
    </row>
    <row r="2334" spans="1:27" s="1" customFormat="1" x14ac:dyDescent="0.3">
      <c r="A2334"/>
      <c r="B2334"/>
      <c r="C2334"/>
      <c r="D2334"/>
      <c r="E2334"/>
      <c r="F2334"/>
      <c r="G2334"/>
      <c r="H2334"/>
      <c r="I2334"/>
      <c r="J2334"/>
      <c r="K2334"/>
      <c r="L2334"/>
      <c r="M2334"/>
      <c r="N2334"/>
      <c r="O2334"/>
      <c r="P2334"/>
      <c r="Q2334"/>
      <c r="R2334"/>
      <c r="S2334"/>
      <c r="T2334"/>
      <c r="U2334"/>
      <c r="V2334"/>
      <c r="W2334"/>
      <c r="X2334"/>
      <c r="Y2334"/>
      <c r="Z2334"/>
      <c r="AA2334"/>
    </row>
    <row r="2335" spans="1:27" s="1" customFormat="1" x14ac:dyDescent="0.3">
      <c r="A2335"/>
      <c r="B2335"/>
      <c r="C2335"/>
      <c r="D2335"/>
      <c r="E2335"/>
      <c r="F2335"/>
      <c r="G2335"/>
      <c r="H2335"/>
      <c r="I2335"/>
      <c r="J2335"/>
      <c r="K2335"/>
      <c r="L2335"/>
      <c r="M2335"/>
      <c r="N2335"/>
      <c r="O2335"/>
      <c r="P2335"/>
      <c r="Q2335"/>
      <c r="R2335"/>
      <c r="S2335"/>
      <c r="T2335"/>
      <c r="U2335"/>
      <c r="V2335"/>
      <c r="W2335"/>
      <c r="X2335"/>
      <c r="Y2335"/>
      <c r="Z2335"/>
      <c r="AA2335"/>
    </row>
    <row r="2336" spans="1:27" s="1" customFormat="1" x14ac:dyDescent="0.3">
      <c r="A2336"/>
      <c r="B2336"/>
      <c r="C2336"/>
      <c r="D2336"/>
      <c r="E2336"/>
      <c r="F2336"/>
      <c r="G2336"/>
      <c r="H2336"/>
      <c r="I2336"/>
      <c r="J2336"/>
      <c r="K2336"/>
      <c r="L2336"/>
      <c r="M2336"/>
      <c r="N2336"/>
      <c r="O2336"/>
      <c r="P2336"/>
      <c r="Q2336"/>
      <c r="R2336"/>
      <c r="S2336"/>
      <c r="T2336"/>
      <c r="U2336"/>
      <c r="V2336"/>
      <c r="W2336"/>
      <c r="X2336"/>
      <c r="Y2336"/>
      <c r="Z2336"/>
      <c r="AA2336"/>
    </row>
    <row r="2337" spans="1:27" s="1" customFormat="1" x14ac:dyDescent="0.3">
      <c r="A2337"/>
      <c r="B2337"/>
      <c r="C2337"/>
      <c r="D2337"/>
      <c r="E2337"/>
      <c r="F2337"/>
      <c r="G2337"/>
      <c r="H2337"/>
      <c r="I2337"/>
      <c r="J2337"/>
      <c r="K2337"/>
      <c r="L2337"/>
      <c r="M2337"/>
      <c r="N2337"/>
      <c r="O2337"/>
      <c r="P2337"/>
      <c r="Q2337"/>
      <c r="R2337"/>
      <c r="S2337"/>
      <c r="T2337"/>
      <c r="U2337"/>
      <c r="V2337"/>
      <c r="W2337"/>
      <c r="X2337"/>
      <c r="Y2337"/>
      <c r="Z2337"/>
      <c r="AA2337"/>
    </row>
    <row r="2338" spans="1:27" s="1" customFormat="1" x14ac:dyDescent="0.3">
      <c r="A2338"/>
      <c r="B2338"/>
      <c r="C2338"/>
      <c r="D2338"/>
      <c r="E2338"/>
      <c r="F2338"/>
      <c r="G2338"/>
      <c r="H2338"/>
      <c r="I2338"/>
      <c r="J2338"/>
      <c r="K2338"/>
      <c r="L2338"/>
      <c r="M2338"/>
      <c r="N2338"/>
      <c r="O2338"/>
      <c r="P2338"/>
      <c r="Q2338"/>
      <c r="R2338"/>
      <c r="S2338"/>
      <c r="T2338"/>
      <c r="U2338"/>
      <c r="V2338"/>
      <c r="W2338"/>
      <c r="X2338"/>
      <c r="Y2338"/>
      <c r="Z2338"/>
      <c r="AA2338"/>
    </row>
    <row r="2339" spans="1:27" s="1" customFormat="1" x14ac:dyDescent="0.3">
      <c r="A2339"/>
      <c r="B2339"/>
      <c r="C2339"/>
      <c r="D2339"/>
      <c r="E2339"/>
      <c r="F2339"/>
      <c r="G2339"/>
      <c r="H2339"/>
      <c r="I2339"/>
      <c r="J2339"/>
      <c r="K2339"/>
      <c r="L2339"/>
      <c r="M2339"/>
      <c r="N2339"/>
      <c r="O2339"/>
      <c r="P2339"/>
      <c r="Q2339"/>
      <c r="R2339"/>
      <c r="S2339"/>
      <c r="T2339"/>
      <c r="U2339"/>
      <c r="V2339"/>
      <c r="W2339"/>
      <c r="X2339"/>
      <c r="Y2339"/>
      <c r="Z2339"/>
      <c r="AA2339"/>
    </row>
    <row r="2340" spans="1:27" s="1" customFormat="1" x14ac:dyDescent="0.3">
      <c r="A2340"/>
      <c r="B2340"/>
      <c r="C2340"/>
      <c r="D2340"/>
      <c r="E2340"/>
      <c r="F2340"/>
      <c r="G2340"/>
      <c r="H2340"/>
      <c r="I2340"/>
      <c r="J2340"/>
      <c r="K2340"/>
      <c r="L2340"/>
      <c r="M2340"/>
      <c r="N2340"/>
      <c r="O2340"/>
      <c r="P2340"/>
      <c r="Q2340"/>
      <c r="R2340"/>
      <c r="S2340"/>
      <c r="T2340"/>
      <c r="U2340"/>
      <c r="V2340"/>
      <c r="W2340"/>
      <c r="X2340"/>
      <c r="Y2340"/>
      <c r="Z2340"/>
      <c r="AA2340"/>
    </row>
    <row r="2341" spans="1:27" s="1" customFormat="1" x14ac:dyDescent="0.3">
      <c r="A2341"/>
      <c r="B2341"/>
      <c r="C2341"/>
      <c r="D2341"/>
      <c r="E2341"/>
      <c r="F2341"/>
      <c r="G2341"/>
      <c r="H2341"/>
      <c r="I2341"/>
      <c r="J2341"/>
      <c r="K2341"/>
      <c r="L2341"/>
      <c r="M2341"/>
      <c r="N2341"/>
      <c r="O2341"/>
      <c r="P2341"/>
      <c r="Q2341"/>
      <c r="R2341"/>
      <c r="S2341"/>
      <c r="T2341"/>
      <c r="U2341"/>
      <c r="V2341"/>
      <c r="W2341"/>
      <c r="X2341"/>
      <c r="Y2341"/>
      <c r="Z2341"/>
      <c r="AA2341"/>
    </row>
    <row r="2342" spans="1:27" s="1" customFormat="1" x14ac:dyDescent="0.3">
      <c r="A2342"/>
      <c r="B2342"/>
      <c r="C2342"/>
      <c r="D2342"/>
      <c r="E2342"/>
      <c r="F2342"/>
      <c r="G2342"/>
      <c r="H2342"/>
      <c r="I2342"/>
      <c r="J2342"/>
      <c r="K2342"/>
      <c r="L2342"/>
      <c r="M2342"/>
      <c r="N2342"/>
      <c r="O2342"/>
      <c r="P2342"/>
      <c r="Q2342"/>
      <c r="R2342"/>
      <c r="S2342"/>
      <c r="T2342"/>
      <c r="U2342"/>
      <c r="V2342"/>
      <c r="W2342"/>
      <c r="X2342"/>
      <c r="Y2342"/>
      <c r="Z2342"/>
      <c r="AA2342"/>
    </row>
    <row r="2343" spans="1:27" s="1" customFormat="1" x14ac:dyDescent="0.3">
      <c r="A2343"/>
      <c r="B2343"/>
      <c r="C2343"/>
      <c r="D2343"/>
      <c r="E2343"/>
      <c r="F2343"/>
      <c r="G2343"/>
      <c r="H2343"/>
      <c r="I2343"/>
      <c r="J2343"/>
      <c r="K2343"/>
      <c r="L2343"/>
      <c r="M2343"/>
      <c r="N2343"/>
      <c r="O2343"/>
      <c r="P2343"/>
      <c r="Q2343"/>
      <c r="R2343"/>
      <c r="S2343"/>
      <c r="T2343"/>
      <c r="U2343"/>
      <c r="V2343"/>
      <c r="W2343"/>
      <c r="X2343"/>
      <c r="Y2343"/>
      <c r="Z2343"/>
      <c r="AA2343"/>
    </row>
    <row r="2344" spans="1:27" s="1" customFormat="1" x14ac:dyDescent="0.3">
      <c r="A2344"/>
      <c r="B2344"/>
      <c r="C2344"/>
      <c r="D2344"/>
      <c r="E2344"/>
      <c r="F2344"/>
      <c r="G2344"/>
      <c r="H2344"/>
      <c r="I2344"/>
      <c r="J2344"/>
      <c r="K2344"/>
      <c r="L2344"/>
      <c r="M2344"/>
      <c r="N2344"/>
      <c r="O2344"/>
      <c r="P2344"/>
      <c r="Q2344"/>
      <c r="R2344"/>
      <c r="S2344"/>
      <c r="T2344"/>
      <c r="U2344"/>
      <c r="V2344"/>
      <c r="W2344"/>
      <c r="X2344"/>
      <c r="Y2344"/>
      <c r="Z2344"/>
      <c r="AA2344"/>
    </row>
    <row r="2345" spans="1:27" s="1" customFormat="1" x14ac:dyDescent="0.3">
      <c r="A2345"/>
      <c r="B2345"/>
      <c r="C2345"/>
      <c r="D2345"/>
      <c r="E2345"/>
      <c r="F2345"/>
      <c r="G2345"/>
      <c r="H2345"/>
      <c r="I2345"/>
      <c r="J2345"/>
      <c r="K2345"/>
      <c r="L2345"/>
      <c r="M2345"/>
      <c r="N2345"/>
      <c r="O2345"/>
      <c r="P2345"/>
      <c r="Q2345"/>
      <c r="R2345"/>
      <c r="S2345"/>
      <c r="T2345"/>
      <c r="U2345"/>
      <c r="V2345"/>
      <c r="W2345"/>
      <c r="X2345"/>
      <c r="Y2345"/>
      <c r="Z2345"/>
      <c r="AA2345"/>
    </row>
    <row r="2346" spans="1:27" s="1" customFormat="1" x14ac:dyDescent="0.3">
      <c r="A2346"/>
      <c r="B2346"/>
      <c r="C2346"/>
      <c r="D2346"/>
      <c r="E2346"/>
      <c r="F2346"/>
      <c r="G2346"/>
      <c r="H2346"/>
      <c r="I2346"/>
      <c r="J2346"/>
      <c r="K2346"/>
      <c r="L2346"/>
      <c r="M2346"/>
      <c r="N2346"/>
      <c r="O2346"/>
      <c r="P2346"/>
      <c r="Q2346"/>
      <c r="R2346"/>
      <c r="S2346"/>
      <c r="T2346"/>
      <c r="U2346"/>
      <c r="V2346"/>
      <c r="W2346"/>
      <c r="X2346"/>
      <c r="Y2346"/>
      <c r="Z2346"/>
      <c r="AA2346"/>
    </row>
    <row r="2347" spans="1:27" s="1" customFormat="1" x14ac:dyDescent="0.3">
      <c r="A2347"/>
      <c r="B2347"/>
      <c r="C2347"/>
      <c r="D2347"/>
      <c r="E2347"/>
      <c r="F2347"/>
      <c r="G2347"/>
      <c r="H2347"/>
      <c r="I2347"/>
      <c r="J2347"/>
      <c r="K2347"/>
      <c r="L2347"/>
      <c r="M2347"/>
      <c r="N2347"/>
      <c r="O2347"/>
      <c r="P2347"/>
      <c r="Q2347"/>
      <c r="R2347"/>
      <c r="S2347"/>
      <c r="T2347"/>
      <c r="U2347"/>
      <c r="V2347"/>
      <c r="W2347"/>
      <c r="X2347"/>
      <c r="Y2347"/>
      <c r="Z2347"/>
      <c r="AA2347"/>
    </row>
    <row r="2348" spans="1:27" s="1" customFormat="1" x14ac:dyDescent="0.3">
      <c r="A2348"/>
      <c r="B2348"/>
      <c r="C2348"/>
      <c r="D2348"/>
      <c r="E2348"/>
      <c r="F2348"/>
      <c r="G2348"/>
      <c r="H2348"/>
      <c r="I2348"/>
      <c r="J2348"/>
      <c r="K2348"/>
      <c r="L2348"/>
      <c r="M2348"/>
      <c r="N2348"/>
      <c r="O2348"/>
      <c r="P2348"/>
      <c r="Q2348"/>
      <c r="R2348"/>
      <c r="S2348"/>
      <c r="T2348"/>
      <c r="U2348"/>
      <c r="V2348"/>
      <c r="W2348"/>
      <c r="X2348"/>
      <c r="Y2348"/>
      <c r="Z2348"/>
      <c r="AA2348"/>
    </row>
    <row r="2349" spans="1:27" s="1" customFormat="1" x14ac:dyDescent="0.3">
      <c r="A2349"/>
      <c r="B2349"/>
      <c r="C2349"/>
      <c r="D2349"/>
      <c r="E2349"/>
      <c r="F2349"/>
      <c r="G2349"/>
      <c r="H2349"/>
      <c r="I2349"/>
      <c r="J2349"/>
      <c r="K2349"/>
      <c r="L2349"/>
      <c r="M2349"/>
      <c r="N2349"/>
      <c r="O2349"/>
      <c r="P2349"/>
      <c r="Q2349"/>
      <c r="R2349"/>
      <c r="S2349"/>
      <c r="T2349"/>
      <c r="U2349"/>
      <c r="V2349"/>
      <c r="W2349"/>
      <c r="X2349"/>
      <c r="Y2349"/>
      <c r="Z2349"/>
      <c r="AA2349"/>
    </row>
    <row r="2350" spans="1:27" s="1" customFormat="1" x14ac:dyDescent="0.3">
      <c r="A2350"/>
      <c r="B2350"/>
      <c r="C2350"/>
      <c r="D2350"/>
      <c r="E2350"/>
      <c r="F2350"/>
      <c r="G2350"/>
      <c r="H2350"/>
      <c r="I2350"/>
      <c r="J2350"/>
      <c r="K2350"/>
      <c r="L2350"/>
      <c r="M2350"/>
      <c r="N2350"/>
      <c r="O2350"/>
      <c r="P2350"/>
      <c r="Q2350"/>
      <c r="R2350"/>
      <c r="S2350"/>
      <c r="T2350"/>
      <c r="U2350"/>
      <c r="V2350"/>
      <c r="W2350"/>
      <c r="X2350"/>
      <c r="Y2350"/>
      <c r="Z2350"/>
      <c r="AA2350"/>
    </row>
    <row r="2351" spans="1:27" s="1" customFormat="1" x14ac:dyDescent="0.3">
      <c r="A2351"/>
      <c r="B2351"/>
      <c r="C2351"/>
      <c r="D2351"/>
      <c r="E2351"/>
      <c r="F2351"/>
      <c r="G2351"/>
      <c r="H2351"/>
      <c r="I2351"/>
      <c r="J2351"/>
      <c r="K2351"/>
      <c r="L2351"/>
      <c r="M2351"/>
      <c r="N2351"/>
      <c r="O2351"/>
      <c r="P2351"/>
      <c r="Q2351"/>
      <c r="R2351"/>
      <c r="S2351"/>
      <c r="T2351"/>
      <c r="U2351"/>
      <c r="V2351"/>
      <c r="W2351"/>
      <c r="X2351"/>
      <c r="Y2351"/>
      <c r="Z2351"/>
      <c r="AA2351"/>
    </row>
    <row r="2352" spans="1:27" s="1" customFormat="1" x14ac:dyDescent="0.3">
      <c r="A2352"/>
      <c r="B2352"/>
      <c r="C2352"/>
      <c r="D2352"/>
      <c r="E2352"/>
      <c r="F2352"/>
      <c r="G2352"/>
      <c r="H2352"/>
      <c r="I2352"/>
      <c r="J2352"/>
      <c r="K2352"/>
      <c r="L2352"/>
      <c r="M2352"/>
      <c r="N2352"/>
      <c r="O2352"/>
      <c r="P2352"/>
      <c r="Q2352"/>
      <c r="R2352"/>
      <c r="S2352"/>
      <c r="T2352"/>
      <c r="U2352"/>
      <c r="V2352"/>
      <c r="W2352"/>
      <c r="X2352"/>
      <c r="Y2352"/>
      <c r="Z2352"/>
      <c r="AA2352"/>
    </row>
    <row r="2353" spans="1:27" s="1" customFormat="1" x14ac:dyDescent="0.3">
      <c r="A2353"/>
      <c r="B2353"/>
      <c r="C2353"/>
      <c r="D2353"/>
      <c r="E2353"/>
      <c r="F2353"/>
      <c r="G2353"/>
      <c r="H2353"/>
      <c r="I2353"/>
      <c r="J2353"/>
      <c r="K2353"/>
      <c r="L2353"/>
      <c r="M2353"/>
      <c r="N2353"/>
      <c r="O2353"/>
      <c r="P2353"/>
      <c r="Q2353"/>
      <c r="R2353"/>
      <c r="S2353"/>
      <c r="T2353"/>
      <c r="U2353"/>
      <c r="V2353"/>
      <c r="W2353"/>
      <c r="X2353"/>
      <c r="Y2353"/>
      <c r="Z2353"/>
      <c r="AA2353"/>
    </row>
    <row r="2354" spans="1:27" s="1" customFormat="1" x14ac:dyDescent="0.3">
      <c r="A2354"/>
      <c r="B2354"/>
      <c r="C2354"/>
      <c r="D2354"/>
      <c r="E2354"/>
      <c r="F2354"/>
      <c r="G2354"/>
      <c r="H2354"/>
      <c r="I2354"/>
      <c r="J2354"/>
      <c r="K2354"/>
      <c r="L2354"/>
      <c r="M2354"/>
      <c r="N2354"/>
      <c r="O2354"/>
      <c r="P2354"/>
      <c r="Q2354"/>
      <c r="R2354"/>
      <c r="S2354"/>
      <c r="T2354"/>
      <c r="U2354"/>
      <c r="V2354"/>
      <c r="W2354"/>
      <c r="X2354"/>
      <c r="Y2354"/>
      <c r="Z2354"/>
      <c r="AA2354"/>
    </row>
    <row r="2355" spans="1:27" s="1" customFormat="1" x14ac:dyDescent="0.3">
      <c r="A2355"/>
      <c r="B2355"/>
      <c r="C2355"/>
      <c r="D2355"/>
      <c r="E2355"/>
      <c r="F2355"/>
      <c r="G2355"/>
      <c r="H2355"/>
      <c r="I2355"/>
      <c r="J2355"/>
      <c r="K2355"/>
      <c r="L2355"/>
      <c r="M2355"/>
      <c r="N2355"/>
      <c r="O2355"/>
      <c r="P2355"/>
      <c r="Q2355"/>
      <c r="R2355"/>
      <c r="S2355"/>
      <c r="T2355"/>
      <c r="U2355"/>
      <c r="V2355"/>
      <c r="W2355"/>
      <c r="X2355"/>
      <c r="Y2355"/>
      <c r="Z2355"/>
      <c r="AA2355"/>
    </row>
    <row r="2356" spans="1:27" s="1" customFormat="1" x14ac:dyDescent="0.3">
      <c r="A2356"/>
      <c r="B2356"/>
      <c r="C2356"/>
      <c r="D2356"/>
      <c r="E2356"/>
      <c r="F2356"/>
      <c r="G2356"/>
      <c r="H2356"/>
      <c r="I2356"/>
      <c r="J2356"/>
      <c r="K2356"/>
      <c r="L2356"/>
      <c r="M2356"/>
      <c r="N2356"/>
      <c r="O2356"/>
      <c r="P2356"/>
      <c r="Q2356"/>
      <c r="R2356"/>
      <c r="S2356"/>
      <c r="T2356"/>
      <c r="U2356"/>
      <c r="V2356"/>
      <c r="W2356"/>
      <c r="X2356"/>
      <c r="Y2356"/>
      <c r="Z2356"/>
      <c r="AA2356"/>
    </row>
    <row r="2357" spans="1:27" s="1" customFormat="1" x14ac:dyDescent="0.3">
      <c r="A2357"/>
      <c r="B2357"/>
      <c r="C2357"/>
      <c r="D2357"/>
      <c r="E2357"/>
      <c r="F2357"/>
      <c r="G2357"/>
      <c r="H2357"/>
      <c r="I2357"/>
      <c r="J2357"/>
      <c r="K2357"/>
      <c r="L2357"/>
      <c r="M2357"/>
      <c r="N2357"/>
      <c r="O2357"/>
      <c r="P2357"/>
      <c r="Q2357"/>
      <c r="R2357"/>
      <c r="S2357"/>
      <c r="T2357"/>
      <c r="U2357"/>
      <c r="V2357"/>
      <c r="W2357"/>
      <c r="X2357"/>
      <c r="Y2357"/>
      <c r="Z2357"/>
      <c r="AA2357"/>
    </row>
    <row r="2358" spans="1:27" s="1" customFormat="1" x14ac:dyDescent="0.3">
      <c r="A2358"/>
      <c r="B2358"/>
      <c r="C2358"/>
      <c r="D2358"/>
      <c r="E2358"/>
      <c r="F2358"/>
      <c r="G2358"/>
      <c r="H2358"/>
      <c r="I2358"/>
      <c r="J2358"/>
      <c r="K2358"/>
      <c r="L2358"/>
      <c r="M2358"/>
      <c r="N2358"/>
      <c r="O2358"/>
      <c r="P2358"/>
      <c r="Q2358"/>
      <c r="R2358"/>
      <c r="S2358"/>
      <c r="T2358"/>
      <c r="U2358"/>
      <c r="V2358"/>
      <c r="W2358"/>
      <c r="X2358"/>
      <c r="Y2358"/>
      <c r="Z2358"/>
      <c r="AA2358"/>
    </row>
    <row r="2359" spans="1:27" s="1" customFormat="1" x14ac:dyDescent="0.3">
      <c r="A2359"/>
      <c r="B2359"/>
      <c r="C2359"/>
      <c r="D2359"/>
      <c r="E2359"/>
      <c r="F2359"/>
      <c r="G2359"/>
      <c r="H2359"/>
      <c r="I2359"/>
      <c r="J2359"/>
      <c r="K2359"/>
      <c r="L2359"/>
      <c r="M2359"/>
      <c r="N2359"/>
      <c r="O2359"/>
      <c r="P2359"/>
      <c r="Q2359"/>
      <c r="R2359"/>
      <c r="S2359"/>
      <c r="T2359"/>
      <c r="U2359"/>
      <c r="V2359"/>
      <c r="W2359"/>
      <c r="X2359"/>
      <c r="Y2359"/>
      <c r="Z2359"/>
      <c r="AA2359"/>
    </row>
    <row r="2360" spans="1:27" s="1" customFormat="1" x14ac:dyDescent="0.3">
      <c r="A2360"/>
      <c r="B2360"/>
      <c r="C2360"/>
      <c r="D2360"/>
      <c r="E2360"/>
      <c r="F2360"/>
      <c r="G2360"/>
      <c r="H2360"/>
      <c r="I2360"/>
      <c r="J2360"/>
      <c r="K2360"/>
      <c r="L2360"/>
      <c r="M2360"/>
      <c r="N2360"/>
      <c r="O2360"/>
      <c r="P2360"/>
      <c r="Q2360"/>
      <c r="R2360"/>
      <c r="S2360"/>
      <c r="T2360"/>
      <c r="U2360"/>
      <c r="V2360"/>
      <c r="W2360"/>
      <c r="X2360"/>
      <c r="Y2360"/>
      <c r="Z2360"/>
      <c r="AA2360"/>
    </row>
    <row r="2361" spans="1:27" s="1" customFormat="1" x14ac:dyDescent="0.3">
      <c r="A2361"/>
      <c r="B2361"/>
      <c r="C2361"/>
      <c r="D2361"/>
      <c r="E2361"/>
      <c r="F2361"/>
      <c r="G2361"/>
      <c r="H2361"/>
      <c r="I2361"/>
      <c r="J2361"/>
      <c r="K2361"/>
      <c r="L2361"/>
      <c r="M2361"/>
      <c r="N2361"/>
      <c r="O2361"/>
      <c r="P2361"/>
      <c r="Q2361"/>
      <c r="R2361"/>
      <c r="S2361"/>
      <c r="T2361"/>
      <c r="U2361"/>
      <c r="V2361"/>
      <c r="W2361"/>
      <c r="X2361"/>
      <c r="Y2361"/>
      <c r="Z2361"/>
      <c r="AA2361"/>
    </row>
    <row r="2362" spans="1:27" s="1" customFormat="1" x14ac:dyDescent="0.3">
      <c r="A2362"/>
      <c r="B2362"/>
      <c r="C2362"/>
      <c r="D2362"/>
      <c r="E2362"/>
      <c r="F2362"/>
      <c r="G2362"/>
      <c r="H2362"/>
      <c r="I2362"/>
      <c r="J2362"/>
      <c r="K2362"/>
      <c r="L2362"/>
      <c r="M2362"/>
      <c r="N2362"/>
      <c r="O2362"/>
      <c r="P2362"/>
      <c r="Q2362"/>
      <c r="R2362"/>
      <c r="S2362"/>
      <c r="T2362"/>
      <c r="U2362"/>
      <c r="V2362"/>
      <c r="W2362"/>
      <c r="X2362"/>
      <c r="Y2362"/>
      <c r="Z2362"/>
      <c r="AA2362"/>
    </row>
    <row r="2363" spans="1:27" s="1" customFormat="1" x14ac:dyDescent="0.3">
      <c r="A2363"/>
      <c r="B2363"/>
      <c r="C2363"/>
      <c r="D2363"/>
      <c r="E2363"/>
      <c r="F2363"/>
      <c r="G2363"/>
      <c r="H2363"/>
      <c r="I2363"/>
      <c r="J2363"/>
      <c r="K2363"/>
      <c r="L2363"/>
      <c r="M2363"/>
      <c r="N2363"/>
      <c r="O2363"/>
      <c r="P2363"/>
      <c r="Q2363"/>
      <c r="R2363"/>
      <c r="S2363"/>
      <c r="T2363"/>
      <c r="U2363"/>
      <c r="V2363"/>
      <c r="W2363"/>
      <c r="X2363"/>
      <c r="Y2363"/>
      <c r="Z2363"/>
      <c r="AA2363"/>
    </row>
    <row r="2364" spans="1:27" s="1" customFormat="1" x14ac:dyDescent="0.3">
      <c r="A2364"/>
      <c r="B2364"/>
      <c r="C2364"/>
      <c r="D2364"/>
      <c r="E2364"/>
      <c r="F2364"/>
      <c r="G2364"/>
      <c r="H2364"/>
      <c r="I2364"/>
      <c r="J2364"/>
      <c r="K2364"/>
      <c r="L2364"/>
      <c r="M2364"/>
      <c r="N2364"/>
      <c r="O2364"/>
      <c r="P2364"/>
      <c r="Q2364"/>
      <c r="R2364"/>
      <c r="S2364"/>
      <c r="T2364"/>
      <c r="U2364"/>
      <c r="V2364"/>
      <c r="W2364"/>
      <c r="X2364"/>
      <c r="Y2364"/>
      <c r="Z2364"/>
      <c r="AA2364"/>
    </row>
    <row r="2365" spans="1:27" s="1" customFormat="1" x14ac:dyDescent="0.3">
      <c r="A2365"/>
      <c r="B2365"/>
      <c r="C2365"/>
      <c r="D2365"/>
      <c r="E2365"/>
      <c r="F2365"/>
      <c r="G2365"/>
      <c r="H2365"/>
      <c r="I2365"/>
      <c r="J2365"/>
      <c r="K2365"/>
      <c r="L2365"/>
      <c r="M2365"/>
      <c r="N2365"/>
      <c r="O2365"/>
      <c r="P2365"/>
      <c r="Q2365"/>
      <c r="R2365"/>
      <c r="S2365"/>
      <c r="T2365"/>
      <c r="U2365"/>
      <c r="V2365"/>
      <c r="W2365"/>
      <c r="X2365"/>
      <c r="Y2365"/>
      <c r="Z2365"/>
      <c r="AA2365"/>
    </row>
    <row r="2366" spans="1:27" s="1" customFormat="1" x14ac:dyDescent="0.3">
      <c r="A2366"/>
      <c r="B2366"/>
      <c r="C2366"/>
      <c r="D2366"/>
      <c r="E2366"/>
      <c r="F2366"/>
      <c r="G2366"/>
      <c r="H2366"/>
      <c r="I2366"/>
      <c r="J2366"/>
      <c r="K2366"/>
      <c r="L2366"/>
      <c r="M2366"/>
      <c r="N2366"/>
      <c r="O2366"/>
      <c r="P2366"/>
      <c r="Q2366"/>
      <c r="R2366"/>
      <c r="S2366"/>
      <c r="T2366"/>
      <c r="U2366"/>
      <c r="V2366"/>
      <c r="W2366"/>
      <c r="X2366"/>
      <c r="Y2366"/>
      <c r="Z2366"/>
      <c r="AA2366"/>
    </row>
    <row r="2367" spans="1:27" s="1" customFormat="1" x14ac:dyDescent="0.3">
      <c r="A2367"/>
      <c r="B2367"/>
      <c r="C2367"/>
      <c r="D2367"/>
      <c r="E2367"/>
      <c r="F2367"/>
      <c r="G2367"/>
      <c r="H2367"/>
      <c r="I2367"/>
      <c r="J2367"/>
      <c r="K2367"/>
      <c r="L2367"/>
      <c r="M2367"/>
      <c r="N2367"/>
      <c r="O2367"/>
      <c r="P2367"/>
      <c r="Q2367"/>
      <c r="R2367"/>
      <c r="S2367"/>
      <c r="T2367"/>
      <c r="U2367"/>
      <c r="V2367"/>
      <c r="W2367"/>
      <c r="X2367"/>
      <c r="Y2367"/>
      <c r="Z2367"/>
      <c r="AA2367"/>
    </row>
    <row r="2368" spans="1:27" s="1" customFormat="1" x14ac:dyDescent="0.3">
      <c r="A2368"/>
      <c r="B2368"/>
      <c r="C2368"/>
      <c r="D2368"/>
      <c r="E2368"/>
      <c r="F2368"/>
      <c r="G2368"/>
      <c r="H2368"/>
      <c r="I2368"/>
      <c r="J2368"/>
      <c r="K2368"/>
      <c r="L2368"/>
      <c r="M2368"/>
      <c r="N2368"/>
      <c r="O2368"/>
      <c r="P2368"/>
      <c r="Q2368"/>
      <c r="R2368"/>
      <c r="S2368"/>
      <c r="T2368"/>
      <c r="U2368"/>
      <c r="V2368"/>
      <c r="W2368"/>
      <c r="X2368"/>
      <c r="Y2368"/>
      <c r="Z2368"/>
      <c r="AA2368"/>
    </row>
    <row r="2369" spans="1:27" s="1" customFormat="1" x14ac:dyDescent="0.3">
      <c r="A2369"/>
      <c r="B2369"/>
      <c r="C2369"/>
      <c r="D2369"/>
      <c r="E2369"/>
      <c r="F2369"/>
      <c r="G2369"/>
      <c r="H2369"/>
      <c r="I2369"/>
      <c r="J2369"/>
      <c r="K2369"/>
      <c r="L2369"/>
      <c r="M2369"/>
      <c r="N2369"/>
      <c r="O2369"/>
      <c r="P2369"/>
      <c r="Q2369"/>
      <c r="R2369"/>
      <c r="S2369"/>
      <c r="T2369"/>
      <c r="U2369"/>
      <c r="V2369"/>
      <c r="W2369"/>
      <c r="X2369"/>
      <c r="Y2369"/>
      <c r="Z2369"/>
      <c r="AA2369"/>
    </row>
    <row r="2370" spans="1:27" s="1" customFormat="1" x14ac:dyDescent="0.3">
      <c r="A2370"/>
      <c r="B2370"/>
      <c r="C2370"/>
      <c r="D2370"/>
      <c r="E2370"/>
      <c r="F2370"/>
      <c r="G2370"/>
      <c r="H2370"/>
      <c r="I2370"/>
      <c r="J2370"/>
      <c r="K2370"/>
      <c r="L2370"/>
      <c r="M2370"/>
      <c r="N2370"/>
      <c r="O2370"/>
      <c r="P2370"/>
      <c r="Q2370"/>
      <c r="R2370"/>
      <c r="S2370"/>
      <c r="T2370"/>
      <c r="U2370"/>
      <c r="V2370"/>
      <c r="W2370"/>
      <c r="X2370"/>
      <c r="Y2370"/>
      <c r="Z2370"/>
      <c r="AA2370"/>
    </row>
    <row r="2371" spans="1:27" s="1" customFormat="1" x14ac:dyDescent="0.3">
      <c r="A2371"/>
      <c r="B2371"/>
      <c r="C2371"/>
      <c r="D2371"/>
      <c r="E2371"/>
      <c r="F2371"/>
      <c r="G2371"/>
      <c r="H2371"/>
      <c r="I2371"/>
      <c r="J2371"/>
      <c r="K2371"/>
      <c r="L2371"/>
      <c r="M2371"/>
      <c r="N2371"/>
      <c r="O2371"/>
      <c r="P2371"/>
      <c r="Q2371"/>
      <c r="R2371"/>
      <c r="S2371"/>
      <c r="T2371"/>
      <c r="U2371"/>
      <c r="V2371"/>
      <c r="W2371"/>
      <c r="X2371"/>
      <c r="Y2371"/>
      <c r="Z2371"/>
      <c r="AA2371"/>
    </row>
    <row r="2372" spans="1:27" s="1" customFormat="1" x14ac:dyDescent="0.3">
      <c r="A2372"/>
      <c r="B2372"/>
      <c r="C2372"/>
      <c r="D2372"/>
      <c r="E2372"/>
      <c r="F2372"/>
      <c r="G2372"/>
      <c r="H2372"/>
      <c r="I2372"/>
      <c r="J2372"/>
      <c r="K2372"/>
      <c r="L2372"/>
      <c r="M2372"/>
      <c r="N2372"/>
      <c r="O2372"/>
      <c r="P2372"/>
      <c r="Q2372"/>
      <c r="R2372"/>
      <c r="S2372"/>
      <c r="T2372"/>
      <c r="U2372"/>
      <c r="V2372"/>
      <c r="W2372"/>
      <c r="X2372"/>
      <c r="Y2372"/>
      <c r="Z2372"/>
      <c r="AA2372"/>
    </row>
    <row r="2373" spans="1:27" s="1" customFormat="1" x14ac:dyDescent="0.3">
      <c r="A2373"/>
      <c r="B2373"/>
      <c r="C2373"/>
      <c r="D2373"/>
      <c r="E2373"/>
      <c r="F2373"/>
      <c r="G2373"/>
      <c r="H2373"/>
      <c r="I2373"/>
      <c r="J2373"/>
      <c r="K2373"/>
      <c r="L2373"/>
      <c r="M2373"/>
      <c r="N2373"/>
      <c r="O2373"/>
      <c r="P2373"/>
      <c r="Q2373"/>
      <c r="R2373"/>
      <c r="S2373"/>
      <c r="T2373"/>
      <c r="U2373"/>
      <c r="V2373"/>
      <c r="W2373"/>
      <c r="X2373"/>
      <c r="Y2373"/>
      <c r="Z2373"/>
      <c r="AA2373"/>
    </row>
    <row r="2374" spans="1:27" s="1" customFormat="1" x14ac:dyDescent="0.3">
      <c r="A2374"/>
      <c r="B2374"/>
      <c r="C2374"/>
      <c r="D2374"/>
      <c r="E2374"/>
      <c r="F2374"/>
      <c r="G2374"/>
      <c r="H2374"/>
      <c r="I2374"/>
      <c r="J2374"/>
      <c r="K2374"/>
      <c r="L2374"/>
      <c r="M2374"/>
      <c r="N2374"/>
      <c r="O2374"/>
      <c r="P2374"/>
      <c r="Q2374"/>
      <c r="R2374"/>
      <c r="S2374"/>
      <c r="T2374"/>
      <c r="U2374"/>
      <c r="V2374"/>
      <c r="W2374"/>
      <c r="X2374"/>
      <c r="Y2374"/>
      <c r="Z2374"/>
      <c r="AA2374"/>
    </row>
    <row r="2375" spans="1:27" s="1" customFormat="1" x14ac:dyDescent="0.3">
      <c r="A2375"/>
      <c r="B2375"/>
      <c r="C2375"/>
      <c r="D2375"/>
      <c r="E2375"/>
      <c r="F2375"/>
      <c r="G2375"/>
      <c r="H2375"/>
      <c r="I2375"/>
      <c r="J2375"/>
      <c r="K2375"/>
      <c r="L2375"/>
      <c r="M2375"/>
      <c r="N2375"/>
      <c r="O2375"/>
      <c r="P2375"/>
      <c r="Q2375"/>
      <c r="R2375"/>
      <c r="S2375"/>
      <c r="T2375"/>
      <c r="U2375"/>
      <c r="V2375"/>
      <c r="W2375"/>
      <c r="X2375"/>
      <c r="Y2375"/>
      <c r="Z2375"/>
      <c r="AA2375"/>
    </row>
    <row r="2376" spans="1:27" s="1" customFormat="1" x14ac:dyDescent="0.3">
      <c r="A2376"/>
      <c r="B2376"/>
      <c r="C2376"/>
      <c r="D2376"/>
      <c r="E2376"/>
      <c r="F2376"/>
      <c r="G2376"/>
      <c r="H2376"/>
      <c r="I2376"/>
      <c r="J2376"/>
      <c r="K2376"/>
      <c r="L2376"/>
      <c r="M2376"/>
      <c r="N2376"/>
      <c r="O2376"/>
      <c r="P2376"/>
      <c r="Q2376"/>
      <c r="R2376"/>
      <c r="S2376"/>
      <c r="T2376"/>
      <c r="U2376"/>
      <c r="V2376"/>
      <c r="W2376"/>
      <c r="X2376"/>
      <c r="Y2376"/>
      <c r="Z2376"/>
      <c r="AA2376"/>
    </row>
    <row r="2377" spans="1:27" s="1" customFormat="1" x14ac:dyDescent="0.3">
      <c r="A2377"/>
      <c r="B2377"/>
      <c r="C2377"/>
      <c r="D2377"/>
      <c r="E2377"/>
      <c r="F2377"/>
      <c r="G2377"/>
      <c r="H2377"/>
      <c r="I2377"/>
      <c r="J2377"/>
      <c r="K2377"/>
      <c r="L2377"/>
      <c r="M2377"/>
      <c r="N2377"/>
      <c r="O2377"/>
      <c r="P2377"/>
      <c r="Q2377"/>
      <c r="R2377"/>
      <c r="S2377"/>
      <c r="T2377"/>
      <c r="U2377"/>
      <c r="V2377"/>
      <c r="W2377"/>
      <c r="X2377"/>
      <c r="Y2377"/>
      <c r="Z2377"/>
      <c r="AA2377"/>
    </row>
    <row r="2378" spans="1:27" s="1" customFormat="1" x14ac:dyDescent="0.3">
      <c r="A2378"/>
      <c r="B2378"/>
      <c r="C2378"/>
      <c r="D2378"/>
      <c r="E2378"/>
      <c r="F2378"/>
      <c r="G2378"/>
      <c r="H2378"/>
      <c r="I2378"/>
      <c r="J2378"/>
      <c r="K2378"/>
      <c r="L2378"/>
      <c r="M2378"/>
      <c r="N2378"/>
      <c r="O2378"/>
      <c r="P2378"/>
      <c r="Q2378"/>
      <c r="R2378"/>
      <c r="S2378"/>
      <c r="T2378"/>
      <c r="U2378"/>
      <c r="V2378"/>
      <c r="W2378"/>
      <c r="X2378"/>
      <c r="Y2378"/>
      <c r="Z2378"/>
      <c r="AA2378"/>
    </row>
    <row r="2379" spans="1:27" s="1" customFormat="1" x14ac:dyDescent="0.3">
      <c r="A2379"/>
      <c r="B2379"/>
      <c r="C2379"/>
      <c r="D2379"/>
      <c r="E2379"/>
      <c r="F2379"/>
      <c r="G2379"/>
      <c r="H2379"/>
      <c r="I2379"/>
      <c r="J2379"/>
      <c r="K2379"/>
      <c r="L2379"/>
      <c r="M2379"/>
      <c r="N2379"/>
      <c r="O2379"/>
      <c r="P2379"/>
      <c r="Q2379"/>
      <c r="R2379"/>
      <c r="S2379"/>
      <c r="T2379"/>
      <c r="U2379"/>
      <c r="V2379"/>
      <c r="W2379"/>
      <c r="X2379"/>
      <c r="Y2379"/>
      <c r="Z2379"/>
      <c r="AA2379"/>
    </row>
    <row r="2380" spans="1:27" s="1" customFormat="1" x14ac:dyDescent="0.3">
      <c r="A2380"/>
      <c r="B2380"/>
      <c r="C2380"/>
      <c r="D2380"/>
      <c r="E2380"/>
      <c r="F2380"/>
      <c r="G2380"/>
      <c r="H2380"/>
      <c r="I2380"/>
      <c r="J2380"/>
      <c r="K2380"/>
      <c r="L2380"/>
      <c r="M2380"/>
      <c r="N2380"/>
      <c r="O2380"/>
      <c r="P2380"/>
      <c r="Q2380"/>
      <c r="R2380"/>
      <c r="S2380"/>
      <c r="T2380"/>
      <c r="U2380"/>
      <c r="V2380"/>
      <c r="W2380"/>
      <c r="X2380"/>
      <c r="Y2380"/>
      <c r="Z2380"/>
      <c r="AA2380"/>
    </row>
    <row r="2381" spans="1:27" s="1" customFormat="1" x14ac:dyDescent="0.3">
      <c r="A2381"/>
      <c r="B2381"/>
      <c r="C2381"/>
      <c r="D2381"/>
      <c r="E2381"/>
      <c r="F2381"/>
      <c r="G2381"/>
      <c r="H2381"/>
      <c r="I2381"/>
      <c r="J2381"/>
      <c r="K2381"/>
      <c r="L2381"/>
      <c r="M2381"/>
      <c r="N2381"/>
      <c r="O2381"/>
      <c r="P2381"/>
      <c r="Q2381"/>
      <c r="R2381"/>
      <c r="S2381"/>
      <c r="T2381"/>
      <c r="U2381"/>
      <c r="V2381"/>
      <c r="W2381"/>
      <c r="X2381"/>
      <c r="Y2381"/>
      <c r="Z2381"/>
      <c r="AA2381"/>
    </row>
    <row r="2382" spans="1:27" s="1" customFormat="1" x14ac:dyDescent="0.3">
      <c r="A2382"/>
      <c r="B2382"/>
      <c r="C2382"/>
      <c r="D2382"/>
      <c r="E2382"/>
      <c r="F2382"/>
      <c r="G2382"/>
      <c r="H2382"/>
      <c r="I2382"/>
      <c r="J2382"/>
      <c r="K2382"/>
      <c r="L2382"/>
      <c r="M2382"/>
      <c r="N2382"/>
      <c r="O2382"/>
      <c r="P2382"/>
      <c r="Q2382"/>
      <c r="R2382"/>
      <c r="S2382"/>
      <c r="T2382"/>
      <c r="U2382"/>
      <c r="V2382"/>
      <c r="W2382"/>
      <c r="X2382"/>
      <c r="Y2382"/>
      <c r="Z2382"/>
      <c r="AA2382"/>
    </row>
    <row r="2383" spans="1:27" s="1" customFormat="1" x14ac:dyDescent="0.3">
      <c r="A2383"/>
      <c r="B2383"/>
      <c r="C2383"/>
      <c r="D2383"/>
      <c r="E2383"/>
      <c r="F2383"/>
      <c r="G2383"/>
      <c r="H2383"/>
      <c r="I2383"/>
      <c r="J2383"/>
      <c r="K2383"/>
      <c r="L2383"/>
      <c r="M2383"/>
      <c r="N2383"/>
      <c r="O2383"/>
      <c r="P2383"/>
      <c r="Q2383"/>
      <c r="R2383"/>
      <c r="S2383"/>
      <c r="T2383"/>
      <c r="U2383"/>
      <c r="V2383"/>
      <c r="W2383"/>
      <c r="X2383"/>
      <c r="Y2383"/>
      <c r="Z2383"/>
      <c r="AA2383"/>
    </row>
    <row r="2384" spans="1:27" s="1" customFormat="1" x14ac:dyDescent="0.3">
      <c r="A2384"/>
      <c r="B2384"/>
      <c r="C2384"/>
      <c r="D2384"/>
      <c r="E2384"/>
      <c r="F2384"/>
      <c r="G2384"/>
      <c r="H2384"/>
      <c r="I2384"/>
      <c r="J2384"/>
      <c r="K2384"/>
      <c r="L2384"/>
      <c r="M2384"/>
      <c r="N2384"/>
      <c r="O2384"/>
      <c r="P2384"/>
      <c r="Q2384"/>
      <c r="R2384"/>
      <c r="S2384"/>
      <c r="T2384"/>
      <c r="U2384"/>
      <c r="V2384"/>
      <c r="W2384"/>
      <c r="X2384"/>
      <c r="Y2384"/>
      <c r="Z2384"/>
      <c r="AA2384"/>
    </row>
    <row r="2385" spans="1:27" s="1" customFormat="1" x14ac:dyDescent="0.3">
      <c r="A2385"/>
      <c r="B2385"/>
      <c r="C2385"/>
      <c r="D2385"/>
      <c r="E2385"/>
      <c r="F2385"/>
      <c r="G2385"/>
      <c r="H2385"/>
      <c r="I2385"/>
      <c r="J2385"/>
      <c r="K2385"/>
      <c r="L2385"/>
      <c r="M2385"/>
      <c r="N2385"/>
      <c r="O2385"/>
      <c r="P2385"/>
      <c r="Q2385"/>
      <c r="R2385"/>
      <c r="S2385"/>
      <c r="T2385"/>
      <c r="U2385"/>
      <c r="V2385"/>
      <c r="W2385"/>
      <c r="X2385"/>
      <c r="Y2385"/>
      <c r="Z2385"/>
      <c r="AA2385"/>
    </row>
    <row r="2386" spans="1:27" s="1" customFormat="1" x14ac:dyDescent="0.3">
      <c r="A2386"/>
      <c r="B2386"/>
      <c r="C2386"/>
      <c r="D2386"/>
      <c r="E2386"/>
      <c r="F2386"/>
      <c r="G2386"/>
      <c r="H2386"/>
      <c r="I2386"/>
      <c r="J2386"/>
      <c r="K2386"/>
      <c r="L2386"/>
      <c r="M2386"/>
      <c r="N2386"/>
      <c r="O2386"/>
      <c r="P2386"/>
      <c r="Q2386"/>
      <c r="R2386"/>
      <c r="S2386"/>
      <c r="T2386"/>
      <c r="U2386"/>
      <c r="V2386"/>
      <c r="W2386"/>
      <c r="X2386"/>
      <c r="Y2386"/>
      <c r="Z2386"/>
      <c r="AA2386"/>
    </row>
    <row r="2387" spans="1:27" s="1" customFormat="1" x14ac:dyDescent="0.3">
      <c r="A2387"/>
      <c r="B2387"/>
      <c r="C2387"/>
      <c r="D2387"/>
      <c r="E2387"/>
      <c r="F2387"/>
      <c r="G2387"/>
      <c r="H2387"/>
      <c r="I2387"/>
      <c r="J2387"/>
      <c r="K2387"/>
      <c r="L2387"/>
      <c r="M2387"/>
      <c r="N2387"/>
      <c r="O2387"/>
      <c r="P2387"/>
      <c r="Q2387"/>
      <c r="R2387"/>
      <c r="S2387"/>
      <c r="T2387"/>
      <c r="U2387"/>
      <c r="V2387"/>
      <c r="W2387"/>
      <c r="X2387"/>
      <c r="Y2387"/>
      <c r="Z2387"/>
      <c r="AA2387"/>
    </row>
    <row r="2388" spans="1:27" s="1" customFormat="1" x14ac:dyDescent="0.3">
      <c r="A2388"/>
      <c r="B2388"/>
      <c r="C2388"/>
      <c r="D2388"/>
      <c r="E2388"/>
      <c r="F2388"/>
      <c r="G2388"/>
      <c r="H2388"/>
      <c r="I2388"/>
      <c r="J2388"/>
      <c r="K2388"/>
      <c r="L2388"/>
      <c r="M2388"/>
      <c r="N2388"/>
      <c r="O2388"/>
      <c r="P2388"/>
      <c r="Q2388"/>
      <c r="R2388"/>
      <c r="S2388"/>
      <c r="T2388"/>
      <c r="U2388"/>
      <c r="V2388"/>
      <c r="W2388"/>
      <c r="X2388"/>
      <c r="Y2388"/>
      <c r="Z2388"/>
      <c r="AA2388"/>
    </row>
    <row r="2389" spans="1:27" s="1" customFormat="1" x14ac:dyDescent="0.3">
      <c r="A2389"/>
      <c r="B2389"/>
      <c r="C2389"/>
      <c r="D2389"/>
      <c r="E2389"/>
      <c r="F2389"/>
      <c r="G2389"/>
      <c r="H2389"/>
      <c r="I2389"/>
      <c r="J2389"/>
      <c r="K2389"/>
      <c r="L2389"/>
      <c r="M2389"/>
      <c r="N2389"/>
      <c r="O2389"/>
      <c r="P2389"/>
      <c r="Q2389"/>
      <c r="R2389"/>
      <c r="S2389"/>
      <c r="T2389"/>
      <c r="U2389"/>
      <c r="V2389"/>
      <c r="W2389"/>
      <c r="X2389"/>
      <c r="Y2389"/>
      <c r="Z2389"/>
      <c r="AA2389"/>
    </row>
    <row r="2390" spans="1:27" s="1" customFormat="1" x14ac:dyDescent="0.3">
      <c r="A2390"/>
      <c r="B2390"/>
      <c r="C2390"/>
      <c r="D2390"/>
      <c r="E2390"/>
      <c r="F2390"/>
      <c r="G2390"/>
      <c r="H2390"/>
      <c r="I2390"/>
      <c r="J2390"/>
      <c r="K2390"/>
      <c r="L2390"/>
      <c r="M2390"/>
      <c r="N2390"/>
      <c r="O2390"/>
      <c r="P2390"/>
      <c r="Q2390"/>
      <c r="R2390"/>
      <c r="S2390"/>
      <c r="T2390"/>
      <c r="U2390"/>
      <c r="V2390"/>
      <c r="W2390"/>
      <c r="X2390"/>
      <c r="Y2390"/>
      <c r="Z2390"/>
      <c r="AA2390"/>
    </row>
    <row r="2391" spans="1:27" s="1" customFormat="1" x14ac:dyDescent="0.3">
      <c r="A2391"/>
      <c r="B2391"/>
      <c r="C2391"/>
      <c r="D2391"/>
      <c r="E2391"/>
      <c r="F2391"/>
      <c r="G2391"/>
      <c r="H2391"/>
      <c r="I2391"/>
      <c r="J2391"/>
      <c r="K2391"/>
      <c r="L2391"/>
      <c r="M2391"/>
      <c r="N2391"/>
      <c r="O2391"/>
      <c r="P2391"/>
      <c r="Q2391"/>
      <c r="R2391"/>
      <c r="S2391"/>
      <c r="T2391"/>
      <c r="U2391"/>
      <c r="V2391"/>
      <c r="W2391"/>
      <c r="X2391"/>
      <c r="Y2391"/>
      <c r="Z2391"/>
      <c r="AA2391"/>
    </row>
    <row r="2392" spans="1:27" s="1" customFormat="1" x14ac:dyDescent="0.3">
      <c r="A2392"/>
      <c r="B2392"/>
      <c r="C2392"/>
      <c r="D2392"/>
      <c r="E2392"/>
      <c r="F2392"/>
      <c r="G2392"/>
      <c r="H2392"/>
      <c r="I2392"/>
      <c r="J2392"/>
      <c r="K2392"/>
      <c r="L2392"/>
      <c r="M2392"/>
      <c r="N2392"/>
      <c r="O2392"/>
      <c r="P2392"/>
      <c r="Q2392"/>
      <c r="R2392"/>
      <c r="S2392"/>
      <c r="T2392"/>
      <c r="U2392"/>
      <c r="V2392"/>
      <c r="W2392"/>
      <c r="X2392"/>
      <c r="Y2392"/>
      <c r="Z2392"/>
      <c r="AA2392"/>
    </row>
    <row r="2393" spans="1:27" s="1" customFormat="1" x14ac:dyDescent="0.3">
      <c r="A2393"/>
      <c r="B2393"/>
      <c r="C2393"/>
      <c r="D2393"/>
      <c r="E2393"/>
      <c r="F2393"/>
      <c r="G2393"/>
      <c r="H2393"/>
      <c r="I2393"/>
      <c r="J2393"/>
      <c r="K2393"/>
      <c r="L2393"/>
      <c r="M2393"/>
      <c r="N2393"/>
      <c r="O2393"/>
      <c r="P2393"/>
      <c r="Q2393"/>
      <c r="R2393"/>
      <c r="S2393"/>
      <c r="T2393"/>
      <c r="U2393"/>
      <c r="V2393"/>
      <c r="W2393"/>
      <c r="X2393"/>
      <c r="Y2393"/>
      <c r="Z2393"/>
      <c r="AA2393"/>
    </row>
    <row r="2394" spans="1:27" s="1" customFormat="1" x14ac:dyDescent="0.3">
      <c r="A2394"/>
      <c r="B2394"/>
      <c r="C2394"/>
      <c r="D2394"/>
      <c r="E2394"/>
      <c r="F2394"/>
      <c r="G2394"/>
      <c r="H2394"/>
      <c r="I2394"/>
      <c r="J2394"/>
      <c r="K2394"/>
      <c r="L2394"/>
      <c r="M2394"/>
      <c r="N2394"/>
      <c r="O2394"/>
      <c r="P2394"/>
      <c r="Q2394"/>
      <c r="R2394"/>
      <c r="S2394"/>
      <c r="T2394"/>
      <c r="U2394"/>
      <c r="V2394"/>
      <c r="W2394"/>
      <c r="X2394"/>
      <c r="Y2394"/>
      <c r="Z2394"/>
      <c r="AA2394"/>
    </row>
    <row r="2395" spans="1:27" s="1" customFormat="1" x14ac:dyDescent="0.3">
      <c r="A2395"/>
      <c r="B2395"/>
      <c r="C2395"/>
      <c r="D2395"/>
      <c r="E2395"/>
      <c r="F2395"/>
      <c r="G2395"/>
      <c r="H2395"/>
      <c r="I2395"/>
      <c r="J2395"/>
      <c r="K2395"/>
      <c r="L2395"/>
      <c r="M2395"/>
      <c r="N2395"/>
      <c r="O2395"/>
      <c r="P2395"/>
      <c r="Q2395"/>
      <c r="R2395"/>
      <c r="S2395"/>
      <c r="T2395"/>
      <c r="U2395"/>
      <c r="V2395"/>
      <c r="W2395"/>
      <c r="X2395"/>
      <c r="Y2395"/>
      <c r="Z2395"/>
      <c r="AA2395"/>
    </row>
    <row r="2396" spans="1:27" s="1" customFormat="1" x14ac:dyDescent="0.3">
      <c r="A2396"/>
      <c r="B2396"/>
      <c r="C2396"/>
      <c r="D2396"/>
      <c r="E2396"/>
      <c r="F2396"/>
      <c r="G2396"/>
      <c r="H2396"/>
      <c r="I2396"/>
      <c r="J2396"/>
      <c r="K2396"/>
      <c r="L2396"/>
      <c r="M2396"/>
      <c r="N2396"/>
      <c r="O2396"/>
      <c r="P2396"/>
      <c r="Q2396"/>
      <c r="R2396"/>
      <c r="S2396"/>
      <c r="T2396"/>
      <c r="U2396"/>
      <c r="V2396"/>
      <c r="W2396"/>
      <c r="X2396"/>
      <c r="Y2396"/>
      <c r="Z2396"/>
      <c r="AA2396"/>
    </row>
    <row r="2397" spans="1:27" s="1" customFormat="1" x14ac:dyDescent="0.3">
      <c r="A2397"/>
      <c r="B2397"/>
      <c r="C2397"/>
      <c r="D2397"/>
      <c r="E2397"/>
      <c r="F2397"/>
      <c r="G2397"/>
      <c r="H2397"/>
      <c r="I2397"/>
      <c r="J2397"/>
      <c r="K2397"/>
      <c r="L2397"/>
      <c r="M2397"/>
      <c r="N2397"/>
      <c r="O2397"/>
      <c r="P2397"/>
      <c r="Q2397"/>
      <c r="R2397"/>
      <c r="S2397"/>
      <c r="T2397"/>
      <c r="U2397"/>
      <c r="V2397"/>
      <c r="W2397"/>
      <c r="X2397"/>
      <c r="Y2397"/>
      <c r="Z2397"/>
      <c r="AA2397"/>
    </row>
    <row r="2398" spans="1:27" s="1" customFormat="1" x14ac:dyDescent="0.3">
      <c r="A2398"/>
      <c r="B2398"/>
      <c r="C2398"/>
      <c r="D2398"/>
      <c r="E2398"/>
      <c r="F2398"/>
      <c r="G2398"/>
      <c r="H2398"/>
      <c r="I2398"/>
      <c r="J2398"/>
      <c r="K2398"/>
      <c r="L2398"/>
      <c r="M2398"/>
      <c r="N2398"/>
      <c r="O2398"/>
      <c r="P2398"/>
      <c r="Q2398"/>
      <c r="R2398"/>
      <c r="S2398"/>
      <c r="T2398"/>
      <c r="U2398"/>
      <c r="V2398"/>
      <c r="W2398"/>
      <c r="X2398"/>
      <c r="Y2398"/>
      <c r="Z2398"/>
      <c r="AA2398"/>
    </row>
    <row r="2399" spans="1:27" s="1" customFormat="1" x14ac:dyDescent="0.3">
      <c r="A2399"/>
      <c r="B2399"/>
      <c r="C2399"/>
      <c r="D2399"/>
      <c r="E2399"/>
      <c r="F2399"/>
      <c r="G2399"/>
      <c r="H2399"/>
      <c r="I2399"/>
      <c r="J2399"/>
      <c r="K2399"/>
      <c r="L2399"/>
      <c r="M2399"/>
      <c r="N2399"/>
      <c r="O2399"/>
      <c r="P2399"/>
      <c r="Q2399"/>
      <c r="R2399"/>
      <c r="S2399"/>
      <c r="T2399"/>
      <c r="U2399"/>
      <c r="V2399"/>
      <c r="W2399"/>
      <c r="X2399"/>
      <c r="Y2399"/>
      <c r="Z2399"/>
      <c r="AA2399"/>
    </row>
    <row r="2400" spans="1:27" s="1" customFormat="1" x14ac:dyDescent="0.3">
      <c r="A2400"/>
      <c r="B2400"/>
      <c r="C2400"/>
      <c r="D2400"/>
      <c r="E2400"/>
      <c r="F2400"/>
      <c r="G2400"/>
      <c r="H2400"/>
      <c r="I2400"/>
      <c r="J2400"/>
      <c r="K2400"/>
      <c r="L2400"/>
      <c r="M2400"/>
      <c r="N2400"/>
      <c r="O2400"/>
      <c r="P2400"/>
      <c r="Q2400"/>
      <c r="R2400"/>
      <c r="S2400"/>
      <c r="T2400"/>
      <c r="U2400"/>
      <c r="V2400"/>
      <c r="W2400"/>
      <c r="X2400"/>
      <c r="Y2400"/>
      <c r="Z2400"/>
      <c r="AA2400"/>
    </row>
    <row r="2401" spans="1:27" s="1" customFormat="1" x14ac:dyDescent="0.3">
      <c r="A2401"/>
      <c r="B2401"/>
      <c r="C2401"/>
      <c r="D2401"/>
      <c r="E2401"/>
      <c r="F2401"/>
      <c r="G2401"/>
      <c r="H2401"/>
      <c r="I2401"/>
      <c r="J2401"/>
      <c r="K2401"/>
      <c r="L2401"/>
      <c r="M2401"/>
      <c r="N2401"/>
      <c r="O2401"/>
      <c r="P2401"/>
      <c r="Q2401"/>
      <c r="R2401"/>
      <c r="S2401"/>
      <c r="T2401"/>
      <c r="U2401"/>
      <c r="V2401"/>
      <c r="W2401"/>
      <c r="X2401"/>
      <c r="Y2401"/>
      <c r="Z2401"/>
      <c r="AA2401"/>
    </row>
    <row r="2402" spans="1:27" s="1" customFormat="1" x14ac:dyDescent="0.3">
      <c r="A2402"/>
      <c r="B2402"/>
      <c r="C2402"/>
      <c r="D2402"/>
      <c r="E2402"/>
      <c r="F2402"/>
      <c r="G2402"/>
      <c r="H2402"/>
      <c r="I2402"/>
      <c r="J2402"/>
      <c r="K2402"/>
      <c r="L2402"/>
      <c r="M2402"/>
      <c r="N2402"/>
      <c r="O2402"/>
      <c r="P2402"/>
      <c r="Q2402"/>
      <c r="R2402"/>
      <c r="S2402"/>
      <c r="T2402"/>
      <c r="U2402"/>
      <c r="V2402"/>
      <c r="W2402"/>
      <c r="X2402"/>
      <c r="Y2402"/>
      <c r="Z2402"/>
      <c r="AA2402"/>
    </row>
    <row r="2403" spans="1:27" s="1" customFormat="1" x14ac:dyDescent="0.3">
      <c r="A2403"/>
      <c r="B2403"/>
      <c r="C2403"/>
      <c r="D2403"/>
      <c r="E2403"/>
      <c r="F2403"/>
      <c r="G2403"/>
      <c r="H2403"/>
      <c r="I2403"/>
      <c r="J2403"/>
      <c r="K2403"/>
      <c r="L2403"/>
      <c r="M2403"/>
      <c r="N2403"/>
      <c r="O2403"/>
      <c r="P2403"/>
      <c r="Q2403"/>
      <c r="R2403"/>
      <c r="S2403"/>
      <c r="T2403"/>
      <c r="U2403"/>
      <c r="V2403"/>
      <c r="W2403"/>
      <c r="X2403"/>
      <c r="Y2403"/>
      <c r="Z2403"/>
      <c r="AA2403"/>
    </row>
    <row r="2404" spans="1:27" s="1" customFormat="1" x14ac:dyDescent="0.3">
      <c r="A2404"/>
      <c r="B2404"/>
      <c r="C2404"/>
      <c r="D2404"/>
      <c r="E2404"/>
      <c r="F2404"/>
      <c r="G2404"/>
      <c r="H2404"/>
      <c r="I2404"/>
      <c r="J2404"/>
      <c r="K2404"/>
      <c r="L2404"/>
      <c r="M2404"/>
      <c r="N2404"/>
      <c r="O2404"/>
      <c r="P2404"/>
      <c r="Q2404"/>
      <c r="R2404"/>
      <c r="S2404"/>
      <c r="T2404"/>
      <c r="U2404"/>
      <c r="V2404"/>
      <c r="W2404"/>
      <c r="X2404"/>
      <c r="Y2404"/>
      <c r="Z2404"/>
      <c r="AA2404"/>
    </row>
    <row r="2405" spans="1:27" s="1" customFormat="1" x14ac:dyDescent="0.3">
      <c r="A2405"/>
      <c r="B2405"/>
      <c r="C2405"/>
      <c r="D2405"/>
      <c r="E2405"/>
      <c r="F2405"/>
      <c r="G2405"/>
      <c r="H2405"/>
      <c r="I2405"/>
      <c r="J2405"/>
      <c r="K2405"/>
      <c r="L2405"/>
      <c r="M2405"/>
      <c r="N2405"/>
      <c r="O2405"/>
      <c r="P2405"/>
      <c r="Q2405"/>
      <c r="R2405"/>
      <c r="S2405"/>
      <c r="T2405"/>
      <c r="U2405"/>
      <c r="V2405"/>
      <c r="W2405"/>
      <c r="X2405"/>
      <c r="Y2405"/>
      <c r="Z2405"/>
      <c r="AA2405"/>
    </row>
    <row r="2406" spans="1:27" s="1" customFormat="1" x14ac:dyDescent="0.3">
      <c r="A2406"/>
      <c r="B2406"/>
      <c r="C2406"/>
      <c r="D2406"/>
      <c r="E2406"/>
      <c r="F2406"/>
      <c r="G2406"/>
      <c r="H2406"/>
      <c r="I2406"/>
      <c r="J2406"/>
      <c r="K2406"/>
      <c r="L2406"/>
      <c r="M2406"/>
      <c r="N2406"/>
      <c r="O2406"/>
      <c r="P2406"/>
      <c r="Q2406"/>
      <c r="R2406"/>
      <c r="S2406"/>
      <c r="T2406"/>
      <c r="U2406"/>
      <c r="V2406"/>
      <c r="W2406"/>
      <c r="X2406"/>
      <c r="Y2406"/>
      <c r="Z2406"/>
      <c r="AA2406"/>
    </row>
    <row r="2407" spans="1:27" s="1" customFormat="1" x14ac:dyDescent="0.3">
      <c r="A2407"/>
      <c r="B2407"/>
      <c r="C2407"/>
      <c r="D2407"/>
      <c r="E2407"/>
      <c r="F2407"/>
      <c r="G2407"/>
      <c r="H2407"/>
      <c r="I2407"/>
      <c r="J2407"/>
      <c r="K2407"/>
      <c r="L2407"/>
      <c r="M2407"/>
      <c r="N2407"/>
      <c r="O2407"/>
      <c r="P2407"/>
      <c r="Q2407"/>
      <c r="R2407"/>
      <c r="S2407"/>
      <c r="T2407"/>
      <c r="U2407"/>
      <c r="V2407"/>
      <c r="W2407"/>
      <c r="X2407"/>
      <c r="Y2407"/>
      <c r="Z2407"/>
      <c r="AA2407"/>
    </row>
    <row r="2408" spans="1:27" s="1" customFormat="1" x14ac:dyDescent="0.3">
      <c r="A2408"/>
      <c r="B2408"/>
      <c r="C2408"/>
      <c r="D2408"/>
      <c r="E2408"/>
      <c r="F2408"/>
      <c r="G2408"/>
      <c r="H2408"/>
      <c r="I2408"/>
      <c r="J2408"/>
      <c r="K2408"/>
      <c r="L2408"/>
      <c r="M2408"/>
      <c r="N2408"/>
      <c r="O2408"/>
      <c r="P2408"/>
      <c r="Q2408"/>
      <c r="R2408"/>
      <c r="S2408"/>
      <c r="T2408"/>
      <c r="U2408"/>
      <c r="V2408"/>
      <c r="W2408"/>
      <c r="X2408"/>
      <c r="Y2408"/>
      <c r="Z2408"/>
      <c r="AA2408"/>
    </row>
    <row r="2409" spans="1:27" s="1" customFormat="1" x14ac:dyDescent="0.3">
      <c r="A2409"/>
      <c r="B2409"/>
      <c r="C2409"/>
      <c r="D2409"/>
      <c r="E2409"/>
      <c r="F2409"/>
      <c r="G2409"/>
      <c r="H2409"/>
      <c r="I2409"/>
      <c r="J2409"/>
      <c r="K2409"/>
      <c r="L2409"/>
      <c r="M2409"/>
      <c r="N2409"/>
      <c r="O2409"/>
      <c r="P2409"/>
      <c r="Q2409"/>
      <c r="R2409"/>
      <c r="S2409"/>
      <c r="T2409"/>
      <c r="U2409"/>
      <c r="V2409"/>
      <c r="W2409"/>
      <c r="X2409"/>
      <c r="Y2409"/>
      <c r="Z2409"/>
      <c r="AA2409"/>
    </row>
    <row r="2410" spans="1:27" s="1" customFormat="1" x14ac:dyDescent="0.3">
      <c r="A2410"/>
      <c r="B2410"/>
      <c r="C2410"/>
      <c r="D2410"/>
      <c r="E2410"/>
      <c r="F2410"/>
      <c r="G2410"/>
      <c r="H2410"/>
      <c r="I2410"/>
      <c r="J2410"/>
      <c r="K2410"/>
      <c r="L2410"/>
      <c r="M2410"/>
      <c r="N2410"/>
      <c r="O2410"/>
      <c r="P2410"/>
      <c r="Q2410"/>
      <c r="R2410"/>
      <c r="S2410"/>
      <c r="T2410"/>
      <c r="U2410"/>
      <c r="V2410"/>
      <c r="W2410"/>
      <c r="X2410"/>
      <c r="Y2410"/>
      <c r="Z2410"/>
      <c r="AA2410"/>
    </row>
    <row r="2411" spans="1:27" s="1" customFormat="1" x14ac:dyDescent="0.3">
      <c r="A2411"/>
      <c r="B2411"/>
      <c r="C2411"/>
      <c r="D2411"/>
      <c r="E2411"/>
      <c r="F2411"/>
      <c r="G2411"/>
      <c r="H2411"/>
      <c r="I2411"/>
      <c r="J2411"/>
      <c r="K2411"/>
      <c r="L2411"/>
      <c r="M2411"/>
      <c r="N2411"/>
      <c r="O2411"/>
      <c r="P2411"/>
      <c r="Q2411"/>
      <c r="R2411"/>
      <c r="S2411"/>
      <c r="T2411"/>
      <c r="U2411"/>
      <c r="V2411"/>
      <c r="W2411"/>
      <c r="X2411"/>
      <c r="Y2411"/>
      <c r="Z2411"/>
      <c r="AA2411"/>
    </row>
    <row r="2412" spans="1:27" s="1" customFormat="1" x14ac:dyDescent="0.3">
      <c r="A2412"/>
      <c r="B2412"/>
      <c r="C2412"/>
      <c r="D2412"/>
      <c r="E2412"/>
      <c r="F2412"/>
      <c r="G2412"/>
      <c r="H2412"/>
      <c r="I2412"/>
      <c r="J2412"/>
      <c r="K2412"/>
      <c r="L2412"/>
      <c r="M2412"/>
      <c r="N2412"/>
      <c r="O2412"/>
      <c r="P2412"/>
      <c r="Q2412"/>
      <c r="R2412"/>
      <c r="S2412"/>
      <c r="T2412"/>
      <c r="U2412"/>
      <c r="V2412"/>
      <c r="W2412"/>
      <c r="X2412"/>
      <c r="Y2412"/>
      <c r="Z2412"/>
      <c r="AA2412"/>
    </row>
    <row r="2413" spans="1:27" s="1" customFormat="1" x14ac:dyDescent="0.3">
      <c r="A2413"/>
      <c r="B2413"/>
      <c r="C2413"/>
      <c r="D2413"/>
      <c r="E2413"/>
      <c r="F2413"/>
      <c r="G2413"/>
      <c r="H2413"/>
      <c r="I2413"/>
      <c r="J2413"/>
      <c r="K2413"/>
      <c r="L2413"/>
      <c r="M2413"/>
      <c r="N2413"/>
      <c r="O2413"/>
      <c r="P2413"/>
      <c r="Q2413"/>
      <c r="R2413"/>
      <c r="S2413"/>
      <c r="T2413"/>
      <c r="U2413"/>
      <c r="V2413"/>
      <c r="W2413"/>
      <c r="X2413"/>
      <c r="Y2413"/>
      <c r="Z2413"/>
      <c r="AA2413"/>
    </row>
    <row r="2414" spans="1:27" s="1" customFormat="1" x14ac:dyDescent="0.3">
      <c r="A2414"/>
      <c r="B2414"/>
      <c r="C2414"/>
      <c r="D2414"/>
      <c r="E2414"/>
      <c r="F2414"/>
      <c r="G2414"/>
      <c r="H2414"/>
      <c r="I2414"/>
      <c r="J2414"/>
      <c r="K2414"/>
      <c r="L2414"/>
      <c r="M2414"/>
      <c r="N2414"/>
      <c r="O2414"/>
      <c r="P2414"/>
      <c r="Q2414"/>
      <c r="R2414"/>
      <c r="S2414"/>
      <c r="T2414"/>
      <c r="U2414"/>
      <c r="V2414"/>
      <c r="W2414"/>
      <c r="X2414"/>
      <c r="Y2414"/>
      <c r="Z2414"/>
      <c r="AA2414"/>
    </row>
    <row r="2415" spans="1:27" s="1" customFormat="1" x14ac:dyDescent="0.3">
      <c r="A2415"/>
      <c r="B2415"/>
      <c r="C2415"/>
      <c r="D2415"/>
      <c r="E2415"/>
      <c r="F2415"/>
      <c r="G2415"/>
      <c r="H2415"/>
      <c r="I2415"/>
      <c r="J2415"/>
      <c r="K2415"/>
      <c r="L2415"/>
      <c r="M2415"/>
      <c r="N2415"/>
      <c r="O2415"/>
      <c r="P2415"/>
      <c r="Q2415"/>
      <c r="R2415"/>
      <c r="S2415"/>
      <c r="T2415"/>
      <c r="U2415"/>
      <c r="V2415"/>
      <c r="W2415"/>
      <c r="X2415"/>
      <c r="Y2415"/>
      <c r="Z2415"/>
      <c r="AA2415"/>
    </row>
    <row r="2416" spans="1:27" s="1" customFormat="1" x14ac:dyDescent="0.3">
      <c r="A2416"/>
      <c r="B2416"/>
      <c r="C2416"/>
      <c r="D2416"/>
      <c r="E2416"/>
      <c r="F2416"/>
      <c r="G2416"/>
      <c r="H2416"/>
      <c r="I2416"/>
      <c r="J2416"/>
      <c r="K2416"/>
      <c r="L2416"/>
      <c r="M2416"/>
      <c r="N2416"/>
      <c r="O2416"/>
      <c r="P2416"/>
      <c r="Q2416"/>
      <c r="R2416"/>
      <c r="S2416"/>
      <c r="T2416"/>
      <c r="U2416"/>
      <c r="V2416"/>
      <c r="W2416"/>
      <c r="X2416"/>
      <c r="Y2416"/>
      <c r="Z2416"/>
      <c r="AA2416"/>
    </row>
    <row r="2417" spans="1:27" s="1" customFormat="1" x14ac:dyDescent="0.3">
      <c r="A2417"/>
      <c r="B2417"/>
      <c r="C2417"/>
      <c r="D2417"/>
      <c r="E2417"/>
      <c r="F2417"/>
      <c r="G2417"/>
      <c r="H2417"/>
      <c r="I2417"/>
      <c r="J2417"/>
      <c r="K2417"/>
      <c r="L2417"/>
      <c r="M2417"/>
      <c r="N2417"/>
      <c r="O2417"/>
      <c r="P2417"/>
      <c r="Q2417"/>
      <c r="R2417"/>
      <c r="S2417"/>
      <c r="T2417"/>
      <c r="U2417"/>
      <c r="V2417"/>
      <c r="W2417"/>
      <c r="X2417"/>
      <c r="Y2417"/>
      <c r="Z2417"/>
      <c r="AA2417"/>
    </row>
    <row r="2418" spans="1:27" s="1" customFormat="1" x14ac:dyDescent="0.3">
      <c r="A2418"/>
      <c r="B2418"/>
      <c r="C2418"/>
      <c r="D2418"/>
      <c r="E2418"/>
      <c r="F2418"/>
      <c r="G2418"/>
      <c r="H2418"/>
      <c r="I2418"/>
      <c r="J2418"/>
      <c r="K2418"/>
      <c r="L2418"/>
      <c r="M2418"/>
      <c r="N2418"/>
      <c r="O2418"/>
      <c r="P2418"/>
      <c r="Q2418"/>
      <c r="R2418"/>
      <c r="S2418"/>
      <c r="T2418"/>
      <c r="U2418"/>
      <c r="V2418"/>
      <c r="W2418"/>
      <c r="X2418"/>
      <c r="Y2418"/>
      <c r="Z2418"/>
      <c r="AA2418"/>
    </row>
    <row r="2419" spans="1:27" s="1" customFormat="1" x14ac:dyDescent="0.3">
      <c r="A2419"/>
      <c r="B2419"/>
      <c r="C2419"/>
      <c r="D2419"/>
      <c r="E2419"/>
      <c r="F2419"/>
      <c r="G2419"/>
      <c r="H2419"/>
      <c r="I2419"/>
      <c r="J2419"/>
      <c r="K2419"/>
      <c r="L2419"/>
      <c r="M2419"/>
      <c r="N2419"/>
      <c r="O2419"/>
      <c r="P2419"/>
      <c r="Q2419"/>
      <c r="R2419"/>
      <c r="S2419"/>
      <c r="T2419"/>
      <c r="U2419"/>
      <c r="V2419"/>
      <c r="W2419"/>
      <c r="X2419"/>
      <c r="Y2419"/>
      <c r="Z2419"/>
      <c r="AA2419"/>
    </row>
    <row r="2420" spans="1:27" s="1" customFormat="1" x14ac:dyDescent="0.3">
      <c r="A2420"/>
      <c r="B2420"/>
      <c r="C2420"/>
      <c r="D2420"/>
      <c r="E2420"/>
      <c r="F2420"/>
      <c r="G2420"/>
      <c r="H2420"/>
      <c r="I2420"/>
      <c r="J2420"/>
      <c r="K2420"/>
      <c r="L2420"/>
      <c r="M2420"/>
      <c r="N2420"/>
      <c r="O2420"/>
      <c r="P2420"/>
      <c r="Q2420"/>
      <c r="R2420"/>
      <c r="S2420"/>
      <c r="T2420"/>
      <c r="U2420"/>
      <c r="V2420"/>
      <c r="W2420"/>
      <c r="X2420"/>
      <c r="Y2420"/>
      <c r="Z2420"/>
      <c r="AA2420"/>
    </row>
    <row r="2421" spans="1:27" s="1" customFormat="1" x14ac:dyDescent="0.3">
      <c r="A2421"/>
      <c r="B2421"/>
      <c r="C2421"/>
      <c r="D2421"/>
      <c r="E2421"/>
      <c r="F2421"/>
      <c r="G2421"/>
      <c r="H2421"/>
      <c r="I2421"/>
      <c r="J2421"/>
      <c r="K2421"/>
      <c r="L2421"/>
      <c r="M2421"/>
      <c r="N2421"/>
      <c r="O2421"/>
      <c r="P2421"/>
      <c r="Q2421"/>
      <c r="R2421"/>
      <c r="S2421"/>
      <c r="T2421"/>
      <c r="U2421"/>
      <c r="V2421"/>
      <c r="W2421"/>
      <c r="X2421"/>
      <c r="Y2421"/>
      <c r="Z2421"/>
      <c r="AA2421"/>
    </row>
    <row r="2422" spans="1:27" s="1" customFormat="1" x14ac:dyDescent="0.3">
      <c r="A2422"/>
      <c r="B2422"/>
      <c r="C2422"/>
      <c r="D2422"/>
      <c r="E2422"/>
      <c r="F2422"/>
      <c r="G2422"/>
      <c r="H2422"/>
      <c r="I2422"/>
      <c r="J2422"/>
      <c r="K2422"/>
      <c r="L2422"/>
      <c r="M2422"/>
      <c r="N2422"/>
      <c r="O2422"/>
      <c r="P2422"/>
      <c r="Q2422"/>
      <c r="R2422"/>
      <c r="S2422"/>
      <c r="T2422"/>
      <c r="U2422"/>
      <c r="V2422"/>
      <c r="W2422"/>
      <c r="X2422"/>
      <c r="Y2422"/>
      <c r="Z2422"/>
      <c r="AA2422"/>
    </row>
    <row r="2423" spans="1:27" s="1" customFormat="1" x14ac:dyDescent="0.3">
      <c r="A2423"/>
      <c r="B2423"/>
      <c r="C2423"/>
      <c r="D2423"/>
      <c r="E2423"/>
      <c r="F2423"/>
      <c r="G2423"/>
      <c r="H2423"/>
      <c r="I2423"/>
      <c r="J2423"/>
      <c r="K2423"/>
      <c r="L2423"/>
      <c r="M2423"/>
      <c r="N2423"/>
      <c r="O2423"/>
      <c r="P2423"/>
      <c r="Q2423"/>
      <c r="R2423"/>
      <c r="S2423"/>
      <c r="T2423"/>
      <c r="U2423"/>
      <c r="V2423"/>
      <c r="W2423"/>
      <c r="X2423"/>
      <c r="Y2423"/>
      <c r="Z2423"/>
      <c r="AA2423"/>
    </row>
    <row r="2424" spans="1:27" s="1" customFormat="1" x14ac:dyDescent="0.3">
      <c r="A2424"/>
      <c r="B2424"/>
      <c r="C2424"/>
      <c r="D2424"/>
      <c r="E2424"/>
      <c r="F2424"/>
      <c r="G2424"/>
      <c r="H2424"/>
      <c r="I2424"/>
      <c r="J2424"/>
      <c r="K2424"/>
      <c r="L2424"/>
      <c r="M2424"/>
      <c r="N2424"/>
      <c r="O2424"/>
      <c r="P2424"/>
      <c r="Q2424"/>
      <c r="R2424"/>
      <c r="S2424"/>
      <c r="T2424"/>
      <c r="U2424"/>
      <c r="V2424"/>
      <c r="W2424"/>
      <c r="X2424"/>
      <c r="Y2424"/>
      <c r="Z2424"/>
      <c r="AA2424"/>
    </row>
    <row r="2425" spans="1:27" s="1" customFormat="1" x14ac:dyDescent="0.3">
      <c r="A2425"/>
      <c r="B2425"/>
      <c r="C2425"/>
      <c r="D2425"/>
      <c r="E2425"/>
      <c r="F2425"/>
      <c r="G2425"/>
      <c r="H2425"/>
      <c r="I2425"/>
      <c r="J2425"/>
      <c r="K2425"/>
      <c r="L2425"/>
      <c r="M2425"/>
      <c r="N2425"/>
      <c r="O2425"/>
      <c r="P2425"/>
      <c r="Q2425"/>
      <c r="R2425"/>
      <c r="S2425"/>
      <c r="T2425"/>
      <c r="U2425"/>
      <c r="V2425"/>
      <c r="W2425"/>
      <c r="X2425"/>
      <c r="Y2425"/>
      <c r="Z2425"/>
      <c r="AA2425"/>
    </row>
    <row r="2426" spans="1:27" s="1" customFormat="1" x14ac:dyDescent="0.3">
      <c r="A2426"/>
      <c r="B2426"/>
      <c r="C2426"/>
      <c r="D2426"/>
      <c r="E2426"/>
      <c r="F2426"/>
      <c r="G2426"/>
      <c r="H2426"/>
      <c r="I2426"/>
      <c r="J2426"/>
      <c r="K2426"/>
      <c r="L2426"/>
      <c r="M2426"/>
      <c r="N2426"/>
      <c r="O2426"/>
      <c r="P2426"/>
      <c r="Q2426"/>
      <c r="R2426"/>
      <c r="S2426"/>
      <c r="T2426"/>
      <c r="U2426"/>
      <c r="V2426"/>
      <c r="W2426"/>
      <c r="X2426"/>
      <c r="Y2426"/>
      <c r="Z2426"/>
      <c r="AA2426"/>
    </row>
    <row r="2427" spans="1:27" s="1" customFormat="1" x14ac:dyDescent="0.3">
      <c r="A2427"/>
      <c r="B2427"/>
      <c r="C2427"/>
      <c r="D2427"/>
      <c r="E2427"/>
      <c r="F2427"/>
      <c r="G2427"/>
      <c r="H2427"/>
      <c r="I2427"/>
      <c r="J2427"/>
      <c r="K2427"/>
      <c r="L2427"/>
      <c r="M2427"/>
      <c r="N2427"/>
      <c r="O2427"/>
      <c r="P2427"/>
      <c r="Q2427"/>
      <c r="R2427"/>
      <c r="S2427"/>
      <c r="T2427"/>
      <c r="U2427"/>
      <c r="V2427"/>
      <c r="W2427"/>
      <c r="X2427"/>
      <c r="Y2427"/>
      <c r="Z2427"/>
      <c r="AA2427"/>
    </row>
    <row r="2428" spans="1:27" s="1" customFormat="1" x14ac:dyDescent="0.3">
      <c r="A2428"/>
      <c r="B2428"/>
      <c r="C2428"/>
      <c r="D2428"/>
      <c r="E2428"/>
      <c r="F2428"/>
      <c r="G2428"/>
      <c r="H2428"/>
      <c r="I2428"/>
      <c r="J2428"/>
      <c r="K2428"/>
      <c r="L2428"/>
      <c r="M2428"/>
      <c r="N2428"/>
      <c r="O2428"/>
      <c r="P2428"/>
      <c r="Q2428"/>
      <c r="R2428"/>
      <c r="S2428"/>
      <c r="T2428"/>
      <c r="U2428"/>
      <c r="V2428"/>
      <c r="W2428"/>
      <c r="X2428"/>
      <c r="Y2428"/>
      <c r="Z2428"/>
      <c r="AA2428"/>
    </row>
    <row r="2429" spans="1:27" s="1" customFormat="1" x14ac:dyDescent="0.3">
      <c r="A2429"/>
      <c r="B2429"/>
      <c r="C2429"/>
      <c r="D2429"/>
      <c r="E2429"/>
      <c r="F2429"/>
      <c r="G2429"/>
      <c r="H2429"/>
      <c r="I2429"/>
      <c r="J2429"/>
      <c r="K2429"/>
      <c r="L2429"/>
      <c r="M2429"/>
      <c r="N2429"/>
      <c r="O2429"/>
      <c r="P2429"/>
      <c r="Q2429"/>
      <c r="R2429"/>
      <c r="S2429"/>
      <c r="T2429"/>
      <c r="U2429"/>
      <c r="V2429"/>
      <c r="W2429"/>
      <c r="X2429"/>
      <c r="Y2429"/>
      <c r="Z2429"/>
      <c r="AA2429"/>
    </row>
    <row r="2430" spans="1:27" s="1" customFormat="1" x14ac:dyDescent="0.3">
      <c r="A2430"/>
      <c r="B2430"/>
      <c r="C2430"/>
      <c r="D2430"/>
      <c r="E2430"/>
      <c r="F2430"/>
      <c r="G2430"/>
      <c r="H2430"/>
      <c r="I2430"/>
      <c r="J2430"/>
      <c r="K2430"/>
      <c r="L2430"/>
      <c r="M2430"/>
      <c r="N2430"/>
      <c r="O2430"/>
      <c r="P2430"/>
      <c r="Q2430"/>
      <c r="R2430"/>
      <c r="S2430"/>
      <c r="T2430"/>
      <c r="U2430"/>
      <c r="V2430"/>
      <c r="W2430"/>
      <c r="X2430"/>
      <c r="Y2430"/>
      <c r="Z2430"/>
      <c r="AA2430"/>
    </row>
    <row r="2431" spans="1:27" s="1" customFormat="1" x14ac:dyDescent="0.3">
      <c r="A2431"/>
      <c r="B2431"/>
      <c r="C2431"/>
      <c r="D2431"/>
      <c r="E2431"/>
      <c r="F2431"/>
      <c r="G2431"/>
      <c r="H2431"/>
      <c r="I2431"/>
      <c r="J2431"/>
      <c r="K2431"/>
      <c r="L2431"/>
      <c r="M2431"/>
      <c r="N2431"/>
      <c r="O2431"/>
      <c r="P2431"/>
      <c r="Q2431"/>
      <c r="R2431"/>
      <c r="S2431"/>
      <c r="T2431"/>
      <c r="U2431"/>
      <c r="V2431"/>
      <c r="W2431"/>
      <c r="X2431"/>
      <c r="Y2431"/>
      <c r="Z2431"/>
      <c r="AA2431"/>
    </row>
    <row r="2432" spans="1:27" s="1" customFormat="1" x14ac:dyDescent="0.3">
      <c r="A2432"/>
      <c r="B2432"/>
      <c r="C2432"/>
      <c r="D2432"/>
      <c r="E2432"/>
      <c r="F2432"/>
      <c r="G2432"/>
      <c r="H2432"/>
      <c r="I2432"/>
      <c r="J2432"/>
      <c r="K2432"/>
      <c r="L2432"/>
      <c r="M2432"/>
      <c r="N2432"/>
      <c r="O2432"/>
      <c r="P2432"/>
      <c r="Q2432"/>
      <c r="R2432"/>
      <c r="S2432"/>
      <c r="T2432"/>
      <c r="U2432"/>
      <c r="V2432"/>
      <c r="W2432"/>
      <c r="X2432"/>
      <c r="Y2432"/>
      <c r="Z2432"/>
      <c r="AA2432"/>
    </row>
    <row r="2433" spans="1:27" s="1" customFormat="1" x14ac:dyDescent="0.3">
      <c r="A2433"/>
      <c r="B2433"/>
      <c r="C2433"/>
      <c r="D2433"/>
      <c r="E2433"/>
      <c r="F2433"/>
      <c r="G2433"/>
      <c r="H2433"/>
      <c r="I2433"/>
      <c r="J2433"/>
      <c r="K2433"/>
      <c r="L2433"/>
      <c r="M2433"/>
      <c r="N2433"/>
      <c r="O2433"/>
      <c r="P2433"/>
      <c r="Q2433"/>
      <c r="R2433"/>
      <c r="S2433"/>
      <c r="T2433"/>
      <c r="U2433"/>
      <c r="V2433"/>
      <c r="W2433"/>
      <c r="X2433"/>
      <c r="Y2433"/>
      <c r="Z2433"/>
      <c r="AA2433"/>
    </row>
    <row r="2434" spans="1:27" s="1" customFormat="1" x14ac:dyDescent="0.3">
      <c r="A2434"/>
      <c r="B2434"/>
      <c r="C2434"/>
      <c r="D2434"/>
      <c r="E2434"/>
      <c r="F2434"/>
      <c r="G2434"/>
      <c r="H2434"/>
      <c r="I2434"/>
      <c r="J2434"/>
      <c r="K2434"/>
      <c r="L2434"/>
      <c r="M2434"/>
      <c r="N2434"/>
      <c r="O2434"/>
      <c r="P2434"/>
      <c r="Q2434"/>
      <c r="R2434"/>
      <c r="S2434"/>
      <c r="T2434"/>
      <c r="U2434"/>
      <c r="V2434"/>
      <c r="W2434"/>
      <c r="X2434"/>
      <c r="Y2434"/>
      <c r="Z2434"/>
      <c r="AA2434"/>
    </row>
    <row r="2435" spans="1:27" s="1" customFormat="1" x14ac:dyDescent="0.3">
      <c r="A2435"/>
      <c r="B2435"/>
      <c r="C2435"/>
      <c r="D2435"/>
      <c r="E2435"/>
      <c r="F2435"/>
      <c r="G2435"/>
      <c r="H2435"/>
      <c r="I2435"/>
      <c r="J2435"/>
      <c r="K2435"/>
      <c r="L2435"/>
      <c r="M2435"/>
      <c r="N2435"/>
      <c r="O2435"/>
      <c r="P2435"/>
      <c r="Q2435"/>
      <c r="R2435"/>
      <c r="S2435"/>
      <c r="T2435"/>
      <c r="U2435"/>
      <c r="V2435"/>
      <c r="W2435"/>
      <c r="X2435"/>
      <c r="Y2435"/>
      <c r="Z2435"/>
      <c r="AA2435"/>
    </row>
    <row r="2436" spans="1:27" s="1" customFormat="1" x14ac:dyDescent="0.3">
      <c r="A2436"/>
      <c r="B2436"/>
      <c r="C2436"/>
      <c r="D2436"/>
      <c r="E2436"/>
      <c r="F2436"/>
      <c r="G2436"/>
      <c r="H2436"/>
      <c r="I2436"/>
      <c r="J2436"/>
      <c r="K2436"/>
      <c r="L2436"/>
      <c r="M2436"/>
      <c r="N2436"/>
      <c r="O2436"/>
      <c r="P2436"/>
      <c r="Q2436"/>
      <c r="R2436"/>
      <c r="S2436"/>
      <c r="T2436"/>
      <c r="U2436"/>
      <c r="V2436"/>
      <c r="W2436"/>
      <c r="X2436"/>
      <c r="Y2436"/>
      <c r="Z2436"/>
      <c r="AA2436"/>
    </row>
    <row r="2437" spans="1:27" s="1" customFormat="1" x14ac:dyDescent="0.3">
      <c r="A2437"/>
      <c r="B2437"/>
      <c r="C2437"/>
      <c r="D2437"/>
      <c r="E2437"/>
      <c r="F2437"/>
      <c r="G2437"/>
      <c r="H2437"/>
      <c r="I2437"/>
      <c r="J2437"/>
      <c r="K2437"/>
      <c r="L2437"/>
      <c r="M2437"/>
      <c r="N2437"/>
      <c r="O2437"/>
      <c r="P2437"/>
      <c r="Q2437"/>
      <c r="R2437"/>
      <c r="S2437"/>
      <c r="T2437"/>
      <c r="U2437"/>
      <c r="V2437"/>
      <c r="W2437"/>
      <c r="X2437"/>
      <c r="Y2437"/>
      <c r="Z2437"/>
      <c r="AA2437"/>
    </row>
    <row r="2438" spans="1:27" s="1" customFormat="1" x14ac:dyDescent="0.3">
      <c r="A2438"/>
      <c r="B2438"/>
      <c r="C2438"/>
      <c r="D2438"/>
      <c r="E2438"/>
      <c r="F2438"/>
      <c r="G2438"/>
      <c r="H2438"/>
      <c r="I2438"/>
      <c r="J2438"/>
      <c r="K2438"/>
      <c r="L2438"/>
      <c r="M2438"/>
      <c r="N2438"/>
      <c r="O2438"/>
      <c r="P2438"/>
      <c r="Q2438"/>
      <c r="R2438"/>
      <c r="S2438"/>
      <c r="T2438"/>
      <c r="U2438"/>
      <c r="V2438"/>
      <c r="W2438"/>
      <c r="X2438"/>
      <c r="Y2438"/>
      <c r="Z2438"/>
      <c r="AA2438"/>
    </row>
    <row r="2439" spans="1:27" s="1" customFormat="1" x14ac:dyDescent="0.3">
      <c r="A2439"/>
      <c r="B2439"/>
      <c r="C2439"/>
      <c r="D2439"/>
      <c r="E2439"/>
      <c r="F2439"/>
      <c r="G2439"/>
      <c r="H2439"/>
      <c r="I2439"/>
      <c r="J2439"/>
      <c r="K2439"/>
      <c r="L2439"/>
      <c r="M2439"/>
      <c r="N2439"/>
      <c r="O2439"/>
      <c r="P2439"/>
      <c r="Q2439"/>
      <c r="R2439"/>
      <c r="S2439"/>
      <c r="T2439"/>
      <c r="U2439"/>
      <c r="V2439"/>
      <c r="W2439"/>
      <c r="X2439"/>
      <c r="Y2439"/>
      <c r="Z2439"/>
      <c r="AA2439"/>
    </row>
    <row r="2440" spans="1:27" s="1" customFormat="1" x14ac:dyDescent="0.3">
      <c r="A2440"/>
      <c r="B2440"/>
      <c r="C2440"/>
      <c r="D2440"/>
      <c r="E2440"/>
      <c r="F2440"/>
      <c r="G2440"/>
      <c r="H2440"/>
      <c r="I2440"/>
      <c r="J2440"/>
      <c r="K2440"/>
      <c r="L2440"/>
      <c r="M2440"/>
      <c r="N2440"/>
      <c r="O2440"/>
      <c r="P2440"/>
      <c r="Q2440"/>
      <c r="R2440"/>
      <c r="S2440"/>
      <c r="T2440"/>
      <c r="U2440"/>
      <c r="V2440"/>
      <c r="W2440"/>
      <c r="X2440"/>
      <c r="Y2440"/>
      <c r="Z2440"/>
      <c r="AA2440"/>
    </row>
    <row r="2441" spans="1:27" s="1" customFormat="1" x14ac:dyDescent="0.3">
      <c r="A2441"/>
      <c r="B2441"/>
      <c r="C2441"/>
      <c r="D2441"/>
      <c r="E2441"/>
      <c r="F2441"/>
      <c r="G2441"/>
      <c r="H2441"/>
      <c r="I2441"/>
      <c r="J2441"/>
      <c r="K2441"/>
      <c r="L2441"/>
      <c r="M2441"/>
      <c r="N2441"/>
      <c r="O2441"/>
      <c r="P2441"/>
      <c r="Q2441"/>
      <c r="R2441"/>
      <c r="S2441"/>
      <c r="T2441"/>
      <c r="U2441"/>
      <c r="V2441"/>
      <c r="W2441"/>
      <c r="X2441"/>
      <c r="Y2441"/>
      <c r="Z2441"/>
      <c r="AA2441"/>
    </row>
    <row r="2442" spans="1:27" s="1" customFormat="1" x14ac:dyDescent="0.3">
      <c r="A2442"/>
      <c r="B2442"/>
      <c r="C2442"/>
      <c r="D2442"/>
      <c r="E2442"/>
      <c r="F2442"/>
      <c r="G2442"/>
      <c r="H2442"/>
      <c r="I2442"/>
      <c r="J2442"/>
      <c r="K2442"/>
      <c r="L2442"/>
      <c r="M2442"/>
      <c r="N2442"/>
      <c r="O2442"/>
      <c r="P2442"/>
      <c r="Q2442"/>
      <c r="R2442"/>
      <c r="S2442"/>
      <c r="T2442"/>
      <c r="U2442"/>
      <c r="V2442"/>
      <c r="W2442"/>
      <c r="X2442"/>
      <c r="Y2442"/>
      <c r="Z2442"/>
      <c r="AA2442"/>
    </row>
    <row r="2443" spans="1:27" s="1" customFormat="1" x14ac:dyDescent="0.3">
      <c r="A2443"/>
      <c r="B2443"/>
      <c r="C2443"/>
      <c r="D2443"/>
      <c r="E2443"/>
      <c r="F2443"/>
      <c r="G2443"/>
      <c r="H2443"/>
      <c r="I2443"/>
      <c r="J2443"/>
      <c r="K2443"/>
      <c r="L2443"/>
      <c r="M2443"/>
      <c r="N2443"/>
      <c r="O2443"/>
      <c r="P2443"/>
      <c r="Q2443"/>
      <c r="R2443"/>
      <c r="S2443"/>
      <c r="T2443"/>
      <c r="U2443"/>
      <c r="V2443"/>
      <c r="W2443"/>
      <c r="X2443"/>
      <c r="Y2443"/>
      <c r="Z2443"/>
      <c r="AA2443"/>
    </row>
    <row r="2444" spans="1:27" s="1" customFormat="1" x14ac:dyDescent="0.3">
      <c r="A2444"/>
      <c r="B2444"/>
      <c r="C2444"/>
      <c r="D2444"/>
      <c r="E2444"/>
      <c r="F2444"/>
      <c r="G2444"/>
      <c r="H2444"/>
      <c r="I2444"/>
      <c r="J2444"/>
      <c r="K2444"/>
      <c r="L2444"/>
      <c r="M2444"/>
      <c r="N2444"/>
      <c r="O2444"/>
      <c r="P2444"/>
      <c r="Q2444"/>
      <c r="R2444"/>
      <c r="S2444"/>
      <c r="T2444"/>
      <c r="U2444"/>
      <c r="V2444"/>
      <c r="W2444"/>
      <c r="X2444"/>
      <c r="Y2444"/>
      <c r="Z2444"/>
      <c r="AA2444"/>
    </row>
    <row r="2445" spans="1:27" s="1" customFormat="1" x14ac:dyDescent="0.3">
      <c r="A2445"/>
      <c r="B2445"/>
      <c r="C2445"/>
      <c r="D2445"/>
      <c r="E2445"/>
      <c r="F2445"/>
      <c r="G2445"/>
      <c r="H2445"/>
      <c r="I2445"/>
      <c r="J2445"/>
      <c r="K2445"/>
      <c r="L2445"/>
      <c r="M2445"/>
      <c r="N2445"/>
      <c r="O2445"/>
      <c r="P2445"/>
      <c r="Q2445"/>
      <c r="R2445"/>
      <c r="S2445"/>
      <c r="T2445"/>
      <c r="U2445"/>
      <c r="V2445"/>
      <c r="W2445"/>
      <c r="X2445"/>
      <c r="Y2445"/>
      <c r="Z2445"/>
      <c r="AA2445"/>
    </row>
    <row r="2446" spans="1:27" s="1" customFormat="1" x14ac:dyDescent="0.3">
      <c r="A2446"/>
      <c r="B2446"/>
      <c r="C2446"/>
      <c r="D2446"/>
      <c r="E2446"/>
      <c r="F2446"/>
      <c r="G2446"/>
      <c r="H2446"/>
      <c r="I2446"/>
      <c r="J2446"/>
      <c r="K2446"/>
      <c r="L2446"/>
      <c r="M2446"/>
      <c r="N2446"/>
      <c r="O2446"/>
      <c r="P2446"/>
      <c r="Q2446"/>
      <c r="R2446"/>
      <c r="S2446"/>
      <c r="T2446"/>
      <c r="U2446"/>
      <c r="V2446"/>
      <c r="W2446"/>
      <c r="X2446"/>
      <c r="Y2446"/>
      <c r="Z2446"/>
      <c r="AA2446"/>
    </row>
    <row r="2447" spans="1:27" s="1" customFormat="1" x14ac:dyDescent="0.3">
      <c r="A2447"/>
      <c r="B2447"/>
      <c r="C2447"/>
      <c r="D2447"/>
      <c r="E2447"/>
      <c r="F2447"/>
      <c r="G2447"/>
      <c r="H2447"/>
      <c r="I2447"/>
      <c r="J2447"/>
      <c r="K2447"/>
      <c r="L2447"/>
      <c r="M2447"/>
      <c r="N2447"/>
      <c r="O2447"/>
      <c r="P2447"/>
      <c r="Q2447"/>
      <c r="R2447"/>
      <c r="S2447"/>
      <c r="T2447"/>
      <c r="U2447"/>
      <c r="V2447"/>
      <c r="W2447"/>
      <c r="X2447"/>
      <c r="Y2447"/>
      <c r="Z2447"/>
      <c r="AA2447"/>
    </row>
    <row r="2448" spans="1:27" s="1" customFormat="1" x14ac:dyDescent="0.3">
      <c r="A2448"/>
      <c r="B2448"/>
      <c r="C2448"/>
      <c r="D2448"/>
      <c r="E2448"/>
      <c r="F2448"/>
      <c r="G2448"/>
      <c r="H2448"/>
      <c r="I2448"/>
      <c r="J2448"/>
      <c r="K2448"/>
      <c r="L2448"/>
      <c r="M2448"/>
      <c r="N2448"/>
      <c r="O2448"/>
      <c r="P2448"/>
      <c r="Q2448"/>
      <c r="R2448"/>
      <c r="S2448"/>
      <c r="T2448"/>
      <c r="U2448"/>
      <c r="V2448"/>
      <c r="W2448"/>
      <c r="X2448"/>
      <c r="Y2448"/>
      <c r="Z2448"/>
      <c r="AA2448"/>
    </row>
    <row r="2449" spans="1:27" s="1" customFormat="1" x14ac:dyDescent="0.3">
      <c r="A2449"/>
      <c r="B2449"/>
      <c r="C2449"/>
      <c r="D2449"/>
      <c r="E2449"/>
      <c r="F2449"/>
      <c r="G2449"/>
      <c r="H2449"/>
      <c r="I2449"/>
      <c r="J2449"/>
      <c r="K2449"/>
      <c r="L2449"/>
      <c r="M2449"/>
      <c r="N2449"/>
      <c r="O2449"/>
      <c r="P2449"/>
      <c r="Q2449"/>
      <c r="R2449"/>
      <c r="S2449"/>
      <c r="T2449"/>
      <c r="U2449"/>
      <c r="V2449"/>
      <c r="W2449"/>
      <c r="X2449"/>
      <c r="Y2449"/>
      <c r="Z2449"/>
      <c r="AA2449"/>
    </row>
    <row r="2450" spans="1:27" s="1" customFormat="1" x14ac:dyDescent="0.3">
      <c r="A2450"/>
      <c r="B2450"/>
      <c r="C2450"/>
      <c r="D2450"/>
      <c r="E2450"/>
      <c r="F2450"/>
      <c r="G2450"/>
      <c r="H2450"/>
      <c r="I2450"/>
      <c r="J2450"/>
      <c r="K2450"/>
      <c r="L2450"/>
      <c r="M2450"/>
      <c r="N2450"/>
      <c r="O2450"/>
      <c r="P2450"/>
      <c r="Q2450"/>
      <c r="R2450"/>
      <c r="S2450"/>
      <c r="T2450"/>
      <c r="U2450"/>
      <c r="V2450"/>
      <c r="W2450"/>
      <c r="X2450"/>
      <c r="Y2450"/>
      <c r="Z2450"/>
      <c r="AA2450"/>
    </row>
    <row r="2451" spans="1:27" s="1" customFormat="1" x14ac:dyDescent="0.3">
      <c r="A2451"/>
      <c r="B2451"/>
      <c r="C2451"/>
      <c r="D2451"/>
      <c r="E2451"/>
      <c r="F2451"/>
      <c r="G2451"/>
      <c r="H2451"/>
      <c r="I2451"/>
      <c r="J2451"/>
      <c r="K2451"/>
      <c r="L2451"/>
      <c r="M2451"/>
      <c r="N2451"/>
      <c r="O2451"/>
      <c r="P2451"/>
      <c r="Q2451"/>
      <c r="R2451"/>
      <c r="S2451"/>
      <c r="T2451"/>
      <c r="U2451"/>
      <c r="V2451"/>
      <c r="W2451"/>
      <c r="X2451"/>
      <c r="Y2451"/>
      <c r="Z2451"/>
      <c r="AA2451"/>
    </row>
    <row r="2452" spans="1:27" s="1" customFormat="1" x14ac:dyDescent="0.3">
      <c r="A2452"/>
      <c r="B2452"/>
      <c r="C2452"/>
      <c r="D2452"/>
      <c r="E2452"/>
      <c r="F2452"/>
      <c r="G2452"/>
      <c r="H2452"/>
      <c r="I2452"/>
      <c r="J2452"/>
      <c r="K2452"/>
      <c r="L2452"/>
      <c r="M2452"/>
      <c r="N2452"/>
      <c r="O2452"/>
      <c r="P2452"/>
      <c r="Q2452"/>
      <c r="R2452"/>
      <c r="S2452"/>
      <c r="T2452"/>
      <c r="U2452"/>
      <c r="V2452"/>
      <c r="W2452"/>
      <c r="X2452"/>
      <c r="Y2452"/>
      <c r="Z2452"/>
      <c r="AA2452"/>
    </row>
    <row r="2453" spans="1:27" s="1" customFormat="1" x14ac:dyDescent="0.3">
      <c r="A2453"/>
      <c r="B2453"/>
      <c r="C2453"/>
      <c r="D2453"/>
      <c r="E2453"/>
      <c r="F2453"/>
      <c r="G2453"/>
      <c r="H2453"/>
      <c r="I2453"/>
      <c r="J2453"/>
      <c r="K2453"/>
      <c r="L2453"/>
      <c r="M2453"/>
      <c r="N2453"/>
      <c r="O2453"/>
      <c r="P2453"/>
      <c r="Q2453"/>
      <c r="R2453"/>
      <c r="S2453"/>
      <c r="T2453"/>
      <c r="U2453"/>
      <c r="V2453"/>
      <c r="W2453"/>
      <c r="X2453"/>
      <c r="Y2453"/>
      <c r="Z2453"/>
      <c r="AA2453"/>
    </row>
    <row r="2454" spans="1:27" s="1" customFormat="1" x14ac:dyDescent="0.3">
      <c r="A2454"/>
      <c r="B2454"/>
      <c r="C2454"/>
      <c r="D2454"/>
      <c r="E2454"/>
      <c r="F2454"/>
      <c r="G2454"/>
      <c r="H2454"/>
      <c r="I2454"/>
      <c r="J2454"/>
      <c r="K2454"/>
      <c r="L2454"/>
      <c r="M2454"/>
      <c r="N2454"/>
      <c r="O2454"/>
      <c r="P2454"/>
      <c r="Q2454"/>
      <c r="R2454"/>
      <c r="S2454"/>
      <c r="T2454"/>
      <c r="U2454"/>
      <c r="V2454"/>
      <c r="W2454"/>
      <c r="X2454"/>
      <c r="Y2454"/>
      <c r="Z2454"/>
      <c r="AA2454"/>
    </row>
    <row r="2455" spans="1:27" s="1" customFormat="1" x14ac:dyDescent="0.3">
      <c r="A2455"/>
      <c r="B2455"/>
      <c r="C2455"/>
      <c r="D2455"/>
      <c r="E2455"/>
      <c r="F2455"/>
      <c r="G2455"/>
      <c r="H2455"/>
      <c r="I2455"/>
      <c r="J2455"/>
      <c r="K2455"/>
      <c r="L2455"/>
      <c r="M2455"/>
      <c r="N2455"/>
      <c r="O2455"/>
      <c r="P2455"/>
      <c r="Q2455"/>
      <c r="R2455"/>
      <c r="S2455"/>
      <c r="T2455"/>
      <c r="U2455"/>
      <c r="V2455"/>
      <c r="W2455"/>
      <c r="X2455"/>
      <c r="Y2455"/>
      <c r="Z2455"/>
      <c r="AA2455"/>
    </row>
    <row r="2456" spans="1:27" s="1" customFormat="1" x14ac:dyDescent="0.3">
      <c r="A2456"/>
      <c r="B2456"/>
      <c r="C2456"/>
      <c r="D2456"/>
      <c r="E2456"/>
      <c r="F2456"/>
      <c r="G2456"/>
      <c r="H2456"/>
      <c r="I2456"/>
      <c r="J2456"/>
      <c r="K2456"/>
      <c r="L2456"/>
      <c r="M2456"/>
      <c r="N2456"/>
      <c r="O2456"/>
      <c r="P2456"/>
      <c r="Q2456"/>
      <c r="R2456"/>
      <c r="S2456"/>
      <c r="T2456"/>
      <c r="U2456"/>
      <c r="V2456"/>
      <c r="W2456"/>
      <c r="X2456"/>
      <c r="Y2456"/>
      <c r="Z2456"/>
      <c r="AA2456"/>
    </row>
    <row r="2457" spans="1:27" s="1" customFormat="1" x14ac:dyDescent="0.3">
      <c r="A2457"/>
      <c r="B2457"/>
      <c r="C2457"/>
      <c r="D2457"/>
      <c r="E2457"/>
      <c r="F2457"/>
      <c r="G2457"/>
      <c r="H2457"/>
      <c r="I2457"/>
      <c r="J2457"/>
      <c r="K2457"/>
      <c r="L2457"/>
      <c r="M2457"/>
      <c r="N2457"/>
      <c r="O2457"/>
      <c r="P2457"/>
      <c r="Q2457"/>
      <c r="R2457"/>
      <c r="S2457"/>
      <c r="T2457"/>
      <c r="U2457"/>
      <c r="V2457"/>
      <c r="W2457"/>
      <c r="X2457"/>
      <c r="Y2457"/>
      <c r="Z2457"/>
      <c r="AA2457"/>
    </row>
    <row r="2458" spans="1:27" s="1" customFormat="1" x14ac:dyDescent="0.3">
      <c r="A2458"/>
      <c r="B2458"/>
      <c r="C2458"/>
      <c r="D2458"/>
      <c r="E2458"/>
      <c r="F2458"/>
      <c r="G2458"/>
      <c r="H2458"/>
      <c r="I2458"/>
      <c r="J2458"/>
      <c r="K2458"/>
      <c r="L2458"/>
      <c r="M2458"/>
      <c r="N2458"/>
      <c r="O2458"/>
      <c r="P2458"/>
      <c r="Q2458"/>
      <c r="R2458"/>
      <c r="S2458"/>
      <c r="T2458"/>
      <c r="U2458"/>
      <c r="V2458"/>
      <c r="W2458"/>
      <c r="X2458"/>
      <c r="Y2458"/>
      <c r="Z2458"/>
      <c r="AA2458"/>
    </row>
    <row r="2459" spans="1:27" s="1" customFormat="1" x14ac:dyDescent="0.3">
      <c r="A2459"/>
      <c r="B2459"/>
      <c r="C2459"/>
      <c r="D2459"/>
      <c r="E2459"/>
      <c r="F2459"/>
      <c r="G2459"/>
      <c r="H2459"/>
      <c r="I2459"/>
      <c r="J2459"/>
      <c r="K2459"/>
      <c r="L2459"/>
      <c r="M2459"/>
      <c r="N2459"/>
      <c r="O2459"/>
      <c r="P2459"/>
      <c r="Q2459"/>
      <c r="R2459"/>
      <c r="S2459"/>
      <c r="T2459"/>
      <c r="U2459"/>
      <c r="V2459"/>
      <c r="W2459"/>
      <c r="X2459"/>
      <c r="Y2459"/>
      <c r="Z2459"/>
      <c r="AA2459"/>
    </row>
    <row r="2460" spans="1:27" s="1" customFormat="1" x14ac:dyDescent="0.3">
      <c r="A2460"/>
      <c r="B2460"/>
      <c r="C2460"/>
      <c r="D2460"/>
      <c r="E2460"/>
      <c r="F2460"/>
      <c r="G2460"/>
      <c r="H2460"/>
      <c r="I2460"/>
      <c r="J2460"/>
      <c r="K2460"/>
      <c r="L2460"/>
      <c r="M2460"/>
      <c r="N2460"/>
      <c r="O2460"/>
      <c r="P2460"/>
      <c r="Q2460"/>
      <c r="R2460"/>
      <c r="S2460"/>
      <c r="T2460"/>
      <c r="U2460"/>
      <c r="V2460"/>
      <c r="W2460"/>
      <c r="X2460"/>
      <c r="Y2460"/>
      <c r="Z2460"/>
      <c r="AA2460"/>
    </row>
    <row r="2461" spans="1:27" s="1" customFormat="1" x14ac:dyDescent="0.3">
      <c r="A2461"/>
      <c r="B2461"/>
      <c r="C2461"/>
      <c r="D2461"/>
      <c r="E2461"/>
      <c r="F2461"/>
      <c r="G2461"/>
      <c r="H2461"/>
      <c r="I2461"/>
      <c r="J2461"/>
      <c r="K2461"/>
      <c r="L2461"/>
      <c r="M2461"/>
      <c r="N2461"/>
      <c r="O2461"/>
      <c r="P2461"/>
      <c r="Q2461"/>
      <c r="R2461"/>
      <c r="S2461"/>
      <c r="T2461"/>
      <c r="U2461"/>
      <c r="V2461"/>
      <c r="W2461"/>
      <c r="X2461"/>
      <c r="Y2461"/>
      <c r="Z2461"/>
      <c r="AA2461"/>
    </row>
    <row r="2462" spans="1:27" s="1" customFormat="1" x14ac:dyDescent="0.3">
      <c r="A2462"/>
      <c r="B2462"/>
      <c r="C2462"/>
      <c r="D2462"/>
      <c r="E2462"/>
      <c r="F2462"/>
      <c r="G2462"/>
      <c r="H2462"/>
      <c r="I2462"/>
      <c r="J2462"/>
      <c r="K2462"/>
      <c r="L2462"/>
      <c r="M2462"/>
      <c r="N2462"/>
      <c r="O2462"/>
      <c r="P2462"/>
      <c r="Q2462"/>
      <c r="R2462"/>
      <c r="S2462"/>
      <c r="T2462"/>
      <c r="U2462"/>
      <c r="V2462"/>
      <c r="W2462"/>
      <c r="X2462"/>
      <c r="Y2462"/>
      <c r="Z2462"/>
      <c r="AA2462"/>
    </row>
    <row r="2463" spans="1:27" s="1" customFormat="1" x14ac:dyDescent="0.3">
      <c r="A2463"/>
      <c r="B2463"/>
      <c r="C2463"/>
      <c r="D2463"/>
      <c r="E2463"/>
      <c r="F2463"/>
      <c r="G2463"/>
      <c r="H2463"/>
      <c r="I2463"/>
      <c r="J2463"/>
      <c r="K2463"/>
      <c r="L2463"/>
      <c r="M2463"/>
      <c r="N2463"/>
      <c r="O2463"/>
      <c r="P2463"/>
      <c r="Q2463"/>
      <c r="R2463"/>
      <c r="S2463"/>
      <c r="T2463"/>
      <c r="U2463"/>
      <c r="V2463"/>
      <c r="W2463"/>
      <c r="X2463"/>
      <c r="Y2463"/>
      <c r="Z2463"/>
      <c r="AA2463"/>
    </row>
    <row r="2464" spans="1:27" s="1" customFormat="1" x14ac:dyDescent="0.3">
      <c r="A2464"/>
      <c r="B2464"/>
      <c r="C2464"/>
      <c r="D2464"/>
      <c r="E2464"/>
      <c r="F2464"/>
      <c r="G2464"/>
      <c r="H2464"/>
      <c r="I2464"/>
      <c r="J2464"/>
      <c r="K2464"/>
      <c r="L2464"/>
      <c r="M2464"/>
      <c r="N2464"/>
      <c r="O2464"/>
      <c r="P2464"/>
      <c r="Q2464"/>
      <c r="R2464"/>
      <c r="S2464"/>
      <c r="T2464"/>
      <c r="U2464"/>
      <c r="V2464"/>
      <c r="W2464"/>
      <c r="X2464"/>
      <c r="Y2464"/>
      <c r="Z2464"/>
      <c r="AA2464"/>
    </row>
    <row r="2465" spans="1:27" s="1" customFormat="1" x14ac:dyDescent="0.3">
      <c r="A2465"/>
      <c r="B2465"/>
      <c r="C2465"/>
      <c r="D2465"/>
      <c r="E2465"/>
      <c r="F2465"/>
      <c r="G2465"/>
      <c r="H2465"/>
      <c r="I2465"/>
      <c r="J2465"/>
      <c r="K2465"/>
      <c r="L2465"/>
      <c r="M2465"/>
      <c r="N2465"/>
      <c r="O2465"/>
      <c r="P2465"/>
      <c r="Q2465"/>
      <c r="R2465"/>
      <c r="S2465"/>
      <c r="T2465"/>
      <c r="U2465"/>
      <c r="V2465"/>
      <c r="W2465"/>
      <c r="X2465"/>
      <c r="Y2465"/>
      <c r="Z2465"/>
      <c r="AA2465"/>
    </row>
    <row r="2466" spans="1:27" s="1" customFormat="1" x14ac:dyDescent="0.3">
      <c r="A2466"/>
      <c r="B2466"/>
      <c r="C2466"/>
      <c r="D2466"/>
      <c r="E2466"/>
      <c r="F2466"/>
      <c r="G2466"/>
      <c r="H2466"/>
      <c r="I2466"/>
      <c r="J2466"/>
      <c r="K2466"/>
      <c r="L2466"/>
      <c r="M2466"/>
      <c r="N2466"/>
      <c r="O2466"/>
      <c r="P2466"/>
      <c r="Q2466"/>
      <c r="R2466"/>
      <c r="S2466"/>
      <c r="T2466"/>
      <c r="U2466"/>
      <c r="V2466"/>
      <c r="W2466"/>
      <c r="X2466"/>
      <c r="Y2466"/>
      <c r="Z2466"/>
      <c r="AA2466"/>
    </row>
    <row r="2467" spans="1:27" s="1" customFormat="1" x14ac:dyDescent="0.3">
      <c r="A2467"/>
      <c r="B2467"/>
      <c r="C2467"/>
      <c r="D2467"/>
      <c r="E2467"/>
      <c r="F2467"/>
      <c r="G2467"/>
      <c r="H2467"/>
      <c r="I2467"/>
      <c r="J2467"/>
      <c r="K2467"/>
      <c r="L2467"/>
      <c r="M2467"/>
      <c r="N2467"/>
      <c r="O2467"/>
      <c r="P2467"/>
      <c r="Q2467"/>
      <c r="R2467"/>
      <c r="S2467"/>
      <c r="T2467"/>
      <c r="U2467"/>
      <c r="V2467"/>
      <c r="W2467"/>
      <c r="X2467"/>
      <c r="Y2467"/>
      <c r="Z2467"/>
      <c r="AA2467"/>
    </row>
    <row r="2468" spans="1:27" s="1" customFormat="1" x14ac:dyDescent="0.3">
      <c r="A2468"/>
      <c r="B2468"/>
      <c r="C2468"/>
      <c r="D2468"/>
      <c r="E2468"/>
      <c r="F2468"/>
      <c r="G2468"/>
      <c r="H2468"/>
      <c r="I2468"/>
      <c r="J2468"/>
      <c r="K2468"/>
      <c r="L2468"/>
      <c r="M2468"/>
      <c r="N2468"/>
      <c r="O2468"/>
      <c r="P2468"/>
      <c r="Q2468"/>
      <c r="R2468"/>
      <c r="S2468"/>
      <c r="T2468"/>
      <c r="U2468"/>
      <c r="V2468"/>
      <c r="W2468"/>
      <c r="X2468"/>
      <c r="Y2468"/>
      <c r="Z2468"/>
      <c r="AA2468"/>
    </row>
    <row r="2469" spans="1:27" s="1" customFormat="1" x14ac:dyDescent="0.3">
      <c r="A2469"/>
      <c r="B2469"/>
      <c r="C2469"/>
      <c r="D2469"/>
      <c r="E2469"/>
      <c r="F2469"/>
      <c r="G2469"/>
      <c r="H2469"/>
      <c r="I2469"/>
      <c r="J2469"/>
      <c r="K2469"/>
      <c r="L2469"/>
      <c r="M2469"/>
      <c r="N2469"/>
      <c r="O2469"/>
      <c r="P2469"/>
      <c r="Q2469"/>
      <c r="R2469"/>
      <c r="S2469"/>
      <c r="T2469"/>
      <c r="U2469"/>
      <c r="V2469"/>
      <c r="W2469"/>
      <c r="X2469"/>
      <c r="Y2469"/>
      <c r="Z2469"/>
      <c r="AA2469"/>
    </row>
    <row r="2470" spans="1:27" s="1" customFormat="1" x14ac:dyDescent="0.3">
      <c r="A2470"/>
      <c r="B2470"/>
      <c r="C2470"/>
      <c r="D2470"/>
      <c r="E2470"/>
      <c r="F2470"/>
      <c r="G2470"/>
      <c r="H2470"/>
      <c r="I2470"/>
      <c r="J2470"/>
      <c r="K2470"/>
      <c r="L2470"/>
      <c r="M2470"/>
      <c r="N2470"/>
      <c r="O2470"/>
      <c r="P2470"/>
      <c r="Q2470"/>
      <c r="R2470"/>
      <c r="S2470"/>
      <c r="T2470"/>
      <c r="U2470"/>
      <c r="V2470"/>
      <c r="W2470"/>
      <c r="X2470"/>
      <c r="Y2470"/>
      <c r="Z2470"/>
      <c r="AA2470"/>
    </row>
    <row r="2471" spans="1:27" s="1" customFormat="1" x14ac:dyDescent="0.3">
      <c r="A2471"/>
      <c r="B2471"/>
      <c r="C2471"/>
      <c r="D2471"/>
      <c r="E2471"/>
      <c r="F2471"/>
      <c r="G2471"/>
      <c r="H2471"/>
      <c r="I2471"/>
      <c r="J2471"/>
      <c r="K2471"/>
      <c r="L2471"/>
      <c r="M2471"/>
      <c r="N2471"/>
      <c r="O2471"/>
      <c r="P2471"/>
      <c r="Q2471"/>
      <c r="R2471"/>
      <c r="S2471"/>
      <c r="T2471"/>
      <c r="U2471"/>
      <c r="V2471"/>
      <c r="W2471"/>
      <c r="X2471"/>
      <c r="Y2471"/>
      <c r="Z2471"/>
      <c r="AA2471"/>
    </row>
    <row r="2472" spans="1:27" s="1" customFormat="1" x14ac:dyDescent="0.3">
      <c r="A2472"/>
      <c r="B2472"/>
      <c r="C2472"/>
      <c r="D2472"/>
      <c r="E2472"/>
      <c r="F2472"/>
      <c r="G2472"/>
      <c r="H2472"/>
      <c r="I2472"/>
      <c r="J2472"/>
      <c r="K2472"/>
      <c r="L2472"/>
      <c r="M2472"/>
      <c r="N2472"/>
      <c r="O2472"/>
      <c r="P2472"/>
      <c r="Q2472"/>
      <c r="R2472"/>
      <c r="S2472"/>
      <c r="T2472"/>
      <c r="U2472"/>
      <c r="V2472"/>
      <c r="W2472"/>
      <c r="X2472"/>
      <c r="Y2472"/>
      <c r="Z2472"/>
      <c r="AA2472"/>
    </row>
    <row r="2473" spans="1:27" s="1" customFormat="1" x14ac:dyDescent="0.3">
      <c r="A2473"/>
      <c r="B2473"/>
      <c r="C2473"/>
      <c r="D2473"/>
      <c r="E2473"/>
      <c r="F2473"/>
      <c r="G2473"/>
      <c r="H2473"/>
      <c r="I2473"/>
      <c r="J2473"/>
      <c r="K2473"/>
      <c r="L2473"/>
      <c r="M2473"/>
      <c r="N2473"/>
      <c r="O2473"/>
      <c r="P2473"/>
      <c r="Q2473"/>
      <c r="R2473"/>
      <c r="S2473"/>
      <c r="T2473"/>
      <c r="U2473"/>
      <c r="V2473"/>
      <c r="W2473"/>
      <c r="X2473"/>
      <c r="Y2473"/>
      <c r="Z2473"/>
      <c r="AA2473"/>
    </row>
    <row r="2474" spans="1:27" s="1" customFormat="1" x14ac:dyDescent="0.3">
      <c r="A2474"/>
      <c r="B2474"/>
      <c r="C2474"/>
      <c r="D2474"/>
      <c r="E2474"/>
      <c r="F2474"/>
      <c r="G2474"/>
      <c r="H2474"/>
      <c r="I2474"/>
      <c r="J2474"/>
      <c r="K2474"/>
      <c r="L2474"/>
      <c r="M2474"/>
      <c r="N2474"/>
      <c r="O2474"/>
      <c r="P2474"/>
      <c r="Q2474"/>
      <c r="R2474"/>
      <c r="S2474"/>
      <c r="T2474"/>
      <c r="U2474"/>
      <c r="V2474"/>
      <c r="W2474"/>
      <c r="X2474"/>
      <c r="Y2474"/>
      <c r="Z2474"/>
      <c r="AA2474"/>
    </row>
    <row r="2475" spans="1:27" s="1" customFormat="1" x14ac:dyDescent="0.3">
      <c r="A2475"/>
      <c r="B2475"/>
      <c r="C2475"/>
      <c r="D2475"/>
      <c r="E2475"/>
      <c r="F2475"/>
      <c r="G2475"/>
      <c r="H2475"/>
      <c r="I2475"/>
      <c r="J2475"/>
      <c r="K2475"/>
      <c r="L2475"/>
      <c r="M2475"/>
      <c r="N2475"/>
      <c r="O2475"/>
      <c r="P2475"/>
      <c r="Q2475"/>
      <c r="R2475"/>
      <c r="S2475"/>
      <c r="T2475"/>
      <c r="U2475"/>
      <c r="V2475"/>
      <c r="W2475"/>
      <c r="X2475"/>
      <c r="Y2475"/>
      <c r="Z2475"/>
      <c r="AA2475"/>
    </row>
    <row r="2476" spans="1:27" s="1" customFormat="1" x14ac:dyDescent="0.3">
      <c r="A2476"/>
      <c r="B2476"/>
      <c r="C2476"/>
      <c r="D2476"/>
      <c r="E2476"/>
      <c r="F2476"/>
      <c r="G2476"/>
      <c r="H2476"/>
      <c r="I2476"/>
      <c r="J2476"/>
      <c r="K2476"/>
      <c r="L2476"/>
      <c r="M2476"/>
      <c r="N2476"/>
      <c r="O2476"/>
      <c r="P2476"/>
      <c r="Q2476"/>
      <c r="R2476"/>
      <c r="S2476"/>
      <c r="T2476"/>
      <c r="U2476"/>
      <c r="V2476"/>
      <c r="W2476"/>
      <c r="X2476"/>
      <c r="Y2476"/>
      <c r="Z2476"/>
      <c r="AA2476"/>
    </row>
    <row r="2477" spans="1:27" s="1" customFormat="1" x14ac:dyDescent="0.3">
      <c r="A2477"/>
      <c r="B2477"/>
      <c r="C2477"/>
      <c r="D2477"/>
      <c r="E2477"/>
      <c r="F2477"/>
      <c r="G2477"/>
      <c r="H2477"/>
      <c r="I2477"/>
      <c r="J2477"/>
      <c r="K2477"/>
      <c r="L2477"/>
      <c r="M2477"/>
      <c r="N2477"/>
      <c r="O2477"/>
      <c r="P2477"/>
      <c r="Q2477"/>
      <c r="R2477"/>
      <c r="S2477"/>
      <c r="T2477"/>
      <c r="U2477"/>
      <c r="V2477"/>
      <c r="W2477"/>
      <c r="X2477"/>
      <c r="Y2477"/>
      <c r="Z2477"/>
      <c r="AA2477"/>
    </row>
    <row r="2478" spans="1:27" s="1" customFormat="1" x14ac:dyDescent="0.3">
      <c r="A2478"/>
      <c r="B2478"/>
      <c r="C2478"/>
      <c r="D2478"/>
      <c r="E2478"/>
      <c r="F2478"/>
      <c r="G2478"/>
      <c r="H2478"/>
      <c r="I2478"/>
      <c r="J2478"/>
      <c r="K2478"/>
      <c r="L2478"/>
      <c r="M2478"/>
      <c r="N2478"/>
      <c r="O2478"/>
      <c r="P2478"/>
      <c r="Q2478"/>
      <c r="R2478"/>
      <c r="S2478"/>
      <c r="T2478"/>
      <c r="U2478"/>
      <c r="V2478"/>
      <c r="W2478"/>
      <c r="X2478"/>
      <c r="Y2478"/>
      <c r="Z2478"/>
      <c r="AA2478"/>
    </row>
    <row r="2479" spans="1:27" s="1" customFormat="1" x14ac:dyDescent="0.3">
      <c r="A2479"/>
      <c r="B2479"/>
      <c r="C2479"/>
      <c r="D2479"/>
      <c r="E2479"/>
      <c r="F2479"/>
      <c r="G2479"/>
      <c r="H2479"/>
      <c r="I2479"/>
      <c r="J2479"/>
      <c r="K2479"/>
      <c r="L2479"/>
      <c r="M2479"/>
      <c r="N2479"/>
      <c r="O2479"/>
      <c r="P2479"/>
      <c r="Q2479"/>
      <c r="R2479"/>
      <c r="S2479"/>
      <c r="T2479"/>
      <c r="U2479"/>
      <c r="V2479"/>
      <c r="W2479"/>
      <c r="X2479"/>
      <c r="Y2479"/>
      <c r="Z2479"/>
      <c r="AA2479"/>
    </row>
    <row r="2480" spans="1:27" x14ac:dyDescent="0.3">
      <c r="A2480"/>
    </row>
    <row r="2481" spans="1:1" x14ac:dyDescent="0.3">
      <c r="A2481"/>
    </row>
    <row r="2482" spans="1:1" x14ac:dyDescent="0.3">
      <c r="A2482"/>
    </row>
    <row r="2483" spans="1:1" x14ac:dyDescent="0.3">
      <c r="A2483"/>
    </row>
    <row r="2484" spans="1:1" x14ac:dyDescent="0.3">
      <c r="A2484"/>
    </row>
    <row r="2485" spans="1:1" x14ac:dyDescent="0.3">
      <c r="A2485"/>
    </row>
    <row r="2486" spans="1:1" x14ac:dyDescent="0.3">
      <c r="A2486"/>
    </row>
    <row r="2487" spans="1:1" x14ac:dyDescent="0.3">
      <c r="A2487"/>
    </row>
    <row r="2488" spans="1:1" x14ac:dyDescent="0.3">
      <c r="A2488"/>
    </row>
    <row r="2489" spans="1:1" x14ac:dyDescent="0.3">
      <c r="A2489"/>
    </row>
    <row r="2490" spans="1:1" x14ac:dyDescent="0.3">
      <c r="A2490"/>
    </row>
    <row r="2491" spans="1:1" x14ac:dyDescent="0.3">
      <c r="A2491"/>
    </row>
    <row r="2492" spans="1:1" x14ac:dyDescent="0.3">
      <c r="A2492"/>
    </row>
    <row r="2493" spans="1:1" x14ac:dyDescent="0.3">
      <c r="A2493"/>
    </row>
    <row r="2494" spans="1:1" x14ac:dyDescent="0.3">
      <c r="A2494"/>
    </row>
    <row r="2495" spans="1:1" x14ac:dyDescent="0.3">
      <c r="A2495"/>
    </row>
    <row r="2496" spans="1:1" x14ac:dyDescent="0.3">
      <c r="A2496"/>
    </row>
    <row r="2497" spans="1:1" x14ac:dyDescent="0.3">
      <c r="A2497"/>
    </row>
    <row r="2498" spans="1:1" x14ac:dyDescent="0.3">
      <c r="A2498"/>
    </row>
    <row r="2499" spans="1:1" x14ac:dyDescent="0.3">
      <c r="A2499"/>
    </row>
    <row r="2500" spans="1:1" x14ac:dyDescent="0.3">
      <c r="A2500"/>
    </row>
    <row r="2501" spans="1:1" x14ac:dyDescent="0.3">
      <c r="A2501"/>
    </row>
    <row r="2502" spans="1:1" x14ac:dyDescent="0.3">
      <c r="A2502"/>
    </row>
    <row r="2503" spans="1:1" x14ac:dyDescent="0.3">
      <c r="A2503"/>
    </row>
    <row r="2504" spans="1:1" x14ac:dyDescent="0.3">
      <c r="A2504"/>
    </row>
    <row r="2505" spans="1:1" x14ac:dyDescent="0.3">
      <c r="A2505"/>
    </row>
    <row r="2506" spans="1:1" x14ac:dyDescent="0.3">
      <c r="A2506"/>
    </row>
    <row r="2507" spans="1:1" x14ac:dyDescent="0.3">
      <c r="A2507"/>
    </row>
    <row r="2508" spans="1:1" x14ac:dyDescent="0.3">
      <c r="A2508"/>
    </row>
    <row r="2509" spans="1:1" x14ac:dyDescent="0.3">
      <c r="A2509"/>
    </row>
    <row r="2510" spans="1:1" x14ac:dyDescent="0.3">
      <c r="A2510"/>
    </row>
    <row r="2511" spans="1:1" x14ac:dyDescent="0.3">
      <c r="A2511"/>
    </row>
    <row r="2512" spans="1:1"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sheetData>
  <sortState ref="A2:AA2985">
    <sortCondition ref="A2"/>
  </sortState>
  <conditionalFormatting sqref="A2985:A1048576 A2:A776">
    <cfRule type="duplicateValues" dxfId="0" priority="1"/>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2"/>
  <sheetViews>
    <sheetView topLeftCell="A54" workbookViewId="0">
      <selection activeCell="A9" sqref="A9:B78"/>
    </sheetView>
  </sheetViews>
  <sheetFormatPr defaultRowHeight="14.4" x14ac:dyDescent="0.3"/>
  <cols>
    <col min="1" max="1" width="66.44140625" bestFit="1" customWidth="1"/>
    <col min="2" max="2" width="18.6640625" bestFit="1" customWidth="1"/>
    <col min="3" max="3" width="10.5546875" bestFit="1" customWidth="1"/>
  </cols>
  <sheetData>
    <row r="3" spans="1:2" x14ac:dyDescent="0.3">
      <c r="A3" s="21" t="s">
        <v>2199</v>
      </c>
      <c r="B3" t="s">
        <v>2095</v>
      </c>
    </row>
    <row r="4" spans="1:2" x14ac:dyDescent="0.3">
      <c r="A4" s="22" t="s">
        <v>2080</v>
      </c>
      <c r="B4" s="24">
        <v>165</v>
      </c>
    </row>
    <row r="5" spans="1:2" x14ac:dyDescent="0.3">
      <c r="A5" s="22" t="s">
        <v>2081</v>
      </c>
      <c r="B5" s="24">
        <v>133</v>
      </c>
    </row>
    <row r="6" spans="1:2" x14ac:dyDescent="0.3">
      <c r="A6" s="22" t="s">
        <v>2082</v>
      </c>
      <c r="B6" s="24">
        <v>150</v>
      </c>
    </row>
    <row r="7" spans="1:2" x14ac:dyDescent="0.3">
      <c r="A7" s="22" t="s">
        <v>2083</v>
      </c>
      <c r="B7" s="24">
        <v>167</v>
      </c>
    </row>
    <row r="8" spans="1:2" x14ac:dyDescent="0.3">
      <c r="A8" s="22" t="s">
        <v>2084</v>
      </c>
      <c r="B8" s="24">
        <v>160</v>
      </c>
    </row>
    <row r="9" spans="1:2" x14ac:dyDescent="0.3">
      <c r="A9" s="23" t="s">
        <v>30</v>
      </c>
      <c r="B9" s="24">
        <v>60</v>
      </c>
    </row>
    <row r="10" spans="1:2" x14ac:dyDescent="0.3">
      <c r="A10" s="30" t="s">
        <v>37</v>
      </c>
      <c r="B10" s="24">
        <v>5</v>
      </c>
    </row>
    <row r="11" spans="1:2" x14ac:dyDescent="0.3">
      <c r="A11" s="30" t="s">
        <v>36</v>
      </c>
      <c r="B11" s="24">
        <v>53</v>
      </c>
    </row>
    <row r="12" spans="1:2" x14ac:dyDescent="0.3">
      <c r="A12" s="30" t="s">
        <v>2094</v>
      </c>
      <c r="B12" s="24">
        <v>2</v>
      </c>
    </row>
    <row r="13" spans="1:2" x14ac:dyDescent="0.3">
      <c r="A13" s="23" t="s">
        <v>49</v>
      </c>
      <c r="B13" s="24">
        <v>37</v>
      </c>
    </row>
    <row r="14" spans="1:2" x14ac:dyDescent="0.3">
      <c r="A14" s="30" t="s">
        <v>37</v>
      </c>
      <c r="B14" s="24">
        <v>4</v>
      </c>
    </row>
    <row r="15" spans="1:2" x14ac:dyDescent="0.3">
      <c r="A15" s="30" t="s">
        <v>36</v>
      </c>
      <c r="B15" s="24">
        <v>33</v>
      </c>
    </row>
    <row r="16" spans="1:2" x14ac:dyDescent="0.3">
      <c r="A16" s="23" t="s">
        <v>528</v>
      </c>
      <c r="B16" s="24">
        <v>5</v>
      </c>
    </row>
    <row r="17" spans="1:2" x14ac:dyDescent="0.3">
      <c r="A17" s="30" t="s">
        <v>36</v>
      </c>
      <c r="B17" s="24">
        <v>5</v>
      </c>
    </row>
    <row r="18" spans="1:2" x14ac:dyDescent="0.3">
      <c r="A18" s="23" t="s">
        <v>302</v>
      </c>
      <c r="B18" s="24">
        <v>5</v>
      </c>
    </row>
    <row r="19" spans="1:2" x14ac:dyDescent="0.3">
      <c r="A19" s="30" t="s">
        <v>37</v>
      </c>
      <c r="B19" s="24">
        <v>1</v>
      </c>
    </row>
    <row r="20" spans="1:2" x14ac:dyDescent="0.3">
      <c r="A20" s="30" t="s">
        <v>36</v>
      </c>
      <c r="B20" s="24">
        <v>4</v>
      </c>
    </row>
    <row r="21" spans="1:2" x14ac:dyDescent="0.3">
      <c r="A21" s="23" t="s">
        <v>311</v>
      </c>
      <c r="B21" s="24">
        <v>5</v>
      </c>
    </row>
    <row r="22" spans="1:2" x14ac:dyDescent="0.3">
      <c r="A22" s="30" t="s">
        <v>36</v>
      </c>
      <c r="B22" s="24">
        <v>5</v>
      </c>
    </row>
    <row r="23" spans="1:2" x14ac:dyDescent="0.3">
      <c r="A23" s="23" t="s">
        <v>331</v>
      </c>
      <c r="B23" s="24">
        <v>4</v>
      </c>
    </row>
    <row r="24" spans="1:2" x14ac:dyDescent="0.3">
      <c r="A24" s="30" t="s">
        <v>36</v>
      </c>
      <c r="B24" s="24">
        <v>4</v>
      </c>
    </row>
    <row r="25" spans="1:2" x14ac:dyDescent="0.3">
      <c r="A25" s="23" t="s">
        <v>185</v>
      </c>
      <c r="B25" s="24">
        <v>4</v>
      </c>
    </row>
    <row r="26" spans="1:2" x14ac:dyDescent="0.3">
      <c r="A26" s="30" t="s">
        <v>36</v>
      </c>
      <c r="B26" s="24">
        <v>4</v>
      </c>
    </row>
    <row r="27" spans="1:2" x14ac:dyDescent="0.3">
      <c r="A27" s="23" t="s">
        <v>543</v>
      </c>
      <c r="B27" s="24">
        <v>4</v>
      </c>
    </row>
    <row r="28" spans="1:2" x14ac:dyDescent="0.3">
      <c r="A28" s="30" t="s">
        <v>36</v>
      </c>
      <c r="B28" s="24">
        <v>4</v>
      </c>
    </row>
    <row r="29" spans="1:2" x14ac:dyDescent="0.3">
      <c r="A29" s="23" t="s">
        <v>275</v>
      </c>
      <c r="B29" s="24">
        <v>3</v>
      </c>
    </row>
    <row r="30" spans="1:2" x14ac:dyDescent="0.3">
      <c r="A30" s="30" t="s">
        <v>37</v>
      </c>
      <c r="B30" s="24">
        <v>1</v>
      </c>
    </row>
    <row r="31" spans="1:2" x14ac:dyDescent="0.3">
      <c r="A31" s="30" t="s">
        <v>36</v>
      </c>
      <c r="B31" s="24">
        <v>2</v>
      </c>
    </row>
    <row r="32" spans="1:2" x14ac:dyDescent="0.3">
      <c r="A32" s="23" t="s">
        <v>99</v>
      </c>
      <c r="B32" s="24">
        <v>3</v>
      </c>
    </row>
    <row r="33" spans="1:2" x14ac:dyDescent="0.3">
      <c r="A33" s="30" t="s">
        <v>36</v>
      </c>
      <c r="B33" s="24">
        <v>3</v>
      </c>
    </row>
    <row r="34" spans="1:2" x14ac:dyDescent="0.3">
      <c r="A34" s="23" t="s">
        <v>141</v>
      </c>
      <c r="B34" s="24">
        <v>3</v>
      </c>
    </row>
    <row r="35" spans="1:2" x14ac:dyDescent="0.3">
      <c r="A35" s="30" t="s">
        <v>36</v>
      </c>
      <c r="B35" s="24">
        <v>3</v>
      </c>
    </row>
    <row r="36" spans="1:2" x14ac:dyDescent="0.3">
      <c r="A36" s="23" t="s">
        <v>43</v>
      </c>
      <c r="B36" s="24">
        <v>2</v>
      </c>
    </row>
    <row r="37" spans="1:2" x14ac:dyDescent="0.3">
      <c r="A37" s="30" t="s">
        <v>36</v>
      </c>
      <c r="B37" s="24">
        <v>2</v>
      </c>
    </row>
    <row r="38" spans="1:2" x14ac:dyDescent="0.3">
      <c r="A38" s="23" t="s">
        <v>154</v>
      </c>
      <c r="B38" s="24">
        <v>2</v>
      </c>
    </row>
    <row r="39" spans="1:2" x14ac:dyDescent="0.3">
      <c r="A39" s="30" t="s">
        <v>36</v>
      </c>
      <c r="B39" s="24">
        <v>2</v>
      </c>
    </row>
    <row r="40" spans="1:2" x14ac:dyDescent="0.3">
      <c r="A40" s="23" t="s">
        <v>600</v>
      </c>
      <c r="B40" s="24">
        <v>2</v>
      </c>
    </row>
    <row r="41" spans="1:2" x14ac:dyDescent="0.3">
      <c r="A41" s="30" t="s">
        <v>36</v>
      </c>
      <c r="B41" s="24">
        <v>2</v>
      </c>
    </row>
    <row r="42" spans="1:2" x14ac:dyDescent="0.3">
      <c r="A42" s="23" t="s">
        <v>357</v>
      </c>
      <c r="B42" s="24">
        <v>2</v>
      </c>
    </row>
    <row r="43" spans="1:2" x14ac:dyDescent="0.3">
      <c r="A43" s="30" t="s">
        <v>37</v>
      </c>
      <c r="B43" s="24">
        <v>1</v>
      </c>
    </row>
    <row r="44" spans="1:2" x14ac:dyDescent="0.3">
      <c r="A44" s="30" t="s">
        <v>36</v>
      </c>
      <c r="B44" s="24">
        <v>1</v>
      </c>
    </row>
    <row r="45" spans="1:2" x14ac:dyDescent="0.3">
      <c r="A45" s="23" t="s">
        <v>343</v>
      </c>
      <c r="B45" s="24">
        <v>2</v>
      </c>
    </row>
    <row r="46" spans="1:2" x14ac:dyDescent="0.3">
      <c r="A46" s="30" t="s">
        <v>36</v>
      </c>
      <c r="B46" s="24">
        <v>2</v>
      </c>
    </row>
    <row r="47" spans="1:2" x14ac:dyDescent="0.3">
      <c r="A47" s="23" t="s">
        <v>175</v>
      </c>
      <c r="B47" s="24">
        <v>2</v>
      </c>
    </row>
    <row r="48" spans="1:2" x14ac:dyDescent="0.3">
      <c r="A48" s="30" t="s">
        <v>36</v>
      </c>
      <c r="B48" s="24">
        <v>2</v>
      </c>
    </row>
    <row r="49" spans="1:2" x14ac:dyDescent="0.3">
      <c r="A49" s="23" t="s">
        <v>2041</v>
      </c>
      <c r="B49" s="24">
        <v>1</v>
      </c>
    </row>
    <row r="50" spans="1:2" x14ac:dyDescent="0.3">
      <c r="A50" s="30" t="s">
        <v>36</v>
      </c>
      <c r="B50" s="24">
        <v>1</v>
      </c>
    </row>
    <row r="51" spans="1:2" x14ac:dyDescent="0.3">
      <c r="A51" s="23" t="s">
        <v>256</v>
      </c>
      <c r="B51" s="24">
        <v>1</v>
      </c>
    </row>
    <row r="52" spans="1:2" x14ac:dyDescent="0.3">
      <c r="A52" s="30" t="s">
        <v>36</v>
      </c>
      <c r="B52" s="24">
        <v>1</v>
      </c>
    </row>
    <row r="53" spans="1:2" x14ac:dyDescent="0.3">
      <c r="A53" s="23" t="s">
        <v>1950</v>
      </c>
      <c r="B53" s="24">
        <v>1</v>
      </c>
    </row>
    <row r="54" spans="1:2" x14ac:dyDescent="0.3">
      <c r="A54" s="30" t="s">
        <v>36</v>
      </c>
      <c r="B54" s="24">
        <v>1</v>
      </c>
    </row>
    <row r="55" spans="1:2" x14ac:dyDescent="0.3">
      <c r="A55" s="23" t="s">
        <v>466</v>
      </c>
      <c r="B55" s="24">
        <v>1</v>
      </c>
    </row>
    <row r="56" spans="1:2" x14ac:dyDescent="0.3">
      <c r="A56" s="30" t="s">
        <v>36</v>
      </c>
      <c r="B56" s="24">
        <v>1</v>
      </c>
    </row>
    <row r="57" spans="1:2" x14ac:dyDescent="0.3">
      <c r="A57" s="23" t="s">
        <v>1912</v>
      </c>
      <c r="B57" s="24">
        <v>1</v>
      </c>
    </row>
    <row r="58" spans="1:2" x14ac:dyDescent="0.3">
      <c r="A58" s="30" t="s">
        <v>36</v>
      </c>
      <c r="B58" s="24">
        <v>1</v>
      </c>
    </row>
    <row r="59" spans="1:2" x14ac:dyDescent="0.3">
      <c r="A59" s="23" t="s">
        <v>1956</v>
      </c>
      <c r="B59" s="24">
        <v>1</v>
      </c>
    </row>
    <row r="60" spans="1:2" x14ac:dyDescent="0.3">
      <c r="A60" s="30" t="s">
        <v>36</v>
      </c>
      <c r="B60" s="24">
        <v>1</v>
      </c>
    </row>
    <row r="61" spans="1:2" x14ac:dyDescent="0.3">
      <c r="A61" s="23" t="s">
        <v>946</v>
      </c>
      <c r="B61" s="24">
        <v>1</v>
      </c>
    </row>
    <row r="62" spans="1:2" x14ac:dyDescent="0.3">
      <c r="A62" s="30" t="s">
        <v>36</v>
      </c>
      <c r="B62" s="24">
        <v>1</v>
      </c>
    </row>
    <row r="63" spans="1:2" x14ac:dyDescent="0.3">
      <c r="A63" s="23" t="s">
        <v>901</v>
      </c>
      <c r="B63" s="24">
        <v>1</v>
      </c>
    </row>
    <row r="64" spans="1:2" x14ac:dyDescent="0.3">
      <c r="A64" s="30" t="s">
        <v>36</v>
      </c>
      <c r="B64" s="24">
        <v>1</v>
      </c>
    </row>
    <row r="65" spans="1:2" x14ac:dyDescent="0.3">
      <c r="A65" s="23" t="s">
        <v>2036</v>
      </c>
      <c r="B65" s="24">
        <v>1</v>
      </c>
    </row>
    <row r="66" spans="1:2" x14ac:dyDescent="0.3">
      <c r="A66" s="30" t="s">
        <v>36</v>
      </c>
      <c r="B66" s="24">
        <v>1</v>
      </c>
    </row>
    <row r="67" spans="1:2" x14ac:dyDescent="0.3">
      <c r="A67" s="23" t="s">
        <v>740</v>
      </c>
      <c r="B67" s="24">
        <v>1</v>
      </c>
    </row>
    <row r="68" spans="1:2" x14ac:dyDescent="0.3">
      <c r="A68" s="30" t="s">
        <v>36</v>
      </c>
      <c r="B68" s="24">
        <v>1</v>
      </c>
    </row>
    <row r="69" spans="1:2" x14ac:dyDescent="0.3">
      <c r="A69" s="23" t="s">
        <v>535</v>
      </c>
      <c r="B69" s="24">
        <v>1</v>
      </c>
    </row>
    <row r="70" spans="1:2" x14ac:dyDescent="0.3">
      <c r="A70" s="30" t="s">
        <v>36</v>
      </c>
      <c r="B70" s="24">
        <v>1</v>
      </c>
    </row>
    <row r="71" spans="1:2" x14ac:dyDescent="0.3">
      <c r="A71" s="23" t="s">
        <v>2019</v>
      </c>
      <c r="B71" s="24">
        <v>1</v>
      </c>
    </row>
    <row r="72" spans="1:2" x14ac:dyDescent="0.3">
      <c r="A72" s="30" t="s">
        <v>36</v>
      </c>
      <c r="B72" s="24">
        <v>1</v>
      </c>
    </row>
    <row r="73" spans="1:2" x14ac:dyDescent="0.3">
      <c r="A73" s="23" t="s">
        <v>1942</v>
      </c>
      <c r="B73" s="24">
        <v>1</v>
      </c>
    </row>
    <row r="74" spans="1:2" x14ac:dyDescent="0.3">
      <c r="A74" s="30" t="s">
        <v>36</v>
      </c>
      <c r="B74" s="24">
        <v>1</v>
      </c>
    </row>
    <row r="75" spans="1:2" x14ac:dyDescent="0.3">
      <c r="A75" s="23" t="s">
        <v>162</v>
      </c>
      <c r="B75" s="24">
        <v>1</v>
      </c>
    </row>
    <row r="76" spans="1:2" x14ac:dyDescent="0.3">
      <c r="A76" s="30" t="s">
        <v>36</v>
      </c>
      <c r="B76" s="24">
        <v>1</v>
      </c>
    </row>
    <row r="77" spans="1:2" x14ac:dyDescent="0.3">
      <c r="A77" s="23" t="s">
        <v>657</v>
      </c>
      <c r="B77" s="24">
        <v>1</v>
      </c>
    </row>
    <row r="78" spans="1:2" x14ac:dyDescent="0.3">
      <c r="A78" s="30" t="s">
        <v>36</v>
      </c>
      <c r="B78" s="24">
        <v>1</v>
      </c>
    </row>
    <row r="79" spans="1:2" x14ac:dyDescent="0.3">
      <c r="A79" s="22" t="s">
        <v>2094</v>
      </c>
      <c r="B79" s="24"/>
    </row>
    <row r="80" spans="1:2" x14ac:dyDescent="0.3">
      <c r="A80" s="23" t="s">
        <v>2094</v>
      </c>
      <c r="B80" s="24"/>
    </row>
    <row r="81" spans="1:2" x14ac:dyDescent="0.3">
      <c r="A81" s="30" t="s">
        <v>2094</v>
      </c>
      <c r="B81" s="24"/>
    </row>
    <row r="82" spans="1:2" x14ac:dyDescent="0.3">
      <c r="A82" s="22" t="s">
        <v>2085</v>
      </c>
      <c r="B82" s="24">
        <v>775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B444"/>
  <sheetViews>
    <sheetView zoomScaleNormal="100" workbookViewId="0">
      <selection activeCell="B15" sqref="B15"/>
    </sheetView>
  </sheetViews>
  <sheetFormatPr defaultRowHeight="14.4" x14ac:dyDescent="0.3"/>
  <cols>
    <col min="1" max="1" width="15.109375" customWidth="1"/>
    <col min="2" max="2" width="21.109375" bestFit="1" customWidth="1"/>
    <col min="20" max="20" width="26.5546875" customWidth="1"/>
    <col min="23" max="23" width="9.33203125" bestFit="1" customWidth="1"/>
    <col min="27" max="27" width="52.6640625" customWidth="1"/>
  </cols>
  <sheetData>
    <row r="3" spans="1:2" x14ac:dyDescent="0.3">
      <c r="A3" s="7" t="s">
        <v>2076</v>
      </c>
      <c r="B3" s="10" t="s">
        <v>2086</v>
      </c>
    </row>
    <row r="4" spans="1:2" x14ac:dyDescent="0.3">
      <c r="A4" s="7" t="s">
        <v>2080</v>
      </c>
      <c r="B4" s="24">
        <v>165</v>
      </c>
    </row>
    <row r="5" spans="1:2" x14ac:dyDescent="0.3">
      <c r="A5" s="8" t="s">
        <v>2081</v>
      </c>
      <c r="B5" s="24">
        <v>133</v>
      </c>
    </row>
    <row r="6" spans="1:2" x14ac:dyDescent="0.3">
      <c r="A6" s="8" t="s">
        <v>2082</v>
      </c>
      <c r="B6" s="24">
        <v>150</v>
      </c>
    </row>
    <row r="7" spans="1:2" x14ac:dyDescent="0.3">
      <c r="A7" s="8" t="s">
        <v>2083</v>
      </c>
      <c r="B7" s="24">
        <v>167</v>
      </c>
    </row>
    <row r="8" spans="1:2" x14ac:dyDescent="0.3">
      <c r="A8" s="8" t="s">
        <v>2084</v>
      </c>
      <c r="B8" s="24">
        <v>160</v>
      </c>
    </row>
    <row r="9" spans="1:2" x14ac:dyDescent="0.3">
      <c r="A9" s="9" t="s">
        <v>2085</v>
      </c>
      <c r="B9" s="12">
        <v>2984</v>
      </c>
    </row>
    <row r="33" spans="1:4" x14ac:dyDescent="0.3">
      <c r="A33" s="13" t="s">
        <v>2076</v>
      </c>
      <c r="B33" s="13" t="s">
        <v>250</v>
      </c>
      <c r="C33" s="13" t="s">
        <v>32</v>
      </c>
      <c r="D33" s="13" t="s">
        <v>710</v>
      </c>
    </row>
    <row r="34" spans="1:4" x14ac:dyDescent="0.3">
      <c r="A34" s="13" t="s">
        <v>2080</v>
      </c>
      <c r="B34" s="24">
        <v>16</v>
      </c>
      <c r="C34" s="14">
        <v>143</v>
      </c>
      <c r="D34" s="14">
        <v>1</v>
      </c>
    </row>
    <row r="35" spans="1:4" x14ac:dyDescent="0.3">
      <c r="A35" s="13" t="s">
        <v>2081</v>
      </c>
      <c r="B35" s="24">
        <v>11</v>
      </c>
      <c r="C35" s="24">
        <v>106</v>
      </c>
      <c r="D35" s="14">
        <v>16</v>
      </c>
    </row>
    <row r="36" spans="1:4" x14ac:dyDescent="0.3">
      <c r="A36" s="13" t="s">
        <v>2082</v>
      </c>
      <c r="B36" s="24">
        <v>22</v>
      </c>
      <c r="C36" s="24">
        <v>102</v>
      </c>
      <c r="D36" s="14">
        <v>26</v>
      </c>
    </row>
    <row r="37" spans="1:4" x14ac:dyDescent="0.3">
      <c r="A37" s="13" t="s">
        <v>2083</v>
      </c>
      <c r="B37" s="24">
        <v>12</v>
      </c>
      <c r="C37" s="24">
        <v>113</v>
      </c>
      <c r="D37" s="14">
        <v>42</v>
      </c>
    </row>
    <row r="38" spans="1:4" x14ac:dyDescent="0.3">
      <c r="A38" s="13" t="s">
        <v>2084</v>
      </c>
      <c r="B38" s="24">
        <v>19</v>
      </c>
      <c r="C38" s="24">
        <v>97</v>
      </c>
      <c r="D38" s="14">
        <v>44</v>
      </c>
    </row>
    <row r="71" spans="1:4" x14ac:dyDescent="0.3">
      <c r="A71" s="13" t="s">
        <v>2076</v>
      </c>
      <c r="B71" s="13" t="s">
        <v>149</v>
      </c>
      <c r="C71" s="13" t="s">
        <v>33</v>
      </c>
      <c r="D71" s="13" t="s">
        <v>89</v>
      </c>
    </row>
    <row r="72" spans="1:4" x14ac:dyDescent="0.3">
      <c r="A72" s="13" t="s">
        <v>2080</v>
      </c>
      <c r="B72" s="24">
        <v>32</v>
      </c>
      <c r="C72" s="14">
        <v>98</v>
      </c>
      <c r="D72" s="14">
        <v>35</v>
      </c>
    </row>
    <row r="73" spans="1:4" x14ac:dyDescent="0.3">
      <c r="A73" s="13" t="s">
        <v>2081</v>
      </c>
      <c r="B73" s="24">
        <v>24</v>
      </c>
      <c r="C73" s="14">
        <v>76</v>
      </c>
      <c r="D73" s="14">
        <v>33</v>
      </c>
    </row>
    <row r="74" spans="1:4" x14ac:dyDescent="0.3">
      <c r="A74" s="13" t="s">
        <v>2082</v>
      </c>
      <c r="B74" s="14">
        <v>33</v>
      </c>
      <c r="C74" s="14">
        <v>73</v>
      </c>
      <c r="D74" s="14">
        <v>44</v>
      </c>
    </row>
    <row r="75" spans="1:4" x14ac:dyDescent="0.3">
      <c r="A75" s="13" t="s">
        <v>2083</v>
      </c>
      <c r="B75" s="14">
        <v>22</v>
      </c>
      <c r="C75" s="14">
        <v>109</v>
      </c>
      <c r="D75" s="14">
        <v>36</v>
      </c>
    </row>
    <row r="76" spans="1:4" x14ac:dyDescent="0.3">
      <c r="A76" s="13" t="s">
        <v>2084</v>
      </c>
      <c r="B76" s="14">
        <v>26</v>
      </c>
      <c r="C76" s="14">
        <v>94</v>
      </c>
      <c r="D76" s="14">
        <v>40</v>
      </c>
    </row>
    <row r="109" spans="1:8" x14ac:dyDescent="0.3">
      <c r="A109" s="13" t="s">
        <v>2076</v>
      </c>
      <c r="B109" s="13" t="s">
        <v>149</v>
      </c>
      <c r="C109" s="13" t="s">
        <v>33</v>
      </c>
      <c r="D109" s="13" t="s">
        <v>89</v>
      </c>
      <c r="E109" s="15" t="s">
        <v>2086</v>
      </c>
      <c r="F109" s="13" t="s">
        <v>2091</v>
      </c>
      <c r="G109" s="13" t="s">
        <v>2092</v>
      </c>
      <c r="H109" s="13" t="s">
        <v>2093</v>
      </c>
    </row>
    <row r="110" spans="1:8" x14ac:dyDescent="0.3">
      <c r="A110" s="13" t="s">
        <v>2080</v>
      </c>
      <c r="B110" s="14">
        <v>32</v>
      </c>
      <c r="C110" s="14">
        <v>98</v>
      </c>
      <c r="D110" s="14">
        <v>35</v>
      </c>
      <c r="E110" s="13">
        <f>D110+C110+B110</f>
        <v>165</v>
      </c>
      <c r="F110" s="16">
        <f>B110/E110</f>
        <v>0.19393939393939394</v>
      </c>
      <c r="G110" s="16">
        <f>C110/E110</f>
        <v>0.59393939393939399</v>
      </c>
      <c r="H110" s="16">
        <f>D110/E110</f>
        <v>0.21212121212121213</v>
      </c>
    </row>
    <row r="111" spans="1:8" x14ac:dyDescent="0.3">
      <c r="A111" s="13" t="s">
        <v>2081</v>
      </c>
      <c r="B111" s="14">
        <v>24</v>
      </c>
      <c r="C111" s="14">
        <v>76</v>
      </c>
      <c r="D111" s="14">
        <v>33</v>
      </c>
      <c r="E111" s="13">
        <f t="shared" ref="E111:E114" si="0">D111+C111+B111</f>
        <v>133</v>
      </c>
      <c r="F111" s="16">
        <f t="shared" ref="F111:F114" si="1">B111/E111</f>
        <v>0.18045112781954886</v>
      </c>
      <c r="G111" s="16">
        <f t="shared" ref="G111:G114" si="2">C111/E111</f>
        <v>0.5714285714285714</v>
      </c>
      <c r="H111" s="16">
        <f t="shared" ref="H111:H114" si="3">D111/E111</f>
        <v>0.24812030075187969</v>
      </c>
    </row>
    <row r="112" spans="1:8" x14ac:dyDescent="0.3">
      <c r="A112" s="13" t="s">
        <v>2082</v>
      </c>
      <c r="B112" s="14">
        <v>33</v>
      </c>
      <c r="C112" s="14">
        <v>73</v>
      </c>
      <c r="D112" s="14">
        <v>44</v>
      </c>
      <c r="E112" s="13">
        <f t="shared" si="0"/>
        <v>150</v>
      </c>
      <c r="F112" s="16">
        <f t="shared" si="1"/>
        <v>0.22</v>
      </c>
      <c r="G112" s="16">
        <f t="shared" si="2"/>
        <v>0.48666666666666669</v>
      </c>
      <c r="H112" s="16">
        <f t="shared" si="3"/>
        <v>0.29333333333333333</v>
      </c>
    </row>
    <row r="113" spans="1:8" x14ac:dyDescent="0.3">
      <c r="A113" s="13" t="s">
        <v>2083</v>
      </c>
      <c r="B113" s="14">
        <v>22</v>
      </c>
      <c r="C113" s="14">
        <v>109</v>
      </c>
      <c r="D113" s="14">
        <v>36</v>
      </c>
      <c r="E113" s="13">
        <f t="shared" si="0"/>
        <v>167</v>
      </c>
      <c r="F113" s="16">
        <f t="shared" si="1"/>
        <v>0.1317365269461078</v>
      </c>
      <c r="G113" s="16">
        <f t="shared" si="2"/>
        <v>0.65269461077844315</v>
      </c>
      <c r="H113" s="16">
        <f t="shared" si="3"/>
        <v>0.21556886227544911</v>
      </c>
    </row>
    <row r="114" spans="1:8" x14ac:dyDescent="0.3">
      <c r="A114" s="13" t="s">
        <v>2084</v>
      </c>
      <c r="B114" s="14">
        <v>26</v>
      </c>
      <c r="C114" s="14">
        <v>94</v>
      </c>
      <c r="D114" s="14">
        <v>40</v>
      </c>
      <c r="E114" s="13">
        <f t="shared" si="0"/>
        <v>160</v>
      </c>
      <c r="F114" s="16">
        <f t="shared" si="1"/>
        <v>0.16250000000000001</v>
      </c>
      <c r="G114" s="16">
        <f t="shared" si="2"/>
        <v>0.58750000000000002</v>
      </c>
      <c r="H114" s="16">
        <f t="shared" si="3"/>
        <v>0.25</v>
      </c>
    </row>
    <row r="147" spans="1:3" x14ac:dyDescent="0.3">
      <c r="A147" s="13" t="s">
        <v>2076</v>
      </c>
      <c r="B147" s="13" t="s">
        <v>22</v>
      </c>
      <c r="C147" s="13" t="s">
        <v>2087</v>
      </c>
    </row>
    <row r="148" spans="1:3" x14ac:dyDescent="0.3">
      <c r="A148" s="13" t="s">
        <v>2080</v>
      </c>
      <c r="B148" s="14">
        <v>138</v>
      </c>
      <c r="C148" s="14">
        <v>21</v>
      </c>
    </row>
    <row r="149" spans="1:3" x14ac:dyDescent="0.3">
      <c r="A149" s="13" t="s">
        <v>2081</v>
      </c>
      <c r="B149" s="14">
        <v>116</v>
      </c>
      <c r="C149" s="14">
        <v>11</v>
      </c>
    </row>
    <row r="150" spans="1:3" x14ac:dyDescent="0.3">
      <c r="A150" s="13" t="s">
        <v>2082</v>
      </c>
      <c r="B150" s="14">
        <v>132</v>
      </c>
      <c r="C150" s="14">
        <v>18</v>
      </c>
    </row>
    <row r="151" spans="1:3" x14ac:dyDescent="0.3">
      <c r="A151" s="13" t="s">
        <v>2083</v>
      </c>
      <c r="B151" s="14">
        <v>141</v>
      </c>
      <c r="C151" s="14">
        <v>18</v>
      </c>
    </row>
    <row r="152" spans="1:3" x14ac:dyDescent="0.3">
      <c r="A152" s="13" t="s">
        <v>2084</v>
      </c>
      <c r="B152" s="14">
        <v>146</v>
      </c>
      <c r="C152" s="14">
        <v>12</v>
      </c>
    </row>
    <row r="185" spans="1:6" x14ac:dyDescent="0.3">
      <c r="A185" s="13" t="s">
        <v>2088</v>
      </c>
      <c r="B185" s="13" t="s">
        <v>22</v>
      </c>
      <c r="C185" s="13" t="s">
        <v>2087</v>
      </c>
      <c r="D185" s="15" t="s">
        <v>2086</v>
      </c>
      <c r="E185" s="15" t="s">
        <v>2090</v>
      </c>
      <c r="F185" s="15" t="s">
        <v>2089</v>
      </c>
    </row>
    <row r="186" spans="1:6" x14ac:dyDescent="0.3">
      <c r="A186" s="13" t="s">
        <v>32</v>
      </c>
      <c r="B186" s="14">
        <v>90</v>
      </c>
      <c r="C186" s="14">
        <v>5</v>
      </c>
      <c r="D186" s="13">
        <f>C186+B186</f>
        <v>95</v>
      </c>
      <c r="E186" s="16">
        <f>B186/D186</f>
        <v>0.94736842105263153</v>
      </c>
      <c r="F186" s="16">
        <f>C186/D186</f>
        <v>5.2631578947368418E-2</v>
      </c>
    </row>
    <row r="187" spans="1:6" x14ac:dyDescent="0.3">
      <c r="A187" s="13" t="s">
        <v>710</v>
      </c>
      <c r="B187" s="14">
        <v>38</v>
      </c>
      <c r="C187" s="14">
        <v>6</v>
      </c>
      <c r="D187" s="13">
        <f t="shared" ref="D187:D188" si="4">C187+B187</f>
        <v>44</v>
      </c>
      <c r="E187" s="16">
        <f t="shared" ref="E187:E188" si="5">B187/D187</f>
        <v>0.86363636363636365</v>
      </c>
      <c r="F187" s="16">
        <f>C187/D187</f>
        <v>0.13636363636363635</v>
      </c>
    </row>
    <row r="188" spans="1:6" x14ac:dyDescent="0.3">
      <c r="A188" s="15" t="s">
        <v>250</v>
      </c>
      <c r="B188" s="14">
        <v>18</v>
      </c>
      <c r="C188" s="14">
        <v>1</v>
      </c>
      <c r="D188" s="13">
        <f t="shared" si="4"/>
        <v>19</v>
      </c>
      <c r="E188" s="16">
        <f t="shared" si="5"/>
        <v>0.94736842105263153</v>
      </c>
      <c r="F188" s="16">
        <f>C188/D188</f>
        <v>5.2631578947368418E-2</v>
      </c>
    </row>
    <row r="221" spans="1:2" x14ac:dyDescent="0.3">
      <c r="A221" s="23" t="s">
        <v>203</v>
      </c>
      <c r="B221" s="24">
        <v>27</v>
      </c>
    </row>
    <row r="222" spans="1:2" x14ac:dyDescent="0.3">
      <c r="A222" s="23" t="s">
        <v>118</v>
      </c>
      <c r="B222" s="24">
        <v>22</v>
      </c>
    </row>
    <row r="223" spans="1:2" x14ac:dyDescent="0.3">
      <c r="A223" s="23" t="s">
        <v>216</v>
      </c>
      <c r="B223" s="24">
        <v>15</v>
      </c>
    </row>
    <row r="224" spans="1:2" x14ac:dyDescent="0.3">
      <c r="A224" s="23" t="s">
        <v>88</v>
      </c>
      <c r="B224" s="24">
        <v>10</v>
      </c>
    </row>
    <row r="225" spans="1:2" x14ac:dyDescent="0.3">
      <c r="A225" s="23" t="s">
        <v>200</v>
      </c>
      <c r="B225" s="24">
        <v>9</v>
      </c>
    </row>
    <row r="226" spans="1:2" x14ac:dyDescent="0.3">
      <c r="A226" s="23" t="s">
        <v>29</v>
      </c>
      <c r="B226" s="24">
        <v>7</v>
      </c>
    </row>
    <row r="227" spans="1:2" x14ac:dyDescent="0.3">
      <c r="A227" s="23" t="s">
        <v>83</v>
      </c>
      <c r="B227" s="24">
        <v>6</v>
      </c>
    </row>
    <row r="228" spans="1:2" x14ac:dyDescent="0.3">
      <c r="A228" s="23" t="s">
        <v>205</v>
      </c>
      <c r="B228" s="24">
        <v>6</v>
      </c>
    </row>
    <row r="229" spans="1:2" x14ac:dyDescent="0.3">
      <c r="A229" s="23" t="s">
        <v>80</v>
      </c>
      <c r="B229" s="24">
        <v>5</v>
      </c>
    </row>
    <row r="230" spans="1:2" x14ac:dyDescent="0.3">
      <c r="A230" s="23" t="s">
        <v>219</v>
      </c>
      <c r="B230" s="24">
        <v>4</v>
      </c>
    </row>
    <row r="231" spans="1:2" x14ac:dyDescent="0.3">
      <c r="A231" s="23" t="s">
        <v>56</v>
      </c>
      <c r="B231" s="24">
        <v>4</v>
      </c>
    </row>
    <row r="232" spans="1:2" x14ac:dyDescent="0.3">
      <c r="A232" s="23" t="s">
        <v>48</v>
      </c>
      <c r="B232" s="24">
        <v>4</v>
      </c>
    </row>
    <row r="233" spans="1:2" x14ac:dyDescent="0.3">
      <c r="A233" s="23" t="s">
        <v>214</v>
      </c>
      <c r="B233" s="24">
        <v>4</v>
      </c>
    </row>
    <row r="234" spans="1:2" x14ac:dyDescent="0.3">
      <c r="A234" s="23" t="s">
        <v>68</v>
      </c>
      <c r="B234" s="24">
        <v>3</v>
      </c>
    </row>
    <row r="235" spans="1:2" x14ac:dyDescent="0.3">
      <c r="A235" s="23" t="s">
        <v>42</v>
      </c>
      <c r="B235" s="24">
        <v>3</v>
      </c>
    </row>
    <row r="236" spans="1:2" x14ac:dyDescent="0.3">
      <c r="A236" s="23" t="s">
        <v>213</v>
      </c>
      <c r="B236" s="24">
        <v>3</v>
      </c>
    </row>
    <row r="237" spans="1:2" x14ac:dyDescent="0.3">
      <c r="A237" s="23" t="s">
        <v>174</v>
      </c>
      <c r="B237" s="24">
        <v>3</v>
      </c>
    </row>
    <row r="238" spans="1:2" x14ac:dyDescent="0.3">
      <c r="A238" s="23" t="s">
        <v>221</v>
      </c>
      <c r="B238" s="24">
        <v>3</v>
      </c>
    </row>
    <row r="239" spans="1:2" x14ac:dyDescent="0.3">
      <c r="A239" s="23" t="s">
        <v>169</v>
      </c>
      <c r="B239" s="24">
        <v>3</v>
      </c>
    </row>
    <row r="240" spans="1:2" x14ac:dyDescent="0.3">
      <c r="A240" s="23" t="s">
        <v>212</v>
      </c>
      <c r="B240" s="24">
        <v>3</v>
      </c>
    </row>
    <row r="241" spans="1:24" x14ac:dyDescent="0.3">
      <c r="A241" s="23" t="s">
        <v>208</v>
      </c>
      <c r="B241" s="24">
        <v>2</v>
      </c>
    </row>
    <row r="242" spans="1:24" x14ac:dyDescent="0.3">
      <c r="A242" s="23" t="s">
        <v>215</v>
      </c>
      <c r="B242" s="24">
        <v>2</v>
      </c>
    </row>
    <row r="243" spans="1:24" x14ac:dyDescent="0.3">
      <c r="A243" s="23" t="s">
        <v>153</v>
      </c>
      <c r="B243" s="24">
        <v>2</v>
      </c>
    </row>
    <row r="244" spans="1:24" x14ac:dyDescent="0.3">
      <c r="A244" s="23" t="s">
        <v>158</v>
      </c>
      <c r="B244" s="24">
        <v>2</v>
      </c>
    </row>
    <row r="245" spans="1:24" x14ac:dyDescent="0.3">
      <c r="A245" s="23" t="s">
        <v>217</v>
      </c>
      <c r="B245" s="24">
        <v>2</v>
      </c>
    </row>
    <row r="246" spans="1:24" x14ac:dyDescent="0.3">
      <c r="A246" s="23" t="s">
        <v>75</v>
      </c>
      <c r="B246" s="24">
        <v>1</v>
      </c>
    </row>
    <row r="247" spans="1:24" x14ac:dyDescent="0.3">
      <c r="A247" s="23" t="s">
        <v>222</v>
      </c>
      <c r="B247" s="24">
        <v>1</v>
      </c>
    </row>
    <row r="248" spans="1:24" x14ac:dyDescent="0.3">
      <c r="A248" s="23" t="s">
        <v>211</v>
      </c>
      <c r="B248" s="24">
        <v>1</v>
      </c>
    </row>
    <row r="249" spans="1:24" x14ac:dyDescent="0.3">
      <c r="A249" s="23" t="s">
        <v>204</v>
      </c>
      <c r="B249" s="24">
        <v>1</v>
      </c>
    </row>
    <row r="250" spans="1:24" x14ac:dyDescent="0.3">
      <c r="A250" s="23" t="s">
        <v>206</v>
      </c>
      <c r="B250" s="24">
        <v>1</v>
      </c>
    </row>
    <row r="251" spans="1:24" x14ac:dyDescent="0.3">
      <c r="A251" s="23" t="s">
        <v>161</v>
      </c>
      <c r="B251" s="24">
        <v>1</v>
      </c>
    </row>
    <row r="252" spans="1:24" x14ac:dyDescent="0.3">
      <c r="A252" s="17"/>
      <c r="B252" s="18"/>
      <c r="T252" s="23" t="s">
        <v>40</v>
      </c>
      <c r="U252" s="24">
        <v>27</v>
      </c>
      <c r="W252" s="23"/>
      <c r="X252" s="24"/>
    </row>
    <row r="253" spans="1:24" x14ac:dyDescent="0.3">
      <c r="A253" s="17"/>
      <c r="B253" s="18"/>
      <c r="T253" s="23" t="s">
        <v>93</v>
      </c>
      <c r="U253" s="24">
        <v>20</v>
      </c>
      <c r="W253" s="23"/>
      <c r="X253" s="24"/>
    </row>
    <row r="254" spans="1:24" x14ac:dyDescent="0.3">
      <c r="A254" s="17"/>
      <c r="B254" s="18"/>
      <c r="T254" s="23" t="s">
        <v>179</v>
      </c>
      <c r="U254" s="24">
        <v>20</v>
      </c>
      <c r="W254" s="23"/>
      <c r="X254" s="24"/>
    </row>
    <row r="255" spans="1:24" x14ac:dyDescent="0.3">
      <c r="A255" s="17"/>
      <c r="B255" s="18"/>
      <c r="T255" s="23" t="s">
        <v>231</v>
      </c>
      <c r="U255" s="24">
        <v>9</v>
      </c>
      <c r="W255" s="23"/>
      <c r="X255" s="24"/>
    </row>
    <row r="256" spans="1:24" x14ac:dyDescent="0.3">
      <c r="A256" s="17"/>
      <c r="B256" s="18"/>
      <c r="T256" s="23" t="s">
        <v>187</v>
      </c>
      <c r="U256" s="24">
        <v>9</v>
      </c>
      <c r="W256" s="23"/>
      <c r="X256" s="24"/>
    </row>
    <row r="257" spans="1:24" x14ac:dyDescent="0.3">
      <c r="A257" s="17"/>
      <c r="B257" s="18"/>
      <c r="T257" s="23" t="s">
        <v>358</v>
      </c>
      <c r="U257" s="24">
        <v>6</v>
      </c>
      <c r="W257" s="23"/>
      <c r="X257" s="24"/>
    </row>
    <row r="258" spans="1:24" x14ac:dyDescent="0.3">
      <c r="A258" s="17"/>
      <c r="B258" s="18"/>
      <c r="T258" s="23" t="s">
        <v>102</v>
      </c>
      <c r="U258" s="24">
        <v>4</v>
      </c>
      <c r="W258" s="23"/>
      <c r="X258" s="24"/>
    </row>
    <row r="259" spans="1:24" x14ac:dyDescent="0.3">
      <c r="A259" s="17"/>
      <c r="B259" s="18"/>
      <c r="T259" s="23" t="s">
        <v>660</v>
      </c>
      <c r="U259" s="24">
        <v>2</v>
      </c>
      <c r="W259" s="23"/>
      <c r="X259" s="24"/>
    </row>
    <row r="260" spans="1:24" x14ac:dyDescent="0.3">
      <c r="A260" s="17"/>
      <c r="B260" s="18"/>
      <c r="T260" s="23" t="s">
        <v>676</v>
      </c>
      <c r="U260" s="24">
        <v>2</v>
      </c>
      <c r="W260" s="23"/>
      <c r="X260" s="24"/>
    </row>
    <row r="261" spans="1:24" x14ac:dyDescent="0.3">
      <c r="A261" s="17"/>
      <c r="B261" s="18"/>
      <c r="T261" s="23" t="s">
        <v>255</v>
      </c>
      <c r="U261" s="24">
        <v>2</v>
      </c>
      <c r="W261" s="23"/>
      <c r="X261" s="24"/>
    </row>
    <row r="262" spans="1:24" x14ac:dyDescent="0.3">
      <c r="A262" s="17"/>
      <c r="B262" s="18"/>
      <c r="T262" s="23" t="s">
        <v>346</v>
      </c>
      <c r="U262" s="24">
        <v>2</v>
      </c>
      <c r="W262" s="23"/>
      <c r="X262" s="24"/>
    </row>
    <row r="263" spans="1:24" x14ac:dyDescent="0.3">
      <c r="A263" s="17"/>
      <c r="B263" s="18"/>
      <c r="T263" s="23" t="s">
        <v>157</v>
      </c>
      <c r="U263" s="24">
        <v>2</v>
      </c>
      <c r="W263" s="23"/>
      <c r="X263" s="24"/>
    </row>
    <row r="264" spans="1:24" x14ac:dyDescent="0.3">
      <c r="A264" s="17"/>
      <c r="B264" s="18"/>
      <c r="T264" s="23" t="s">
        <v>777</v>
      </c>
      <c r="U264" s="24">
        <v>1</v>
      </c>
      <c r="W264" s="23"/>
      <c r="X264" s="24"/>
    </row>
    <row r="265" spans="1:24" x14ac:dyDescent="0.3">
      <c r="A265" s="17"/>
      <c r="B265" s="18"/>
      <c r="T265" s="23" t="s">
        <v>1943</v>
      </c>
      <c r="U265" s="24">
        <v>1</v>
      </c>
      <c r="W265" s="23"/>
      <c r="X265" s="24"/>
    </row>
    <row r="266" spans="1:24" x14ac:dyDescent="0.3">
      <c r="A266" s="17"/>
      <c r="B266" s="18"/>
      <c r="T266" s="23" t="s">
        <v>744</v>
      </c>
      <c r="U266" s="24">
        <v>1</v>
      </c>
      <c r="W266" s="23"/>
      <c r="X266" s="24"/>
    </row>
    <row r="267" spans="1:24" x14ac:dyDescent="0.3">
      <c r="A267" s="17"/>
      <c r="B267" s="18"/>
      <c r="T267" s="23" t="s">
        <v>45</v>
      </c>
      <c r="U267" s="24">
        <v>1</v>
      </c>
      <c r="W267" s="23"/>
      <c r="X267" s="24"/>
    </row>
    <row r="268" spans="1:24" x14ac:dyDescent="0.3">
      <c r="A268" s="17"/>
      <c r="B268" s="18"/>
      <c r="T268" s="23" t="s">
        <v>144</v>
      </c>
      <c r="U268" s="24">
        <v>1</v>
      </c>
      <c r="W268" s="23"/>
      <c r="X268" s="24"/>
    </row>
    <row r="269" spans="1:24" x14ac:dyDescent="0.3">
      <c r="A269" s="17"/>
      <c r="B269" s="18"/>
      <c r="T269" s="23" t="s">
        <v>481</v>
      </c>
      <c r="U269" s="24">
        <v>1</v>
      </c>
      <c r="W269" s="23"/>
      <c r="X269" s="24"/>
    </row>
    <row r="270" spans="1:24" x14ac:dyDescent="0.3">
      <c r="A270" s="17"/>
      <c r="B270" s="18"/>
      <c r="T270" s="23" t="s">
        <v>1960</v>
      </c>
      <c r="U270" s="24">
        <v>1</v>
      </c>
      <c r="W270" s="23"/>
      <c r="X270" s="24"/>
    </row>
    <row r="271" spans="1:24" x14ac:dyDescent="0.3">
      <c r="A271" s="17"/>
      <c r="B271" s="18"/>
      <c r="T271" s="23" t="s">
        <v>1964</v>
      </c>
      <c r="U271" s="24">
        <v>1</v>
      </c>
      <c r="W271" s="23"/>
      <c r="X271" s="24"/>
    </row>
    <row r="272" spans="1:24" x14ac:dyDescent="0.3">
      <c r="A272" s="17"/>
      <c r="B272" s="18"/>
    </row>
    <row r="273" spans="1:21" x14ac:dyDescent="0.3">
      <c r="A273" s="17"/>
      <c r="B273" s="18"/>
    </row>
    <row r="274" spans="1:21" x14ac:dyDescent="0.3">
      <c r="A274" s="17"/>
      <c r="B274" s="18"/>
    </row>
    <row r="275" spans="1:21" x14ac:dyDescent="0.3">
      <c r="A275" s="17"/>
      <c r="B275" s="18"/>
    </row>
    <row r="276" spans="1:21" x14ac:dyDescent="0.3">
      <c r="A276" s="17"/>
      <c r="B276" s="18"/>
    </row>
    <row r="277" spans="1:21" x14ac:dyDescent="0.3">
      <c r="A277" s="17"/>
      <c r="B277" s="18"/>
      <c r="T277" s="8"/>
      <c r="U277" s="11"/>
    </row>
    <row r="278" spans="1:21" x14ac:dyDescent="0.3">
      <c r="A278" s="17"/>
      <c r="B278" s="18"/>
    </row>
    <row r="279" spans="1:21" x14ac:dyDescent="0.3">
      <c r="A279" s="17"/>
      <c r="B279" s="18"/>
      <c r="T279" s="8"/>
      <c r="U279" s="11"/>
    </row>
    <row r="280" spans="1:21" x14ac:dyDescent="0.3">
      <c r="A280" s="17"/>
      <c r="B280" s="18"/>
      <c r="T280" s="8"/>
      <c r="U280" s="11"/>
    </row>
    <row r="281" spans="1:21" x14ac:dyDescent="0.3">
      <c r="A281" s="17"/>
      <c r="B281" s="18"/>
    </row>
    <row r="282" spans="1:21" x14ac:dyDescent="0.3">
      <c r="A282" s="17"/>
      <c r="B282" s="18"/>
    </row>
    <row r="283" spans="1:21" x14ac:dyDescent="0.3">
      <c r="A283" s="17"/>
      <c r="B283" s="18"/>
      <c r="T283" s="13" t="s">
        <v>179</v>
      </c>
      <c r="U283" s="14">
        <v>51</v>
      </c>
    </row>
    <row r="284" spans="1:21" x14ac:dyDescent="0.3">
      <c r="A284" s="17"/>
      <c r="B284" s="18"/>
      <c r="T284" s="13" t="s">
        <v>40</v>
      </c>
      <c r="U284" s="14">
        <v>45</v>
      </c>
    </row>
    <row r="285" spans="1:21" x14ac:dyDescent="0.3">
      <c r="A285" s="17"/>
      <c r="B285" s="18"/>
      <c r="T285" s="13" t="s">
        <v>93</v>
      </c>
      <c r="U285" s="14">
        <v>43</v>
      </c>
    </row>
    <row r="286" spans="1:21" x14ac:dyDescent="0.3">
      <c r="A286" s="17"/>
      <c r="B286" s="18"/>
      <c r="T286" s="13" t="s">
        <v>346</v>
      </c>
      <c r="U286" s="14">
        <v>16</v>
      </c>
    </row>
    <row r="287" spans="1:21" x14ac:dyDescent="0.3">
      <c r="A287" s="17"/>
      <c r="B287" s="18"/>
      <c r="T287" s="13" t="s">
        <v>187</v>
      </c>
      <c r="U287" s="14">
        <v>16</v>
      </c>
    </row>
    <row r="288" spans="1:21" x14ac:dyDescent="0.3">
      <c r="A288" s="17"/>
      <c r="B288" s="18"/>
      <c r="T288" s="13" t="s">
        <v>744</v>
      </c>
      <c r="U288" s="14">
        <v>5</v>
      </c>
    </row>
    <row r="289" spans="1:25" x14ac:dyDescent="0.3">
      <c r="A289" s="17"/>
      <c r="B289" s="18"/>
    </row>
    <row r="290" spans="1:25" x14ac:dyDescent="0.3">
      <c r="A290" s="17"/>
      <c r="B290" s="18"/>
    </row>
    <row r="291" spans="1:25" x14ac:dyDescent="0.3">
      <c r="A291" s="17"/>
      <c r="B291" s="18"/>
      <c r="T291" s="23"/>
      <c r="U291" s="24"/>
    </row>
    <row r="292" spans="1:25" x14ac:dyDescent="0.3">
      <c r="A292" s="17"/>
      <c r="B292" s="18"/>
      <c r="T292" s="23"/>
      <c r="U292" s="24"/>
      <c r="V292" s="17"/>
      <c r="W292" s="17"/>
      <c r="X292" s="17"/>
      <c r="Y292" s="17"/>
    </row>
    <row r="293" spans="1:25" x14ac:dyDescent="0.3">
      <c r="A293" s="17"/>
      <c r="B293" s="18"/>
      <c r="T293" s="23"/>
      <c r="U293" s="24"/>
      <c r="V293" s="17"/>
      <c r="W293" s="17"/>
      <c r="X293" s="17"/>
      <c r="Y293" s="17"/>
    </row>
    <row r="294" spans="1:25" x14ac:dyDescent="0.3">
      <c r="A294" s="17"/>
      <c r="B294" s="18"/>
      <c r="T294" s="23"/>
      <c r="U294" s="24"/>
      <c r="V294" s="17"/>
      <c r="W294" s="17"/>
      <c r="X294" s="17"/>
      <c r="Y294" s="17"/>
    </row>
    <row r="295" spans="1:25" x14ac:dyDescent="0.3">
      <c r="A295" s="17"/>
      <c r="B295" s="18"/>
      <c r="T295" s="23"/>
      <c r="U295" s="24"/>
      <c r="V295" s="17"/>
      <c r="W295" s="17"/>
      <c r="X295" s="17"/>
      <c r="Y295" s="17"/>
    </row>
    <row r="296" spans="1:25" x14ac:dyDescent="0.3">
      <c r="T296" s="23"/>
      <c r="U296" s="24"/>
      <c r="V296" s="17"/>
      <c r="W296" s="17"/>
      <c r="X296" s="17"/>
      <c r="Y296" s="17"/>
    </row>
    <row r="297" spans="1:25" x14ac:dyDescent="0.3">
      <c r="T297" s="23"/>
      <c r="U297" s="24"/>
      <c r="V297" s="17"/>
      <c r="W297" s="17"/>
      <c r="X297" s="17"/>
      <c r="Y297" s="17"/>
    </row>
    <row r="298" spans="1:25" x14ac:dyDescent="0.3">
      <c r="T298" s="23"/>
      <c r="U298" s="24"/>
      <c r="V298" s="17"/>
      <c r="W298" s="17"/>
      <c r="X298" s="17"/>
      <c r="Y298" s="17"/>
    </row>
    <row r="299" spans="1:25" x14ac:dyDescent="0.3">
      <c r="T299" s="23"/>
      <c r="U299" s="24"/>
      <c r="V299" s="17"/>
      <c r="W299" s="17"/>
      <c r="X299" s="17"/>
      <c r="Y299" s="17"/>
    </row>
    <row r="300" spans="1:25" x14ac:dyDescent="0.3">
      <c r="T300" s="23"/>
      <c r="U300" s="24"/>
      <c r="V300" s="17"/>
      <c r="W300" s="17"/>
      <c r="X300" s="17"/>
      <c r="Y300" s="17"/>
    </row>
    <row r="301" spans="1:25" x14ac:dyDescent="0.3">
      <c r="T301" s="23"/>
      <c r="U301" s="24"/>
      <c r="V301" s="17"/>
      <c r="W301" s="17"/>
      <c r="X301" s="17"/>
      <c r="Y301" s="17"/>
    </row>
    <row r="302" spans="1:25" x14ac:dyDescent="0.3">
      <c r="T302" s="23"/>
      <c r="U302" s="24"/>
      <c r="V302" s="17"/>
      <c r="W302" s="17"/>
      <c r="X302" s="17"/>
      <c r="Y302" s="17"/>
    </row>
    <row r="303" spans="1:25" x14ac:dyDescent="0.3">
      <c r="T303" s="23"/>
      <c r="U303" s="24"/>
      <c r="V303" s="17"/>
      <c r="W303" s="17"/>
      <c r="X303" s="17"/>
      <c r="Y303" s="17"/>
    </row>
    <row r="304" spans="1:25" x14ac:dyDescent="0.3">
      <c r="T304" s="23"/>
      <c r="U304" s="24"/>
      <c r="V304" s="17"/>
      <c r="W304" s="17"/>
      <c r="X304" s="17"/>
      <c r="Y304" s="17"/>
    </row>
    <row r="305" spans="1:21" x14ac:dyDescent="0.3">
      <c r="T305" s="23"/>
      <c r="U305" s="24"/>
    </row>
    <row r="306" spans="1:21" x14ac:dyDescent="0.3">
      <c r="T306" s="23"/>
      <c r="U306" s="24"/>
    </row>
    <row r="307" spans="1:21" x14ac:dyDescent="0.3">
      <c r="T307" s="23"/>
      <c r="U307" s="24"/>
    </row>
    <row r="308" spans="1:21" x14ac:dyDescent="0.3">
      <c r="T308" s="23"/>
      <c r="U308" s="24"/>
    </row>
    <row r="309" spans="1:21" x14ac:dyDescent="0.3">
      <c r="T309" s="23"/>
      <c r="U309" s="24"/>
    </row>
    <row r="310" spans="1:21" x14ac:dyDescent="0.3">
      <c r="T310" s="23"/>
      <c r="U310" s="24"/>
    </row>
    <row r="315" spans="1:21" x14ac:dyDescent="0.3">
      <c r="A315" s="27" t="s">
        <v>30</v>
      </c>
      <c r="B315" s="14">
        <v>60</v>
      </c>
    </row>
    <row r="316" spans="1:21" x14ac:dyDescent="0.3">
      <c r="A316" s="27" t="s">
        <v>49</v>
      </c>
      <c r="B316" s="14">
        <v>37</v>
      </c>
    </row>
    <row r="317" spans="1:21" x14ac:dyDescent="0.3">
      <c r="A317" s="27" t="s">
        <v>528</v>
      </c>
      <c r="B317" s="14">
        <v>5</v>
      </c>
    </row>
    <row r="318" spans="1:21" x14ac:dyDescent="0.3">
      <c r="A318" s="27" t="s">
        <v>302</v>
      </c>
      <c r="B318" s="14">
        <v>5</v>
      </c>
    </row>
    <row r="319" spans="1:21" x14ac:dyDescent="0.3">
      <c r="A319" s="27" t="s">
        <v>311</v>
      </c>
      <c r="B319" s="14">
        <v>5</v>
      </c>
    </row>
    <row r="320" spans="1:21" x14ac:dyDescent="0.3">
      <c r="A320" s="27" t="s">
        <v>331</v>
      </c>
      <c r="B320" s="14">
        <v>4</v>
      </c>
    </row>
    <row r="321" spans="1:2" x14ac:dyDescent="0.3">
      <c r="A321" s="27" t="s">
        <v>185</v>
      </c>
      <c r="B321" s="14">
        <v>4</v>
      </c>
    </row>
    <row r="322" spans="1:2" x14ac:dyDescent="0.3">
      <c r="A322" s="27" t="s">
        <v>543</v>
      </c>
      <c r="B322" s="14">
        <v>4</v>
      </c>
    </row>
    <row r="323" spans="1:2" x14ac:dyDescent="0.3">
      <c r="A323" s="27" t="s">
        <v>275</v>
      </c>
      <c r="B323" s="14">
        <v>3</v>
      </c>
    </row>
    <row r="324" spans="1:2" x14ac:dyDescent="0.3">
      <c r="A324" s="27" t="s">
        <v>99</v>
      </c>
      <c r="B324" s="14">
        <v>3</v>
      </c>
    </row>
    <row r="325" spans="1:2" x14ac:dyDescent="0.3">
      <c r="A325" s="27" t="s">
        <v>141</v>
      </c>
      <c r="B325" s="14">
        <v>3</v>
      </c>
    </row>
    <row r="326" spans="1:2" x14ac:dyDescent="0.3">
      <c r="A326" s="27" t="s">
        <v>43</v>
      </c>
      <c r="B326" s="14">
        <v>2</v>
      </c>
    </row>
    <row r="327" spans="1:2" x14ac:dyDescent="0.3">
      <c r="A327" s="27" t="s">
        <v>154</v>
      </c>
      <c r="B327" s="14">
        <v>2</v>
      </c>
    </row>
    <row r="328" spans="1:2" x14ac:dyDescent="0.3">
      <c r="A328" s="27" t="s">
        <v>600</v>
      </c>
      <c r="B328" s="14">
        <v>2</v>
      </c>
    </row>
    <row r="329" spans="1:2" x14ac:dyDescent="0.3">
      <c r="A329" s="27" t="s">
        <v>357</v>
      </c>
      <c r="B329" s="14">
        <v>2</v>
      </c>
    </row>
    <row r="330" spans="1:2" x14ac:dyDescent="0.3">
      <c r="A330" s="27" t="s">
        <v>343</v>
      </c>
      <c r="B330" s="14">
        <v>2</v>
      </c>
    </row>
    <row r="331" spans="1:2" x14ac:dyDescent="0.3">
      <c r="A331" s="27" t="s">
        <v>175</v>
      </c>
      <c r="B331" s="14">
        <v>2</v>
      </c>
    </row>
    <row r="332" spans="1:2" x14ac:dyDescent="0.3">
      <c r="A332" s="27" t="s">
        <v>2041</v>
      </c>
      <c r="B332" s="14">
        <v>1</v>
      </c>
    </row>
    <row r="333" spans="1:2" x14ac:dyDescent="0.3">
      <c r="A333" s="27" t="s">
        <v>256</v>
      </c>
      <c r="B333" s="14">
        <v>1</v>
      </c>
    </row>
    <row r="334" spans="1:2" x14ac:dyDescent="0.3">
      <c r="A334" s="27" t="s">
        <v>1950</v>
      </c>
      <c r="B334" s="14">
        <v>1</v>
      </c>
    </row>
    <row r="335" spans="1:2" x14ac:dyDescent="0.3">
      <c r="A335" s="27" t="s">
        <v>466</v>
      </c>
      <c r="B335" s="14">
        <v>1</v>
      </c>
    </row>
    <row r="336" spans="1:2" x14ac:dyDescent="0.3">
      <c r="A336" s="27" t="s">
        <v>1912</v>
      </c>
      <c r="B336" s="14">
        <v>1</v>
      </c>
    </row>
    <row r="337" spans="1:24" x14ac:dyDescent="0.3">
      <c r="A337" s="27" t="s">
        <v>1956</v>
      </c>
      <c r="B337" s="14">
        <v>1</v>
      </c>
    </row>
    <row r="338" spans="1:24" x14ac:dyDescent="0.3">
      <c r="A338" s="27" t="s">
        <v>946</v>
      </c>
      <c r="B338" s="14">
        <v>1</v>
      </c>
    </row>
    <row r="339" spans="1:24" x14ac:dyDescent="0.3">
      <c r="A339" s="27" t="s">
        <v>901</v>
      </c>
      <c r="B339" s="14">
        <v>1</v>
      </c>
    </row>
    <row r="340" spans="1:24" x14ac:dyDescent="0.3">
      <c r="A340" s="27" t="s">
        <v>2036</v>
      </c>
      <c r="B340" s="14">
        <v>1</v>
      </c>
    </row>
    <row r="341" spans="1:24" x14ac:dyDescent="0.3">
      <c r="A341" s="27" t="s">
        <v>740</v>
      </c>
      <c r="B341" s="14">
        <v>1</v>
      </c>
      <c r="W341" s="32"/>
      <c r="X341" s="18"/>
    </row>
    <row r="342" spans="1:24" x14ac:dyDescent="0.3">
      <c r="A342" s="27" t="s">
        <v>535</v>
      </c>
      <c r="B342" s="14">
        <v>1</v>
      </c>
      <c r="W342" s="32"/>
      <c r="X342" s="18"/>
    </row>
    <row r="343" spans="1:24" x14ac:dyDescent="0.3">
      <c r="A343" s="27" t="s">
        <v>2019</v>
      </c>
      <c r="B343" s="14">
        <v>1</v>
      </c>
      <c r="W343" s="32"/>
      <c r="X343" s="18"/>
    </row>
    <row r="344" spans="1:24" x14ac:dyDescent="0.3">
      <c r="A344" s="27" t="s">
        <v>1942</v>
      </c>
      <c r="B344" s="14">
        <v>1</v>
      </c>
      <c r="W344" s="32"/>
      <c r="X344" s="18"/>
    </row>
    <row r="345" spans="1:24" x14ac:dyDescent="0.3">
      <c r="A345" s="27" t="s">
        <v>162</v>
      </c>
      <c r="B345" s="14">
        <v>1</v>
      </c>
      <c r="T345" s="13" t="s">
        <v>30</v>
      </c>
      <c r="U345" s="14">
        <v>87</v>
      </c>
      <c r="W345" s="32"/>
      <c r="X345" s="18"/>
    </row>
    <row r="346" spans="1:24" x14ac:dyDescent="0.3">
      <c r="A346" s="27" t="s">
        <v>657</v>
      </c>
      <c r="B346" s="14">
        <v>1</v>
      </c>
      <c r="T346" s="13" t="s">
        <v>49</v>
      </c>
      <c r="U346" s="14">
        <v>37</v>
      </c>
      <c r="W346" s="32"/>
      <c r="X346" s="18"/>
    </row>
    <row r="347" spans="1:24" x14ac:dyDescent="0.3">
      <c r="A347" s="31"/>
      <c r="B347" s="11"/>
      <c r="T347" s="13" t="s">
        <v>331</v>
      </c>
      <c r="U347" s="14">
        <v>16</v>
      </c>
      <c r="W347" s="32"/>
      <c r="X347" s="18"/>
    </row>
    <row r="348" spans="1:24" x14ac:dyDescent="0.3">
      <c r="T348" s="13" t="s">
        <v>484</v>
      </c>
      <c r="U348" s="14">
        <v>12</v>
      </c>
      <c r="W348" s="32"/>
      <c r="X348" s="18"/>
    </row>
    <row r="349" spans="1:24" x14ac:dyDescent="0.3">
      <c r="T349" s="13" t="s">
        <v>311</v>
      </c>
      <c r="U349" s="14">
        <v>12</v>
      </c>
      <c r="W349" s="32"/>
      <c r="X349" s="18"/>
    </row>
    <row r="350" spans="1:24" x14ac:dyDescent="0.3">
      <c r="T350" s="15" t="s">
        <v>535</v>
      </c>
      <c r="U350" s="14">
        <v>8</v>
      </c>
      <c r="W350" s="32"/>
      <c r="X350" s="18"/>
    </row>
    <row r="351" spans="1:24" x14ac:dyDescent="0.3">
      <c r="T351" s="13" t="s">
        <v>185</v>
      </c>
      <c r="U351" s="14">
        <v>8</v>
      </c>
      <c r="W351" s="32"/>
      <c r="X351" s="18"/>
    </row>
    <row r="352" spans="1:24" x14ac:dyDescent="0.3">
      <c r="T352" s="13" t="s">
        <v>302</v>
      </c>
      <c r="U352" s="14">
        <v>7</v>
      </c>
      <c r="W352" s="32"/>
      <c r="X352" s="18"/>
    </row>
    <row r="353" spans="20:24" x14ac:dyDescent="0.3">
      <c r="T353" s="13" t="s">
        <v>466</v>
      </c>
      <c r="U353" s="14">
        <v>7</v>
      </c>
      <c r="W353" s="32"/>
      <c r="X353" s="18"/>
    </row>
    <row r="354" spans="20:24" x14ac:dyDescent="0.3">
      <c r="T354" s="13" t="s">
        <v>543</v>
      </c>
      <c r="U354" s="14">
        <v>7</v>
      </c>
      <c r="W354" s="32"/>
      <c r="X354" s="18"/>
    </row>
    <row r="355" spans="20:24" x14ac:dyDescent="0.3">
      <c r="T355" s="13" t="s">
        <v>162</v>
      </c>
      <c r="U355" s="14">
        <v>4</v>
      </c>
      <c r="W355" s="32"/>
      <c r="X355" s="18"/>
    </row>
    <row r="356" spans="20:24" x14ac:dyDescent="0.3">
      <c r="T356" s="13" t="s">
        <v>343</v>
      </c>
      <c r="U356" s="14">
        <v>3</v>
      </c>
      <c r="W356" s="32"/>
      <c r="X356" s="18"/>
    </row>
    <row r="357" spans="20:24" x14ac:dyDescent="0.3">
      <c r="T357" s="13" t="s">
        <v>600</v>
      </c>
      <c r="U357" s="14">
        <v>3</v>
      </c>
      <c r="W357" s="32"/>
      <c r="X357" s="18"/>
    </row>
    <row r="358" spans="20:24" x14ac:dyDescent="0.3">
      <c r="T358" s="13" t="s">
        <v>2096</v>
      </c>
      <c r="U358" s="14">
        <v>3</v>
      </c>
      <c r="W358" s="32"/>
      <c r="X358" s="18"/>
    </row>
    <row r="359" spans="20:24" x14ac:dyDescent="0.3">
      <c r="T359" s="13" t="s">
        <v>2099</v>
      </c>
      <c r="U359" s="14">
        <v>2</v>
      </c>
      <c r="W359" s="32"/>
      <c r="X359" s="18"/>
    </row>
    <row r="360" spans="20:24" x14ac:dyDescent="0.3">
      <c r="T360" s="13" t="s">
        <v>2102</v>
      </c>
      <c r="U360" s="14">
        <v>2</v>
      </c>
      <c r="W360" s="32"/>
      <c r="X360" s="18"/>
    </row>
    <row r="361" spans="20:24" x14ac:dyDescent="0.3">
      <c r="T361" s="15" t="s">
        <v>1422</v>
      </c>
      <c r="U361" s="33">
        <v>2</v>
      </c>
      <c r="W361" s="32"/>
      <c r="X361" s="18"/>
    </row>
    <row r="362" spans="20:24" x14ac:dyDescent="0.3">
      <c r="T362" s="13" t="s">
        <v>190</v>
      </c>
      <c r="U362" s="14">
        <v>2</v>
      </c>
      <c r="W362" s="32"/>
      <c r="X362" s="18"/>
    </row>
    <row r="363" spans="20:24" x14ac:dyDescent="0.3">
      <c r="T363" s="13" t="s">
        <v>43</v>
      </c>
      <c r="U363" s="14">
        <v>2</v>
      </c>
      <c r="W363" s="32"/>
      <c r="X363" s="18"/>
    </row>
    <row r="364" spans="20:24" x14ac:dyDescent="0.3">
      <c r="T364" s="13" t="s">
        <v>2101</v>
      </c>
      <c r="U364" s="14">
        <v>2</v>
      </c>
      <c r="W364" s="32"/>
      <c r="X364" s="18"/>
    </row>
    <row r="365" spans="20:24" x14ac:dyDescent="0.3">
      <c r="T365" s="15" t="s">
        <v>418</v>
      </c>
      <c r="U365" s="33">
        <v>1</v>
      </c>
      <c r="W365" s="32"/>
      <c r="X365" s="18"/>
    </row>
    <row r="366" spans="20:24" x14ac:dyDescent="0.3">
      <c r="T366" s="13" t="s">
        <v>2100</v>
      </c>
      <c r="U366" s="14">
        <v>1</v>
      </c>
      <c r="W366" s="32"/>
      <c r="X366" s="18"/>
    </row>
    <row r="367" spans="20:24" x14ac:dyDescent="0.3">
      <c r="T367" s="13" t="s">
        <v>2098</v>
      </c>
      <c r="U367" s="33">
        <v>1</v>
      </c>
      <c r="W367" s="32"/>
      <c r="X367" s="18"/>
    </row>
    <row r="368" spans="20:24" x14ac:dyDescent="0.3">
      <c r="T368" s="15" t="s">
        <v>2097</v>
      </c>
      <c r="U368" s="33">
        <v>1</v>
      </c>
      <c r="W368" s="32"/>
      <c r="X368" s="18"/>
    </row>
    <row r="369" spans="20:28" x14ac:dyDescent="0.3">
      <c r="T369" s="13" t="s">
        <v>684</v>
      </c>
      <c r="U369" s="33">
        <v>1</v>
      </c>
      <c r="W369" s="32"/>
      <c r="X369" s="18"/>
    </row>
    <row r="370" spans="20:28" x14ac:dyDescent="0.3">
      <c r="T370" s="15" t="s">
        <v>2103</v>
      </c>
      <c r="U370" s="33">
        <v>1</v>
      </c>
      <c r="W370" s="32"/>
      <c r="X370" s="18"/>
    </row>
    <row r="371" spans="20:28" x14ac:dyDescent="0.3">
      <c r="W371" s="32"/>
      <c r="X371" s="18"/>
    </row>
    <row r="372" spans="20:28" x14ac:dyDescent="0.3">
      <c r="W372" s="32"/>
      <c r="X372" s="18"/>
    </row>
    <row r="377" spans="20:28" x14ac:dyDescent="0.3">
      <c r="T377" s="13" t="s">
        <v>7</v>
      </c>
      <c r="U377" s="13" t="s">
        <v>22</v>
      </c>
      <c r="V377" s="13" t="s">
        <v>2087</v>
      </c>
      <c r="W377" s="13" t="s">
        <v>2090</v>
      </c>
      <c r="X377" s="13" t="s">
        <v>2089</v>
      </c>
      <c r="Y377" s="13" t="s">
        <v>2086</v>
      </c>
      <c r="AA377" s="28"/>
      <c r="AB377" s="29"/>
    </row>
    <row r="378" spans="20:28" x14ac:dyDescent="0.3">
      <c r="T378" s="13" t="s">
        <v>30</v>
      </c>
      <c r="U378" s="13">
        <v>78</v>
      </c>
      <c r="V378" s="13">
        <v>7</v>
      </c>
      <c r="W378" s="16">
        <f t="shared" ref="W378:W403" si="6">U378/Y378</f>
        <v>0.91764705882352937</v>
      </c>
      <c r="X378" s="16">
        <f t="shared" ref="X378:X403" si="7">V378/Y378</f>
        <v>8.2352941176470587E-2</v>
      </c>
      <c r="Y378" s="13">
        <f t="shared" ref="Y378:Y403" si="8">V378+U378</f>
        <v>85</v>
      </c>
      <c r="AA378" s="30"/>
      <c r="AB378" s="24"/>
    </row>
    <row r="379" spans="20:28" x14ac:dyDescent="0.3">
      <c r="T379" s="13" t="s">
        <v>49</v>
      </c>
      <c r="U379" s="14">
        <v>33</v>
      </c>
      <c r="V379" s="14">
        <v>4</v>
      </c>
      <c r="W379" s="16">
        <f t="shared" si="6"/>
        <v>0.89189189189189189</v>
      </c>
      <c r="X379" s="16">
        <f t="shared" si="7"/>
        <v>0.10810810810810811</v>
      </c>
      <c r="Y379" s="13">
        <f t="shared" si="8"/>
        <v>37</v>
      </c>
      <c r="AA379" s="28"/>
      <c r="AB379" s="29"/>
    </row>
    <row r="380" spans="20:28" x14ac:dyDescent="0.3">
      <c r="T380" s="13" t="s">
        <v>331</v>
      </c>
      <c r="U380" s="13">
        <v>16</v>
      </c>
      <c r="V380" s="13"/>
      <c r="W380" s="16">
        <f t="shared" si="6"/>
        <v>1</v>
      </c>
      <c r="X380" s="16">
        <f t="shared" si="7"/>
        <v>0</v>
      </c>
      <c r="Y380" s="13">
        <f t="shared" si="8"/>
        <v>16</v>
      </c>
      <c r="AA380" s="30"/>
      <c r="AB380" s="24"/>
    </row>
    <row r="381" spans="20:28" x14ac:dyDescent="0.3">
      <c r="T381" s="13" t="s">
        <v>484</v>
      </c>
      <c r="U381" s="13">
        <v>12</v>
      </c>
      <c r="V381" s="13"/>
      <c r="W381" s="16">
        <f t="shared" si="6"/>
        <v>1</v>
      </c>
      <c r="X381" s="16">
        <f t="shared" si="7"/>
        <v>0</v>
      </c>
      <c r="Y381" s="13">
        <f t="shared" si="8"/>
        <v>12</v>
      </c>
      <c r="AA381" s="28"/>
      <c r="AB381" s="29"/>
    </row>
    <row r="382" spans="20:28" x14ac:dyDescent="0.3">
      <c r="T382" s="13" t="s">
        <v>311</v>
      </c>
      <c r="U382" s="13">
        <v>12</v>
      </c>
      <c r="V382" s="13"/>
      <c r="W382" s="16">
        <f t="shared" si="6"/>
        <v>1</v>
      </c>
      <c r="X382" s="16">
        <f t="shared" si="7"/>
        <v>0</v>
      </c>
      <c r="Y382" s="13">
        <f t="shared" si="8"/>
        <v>12</v>
      </c>
      <c r="AA382" s="30"/>
      <c r="AB382" s="24"/>
    </row>
    <row r="383" spans="20:28" x14ac:dyDescent="0.3">
      <c r="T383" s="13" t="s">
        <v>535</v>
      </c>
      <c r="U383" s="13">
        <v>7</v>
      </c>
      <c r="V383" s="13">
        <v>1</v>
      </c>
      <c r="W383" s="16">
        <f t="shared" si="6"/>
        <v>0.875</v>
      </c>
      <c r="X383" s="16">
        <f t="shared" si="7"/>
        <v>0.125</v>
      </c>
      <c r="Y383" s="13">
        <f t="shared" si="8"/>
        <v>8</v>
      </c>
      <c r="AA383" s="28"/>
      <c r="AB383" s="29"/>
    </row>
    <row r="384" spans="20:28" x14ac:dyDescent="0.3">
      <c r="T384" s="13" t="s">
        <v>185</v>
      </c>
      <c r="U384" s="13">
        <v>8</v>
      </c>
      <c r="V384" s="13"/>
      <c r="W384" s="16">
        <f t="shared" si="6"/>
        <v>1</v>
      </c>
      <c r="X384" s="16">
        <f t="shared" si="7"/>
        <v>0</v>
      </c>
      <c r="Y384" s="13">
        <f t="shared" si="8"/>
        <v>8</v>
      </c>
      <c r="AA384" s="30"/>
      <c r="AB384" s="24"/>
    </row>
    <row r="385" spans="20:28" x14ac:dyDescent="0.3">
      <c r="T385" s="15" t="s">
        <v>466</v>
      </c>
      <c r="U385" s="13">
        <v>7</v>
      </c>
      <c r="V385" s="13"/>
      <c r="W385" s="16">
        <f t="shared" si="6"/>
        <v>1</v>
      </c>
      <c r="X385" s="16">
        <f t="shared" si="7"/>
        <v>0</v>
      </c>
      <c r="Y385" s="13">
        <f t="shared" si="8"/>
        <v>7</v>
      </c>
      <c r="AA385" s="28"/>
      <c r="AB385" s="29"/>
    </row>
    <row r="386" spans="20:28" x14ac:dyDescent="0.3">
      <c r="T386" s="13" t="s">
        <v>302</v>
      </c>
      <c r="U386" s="13">
        <v>6</v>
      </c>
      <c r="V386" s="13">
        <v>1</v>
      </c>
      <c r="W386" s="16">
        <f t="shared" si="6"/>
        <v>0.8571428571428571</v>
      </c>
      <c r="X386" s="16">
        <f t="shared" si="7"/>
        <v>0.14285714285714285</v>
      </c>
      <c r="Y386" s="13">
        <f t="shared" si="8"/>
        <v>7</v>
      </c>
      <c r="AA386" s="30"/>
      <c r="AB386" s="24"/>
    </row>
    <row r="387" spans="20:28" x14ac:dyDescent="0.3">
      <c r="T387" s="13" t="s">
        <v>543</v>
      </c>
      <c r="U387" s="13">
        <v>7</v>
      </c>
      <c r="V387" s="13"/>
      <c r="W387" s="16">
        <f t="shared" si="6"/>
        <v>1</v>
      </c>
      <c r="X387" s="16">
        <f t="shared" si="7"/>
        <v>0</v>
      </c>
      <c r="Y387" s="13">
        <f t="shared" si="8"/>
        <v>7</v>
      </c>
      <c r="AA387" s="28"/>
      <c r="AB387" s="29"/>
    </row>
    <row r="388" spans="20:28" x14ac:dyDescent="0.3">
      <c r="T388" s="13" t="s">
        <v>162</v>
      </c>
      <c r="U388" s="13">
        <v>3</v>
      </c>
      <c r="V388" s="13">
        <v>1</v>
      </c>
      <c r="W388" s="16">
        <f t="shared" si="6"/>
        <v>0.75</v>
      </c>
      <c r="X388" s="16">
        <f t="shared" si="7"/>
        <v>0.25</v>
      </c>
      <c r="Y388" s="13">
        <f t="shared" si="8"/>
        <v>4</v>
      </c>
      <c r="AA388" s="30"/>
      <c r="AB388" s="24"/>
    </row>
    <row r="389" spans="20:28" x14ac:dyDescent="0.3">
      <c r="T389" s="13" t="s">
        <v>343</v>
      </c>
      <c r="U389" s="13">
        <v>3</v>
      </c>
      <c r="V389" s="13"/>
      <c r="W389" s="16">
        <f t="shared" si="6"/>
        <v>1</v>
      </c>
      <c r="X389" s="16">
        <f t="shared" si="7"/>
        <v>0</v>
      </c>
      <c r="Y389" s="13">
        <f t="shared" si="8"/>
        <v>3</v>
      </c>
      <c r="AA389" s="28"/>
      <c r="AB389" s="29"/>
    </row>
    <row r="390" spans="20:28" x14ac:dyDescent="0.3">
      <c r="T390" s="13" t="s">
        <v>2096</v>
      </c>
      <c r="U390" s="13">
        <v>3</v>
      </c>
      <c r="V390" s="13"/>
      <c r="W390" s="16">
        <f t="shared" si="6"/>
        <v>1</v>
      </c>
      <c r="X390" s="16">
        <f t="shared" si="7"/>
        <v>0</v>
      </c>
      <c r="Y390" s="13">
        <f t="shared" si="8"/>
        <v>3</v>
      </c>
      <c r="AA390" s="30"/>
      <c r="AB390" s="24"/>
    </row>
    <row r="391" spans="20:28" x14ac:dyDescent="0.3">
      <c r="T391" s="13" t="s">
        <v>600</v>
      </c>
      <c r="U391" s="13">
        <v>3</v>
      </c>
      <c r="V391" s="13"/>
      <c r="W391" s="16">
        <f t="shared" si="6"/>
        <v>1</v>
      </c>
      <c r="X391" s="16">
        <f t="shared" si="7"/>
        <v>0</v>
      </c>
      <c r="Y391" s="13">
        <f t="shared" si="8"/>
        <v>3</v>
      </c>
      <c r="AA391" s="28"/>
      <c r="AB391" s="29"/>
    </row>
    <row r="392" spans="20:28" x14ac:dyDescent="0.3">
      <c r="T392" s="13" t="s">
        <v>2101</v>
      </c>
      <c r="U392" s="13">
        <v>1</v>
      </c>
      <c r="V392" s="13">
        <v>1</v>
      </c>
      <c r="W392" s="16">
        <f t="shared" si="6"/>
        <v>0.5</v>
      </c>
      <c r="X392" s="16">
        <f t="shared" si="7"/>
        <v>0.5</v>
      </c>
      <c r="Y392" s="13">
        <f t="shared" si="8"/>
        <v>2</v>
      </c>
      <c r="AA392" s="30"/>
      <c r="AB392" s="24"/>
    </row>
    <row r="393" spans="20:28" x14ac:dyDescent="0.3">
      <c r="T393" s="13" t="s">
        <v>2102</v>
      </c>
      <c r="U393" s="13">
        <v>2</v>
      </c>
      <c r="V393" s="13"/>
      <c r="W393" s="16">
        <f t="shared" si="6"/>
        <v>1</v>
      </c>
      <c r="X393" s="16">
        <f t="shared" si="7"/>
        <v>0</v>
      </c>
      <c r="Y393" s="13">
        <f t="shared" si="8"/>
        <v>2</v>
      </c>
      <c r="AA393" s="28"/>
      <c r="AB393" s="29"/>
    </row>
    <row r="394" spans="20:28" x14ac:dyDescent="0.3">
      <c r="T394" s="13" t="s">
        <v>2099</v>
      </c>
      <c r="U394" s="13">
        <v>2</v>
      </c>
      <c r="V394" s="13"/>
      <c r="W394" s="16">
        <f t="shared" si="6"/>
        <v>1</v>
      </c>
      <c r="X394" s="16">
        <f t="shared" si="7"/>
        <v>0</v>
      </c>
      <c r="Y394" s="13">
        <f t="shared" si="8"/>
        <v>2</v>
      </c>
      <c r="AA394" s="30"/>
      <c r="AB394" s="24"/>
    </row>
    <row r="395" spans="20:28" x14ac:dyDescent="0.3">
      <c r="T395" s="13" t="s">
        <v>190</v>
      </c>
      <c r="U395" s="13">
        <v>2</v>
      </c>
      <c r="V395" s="13"/>
      <c r="W395" s="16">
        <f t="shared" si="6"/>
        <v>1</v>
      </c>
      <c r="X395" s="16">
        <f t="shared" si="7"/>
        <v>0</v>
      </c>
      <c r="Y395" s="13">
        <f t="shared" si="8"/>
        <v>2</v>
      </c>
      <c r="AA395" s="28"/>
      <c r="AB395" s="29"/>
    </row>
    <row r="396" spans="20:28" x14ac:dyDescent="0.3">
      <c r="T396" s="13" t="s">
        <v>43</v>
      </c>
      <c r="U396" s="13">
        <v>2</v>
      </c>
      <c r="V396" s="13"/>
      <c r="W396" s="16">
        <f t="shared" si="6"/>
        <v>1</v>
      </c>
      <c r="X396" s="16">
        <f t="shared" si="7"/>
        <v>0</v>
      </c>
      <c r="Y396" s="13">
        <f t="shared" si="8"/>
        <v>2</v>
      </c>
      <c r="AA396" s="30"/>
      <c r="AB396" s="24"/>
    </row>
    <row r="397" spans="20:28" x14ac:dyDescent="0.3">
      <c r="T397" s="13" t="s">
        <v>1422</v>
      </c>
      <c r="U397" s="13">
        <v>2</v>
      </c>
      <c r="V397" s="13"/>
      <c r="W397" s="16">
        <f t="shared" si="6"/>
        <v>1</v>
      </c>
      <c r="X397" s="16">
        <f t="shared" si="7"/>
        <v>0</v>
      </c>
      <c r="Y397" s="13">
        <f t="shared" si="8"/>
        <v>2</v>
      </c>
      <c r="AA397" s="28"/>
      <c r="AB397" s="29"/>
    </row>
    <row r="398" spans="20:28" x14ac:dyDescent="0.3">
      <c r="T398" s="13" t="s">
        <v>418</v>
      </c>
      <c r="U398" s="13">
        <v>1</v>
      </c>
      <c r="V398" s="13"/>
      <c r="W398" s="16">
        <f t="shared" si="6"/>
        <v>1</v>
      </c>
      <c r="X398" s="16">
        <f t="shared" si="7"/>
        <v>0</v>
      </c>
      <c r="Y398" s="13">
        <f t="shared" si="8"/>
        <v>1</v>
      </c>
      <c r="AA398" s="30"/>
      <c r="AB398" s="24"/>
    </row>
    <row r="399" spans="20:28" x14ac:dyDescent="0.3">
      <c r="T399" s="13" t="s">
        <v>2100</v>
      </c>
      <c r="U399" s="13">
        <v>1</v>
      </c>
      <c r="V399" s="13"/>
      <c r="W399" s="16">
        <f t="shared" si="6"/>
        <v>1</v>
      </c>
      <c r="X399" s="16">
        <f t="shared" si="7"/>
        <v>0</v>
      </c>
      <c r="Y399" s="13">
        <f t="shared" si="8"/>
        <v>1</v>
      </c>
    </row>
    <row r="400" spans="20:28" x14ac:dyDescent="0.3">
      <c r="T400" s="13" t="s">
        <v>684</v>
      </c>
      <c r="U400" s="13">
        <v>1</v>
      </c>
      <c r="V400" s="13"/>
      <c r="W400" s="16">
        <f t="shared" si="6"/>
        <v>1</v>
      </c>
      <c r="X400" s="16">
        <f t="shared" si="7"/>
        <v>0</v>
      </c>
      <c r="Y400" s="13">
        <f t="shared" si="8"/>
        <v>1</v>
      </c>
    </row>
    <row r="401" spans="1:28" x14ac:dyDescent="0.3">
      <c r="T401" s="13" t="s">
        <v>2103</v>
      </c>
      <c r="U401" s="13">
        <v>1</v>
      </c>
      <c r="V401" s="13"/>
      <c r="W401" s="16">
        <f t="shared" si="6"/>
        <v>1</v>
      </c>
      <c r="X401" s="16">
        <f t="shared" si="7"/>
        <v>0</v>
      </c>
      <c r="Y401" s="13">
        <f t="shared" si="8"/>
        <v>1</v>
      </c>
    </row>
    <row r="402" spans="1:28" x14ac:dyDescent="0.3">
      <c r="T402" s="13" t="s">
        <v>2098</v>
      </c>
      <c r="U402" s="13">
        <v>1</v>
      </c>
      <c r="V402" s="13"/>
      <c r="W402" s="16">
        <f t="shared" si="6"/>
        <v>1</v>
      </c>
      <c r="X402" s="16">
        <f t="shared" si="7"/>
        <v>0</v>
      </c>
      <c r="Y402" s="13">
        <f t="shared" si="8"/>
        <v>1</v>
      </c>
    </row>
    <row r="403" spans="1:28" x14ac:dyDescent="0.3">
      <c r="T403" s="17" t="s">
        <v>2097</v>
      </c>
      <c r="U403" s="17">
        <v>1</v>
      </c>
      <c r="V403" s="17"/>
      <c r="W403" s="34">
        <f t="shared" si="6"/>
        <v>1</v>
      </c>
      <c r="X403" s="34">
        <f t="shared" si="7"/>
        <v>0</v>
      </c>
      <c r="Y403" s="17">
        <f t="shared" si="8"/>
        <v>1</v>
      </c>
    </row>
    <row r="408" spans="1:28" x14ac:dyDescent="0.3">
      <c r="A408" s="25" t="s">
        <v>2084</v>
      </c>
      <c r="B408" s="26"/>
    </row>
    <row r="409" spans="1:28" x14ac:dyDescent="0.3">
      <c r="A409" s="27" t="s">
        <v>1690</v>
      </c>
      <c r="B409" s="14">
        <v>116</v>
      </c>
    </row>
    <row r="410" spans="1:28" x14ac:dyDescent="0.3">
      <c r="A410" s="23" t="s">
        <v>1989</v>
      </c>
      <c r="B410" s="24">
        <v>3</v>
      </c>
    </row>
    <row r="411" spans="1:28" x14ac:dyDescent="0.3">
      <c r="A411" s="23" t="s">
        <v>2112</v>
      </c>
      <c r="B411" s="24">
        <v>3</v>
      </c>
    </row>
    <row r="412" spans="1:28" x14ac:dyDescent="0.3">
      <c r="A412" s="23" t="s">
        <v>2140</v>
      </c>
      <c r="B412" s="24">
        <v>3</v>
      </c>
      <c r="AA412" s="28"/>
      <c r="AB412" s="29"/>
    </row>
    <row r="413" spans="1:28" x14ac:dyDescent="0.3">
      <c r="A413" s="23" t="s">
        <v>2106</v>
      </c>
      <c r="B413" s="24">
        <v>2</v>
      </c>
      <c r="AA413" s="30"/>
      <c r="AB413" s="24"/>
    </row>
    <row r="414" spans="1:28" x14ac:dyDescent="0.3">
      <c r="A414" s="23" t="s">
        <v>39</v>
      </c>
      <c r="B414" s="24">
        <v>2</v>
      </c>
      <c r="AA414" s="28"/>
      <c r="AB414" s="29"/>
    </row>
    <row r="415" spans="1:28" x14ac:dyDescent="0.3">
      <c r="A415" s="23" t="s">
        <v>2126</v>
      </c>
      <c r="B415" s="24">
        <v>2</v>
      </c>
      <c r="AA415" s="30"/>
      <c r="AB415" s="24"/>
    </row>
    <row r="416" spans="1:28" x14ac:dyDescent="0.3">
      <c r="A416" s="23" t="s">
        <v>1791</v>
      </c>
      <c r="B416" s="24">
        <v>1</v>
      </c>
      <c r="AA416" s="28"/>
      <c r="AB416" s="29"/>
    </row>
    <row r="417" spans="1:28" x14ac:dyDescent="0.3">
      <c r="A417" s="23" t="s">
        <v>2184</v>
      </c>
      <c r="B417" s="24">
        <v>1</v>
      </c>
      <c r="AA417" s="30"/>
      <c r="AB417" s="24"/>
    </row>
    <row r="418" spans="1:28" x14ac:dyDescent="0.3">
      <c r="A418" s="23" t="s">
        <v>2192</v>
      </c>
      <c r="B418" s="24">
        <v>1</v>
      </c>
    </row>
    <row r="419" spans="1:28" x14ac:dyDescent="0.3">
      <c r="A419" s="23" t="s">
        <v>2185</v>
      </c>
      <c r="B419" s="24">
        <v>1</v>
      </c>
    </row>
    <row r="420" spans="1:28" x14ac:dyDescent="0.3">
      <c r="A420" s="23" t="s">
        <v>2191</v>
      </c>
      <c r="B420" s="24">
        <v>1</v>
      </c>
    </row>
    <row r="421" spans="1:28" x14ac:dyDescent="0.3">
      <c r="A421" s="23" t="s">
        <v>2189</v>
      </c>
      <c r="B421" s="24">
        <v>1</v>
      </c>
    </row>
    <row r="422" spans="1:28" x14ac:dyDescent="0.3">
      <c r="A422" s="23" t="s">
        <v>1844</v>
      </c>
      <c r="B422" s="24">
        <v>1</v>
      </c>
    </row>
    <row r="423" spans="1:28" x14ac:dyDescent="0.3">
      <c r="A423" s="23" t="s">
        <v>1822</v>
      </c>
      <c r="B423" s="24">
        <v>1</v>
      </c>
    </row>
    <row r="424" spans="1:28" x14ac:dyDescent="0.3">
      <c r="A424" s="23" t="s">
        <v>1750</v>
      </c>
      <c r="B424" s="24">
        <v>1</v>
      </c>
    </row>
    <row r="425" spans="1:28" x14ac:dyDescent="0.3">
      <c r="A425" s="23" t="s">
        <v>2188</v>
      </c>
      <c r="B425" s="24">
        <v>1</v>
      </c>
    </row>
    <row r="426" spans="1:28" x14ac:dyDescent="0.3">
      <c r="A426" s="23" t="s">
        <v>1881</v>
      </c>
      <c r="B426" s="24">
        <v>1</v>
      </c>
    </row>
    <row r="427" spans="1:28" x14ac:dyDescent="0.3">
      <c r="A427" s="23" t="s">
        <v>2194</v>
      </c>
      <c r="B427" s="24">
        <v>1</v>
      </c>
    </row>
    <row r="428" spans="1:28" x14ac:dyDescent="0.3">
      <c r="A428" s="23" t="s">
        <v>1957</v>
      </c>
      <c r="B428" s="24">
        <v>1</v>
      </c>
    </row>
    <row r="429" spans="1:28" x14ac:dyDescent="0.3">
      <c r="A429" s="23" t="s">
        <v>1830</v>
      </c>
      <c r="B429" s="24">
        <v>1</v>
      </c>
    </row>
    <row r="430" spans="1:28" x14ac:dyDescent="0.3">
      <c r="A430" s="23" t="s">
        <v>2190</v>
      </c>
      <c r="B430" s="24">
        <v>1</v>
      </c>
    </row>
    <row r="431" spans="1:28" x14ac:dyDescent="0.3">
      <c r="A431" s="23" t="s">
        <v>1963</v>
      </c>
      <c r="B431" s="24">
        <v>1</v>
      </c>
    </row>
    <row r="432" spans="1:28" x14ac:dyDescent="0.3">
      <c r="A432" s="23" t="s">
        <v>1918</v>
      </c>
      <c r="B432" s="24">
        <v>1</v>
      </c>
    </row>
    <row r="433" spans="1:2" x14ac:dyDescent="0.3">
      <c r="A433" s="23" t="s">
        <v>2148</v>
      </c>
      <c r="B433" s="24">
        <v>1</v>
      </c>
    </row>
    <row r="434" spans="1:2" x14ac:dyDescent="0.3">
      <c r="A434" s="23" t="s">
        <v>2195</v>
      </c>
      <c r="B434" s="24">
        <v>1</v>
      </c>
    </row>
    <row r="435" spans="1:2" x14ac:dyDescent="0.3">
      <c r="A435" s="23" t="s">
        <v>2197</v>
      </c>
      <c r="B435" s="24">
        <v>1</v>
      </c>
    </row>
    <row r="436" spans="1:2" x14ac:dyDescent="0.3">
      <c r="A436" s="23" t="s">
        <v>2193</v>
      </c>
      <c r="B436" s="24">
        <v>1</v>
      </c>
    </row>
    <row r="437" spans="1:2" x14ac:dyDescent="0.3">
      <c r="A437" s="23" t="s">
        <v>2187</v>
      </c>
      <c r="B437" s="24">
        <v>1</v>
      </c>
    </row>
    <row r="438" spans="1:2" x14ac:dyDescent="0.3">
      <c r="A438" s="23" t="s">
        <v>2177</v>
      </c>
      <c r="B438" s="24">
        <v>1</v>
      </c>
    </row>
    <row r="439" spans="1:2" x14ac:dyDescent="0.3">
      <c r="A439" s="23" t="s">
        <v>1818</v>
      </c>
      <c r="B439" s="24">
        <v>1</v>
      </c>
    </row>
    <row r="440" spans="1:2" x14ac:dyDescent="0.3">
      <c r="A440" s="23" t="s">
        <v>1878</v>
      </c>
      <c r="B440" s="24">
        <v>1</v>
      </c>
    </row>
    <row r="441" spans="1:2" x14ac:dyDescent="0.3">
      <c r="A441" s="23" t="s">
        <v>2196</v>
      </c>
      <c r="B441" s="24">
        <v>1</v>
      </c>
    </row>
    <row r="442" spans="1:2" x14ac:dyDescent="0.3">
      <c r="A442" s="23" t="s">
        <v>2163</v>
      </c>
      <c r="B442" s="24">
        <v>1</v>
      </c>
    </row>
    <row r="443" spans="1:2" x14ac:dyDescent="0.3">
      <c r="A443" s="23" t="s">
        <v>2198</v>
      </c>
      <c r="B443" s="24">
        <v>1</v>
      </c>
    </row>
    <row r="444" spans="1:2" x14ac:dyDescent="0.3">
      <c r="A444" s="23" t="s">
        <v>2186</v>
      </c>
      <c r="B444" s="24">
        <v>1</v>
      </c>
    </row>
  </sheetData>
  <sortState ref="T378:Y404">
    <sortCondition descending="1" ref="Y378"/>
  </sortState>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Base 2016</vt:lpstr>
      <vt:lpstr>Planilha2</vt:lpstr>
      <vt:lpstr>Gráficos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vw_relatorio_operacional_Excel</dc:title>
  <dc:creator>Henrique</dc:creator>
  <cp:lastModifiedBy>Kiss</cp:lastModifiedBy>
  <dcterms:created xsi:type="dcterms:W3CDTF">2016-06-17T14:27:33Z</dcterms:created>
  <dcterms:modified xsi:type="dcterms:W3CDTF">2016-06-21T16:18:34Z</dcterms:modified>
</cp:coreProperties>
</file>