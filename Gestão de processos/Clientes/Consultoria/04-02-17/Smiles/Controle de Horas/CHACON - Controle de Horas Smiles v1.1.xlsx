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57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oogle Drive\Projetos\Smiles\Controle de Horas\"/>
    </mc:Choice>
  </mc:AlternateContent>
  <bookViews>
    <workbookView xWindow="0" yWindow="30" windowWidth="19155" windowHeight="8505" firstSheet="4" activeTab="8"/>
  </bookViews>
  <sheets>
    <sheet name="Consolidado" sheetId="11" state="hidden" r:id="rId1"/>
    <sheet name="AGO-16" sheetId="17" r:id="rId2"/>
    <sheet name="SET-16" sheetId="24" r:id="rId3"/>
    <sheet name="OUT-16 Tânia" sheetId="27" r:id="rId4"/>
    <sheet name="OUT-16 Maluf" sheetId="28" r:id="rId5"/>
    <sheet name="NOV-16 Tânia" sheetId="29" r:id="rId6"/>
    <sheet name="NOV-16 Maluf" sheetId="30" r:id="rId7"/>
    <sheet name="DEZ-16 Tânia" sheetId="31" r:id="rId8"/>
    <sheet name="DEZ-16 Maluf" sheetId="32" r:id="rId9"/>
  </sheets>
  <calcPr calcId="171027"/>
</workbook>
</file>

<file path=xl/calcChain.xml><?xml version="1.0" encoding="utf-8"?>
<calcChain xmlns="http://schemas.openxmlformats.org/spreadsheetml/2006/main">
  <c r="L46" i="32" l="1"/>
  <c r="M45" i="32"/>
  <c r="N45" i="32" s="1"/>
  <c r="G44" i="32"/>
  <c r="M44" i="32" s="1"/>
  <c r="N44" i="32" s="1"/>
  <c r="E44" i="32"/>
  <c r="E43" i="32"/>
  <c r="G43" i="32" s="1"/>
  <c r="M43" i="32" s="1"/>
  <c r="N43" i="32" s="1"/>
  <c r="G42" i="32"/>
  <c r="M42" i="32" s="1"/>
  <c r="N42" i="32" s="1"/>
  <c r="E42" i="32"/>
  <c r="E41" i="32"/>
  <c r="G41" i="32" s="1"/>
  <c r="M41" i="32" s="1"/>
  <c r="N41" i="32" s="1"/>
  <c r="G40" i="32"/>
  <c r="M40" i="32" s="1"/>
  <c r="N40" i="32" s="1"/>
  <c r="E40" i="32"/>
  <c r="E39" i="32"/>
  <c r="G39" i="32" s="1"/>
  <c r="M39" i="32" s="1"/>
  <c r="N39" i="32" s="1"/>
  <c r="G38" i="32"/>
  <c r="M38" i="32" s="1"/>
  <c r="N38" i="32" s="1"/>
  <c r="E38" i="32"/>
  <c r="E37" i="32"/>
  <c r="G37" i="32" s="1"/>
  <c r="M37" i="32" s="1"/>
  <c r="N37" i="32" s="1"/>
  <c r="E36" i="32"/>
  <c r="G36" i="32" s="1"/>
  <c r="M36" i="32" s="1"/>
  <c r="N36" i="32" s="1"/>
  <c r="E35" i="32"/>
  <c r="G35" i="32" s="1"/>
  <c r="M35" i="32" s="1"/>
  <c r="N35" i="32" s="1"/>
  <c r="E34" i="32"/>
  <c r="G34" i="32" s="1"/>
  <c r="M34" i="32" s="1"/>
  <c r="N34" i="32" s="1"/>
  <c r="E33" i="32"/>
  <c r="G33" i="32" s="1"/>
  <c r="M33" i="32" s="1"/>
  <c r="N33" i="32" s="1"/>
  <c r="G32" i="32"/>
  <c r="M32" i="32" s="1"/>
  <c r="N32" i="32" s="1"/>
  <c r="E32" i="32"/>
  <c r="E31" i="32"/>
  <c r="G31" i="32" s="1"/>
  <c r="M31" i="32" s="1"/>
  <c r="N31" i="32" s="1"/>
  <c r="E30" i="32"/>
  <c r="G30" i="32" s="1"/>
  <c r="M30" i="32" s="1"/>
  <c r="N30" i="32" s="1"/>
  <c r="E29" i="32"/>
  <c r="G29" i="32" s="1"/>
  <c r="M29" i="32" s="1"/>
  <c r="N29" i="32" s="1"/>
  <c r="E28" i="32"/>
  <c r="G28" i="32" s="1"/>
  <c r="M28" i="32" s="1"/>
  <c r="N28" i="32" s="1"/>
  <c r="E27" i="32"/>
  <c r="G27" i="32" s="1"/>
  <c r="M27" i="32" s="1"/>
  <c r="N27" i="32" s="1"/>
  <c r="E26" i="32"/>
  <c r="G26" i="32" s="1"/>
  <c r="M26" i="32" s="1"/>
  <c r="N26" i="32" s="1"/>
  <c r="E25" i="32"/>
  <c r="G25" i="32" s="1"/>
  <c r="M25" i="32" s="1"/>
  <c r="N25" i="32" s="1"/>
  <c r="E24" i="32"/>
  <c r="G24" i="32" s="1"/>
  <c r="M24" i="32" s="1"/>
  <c r="N24" i="32" s="1"/>
  <c r="E23" i="32"/>
  <c r="G23" i="32" s="1"/>
  <c r="M23" i="32" s="1"/>
  <c r="N23" i="32" s="1"/>
  <c r="E22" i="32"/>
  <c r="G22" i="32" s="1"/>
  <c r="M22" i="32" s="1"/>
  <c r="N22" i="32" s="1"/>
  <c r="E21" i="32"/>
  <c r="G21" i="32" s="1"/>
  <c r="M21" i="32" s="1"/>
  <c r="N21" i="32" s="1"/>
  <c r="E20" i="32"/>
  <c r="G20" i="32" s="1"/>
  <c r="M20" i="32" s="1"/>
  <c r="N20" i="32" s="1"/>
  <c r="E19" i="32"/>
  <c r="G19" i="32" s="1"/>
  <c r="M19" i="32" s="1"/>
  <c r="N19" i="32" s="1"/>
  <c r="E18" i="32"/>
  <c r="G18" i="32" s="1"/>
  <c r="M18" i="32" s="1"/>
  <c r="N18" i="32" s="1"/>
  <c r="E17" i="32"/>
  <c r="G17" i="32" s="1"/>
  <c r="M17" i="32" s="1"/>
  <c r="N17" i="32" s="1"/>
  <c r="E16" i="32"/>
  <c r="G16" i="32" s="1"/>
  <c r="M16" i="32" s="1"/>
  <c r="N16" i="32" s="1"/>
  <c r="B16" i="32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E15" i="32"/>
  <c r="G15" i="32" s="1"/>
  <c r="M15" i="32" s="1"/>
  <c r="B16" i="31"/>
  <c r="L46" i="31"/>
  <c r="M45" i="31"/>
  <c r="N45" i="31" s="1"/>
  <c r="E44" i="31"/>
  <c r="G44" i="31" s="1"/>
  <c r="M44" i="31" s="1"/>
  <c r="N44" i="31" s="1"/>
  <c r="E43" i="31"/>
  <c r="G43" i="31" s="1"/>
  <c r="M43" i="31" s="1"/>
  <c r="N43" i="31" s="1"/>
  <c r="E42" i="31"/>
  <c r="G42" i="31" s="1"/>
  <c r="M42" i="31" s="1"/>
  <c r="N42" i="31" s="1"/>
  <c r="G41" i="31"/>
  <c r="M41" i="31" s="1"/>
  <c r="N41" i="31" s="1"/>
  <c r="E41" i="31"/>
  <c r="E40" i="31"/>
  <c r="G40" i="31" s="1"/>
  <c r="M40" i="31" s="1"/>
  <c r="N40" i="31" s="1"/>
  <c r="E39" i="31"/>
  <c r="G39" i="31" s="1"/>
  <c r="M39" i="31" s="1"/>
  <c r="N39" i="31" s="1"/>
  <c r="E38" i="31"/>
  <c r="G38" i="31" s="1"/>
  <c r="M38" i="31" s="1"/>
  <c r="N38" i="31" s="1"/>
  <c r="E37" i="31"/>
  <c r="G37" i="31" s="1"/>
  <c r="M37" i="31" s="1"/>
  <c r="N37" i="31" s="1"/>
  <c r="E36" i="31"/>
  <c r="G36" i="31" s="1"/>
  <c r="M36" i="31" s="1"/>
  <c r="N36" i="31" s="1"/>
  <c r="E35" i="31"/>
  <c r="G35" i="31" s="1"/>
  <c r="M35" i="31" s="1"/>
  <c r="N35" i="31" s="1"/>
  <c r="E34" i="31"/>
  <c r="G34" i="31" s="1"/>
  <c r="M34" i="31" s="1"/>
  <c r="N34" i="31" s="1"/>
  <c r="G33" i="31"/>
  <c r="M33" i="31" s="1"/>
  <c r="N33" i="31" s="1"/>
  <c r="E33" i="31"/>
  <c r="E32" i="31"/>
  <c r="G32" i="31" s="1"/>
  <c r="M32" i="31" s="1"/>
  <c r="N32" i="31" s="1"/>
  <c r="E31" i="31"/>
  <c r="G31" i="31" s="1"/>
  <c r="M31" i="31" s="1"/>
  <c r="N31" i="31" s="1"/>
  <c r="E30" i="31"/>
  <c r="G30" i="31" s="1"/>
  <c r="M30" i="31" s="1"/>
  <c r="N30" i="31" s="1"/>
  <c r="E29" i="31"/>
  <c r="G29" i="31" s="1"/>
  <c r="M29" i="31" s="1"/>
  <c r="N29" i="31" s="1"/>
  <c r="E28" i="31"/>
  <c r="G28" i="31" s="1"/>
  <c r="M28" i="31" s="1"/>
  <c r="N28" i="31" s="1"/>
  <c r="E27" i="31"/>
  <c r="G27" i="31" s="1"/>
  <c r="M27" i="31" s="1"/>
  <c r="N27" i="31" s="1"/>
  <c r="E26" i="31"/>
  <c r="G26" i="31" s="1"/>
  <c r="M26" i="31" s="1"/>
  <c r="N26" i="31" s="1"/>
  <c r="G25" i="31"/>
  <c r="M25" i="31" s="1"/>
  <c r="N25" i="31" s="1"/>
  <c r="E25" i="31"/>
  <c r="E24" i="31"/>
  <c r="G24" i="31" s="1"/>
  <c r="M24" i="31" s="1"/>
  <c r="N24" i="31" s="1"/>
  <c r="E23" i="31"/>
  <c r="G23" i="31" s="1"/>
  <c r="M23" i="31" s="1"/>
  <c r="N23" i="31" s="1"/>
  <c r="E22" i="31"/>
  <c r="G22" i="31" s="1"/>
  <c r="M22" i="31" s="1"/>
  <c r="N22" i="31" s="1"/>
  <c r="E21" i="31"/>
  <c r="G21" i="31" s="1"/>
  <c r="M21" i="31" s="1"/>
  <c r="N21" i="31" s="1"/>
  <c r="E20" i="31"/>
  <c r="G20" i="31" s="1"/>
  <c r="M20" i="31" s="1"/>
  <c r="N20" i="31" s="1"/>
  <c r="E19" i="31"/>
  <c r="G19" i="31" s="1"/>
  <c r="M19" i="31" s="1"/>
  <c r="N19" i="31" s="1"/>
  <c r="E18" i="31"/>
  <c r="G18" i="31" s="1"/>
  <c r="M18" i="31" s="1"/>
  <c r="N18" i="31" s="1"/>
  <c r="G17" i="31"/>
  <c r="M17" i="31" s="1"/>
  <c r="N17" i="31" s="1"/>
  <c r="E17" i="31"/>
  <c r="E16" i="31"/>
  <c r="G16" i="31" s="1"/>
  <c r="M16" i="31" s="1"/>
  <c r="N16" i="31" s="1"/>
  <c r="B17" i="3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G15" i="31"/>
  <c r="E15" i="31"/>
  <c r="N15" i="32" l="1"/>
  <c r="M46" i="32"/>
  <c r="N46" i="32" s="1"/>
  <c r="G46" i="32"/>
  <c r="M15" i="31"/>
  <c r="G46" i="31"/>
  <c r="E44" i="29"/>
  <c r="G44" i="29" s="1"/>
  <c r="M44" i="29" s="1"/>
  <c r="N44" i="29" s="1"/>
  <c r="E43" i="29"/>
  <c r="G43" i="29" s="1"/>
  <c r="M43" i="29" s="1"/>
  <c r="N43" i="29" s="1"/>
  <c r="E42" i="29"/>
  <c r="G42" i="29" s="1"/>
  <c r="M42" i="29" s="1"/>
  <c r="N42" i="29" s="1"/>
  <c r="E41" i="29"/>
  <c r="G41" i="29" s="1"/>
  <c r="M41" i="29" s="1"/>
  <c r="N41" i="29" s="1"/>
  <c r="G40" i="29"/>
  <c r="E40" i="29"/>
  <c r="E39" i="29"/>
  <c r="G39" i="29" s="1"/>
  <c r="M39" i="29" s="1"/>
  <c r="N39" i="29" s="1"/>
  <c r="E38" i="29"/>
  <c r="G38" i="29" s="1"/>
  <c r="M38" i="29" s="1"/>
  <c r="N38" i="29" s="1"/>
  <c r="E37" i="29"/>
  <c r="G37" i="29" s="1"/>
  <c r="M37" i="29" s="1"/>
  <c r="N37" i="29" s="1"/>
  <c r="G36" i="29"/>
  <c r="M36" i="29" s="1"/>
  <c r="N36" i="29" s="1"/>
  <c r="E36" i="29"/>
  <c r="E35" i="29"/>
  <c r="G35" i="29" s="1"/>
  <c r="M35" i="29" s="1"/>
  <c r="N35" i="29" s="1"/>
  <c r="E34" i="29"/>
  <c r="G34" i="29" s="1"/>
  <c r="M34" i="29" s="1"/>
  <c r="N34" i="29" s="1"/>
  <c r="E33" i="29"/>
  <c r="G33" i="29" s="1"/>
  <c r="M33" i="29" s="1"/>
  <c r="N33" i="29" s="1"/>
  <c r="G32" i="29"/>
  <c r="E32" i="29"/>
  <c r="E31" i="29"/>
  <c r="G31" i="29" s="1"/>
  <c r="M31" i="29" s="1"/>
  <c r="N31" i="29" s="1"/>
  <c r="E30" i="29"/>
  <c r="G30" i="29" s="1"/>
  <c r="M30" i="29" s="1"/>
  <c r="N30" i="29" s="1"/>
  <c r="E29" i="29"/>
  <c r="G29" i="29" s="1"/>
  <c r="M29" i="29" s="1"/>
  <c r="N29" i="29" s="1"/>
  <c r="G28" i="29"/>
  <c r="M28" i="29" s="1"/>
  <c r="N28" i="29" s="1"/>
  <c r="E28" i="29"/>
  <c r="E27" i="29"/>
  <c r="G27" i="29" s="1"/>
  <c r="M27" i="29" s="1"/>
  <c r="N27" i="29" s="1"/>
  <c r="E26" i="29"/>
  <c r="G26" i="29" s="1"/>
  <c r="M26" i="29" s="1"/>
  <c r="N26" i="29" s="1"/>
  <c r="E25" i="29"/>
  <c r="G25" i="29" s="1"/>
  <c r="M25" i="29" s="1"/>
  <c r="N25" i="29" s="1"/>
  <c r="G24" i="29"/>
  <c r="E24" i="29"/>
  <c r="E23" i="29"/>
  <c r="G23" i="29" s="1"/>
  <c r="M23" i="29" s="1"/>
  <c r="N23" i="29" s="1"/>
  <c r="E22" i="29"/>
  <c r="G22" i="29" s="1"/>
  <c r="M22" i="29" s="1"/>
  <c r="N22" i="29" s="1"/>
  <c r="E21" i="29"/>
  <c r="G21" i="29" s="1"/>
  <c r="M21" i="29" s="1"/>
  <c r="N21" i="29" s="1"/>
  <c r="G20" i="29"/>
  <c r="M20" i="29" s="1"/>
  <c r="N20" i="29" s="1"/>
  <c r="E20" i="29"/>
  <c r="E19" i="29"/>
  <c r="G19" i="29" s="1"/>
  <c r="M19" i="29" s="1"/>
  <c r="N19" i="29" s="1"/>
  <c r="E18" i="29"/>
  <c r="G18" i="29" s="1"/>
  <c r="M18" i="29" s="1"/>
  <c r="N18" i="29" s="1"/>
  <c r="E17" i="29"/>
  <c r="G17" i="29" s="1"/>
  <c r="M17" i="29" s="1"/>
  <c r="N17" i="29" s="1"/>
  <c r="G16" i="29"/>
  <c r="E16" i="29"/>
  <c r="B16" i="29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E15" i="29"/>
  <c r="G15" i="29" s="1"/>
  <c r="B16" i="30"/>
  <c r="B17" i="30" s="1"/>
  <c r="B18" i="30" s="1"/>
  <c r="B19" i="30" s="1"/>
  <c r="B20" i="30" s="1"/>
  <c r="B21" i="30" s="1"/>
  <c r="B22" i="30" s="1"/>
  <c r="B23" i="30" s="1"/>
  <c r="B24" i="30" s="1"/>
  <c r="B25" i="30" s="1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L46" i="30"/>
  <c r="M45" i="30"/>
  <c r="N45" i="30" s="1"/>
  <c r="E44" i="30"/>
  <c r="G44" i="30" s="1"/>
  <c r="M44" i="30" s="1"/>
  <c r="N44" i="30" s="1"/>
  <c r="E43" i="30"/>
  <c r="G43" i="30" s="1"/>
  <c r="M43" i="30" s="1"/>
  <c r="N43" i="30" s="1"/>
  <c r="E42" i="30"/>
  <c r="G42" i="30" s="1"/>
  <c r="M42" i="30" s="1"/>
  <c r="N42" i="30" s="1"/>
  <c r="E41" i="30"/>
  <c r="G41" i="30" s="1"/>
  <c r="M41" i="30" s="1"/>
  <c r="N41" i="30" s="1"/>
  <c r="E40" i="30"/>
  <c r="G40" i="30" s="1"/>
  <c r="M40" i="30" s="1"/>
  <c r="N40" i="30" s="1"/>
  <c r="E39" i="30"/>
  <c r="G39" i="30" s="1"/>
  <c r="M39" i="30" s="1"/>
  <c r="N39" i="30" s="1"/>
  <c r="E38" i="30"/>
  <c r="G38" i="30" s="1"/>
  <c r="M38" i="30" s="1"/>
  <c r="N38" i="30" s="1"/>
  <c r="E37" i="30"/>
  <c r="G37" i="30" s="1"/>
  <c r="M37" i="30" s="1"/>
  <c r="N37" i="30" s="1"/>
  <c r="E36" i="30"/>
  <c r="G36" i="30" s="1"/>
  <c r="M36" i="30" s="1"/>
  <c r="N36" i="30" s="1"/>
  <c r="E35" i="30"/>
  <c r="G35" i="30" s="1"/>
  <c r="M35" i="30" s="1"/>
  <c r="N35" i="30" s="1"/>
  <c r="E34" i="30"/>
  <c r="G34" i="30" s="1"/>
  <c r="M34" i="30" s="1"/>
  <c r="N34" i="30" s="1"/>
  <c r="E33" i="30"/>
  <c r="G33" i="30" s="1"/>
  <c r="M33" i="30" s="1"/>
  <c r="N33" i="30" s="1"/>
  <c r="E32" i="30"/>
  <c r="G32" i="30" s="1"/>
  <c r="M32" i="30" s="1"/>
  <c r="N32" i="30" s="1"/>
  <c r="E31" i="30"/>
  <c r="G31" i="30" s="1"/>
  <c r="M31" i="30" s="1"/>
  <c r="N31" i="30" s="1"/>
  <c r="E30" i="30"/>
  <c r="G30" i="30" s="1"/>
  <c r="M30" i="30" s="1"/>
  <c r="N30" i="30" s="1"/>
  <c r="E29" i="30"/>
  <c r="G29" i="30" s="1"/>
  <c r="M29" i="30" s="1"/>
  <c r="N29" i="30" s="1"/>
  <c r="E28" i="30"/>
  <c r="G28" i="30" s="1"/>
  <c r="M28" i="30" s="1"/>
  <c r="N28" i="30" s="1"/>
  <c r="G27" i="30"/>
  <c r="M27" i="30" s="1"/>
  <c r="N27" i="30" s="1"/>
  <c r="E27" i="30"/>
  <c r="E26" i="30"/>
  <c r="G26" i="30" s="1"/>
  <c r="M26" i="30" s="1"/>
  <c r="N26" i="30" s="1"/>
  <c r="E25" i="30"/>
  <c r="G25" i="30" s="1"/>
  <c r="M25" i="30" s="1"/>
  <c r="N25" i="30" s="1"/>
  <c r="E24" i="30"/>
  <c r="G24" i="30" s="1"/>
  <c r="M24" i="30" s="1"/>
  <c r="N24" i="30" s="1"/>
  <c r="G23" i="30"/>
  <c r="M23" i="30" s="1"/>
  <c r="N23" i="30" s="1"/>
  <c r="E23" i="30"/>
  <c r="E22" i="30"/>
  <c r="G22" i="30" s="1"/>
  <c r="M22" i="30" s="1"/>
  <c r="N22" i="30" s="1"/>
  <c r="E21" i="30"/>
  <c r="G21" i="30" s="1"/>
  <c r="M21" i="30" s="1"/>
  <c r="N21" i="30" s="1"/>
  <c r="E20" i="30"/>
  <c r="G20" i="30" s="1"/>
  <c r="M20" i="30" s="1"/>
  <c r="N20" i="30" s="1"/>
  <c r="G19" i="30"/>
  <c r="M19" i="30" s="1"/>
  <c r="N19" i="30" s="1"/>
  <c r="E19" i="30"/>
  <c r="E18" i="30"/>
  <c r="G18" i="30" s="1"/>
  <c r="M18" i="30" s="1"/>
  <c r="N18" i="30" s="1"/>
  <c r="E17" i="30"/>
  <c r="G17" i="30" s="1"/>
  <c r="M17" i="30" s="1"/>
  <c r="N17" i="30" s="1"/>
  <c r="E16" i="30"/>
  <c r="G16" i="30" s="1"/>
  <c r="M16" i="30" s="1"/>
  <c r="N16" i="30" s="1"/>
  <c r="E15" i="30"/>
  <c r="G15" i="30" s="1"/>
  <c r="L46" i="29"/>
  <c r="M45" i="29"/>
  <c r="N45" i="29" s="1"/>
  <c r="M40" i="29"/>
  <c r="N40" i="29" s="1"/>
  <c r="M32" i="29"/>
  <c r="N32" i="29" s="1"/>
  <c r="M24" i="29"/>
  <c r="N24" i="29" s="1"/>
  <c r="M16" i="29"/>
  <c r="N16" i="29" s="1"/>
  <c r="M46" i="31" l="1"/>
  <c r="N46" i="31" s="1"/>
  <c r="N15" i="31"/>
  <c r="M15" i="30"/>
  <c r="G46" i="30"/>
  <c r="M15" i="29"/>
  <c r="G46" i="29"/>
  <c r="L46" i="28"/>
  <c r="E45" i="28"/>
  <c r="G45" i="28" s="1"/>
  <c r="M45" i="28" s="1"/>
  <c r="N45" i="28" s="1"/>
  <c r="E44" i="28"/>
  <c r="G44" i="28" s="1"/>
  <c r="M44" i="28" s="1"/>
  <c r="N44" i="28" s="1"/>
  <c r="G43" i="28"/>
  <c r="M43" i="28" s="1"/>
  <c r="N43" i="28" s="1"/>
  <c r="E43" i="28"/>
  <c r="E42" i="28"/>
  <c r="G42" i="28" s="1"/>
  <c r="M42" i="28" s="1"/>
  <c r="N42" i="28" s="1"/>
  <c r="E41" i="28"/>
  <c r="G41" i="28" s="1"/>
  <c r="M41" i="28" s="1"/>
  <c r="N41" i="28" s="1"/>
  <c r="E40" i="28"/>
  <c r="G40" i="28" s="1"/>
  <c r="M40" i="28" s="1"/>
  <c r="N40" i="28" s="1"/>
  <c r="E39" i="28"/>
  <c r="G39" i="28" s="1"/>
  <c r="M39" i="28" s="1"/>
  <c r="N39" i="28" s="1"/>
  <c r="E38" i="28"/>
  <c r="G38" i="28" s="1"/>
  <c r="M38" i="28" s="1"/>
  <c r="N38" i="28" s="1"/>
  <c r="E37" i="28"/>
  <c r="G37" i="28" s="1"/>
  <c r="M37" i="28" s="1"/>
  <c r="N37" i="28" s="1"/>
  <c r="E36" i="28"/>
  <c r="G36" i="28" s="1"/>
  <c r="M36" i="28" s="1"/>
  <c r="N36" i="28" s="1"/>
  <c r="E35" i="28"/>
  <c r="G35" i="28" s="1"/>
  <c r="M35" i="28" s="1"/>
  <c r="N35" i="28" s="1"/>
  <c r="E34" i="28"/>
  <c r="G34" i="28" s="1"/>
  <c r="M34" i="28" s="1"/>
  <c r="N34" i="28" s="1"/>
  <c r="E33" i="28"/>
  <c r="G33" i="28" s="1"/>
  <c r="M33" i="28" s="1"/>
  <c r="N33" i="28" s="1"/>
  <c r="E32" i="28"/>
  <c r="G32" i="28" s="1"/>
  <c r="M32" i="28" s="1"/>
  <c r="N32" i="28" s="1"/>
  <c r="G31" i="28"/>
  <c r="M31" i="28" s="1"/>
  <c r="N31" i="28" s="1"/>
  <c r="E31" i="28"/>
  <c r="E30" i="28"/>
  <c r="G30" i="28" s="1"/>
  <c r="M30" i="28" s="1"/>
  <c r="N30" i="28" s="1"/>
  <c r="E29" i="28"/>
  <c r="G29" i="28" s="1"/>
  <c r="M29" i="28" s="1"/>
  <c r="N29" i="28" s="1"/>
  <c r="E28" i="28"/>
  <c r="G28" i="28" s="1"/>
  <c r="M28" i="28" s="1"/>
  <c r="N28" i="28" s="1"/>
  <c r="G27" i="28"/>
  <c r="M27" i="28" s="1"/>
  <c r="N27" i="28" s="1"/>
  <c r="E27" i="28"/>
  <c r="E26" i="28"/>
  <c r="G26" i="28" s="1"/>
  <c r="M26" i="28" s="1"/>
  <c r="N26" i="28" s="1"/>
  <c r="E25" i="28"/>
  <c r="G25" i="28" s="1"/>
  <c r="M25" i="28" s="1"/>
  <c r="N25" i="28" s="1"/>
  <c r="E24" i="28"/>
  <c r="G24" i="28" s="1"/>
  <c r="M24" i="28" s="1"/>
  <c r="N24" i="28" s="1"/>
  <c r="G23" i="28"/>
  <c r="M23" i="28" s="1"/>
  <c r="N23" i="28" s="1"/>
  <c r="E23" i="28"/>
  <c r="E22" i="28"/>
  <c r="G22" i="28" s="1"/>
  <c r="M22" i="28" s="1"/>
  <c r="N22" i="28" s="1"/>
  <c r="E21" i="28"/>
  <c r="G21" i="28" s="1"/>
  <c r="M21" i="28" s="1"/>
  <c r="N21" i="28" s="1"/>
  <c r="E20" i="28"/>
  <c r="G20" i="28" s="1"/>
  <c r="M20" i="28" s="1"/>
  <c r="N20" i="28" s="1"/>
  <c r="E19" i="28"/>
  <c r="G19" i="28" s="1"/>
  <c r="M19" i="28" s="1"/>
  <c r="N19" i="28" s="1"/>
  <c r="E18" i="28"/>
  <c r="G18" i="28" s="1"/>
  <c r="M18" i="28" s="1"/>
  <c r="N18" i="28" s="1"/>
  <c r="E17" i="28"/>
  <c r="G17" i="28" s="1"/>
  <c r="M17" i="28" s="1"/>
  <c r="N17" i="28" s="1"/>
  <c r="B17" i="28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E16" i="28"/>
  <c r="G16" i="28" s="1"/>
  <c r="M16" i="28" s="1"/>
  <c r="N16" i="28" s="1"/>
  <c r="B16" i="28"/>
  <c r="G15" i="28"/>
  <c r="E15" i="28"/>
  <c r="G45" i="27"/>
  <c r="E45" i="27"/>
  <c r="L46" i="27"/>
  <c r="M45" i="27"/>
  <c r="N45" i="27" s="1"/>
  <c r="E44" i="27"/>
  <c r="G44" i="27" s="1"/>
  <c r="M44" i="27" s="1"/>
  <c r="N44" i="27" s="1"/>
  <c r="G43" i="27"/>
  <c r="M43" i="27" s="1"/>
  <c r="N43" i="27" s="1"/>
  <c r="E43" i="27"/>
  <c r="E42" i="27"/>
  <c r="G42" i="27" s="1"/>
  <c r="M42" i="27" s="1"/>
  <c r="N42" i="27" s="1"/>
  <c r="E41" i="27"/>
  <c r="G41" i="27" s="1"/>
  <c r="M41" i="27" s="1"/>
  <c r="N41" i="27" s="1"/>
  <c r="E40" i="27"/>
  <c r="G40" i="27" s="1"/>
  <c r="M40" i="27" s="1"/>
  <c r="N40" i="27" s="1"/>
  <c r="E39" i="27"/>
  <c r="G39" i="27" s="1"/>
  <c r="M39" i="27" s="1"/>
  <c r="N39" i="27" s="1"/>
  <c r="E38" i="27"/>
  <c r="G38" i="27" s="1"/>
  <c r="M38" i="27" s="1"/>
  <c r="N38" i="27" s="1"/>
  <c r="E37" i="27"/>
  <c r="G37" i="27" s="1"/>
  <c r="M37" i="27" s="1"/>
  <c r="N37" i="27" s="1"/>
  <c r="E36" i="27"/>
  <c r="G36" i="27" s="1"/>
  <c r="M36" i="27" s="1"/>
  <c r="N36" i="27" s="1"/>
  <c r="G35" i="27"/>
  <c r="M35" i="27" s="1"/>
  <c r="N35" i="27" s="1"/>
  <c r="E35" i="27"/>
  <c r="E34" i="27"/>
  <c r="G34" i="27" s="1"/>
  <c r="M34" i="27" s="1"/>
  <c r="N34" i="27" s="1"/>
  <c r="E33" i="27"/>
  <c r="G33" i="27" s="1"/>
  <c r="M33" i="27" s="1"/>
  <c r="N33" i="27" s="1"/>
  <c r="E32" i="27"/>
  <c r="G32" i="27" s="1"/>
  <c r="M32" i="27" s="1"/>
  <c r="N32" i="27" s="1"/>
  <c r="E31" i="27"/>
  <c r="G31" i="27" s="1"/>
  <c r="M31" i="27" s="1"/>
  <c r="N31" i="27" s="1"/>
  <c r="E30" i="27"/>
  <c r="G30" i="27" s="1"/>
  <c r="M30" i="27" s="1"/>
  <c r="N30" i="27" s="1"/>
  <c r="E29" i="27"/>
  <c r="G29" i="27" s="1"/>
  <c r="M29" i="27" s="1"/>
  <c r="N29" i="27" s="1"/>
  <c r="E28" i="27"/>
  <c r="G28" i="27" s="1"/>
  <c r="M28" i="27" s="1"/>
  <c r="N28" i="27" s="1"/>
  <c r="G27" i="27"/>
  <c r="M27" i="27" s="1"/>
  <c r="N27" i="27" s="1"/>
  <c r="E27" i="27"/>
  <c r="E26" i="27"/>
  <c r="G26" i="27" s="1"/>
  <c r="M26" i="27" s="1"/>
  <c r="N26" i="27" s="1"/>
  <c r="E25" i="27"/>
  <c r="G25" i="27" s="1"/>
  <c r="M25" i="27" s="1"/>
  <c r="N25" i="27" s="1"/>
  <c r="E24" i="27"/>
  <c r="G24" i="27" s="1"/>
  <c r="M24" i="27" s="1"/>
  <c r="N24" i="27" s="1"/>
  <c r="E23" i="27"/>
  <c r="G23" i="27" s="1"/>
  <c r="M23" i="27" s="1"/>
  <c r="N23" i="27" s="1"/>
  <c r="E22" i="27"/>
  <c r="G22" i="27" s="1"/>
  <c r="M22" i="27" s="1"/>
  <c r="N22" i="27" s="1"/>
  <c r="E21" i="27"/>
  <c r="G21" i="27" s="1"/>
  <c r="M21" i="27" s="1"/>
  <c r="N21" i="27" s="1"/>
  <c r="E20" i="27"/>
  <c r="G20" i="27" s="1"/>
  <c r="M20" i="27" s="1"/>
  <c r="N20" i="27" s="1"/>
  <c r="E19" i="27"/>
  <c r="G19" i="27" s="1"/>
  <c r="M19" i="27" s="1"/>
  <c r="N19" i="27" s="1"/>
  <c r="E18" i="27"/>
  <c r="G18" i="27" s="1"/>
  <c r="M18" i="27" s="1"/>
  <c r="N18" i="27" s="1"/>
  <c r="E17" i="27"/>
  <c r="G17" i="27" s="1"/>
  <c r="M17" i="27" s="1"/>
  <c r="N17" i="27" s="1"/>
  <c r="E16" i="27"/>
  <c r="G16" i="27" s="1"/>
  <c r="M16" i="27" s="1"/>
  <c r="N16" i="27" s="1"/>
  <c r="B16" i="27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E15" i="27"/>
  <c r="G15" i="27" s="1"/>
  <c r="M46" i="30" l="1"/>
  <c r="N46" i="30" s="1"/>
  <c r="N15" i="30"/>
  <c r="M46" i="29"/>
  <c r="N46" i="29" s="1"/>
  <c r="N15" i="29"/>
  <c r="M15" i="28"/>
  <c r="G46" i="28"/>
  <c r="M15" i="27"/>
  <c r="G46" i="27"/>
  <c r="L46" i="24"/>
  <c r="M45" i="24"/>
  <c r="N45" i="24" s="1"/>
  <c r="E44" i="24"/>
  <c r="G44" i="24" s="1"/>
  <c r="M44" i="24" s="1"/>
  <c r="N44" i="24" s="1"/>
  <c r="E43" i="24"/>
  <c r="G43" i="24" s="1"/>
  <c r="M43" i="24" s="1"/>
  <c r="N43" i="24" s="1"/>
  <c r="E42" i="24"/>
  <c r="G42" i="24" s="1"/>
  <c r="M42" i="24" s="1"/>
  <c r="N42" i="24" s="1"/>
  <c r="E41" i="24"/>
  <c r="G41" i="24" s="1"/>
  <c r="M41" i="24" s="1"/>
  <c r="N41" i="24" s="1"/>
  <c r="E40" i="24"/>
  <c r="G40" i="24" s="1"/>
  <c r="M40" i="24" s="1"/>
  <c r="N40" i="24" s="1"/>
  <c r="E39" i="24"/>
  <c r="G39" i="24" s="1"/>
  <c r="M39" i="24" s="1"/>
  <c r="N39" i="24" s="1"/>
  <c r="G38" i="24"/>
  <c r="M38" i="24" s="1"/>
  <c r="N38" i="24" s="1"/>
  <c r="E38" i="24"/>
  <c r="E37" i="24"/>
  <c r="G37" i="24" s="1"/>
  <c r="M37" i="24" s="1"/>
  <c r="N37" i="24" s="1"/>
  <c r="E36" i="24"/>
  <c r="G36" i="24" s="1"/>
  <c r="M36" i="24" s="1"/>
  <c r="N36" i="24" s="1"/>
  <c r="E35" i="24"/>
  <c r="G35" i="24" s="1"/>
  <c r="M35" i="24" s="1"/>
  <c r="N35" i="24" s="1"/>
  <c r="E34" i="24"/>
  <c r="G34" i="24" s="1"/>
  <c r="M34" i="24" s="1"/>
  <c r="N34" i="24" s="1"/>
  <c r="E33" i="24"/>
  <c r="G33" i="24" s="1"/>
  <c r="M33" i="24" s="1"/>
  <c r="N33" i="24" s="1"/>
  <c r="E32" i="24"/>
  <c r="G32" i="24" s="1"/>
  <c r="M32" i="24" s="1"/>
  <c r="N32" i="24" s="1"/>
  <c r="E31" i="24"/>
  <c r="G31" i="24" s="1"/>
  <c r="M31" i="24" s="1"/>
  <c r="N31" i="24" s="1"/>
  <c r="E30" i="24"/>
  <c r="G30" i="24" s="1"/>
  <c r="M30" i="24" s="1"/>
  <c r="N30" i="24" s="1"/>
  <c r="E29" i="24"/>
  <c r="G29" i="24" s="1"/>
  <c r="M29" i="24" s="1"/>
  <c r="N29" i="24" s="1"/>
  <c r="E28" i="24"/>
  <c r="G28" i="24" s="1"/>
  <c r="M28" i="24" s="1"/>
  <c r="N28" i="24" s="1"/>
  <c r="E27" i="24"/>
  <c r="G27" i="24" s="1"/>
  <c r="M27" i="24" s="1"/>
  <c r="N27" i="24" s="1"/>
  <c r="E26" i="24"/>
  <c r="G26" i="24" s="1"/>
  <c r="M26" i="24" s="1"/>
  <c r="N26" i="24" s="1"/>
  <c r="E25" i="24"/>
  <c r="G25" i="24" s="1"/>
  <c r="M25" i="24" s="1"/>
  <c r="N25" i="24" s="1"/>
  <c r="E24" i="24"/>
  <c r="G24" i="24" s="1"/>
  <c r="M24" i="24" s="1"/>
  <c r="N24" i="24" s="1"/>
  <c r="E23" i="24"/>
  <c r="G23" i="24" s="1"/>
  <c r="M23" i="24" s="1"/>
  <c r="N23" i="24" s="1"/>
  <c r="E22" i="24"/>
  <c r="G22" i="24" s="1"/>
  <c r="M22" i="24" s="1"/>
  <c r="N22" i="24" s="1"/>
  <c r="E21" i="24"/>
  <c r="G21" i="24" s="1"/>
  <c r="M21" i="24" s="1"/>
  <c r="N21" i="24" s="1"/>
  <c r="E20" i="24"/>
  <c r="G20" i="24" s="1"/>
  <c r="M20" i="24" s="1"/>
  <c r="N20" i="24" s="1"/>
  <c r="E19" i="24"/>
  <c r="G19" i="24" s="1"/>
  <c r="M19" i="24" s="1"/>
  <c r="N19" i="24" s="1"/>
  <c r="E18" i="24"/>
  <c r="G18" i="24" s="1"/>
  <c r="M18" i="24" s="1"/>
  <c r="N18" i="24" s="1"/>
  <c r="E17" i="24"/>
  <c r="G17" i="24" s="1"/>
  <c r="M17" i="24" s="1"/>
  <c r="N17" i="24" s="1"/>
  <c r="E16" i="24"/>
  <c r="G16" i="24" s="1"/>
  <c r="M16" i="24" s="1"/>
  <c r="N16" i="24" s="1"/>
  <c r="B16" i="24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E15" i="24"/>
  <c r="G15" i="24" s="1"/>
  <c r="M15" i="24" s="1"/>
  <c r="M46" i="28" l="1"/>
  <c r="N46" i="28" s="1"/>
  <c r="N15" i="28"/>
  <c r="M46" i="27"/>
  <c r="N46" i="27" s="1"/>
  <c r="N15" i="27"/>
  <c r="N15" i="24"/>
  <c r="M46" i="24"/>
  <c r="N46" i="24" s="1"/>
  <c r="G46" i="24"/>
  <c r="C17" i="11"/>
  <c r="D17" i="11" l="1"/>
  <c r="E17" i="11" s="1"/>
  <c r="L14" i="11" l="1"/>
  <c r="C16" i="11"/>
  <c r="C15" i="11"/>
  <c r="J41" i="17"/>
  <c r="C14" i="11" s="1"/>
  <c r="C18" i="11" l="1"/>
  <c r="D15" i="11"/>
  <c r="E15" i="11" s="1"/>
  <c r="E39" i="17"/>
  <c r="D16" i="11" l="1"/>
  <c r="F16" i="11" l="1"/>
  <c r="E16" i="11"/>
  <c r="F17" i="11"/>
  <c r="E40" i="17" l="1"/>
  <c r="G40" i="17" s="1"/>
  <c r="K40" i="17" s="1"/>
  <c r="L40" i="17" s="1"/>
  <c r="G39" i="17"/>
  <c r="K39" i="17" s="1"/>
  <c r="L39" i="17" s="1"/>
  <c r="E38" i="17"/>
  <c r="G38" i="17" s="1"/>
  <c r="K38" i="17" s="1"/>
  <c r="L38" i="17" s="1"/>
  <c r="E37" i="17"/>
  <c r="G37" i="17" s="1"/>
  <c r="K37" i="17" s="1"/>
  <c r="L37" i="17" s="1"/>
  <c r="E36" i="17"/>
  <c r="G36" i="17" s="1"/>
  <c r="K36" i="17" s="1"/>
  <c r="L36" i="17" s="1"/>
  <c r="E35" i="17"/>
  <c r="G35" i="17" s="1"/>
  <c r="K35" i="17" s="1"/>
  <c r="L35" i="17" s="1"/>
  <c r="E34" i="17"/>
  <c r="G34" i="17" s="1"/>
  <c r="K34" i="17" s="1"/>
  <c r="L34" i="17" s="1"/>
  <c r="E33" i="17"/>
  <c r="G33" i="17" s="1"/>
  <c r="K33" i="17" s="1"/>
  <c r="L33" i="17" s="1"/>
  <c r="E32" i="17"/>
  <c r="G32" i="17" s="1"/>
  <c r="K32" i="17" s="1"/>
  <c r="L32" i="17" s="1"/>
  <c r="E31" i="17"/>
  <c r="G31" i="17" s="1"/>
  <c r="K31" i="17" s="1"/>
  <c r="L31" i="17" s="1"/>
  <c r="E30" i="17"/>
  <c r="G30" i="17" s="1"/>
  <c r="K30" i="17" s="1"/>
  <c r="L30" i="17" s="1"/>
  <c r="E29" i="17"/>
  <c r="G29" i="17" s="1"/>
  <c r="K29" i="17" s="1"/>
  <c r="L29" i="17" s="1"/>
  <c r="E28" i="17"/>
  <c r="G28" i="17" s="1"/>
  <c r="K28" i="17" s="1"/>
  <c r="L28" i="17" s="1"/>
  <c r="G27" i="17"/>
  <c r="K27" i="17" s="1"/>
  <c r="L27" i="17" s="1"/>
  <c r="E27" i="17"/>
  <c r="E26" i="17"/>
  <c r="G26" i="17" s="1"/>
  <c r="K26" i="17" s="1"/>
  <c r="L26" i="17" s="1"/>
  <c r="E25" i="17"/>
  <c r="G25" i="17" s="1"/>
  <c r="K25" i="17" s="1"/>
  <c r="L25" i="17" s="1"/>
  <c r="E24" i="17"/>
  <c r="G24" i="17" s="1"/>
  <c r="K24" i="17" s="1"/>
  <c r="L24" i="17" s="1"/>
  <c r="E23" i="17"/>
  <c r="G23" i="17" s="1"/>
  <c r="K23" i="17" s="1"/>
  <c r="L23" i="17" s="1"/>
  <c r="E22" i="17"/>
  <c r="G22" i="17" s="1"/>
  <c r="K22" i="17" s="1"/>
  <c r="L22" i="17" s="1"/>
  <c r="E21" i="17"/>
  <c r="G21" i="17" s="1"/>
  <c r="K21" i="17" s="1"/>
  <c r="L21" i="17" s="1"/>
  <c r="E20" i="17"/>
  <c r="G20" i="17" s="1"/>
  <c r="K20" i="17" s="1"/>
  <c r="L20" i="17" s="1"/>
  <c r="E19" i="17"/>
  <c r="G19" i="17" s="1"/>
  <c r="K19" i="17" s="1"/>
  <c r="L19" i="17" s="1"/>
  <c r="E18" i="17"/>
  <c r="G18" i="17" s="1"/>
  <c r="K18" i="17" s="1"/>
  <c r="L18" i="17" s="1"/>
  <c r="E17" i="17"/>
  <c r="G17" i="17" s="1"/>
  <c r="K17" i="17" s="1"/>
  <c r="L17" i="17" s="1"/>
  <c r="E16" i="17"/>
  <c r="G16" i="17" s="1"/>
  <c r="K16" i="17" s="1"/>
  <c r="L16" i="17" s="1"/>
  <c r="E15" i="17"/>
  <c r="G15" i="17" s="1"/>
  <c r="K15" i="17" s="1"/>
  <c r="L15" i="17" s="1"/>
  <c r="E14" i="17"/>
  <c r="G14" i="17" s="1"/>
  <c r="K14" i="17" s="1"/>
  <c r="L14" i="17" s="1"/>
  <c r="E13" i="17"/>
  <c r="G13" i="17" s="1"/>
  <c r="K13" i="17" s="1"/>
  <c r="L13" i="17" s="1"/>
  <c r="E12" i="17"/>
  <c r="G12" i="17" s="1"/>
  <c r="K12" i="17" s="1"/>
  <c r="L12" i="17" s="1"/>
  <c r="E11" i="17"/>
  <c r="G11" i="17" s="1"/>
  <c r="K11" i="17" s="1"/>
  <c r="L11" i="17" s="1"/>
  <c r="B11" i="17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E10" i="17"/>
  <c r="G10" i="17" s="1"/>
  <c r="K10" i="17" s="1"/>
  <c r="L10" i="17" s="1"/>
  <c r="K41" i="17" l="1"/>
  <c r="L41" i="17" s="1"/>
  <c r="G41" i="17"/>
  <c r="D14" i="11" s="1"/>
  <c r="E14" i="11" s="1"/>
  <c r="L15" i="11"/>
  <c r="F14" i="11" l="1"/>
  <c r="F15" i="11"/>
  <c r="D18" i="11"/>
  <c r="E18" i="11" l="1"/>
  <c r="D20" i="11"/>
  <c r="F18" i="11"/>
  <c r="F20" i="11" l="1"/>
</calcChain>
</file>

<file path=xl/sharedStrings.xml><?xml version="1.0" encoding="utf-8"?>
<sst xmlns="http://schemas.openxmlformats.org/spreadsheetml/2006/main" count="441" uniqueCount="61">
  <si>
    <t>Horas Brutas</t>
  </si>
  <si>
    <t>Data</t>
  </si>
  <si>
    <t>TOTAL MÊS</t>
  </si>
  <si>
    <t>Mês</t>
  </si>
  <si>
    <t>Saldo Restante</t>
  </si>
  <si>
    <t>Cliente</t>
  </si>
  <si>
    <t>Projeto</t>
  </si>
  <si>
    <t>Período</t>
  </si>
  <si>
    <t>Consultores</t>
  </si>
  <si>
    <t>%</t>
  </si>
  <si>
    <t>CONTROLE DE HORAS</t>
  </si>
  <si>
    <t>Jorge Maluf</t>
  </si>
  <si>
    <t>Início</t>
  </si>
  <si>
    <t>Término</t>
  </si>
  <si>
    <t>Sonda IT (Banco Votorantim)</t>
  </si>
  <si>
    <t>Intervalo</t>
  </si>
  <si>
    <t>VENDIDAS</t>
  </si>
  <si>
    <t>REALIZADAS</t>
  </si>
  <si>
    <t>GAP</t>
  </si>
  <si>
    <t>Horas 
Vendidas</t>
  </si>
  <si>
    <t>Horas 
Consumidas</t>
  </si>
  <si>
    <t>GAP 
Horas</t>
  </si>
  <si>
    <t>% Consumido 
sobre Total</t>
  </si>
  <si>
    <t>Gap Analysis: Gestão de Acessos Lógicos</t>
  </si>
  <si>
    <t>280 Horas de Consultoria</t>
  </si>
  <si>
    <t xml:space="preserve"> Setembro/2015</t>
  </si>
  <si>
    <t xml:space="preserve"> Agosto/2015</t>
  </si>
  <si>
    <t xml:space="preserve"> Julho/2015</t>
  </si>
  <si>
    <t>% Restante</t>
  </si>
  <si>
    <t>Horas Totais</t>
  </si>
  <si>
    <t>% Total</t>
  </si>
  <si>
    <t>Contratado</t>
  </si>
  <si>
    <t>Atualização: 15-10-15</t>
  </si>
  <si>
    <t xml:space="preserve"> Outubro/2015</t>
  </si>
  <si>
    <t>Já considerando 10% adicionais às 280 horas vendidas</t>
  </si>
  <si>
    <t>Foi necessário consumir mais 60 horas, além das 
308 horas combinadas (280 + 28).</t>
  </si>
  <si>
    <t>Agosto de 2016</t>
  </si>
  <si>
    <t>Consultor</t>
  </si>
  <si>
    <t>Tânia Ferro</t>
  </si>
  <si>
    <t>Horas Líquidas
(Faturáveis)</t>
  </si>
  <si>
    <t>CHACON CONSULTORIA ILIMITADA
CONTROLE DE HORAS</t>
  </si>
  <si>
    <t>Serviço</t>
  </si>
  <si>
    <t>Consultoria em Processos</t>
  </si>
  <si>
    <t>Escopo</t>
  </si>
  <si>
    <t>Evolução de Processos de Gestão TI</t>
  </si>
  <si>
    <t>Responsável</t>
  </si>
  <si>
    <t>Adriano Sarno Barbosa</t>
  </si>
  <si>
    <t>Gerente de Infra, Arquitetura e Operações de TI</t>
  </si>
  <si>
    <t>SMILES S.A.</t>
  </si>
  <si>
    <t>Tema / Assunto</t>
  </si>
  <si>
    <t>Aceito as horas acima reportadas para fins de cumprimento de contrato e faturamento.</t>
  </si>
  <si>
    <t>Visto/Carimbo</t>
  </si>
  <si>
    <t>Setembro de 2016</t>
  </si>
  <si>
    <t>RFP N1</t>
  </si>
  <si>
    <t>Processo de Ger Incidentes de TI para Auditoria</t>
  </si>
  <si>
    <t>Processo de Ger. Incidentes de SI / Arquitetura Ágil</t>
  </si>
  <si>
    <t>Principais Temas / Assuntos</t>
  </si>
  <si>
    <t>Visto/Carimbo 
do Responsável</t>
  </si>
  <si>
    <t>Outubro de 2016</t>
  </si>
  <si>
    <t>Novembro de 2016</t>
  </si>
  <si>
    <t>Dezembro de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</si>
</sst>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[h]:mm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medium">
        <color theme="3" tint="-0.24994659260841701"/>
      </left>
      <right/>
      <top style="medium">
        <color theme="3" tint="-0.24994659260841701"/>
      </top>
      <bottom/>
      <diagonal/>
    </border>
    <border>
      <left/>
      <right/>
      <top style="medium">
        <color theme="3" tint="-0.24994659260841701"/>
      </top>
      <bottom/>
      <diagonal/>
    </border>
    <border>
      <left/>
      <right style="medium">
        <color theme="3" tint="-0.24994659260841701"/>
      </right>
      <top style="medium">
        <color theme="3" tint="-0.24994659260841701"/>
      </top>
      <bottom/>
      <diagonal/>
    </border>
    <border>
      <left style="medium">
        <color theme="3" tint="-0.24994659260841701"/>
      </left>
      <right style="hair">
        <color theme="3" tint="-0.24994659260841701"/>
      </right>
      <top/>
      <bottom style="hair">
        <color auto="1"/>
      </bottom>
      <diagonal/>
    </border>
    <border>
      <left style="hair">
        <color theme="3" tint="-0.24994659260841701"/>
      </left>
      <right style="hair">
        <color theme="3" tint="-0.24994659260841701"/>
      </right>
      <top/>
      <bottom style="hair">
        <color auto="1"/>
      </bottom>
      <diagonal/>
    </border>
    <border>
      <left style="hair">
        <color theme="3" tint="-0.24994659260841701"/>
      </left>
      <right style="medium">
        <color theme="3" tint="-0.24994659260841701"/>
      </right>
      <top/>
      <bottom style="hair">
        <color auto="1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hair">
        <color theme="3" tint="-0.24994659260841701"/>
      </right>
      <top style="hair">
        <color auto="1"/>
      </top>
      <bottom style="medium">
        <color theme="3" tint="-0.24994659260841701"/>
      </bottom>
      <diagonal/>
    </border>
    <border>
      <left/>
      <right style="hair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/>
      <diagonal/>
    </border>
    <border>
      <left/>
      <right style="medium">
        <color theme="3" tint="-0.24994659260841701"/>
      </right>
      <top/>
      <bottom/>
      <diagonal/>
    </border>
    <border>
      <left/>
      <right/>
      <top/>
      <bottom style="medium">
        <color theme="3" tint="-0.24994659260841701"/>
      </bottom>
      <diagonal/>
    </border>
    <border>
      <left/>
      <right style="medium">
        <color theme="3" tint="-0.24994659260841701"/>
      </right>
      <top/>
      <bottom style="medium">
        <color theme="3" tint="-0.24994659260841701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medium">
        <color theme="3" tint="-0.249977111117893"/>
      </left>
      <right/>
      <top style="medium">
        <color theme="3" tint="-0.249977111117893"/>
      </top>
      <bottom/>
      <diagonal/>
    </border>
    <border>
      <left style="medium">
        <color theme="3" tint="-0.249977111117893"/>
      </left>
      <right/>
      <top/>
      <bottom/>
      <diagonal/>
    </border>
    <border>
      <left style="medium">
        <color theme="3" tint="-0.249977111117893"/>
      </left>
      <right/>
      <top/>
      <bottom style="medium">
        <color theme="3" tint="-0.249977111117893"/>
      </bottom>
      <diagonal/>
    </border>
    <border>
      <left/>
      <right style="medium">
        <color theme="3" tint="-0.24994659260841701"/>
      </right>
      <top/>
      <bottom style="hair">
        <color auto="1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hair">
        <color auto="1"/>
      </bottom>
      <diagonal/>
    </border>
    <border>
      <left style="medium">
        <color theme="3" tint="-0.249977111117893"/>
      </left>
      <right style="medium">
        <color theme="3" tint="-0.249977111117893"/>
      </right>
      <top style="hair">
        <color auto="1"/>
      </top>
      <bottom style="hair">
        <color auto="1"/>
      </bottom>
      <diagonal/>
    </border>
    <border>
      <left style="medium">
        <color theme="3" tint="-0.249977111117893"/>
      </left>
      <right style="medium">
        <color theme="3" tint="-0.249977111117893"/>
      </right>
      <top style="hair">
        <color auto="1"/>
      </top>
      <bottom style="medium">
        <color theme="3" tint="-0.249977111117893"/>
      </bottom>
      <diagonal/>
    </border>
    <border>
      <left style="hair">
        <color theme="3" tint="-0.24994659260841701"/>
      </left>
      <right style="medium">
        <color theme="3" tint="-0.24994659260841701"/>
      </right>
      <top/>
      <bottom/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/>
      <diagonal/>
    </border>
    <border>
      <left style="medium">
        <color theme="3" tint="-0.249977111117893"/>
      </left>
      <right style="medium">
        <color theme="3" tint="-0.249977111117893"/>
      </right>
      <top/>
      <bottom/>
      <diagonal/>
    </border>
    <border>
      <left style="medium">
        <color theme="3" tint="-0.249977111117893"/>
      </left>
      <right style="medium">
        <color theme="3" tint="-0.249977111117893"/>
      </right>
      <top/>
      <bottom style="medium">
        <color theme="3" tint="-0.249977111117893"/>
      </bottom>
      <diagonal/>
    </border>
    <border>
      <left style="medium">
        <color theme="3" tint="-0.24994659260841701"/>
      </left>
      <right style="hair">
        <color theme="3" tint="-0.24994659260841701"/>
      </right>
      <top/>
      <bottom/>
      <diagonal/>
    </border>
    <border>
      <left style="medium">
        <color rgb="FF16365C"/>
      </left>
      <right style="medium">
        <color rgb="FF16365C"/>
      </right>
      <top style="medium">
        <color rgb="FF16365C"/>
      </top>
      <bottom style="medium">
        <color rgb="FF16365C"/>
      </bottom>
      <diagonal/>
    </border>
    <border>
      <left style="medium">
        <color rgb="FF16365C"/>
      </left>
      <right/>
      <top style="medium">
        <color rgb="FF16365C"/>
      </top>
      <bottom/>
      <diagonal/>
    </border>
    <border>
      <left/>
      <right/>
      <top style="medium">
        <color rgb="FF16365C"/>
      </top>
      <bottom/>
      <diagonal/>
    </border>
    <border>
      <left/>
      <right style="medium">
        <color rgb="FF16365C"/>
      </right>
      <top style="medium">
        <color rgb="FF16365C"/>
      </top>
      <bottom/>
      <diagonal/>
    </border>
    <border>
      <left/>
      <right style="medium">
        <color rgb="FF16365C"/>
      </right>
      <top/>
      <bottom/>
      <diagonal/>
    </border>
    <border>
      <left/>
      <right/>
      <top/>
      <bottom style="medium">
        <color rgb="FF16365C"/>
      </bottom>
      <diagonal/>
    </border>
    <border>
      <left/>
      <right style="medium">
        <color rgb="FF16365C"/>
      </right>
      <top/>
      <bottom style="medium">
        <color rgb="FF16365C"/>
      </bottom>
      <diagonal/>
    </border>
    <border>
      <left style="medium">
        <color rgb="FF16365C"/>
      </left>
      <right style="medium">
        <color rgb="FF16365C"/>
      </right>
      <top style="medium">
        <color rgb="FF16365C"/>
      </top>
      <bottom/>
      <diagonal/>
    </border>
    <border>
      <left style="medium">
        <color rgb="FF16365C"/>
      </left>
      <right style="medium">
        <color rgb="FF16365C"/>
      </right>
      <top/>
      <bottom/>
      <diagonal/>
    </border>
    <border>
      <left style="medium">
        <color rgb="FF16365C"/>
      </left>
      <right style="medium">
        <color rgb="FF16365C"/>
      </right>
      <top/>
      <bottom style="medium">
        <color rgb="FF16365C"/>
      </bottom>
      <diagonal/>
    </border>
    <border>
      <left style="medium">
        <color rgb="FF16365C"/>
      </left>
      <right/>
      <top/>
      <bottom style="medium">
        <color rgb="FF16365C"/>
      </bottom>
      <diagonal/>
    </border>
    <border>
      <left style="medium">
        <color rgb="FF16365C"/>
      </left>
      <right/>
      <top/>
      <bottom/>
      <diagonal/>
    </border>
    <border>
      <left/>
      <right style="medium">
        <color rgb="FF16365C"/>
      </right>
      <top style="medium">
        <color theme="3" tint="-0.24994659260841701"/>
      </top>
      <bottom/>
      <diagonal/>
    </border>
    <border>
      <left/>
      <right style="medium">
        <color rgb="FF16365C"/>
      </right>
      <top style="medium">
        <color theme="3" tint="-0.24994659260841701"/>
      </top>
      <bottom style="medium">
        <color rgb="FF16365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16365C"/>
      </left>
      <right style="thin">
        <color rgb="FF16365C"/>
      </right>
      <top style="medium">
        <color rgb="FF16365C"/>
      </top>
      <bottom style="medium">
        <color rgb="FF16365C"/>
      </bottom>
      <diagonal/>
    </border>
    <border>
      <left style="thin">
        <color rgb="FF16365C"/>
      </left>
      <right style="thin">
        <color rgb="FF16365C"/>
      </right>
      <top style="medium">
        <color rgb="FF16365C"/>
      </top>
      <bottom style="medium">
        <color rgb="FF16365C"/>
      </bottom>
      <diagonal/>
    </border>
    <border>
      <left style="thin">
        <color rgb="FF16365C"/>
      </left>
      <right style="medium">
        <color rgb="FF16365C"/>
      </right>
      <top style="medium">
        <color rgb="FF16365C"/>
      </top>
      <bottom style="medium">
        <color rgb="FF16365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rgb="FF16365C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rgb="FF16365C"/>
      </right>
      <top/>
      <bottom style="thin">
        <color theme="0"/>
      </bottom>
      <diagonal/>
    </border>
    <border>
      <left style="medium">
        <color rgb="FF16365C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rgb="FF16365C"/>
      </right>
      <top style="thin">
        <color theme="0"/>
      </top>
      <bottom style="thin">
        <color theme="0"/>
      </bottom>
      <diagonal/>
    </border>
    <border>
      <left style="medium">
        <color rgb="FF16365C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rgb="FF16365C"/>
      </right>
      <top style="thin">
        <color theme="0"/>
      </top>
      <bottom/>
      <diagonal/>
    </border>
  </borders>
  <cellStyleXfs count="3">
    <xf numFmtId="0" fontId="0" fillId="0" borderId="0"/>
    <xf numFmtId="44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183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1" fillId="2" borderId="0" xfId="0" applyFont="1" applyFill="1" applyBorder="1" applyAlignment="1">
      <alignment horizontal="center"/>
    </xf>
    <xf numFmtId="20" fontId="5" fillId="2" borderId="0" xfId="0" applyNumberFormat="1" applyFont="1" applyFill="1" applyBorder="1" applyAlignment="1">
      <alignment horizontal="center"/>
    </xf>
    <xf numFmtId="0" fontId="0" fillId="2" borderId="0" xfId="0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left" vertical="center" indent="1"/>
    </xf>
    <xf numFmtId="0" fontId="0" fillId="2" borderId="0" xfId="0" applyNumberFormat="1" applyFill="1"/>
    <xf numFmtId="9" fontId="3" fillId="2" borderId="0" xfId="0" applyNumberFormat="1" applyFont="1" applyFill="1"/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center"/>
    </xf>
    <xf numFmtId="16" fontId="8" fillId="2" borderId="0" xfId="0" applyNumberFormat="1" applyFont="1" applyFill="1" applyAlignment="1">
      <alignment horizontal="right"/>
    </xf>
    <xf numFmtId="10" fontId="8" fillId="2" borderId="0" xfId="0" applyNumberFormat="1" applyFont="1" applyFill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 indent="1"/>
    </xf>
    <xf numFmtId="0" fontId="11" fillId="3" borderId="12" xfId="0" applyFont="1" applyFill="1" applyBorder="1" applyAlignment="1">
      <alignment horizontal="left" vertical="center" indent="1"/>
    </xf>
    <xf numFmtId="49" fontId="2" fillId="2" borderId="0" xfId="0" applyNumberFormat="1" applyFont="1" applyFill="1"/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left" vertical="center" indent="1"/>
    </xf>
    <xf numFmtId="0" fontId="5" fillId="2" borderId="19" xfId="0" applyFont="1" applyFill="1" applyBorder="1" applyAlignment="1">
      <alignment horizontal="left" vertical="center" indent="1"/>
    </xf>
    <xf numFmtId="0" fontId="5" fillId="2" borderId="20" xfId="0" applyFont="1" applyFill="1" applyBorder="1" applyAlignment="1">
      <alignment horizontal="left" vertical="center" indent="1"/>
    </xf>
    <xf numFmtId="10" fontId="5" fillId="2" borderId="6" xfId="0" applyNumberFormat="1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" fontId="5" fillId="2" borderId="4" xfId="0" quotePrefix="1" applyNumberFormat="1" applyFont="1" applyFill="1" applyBorder="1" applyAlignment="1">
      <alignment horizontal="left" vertical="center"/>
    </xf>
    <xf numFmtId="16" fontId="10" fillId="0" borderId="10" xfId="0" quotePrefix="1" applyNumberFormat="1" applyFont="1" applyFill="1" applyBorder="1" applyAlignment="1">
      <alignment horizontal="left" vertic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5" fillId="2" borderId="0" xfId="0" applyFont="1" applyFill="1" applyAlignment="1">
      <alignment vertical="center"/>
    </xf>
    <xf numFmtId="0" fontId="0" fillId="2" borderId="0" xfId="0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20" fontId="3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6" fontId="4" fillId="0" borderId="0" xfId="0" applyNumberFormat="1" applyFont="1" applyFill="1" applyBorder="1" applyAlignment="1">
      <alignment horizontal="center" vertical="center"/>
    </xf>
    <xf numFmtId="0" fontId="12" fillId="2" borderId="0" xfId="0" applyFont="1" applyFill="1"/>
    <xf numFmtId="10" fontId="10" fillId="2" borderId="9" xfId="0" applyNumberFormat="1" applyFont="1" applyFill="1" applyBorder="1" applyAlignment="1">
      <alignment horizontal="center" vertical="center"/>
    </xf>
    <xf numFmtId="164" fontId="11" fillId="3" borderId="8" xfId="0" applyNumberFormat="1" applyFont="1" applyFill="1" applyBorder="1" applyAlignment="1">
      <alignment horizontal="center" vertical="center"/>
    </xf>
    <xf numFmtId="10" fontId="11" fillId="3" borderId="9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vertical="center"/>
    </xf>
    <xf numFmtId="0" fontId="13" fillId="2" borderId="0" xfId="0" applyFont="1" applyFill="1"/>
    <xf numFmtId="16" fontId="5" fillId="2" borderId="29" xfId="0" quotePrefix="1" applyNumberFormat="1" applyFont="1" applyFill="1" applyBorder="1" applyAlignment="1">
      <alignment horizontal="left" vertical="center"/>
    </xf>
    <xf numFmtId="10" fontId="16" fillId="2" borderId="9" xfId="0" applyNumberFormat="1" applyFont="1" applyFill="1" applyBorder="1" applyAlignment="1">
      <alignment horizontal="center" vertical="center"/>
    </xf>
    <xf numFmtId="0" fontId="15" fillId="2" borderId="0" xfId="0" applyFont="1" applyFill="1"/>
    <xf numFmtId="16" fontId="17" fillId="2" borderId="0" xfId="0" applyNumberFormat="1" applyFont="1" applyFill="1"/>
    <xf numFmtId="9" fontId="17" fillId="2" borderId="0" xfId="0" applyNumberFormat="1" applyFont="1" applyFill="1"/>
    <xf numFmtId="164" fontId="10" fillId="6" borderId="11" xfId="0" applyNumberFormat="1" applyFont="1" applyFill="1" applyBorder="1" applyAlignment="1">
      <alignment horizontal="center" vertical="center"/>
    </xf>
    <xf numFmtId="164" fontId="16" fillId="6" borderId="1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2" borderId="32" xfId="0" applyFill="1" applyBorder="1" applyAlignment="1">
      <alignment horizontal="left" vertical="center" indent="1"/>
    </xf>
    <xf numFmtId="0" fontId="0" fillId="2" borderId="32" xfId="0" applyFill="1" applyBorder="1"/>
    <xf numFmtId="0" fontId="2" fillId="2" borderId="34" xfId="0" applyFont="1" applyFill="1" applyBorder="1"/>
    <xf numFmtId="0" fontId="5" fillId="2" borderId="35" xfId="0" applyFont="1" applyFill="1" applyBorder="1" applyAlignment="1">
      <alignment horizontal="left" vertical="center" indent="1"/>
    </xf>
    <xf numFmtId="0" fontId="0" fillId="2" borderId="35" xfId="0" applyFill="1" applyBorder="1" applyAlignment="1">
      <alignment horizontal="left" vertical="center" indent="1"/>
    </xf>
    <xf numFmtId="0" fontId="0" fillId="2" borderId="35" xfId="0" applyFill="1" applyBorder="1"/>
    <xf numFmtId="0" fontId="2" fillId="2" borderId="36" xfId="0" applyFont="1" applyFill="1" applyBorder="1"/>
    <xf numFmtId="0" fontId="5" fillId="2" borderId="33" xfId="0" applyFont="1" applyFill="1" applyBorder="1" applyAlignment="1">
      <alignment horizontal="left" vertical="center" indent="1"/>
    </xf>
    <xf numFmtId="0" fontId="5" fillId="2" borderId="34" xfId="0" applyFont="1" applyFill="1" applyBorder="1" applyAlignment="1">
      <alignment horizontal="left" vertical="center" indent="1"/>
    </xf>
    <xf numFmtId="0" fontId="5" fillId="2" borderId="36" xfId="0" applyFont="1" applyFill="1" applyBorder="1" applyAlignment="1">
      <alignment horizontal="left" vertical="center" indent="1"/>
    </xf>
    <xf numFmtId="0" fontId="0" fillId="2" borderId="33" xfId="0" applyFill="1" applyBorder="1"/>
    <xf numFmtId="0" fontId="0" fillId="2" borderId="36" xfId="0" applyFill="1" applyBorder="1"/>
    <xf numFmtId="0" fontId="19" fillId="2" borderId="0" xfId="0" applyFont="1" applyFill="1" applyBorder="1" applyAlignment="1">
      <alignment horizontal="left" vertical="center" indent="1"/>
    </xf>
    <xf numFmtId="0" fontId="0" fillId="2" borderId="34" xfId="0" applyFill="1" applyBorder="1"/>
    <xf numFmtId="0" fontId="11" fillId="3" borderId="33" xfId="0" applyFont="1" applyFill="1" applyBorder="1" applyAlignment="1">
      <alignment horizontal="right" vertical="center" indent="1"/>
    </xf>
    <xf numFmtId="0" fontId="11" fillId="3" borderId="42" xfId="0" applyFont="1" applyFill="1" applyBorder="1" applyAlignment="1">
      <alignment horizontal="right" vertical="center" indent="1"/>
    </xf>
    <xf numFmtId="0" fontId="11" fillId="3" borderId="43" xfId="0" applyFont="1" applyFill="1" applyBorder="1" applyAlignment="1">
      <alignment horizontal="right" vertical="center" indent="1"/>
    </xf>
    <xf numFmtId="0" fontId="1" fillId="3" borderId="46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1" fillId="4" borderId="17" xfId="0" applyNumberFormat="1" applyFont="1" applyFill="1" applyBorder="1" applyAlignment="1">
      <alignment horizontal="center" vertical="center"/>
    </xf>
    <xf numFmtId="16" fontId="1" fillId="3" borderId="46" xfId="0" applyNumberFormat="1" applyFont="1" applyFill="1" applyBorder="1" applyAlignment="1">
      <alignment horizontal="center" vertical="center"/>
    </xf>
    <xf numFmtId="164" fontId="21" fillId="3" borderId="47" xfId="0" applyNumberFormat="1" applyFont="1" applyFill="1" applyBorder="1" applyAlignment="1">
      <alignment horizontal="center" vertical="center"/>
    </xf>
    <xf numFmtId="0" fontId="21" fillId="3" borderId="47" xfId="0" applyFont="1" applyFill="1" applyBorder="1" applyAlignment="1">
      <alignment horizontal="center" vertical="center"/>
    </xf>
    <xf numFmtId="164" fontId="1" fillId="3" borderId="48" xfId="0" applyNumberFormat="1" applyFont="1" applyFill="1" applyBorder="1" applyAlignment="1">
      <alignment horizontal="center" vertical="center"/>
    </xf>
    <xf numFmtId="20" fontId="3" fillId="7" borderId="45" xfId="0" applyNumberFormat="1" applyFont="1" applyFill="1" applyBorder="1" applyAlignment="1">
      <alignment horizontal="center" vertical="center"/>
    </xf>
    <xf numFmtId="20" fontId="5" fillId="7" borderId="45" xfId="0" applyNumberFormat="1" applyFont="1" applyFill="1" applyBorder="1" applyAlignment="1">
      <alignment horizontal="center" vertical="center"/>
    </xf>
    <xf numFmtId="20" fontId="5" fillId="0" borderId="22" xfId="0" applyNumberFormat="1" applyFont="1" applyFill="1" applyBorder="1" applyAlignment="1">
      <alignment horizontal="center" vertical="center"/>
    </xf>
    <xf numFmtId="20" fontId="5" fillId="0" borderId="21" xfId="0" applyNumberFormat="1" applyFont="1" applyFill="1" applyBorder="1" applyAlignment="1">
      <alignment horizontal="center" vertical="center"/>
    </xf>
    <xf numFmtId="20" fontId="5" fillId="0" borderId="6" xfId="0" applyNumberFormat="1" applyFont="1" applyFill="1" applyBorder="1" applyAlignment="1">
      <alignment horizontal="center" vertical="center"/>
    </xf>
    <xf numFmtId="20" fontId="4" fillId="7" borderId="44" xfId="0" applyNumberFormat="1" applyFont="1" applyFill="1" applyBorder="1" applyAlignment="1">
      <alignment horizontal="center" vertical="center"/>
    </xf>
    <xf numFmtId="20" fontId="3" fillId="7" borderId="44" xfId="0" applyNumberFormat="1" applyFont="1" applyFill="1" applyBorder="1" applyAlignment="1">
      <alignment horizontal="center" vertical="center"/>
    </xf>
    <xf numFmtId="20" fontId="5" fillId="7" borderId="44" xfId="0" applyNumberFormat="1" applyFont="1" applyFill="1" applyBorder="1" applyAlignment="1">
      <alignment horizontal="center" vertical="center"/>
    </xf>
    <xf numFmtId="20" fontId="5" fillId="0" borderId="23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vertical="center"/>
    </xf>
    <xf numFmtId="2" fontId="3" fillId="2" borderId="0" xfId="0" applyNumberFormat="1" applyFont="1" applyFill="1" applyAlignment="1">
      <alignment vertical="center"/>
    </xf>
    <xf numFmtId="20" fontId="3" fillId="7" borderId="49" xfId="0" applyNumberFormat="1" applyFont="1" applyFill="1" applyBorder="1" applyAlignment="1">
      <alignment horizontal="center" vertical="center"/>
    </xf>
    <xf numFmtId="20" fontId="5" fillId="7" borderId="49" xfId="0" applyNumberFormat="1" applyFont="1" applyFill="1" applyBorder="1" applyAlignment="1">
      <alignment horizontal="center" vertical="center"/>
    </xf>
    <xf numFmtId="20" fontId="5" fillId="0" borderId="24" xfId="0" applyNumberFormat="1" applyFont="1" applyFill="1" applyBorder="1" applyAlignment="1">
      <alignment horizontal="center" vertical="center"/>
    </xf>
    <xf numFmtId="20" fontId="5" fillId="0" borderId="14" xfId="0" applyNumberFormat="1" applyFont="1" applyFill="1" applyBorder="1" applyAlignment="1">
      <alignment horizontal="center" vertical="center"/>
    </xf>
    <xf numFmtId="20" fontId="5" fillId="0" borderId="25" xfId="0" applyNumberFormat="1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right" vertical="center" indent="1"/>
    </xf>
    <xf numFmtId="0" fontId="11" fillId="3" borderId="30" xfId="0" applyFont="1" applyFill="1" applyBorder="1" applyAlignment="1">
      <alignment horizontal="right" vertical="center" indent="1"/>
    </xf>
    <xf numFmtId="0" fontId="0" fillId="2" borderId="0" xfId="0" applyFill="1" applyAlignment="1">
      <alignment horizontal="right" vertical="center" indent="1"/>
    </xf>
    <xf numFmtId="0" fontId="2" fillId="2" borderId="0" xfId="0" applyFont="1" applyFill="1" applyAlignment="1">
      <alignment horizontal="right" vertical="center" indent="1"/>
    </xf>
    <xf numFmtId="14" fontId="3" fillId="7" borderId="50" xfId="0" applyNumberFormat="1" applyFont="1" applyFill="1" applyBorder="1" applyAlignment="1">
      <alignment horizontal="center" vertical="center"/>
    </xf>
    <xf numFmtId="20" fontId="9" fillId="7" borderId="51" xfId="0" applyNumberFormat="1" applyFont="1" applyFill="1" applyBorder="1" applyAlignment="1">
      <alignment horizontal="left" vertical="center" indent="1"/>
    </xf>
    <xf numFmtId="14" fontId="3" fillId="7" borderId="52" xfId="0" applyNumberFormat="1" applyFont="1" applyFill="1" applyBorder="1" applyAlignment="1">
      <alignment horizontal="center" vertical="center"/>
    </xf>
    <xf numFmtId="20" fontId="9" fillId="7" borderId="53" xfId="0" applyNumberFormat="1" applyFont="1" applyFill="1" applyBorder="1" applyAlignment="1">
      <alignment horizontal="left" vertical="center" indent="1"/>
    </xf>
    <xf numFmtId="20" fontId="6" fillId="7" borderId="53" xfId="0" applyNumberFormat="1" applyFont="1" applyFill="1" applyBorder="1" applyAlignment="1">
      <alignment horizontal="left" vertical="center" indent="1"/>
    </xf>
    <xf numFmtId="14" fontId="3" fillId="7" borderId="54" xfId="0" applyNumberFormat="1" applyFont="1" applyFill="1" applyBorder="1" applyAlignment="1">
      <alignment horizontal="center" vertical="center"/>
    </xf>
    <xf numFmtId="20" fontId="9" fillId="7" borderId="55" xfId="0" applyNumberFormat="1" applyFont="1" applyFill="1" applyBorder="1" applyAlignment="1">
      <alignment horizontal="left" vertical="center" indent="1"/>
    </xf>
    <xf numFmtId="0" fontId="19" fillId="2" borderId="34" xfId="0" applyFont="1" applyFill="1" applyBorder="1" applyAlignment="1">
      <alignment horizontal="left" vertical="center" indent="1"/>
    </xf>
    <xf numFmtId="44" fontId="3" fillId="2" borderId="0" xfId="1" applyFont="1" applyFill="1" applyAlignment="1">
      <alignment vertical="center"/>
    </xf>
    <xf numFmtId="14" fontId="13" fillId="7" borderId="52" xfId="0" applyNumberFormat="1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right" vertical="center" indent="1"/>
    </xf>
    <xf numFmtId="0" fontId="0" fillId="2" borderId="33" xfId="0" applyFill="1" applyBorder="1" applyAlignment="1">
      <alignment horizontal="left" vertical="center" indent="1"/>
    </xf>
    <xf numFmtId="0" fontId="11" fillId="3" borderId="41" xfId="0" applyFont="1" applyFill="1" applyBorder="1" applyAlignment="1">
      <alignment horizontal="right" vertical="center" indent="1"/>
    </xf>
    <xf numFmtId="0" fontId="0" fillId="2" borderId="34" xfId="0" applyFill="1" applyBorder="1" applyAlignment="1">
      <alignment horizontal="left" vertical="center" indent="1"/>
    </xf>
    <xf numFmtId="0" fontId="11" fillId="3" borderId="40" xfId="0" applyFont="1" applyFill="1" applyBorder="1" applyAlignment="1">
      <alignment horizontal="right" vertical="center" indent="1"/>
    </xf>
    <xf numFmtId="0" fontId="0" fillId="2" borderId="36" xfId="0" applyFill="1" applyBorder="1" applyAlignment="1">
      <alignment horizontal="left" vertical="center" indent="1"/>
    </xf>
    <xf numFmtId="0" fontId="19" fillId="2" borderId="41" xfId="0" applyFont="1" applyFill="1" applyBorder="1" applyAlignment="1">
      <alignment horizontal="left" vertical="center" indent="1"/>
    </xf>
    <xf numFmtId="0" fontId="5" fillId="2" borderId="40" xfId="0" applyFont="1" applyFill="1" applyBorder="1" applyAlignment="1">
      <alignment horizontal="left" vertical="center" indent="1"/>
    </xf>
    <xf numFmtId="0" fontId="11" fillId="3" borderId="40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20" fontId="5" fillId="7" borderId="51" xfId="0" applyNumberFormat="1" applyFont="1" applyFill="1" applyBorder="1" applyAlignment="1">
      <alignment horizontal="center" vertical="center"/>
    </xf>
    <xf numFmtId="20" fontId="5" fillId="7" borderId="53" xfId="0" applyNumberFormat="1" applyFont="1" applyFill="1" applyBorder="1" applyAlignment="1">
      <alignment horizontal="center" vertical="center"/>
    </xf>
    <xf numFmtId="20" fontId="5" fillId="7" borderId="55" xfId="0" applyNumberFormat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left" vertical="center" indent="1"/>
    </xf>
    <xf numFmtId="0" fontId="5" fillId="2" borderId="41" xfId="0" applyFont="1" applyFill="1" applyBorder="1" applyAlignment="1">
      <alignment horizontal="left" vertical="center" indent="1"/>
    </xf>
    <xf numFmtId="164" fontId="7" fillId="3" borderId="48" xfId="0" applyNumberFormat="1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right" vertical="center" indent="1"/>
    </xf>
    <xf numFmtId="0" fontId="11" fillId="3" borderId="40" xfId="0" applyFont="1" applyFill="1" applyBorder="1" applyAlignment="1">
      <alignment horizontal="right" vertical="center" indent="1"/>
    </xf>
    <xf numFmtId="0" fontId="11" fillId="3" borderId="41" xfId="0" applyFont="1" applyFill="1" applyBorder="1" applyAlignment="1">
      <alignment horizontal="right" vertical="center" indent="1"/>
    </xf>
    <xf numFmtId="14" fontId="4" fillId="7" borderId="52" xfId="0" applyNumberFormat="1" applyFont="1" applyFill="1" applyBorder="1" applyAlignment="1">
      <alignment horizontal="center" vertical="center"/>
    </xf>
    <xf numFmtId="14" fontId="13" fillId="7" borderId="50" xfId="0" applyNumberFormat="1" applyFont="1" applyFill="1" applyBorder="1" applyAlignment="1">
      <alignment horizontal="center" vertical="center"/>
    </xf>
    <xf numFmtId="44" fontId="2" fillId="2" borderId="0" xfId="1" applyFont="1" applyFill="1"/>
    <xf numFmtId="44" fontId="2" fillId="2" borderId="0" xfId="0" applyNumberFormat="1" applyFont="1" applyFill="1"/>
    <xf numFmtId="9" fontId="2" fillId="2" borderId="0" xfId="2" applyFont="1" applyFill="1"/>
    <xf numFmtId="0" fontId="0" fillId="8" borderId="35" xfId="0" applyFill="1" applyBorder="1" applyAlignment="1">
      <alignment horizontal="left" vertical="center" indent="1"/>
    </xf>
    <xf numFmtId="0" fontId="0" fillId="8" borderId="36" xfId="0" applyFill="1" applyBorder="1" applyAlignment="1">
      <alignment horizontal="left" vertical="center" indent="1"/>
    </xf>
    <xf numFmtId="0" fontId="19" fillId="9" borderId="41" xfId="0" applyFont="1" applyFill="1" applyBorder="1" applyAlignment="1">
      <alignment horizontal="left" vertical="center" indent="1"/>
    </xf>
    <xf numFmtId="0" fontId="0" fillId="9" borderId="0" xfId="0" applyFill="1" applyBorder="1" applyAlignment="1">
      <alignment horizontal="left" vertical="center" indent="1"/>
    </xf>
    <xf numFmtId="0" fontId="0" fillId="9" borderId="34" xfId="0" applyFill="1" applyBorder="1" applyAlignment="1">
      <alignment horizontal="left" vertical="center" indent="1"/>
    </xf>
    <xf numFmtId="0" fontId="19" fillId="8" borderId="40" xfId="0" applyFont="1" applyFill="1" applyBorder="1" applyAlignment="1">
      <alignment horizontal="left" vertical="center" indent="1"/>
    </xf>
    <xf numFmtId="0" fontId="11" fillId="3" borderId="31" xfId="0" applyFont="1" applyFill="1" applyBorder="1" applyAlignment="1">
      <alignment horizontal="right" vertical="center" indent="1"/>
    </xf>
    <xf numFmtId="0" fontId="11" fillId="3" borderId="40" xfId="0" applyFont="1" applyFill="1" applyBorder="1" applyAlignment="1">
      <alignment horizontal="right" vertical="center" indent="1"/>
    </xf>
    <xf numFmtId="0" fontId="11" fillId="3" borderId="41" xfId="0" applyFont="1" applyFill="1" applyBorder="1" applyAlignment="1">
      <alignment horizontal="right" vertical="center" indent="1"/>
    </xf>
    <xf numFmtId="0" fontId="11" fillId="3" borderId="31" xfId="0" applyFont="1" applyFill="1" applyBorder="1" applyAlignment="1">
      <alignment horizontal="right" vertical="center" indent="1"/>
    </xf>
    <xf numFmtId="0" fontId="11" fillId="3" borderId="40" xfId="0" applyFont="1" applyFill="1" applyBorder="1" applyAlignment="1">
      <alignment horizontal="right" vertical="center" indent="1"/>
    </xf>
    <xf numFmtId="0" fontId="11" fillId="3" borderId="41" xfId="0" applyFont="1" applyFill="1" applyBorder="1" applyAlignment="1">
      <alignment horizontal="right" vertical="center" indent="1"/>
    </xf>
    <xf numFmtId="0" fontId="7" fillId="3" borderId="0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/>
    </xf>
    <xf numFmtId="0" fontId="22" fillId="2" borderId="33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22" fillId="2" borderId="34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textRotation="90"/>
    </xf>
    <xf numFmtId="0" fontId="1" fillId="3" borderId="27" xfId="0" applyFont="1" applyFill="1" applyBorder="1" applyAlignment="1">
      <alignment horizontal="center" textRotation="90"/>
    </xf>
    <xf numFmtId="0" fontId="1" fillId="3" borderId="28" xfId="0" applyFont="1" applyFill="1" applyBorder="1" applyAlignment="1">
      <alignment horizontal="center" textRotation="90"/>
    </xf>
    <xf numFmtId="0" fontId="7" fillId="3" borderId="0" xfId="0" applyFont="1" applyFill="1" applyBorder="1" applyAlignment="1">
      <alignment horizontal="left" vertical="center" wrapText="1" indent="1"/>
    </xf>
    <xf numFmtId="0" fontId="7" fillId="3" borderId="0" xfId="0" applyFont="1" applyFill="1" applyBorder="1" applyAlignment="1">
      <alignment horizontal="left" vertical="center" indent="1"/>
    </xf>
    <xf numFmtId="0" fontId="11" fillId="3" borderId="38" xfId="0" applyFont="1" applyFill="1" applyBorder="1" applyAlignment="1">
      <alignment horizontal="right" vertical="center" indent="1"/>
    </xf>
    <xf numFmtId="0" fontId="11" fillId="3" borderId="39" xfId="0" applyFont="1" applyFill="1" applyBorder="1" applyAlignment="1">
      <alignment horizontal="right" vertical="center" indent="1"/>
    </xf>
    <xf numFmtId="0" fontId="11" fillId="3" borderId="37" xfId="0" applyFont="1" applyFill="1" applyBorder="1" applyAlignment="1">
      <alignment horizontal="right" vertical="center" indent="1"/>
    </xf>
    <xf numFmtId="0" fontId="20" fillId="2" borderId="32" xfId="0" applyFont="1" applyFill="1" applyBorder="1" applyAlignment="1">
      <alignment horizontal="left" vertical="center" indent="1"/>
    </xf>
    <xf numFmtId="0" fontId="20" fillId="2" borderId="0" xfId="0" applyFont="1" applyFill="1" applyBorder="1" applyAlignment="1">
      <alignment horizontal="left" vertical="center" inden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right" vertical="center" indent="1"/>
    </xf>
    <xf numFmtId="0" fontId="11" fillId="3" borderId="40" xfId="0" applyFont="1" applyFill="1" applyBorder="1" applyAlignment="1">
      <alignment horizontal="right" vertical="center" indent="1"/>
    </xf>
    <xf numFmtId="0" fontId="20" fillId="2" borderId="31" xfId="0" applyFont="1" applyFill="1" applyBorder="1" applyAlignment="1">
      <alignment horizontal="left" vertical="center" indent="1"/>
    </xf>
    <xf numFmtId="0" fontId="20" fillId="2" borderId="41" xfId="0" applyFont="1" applyFill="1" applyBorder="1" applyAlignment="1">
      <alignment horizontal="left" vertical="center" indent="1"/>
    </xf>
    <xf numFmtId="0" fontId="11" fillId="3" borderId="41" xfId="0" applyFont="1" applyFill="1" applyBorder="1" applyAlignment="1">
      <alignment horizontal="right" vertical="center" inden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16365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12826948200981603"/>
          <c:w val="0.76666666666666672"/>
          <c:h val="0.69562845003119"/>
        </c:manualLayout>
      </c:layout>
      <c:pie3DChart>
        <c:varyColors val="1"/>
        <c:ser>
          <c:idx val="0"/>
          <c:order val="0"/>
          <c:tx>
            <c:strRef>
              <c:f>Consolidado!$M$13</c:f>
              <c:strCache>
                <c:ptCount val="1"/>
                <c:pt idx="0">
                  <c:v>%</c:v>
                </c:pt>
              </c:strCache>
            </c:strRef>
          </c:tx>
          <c:explosion val="7"/>
          <c:dPt>
            <c:idx val="0"/>
            <c:bubble3D val="0"/>
            <c:explosion val="9"/>
            <c:spPr>
              <a:gradFill flip="none" rotWithShape="1">
                <a:gsLst>
                  <a:gs pos="0">
                    <a:schemeClr val="accent1">
                      <a:shade val="30000"/>
                      <a:satMod val="115000"/>
                    </a:schemeClr>
                  </a:gs>
                  <a:gs pos="50000">
                    <a:schemeClr val="accent1">
                      <a:shade val="67500"/>
                      <a:satMod val="115000"/>
                    </a:schemeClr>
                  </a:gs>
                  <a:gs pos="100000">
                    <a:schemeClr val="accent1">
                      <a:shade val="100000"/>
                      <a:satMod val="115000"/>
                    </a:schemeClr>
                  </a:gs>
                </a:gsLst>
                <a:lin ang="162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1-36FB-4018-9432-20C6C183EBFA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rgbClr val="C00000">
                      <a:shade val="30000"/>
                      <a:satMod val="115000"/>
                    </a:srgbClr>
                  </a:gs>
                  <a:gs pos="50000">
                    <a:srgbClr val="C00000">
                      <a:shade val="67500"/>
                      <a:satMod val="115000"/>
                    </a:srgbClr>
                  </a:gs>
                  <a:gs pos="100000">
                    <a:srgbClr val="C00000">
                      <a:shade val="100000"/>
                      <a:satMod val="115000"/>
                    </a:srgbClr>
                  </a:gs>
                </a:gsLst>
                <a:lin ang="16200000" scaled="1"/>
                <a:tileRect/>
              </a:gradFill>
            </c:spPr>
            <c:extLst>
              <c:ext xmlns:c16="http://schemas.microsoft.com/office/drawing/2014/chart" uri="{C3380CC4-5D6E-409C-BE32-E72D297353CC}">
                <c16:uniqueId val="{00000003-36FB-4018-9432-20C6C183EBFA}"/>
              </c:ext>
            </c:extLst>
          </c:dPt>
          <c:dLbls>
            <c:dLbl>
              <c:idx val="1"/>
              <c:layout>
                <c:manualLayout>
                  <c:x val="-0.3298245614035088"/>
                  <c:y val="-0.11958146487294459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FB-4018-9432-20C6C183EBFA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Consolidado!$L$14:$L$15</c:f>
              <c:strCache>
                <c:ptCount val="2"/>
                <c:pt idx="0">
                  <c:v>Saldo Restante</c:v>
                </c:pt>
                <c:pt idx="1">
                  <c:v>Horas 
Consumidas</c:v>
                </c:pt>
              </c:strCache>
            </c:strRef>
          </c:cat>
          <c:val>
            <c:numRef>
              <c:f>Consolidado!$M$14:$M$15</c:f>
              <c:numCache>
                <c:formatCode>0.00%</c:formatCode>
                <c:ptCount val="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FB-4018-9432-20C6C183E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10</xdr:row>
      <xdr:rowOff>142875</xdr:rowOff>
    </xdr:from>
    <xdr:to>
      <xdr:col>10</xdr:col>
      <xdr:colOff>266700</xdr:colOff>
      <xdr:row>20</xdr:row>
      <xdr:rowOff>95250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104775</xdr:colOff>
      <xdr:row>4</xdr:row>
      <xdr:rowOff>133350</xdr:rowOff>
    </xdr:from>
    <xdr:to>
      <xdr:col>6</xdr:col>
      <xdr:colOff>868980</xdr:colOff>
      <xdr:row>7</xdr:row>
      <xdr:rowOff>73275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6725" y="981075"/>
          <a:ext cx="1745280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758172</xdr:colOff>
      <xdr:row>0</xdr:row>
      <xdr:rowOff>133350</xdr:rowOff>
    </xdr:from>
    <xdr:to>
      <xdr:col>7</xdr:col>
      <xdr:colOff>2714625</xdr:colOff>
      <xdr:row>2</xdr:row>
      <xdr:rowOff>33876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2272" y="133350"/>
          <a:ext cx="1956453" cy="910176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2</xdr:row>
      <xdr:rowOff>229644</xdr:rowOff>
    </xdr:from>
    <xdr:to>
      <xdr:col>5</xdr:col>
      <xdr:colOff>676276</xdr:colOff>
      <xdr:row>6</xdr:row>
      <xdr:rowOff>61571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1239294"/>
          <a:ext cx="1028701" cy="822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139047</xdr:colOff>
      <xdr:row>8</xdr:row>
      <xdr:rowOff>57149</xdr:rowOff>
    </xdr:from>
    <xdr:to>
      <xdr:col>6</xdr:col>
      <xdr:colOff>995406</xdr:colOff>
      <xdr:row>11</xdr:row>
      <xdr:rowOff>200024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22" y="1095374"/>
          <a:ext cx="1904109" cy="885825"/>
        </a:xfrm>
        <a:prstGeom prst="rect">
          <a:avLst/>
        </a:prstGeom>
      </xdr:spPr>
    </xdr:pic>
    <xdr:clientData/>
  </xdr:twoCellAnchor>
  <xdr:oneCellAnchor>
    <xdr:from>
      <xdr:col>5</xdr:col>
      <xdr:colOff>752475</xdr:colOff>
      <xdr:row>46</xdr:row>
      <xdr:rowOff>142070</xdr:rowOff>
    </xdr:from>
    <xdr:ext cx="1162051" cy="929151"/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9057470"/>
          <a:ext cx="1162051" cy="92915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139047</xdr:colOff>
      <xdr:row>8</xdr:row>
      <xdr:rowOff>57149</xdr:rowOff>
    </xdr:from>
    <xdr:to>
      <xdr:col>6</xdr:col>
      <xdr:colOff>995406</xdr:colOff>
      <xdr:row>11</xdr:row>
      <xdr:rowOff>200024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6552032-A922-424F-BA4F-7DAABF2DE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22" y="1095374"/>
          <a:ext cx="1904109" cy="885825"/>
        </a:xfrm>
        <a:prstGeom prst="rect">
          <a:avLst/>
        </a:prstGeom>
      </xdr:spPr>
    </xdr:pic>
    <xdr:clientData/>
  </xdr:twoCellAnchor>
  <xdr:oneCellAnchor>
    <xdr:from>
      <xdr:col>5</xdr:col>
      <xdr:colOff>752475</xdr:colOff>
      <xdr:row>46</xdr:row>
      <xdr:rowOff>142070</xdr:rowOff>
    </xdr:from>
    <xdr:ext cx="1162051" cy="929151"/>
    <xdr:pic>
      <xdr:nvPicPr>
        <xdr:cNvPr id="3" name="Imagem 2">
          <a:extLst>
            <a:ext uri="{FF2B5EF4-FFF2-40B4-BE49-F238E27FC236}">
              <a16:creationId xmlns:a16="http://schemas.microsoft.com/office/drawing/2014/main" id="{4069C8D1-3D0F-4F22-9944-CEDD5CB90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9057470"/>
          <a:ext cx="1162051" cy="92915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139047</xdr:colOff>
      <xdr:row>8</xdr:row>
      <xdr:rowOff>57149</xdr:rowOff>
    </xdr:from>
    <xdr:to>
      <xdr:col>6</xdr:col>
      <xdr:colOff>995406</xdr:colOff>
      <xdr:row>11</xdr:row>
      <xdr:rowOff>200024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76AC3A-4BA1-471D-B8ED-6EEABE4D8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22" y="1095374"/>
          <a:ext cx="1904109" cy="885825"/>
        </a:xfrm>
        <a:prstGeom prst="rect">
          <a:avLst/>
        </a:prstGeom>
      </xdr:spPr>
    </xdr:pic>
    <xdr:clientData/>
  </xdr:twoCellAnchor>
  <xdr:oneCellAnchor>
    <xdr:from>
      <xdr:col>5</xdr:col>
      <xdr:colOff>752475</xdr:colOff>
      <xdr:row>46</xdr:row>
      <xdr:rowOff>142070</xdr:rowOff>
    </xdr:from>
    <xdr:ext cx="1162051" cy="929151"/>
    <xdr:pic>
      <xdr:nvPicPr>
        <xdr:cNvPr id="3" name="Imagem 2">
          <a:extLst>
            <a:ext uri="{FF2B5EF4-FFF2-40B4-BE49-F238E27FC236}">
              <a16:creationId xmlns:a16="http://schemas.microsoft.com/office/drawing/2014/main" id="{4F387FAC-108A-4B77-84EE-C8B4E2FF7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9057470"/>
          <a:ext cx="1162051" cy="92915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139047</xdr:colOff>
      <xdr:row>8</xdr:row>
      <xdr:rowOff>57149</xdr:rowOff>
    </xdr:from>
    <xdr:to>
      <xdr:col>6</xdr:col>
      <xdr:colOff>995406</xdr:colOff>
      <xdr:row>11</xdr:row>
      <xdr:rowOff>200024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7536E1-CAD4-4D45-BF75-94282413A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22" y="1095374"/>
          <a:ext cx="1904109" cy="885825"/>
        </a:xfrm>
        <a:prstGeom prst="rect">
          <a:avLst/>
        </a:prstGeom>
      </xdr:spPr>
    </xdr:pic>
    <xdr:clientData/>
  </xdr:twoCellAnchor>
  <xdr:oneCellAnchor>
    <xdr:from>
      <xdr:col>5</xdr:col>
      <xdr:colOff>752475</xdr:colOff>
      <xdr:row>46</xdr:row>
      <xdr:rowOff>142070</xdr:rowOff>
    </xdr:from>
    <xdr:ext cx="1162051" cy="929151"/>
    <xdr:pic>
      <xdr:nvPicPr>
        <xdr:cNvPr id="3" name="Imagem 2">
          <a:extLst>
            <a:ext uri="{FF2B5EF4-FFF2-40B4-BE49-F238E27FC236}">
              <a16:creationId xmlns:a16="http://schemas.microsoft.com/office/drawing/2014/main" id="{3767D29B-701B-4798-9CAA-58137694D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9057470"/>
          <a:ext cx="1162051" cy="92915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139047</xdr:colOff>
      <xdr:row>8</xdr:row>
      <xdr:rowOff>57149</xdr:rowOff>
    </xdr:from>
    <xdr:to>
      <xdr:col>6</xdr:col>
      <xdr:colOff>995406</xdr:colOff>
      <xdr:row>11</xdr:row>
      <xdr:rowOff>200024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99A0131-F71E-40F0-BDA7-66C578FC7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22" y="1095374"/>
          <a:ext cx="1904109" cy="885825"/>
        </a:xfrm>
        <a:prstGeom prst="rect">
          <a:avLst/>
        </a:prstGeom>
      </xdr:spPr>
    </xdr:pic>
    <xdr:clientData/>
  </xdr:twoCellAnchor>
  <xdr:oneCellAnchor>
    <xdr:from>
      <xdr:col>5</xdr:col>
      <xdr:colOff>752475</xdr:colOff>
      <xdr:row>46</xdr:row>
      <xdr:rowOff>142070</xdr:rowOff>
    </xdr:from>
    <xdr:ext cx="1162051" cy="929151"/>
    <xdr:pic>
      <xdr:nvPicPr>
        <xdr:cNvPr id="3" name="Imagem 2">
          <a:extLst>
            <a:ext uri="{FF2B5EF4-FFF2-40B4-BE49-F238E27FC236}">
              <a16:creationId xmlns:a16="http://schemas.microsoft.com/office/drawing/2014/main" id="{75E5A5CA-8BC3-498F-853A-224370DEA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9057470"/>
          <a:ext cx="1162051" cy="92915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139047</xdr:colOff>
      <xdr:row>8</xdr:row>
      <xdr:rowOff>57149</xdr:rowOff>
    </xdr:from>
    <xdr:to>
      <xdr:col>6</xdr:col>
      <xdr:colOff>995406</xdr:colOff>
      <xdr:row>11</xdr:row>
      <xdr:rowOff>200024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998BB4-B76C-403E-BD70-8A3D67BC5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22" y="1095374"/>
          <a:ext cx="1904109" cy="885825"/>
        </a:xfrm>
        <a:prstGeom prst="rect">
          <a:avLst/>
        </a:prstGeom>
      </xdr:spPr>
    </xdr:pic>
    <xdr:clientData/>
  </xdr:twoCellAnchor>
  <xdr:oneCellAnchor>
    <xdr:from>
      <xdr:col>5</xdr:col>
      <xdr:colOff>752475</xdr:colOff>
      <xdr:row>46</xdr:row>
      <xdr:rowOff>142070</xdr:rowOff>
    </xdr:from>
    <xdr:ext cx="1162051" cy="929151"/>
    <xdr:pic>
      <xdr:nvPicPr>
        <xdr:cNvPr id="3" name="Imagem 2">
          <a:extLst>
            <a:ext uri="{FF2B5EF4-FFF2-40B4-BE49-F238E27FC236}">
              <a16:creationId xmlns:a16="http://schemas.microsoft.com/office/drawing/2014/main" id="{D938CE50-B191-45B7-8D25-F6500DC9E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9057470"/>
          <a:ext cx="1162051" cy="92915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139047</xdr:colOff>
      <xdr:row>8</xdr:row>
      <xdr:rowOff>57149</xdr:rowOff>
    </xdr:from>
    <xdr:to>
      <xdr:col>6</xdr:col>
      <xdr:colOff>995406</xdr:colOff>
      <xdr:row>11</xdr:row>
      <xdr:rowOff>200024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809D64-AE55-4431-B020-8ABF9282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22" y="1095374"/>
          <a:ext cx="1904109" cy="885825"/>
        </a:xfrm>
        <a:prstGeom prst="rect">
          <a:avLst/>
        </a:prstGeom>
      </xdr:spPr>
    </xdr:pic>
    <xdr:clientData/>
  </xdr:twoCellAnchor>
  <xdr:oneCellAnchor>
    <xdr:from>
      <xdr:col>5</xdr:col>
      <xdr:colOff>752475</xdr:colOff>
      <xdr:row>46</xdr:row>
      <xdr:rowOff>142070</xdr:rowOff>
    </xdr:from>
    <xdr:ext cx="1162051" cy="929151"/>
    <xdr:pic>
      <xdr:nvPicPr>
        <xdr:cNvPr id="3" name="Imagem 2">
          <a:extLst>
            <a:ext uri="{FF2B5EF4-FFF2-40B4-BE49-F238E27FC236}">
              <a16:creationId xmlns:a16="http://schemas.microsoft.com/office/drawing/2014/main" id="{209ECA30-8277-499C-8DAB-1DC3A2397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24450" y="9057470"/>
          <a:ext cx="1162051" cy="9291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N22"/>
  <sheetViews>
    <sheetView workbookViewId="0">
      <selection activeCell="N11" sqref="N11"/>
    </sheetView>
  </sheetViews>
  <sheetFormatPr defaultRowHeight="15" x14ac:dyDescent="0.25"/>
  <cols>
    <col min="1" max="1" width="3.7109375" style="1" customWidth="1"/>
    <col min="2" max="7" width="14.7109375" style="1" customWidth="1"/>
    <col min="8" max="8" width="18.7109375" style="1" customWidth="1"/>
    <col min="9" max="9" width="8.85546875" style="3" customWidth="1"/>
    <col min="10" max="16384" width="9.140625" style="1"/>
  </cols>
  <sheetData>
    <row r="1" spans="1:14" x14ac:dyDescent="0.25">
      <c r="A1" s="30"/>
      <c r="B1" s="30"/>
      <c r="C1" s="30"/>
      <c r="D1" s="30"/>
      <c r="E1" s="30"/>
      <c r="F1" s="30"/>
      <c r="G1" s="30"/>
      <c r="H1" s="30"/>
    </row>
    <row r="2" spans="1:14" ht="21" x14ac:dyDescent="0.25">
      <c r="A2" s="30"/>
      <c r="B2" s="155" t="s">
        <v>10</v>
      </c>
      <c r="C2" s="155"/>
      <c r="D2" s="155"/>
      <c r="E2" s="155"/>
      <c r="F2" s="155"/>
      <c r="G2" s="155"/>
      <c r="H2" s="30"/>
      <c r="J2" s="3"/>
    </row>
    <row r="3" spans="1:14" x14ac:dyDescent="0.25">
      <c r="A3" s="30"/>
      <c r="B3" s="31"/>
      <c r="C3" s="31"/>
      <c r="D3" s="30"/>
      <c r="E3" s="30"/>
      <c r="F3" s="156" t="s">
        <v>32</v>
      </c>
      <c r="G3" s="156"/>
      <c r="H3" s="30"/>
      <c r="J3" s="3"/>
    </row>
    <row r="4" spans="1:14" ht="15.75" thickBot="1" x14ac:dyDescent="0.3">
      <c r="A4" s="30"/>
      <c r="B4" s="30"/>
      <c r="C4" s="30"/>
      <c r="D4" s="30"/>
      <c r="E4" s="30"/>
      <c r="F4" s="30"/>
      <c r="G4" s="30"/>
      <c r="H4" s="30"/>
      <c r="J4" s="3"/>
    </row>
    <row r="5" spans="1:14" ht="15.75" thickBot="1" x14ac:dyDescent="0.3">
      <c r="A5" s="30"/>
      <c r="B5" s="18" t="s">
        <v>5</v>
      </c>
      <c r="C5" s="23" t="s">
        <v>14</v>
      </c>
      <c r="D5" s="32"/>
      <c r="E5" s="32"/>
      <c r="F5" s="33"/>
      <c r="G5" s="34"/>
      <c r="H5" s="30"/>
      <c r="J5" s="3"/>
    </row>
    <row r="6" spans="1:14" ht="15.75" thickBot="1" x14ac:dyDescent="0.3">
      <c r="A6" s="30"/>
      <c r="B6" s="18" t="s">
        <v>6</v>
      </c>
      <c r="C6" s="24" t="s">
        <v>23</v>
      </c>
      <c r="D6" s="35"/>
      <c r="E6" s="35"/>
      <c r="F6" s="36"/>
      <c r="G6" s="37"/>
      <c r="H6" s="30"/>
      <c r="J6" s="3"/>
    </row>
    <row r="7" spans="1:14" ht="15.75" thickBot="1" x14ac:dyDescent="0.3">
      <c r="A7" s="30"/>
      <c r="B7" s="18" t="s">
        <v>31</v>
      </c>
      <c r="C7" s="24" t="s">
        <v>24</v>
      </c>
      <c r="D7" s="35"/>
      <c r="E7" s="35"/>
      <c r="F7" s="36"/>
      <c r="G7" s="37"/>
      <c r="H7" s="30"/>
      <c r="J7" s="3"/>
    </row>
    <row r="8" spans="1:14" ht="15.75" thickBot="1" x14ac:dyDescent="0.3">
      <c r="A8" s="30"/>
      <c r="B8" s="19" t="s">
        <v>8</v>
      </c>
      <c r="C8" s="25" t="s">
        <v>11</v>
      </c>
      <c r="D8" s="38"/>
      <c r="E8" s="38"/>
      <c r="F8" s="39"/>
      <c r="G8" s="40"/>
      <c r="H8" s="30"/>
      <c r="J8" s="3"/>
    </row>
    <row r="9" spans="1:14" x14ac:dyDescent="0.25">
      <c r="A9" s="30"/>
      <c r="B9" s="41"/>
      <c r="C9" s="41"/>
      <c r="D9" s="30"/>
      <c r="E9" s="30"/>
      <c r="F9" s="30"/>
      <c r="G9" s="30"/>
      <c r="H9" s="30"/>
    </row>
    <row r="10" spans="1:14" ht="15.75" thickBot="1" x14ac:dyDescent="0.3">
      <c r="A10" s="30"/>
      <c r="B10" s="41"/>
      <c r="C10" s="41"/>
      <c r="D10" s="61" t="s">
        <v>34</v>
      </c>
      <c r="E10" s="30"/>
      <c r="F10" s="30"/>
      <c r="G10" s="30"/>
      <c r="H10" s="30"/>
      <c r="L10" s="48"/>
      <c r="M10" s="48"/>
      <c r="N10" s="48"/>
    </row>
    <row r="11" spans="1:14" ht="15.75" thickBot="1" x14ac:dyDescent="0.3">
      <c r="A11" s="30"/>
      <c r="B11" s="41"/>
      <c r="C11" s="17" t="s">
        <v>29</v>
      </c>
      <c r="D11" s="59">
        <v>12.833333333333334</v>
      </c>
      <c r="E11" s="17" t="s">
        <v>30</v>
      </c>
      <c r="F11" s="49">
        <v>1</v>
      </c>
      <c r="G11" s="30"/>
      <c r="H11" s="30"/>
      <c r="L11" s="48"/>
      <c r="M11" s="48"/>
      <c r="N11" s="48"/>
    </row>
    <row r="12" spans="1:14" ht="15.75" thickBot="1" x14ac:dyDescent="0.3">
      <c r="A12" s="30"/>
      <c r="B12" s="44"/>
      <c r="C12" s="44"/>
      <c r="D12" s="44"/>
      <c r="E12" s="44"/>
      <c r="F12" s="44"/>
      <c r="G12" s="30"/>
      <c r="H12" s="30"/>
      <c r="K12" s="10"/>
      <c r="L12" s="56"/>
      <c r="M12" s="56"/>
      <c r="N12" s="48"/>
    </row>
    <row r="13" spans="1:14" ht="32.1" customHeight="1" x14ac:dyDescent="0.25">
      <c r="A13" s="30"/>
      <c r="B13" s="16" t="s">
        <v>3</v>
      </c>
      <c r="C13" s="21" t="s">
        <v>19</v>
      </c>
      <c r="D13" s="22" t="s">
        <v>20</v>
      </c>
      <c r="E13" s="22" t="s">
        <v>21</v>
      </c>
      <c r="F13" s="22" t="s">
        <v>22</v>
      </c>
      <c r="G13" s="42"/>
      <c r="H13" s="43"/>
      <c r="I13" s="5"/>
      <c r="L13" s="12" t="s">
        <v>3</v>
      </c>
      <c r="M13" s="13" t="s">
        <v>9</v>
      </c>
      <c r="N13" s="48"/>
    </row>
    <row r="14" spans="1:14" s="2" customFormat="1" x14ac:dyDescent="0.2">
      <c r="A14" s="44"/>
      <c r="B14" s="28" t="s">
        <v>27</v>
      </c>
      <c r="C14" s="27">
        <f>'AGO-16'!J41</f>
        <v>4.6666666666666661</v>
      </c>
      <c r="D14" s="27">
        <f>'AGO-16'!G41</f>
        <v>0</v>
      </c>
      <c r="E14" s="27" t="str">
        <f>IF(D14&lt;C14,TEXT((ABS(D14-C14)),"-[h]:mm"),IF(D14=C14,"",D14-C14))</f>
        <v>-112:00</v>
      </c>
      <c r="F14" s="26">
        <f>D14/D11</f>
        <v>0</v>
      </c>
      <c r="G14" s="42"/>
      <c r="H14" s="45"/>
      <c r="I14" s="6"/>
      <c r="J14" s="11"/>
      <c r="L14" s="14" t="str">
        <f>C20</f>
        <v>Saldo Restante</v>
      </c>
      <c r="M14" s="15"/>
      <c r="N14" s="53"/>
    </row>
    <row r="15" spans="1:14" s="2" customFormat="1" x14ac:dyDescent="0.2">
      <c r="A15" s="44"/>
      <c r="B15" s="28" t="s">
        <v>26</v>
      </c>
      <c r="C15" s="27" t="e">
        <f>#REF!</f>
        <v>#REF!</v>
      </c>
      <c r="D15" s="27" t="e">
        <f>#REF!</f>
        <v>#REF!</v>
      </c>
      <c r="E15" s="27" t="e">
        <f>IF(D15&lt;C15,TEXT((ABS(D15-C15)),"-[h]:mm"),IF(D15=C15,"",D15-C15))</f>
        <v>#REF!</v>
      </c>
      <c r="F15" s="26" t="e">
        <f>D15/D11</f>
        <v>#REF!</v>
      </c>
      <c r="G15" s="42"/>
      <c r="H15" s="46"/>
      <c r="I15" s="6"/>
      <c r="L15" s="14" t="str">
        <f>D13</f>
        <v>Horas 
Consumidas</v>
      </c>
      <c r="M15" s="15">
        <v>1</v>
      </c>
      <c r="N15" s="53"/>
    </row>
    <row r="16" spans="1:14" s="2" customFormat="1" x14ac:dyDescent="0.2">
      <c r="A16" s="44"/>
      <c r="B16" s="54" t="s">
        <v>25</v>
      </c>
      <c r="C16" s="27" t="e">
        <f>#REF!</f>
        <v>#REF!</v>
      </c>
      <c r="D16" s="27" t="e">
        <f>#REF!</f>
        <v>#REF!</v>
      </c>
      <c r="E16" s="27" t="e">
        <f>IF(D16&lt;C16,TEXT((ABS(D16-C16)),"-[h]:mm"),IF(D16=C16,"",D16-C16))</f>
        <v>#REF!</v>
      </c>
      <c r="F16" s="26" t="e">
        <f>D16/D11</f>
        <v>#REF!</v>
      </c>
      <c r="G16" s="42"/>
      <c r="H16" s="46"/>
      <c r="I16" s="6"/>
      <c r="L16" s="14"/>
      <c r="M16" s="15"/>
      <c r="N16" s="53"/>
    </row>
    <row r="17" spans="1:14" s="2" customFormat="1" ht="15.75" thickBot="1" x14ac:dyDescent="0.25">
      <c r="A17" s="44"/>
      <c r="B17" s="29" t="s">
        <v>33</v>
      </c>
      <c r="C17" s="27" t="e">
        <f>#REF!</f>
        <v>#REF!</v>
      </c>
      <c r="D17" s="27" t="e">
        <f>#REF!</f>
        <v>#REF!</v>
      </c>
      <c r="E17" s="27" t="e">
        <f>IF(D17&lt;C17,TEXT((ABS(D17-C17)),"-[h]:mm"),IF(D17=C17,"",D17-C17))</f>
        <v>#REF!</v>
      </c>
      <c r="F17" s="26" t="e">
        <f>D17/D11</f>
        <v>#REF!</v>
      </c>
      <c r="G17" s="42"/>
      <c r="H17" s="45"/>
      <c r="I17" s="6"/>
      <c r="L17" s="57"/>
      <c r="M17" s="58"/>
      <c r="N17" s="53"/>
    </row>
    <row r="18" spans="1:14" s="2" customFormat="1" ht="15.75" thickBot="1" x14ac:dyDescent="0.25">
      <c r="A18" s="44"/>
      <c r="B18" s="47"/>
      <c r="C18" s="50" t="e">
        <f>SUM(C14:C17)</f>
        <v>#REF!</v>
      </c>
      <c r="D18" s="50" t="e">
        <f>SUM(D14:D17)</f>
        <v>#REF!</v>
      </c>
      <c r="E18" s="50" t="e">
        <f>IF(D18&lt;C18,TEXT((ABS(D18-C18)),"-[h]:mm"),IF(D18=C18,"",D18-C18))</f>
        <v>#REF!</v>
      </c>
      <c r="F18" s="51" t="e">
        <f>SUM(F14:F17)</f>
        <v>#REF!</v>
      </c>
      <c r="G18" s="42"/>
      <c r="H18" s="45"/>
      <c r="I18" s="6"/>
      <c r="L18" s="53"/>
      <c r="M18" s="53"/>
      <c r="N18" s="53"/>
    </row>
    <row r="19" spans="1:14" ht="15.75" thickBot="1" x14ac:dyDescent="0.3">
      <c r="A19" s="30"/>
      <c r="B19" s="44"/>
      <c r="C19" s="44"/>
      <c r="D19" s="44"/>
      <c r="E19" s="44"/>
      <c r="F19" s="52"/>
      <c r="G19" s="42"/>
      <c r="H19" s="42"/>
      <c r="I19" s="8"/>
      <c r="L19" s="48"/>
      <c r="M19" s="48"/>
      <c r="N19" s="48"/>
    </row>
    <row r="20" spans="1:14" ht="15.75" thickBot="1" x14ac:dyDescent="0.3">
      <c r="A20" s="30"/>
      <c r="B20" s="44"/>
      <c r="C20" s="17" t="s">
        <v>4</v>
      </c>
      <c r="D20" s="60" t="e">
        <f>IF(D11&lt;D18,TEXT((ABS(D11-D18)),"-[h]:mm"),IF(D11=D18,"",D11-D18))</f>
        <v>#REF!</v>
      </c>
      <c r="E20" s="17" t="s">
        <v>28</v>
      </c>
      <c r="F20" s="55" t="e">
        <f>F11-F18</f>
        <v>#REF!</v>
      </c>
      <c r="G20" s="30"/>
      <c r="H20" s="42"/>
      <c r="I20" s="8"/>
    </row>
    <row r="21" spans="1:14" ht="36.75" customHeight="1" x14ac:dyDescent="0.25">
      <c r="A21" s="30"/>
      <c r="B21" s="44"/>
      <c r="C21" s="157" t="s">
        <v>35</v>
      </c>
      <c r="D21" s="157"/>
      <c r="E21" s="157"/>
      <c r="F21" s="44"/>
      <c r="G21" s="30"/>
      <c r="H21" s="30"/>
    </row>
    <row r="22" spans="1:14" x14ac:dyDescent="0.25">
      <c r="A22" s="30"/>
      <c r="B22" s="30"/>
      <c r="C22" s="30"/>
      <c r="D22" s="30"/>
      <c r="E22" s="30"/>
      <c r="F22" s="30"/>
      <c r="G22" s="30"/>
      <c r="H22" s="30"/>
    </row>
  </sheetData>
  <mergeCells count="3">
    <mergeCell ref="B2:G2"/>
    <mergeCell ref="F3:G3"/>
    <mergeCell ref="C21:E2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18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 summaryRight="0"/>
    <pageSetUpPr fitToPage="1"/>
  </sheetPr>
  <dimension ref="B2:N46"/>
  <sheetViews>
    <sheetView workbookViewId="0"/>
  </sheetViews>
  <sheetFormatPr defaultRowHeight="15" x14ac:dyDescent="0.25"/>
  <cols>
    <col min="1" max="1" width="3.7109375" style="1" customWidth="1"/>
    <col min="2" max="2" width="14.7109375" style="1" customWidth="1"/>
    <col min="3" max="6" width="12.7109375" style="1" customWidth="1"/>
    <col min="7" max="7" width="14.7109375" style="3" customWidth="1"/>
    <col min="8" max="8" width="50.7109375" style="3" customWidth="1"/>
    <col min="9" max="9" width="3" style="3" customWidth="1"/>
    <col min="10" max="12" width="7.7109375" style="3" hidden="1" customWidth="1"/>
    <col min="13" max="13" width="9.140625" style="1"/>
    <col min="14" max="14" width="12.42578125" style="1" bestFit="1" customWidth="1"/>
    <col min="15" max="16384" width="9.140625" style="1"/>
  </cols>
  <sheetData>
    <row r="2" spans="2:14" ht="65.099999999999994" customHeight="1" x14ac:dyDescent="0.25">
      <c r="B2" s="165" t="s">
        <v>40</v>
      </c>
      <c r="C2" s="166"/>
      <c r="D2" s="166"/>
      <c r="E2" s="166"/>
      <c r="F2" s="166"/>
      <c r="G2" s="166"/>
    </row>
    <row r="3" spans="2:14" ht="20.100000000000001" customHeight="1" thickBot="1" x14ac:dyDescent="0.3">
      <c r="B3" s="4"/>
      <c r="G3" s="1"/>
    </row>
    <row r="4" spans="2:14" ht="20.100000000000001" customHeight="1" thickBot="1" x14ac:dyDescent="0.3">
      <c r="B4" s="169" t="s">
        <v>5</v>
      </c>
      <c r="C4" s="170" t="s">
        <v>48</v>
      </c>
      <c r="D4" s="170"/>
      <c r="E4" s="62"/>
      <c r="F4" s="72"/>
      <c r="G4" s="76" t="s">
        <v>41</v>
      </c>
      <c r="H4" s="69" t="s">
        <v>42</v>
      </c>
    </row>
    <row r="5" spans="2:14" ht="20.100000000000001" customHeight="1" thickBot="1" x14ac:dyDescent="0.3">
      <c r="B5" s="168"/>
      <c r="C5" s="171"/>
      <c r="D5" s="171"/>
      <c r="E5" s="9"/>
      <c r="F5" s="75"/>
      <c r="G5" s="77" t="s">
        <v>43</v>
      </c>
      <c r="H5" s="70" t="s">
        <v>44</v>
      </c>
    </row>
    <row r="6" spans="2:14" ht="20.100000000000001" customHeight="1" thickBot="1" x14ac:dyDescent="0.3">
      <c r="B6" s="167" t="s">
        <v>45</v>
      </c>
      <c r="C6" s="74" t="s">
        <v>46</v>
      </c>
      <c r="D6" s="9"/>
      <c r="E6" s="9"/>
      <c r="F6" s="75"/>
      <c r="G6" s="77" t="s">
        <v>7</v>
      </c>
      <c r="H6" s="116" t="s">
        <v>36</v>
      </c>
    </row>
    <row r="7" spans="2:14" ht="20.100000000000001" customHeight="1" thickBot="1" x14ac:dyDescent="0.3">
      <c r="B7" s="168"/>
      <c r="C7" s="65" t="s">
        <v>47</v>
      </c>
      <c r="D7" s="66"/>
      <c r="E7" s="66"/>
      <c r="F7" s="73"/>
      <c r="G7" s="78" t="s">
        <v>37</v>
      </c>
      <c r="H7" s="71" t="s">
        <v>38</v>
      </c>
      <c r="J7" s="162" t="s">
        <v>16</v>
      </c>
      <c r="K7" s="162" t="s">
        <v>17</v>
      </c>
      <c r="L7" s="162" t="s">
        <v>18</v>
      </c>
    </row>
    <row r="8" spans="2:14" ht="20.100000000000001" customHeight="1" thickBot="1" x14ac:dyDescent="0.3">
      <c r="J8" s="163"/>
      <c r="K8" s="163"/>
      <c r="L8" s="163"/>
    </row>
    <row r="9" spans="2:14" ht="33" customHeight="1" thickBot="1" x14ac:dyDescent="0.3">
      <c r="B9" s="79" t="s">
        <v>1</v>
      </c>
      <c r="C9" s="80" t="s">
        <v>12</v>
      </c>
      <c r="D9" s="80" t="s">
        <v>13</v>
      </c>
      <c r="E9" s="80" t="s">
        <v>0</v>
      </c>
      <c r="F9" s="80" t="s">
        <v>15</v>
      </c>
      <c r="G9" s="81" t="s">
        <v>39</v>
      </c>
      <c r="H9" s="82" t="s">
        <v>49</v>
      </c>
      <c r="J9" s="164"/>
      <c r="K9" s="164"/>
      <c r="L9" s="164"/>
    </row>
    <row r="10" spans="2:14" s="44" customFormat="1" ht="20.100000000000001" customHeight="1" x14ac:dyDescent="0.25">
      <c r="B10" s="109">
        <v>42583</v>
      </c>
      <c r="C10" s="89"/>
      <c r="D10" s="89"/>
      <c r="E10" s="89">
        <f t="shared" ref="E10:E26" si="0">D10-C10</f>
        <v>0</v>
      </c>
      <c r="F10" s="89"/>
      <c r="G10" s="90">
        <f t="shared" ref="G10:G26" si="1">E10-F10</f>
        <v>0</v>
      </c>
      <c r="H10" s="110"/>
      <c r="I10" s="83"/>
      <c r="J10" s="91"/>
      <c r="K10" s="92">
        <f>G10</f>
        <v>0</v>
      </c>
      <c r="L10" s="93" t="str">
        <f>IF(K10&lt;J10,TEXT((ABS(K10-J10)),"-hh:mm"),IF(K10=J10,"",K10-J10))</f>
        <v/>
      </c>
    </row>
    <row r="11" spans="2:14" s="44" customFormat="1" ht="20.100000000000001" customHeight="1" x14ac:dyDescent="0.25">
      <c r="B11" s="111">
        <f t="shared" ref="B11:B40" si="2">B10+1</f>
        <v>42584</v>
      </c>
      <c r="C11" s="94"/>
      <c r="D11" s="94"/>
      <c r="E11" s="95">
        <f t="shared" si="0"/>
        <v>0</v>
      </c>
      <c r="F11" s="94"/>
      <c r="G11" s="96">
        <f t="shared" si="1"/>
        <v>0</v>
      </c>
      <c r="H11" s="112"/>
      <c r="I11" s="83"/>
      <c r="J11" s="97"/>
      <c r="K11" s="92">
        <f t="shared" ref="K11:K40" si="3">G11</f>
        <v>0</v>
      </c>
      <c r="L11" s="93" t="str">
        <f t="shared" ref="L11:L40" si="4">IF(K11&lt;J11,TEXT((ABS(K11-J11)),"-hh:mm"),IF(K11=J11,"",K11-J11))</f>
        <v/>
      </c>
    </row>
    <row r="12" spans="2:14" s="44" customFormat="1" ht="20.100000000000001" customHeight="1" x14ac:dyDescent="0.25">
      <c r="B12" s="111">
        <f t="shared" si="2"/>
        <v>42585</v>
      </c>
      <c r="C12" s="94"/>
      <c r="D12" s="94"/>
      <c r="E12" s="95">
        <f t="shared" si="0"/>
        <v>0</v>
      </c>
      <c r="F12" s="94"/>
      <c r="G12" s="96">
        <f t="shared" si="1"/>
        <v>0</v>
      </c>
      <c r="H12" s="112"/>
      <c r="I12" s="83"/>
      <c r="J12" s="97"/>
      <c r="K12" s="92">
        <f t="shared" si="3"/>
        <v>0</v>
      </c>
      <c r="L12" s="93" t="str">
        <f t="shared" si="4"/>
        <v/>
      </c>
      <c r="N12" s="117"/>
    </row>
    <row r="13" spans="2:14" s="44" customFormat="1" ht="20.100000000000001" customHeight="1" x14ac:dyDescent="0.25">
      <c r="B13" s="111">
        <f t="shared" si="2"/>
        <v>42586</v>
      </c>
      <c r="C13" s="95"/>
      <c r="D13" s="95"/>
      <c r="E13" s="95">
        <f t="shared" si="0"/>
        <v>0</v>
      </c>
      <c r="F13" s="95"/>
      <c r="G13" s="96">
        <f t="shared" si="1"/>
        <v>0</v>
      </c>
      <c r="H13" s="112"/>
      <c r="I13" s="83"/>
      <c r="J13" s="97"/>
      <c r="K13" s="92">
        <f t="shared" si="3"/>
        <v>0</v>
      </c>
      <c r="L13" s="93" t="str">
        <f t="shared" si="4"/>
        <v/>
      </c>
    </row>
    <row r="14" spans="2:14" s="44" customFormat="1" ht="20.100000000000001" customHeight="1" x14ac:dyDescent="0.25">
      <c r="B14" s="111">
        <f t="shared" si="2"/>
        <v>42587</v>
      </c>
      <c r="C14" s="95"/>
      <c r="D14" s="95"/>
      <c r="E14" s="95">
        <f t="shared" si="0"/>
        <v>0</v>
      </c>
      <c r="F14" s="95"/>
      <c r="G14" s="96">
        <f t="shared" si="1"/>
        <v>0</v>
      </c>
      <c r="H14" s="112"/>
      <c r="I14" s="83"/>
      <c r="J14" s="97"/>
      <c r="K14" s="92">
        <f t="shared" si="3"/>
        <v>0</v>
      </c>
      <c r="L14" s="93" t="str">
        <f t="shared" si="4"/>
        <v/>
      </c>
    </row>
    <row r="15" spans="2:14" s="44" customFormat="1" ht="20.100000000000001" customHeight="1" x14ac:dyDescent="0.25">
      <c r="B15" s="111">
        <f t="shared" si="2"/>
        <v>42588</v>
      </c>
      <c r="C15" s="95"/>
      <c r="D15" s="95"/>
      <c r="E15" s="95">
        <f t="shared" si="0"/>
        <v>0</v>
      </c>
      <c r="F15" s="95"/>
      <c r="G15" s="96">
        <f t="shared" si="1"/>
        <v>0</v>
      </c>
      <c r="H15" s="112"/>
      <c r="I15" s="83"/>
      <c r="J15" s="97">
        <v>0.33333333333333331</v>
      </c>
      <c r="K15" s="92">
        <f t="shared" si="3"/>
        <v>0</v>
      </c>
      <c r="L15" s="93" t="str">
        <f t="shared" si="4"/>
        <v>-08:00</v>
      </c>
      <c r="M15" s="98"/>
    </row>
    <row r="16" spans="2:14" s="44" customFormat="1" ht="20.100000000000001" customHeight="1" x14ac:dyDescent="0.25">
      <c r="B16" s="111">
        <f t="shared" si="2"/>
        <v>42589</v>
      </c>
      <c r="C16" s="95"/>
      <c r="D16" s="95"/>
      <c r="E16" s="95">
        <f t="shared" si="0"/>
        <v>0</v>
      </c>
      <c r="F16" s="95"/>
      <c r="G16" s="96">
        <f t="shared" si="1"/>
        <v>0</v>
      </c>
      <c r="H16" s="112"/>
      <c r="I16" s="83"/>
      <c r="J16" s="97">
        <v>0.33333333333333331</v>
      </c>
      <c r="K16" s="92">
        <f t="shared" si="3"/>
        <v>0</v>
      </c>
      <c r="L16" s="93" t="str">
        <f t="shared" si="4"/>
        <v>-08:00</v>
      </c>
      <c r="M16" s="98"/>
    </row>
    <row r="17" spans="2:14" s="44" customFormat="1" ht="20.100000000000001" customHeight="1" x14ac:dyDescent="0.25">
      <c r="B17" s="111">
        <f t="shared" si="2"/>
        <v>42590</v>
      </c>
      <c r="C17" s="95"/>
      <c r="D17" s="95"/>
      <c r="E17" s="95">
        <f t="shared" si="0"/>
        <v>0</v>
      </c>
      <c r="F17" s="95"/>
      <c r="G17" s="96">
        <f t="shared" si="1"/>
        <v>0</v>
      </c>
      <c r="H17" s="112"/>
      <c r="I17" s="83"/>
      <c r="J17" s="97"/>
      <c r="K17" s="92">
        <f t="shared" si="3"/>
        <v>0</v>
      </c>
      <c r="L17" s="93" t="str">
        <f t="shared" si="4"/>
        <v/>
      </c>
      <c r="M17" s="98"/>
    </row>
    <row r="18" spans="2:14" s="44" customFormat="1" ht="20.100000000000001" customHeight="1" x14ac:dyDescent="0.25">
      <c r="B18" s="111">
        <f t="shared" si="2"/>
        <v>42591</v>
      </c>
      <c r="C18" s="95"/>
      <c r="D18" s="95"/>
      <c r="E18" s="95">
        <f t="shared" si="0"/>
        <v>0</v>
      </c>
      <c r="F18" s="95"/>
      <c r="G18" s="96">
        <f t="shared" si="1"/>
        <v>0</v>
      </c>
      <c r="H18" s="112"/>
      <c r="I18" s="83"/>
      <c r="J18" s="97"/>
      <c r="K18" s="92">
        <f t="shared" si="3"/>
        <v>0</v>
      </c>
      <c r="L18" s="93" t="str">
        <f t="shared" si="4"/>
        <v/>
      </c>
      <c r="M18" s="98"/>
    </row>
    <row r="19" spans="2:14" s="44" customFormat="1" ht="20.100000000000001" customHeight="1" x14ac:dyDescent="0.25">
      <c r="B19" s="111">
        <f t="shared" si="2"/>
        <v>42592</v>
      </c>
      <c r="C19" s="95"/>
      <c r="D19" s="95"/>
      <c r="E19" s="95">
        <f t="shared" si="0"/>
        <v>0</v>
      </c>
      <c r="F19" s="95"/>
      <c r="G19" s="96">
        <f t="shared" si="1"/>
        <v>0</v>
      </c>
      <c r="H19" s="112"/>
      <c r="I19" s="83"/>
      <c r="J19" s="97"/>
      <c r="K19" s="92">
        <f t="shared" si="3"/>
        <v>0</v>
      </c>
      <c r="L19" s="93" t="str">
        <f t="shared" si="4"/>
        <v/>
      </c>
      <c r="M19" s="98"/>
    </row>
    <row r="20" spans="2:14" s="44" customFormat="1" ht="20.100000000000001" customHeight="1" x14ac:dyDescent="0.25">
      <c r="B20" s="111">
        <f t="shared" si="2"/>
        <v>42593</v>
      </c>
      <c r="C20" s="95"/>
      <c r="D20" s="95"/>
      <c r="E20" s="95">
        <f t="shared" si="0"/>
        <v>0</v>
      </c>
      <c r="F20" s="95"/>
      <c r="G20" s="96">
        <f t="shared" si="1"/>
        <v>0</v>
      </c>
      <c r="H20" s="112"/>
      <c r="I20" s="83"/>
      <c r="J20" s="97"/>
      <c r="K20" s="92">
        <f t="shared" si="3"/>
        <v>0</v>
      </c>
      <c r="L20" s="93" t="str">
        <f t="shared" si="4"/>
        <v/>
      </c>
      <c r="M20" s="98"/>
    </row>
    <row r="21" spans="2:14" s="44" customFormat="1" ht="20.100000000000001" customHeight="1" x14ac:dyDescent="0.25">
      <c r="B21" s="111">
        <f t="shared" si="2"/>
        <v>42594</v>
      </c>
      <c r="C21" s="95"/>
      <c r="D21" s="95"/>
      <c r="E21" s="95">
        <f t="shared" si="0"/>
        <v>0</v>
      </c>
      <c r="F21" s="95"/>
      <c r="G21" s="96">
        <f t="shared" si="1"/>
        <v>0</v>
      </c>
      <c r="H21" s="112"/>
      <c r="I21" s="83"/>
      <c r="J21" s="97"/>
      <c r="K21" s="92">
        <f t="shared" si="3"/>
        <v>0</v>
      </c>
      <c r="L21" s="93" t="str">
        <f t="shared" si="4"/>
        <v/>
      </c>
      <c r="M21" s="98"/>
    </row>
    <row r="22" spans="2:14" s="44" customFormat="1" ht="20.100000000000001" customHeight="1" x14ac:dyDescent="0.25">
      <c r="B22" s="111">
        <f t="shared" si="2"/>
        <v>42595</v>
      </c>
      <c r="C22" s="95"/>
      <c r="D22" s="95"/>
      <c r="E22" s="95">
        <f t="shared" si="0"/>
        <v>0</v>
      </c>
      <c r="F22" s="95"/>
      <c r="G22" s="96">
        <f t="shared" si="1"/>
        <v>0</v>
      </c>
      <c r="H22" s="112"/>
      <c r="I22" s="83"/>
      <c r="J22" s="97">
        <v>0.33333333333333331</v>
      </c>
      <c r="K22" s="92">
        <f t="shared" si="3"/>
        <v>0</v>
      </c>
      <c r="L22" s="93" t="str">
        <f t="shared" si="4"/>
        <v>-08:00</v>
      </c>
      <c r="M22" s="98"/>
      <c r="N22" s="99"/>
    </row>
    <row r="23" spans="2:14" s="44" customFormat="1" ht="20.100000000000001" customHeight="1" x14ac:dyDescent="0.25">
      <c r="B23" s="111">
        <f t="shared" si="2"/>
        <v>42596</v>
      </c>
      <c r="C23" s="95"/>
      <c r="D23" s="95"/>
      <c r="E23" s="95">
        <f t="shared" si="0"/>
        <v>0</v>
      </c>
      <c r="F23" s="95"/>
      <c r="G23" s="96">
        <f t="shared" si="1"/>
        <v>0</v>
      </c>
      <c r="H23" s="112"/>
      <c r="I23" s="83"/>
      <c r="J23" s="97">
        <v>0.33333333333333331</v>
      </c>
      <c r="K23" s="92">
        <f t="shared" si="3"/>
        <v>0</v>
      </c>
      <c r="L23" s="93" t="str">
        <f t="shared" si="4"/>
        <v>-08:00</v>
      </c>
      <c r="M23" s="98"/>
      <c r="N23" s="99"/>
    </row>
    <row r="24" spans="2:14" s="44" customFormat="1" ht="20.100000000000001" customHeight="1" x14ac:dyDescent="0.25">
      <c r="B24" s="111">
        <f t="shared" si="2"/>
        <v>42597</v>
      </c>
      <c r="C24" s="95"/>
      <c r="D24" s="95"/>
      <c r="E24" s="95">
        <f t="shared" si="0"/>
        <v>0</v>
      </c>
      <c r="F24" s="95"/>
      <c r="G24" s="96">
        <f t="shared" si="1"/>
        <v>0</v>
      </c>
      <c r="H24" s="112"/>
      <c r="I24" s="83"/>
      <c r="J24" s="97">
        <v>0.33333333333333331</v>
      </c>
      <c r="K24" s="92">
        <f t="shared" si="3"/>
        <v>0</v>
      </c>
      <c r="L24" s="93" t="str">
        <f t="shared" si="4"/>
        <v>-08:00</v>
      </c>
      <c r="M24" s="98"/>
      <c r="N24" s="99"/>
    </row>
    <row r="25" spans="2:14" s="44" customFormat="1" ht="20.100000000000001" customHeight="1" x14ac:dyDescent="0.25">
      <c r="B25" s="111">
        <f t="shared" si="2"/>
        <v>42598</v>
      </c>
      <c r="C25" s="95"/>
      <c r="D25" s="95"/>
      <c r="E25" s="95">
        <f t="shared" si="0"/>
        <v>0</v>
      </c>
      <c r="F25" s="95"/>
      <c r="G25" s="96">
        <f t="shared" si="1"/>
        <v>0</v>
      </c>
      <c r="H25" s="112"/>
      <c r="I25" s="83"/>
      <c r="J25" s="97">
        <v>0.33333333333333331</v>
      </c>
      <c r="K25" s="92">
        <f t="shared" si="3"/>
        <v>0</v>
      </c>
      <c r="L25" s="93" t="str">
        <f t="shared" si="4"/>
        <v>-08:00</v>
      </c>
      <c r="M25" s="98"/>
      <c r="N25" s="99"/>
    </row>
    <row r="26" spans="2:14" s="44" customFormat="1" ht="20.100000000000001" customHeight="1" x14ac:dyDescent="0.25">
      <c r="B26" s="111">
        <f t="shared" si="2"/>
        <v>42599</v>
      </c>
      <c r="C26" s="95"/>
      <c r="D26" s="95"/>
      <c r="E26" s="95">
        <f t="shared" si="0"/>
        <v>0</v>
      </c>
      <c r="F26" s="95"/>
      <c r="G26" s="96">
        <f t="shared" si="1"/>
        <v>0</v>
      </c>
      <c r="H26" s="112"/>
      <c r="I26" s="83"/>
      <c r="J26" s="97"/>
      <c r="K26" s="92">
        <f t="shared" si="3"/>
        <v>0</v>
      </c>
      <c r="L26" s="93" t="str">
        <f t="shared" si="4"/>
        <v/>
      </c>
      <c r="M26" s="98"/>
      <c r="N26" s="99"/>
    </row>
    <row r="27" spans="2:14" s="44" customFormat="1" ht="20.100000000000001" customHeight="1" x14ac:dyDescent="0.25">
      <c r="B27" s="111">
        <f t="shared" si="2"/>
        <v>42600</v>
      </c>
      <c r="C27" s="95"/>
      <c r="D27" s="95"/>
      <c r="E27" s="95">
        <f>D27-C27</f>
        <v>0</v>
      </c>
      <c r="F27" s="95"/>
      <c r="G27" s="96">
        <f>E27-F27</f>
        <v>0</v>
      </c>
      <c r="H27" s="112"/>
      <c r="I27" s="83"/>
      <c r="J27" s="97"/>
      <c r="K27" s="92">
        <f t="shared" si="3"/>
        <v>0</v>
      </c>
      <c r="L27" s="93" t="str">
        <f t="shared" si="4"/>
        <v/>
      </c>
      <c r="M27" s="98"/>
      <c r="N27" s="99"/>
    </row>
    <row r="28" spans="2:14" s="44" customFormat="1" ht="20.100000000000001" customHeight="1" x14ac:dyDescent="0.25">
      <c r="B28" s="111">
        <f t="shared" si="2"/>
        <v>42601</v>
      </c>
      <c r="C28" s="95"/>
      <c r="D28" s="95"/>
      <c r="E28" s="95">
        <f>D28-C28</f>
        <v>0</v>
      </c>
      <c r="F28" s="95"/>
      <c r="G28" s="96">
        <f>E28-F28</f>
        <v>0</v>
      </c>
      <c r="H28" s="112"/>
      <c r="I28" s="83"/>
      <c r="J28" s="97"/>
      <c r="K28" s="92">
        <f t="shared" si="3"/>
        <v>0</v>
      </c>
      <c r="L28" s="93" t="str">
        <f t="shared" si="4"/>
        <v/>
      </c>
      <c r="M28" s="98"/>
      <c r="N28" s="99"/>
    </row>
    <row r="29" spans="2:14" s="44" customFormat="1" ht="20.100000000000001" customHeight="1" x14ac:dyDescent="0.25">
      <c r="B29" s="111">
        <f t="shared" si="2"/>
        <v>42602</v>
      </c>
      <c r="C29" s="95"/>
      <c r="D29" s="95"/>
      <c r="E29" s="95">
        <f t="shared" ref="E29:E40" si="5">D29-C29</f>
        <v>0</v>
      </c>
      <c r="F29" s="95"/>
      <c r="G29" s="96">
        <f t="shared" ref="G29:G40" si="6">E29-F29</f>
        <v>0</v>
      </c>
      <c r="H29" s="113"/>
      <c r="I29" s="83"/>
      <c r="J29" s="97">
        <v>0.33333333333333331</v>
      </c>
      <c r="K29" s="92">
        <f t="shared" si="3"/>
        <v>0</v>
      </c>
      <c r="L29" s="93" t="str">
        <f t="shared" si="4"/>
        <v>-08:00</v>
      </c>
      <c r="M29" s="98"/>
      <c r="N29" s="99"/>
    </row>
    <row r="30" spans="2:14" s="44" customFormat="1" ht="20.100000000000001" customHeight="1" x14ac:dyDescent="0.25">
      <c r="B30" s="111">
        <f t="shared" si="2"/>
        <v>42603</v>
      </c>
      <c r="C30" s="95"/>
      <c r="D30" s="95"/>
      <c r="E30" s="95">
        <f t="shared" si="5"/>
        <v>0</v>
      </c>
      <c r="F30" s="95"/>
      <c r="G30" s="96">
        <f t="shared" si="6"/>
        <v>0</v>
      </c>
      <c r="H30" s="112"/>
      <c r="I30" s="83"/>
      <c r="J30" s="97">
        <v>0.33333333333333331</v>
      </c>
      <c r="K30" s="92">
        <f t="shared" si="3"/>
        <v>0</v>
      </c>
      <c r="L30" s="93" t="str">
        <f t="shared" si="4"/>
        <v>-08:00</v>
      </c>
      <c r="M30" s="98"/>
      <c r="N30" s="99"/>
    </row>
    <row r="31" spans="2:14" s="44" customFormat="1" ht="20.100000000000001" customHeight="1" x14ac:dyDescent="0.25">
      <c r="B31" s="111">
        <f t="shared" si="2"/>
        <v>42604</v>
      </c>
      <c r="C31" s="95"/>
      <c r="D31" s="95"/>
      <c r="E31" s="95">
        <f t="shared" si="5"/>
        <v>0</v>
      </c>
      <c r="F31" s="95"/>
      <c r="G31" s="96">
        <f t="shared" si="6"/>
        <v>0</v>
      </c>
      <c r="H31" s="112"/>
      <c r="I31" s="83"/>
      <c r="J31" s="97">
        <v>0.33333333333333331</v>
      </c>
      <c r="K31" s="92">
        <f t="shared" si="3"/>
        <v>0</v>
      </c>
      <c r="L31" s="93" t="str">
        <f t="shared" si="4"/>
        <v>-08:00</v>
      </c>
      <c r="M31" s="98"/>
    </row>
    <row r="32" spans="2:14" s="44" customFormat="1" ht="20.100000000000001" customHeight="1" x14ac:dyDescent="0.25">
      <c r="B32" s="111">
        <f t="shared" si="2"/>
        <v>42605</v>
      </c>
      <c r="C32" s="95"/>
      <c r="D32" s="95"/>
      <c r="E32" s="95">
        <f t="shared" si="5"/>
        <v>0</v>
      </c>
      <c r="F32" s="95"/>
      <c r="G32" s="96">
        <f t="shared" si="6"/>
        <v>0</v>
      </c>
      <c r="H32" s="112"/>
      <c r="I32" s="83"/>
      <c r="J32" s="97">
        <v>0.33333333333333331</v>
      </c>
      <c r="K32" s="92">
        <f t="shared" si="3"/>
        <v>0</v>
      </c>
      <c r="L32" s="93" t="str">
        <f t="shared" si="4"/>
        <v>-08:00</v>
      </c>
      <c r="M32" s="98"/>
    </row>
    <row r="33" spans="2:13" s="44" customFormat="1" ht="20.100000000000001" customHeight="1" x14ac:dyDescent="0.25">
      <c r="B33" s="111">
        <f t="shared" si="2"/>
        <v>42606</v>
      </c>
      <c r="C33" s="95"/>
      <c r="D33" s="95"/>
      <c r="E33" s="95">
        <f t="shared" si="5"/>
        <v>0</v>
      </c>
      <c r="F33" s="95"/>
      <c r="G33" s="96">
        <f t="shared" si="6"/>
        <v>0</v>
      </c>
      <c r="H33" s="112"/>
      <c r="I33" s="83"/>
      <c r="J33" s="97">
        <v>0</v>
      </c>
      <c r="K33" s="92">
        <f t="shared" si="3"/>
        <v>0</v>
      </c>
      <c r="L33" s="93" t="str">
        <f t="shared" si="4"/>
        <v/>
      </c>
      <c r="M33" s="98"/>
    </row>
    <row r="34" spans="2:13" s="44" customFormat="1" ht="20.100000000000001" customHeight="1" x14ac:dyDescent="0.25">
      <c r="B34" s="111">
        <f t="shared" si="2"/>
        <v>42607</v>
      </c>
      <c r="C34" s="95"/>
      <c r="D34" s="95"/>
      <c r="E34" s="95">
        <f t="shared" si="5"/>
        <v>0</v>
      </c>
      <c r="F34" s="95"/>
      <c r="G34" s="96">
        <f t="shared" si="6"/>
        <v>0</v>
      </c>
      <c r="H34" s="112"/>
      <c r="I34" s="83"/>
      <c r="J34" s="97"/>
      <c r="K34" s="92">
        <f t="shared" si="3"/>
        <v>0</v>
      </c>
      <c r="L34" s="93" t="str">
        <f t="shared" si="4"/>
        <v/>
      </c>
      <c r="M34" s="98"/>
    </row>
    <row r="35" spans="2:13" s="44" customFormat="1" ht="20.100000000000001" customHeight="1" x14ac:dyDescent="0.25">
      <c r="B35" s="111">
        <f t="shared" si="2"/>
        <v>42608</v>
      </c>
      <c r="C35" s="95"/>
      <c r="D35" s="95"/>
      <c r="E35" s="95">
        <f t="shared" si="5"/>
        <v>0</v>
      </c>
      <c r="F35" s="95"/>
      <c r="G35" s="96">
        <f t="shared" si="6"/>
        <v>0</v>
      </c>
      <c r="H35" s="112"/>
      <c r="I35" s="83"/>
      <c r="J35" s="97"/>
      <c r="K35" s="92">
        <f t="shared" si="3"/>
        <v>0</v>
      </c>
      <c r="L35" s="93" t="str">
        <f t="shared" si="4"/>
        <v/>
      </c>
      <c r="M35" s="98"/>
    </row>
    <row r="36" spans="2:13" s="44" customFormat="1" ht="20.100000000000001" customHeight="1" x14ac:dyDescent="0.25">
      <c r="B36" s="111">
        <f t="shared" si="2"/>
        <v>42609</v>
      </c>
      <c r="C36" s="95"/>
      <c r="D36" s="95"/>
      <c r="E36" s="95">
        <f t="shared" si="5"/>
        <v>0</v>
      </c>
      <c r="F36" s="95"/>
      <c r="G36" s="96">
        <f t="shared" si="6"/>
        <v>0</v>
      </c>
      <c r="H36" s="112"/>
      <c r="I36" s="83"/>
      <c r="J36" s="97">
        <v>0.33333333333333331</v>
      </c>
      <c r="K36" s="92">
        <f t="shared" si="3"/>
        <v>0</v>
      </c>
      <c r="L36" s="93" t="str">
        <f t="shared" si="4"/>
        <v>-08:00</v>
      </c>
      <c r="M36" s="98"/>
    </row>
    <row r="37" spans="2:13" s="44" customFormat="1" ht="20.100000000000001" customHeight="1" x14ac:dyDescent="0.25">
      <c r="B37" s="111">
        <f t="shared" si="2"/>
        <v>42610</v>
      </c>
      <c r="C37" s="95"/>
      <c r="D37" s="95"/>
      <c r="E37" s="95">
        <f t="shared" si="5"/>
        <v>0</v>
      </c>
      <c r="F37" s="95"/>
      <c r="G37" s="96">
        <f t="shared" si="6"/>
        <v>0</v>
      </c>
      <c r="H37" s="112"/>
      <c r="I37" s="83"/>
      <c r="J37" s="97">
        <v>0.33333333333333331</v>
      </c>
      <c r="K37" s="92">
        <f t="shared" si="3"/>
        <v>0</v>
      </c>
      <c r="L37" s="93" t="str">
        <f t="shared" si="4"/>
        <v>-08:00</v>
      </c>
      <c r="M37" s="98"/>
    </row>
    <row r="38" spans="2:13" s="44" customFormat="1" ht="20.100000000000001" customHeight="1" x14ac:dyDescent="0.25">
      <c r="B38" s="111">
        <f t="shared" si="2"/>
        <v>42611</v>
      </c>
      <c r="C38" s="95"/>
      <c r="D38" s="95"/>
      <c r="E38" s="95">
        <f t="shared" si="5"/>
        <v>0</v>
      </c>
      <c r="F38" s="95"/>
      <c r="G38" s="96">
        <f t="shared" si="6"/>
        <v>0</v>
      </c>
      <c r="H38" s="112"/>
      <c r="I38" s="83"/>
      <c r="J38" s="97">
        <v>0.33333333333333331</v>
      </c>
      <c r="K38" s="92">
        <f t="shared" si="3"/>
        <v>0</v>
      </c>
      <c r="L38" s="93" t="str">
        <f t="shared" si="4"/>
        <v>-08:00</v>
      </c>
      <c r="M38" s="98"/>
    </row>
    <row r="39" spans="2:13" s="44" customFormat="1" ht="20.100000000000001" customHeight="1" x14ac:dyDescent="0.25">
      <c r="B39" s="111">
        <f t="shared" si="2"/>
        <v>42612</v>
      </c>
      <c r="C39" s="95"/>
      <c r="D39" s="95"/>
      <c r="E39" s="95">
        <f t="shared" ref="E39" si="7">D39-C39</f>
        <v>0</v>
      </c>
      <c r="F39" s="95"/>
      <c r="G39" s="96">
        <f t="shared" si="6"/>
        <v>0</v>
      </c>
      <c r="H39" s="113"/>
      <c r="I39" s="83"/>
      <c r="J39" s="97">
        <v>0.33333333333333331</v>
      </c>
      <c r="K39" s="92">
        <f t="shared" si="3"/>
        <v>0</v>
      </c>
      <c r="L39" s="93" t="str">
        <f t="shared" si="4"/>
        <v>-08:00</v>
      </c>
      <c r="M39" s="98"/>
    </row>
    <row r="40" spans="2:13" s="44" customFormat="1" ht="20.100000000000001" customHeight="1" thickBot="1" x14ac:dyDescent="0.3">
      <c r="B40" s="114">
        <f t="shared" si="2"/>
        <v>42613</v>
      </c>
      <c r="C40" s="100"/>
      <c r="D40" s="100"/>
      <c r="E40" s="100">
        <f t="shared" si="5"/>
        <v>0</v>
      </c>
      <c r="F40" s="100"/>
      <c r="G40" s="101">
        <f t="shared" si="6"/>
        <v>0</v>
      </c>
      <c r="H40" s="115"/>
      <c r="I40" s="83"/>
      <c r="J40" s="102"/>
      <c r="K40" s="103">
        <f t="shared" si="3"/>
        <v>0</v>
      </c>
      <c r="L40" s="104" t="str">
        <f t="shared" si="4"/>
        <v/>
      </c>
      <c r="M40" s="98"/>
    </row>
    <row r="41" spans="2:13" s="30" customFormat="1" ht="24.95" customHeight="1" thickBot="1" x14ac:dyDescent="0.3">
      <c r="B41" s="85" t="s">
        <v>2</v>
      </c>
      <c r="C41" s="80"/>
      <c r="D41" s="80"/>
      <c r="E41" s="86"/>
      <c r="F41" s="87"/>
      <c r="G41" s="86">
        <f>SUM(G10:G40)</f>
        <v>0</v>
      </c>
      <c r="H41" s="88"/>
      <c r="I41" s="83"/>
      <c r="J41" s="84">
        <f>SUM(J10:J40)</f>
        <v>4.6666666666666661</v>
      </c>
      <c r="K41" s="84">
        <f>SUM(K10:K40)</f>
        <v>0</v>
      </c>
      <c r="L41" s="84" t="str">
        <f>IF(K41&lt;J41,TEXT((ABS(K41-J41)),"-[h]:mm"),IF(K41=J41,"",K41-J41))</f>
        <v>-112:00</v>
      </c>
    </row>
    <row r="42" spans="2:13" ht="20.100000000000001" customHeight="1" thickBot="1" x14ac:dyDescent="0.3">
      <c r="J42" s="20"/>
    </row>
    <row r="43" spans="2:13" x14ac:dyDescent="0.25">
      <c r="G43" s="158" t="s">
        <v>50</v>
      </c>
      <c r="H43" s="159"/>
    </row>
    <row r="44" spans="2:13" ht="15.75" thickBot="1" x14ac:dyDescent="0.3">
      <c r="G44" s="160"/>
      <c r="H44" s="161"/>
    </row>
    <row r="45" spans="2:13" ht="65.099999999999994" customHeight="1" thickBot="1" x14ac:dyDescent="0.3">
      <c r="G45" s="105" t="s">
        <v>51</v>
      </c>
      <c r="H45" s="64"/>
    </row>
    <row r="46" spans="2:13" s="107" customFormat="1" ht="20.100000000000001" customHeight="1" thickBot="1" x14ac:dyDescent="0.3">
      <c r="G46" s="106" t="s">
        <v>45</v>
      </c>
      <c r="H46" s="71" t="s">
        <v>46</v>
      </c>
      <c r="I46" s="108"/>
      <c r="J46" s="108"/>
      <c r="K46" s="108"/>
      <c r="L46" s="108"/>
    </row>
  </sheetData>
  <mergeCells count="8">
    <mergeCell ref="G43:H44"/>
    <mergeCell ref="J7:J9"/>
    <mergeCell ref="K7:K9"/>
    <mergeCell ref="L7:L9"/>
    <mergeCell ref="B2:G2"/>
    <mergeCell ref="B6:B7"/>
    <mergeCell ref="B4:B5"/>
    <mergeCell ref="C4:D5"/>
  </mergeCells>
  <pageMargins left="0.25" right="0.25" top="0.75" bottom="0.75" header="0.3" footer="0.3"/>
  <pageSetup paperSize="9" scale="5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 summaryRight="0"/>
    <pageSetUpPr fitToPage="1"/>
  </sheetPr>
  <dimension ref="B2:P56"/>
  <sheetViews>
    <sheetView topLeftCell="A15" workbookViewId="0">
      <selection activeCell="D18" sqref="D18"/>
    </sheetView>
  </sheetViews>
  <sheetFormatPr defaultRowHeight="15" x14ac:dyDescent="0.25"/>
  <cols>
    <col min="1" max="1" width="3.7109375" style="1" customWidth="1"/>
    <col min="2" max="2" width="14.7109375" style="1" customWidth="1"/>
    <col min="3" max="6" width="15.7109375" style="1" customWidth="1"/>
    <col min="7" max="7" width="15.7109375" style="3" customWidth="1"/>
    <col min="8" max="8" width="3.7109375" style="3" customWidth="1"/>
    <col min="9" max="9" width="14.7109375" style="3" customWidth="1"/>
    <col min="10" max="10" width="50.7109375" style="3" hidden="1" customWidth="1"/>
    <col min="11" max="11" width="3" style="3" hidden="1" customWidth="1"/>
    <col min="12" max="14" width="7.7109375" style="3" hidden="1" customWidth="1"/>
    <col min="15" max="15" width="0" style="1" hidden="1" customWidth="1"/>
    <col min="16" max="16384" width="9.140625" style="1"/>
  </cols>
  <sheetData>
    <row r="2" spans="2:14" ht="47.25" customHeight="1" x14ac:dyDescent="0.25">
      <c r="B2" s="165" t="s">
        <v>40</v>
      </c>
      <c r="C2" s="166"/>
      <c r="D2" s="166"/>
      <c r="E2" s="166"/>
      <c r="F2" s="166"/>
      <c r="G2" s="166"/>
    </row>
    <row r="3" spans="2:14" ht="20.100000000000001" customHeight="1" thickBot="1" x14ac:dyDescent="0.3">
      <c r="B3" s="4"/>
      <c r="G3" s="1"/>
    </row>
    <row r="4" spans="2:14" ht="20.100000000000001" hidden="1" customHeight="1" x14ac:dyDescent="0.25">
      <c r="B4" s="178" t="s">
        <v>5</v>
      </c>
      <c r="C4" s="180" t="s">
        <v>48</v>
      </c>
      <c r="D4" s="170"/>
      <c r="E4" s="62"/>
      <c r="F4" s="63"/>
      <c r="G4" s="72"/>
    </row>
    <row r="5" spans="2:14" ht="20.100000000000001" hidden="1" customHeight="1" thickBot="1" x14ac:dyDescent="0.3">
      <c r="B5" s="179"/>
      <c r="C5" s="181"/>
      <c r="D5" s="171"/>
      <c r="E5" s="9"/>
      <c r="F5" s="7"/>
      <c r="G5" s="75"/>
    </row>
    <row r="6" spans="2:14" ht="20.100000000000001" hidden="1" customHeight="1" thickBot="1" x14ac:dyDescent="0.3">
      <c r="B6" s="182" t="s">
        <v>45</v>
      </c>
      <c r="C6" s="125" t="s">
        <v>46</v>
      </c>
      <c r="D6" s="9"/>
      <c r="E6" s="9"/>
      <c r="F6" s="7"/>
      <c r="G6" s="75"/>
    </row>
    <row r="7" spans="2:14" ht="20.100000000000001" hidden="1" customHeight="1" thickBot="1" x14ac:dyDescent="0.3">
      <c r="B7" s="179"/>
      <c r="C7" s="126" t="s">
        <v>47</v>
      </c>
      <c r="D7" s="66"/>
      <c r="E7" s="66"/>
      <c r="F7" s="67"/>
      <c r="G7" s="73"/>
      <c r="L7" s="162" t="s">
        <v>16</v>
      </c>
      <c r="M7" s="162" t="s">
        <v>17</v>
      </c>
      <c r="N7" s="162" t="s">
        <v>18</v>
      </c>
    </row>
    <row r="8" spans="2:14" ht="20.100000000000001" hidden="1" customHeight="1" thickBot="1" x14ac:dyDescent="0.3">
      <c r="G8" s="1"/>
      <c r="L8" s="163"/>
      <c r="M8" s="163"/>
      <c r="N8" s="163"/>
    </row>
    <row r="9" spans="2:14" ht="20.100000000000001" customHeight="1" x14ac:dyDescent="0.25">
      <c r="B9" s="119" t="s">
        <v>41</v>
      </c>
      <c r="C9" s="132" t="s">
        <v>42</v>
      </c>
      <c r="D9" s="62"/>
      <c r="E9" s="120"/>
      <c r="F9" s="9"/>
      <c r="G9" s="9"/>
      <c r="L9" s="163"/>
      <c r="M9" s="163"/>
      <c r="N9" s="163"/>
    </row>
    <row r="10" spans="2:14" ht="20.100000000000001" customHeight="1" x14ac:dyDescent="0.25">
      <c r="B10" s="121" t="s">
        <v>43</v>
      </c>
      <c r="C10" s="133" t="s">
        <v>44</v>
      </c>
      <c r="D10" s="9"/>
      <c r="E10" s="122"/>
      <c r="F10" s="9"/>
      <c r="G10" s="9"/>
      <c r="L10" s="163"/>
      <c r="M10" s="163"/>
      <c r="N10" s="163"/>
    </row>
    <row r="11" spans="2:14" ht="20.100000000000001" customHeight="1" x14ac:dyDescent="0.25">
      <c r="B11" s="121" t="s">
        <v>7</v>
      </c>
      <c r="C11" s="125" t="s">
        <v>52</v>
      </c>
      <c r="D11" s="9"/>
      <c r="E11" s="122"/>
      <c r="F11" s="9"/>
      <c r="G11" s="9"/>
      <c r="L11" s="163"/>
      <c r="M11" s="163"/>
      <c r="N11" s="163"/>
    </row>
    <row r="12" spans="2:14" ht="20.100000000000001" customHeight="1" thickBot="1" x14ac:dyDescent="0.3">
      <c r="B12" s="123" t="s">
        <v>37</v>
      </c>
      <c r="C12" s="126" t="s">
        <v>38</v>
      </c>
      <c r="D12" s="66"/>
      <c r="E12" s="124"/>
      <c r="F12" s="9"/>
      <c r="G12" s="9"/>
      <c r="L12" s="163"/>
      <c r="M12" s="163"/>
      <c r="N12" s="163"/>
    </row>
    <row r="13" spans="2:14" ht="20.100000000000001" customHeight="1" thickBot="1" x14ac:dyDescent="0.3">
      <c r="L13" s="163"/>
      <c r="M13" s="163"/>
      <c r="N13" s="163"/>
    </row>
    <row r="14" spans="2:14" ht="33" customHeight="1" thickBot="1" x14ac:dyDescent="0.3">
      <c r="B14" s="79" t="s">
        <v>1</v>
      </c>
      <c r="C14" s="80" t="s">
        <v>12</v>
      </c>
      <c r="D14" s="80" t="s">
        <v>13</v>
      </c>
      <c r="E14" s="80" t="s">
        <v>0</v>
      </c>
      <c r="F14" s="80" t="s">
        <v>15</v>
      </c>
      <c r="G14" s="128" t="s">
        <v>39</v>
      </c>
      <c r="J14" s="82" t="s">
        <v>56</v>
      </c>
      <c r="L14" s="164"/>
      <c r="M14" s="164"/>
      <c r="N14" s="164"/>
    </row>
    <row r="15" spans="2:14" s="44" customFormat="1" ht="15" customHeight="1" x14ac:dyDescent="0.25">
      <c r="B15" s="109">
        <v>42614</v>
      </c>
      <c r="C15" s="89">
        <v>0.29166666666666669</v>
      </c>
      <c r="D15" s="89">
        <v>0.97916666666666663</v>
      </c>
      <c r="E15" s="89">
        <f t="shared" ref="E15:E31" si="0">D15-C15</f>
        <v>0.6875</v>
      </c>
      <c r="F15" s="89">
        <v>8.3333333333333329E-2</v>
      </c>
      <c r="G15" s="129">
        <f t="shared" ref="G15:G31" si="1">E15-F15</f>
        <v>0.60416666666666663</v>
      </c>
      <c r="H15" s="3"/>
      <c r="I15" s="3"/>
      <c r="J15" s="110" t="s">
        <v>53</v>
      </c>
      <c r="K15" s="83"/>
      <c r="L15" s="91"/>
      <c r="M15" s="92">
        <f t="shared" ref="M15:M45" si="2">G15</f>
        <v>0.60416666666666663</v>
      </c>
      <c r="N15" s="93">
        <f>IF(M15&lt;L15,TEXT((ABS(M15-L15)),"-hh:mm"),IF(M15=L15,"",M15-L15))</f>
        <v>0.60416666666666663</v>
      </c>
    </row>
    <row r="16" spans="2:14" s="44" customFormat="1" ht="15" customHeight="1" x14ac:dyDescent="0.25">
      <c r="B16" s="111">
        <f t="shared" ref="B16:B44" si="3">B15+1</f>
        <v>42615</v>
      </c>
      <c r="C16" s="89">
        <v>0.29166666666666669</v>
      </c>
      <c r="D16" s="89">
        <v>0.97916666666666663</v>
      </c>
      <c r="E16" s="95">
        <f t="shared" si="0"/>
        <v>0.6875</v>
      </c>
      <c r="F16" s="89">
        <v>8.3333333333333329E-2</v>
      </c>
      <c r="G16" s="130">
        <f t="shared" si="1"/>
        <v>0.60416666666666663</v>
      </c>
      <c r="H16" s="3"/>
      <c r="I16" s="3"/>
      <c r="J16" s="110" t="s">
        <v>53</v>
      </c>
      <c r="K16" s="83"/>
      <c r="L16" s="97"/>
      <c r="M16" s="92">
        <f t="shared" si="2"/>
        <v>0.60416666666666663</v>
      </c>
      <c r="N16" s="93">
        <f t="shared" ref="N16:N45" si="4">IF(M16&lt;L16,TEXT((ABS(M16-L16)),"-hh:mm"),IF(M16=L16,"",M16-L16))</f>
        <v>0.60416666666666663</v>
      </c>
    </row>
    <row r="17" spans="2:16" s="44" customFormat="1" ht="15" customHeight="1" x14ac:dyDescent="0.25">
      <c r="B17" s="118">
        <f t="shared" si="3"/>
        <v>42616</v>
      </c>
      <c r="C17" s="89">
        <v>0.58333333333333337</v>
      </c>
      <c r="D17" s="89">
        <v>0.70833333333333337</v>
      </c>
      <c r="E17" s="95">
        <f t="shared" si="0"/>
        <v>0.125</v>
      </c>
      <c r="F17" s="94"/>
      <c r="G17" s="130">
        <f t="shared" si="1"/>
        <v>0.125</v>
      </c>
      <c r="H17" s="3"/>
      <c r="I17" s="3"/>
      <c r="J17" s="110" t="s">
        <v>53</v>
      </c>
      <c r="K17" s="83"/>
      <c r="L17" s="97"/>
      <c r="M17" s="92">
        <f t="shared" si="2"/>
        <v>0.125</v>
      </c>
      <c r="N17" s="93">
        <f t="shared" si="4"/>
        <v>0.125</v>
      </c>
    </row>
    <row r="18" spans="2:16" s="44" customFormat="1" ht="15" customHeight="1" x14ac:dyDescent="0.25">
      <c r="B18" s="118">
        <f t="shared" si="3"/>
        <v>42617</v>
      </c>
      <c r="C18" s="89"/>
      <c r="D18" s="89"/>
      <c r="E18" s="95">
        <f t="shared" si="0"/>
        <v>0</v>
      </c>
      <c r="F18" s="95"/>
      <c r="G18" s="130">
        <f t="shared" si="1"/>
        <v>0</v>
      </c>
      <c r="H18" s="3"/>
      <c r="I18" s="3"/>
      <c r="J18" s="112"/>
      <c r="K18" s="83"/>
      <c r="L18" s="97"/>
      <c r="M18" s="92">
        <f t="shared" si="2"/>
        <v>0</v>
      </c>
      <c r="N18" s="93" t="str">
        <f t="shared" si="4"/>
        <v/>
      </c>
    </row>
    <row r="19" spans="2:16" s="44" customFormat="1" ht="15" customHeight="1" x14ac:dyDescent="0.25">
      <c r="B19" s="111">
        <f t="shared" si="3"/>
        <v>42618</v>
      </c>
      <c r="C19" s="89">
        <v>0.29166666666666669</v>
      </c>
      <c r="D19" s="89">
        <v>0.83333333333333337</v>
      </c>
      <c r="E19" s="95">
        <f t="shared" si="0"/>
        <v>0.54166666666666674</v>
      </c>
      <c r="F19" s="89">
        <v>4.1666666666666664E-2</v>
      </c>
      <c r="G19" s="130">
        <f t="shared" si="1"/>
        <v>0.50000000000000011</v>
      </c>
      <c r="H19" s="3"/>
      <c r="I19" s="3"/>
      <c r="J19" s="112" t="s">
        <v>54</v>
      </c>
      <c r="K19" s="83"/>
      <c r="L19" s="97"/>
      <c r="M19" s="92">
        <f t="shared" si="2"/>
        <v>0.50000000000000011</v>
      </c>
      <c r="N19" s="93">
        <f t="shared" si="4"/>
        <v>0.50000000000000011</v>
      </c>
    </row>
    <row r="20" spans="2:16" s="44" customFormat="1" ht="15" customHeight="1" x14ac:dyDescent="0.25">
      <c r="B20" s="111">
        <f t="shared" si="3"/>
        <v>42619</v>
      </c>
      <c r="C20" s="89">
        <v>0.29166666666666669</v>
      </c>
      <c r="D20" s="89">
        <v>0.83333333333333337</v>
      </c>
      <c r="E20" s="95">
        <f t="shared" si="0"/>
        <v>0.54166666666666674</v>
      </c>
      <c r="F20" s="89">
        <v>4.1666666666666664E-2</v>
      </c>
      <c r="G20" s="130">
        <f t="shared" si="1"/>
        <v>0.50000000000000011</v>
      </c>
      <c r="H20" s="3"/>
      <c r="I20" s="3"/>
      <c r="J20" s="112" t="s">
        <v>54</v>
      </c>
      <c r="K20" s="83"/>
      <c r="L20" s="97">
        <v>0.33333333333333331</v>
      </c>
      <c r="M20" s="92">
        <f t="shared" si="2"/>
        <v>0.50000000000000011</v>
      </c>
      <c r="N20" s="93">
        <f t="shared" si="4"/>
        <v>0.1666666666666668</v>
      </c>
      <c r="O20" s="98"/>
    </row>
    <row r="21" spans="2:16" s="44" customFormat="1" ht="15" customHeight="1" x14ac:dyDescent="0.25">
      <c r="B21" s="118">
        <f t="shared" si="3"/>
        <v>42620</v>
      </c>
      <c r="C21" s="89"/>
      <c r="D21" s="89"/>
      <c r="E21" s="95">
        <f t="shared" si="0"/>
        <v>0</v>
      </c>
      <c r="F21" s="89"/>
      <c r="G21" s="130">
        <f t="shared" si="1"/>
        <v>0</v>
      </c>
      <c r="H21" s="3"/>
      <c r="I21" s="3"/>
      <c r="J21" s="112" t="s">
        <v>54</v>
      </c>
      <c r="K21" s="83"/>
      <c r="L21" s="97">
        <v>0.33333333333333331</v>
      </c>
      <c r="M21" s="92">
        <f t="shared" si="2"/>
        <v>0</v>
      </c>
      <c r="N21" s="93" t="str">
        <f t="shared" si="4"/>
        <v>-08:00</v>
      </c>
      <c r="O21" s="98"/>
    </row>
    <row r="22" spans="2:16" s="44" customFormat="1" ht="15" customHeight="1" x14ac:dyDescent="0.25">
      <c r="B22" s="111">
        <f t="shared" si="3"/>
        <v>42621</v>
      </c>
      <c r="C22" s="89">
        <v>0.29166666666666669</v>
      </c>
      <c r="D22" s="89">
        <v>0.83333333333333337</v>
      </c>
      <c r="E22" s="95">
        <f t="shared" si="0"/>
        <v>0.54166666666666674</v>
      </c>
      <c r="F22" s="89">
        <v>4.1666666666666664E-2</v>
      </c>
      <c r="G22" s="130">
        <f t="shared" si="1"/>
        <v>0.50000000000000011</v>
      </c>
      <c r="H22" s="3"/>
      <c r="I22" s="3"/>
      <c r="J22" s="112" t="s">
        <v>54</v>
      </c>
      <c r="K22" s="83"/>
      <c r="L22" s="97"/>
      <c r="M22" s="92">
        <f t="shared" si="2"/>
        <v>0.50000000000000011</v>
      </c>
      <c r="N22" s="93">
        <f t="shared" si="4"/>
        <v>0.50000000000000011</v>
      </c>
      <c r="O22" s="98"/>
    </row>
    <row r="23" spans="2:16" s="44" customFormat="1" ht="15" customHeight="1" x14ac:dyDescent="0.25">
      <c r="B23" s="111">
        <f t="shared" si="3"/>
        <v>42622</v>
      </c>
      <c r="C23" s="89">
        <v>0.29166666666666669</v>
      </c>
      <c r="D23" s="89">
        <v>0.83333333333333337</v>
      </c>
      <c r="E23" s="95">
        <f t="shared" si="0"/>
        <v>0.54166666666666674</v>
      </c>
      <c r="F23" s="89">
        <v>4.1666666666666664E-2</v>
      </c>
      <c r="G23" s="130">
        <f t="shared" si="1"/>
        <v>0.50000000000000011</v>
      </c>
      <c r="H23" s="3"/>
      <c r="I23" s="3"/>
      <c r="J23" s="112" t="s">
        <v>54</v>
      </c>
      <c r="K23" s="83"/>
      <c r="L23" s="97"/>
      <c r="M23" s="92">
        <f t="shared" si="2"/>
        <v>0.50000000000000011</v>
      </c>
      <c r="N23" s="93">
        <f t="shared" si="4"/>
        <v>0.50000000000000011</v>
      </c>
      <c r="O23" s="98"/>
    </row>
    <row r="24" spans="2:16" s="44" customFormat="1" ht="15" customHeight="1" x14ac:dyDescent="0.25">
      <c r="B24" s="118">
        <f t="shared" si="3"/>
        <v>42623</v>
      </c>
      <c r="C24" s="89"/>
      <c r="D24" s="89"/>
      <c r="E24" s="95">
        <f t="shared" si="0"/>
        <v>0</v>
      </c>
      <c r="F24" s="95"/>
      <c r="G24" s="130">
        <f t="shared" si="1"/>
        <v>0</v>
      </c>
      <c r="H24" s="3"/>
      <c r="I24" s="3"/>
      <c r="J24" s="112"/>
      <c r="K24" s="83"/>
      <c r="L24" s="97"/>
      <c r="M24" s="92">
        <f t="shared" si="2"/>
        <v>0</v>
      </c>
      <c r="N24" s="93" t="str">
        <f t="shared" si="4"/>
        <v/>
      </c>
      <c r="O24" s="98"/>
    </row>
    <row r="25" spans="2:16" s="44" customFormat="1" ht="15" customHeight="1" x14ac:dyDescent="0.25">
      <c r="B25" s="118">
        <f t="shared" si="3"/>
        <v>42624</v>
      </c>
      <c r="C25" s="89"/>
      <c r="D25" s="89"/>
      <c r="E25" s="95">
        <f t="shared" si="0"/>
        <v>0</v>
      </c>
      <c r="F25" s="95"/>
      <c r="G25" s="130">
        <f t="shared" si="1"/>
        <v>0</v>
      </c>
      <c r="H25" s="3"/>
      <c r="I25" s="3"/>
      <c r="J25" s="112"/>
      <c r="K25" s="83"/>
      <c r="L25" s="97"/>
      <c r="M25" s="92">
        <f t="shared" si="2"/>
        <v>0</v>
      </c>
      <c r="N25" s="93" t="str">
        <f t="shared" si="4"/>
        <v/>
      </c>
      <c r="O25" s="98"/>
    </row>
    <row r="26" spans="2:16" s="44" customFormat="1" ht="15" customHeight="1" x14ac:dyDescent="0.25">
      <c r="B26" s="111">
        <f t="shared" si="3"/>
        <v>42625</v>
      </c>
      <c r="C26" s="89">
        <v>0.29166666666666669</v>
      </c>
      <c r="D26" s="89">
        <v>0.83333333333333337</v>
      </c>
      <c r="E26" s="95">
        <f t="shared" si="0"/>
        <v>0.54166666666666674</v>
      </c>
      <c r="F26" s="89">
        <v>4.1666666666666664E-2</v>
      </c>
      <c r="G26" s="130">
        <f t="shared" si="1"/>
        <v>0.50000000000000011</v>
      </c>
      <c r="H26" s="3"/>
      <c r="I26" s="3"/>
      <c r="J26" s="112" t="s">
        <v>55</v>
      </c>
      <c r="K26" s="83"/>
      <c r="L26" s="97"/>
      <c r="M26" s="92">
        <f t="shared" si="2"/>
        <v>0.50000000000000011</v>
      </c>
      <c r="N26" s="93">
        <f t="shared" si="4"/>
        <v>0.50000000000000011</v>
      </c>
      <c r="O26" s="98"/>
    </row>
    <row r="27" spans="2:16" s="44" customFormat="1" ht="15" customHeight="1" x14ac:dyDescent="0.25">
      <c r="B27" s="111">
        <f t="shared" si="3"/>
        <v>42626</v>
      </c>
      <c r="C27" s="89">
        <v>0.29166666666666669</v>
      </c>
      <c r="D27" s="89">
        <v>0.83333333333333337</v>
      </c>
      <c r="E27" s="95">
        <f t="shared" si="0"/>
        <v>0.54166666666666674</v>
      </c>
      <c r="F27" s="89">
        <v>4.1666666666666664E-2</v>
      </c>
      <c r="G27" s="130">
        <f t="shared" si="1"/>
        <v>0.50000000000000011</v>
      </c>
      <c r="H27" s="3"/>
      <c r="I27" s="3"/>
      <c r="J27" s="112" t="s">
        <v>55</v>
      </c>
      <c r="K27" s="83"/>
      <c r="L27" s="97">
        <v>0.33333333333333331</v>
      </c>
      <c r="M27" s="92">
        <f t="shared" si="2"/>
        <v>0.50000000000000011</v>
      </c>
      <c r="N27" s="93">
        <f t="shared" si="4"/>
        <v>0.1666666666666668</v>
      </c>
      <c r="O27" s="98"/>
      <c r="P27" s="99"/>
    </row>
    <row r="28" spans="2:16" s="44" customFormat="1" ht="15" customHeight="1" x14ac:dyDescent="0.25">
      <c r="B28" s="111">
        <f t="shared" si="3"/>
        <v>42627</v>
      </c>
      <c r="C28" s="89">
        <v>0.29166666666666669</v>
      </c>
      <c r="D28" s="89">
        <v>0.83333333333333337</v>
      </c>
      <c r="E28" s="95">
        <f t="shared" si="0"/>
        <v>0.54166666666666674</v>
      </c>
      <c r="F28" s="89">
        <v>4.1666666666666664E-2</v>
      </c>
      <c r="G28" s="130">
        <f t="shared" si="1"/>
        <v>0.50000000000000011</v>
      </c>
      <c r="H28" s="3"/>
      <c r="I28" s="3"/>
      <c r="J28" s="112" t="s">
        <v>55</v>
      </c>
      <c r="K28" s="83"/>
      <c r="L28" s="97">
        <v>0.33333333333333331</v>
      </c>
      <c r="M28" s="92">
        <f t="shared" si="2"/>
        <v>0.50000000000000011</v>
      </c>
      <c r="N28" s="93">
        <f t="shared" si="4"/>
        <v>0.1666666666666668</v>
      </c>
      <c r="O28" s="98"/>
      <c r="P28" s="99"/>
    </row>
    <row r="29" spans="2:16" s="44" customFormat="1" ht="15" customHeight="1" x14ac:dyDescent="0.25">
      <c r="B29" s="111">
        <f t="shared" si="3"/>
        <v>42628</v>
      </c>
      <c r="C29" s="89">
        <v>0.29166666666666669</v>
      </c>
      <c r="D29" s="89">
        <v>0.83333333333333337</v>
      </c>
      <c r="E29" s="95">
        <f t="shared" si="0"/>
        <v>0.54166666666666674</v>
      </c>
      <c r="F29" s="89">
        <v>4.1666666666666664E-2</v>
      </c>
      <c r="G29" s="130">
        <f t="shared" si="1"/>
        <v>0.50000000000000011</v>
      </c>
      <c r="H29" s="3"/>
      <c r="I29" s="3"/>
      <c r="J29" s="112" t="s">
        <v>55</v>
      </c>
      <c r="K29" s="83"/>
      <c r="L29" s="97">
        <v>0.33333333333333331</v>
      </c>
      <c r="M29" s="92">
        <f t="shared" si="2"/>
        <v>0.50000000000000011</v>
      </c>
      <c r="N29" s="93">
        <f t="shared" si="4"/>
        <v>0.1666666666666668</v>
      </c>
      <c r="O29" s="98"/>
      <c r="P29" s="99"/>
    </row>
    <row r="30" spans="2:16" s="44" customFormat="1" ht="15" customHeight="1" x14ac:dyDescent="0.25">
      <c r="B30" s="111">
        <f t="shared" si="3"/>
        <v>42629</v>
      </c>
      <c r="C30" s="89">
        <v>0.29166666666666669</v>
      </c>
      <c r="D30" s="89">
        <v>0.83333333333333337</v>
      </c>
      <c r="E30" s="95">
        <f t="shared" si="0"/>
        <v>0.54166666666666674</v>
      </c>
      <c r="F30" s="89">
        <v>4.1666666666666664E-2</v>
      </c>
      <c r="G30" s="130">
        <f t="shared" si="1"/>
        <v>0.50000000000000011</v>
      </c>
      <c r="H30" s="3"/>
      <c r="I30" s="3"/>
      <c r="J30" s="112" t="s">
        <v>55</v>
      </c>
      <c r="K30" s="83"/>
      <c r="L30" s="97">
        <v>0.33333333333333331</v>
      </c>
      <c r="M30" s="92">
        <f t="shared" si="2"/>
        <v>0.50000000000000011</v>
      </c>
      <c r="N30" s="93">
        <f t="shared" si="4"/>
        <v>0.1666666666666668</v>
      </c>
      <c r="O30" s="98"/>
      <c r="P30" s="99"/>
    </row>
    <row r="31" spans="2:16" s="44" customFormat="1" ht="15" customHeight="1" x14ac:dyDescent="0.25">
      <c r="B31" s="118">
        <f t="shared" si="3"/>
        <v>42630</v>
      </c>
      <c r="C31" s="89"/>
      <c r="D31" s="89"/>
      <c r="E31" s="95">
        <f t="shared" si="0"/>
        <v>0</v>
      </c>
      <c r="F31" s="95"/>
      <c r="G31" s="130">
        <f t="shared" si="1"/>
        <v>0</v>
      </c>
      <c r="H31" s="3"/>
      <c r="I31" s="3"/>
      <c r="J31" s="112"/>
      <c r="K31" s="83"/>
      <c r="L31" s="97"/>
      <c r="M31" s="92">
        <f t="shared" si="2"/>
        <v>0</v>
      </c>
      <c r="N31" s="93" t="str">
        <f t="shared" si="4"/>
        <v/>
      </c>
      <c r="O31" s="98"/>
      <c r="P31" s="99"/>
    </row>
    <row r="32" spans="2:16" s="44" customFormat="1" ht="15" customHeight="1" x14ac:dyDescent="0.25">
      <c r="B32" s="118">
        <f t="shared" si="3"/>
        <v>42631</v>
      </c>
      <c r="C32" s="89"/>
      <c r="D32" s="89"/>
      <c r="E32" s="95">
        <f>D32-C32</f>
        <v>0</v>
      </c>
      <c r="F32" s="95"/>
      <c r="G32" s="130">
        <f>E32-F32</f>
        <v>0</v>
      </c>
      <c r="H32" s="3"/>
      <c r="I32" s="3"/>
      <c r="J32" s="112"/>
      <c r="K32" s="83"/>
      <c r="L32" s="97"/>
      <c r="M32" s="92">
        <f t="shared" si="2"/>
        <v>0</v>
      </c>
      <c r="N32" s="93" t="str">
        <f t="shared" si="4"/>
        <v/>
      </c>
      <c r="O32" s="98"/>
      <c r="P32" s="99"/>
    </row>
    <row r="33" spans="2:16" s="44" customFormat="1" ht="15" customHeight="1" x14ac:dyDescent="0.25">
      <c r="B33" s="111">
        <f t="shared" si="3"/>
        <v>42632</v>
      </c>
      <c r="C33" s="89">
        <v>0.29166666666666669</v>
      </c>
      <c r="D33" s="89">
        <v>0.91666666666666663</v>
      </c>
      <c r="E33" s="95">
        <f>D33-C33</f>
        <v>0.625</v>
      </c>
      <c r="F33" s="89">
        <v>4.1666666666666664E-2</v>
      </c>
      <c r="G33" s="130">
        <f>E33-F33</f>
        <v>0.58333333333333337</v>
      </c>
      <c r="H33" s="3"/>
      <c r="I33" s="3"/>
      <c r="J33" s="112" t="s">
        <v>55</v>
      </c>
      <c r="K33" s="83"/>
      <c r="L33" s="97"/>
      <c r="M33" s="92">
        <f t="shared" si="2"/>
        <v>0.58333333333333337</v>
      </c>
      <c r="N33" s="93">
        <f t="shared" si="4"/>
        <v>0.58333333333333337</v>
      </c>
      <c r="O33" s="98"/>
      <c r="P33" s="99"/>
    </row>
    <row r="34" spans="2:16" s="44" customFormat="1" ht="15" customHeight="1" x14ac:dyDescent="0.25">
      <c r="B34" s="111">
        <f t="shared" si="3"/>
        <v>42633</v>
      </c>
      <c r="C34" s="89">
        <v>0.29166666666666669</v>
      </c>
      <c r="D34" s="89">
        <v>0.91666666666666663</v>
      </c>
      <c r="E34" s="95">
        <f t="shared" ref="E34:E44" si="5">D34-C34</f>
        <v>0.625</v>
      </c>
      <c r="F34" s="89">
        <v>4.1666666666666664E-2</v>
      </c>
      <c r="G34" s="130">
        <f t="shared" ref="G34:G44" si="6">E34-F34</f>
        <v>0.58333333333333337</v>
      </c>
      <c r="H34" s="3"/>
      <c r="I34" s="3"/>
      <c r="J34" s="112" t="s">
        <v>55</v>
      </c>
      <c r="K34" s="83"/>
      <c r="L34" s="97">
        <v>0.33333333333333331</v>
      </c>
      <c r="M34" s="92">
        <f t="shared" si="2"/>
        <v>0.58333333333333337</v>
      </c>
      <c r="N34" s="93">
        <f t="shared" si="4"/>
        <v>0.25000000000000006</v>
      </c>
      <c r="O34" s="98"/>
      <c r="P34" s="99"/>
    </row>
    <row r="35" spans="2:16" s="44" customFormat="1" ht="15" customHeight="1" x14ac:dyDescent="0.25">
      <c r="B35" s="111">
        <f t="shared" si="3"/>
        <v>42634</v>
      </c>
      <c r="C35" s="89">
        <v>0.29166666666666669</v>
      </c>
      <c r="D35" s="89">
        <v>0.91666666666666663</v>
      </c>
      <c r="E35" s="95">
        <f t="shared" si="5"/>
        <v>0.625</v>
      </c>
      <c r="F35" s="89">
        <v>4.1666666666666664E-2</v>
      </c>
      <c r="G35" s="130">
        <f t="shared" si="6"/>
        <v>0.58333333333333337</v>
      </c>
      <c r="H35" s="3"/>
      <c r="I35" s="3"/>
      <c r="J35" s="112" t="s">
        <v>55</v>
      </c>
      <c r="K35" s="83"/>
      <c r="L35" s="97">
        <v>0.33333333333333331</v>
      </c>
      <c r="M35" s="92">
        <f t="shared" si="2"/>
        <v>0.58333333333333337</v>
      </c>
      <c r="N35" s="93">
        <f t="shared" si="4"/>
        <v>0.25000000000000006</v>
      </c>
      <c r="O35" s="98"/>
      <c r="P35" s="99"/>
    </row>
    <row r="36" spans="2:16" s="44" customFormat="1" ht="15" customHeight="1" x14ac:dyDescent="0.25">
      <c r="B36" s="111">
        <f t="shared" si="3"/>
        <v>42635</v>
      </c>
      <c r="C36" s="89">
        <v>0.29166666666666669</v>
      </c>
      <c r="D36" s="89">
        <v>0.91666666666666663</v>
      </c>
      <c r="E36" s="95">
        <f t="shared" si="5"/>
        <v>0.625</v>
      </c>
      <c r="F36" s="89">
        <v>4.1666666666666664E-2</v>
      </c>
      <c r="G36" s="130">
        <f t="shared" si="6"/>
        <v>0.58333333333333337</v>
      </c>
      <c r="H36" s="3"/>
      <c r="I36" s="3"/>
      <c r="J36" s="112" t="s">
        <v>55</v>
      </c>
      <c r="K36" s="83"/>
      <c r="L36" s="97">
        <v>0.33333333333333331</v>
      </c>
      <c r="M36" s="92">
        <f t="shared" si="2"/>
        <v>0.58333333333333337</v>
      </c>
      <c r="N36" s="93">
        <f t="shared" si="4"/>
        <v>0.25000000000000006</v>
      </c>
      <c r="O36" s="98"/>
    </row>
    <row r="37" spans="2:16" s="44" customFormat="1" ht="15" customHeight="1" x14ac:dyDescent="0.25">
      <c r="B37" s="111">
        <f t="shared" si="3"/>
        <v>42636</v>
      </c>
      <c r="C37" s="89">
        <v>0.29166666666666669</v>
      </c>
      <c r="D37" s="89">
        <v>0.91666666666666663</v>
      </c>
      <c r="E37" s="95">
        <f t="shared" si="5"/>
        <v>0.625</v>
      </c>
      <c r="F37" s="89">
        <v>4.1666666666666664E-2</v>
      </c>
      <c r="G37" s="130">
        <f t="shared" si="6"/>
        <v>0.58333333333333337</v>
      </c>
      <c r="H37" s="3"/>
      <c r="I37" s="3"/>
      <c r="J37" s="112" t="s">
        <v>55</v>
      </c>
      <c r="K37" s="83"/>
      <c r="L37" s="97">
        <v>0.33333333333333331</v>
      </c>
      <c r="M37" s="92">
        <f t="shared" si="2"/>
        <v>0.58333333333333337</v>
      </c>
      <c r="N37" s="93">
        <f t="shared" si="4"/>
        <v>0.25000000000000006</v>
      </c>
      <c r="O37" s="98"/>
    </row>
    <row r="38" spans="2:16" s="44" customFormat="1" ht="15" customHeight="1" x14ac:dyDescent="0.25">
      <c r="B38" s="118">
        <f t="shared" si="3"/>
        <v>42637</v>
      </c>
      <c r="C38" s="89"/>
      <c r="D38" s="89"/>
      <c r="E38" s="95">
        <f t="shared" si="5"/>
        <v>0</v>
      </c>
      <c r="F38" s="95"/>
      <c r="G38" s="130">
        <f t="shared" si="6"/>
        <v>0</v>
      </c>
      <c r="H38" s="3"/>
      <c r="I38" s="3"/>
      <c r="J38" s="112"/>
      <c r="K38" s="83"/>
      <c r="L38" s="97">
        <v>0</v>
      </c>
      <c r="M38" s="92">
        <f t="shared" si="2"/>
        <v>0</v>
      </c>
      <c r="N38" s="93" t="str">
        <f t="shared" si="4"/>
        <v/>
      </c>
      <c r="O38" s="98"/>
    </row>
    <row r="39" spans="2:16" s="44" customFormat="1" ht="15" customHeight="1" x14ac:dyDescent="0.25">
      <c r="B39" s="118">
        <f t="shared" si="3"/>
        <v>42638</v>
      </c>
      <c r="C39" s="89"/>
      <c r="D39" s="89"/>
      <c r="E39" s="95">
        <f t="shared" si="5"/>
        <v>0</v>
      </c>
      <c r="F39" s="95"/>
      <c r="G39" s="130">
        <f t="shared" si="6"/>
        <v>0</v>
      </c>
      <c r="H39" s="3"/>
      <c r="I39" s="3"/>
      <c r="J39" s="112"/>
      <c r="K39" s="83"/>
      <c r="L39" s="97"/>
      <c r="M39" s="92">
        <f t="shared" si="2"/>
        <v>0</v>
      </c>
      <c r="N39" s="93" t="str">
        <f t="shared" si="4"/>
        <v/>
      </c>
      <c r="O39" s="98"/>
    </row>
    <row r="40" spans="2:16" s="44" customFormat="1" ht="15" customHeight="1" x14ac:dyDescent="0.25">
      <c r="B40" s="111">
        <f t="shared" si="3"/>
        <v>42639</v>
      </c>
      <c r="C40" s="89">
        <v>0.29166666666666669</v>
      </c>
      <c r="D40" s="89">
        <v>0.83333333333333337</v>
      </c>
      <c r="E40" s="95">
        <f t="shared" si="5"/>
        <v>0.54166666666666674</v>
      </c>
      <c r="F40" s="89">
        <v>4.1666666666666664E-2</v>
      </c>
      <c r="G40" s="130">
        <f t="shared" si="6"/>
        <v>0.50000000000000011</v>
      </c>
      <c r="H40" s="3"/>
      <c r="I40" s="3"/>
      <c r="J40" s="112" t="s">
        <v>55</v>
      </c>
      <c r="K40" s="83"/>
      <c r="L40" s="97"/>
      <c r="M40" s="92">
        <f t="shared" si="2"/>
        <v>0.50000000000000011</v>
      </c>
      <c r="N40" s="93">
        <f t="shared" si="4"/>
        <v>0.50000000000000011</v>
      </c>
      <c r="O40" s="98"/>
    </row>
    <row r="41" spans="2:16" s="44" customFormat="1" ht="15" customHeight="1" x14ac:dyDescent="0.25">
      <c r="B41" s="111">
        <f t="shared" si="3"/>
        <v>42640</v>
      </c>
      <c r="C41" s="89">
        <v>0.29166666666666669</v>
      </c>
      <c r="D41" s="89">
        <v>0.83333333333333337</v>
      </c>
      <c r="E41" s="95">
        <f t="shared" si="5"/>
        <v>0.54166666666666674</v>
      </c>
      <c r="F41" s="89">
        <v>4.1666666666666664E-2</v>
      </c>
      <c r="G41" s="130">
        <f t="shared" si="6"/>
        <v>0.50000000000000011</v>
      </c>
      <c r="H41" s="3"/>
      <c r="I41" s="3"/>
      <c r="J41" s="112" t="s">
        <v>55</v>
      </c>
      <c r="K41" s="83"/>
      <c r="L41" s="97">
        <v>0.33333333333333331</v>
      </c>
      <c r="M41" s="92">
        <f t="shared" si="2"/>
        <v>0.50000000000000011</v>
      </c>
      <c r="N41" s="93">
        <f t="shared" si="4"/>
        <v>0.1666666666666668</v>
      </c>
      <c r="O41" s="98"/>
    </row>
    <row r="42" spans="2:16" s="44" customFormat="1" ht="15" customHeight="1" x14ac:dyDescent="0.25">
      <c r="B42" s="111">
        <f t="shared" si="3"/>
        <v>42641</v>
      </c>
      <c r="C42" s="89">
        <v>0.29166666666666669</v>
      </c>
      <c r="D42" s="89">
        <v>0.83333333333333337</v>
      </c>
      <c r="E42" s="95">
        <f t="shared" si="5"/>
        <v>0.54166666666666674</v>
      </c>
      <c r="F42" s="89">
        <v>4.1666666666666664E-2</v>
      </c>
      <c r="G42" s="130">
        <f t="shared" si="6"/>
        <v>0.50000000000000011</v>
      </c>
      <c r="H42" s="3"/>
      <c r="I42" s="3"/>
      <c r="J42" s="112" t="s">
        <v>55</v>
      </c>
      <c r="K42" s="83"/>
      <c r="L42" s="97">
        <v>0.33333333333333331</v>
      </c>
      <c r="M42" s="92">
        <f t="shared" si="2"/>
        <v>0.50000000000000011</v>
      </c>
      <c r="N42" s="93">
        <f t="shared" si="4"/>
        <v>0.1666666666666668</v>
      </c>
      <c r="O42" s="98"/>
    </row>
    <row r="43" spans="2:16" s="44" customFormat="1" ht="15" customHeight="1" x14ac:dyDescent="0.25">
      <c r="B43" s="111">
        <f t="shared" si="3"/>
        <v>42642</v>
      </c>
      <c r="C43" s="89">
        <v>0.29166666666666669</v>
      </c>
      <c r="D43" s="89">
        <v>0.83333333333333337</v>
      </c>
      <c r="E43" s="95">
        <f t="shared" si="5"/>
        <v>0.54166666666666674</v>
      </c>
      <c r="F43" s="89">
        <v>4.1666666666666664E-2</v>
      </c>
      <c r="G43" s="130">
        <f t="shared" si="6"/>
        <v>0.50000000000000011</v>
      </c>
      <c r="H43" s="3"/>
      <c r="I43" s="3"/>
      <c r="J43" s="112" t="s">
        <v>55</v>
      </c>
      <c r="K43" s="83"/>
      <c r="L43" s="97">
        <v>0.33333333333333331</v>
      </c>
      <c r="M43" s="92">
        <f t="shared" si="2"/>
        <v>0.50000000000000011</v>
      </c>
      <c r="N43" s="93">
        <f t="shared" si="4"/>
        <v>0.1666666666666668</v>
      </c>
      <c r="O43" s="98"/>
    </row>
    <row r="44" spans="2:16" s="44" customFormat="1" ht="15" customHeight="1" x14ac:dyDescent="0.25">
      <c r="B44" s="111">
        <f t="shared" si="3"/>
        <v>42643</v>
      </c>
      <c r="C44" s="89">
        <v>0.29166666666666669</v>
      </c>
      <c r="D44" s="89">
        <v>0.83333333333333337</v>
      </c>
      <c r="E44" s="95">
        <f t="shared" si="5"/>
        <v>0.54166666666666674</v>
      </c>
      <c r="F44" s="89">
        <v>4.1666666666666664E-2</v>
      </c>
      <c r="G44" s="130">
        <f t="shared" si="6"/>
        <v>0.50000000000000011</v>
      </c>
      <c r="H44" s="3"/>
      <c r="I44" s="3"/>
      <c r="J44" s="112" t="s">
        <v>55</v>
      </c>
      <c r="K44" s="83"/>
      <c r="L44" s="97">
        <v>0.33333333333333331</v>
      </c>
      <c r="M44" s="92">
        <f t="shared" si="2"/>
        <v>0.50000000000000011</v>
      </c>
      <c r="N44" s="93">
        <f t="shared" si="4"/>
        <v>0.1666666666666668</v>
      </c>
      <c r="O44" s="98"/>
    </row>
    <row r="45" spans="2:16" s="44" customFormat="1" ht="15" customHeight="1" thickBot="1" x14ac:dyDescent="0.3">
      <c r="B45" s="114"/>
      <c r="C45" s="100"/>
      <c r="D45" s="100"/>
      <c r="E45" s="100"/>
      <c r="F45" s="100"/>
      <c r="G45" s="131"/>
      <c r="H45" s="3"/>
      <c r="I45" s="3"/>
      <c r="J45" s="115"/>
      <c r="K45" s="83"/>
      <c r="L45" s="102"/>
      <c r="M45" s="103">
        <f t="shared" si="2"/>
        <v>0</v>
      </c>
      <c r="N45" s="104" t="str">
        <f t="shared" si="4"/>
        <v/>
      </c>
      <c r="O45" s="98"/>
    </row>
    <row r="46" spans="2:16" s="30" customFormat="1" ht="24.95" customHeight="1" thickBot="1" x14ac:dyDescent="0.3">
      <c r="B46" s="85" t="s">
        <v>2</v>
      </c>
      <c r="C46" s="80"/>
      <c r="D46" s="80"/>
      <c r="E46" s="86"/>
      <c r="F46" s="87"/>
      <c r="G46" s="134">
        <f>SUM(G15:G45)</f>
        <v>11.25</v>
      </c>
      <c r="H46" s="3"/>
      <c r="I46" s="3"/>
      <c r="J46" s="88"/>
      <c r="K46" s="83"/>
      <c r="L46" s="84">
        <f>SUM(L15:L45)</f>
        <v>4.6666666666666661</v>
      </c>
      <c r="M46" s="84">
        <f>SUM(M15:M45)</f>
        <v>11.25</v>
      </c>
      <c r="N46" s="84">
        <f>IF(M46&lt;L46,TEXT((ABS(M46-L46)),"-[h]:mm"),IF(M46=L46,"",M46-L46))</f>
        <v>6.5833333333333339</v>
      </c>
    </row>
    <row r="47" spans="2:16" ht="20.100000000000001" customHeight="1" thickBot="1" x14ac:dyDescent="0.3">
      <c r="L47" s="20"/>
    </row>
    <row r="48" spans="2:16" ht="15" customHeight="1" x14ac:dyDescent="0.25">
      <c r="B48" s="178" t="s">
        <v>5</v>
      </c>
      <c r="C48" s="180" t="s">
        <v>48</v>
      </c>
      <c r="D48" s="170"/>
      <c r="E48" s="62"/>
      <c r="F48" s="63"/>
      <c r="G48" s="72"/>
    </row>
    <row r="49" spans="2:7" ht="15" customHeight="1" thickBot="1" x14ac:dyDescent="0.3">
      <c r="B49" s="179"/>
      <c r="C49" s="181"/>
      <c r="D49" s="171"/>
      <c r="E49" s="9"/>
      <c r="F49" s="7"/>
      <c r="G49" s="75"/>
    </row>
    <row r="50" spans="2:7" ht="17.100000000000001" customHeight="1" x14ac:dyDescent="0.25">
      <c r="B50" s="182" t="s">
        <v>45</v>
      </c>
      <c r="C50" s="125" t="s">
        <v>46</v>
      </c>
      <c r="D50" s="9"/>
      <c r="E50" s="9"/>
      <c r="F50" s="7"/>
      <c r="G50" s="75"/>
    </row>
    <row r="51" spans="2:7" ht="17.100000000000001" customHeight="1" thickBot="1" x14ac:dyDescent="0.3">
      <c r="B51" s="179"/>
      <c r="C51" s="126" t="s">
        <v>47</v>
      </c>
      <c r="D51" s="66"/>
      <c r="E51" s="66"/>
      <c r="F51" s="67"/>
      <c r="G51" s="73"/>
    </row>
    <row r="52" spans="2:7" ht="20.100000000000001" customHeight="1" thickBot="1" x14ac:dyDescent="0.3"/>
    <row r="53" spans="2:7" ht="15" customHeight="1" x14ac:dyDescent="0.25">
      <c r="C53" s="172" t="s">
        <v>50</v>
      </c>
      <c r="D53" s="173"/>
      <c r="E53" s="173"/>
      <c r="F53" s="173"/>
      <c r="G53" s="174"/>
    </row>
    <row r="54" spans="2:7" x14ac:dyDescent="0.25">
      <c r="C54" s="175"/>
      <c r="D54" s="176"/>
      <c r="E54" s="176"/>
      <c r="F54" s="176"/>
      <c r="G54" s="177"/>
    </row>
    <row r="55" spans="2:7" ht="39.950000000000003" customHeight="1" thickBot="1" x14ac:dyDescent="0.3">
      <c r="C55" s="127" t="s">
        <v>57</v>
      </c>
      <c r="D55" s="67"/>
      <c r="E55" s="67"/>
      <c r="F55" s="67"/>
      <c r="G55" s="68"/>
    </row>
    <row r="56" spans="2:7" x14ac:dyDescent="0.25">
      <c r="G56" s="1"/>
    </row>
  </sheetData>
  <mergeCells count="11">
    <mergeCell ref="B2:G2"/>
    <mergeCell ref="B4:B5"/>
    <mergeCell ref="C4:D5"/>
    <mergeCell ref="B6:B7"/>
    <mergeCell ref="L7:L14"/>
    <mergeCell ref="C53:G54"/>
    <mergeCell ref="N7:N14"/>
    <mergeCell ref="B48:B49"/>
    <mergeCell ref="C48:D49"/>
    <mergeCell ref="B50:B51"/>
    <mergeCell ref="M7:M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6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 summaryRight="0"/>
    <pageSetUpPr fitToPage="1"/>
  </sheetPr>
  <dimension ref="B2:P56"/>
  <sheetViews>
    <sheetView topLeftCell="A39" workbookViewId="0">
      <selection sqref="A1:H56"/>
    </sheetView>
  </sheetViews>
  <sheetFormatPr defaultRowHeight="15" x14ac:dyDescent="0.25"/>
  <cols>
    <col min="1" max="1" width="3.7109375" style="1" customWidth="1"/>
    <col min="2" max="2" width="14.7109375" style="1" customWidth="1"/>
    <col min="3" max="6" width="15.7109375" style="1" customWidth="1"/>
    <col min="7" max="7" width="15.7109375" style="3" customWidth="1"/>
    <col min="8" max="8" width="3.7109375" style="3" customWidth="1"/>
    <col min="9" max="9" width="14.7109375" style="3" customWidth="1"/>
    <col min="10" max="10" width="50.7109375" style="3" hidden="1" customWidth="1"/>
    <col min="11" max="11" width="3" style="3" hidden="1" customWidth="1"/>
    <col min="12" max="14" width="7.7109375" style="3" hidden="1" customWidth="1"/>
    <col min="15" max="15" width="0" style="1" hidden="1" customWidth="1"/>
    <col min="16" max="16384" width="9.140625" style="1"/>
  </cols>
  <sheetData>
    <row r="2" spans="2:14" ht="47.25" customHeight="1" x14ac:dyDescent="0.25">
      <c r="B2" s="165" t="s">
        <v>40</v>
      </c>
      <c r="C2" s="166"/>
      <c r="D2" s="166"/>
      <c r="E2" s="166"/>
      <c r="F2" s="166"/>
      <c r="G2" s="166"/>
    </row>
    <row r="3" spans="2:14" ht="20.100000000000001" customHeight="1" thickBot="1" x14ac:dyDescent="0.3">
      <c r="B3" s="4"/>
      <c r="G3" s="1"/>
    </row>
    <row r="4" spans="2:14" ht="20.100000000000001" hidden="1" customHeight="1" x14ac:dyDescent="0.25">
      <c r="B4" s="178" t="s">
        <v>5</v>
      </c>
      <c r="C4" s="180" t="s">
        <v>48</v>
      </c>
      <c r="D4" s="170"/>
      <c r="E4" s="62"/>
      <c r="F4" s="63"/>
      <c r="G4" s="72"/>
    </row>
    <row r="5" spans="2:14" ht="20.100000000000001" hidden="1" customHeight="1" thickBot="1" x14ac:dyDescent="0.3">
      <c r="B5" s="179"/>
      <c r="C5" s="181"/>
      <c r="D5" s="171"/>
      <c r="E5" s="9"/>
      <c r="F5" s="7"/>
      <c r="G5" s="75"/>
    </row>
    <row r="6" spans="2:14" ht="20.100000000000001" hidden="1" customHeight="1" thickBot="1" x14ac:dyDescent="0.3">
      <c r="B6" s="182" t="s">
        <v>45</v>
      </c>
      <c r="C6" s="125" t="s">
        <v>46</v>
      </c>
      <c r="D6" s="9"/>
      <c r="E6" s="9"/>
      <c r="F6" s="7"/>
      <c r="G6" s="75"/>
    </row>
    <row r="7" spans="2:14" ht="20.100000000000001" hidden="1" customHeight="1" thickBot="1" x14ac:dyDescent="0.3">
      <c r="B7" s="179"/>
      <c r="C7" s="126" t="s">
        <v>47</v>
      </c>
      <c r="D7" s="66"/>
      <c r="E7" s="66"/>
      <c r="F7" s="67"/>
      <c r="G7" s="73"/>
      <c r="L7" s="162" t="s">
        <v>16</v>
      </c>
      <c r="M7" s="162" t="s">
        <v>17</v>
      </c>
      <c r="N7" s="162" t="s">
        <v>18</v>
      </c>
    </row>
    <row r="8" spans="2:14" ht="20.100000000000001" hidden="1" customHeight="1" thickBot="1" x14ac:dyDescent="0.3">
      <c r="G8" s="1"/>
      <c r="L8" s="163"/>
      <c r="M8" s="163"/>
      <c r="N8" s="163"/>
    </row>
    <row r="9" spans="2:14" ht="20.100000000000001" customHeight="1" x14ac:dyDescent="0.25">
      <c r="B9" s="135" t="s">
        <v>41</v>
      </c>
      <c r="C9" s="132" t="s">
        <v>42</v>
      </c>
      <c r="D9" s="62"/>
      <c r="E9" s="120"/>
      <c r="F9" s="9"/>
      <c r="G9" s="9"/>
      <c r="L9" s="163"/>
      <c r="M9" s="163"/>
      <c r="N9" s="163"/>
    </row>
    <row r="10" spans="2:14" ht="20.100000000000001" customHeight="1" x14ac:dyDescent="0.25">
      <c r="B10" s="137" t="s">
        <v>43</v>
      </c>
      <c r="C10" s="133" t="s">
        <v>44</v>
      </c>
      <c r="D10" s="9"/>
      <c r="E10" s="122"/>
      <c r="F10" s="9"/>
      <c r="G10" s="9"/>
      <c r="L10" s="163"/>
      <c r="M10" s="163"/>
      <c r="N10" s="163"/>
    </row>
    <row r="11" spans="2:14" ht="20.100000000000001" customHeight="1" x14ac:dyDescent="0.25">
      <c r="B11" s="137" t="s">
        <v>7</v>
      </c>
      <c r="C11" s="145" t="s">
        <v>58</v>
      </c>
      <c r="D11" s="146"/>
      <c r="E11" s="147"/>
      <c r="F11" s="9"/>
      <c r="G11" s="9"/>
      <c r="L11" s="163"/>
      <c r="M11" s="163"/>
      <c r="N11" s="163"/>
    </row>
    <row r="12" spans="2:14" ht="20.100000000000001" customHeight="1" thickBot="1" x14ac:dyDescent="0.3">
      <c r="B12" s="136" t="s">
        <v>37</v>
      </c>
      <c r="C12" s="148" t="s">
        <v>38</v>
      </c>
      <c r="D12" s="143"/>
      <c r="E12" s="144"/>
      <c r="F12" s="9"/>
      <c r="G12" s="9"/>
      <c r="L12" s="163"/>
      <c r="M12" s="163"/>
      <c r="N12" s="163"/>
    </row>
    <row r="13" spans="2:14" ht="20.100000000000001" customHeight="1" thickBot="1" x14ac:dyDescent="0.3">
      <c r="L13" s="163"/>
      <c r="M13" s="163"/>
      <c r="N13" s="163"/>
    </row>
    <row r="14" spans="2:14" ht="33" customHeight="1" thickBot="1" x14ac:dyDescent="0.3">
      <c r="B14" s="79" t="s">
        <v>1</v>
      </c>
      <c r="C14" s="80" t="s">
        <v>12</v>
      </c>
      <c r="D14" s="80" t="s">
        <v>13</v>
      </c>
      <c r="E14" s="80" t="s">
        <v>0</v>
      </c>
      <c r="F14" s="80" t="s">
        <v>15</v>
      </c>
      <c r="G14" s="128" t="s">
        <v>39</v>
      </c>
      <c r="J14" s="82" t="s">
        <v>56</v>
      </c>
      <c r="L14" s="164"/>
      <c r="M14" s="164"/>
      <c r="N14" s="164"/>
    </row>
    <row r="15" spans="2:14" s="44" customFormat="1" ht="15" customHeight="1" x14ac:dyDescent="0.25">
      <c r="B15" s="139">
        <v>42644</v>
      </c>
      <c r="C15" s="89"/>
      <c r="D15" s="89"/>
      <c r="E15" s="89">
        <f t="shared" ref="E15:E31" si="0">D15-C15</f>
        <v>0</v>
      </c>
      <c r="F15" s="89"/>
      <c r="G15" s="129">
        <f t="shared" ref="G15:G31" si="1">E15-F15</f>
        <v>0</v>
      </c>
      <c r="H15" s="3"/>
      <c r="I15" s="3"/>
      <c r="J15" s="110" t="s">
        <v>53</v>
      </c>
      <c r="K15" s="83"/>
      <c r="L15" s="91"/>
      <c r="M15" s="92">
        <f t="shared" ref="M15:M45" si="2">G15</f>
        <v>0</v>
      </c>
      <c r="N15" s="93" t="str">
        <f>IF(M15&lt;L15,TEXT((ABS(M15-L15)),"-hh:mm"),IF(M15=L15,"",M15-L15))</f>
        <v/>
      </c>
    </row>
    <row r="16" spans="2:14" s="44" customFormat="1" ht="15" customHeight="1" x14ac:dyDescent="0.25">
      <c r="B16" s="118">
        <f t="shared" ref="B16:B44" si="3">B15+1</f>
        <v>42645</v>
      </c>
      <c r="C16" s="94"/>
      <c r="D16" s="94"/>
      <c r="E16" s="95">
        <f t="shared" si="0"/>
        <v>0</v>
      </c>
      <c r="F16" s="94"/>
      <c r="G16" s="130">
        <f t="shared" si="1"/>
        <v>0</v>
      </c>
      <c r="H16" s="3"/>
      <c r="I16" s="3"/>
      <c r="J16" s="110" t="s">
        <v>53</v>
      </c>
      <c r="K16" s="83"/>
      <c r="L16" s="97"/>
      <c r="M16" s="92">
        <f t="shared" si="2"/>
        <v>0</v>
      </c>
      <c r="N16" s="93" t="str">
        <f t="shared" ref="N16:N45" si="4">IF(M16&lt;L16,TEXT((ABS(M16-L16)),"-hh:mm"),IF(M16=L16,"",M16-L16))</f>
        <v/>
      </c>
    </row>
    <row r="17" spans="2:16" s="44" customFormat="1" ht="15" customHeight="1" x14ac:dyDescent="0.25">
      <c r="B17" s="138">
        <f t="shared" si="3"/>
        <v>42646</v>
      </c>
      <c r="C17" s="94">
        <v>0.3125</v>
      </c>
      <c r="D17" s="94">
        <v>0.70833333333333337</v>
      </c>
      <c r="E17" s="95">
        <f t="shared" si="0"/>
        <v>0.39583333333333337</v>
      </c>
      <c r="F17" s="94">
        <v>4.1666666666666664E-2</v>
      </c>
      <c r="G17" s="130">
        <f t="shared" si="1"/>
        <v>0.35416666666666669</v>
      </c>
      <c r="H17" s="3"/>
      <c r="I17" s="3"/>
      <c r="J17" s="110" t="s">
        <v>53</v>
      </c>
      <c r="K17" s="83"/>
      <c r="L17" s="97"/>
      <c r="M17" s="92">
        <f t="shared" si="2"/>
        <v>0.35416666666666669</v>
      </c>
      <c r="N17" s="93">
        <f t="shared" si="4"/>
        <v>0.35416666666666669</v>
      </c>
    </row>
    <row r="18" spans="2:16" s="44" customFormat="1" ht="15" customHeight="1" x14ac:dyDescent="0.25">
      <c r="B18" s="138">
        <f t="shared" si="3"/>
        <v>42647</v>
      </c>
      <c r="C18" s="94">
        <v>0.3125</v>
      </c>
      <c r="D18" s="95">
        <v>0.6875</v>
      </c>
      <c r="E18" s="95">
        <f t="shared" si="0"/>
        <v>0.375</v>
      </c>
      <c r="F18" s="94">
        <v>4.1666666666666664E-2</v>
      </c>
      <c r="G18" s="130">
        <f t="shared" si="1"/>
        <v>0.33333333333333331</v>
      </c>
      <c r="H18" s="3"/>
      <c r="I18" s="3"/>
      <c r="J18" s="112"/>
      <c r="K18" s="83"/>
      <c r="L18" s="97"/>
      <c r="M18" s="92">
        <f t="shared" si="2"/>
        <v>0.33333333333333331</v>
      </c>
      <c r="N18" s="93">
        <f t="shared" si="4"/>
        <v>0.33333333333333331</v>
      </c>
    </row>
    <row r="19" spans="2:16" s="44" customFormat="1" ht="15" customHeight="1" x14ac:dyDescent="0.25">
      <c r="B19" s="138">
        <f t="shared" si="3"/>
        <v>42648</v>
      </c>
      <c r="C19" s="94">
        <v>0.3125</v>
      </c>
      <c r="D19" s="95">
        <v>0.70833333333333337</v>
      </c>
      <c r="E19" s="95">
        <f t="shared" si="0"/>
        <v>0.39583333333333337</v>
      </c>
      <c r="F19" s="94">
        <v>4.1666666666666664E-2</v>
      </c>
      <c r="G19" s="130">
        <f t="shared" si="1"/>
        <v>0.35416666666666669</v>
      </c>
      <c r="H19" s="3"/>
      <c r="I19" s="3"/>
      <c r="J19" s="112" t="s">
        <v>54</v>
      </c>
      <c r="K19" s="83"/>
      <c r="L19" s="97"/>
      <c r="M19" s="92">
        <f t="shared" si="2"/>
        <v>0.35416666666666669</v>
      </c>
      <c r="N19" s="93">
        <f t="shared" si="4"/>
        <v>0.35416666666666669</v>
      </c>
    </row>
    <row r="20" spans="2:16" s="44" customFormat="1" ht="15" customHeight="1" x14ac:dyDescent="0.25">
      <c r="B20" s="138">
        <f t="shared" si="3"/>
        <v>42649</v>
      </c>
      <c r="C20" s="95">
        <v>0.33333333333333331</v>
      </c>
      <c r="D20" s="95">
        <v>0.70833333333333337</v>
      </c>
      <c r="E20" s="95">
        <f t="shared" si="0"/>
        <v>0.37500000000000006</v>
      </c>
      <c r="F20" s="94">
        <v>4.1666666666666664E-2</v>
      </c>
      <c r="G20" s="130">
        <f t="shared" si="1"/>
        <v>0.33333333333333337</v>
      </c>
      <c r="H20" s="3"/>
      <c r="I20" s="3"/>
      <c r="J20" s="112" t="s">
        <v>54</v>
      </c>
      <c r="K20" s="83"/>
      <c r="L20" s="97">
        <v>0.33333333333333331</v>
      </c>
      <c r="M20" s="92">
        <f t="shared" si="2"/>
        <v>0.33333333333333337</v>
      </c>
      <c r="N20" s="93" t="str">
        <f t="shared" si="4"/>
        <v/>
      </c>
      <c r="O20" s="98"/>
    </row>
    <row r="21" spans="2:16" s="44" customFormat="1" ht="15" customHeight="1" x14ac:dyDescent="0.25">
      <c r="B21" s="138">
        <f t="shared" si="3"/>
        <v>42650</v>
      </c>
      <c r="C21" s="95">
        <v>0.33333333333333331</v>
      </c>
      <c r="D21" s="95">
        <v>0.70833333333333337</v>
      </c>
      <c r="E21" s="95">
        <f t="shared" si="0"/>
        <v>0.37500000000000006</v>
      </c>
      <c r="F21" s="94">
        <v>4.1666666666666664E-2</v>
      </c>
      <c r="G21" s="130">
        <f t="shared" si="1"/>
        <v>0.33333333333333337</v>
      </c>
      <c r="H21" s="3"/>
      <c r="I21" s="3"/>
      <c r="J21" s="112" t="s">
        <v>54</v>
      </c>
      <c r="K21" s="83"/>
      <c r="L21" s="97">
        <v>0.33333333333333331</v>
      </c>
      <c r="M21" s="92">
        <f t="shared" si="2"/>
        <v>0.33333333333333337</v>
      </c>
      <c r="N21" s="93" t="str">
        <f t="shared" si="4"/>
        <v/>
      </c>
      <c r="O21" s="98"/>
    </row>
    <row r="22" spans="2:16" s="44" customFormat="1" ht="15" customHeight="1" x14ac:dyDescent="0.25">
      <c r="B22" s="118">
        <f t="shared" si="3"/>
        <v>42651</v>
      </c>
      <c r="C22" s="95"/>
      <c r="D22" s="95"/>
      <c r="E22" s="95">
        <f t="shared" si="0"/>
        <v>0</v>
      </c>
      <c r="F22" s="95"/>
      <c r="G22" s="130">
        <f t="shared" si="1"/>
        <v>0</v>
      </c>
      <c r="H22" s="3"/>
      <c r="I22" s="3"/>
      <c r="J22" s="112" t="s">
        <v>54</v>
      </c>
      <c r="K22" s="83"/>
      <c r="L22" s="97"/>
      <c r="M22" s="92">
        <f t="shared" si="2"/>
        <v>0</v>
      </c>
      <c r="N22" s="93" t="str">
        <f t="shared" si="4"/>
        <v/>
      </c>
      <c r="O22" s="98"/>
    </row>
    <row r="23" spans="2:16" s="44" customFormat="1" ht="15" customHeight="1" x14ac:dyDescent="0.25">
      <c r="B23" s="118">
        <f t="shared" si="3"/>
        <v>42652</v>
      </c>
      <c r="C23" s="95"/>
      <c r="D23" s="95"/>
      <c r="E23" s="95">
        <f t="shared" si="0"/>
        <v>0</v>
      </c>
      <c r="F23" s="95"/>
      <c r="G23" s="130">
        <f t="shared" si="1"/>
        <v>0</v>
      </c>
      <c r="H23" s="3"/>
      <c r="I23" s="3"/>
      <c r="J23" s="112" t="s">
        <v>54</v>
      </c>
      <c r="K23" s="83"/>
      <c r="L23" s="97"/>
      <c r="M23" s="92">
        <f t="shared" si="2"/>
        <v>0</v>
      </c>
      <c r="N23" s="93" t="str">
        <f t="shared" si="4"/>
        <v/>
      </c>
      <c r="O23" s="98"/>
    </row>
    <row r="24" spans="2:16" s="44" customFormat="1" ht="15" customHeight="1" x14ac:dyDescent="0.25">
      <c r="B24" s="138">
        <f t="shared" si="3"/>
        <v>42653</v>
      </c>
      <c r="C24" s="95">
        <v>0.33333333333333331</v>
      </c>
      <c r="D24" s="95">
        <v>0.70833333333333337</v>
      </c>
      <c r="E24" s="95">
        <f t="shared" si="0"/>
        <v>0.37500000000000006</v>
      </c>
      <c r="F24" s="94">
        <v>4.1666666666666664E-2</v>
      </c>
      <c r="G24" s="130">
        <f t="shared" si="1"/>
        <v>0.33333333333333337</v>
      </c>
      <c r="H24" s="3"/>
      <c r="I24" s="3"/>
      <c r="J24" s="112"/>
      <c r="K24" s="83"/>
      <c r="L24" s="97"/>
      <c r="M24" s="92">
        <f t="shared" si="2"/>
        <v>0.33333333333333337</v>
      </c>
      <c r="N24" s="93">
        <f t="shared" si="4"/>
        <v>0.33333333333333337</v>
      </c>
      <c r="O24" s="98"/>
    </row>
    <row r="25" spans="2:16" s="44" customFormat="1" ht="15" customHeight="1" x14ac:dyDescent="0.25">
      <c r="B25" s="138">
        <f t="shared" si="3"/>
        <v>42654</v>
      </c>
      <c r="C25" s="95">
        <v>0.33333333333333331</v>
      </c>
      <c r="D25" s="95">
        <v>0.70833333333333337</v>
      </c>
      <c r="E25" s="95">
        <f t="shared" si="0"/>
        <v>0.37500000000000006</v>
      </c>
      <c r="F25" s="94">
        <v>4.1666666666666664E-2</v>
      </c>
      <c r="G25" s="130">
        <f t="shared" si="1"/>
        <v>0.33333333333333337</v>
      </c>
      <c r="H25" s="3"/>
      <c r="I25" s="3"/>
      <c r="J25" s="112"/>
      <c r="K25" s="83"/>
      <c r="L25" s="97"/>
      <c r="M25" s="92">
        <f t="shared" si="2"/>
        <v>0.33333333333333337</v>
      </c>
      <c r="N25" s="93">
        <f t="shared" si="4"/>
        <v>0.33333333333333337</v>
      </c>
      <c r="O25" s="98"/>
    </row>
    <row r="26" spans="2:16" s="44" customFormat="1" ht="15" customHeight="1" x14ac:dyDescent="0.25">
      <c r="B26" s="118">
        <f t="shared" si="3"/>
        <v>42655</v>
      </c>
      <c r="C26" s="95"/>
      <c r="D26" s="95"/>
      <c r="E26" s="95">
        <f t="shared" si="0"/>
        <v>0</v>
      </c>
      <c r="F26" s="95"/>
      <c r="G26" s="130">
        <f t="shared" si="1"/>
        <v>0</v>
      </c>
      <c r="H26" s="3"/>
      <c r="I26" s="3"/>
      <c r="J26" s="112" t="s">
        <v>55</v>
      </c>
      <c r="K26" s="83"/>
      <c r="L26" s="97"/>
      <c r="M26" s="92">
        <f t="shared" si="2"/>
        <v>0</v>
      </c>
      <c r="N26" s="93" t="str">
        <f t="shared" si="4"/>
        <v/>
      </c>
      <c r="O26" s="98"/>
    </row>
    <row r="27" spans="2:16" s="44" customFormat="1" ht="15" customHeight="1" x14ac:dyDescent="0.25">
      <c r="B27" s="138">
        <f t="shared" si="3"/>
        <v>42656</v>
      </c>
      <c r="C27" s="95">
        <v>0.33333333333333331</v>
      </c>
      <c r="D27" s="95">
        <v>0.70833333333333337</v>
      </c>
      <c r="E27" s="95">
        <f t="shared" si="0"/>
        <v>0.37500000000000006</v>
      </c>
      <c r="F27" s="94">
        <v>4.1666666666666664E-2</v>
      </c>
      <c r="G27" s="130">
        <f t="shared" si="1"/>
        <v>0.33333333333333337</v>
      </c>
      <c r="H27" s="3"/>
      <c r="I27" s="3"/>
      <c r="J27" s="112" t="s">
        <v>55</v>
      </c>
      <c r="K27" s="83"/>
      <c r="L27" s="97">
        <v>0.33333333333333331</v>
      </c>
      <c r="M27" s="92">
        <f t="shared" si="2"/>
        <v>0.33333333333333337</v>
      </c>
      <c r="N27" s="93" t="str">
        <f t="shared" si="4"/>
        <v/>
      </c>
      <c r="O27" s="98"/>
      <c r="P27" s="99"/>
    </row>
    <row r="28" spans="2:16" s="44" customFormat="1" ht="15" customHeight="1" x14ac:dyDescent="0.25">
      <c r="B28" s="138">
        <f t="shared" si="3"/>
        <v>42657</v>
      </c>
      <c r="C28" s="95">
        <v>0.33333333333333331</v>
      </c>
      <c r="D28" s="95">
        <v>0.70833333333333337</v>
      </c>
      <c r="E28" s="95">
        <f t="shared" si="0"/>
        <v>0.37500000000000006</v>
      </c>
      <c r="F28" s="94">
        <v>4.1666666666666664E-2</v>
      </c>
      <c r="G28" s="130">
        <f t="shared" si="1"/>
        <v>0.33333333333333337</v>
      </c>
      <c r="H28" s="3"/>
      <c r="I28" s="3"/>
      <c r="J28" s="112" t="s">
        <v>55</v>
      </c>
      <c r="K28" s="83"/>
      <c r="L28" s="97">
        <v>0.33333333333333331</v>
      </c>
      <c r="M28" s="92">
        <f t="shared" si="2"/>
        <v>0.33333333333333337</v>
      </c>
      <c r="N28" s="93" t="str">
        <f t="shared" si="4"/>
        <v/>
      </c>
      <c r="O28" s="98"/>
      <c r="P28" s="99"/>
    </row>
    <row r="29" spans="2:16" s="44" customFormat="1" ht="15" customHeight="1" x14ac:dyDescent="0.25">
      <c r="B29" s="118">
        <f t="shared" si="3"/>
        <v>42658</v>
      </c>
      <c r="C29" s="95"/>
      <c r="D29" s="95"/>
      <c r="E29" s="95">
        <f t="shared" si="0"/>
        <v>0</v>
      </c>
      <c r="F29" s="95"/>
      <c r="G29" s="130">
        <f t="shared" si="1"/>
        <v>0</v>
      </c>
      <c r="H29" s="3"/>
      <c r="I29" s="3"/>
      <c r="J29" s="112" t="s">
        <v>55</v>
      </c>
      <c r="K29" s="83"/>
      <c r="L29" s="97">
        <v>0.33333333333333331</v>
      </c>
      <c r="M29" s="92">
        <f t="shared" si="2"/>
        <v>0</v>
      </c>
      <c r="N29" s="93" t="str">
        <f t="shared" si="4"/>
        <v>-08:00</v>
      </c>
      <c r="O29" s="98"/>
      <c r="P29" s="99"/>
    </row>
    <row r="30" spans="2:16" s="44" customFormat="1" ht="15" customHeight="1" x14ac:dyDescent="0.25">
      <c r="B30" s="118">
        <f t="shared" si="3"/>
        <v>42659</v>
      </c>
      <c r="C30" s="95"/>
      <c r="D30" s="95"/>
      <c r="E30" s="95">
        <f t="shared" si="0"/>
        <v>0</v>
      </c>
      <c r="F30" s="95"/>
      <c r="G30" s="130">
        <f t="shared" si="1"/>
        <v>0</v>
      </c>
      <c r="H30" s="3"/>
      <c r="I30" s="3"/>
      <c r="J30" s="112" t="s">
        <v>55</v>
      </c>
      <c r="K30" s="83"/>
      <c r="L30" s="97">
        <v>0.33333333333333331</v>
      </c>
      <c r="M30" s="92">
        <f t="shared" si="2"/>
        <v>0</v>
      </c>
      <c r="N30" s="93" t="str">
        <f t="shared" si="4"/>
        <v>-08:00</v>
      </c>
      <c r="O30" s="98"/>
      <c r="P30" s="99"/>
    </row>
    <row r="31" spans="2:16" s="44" customFormat="1" ht="15" customHeight="1" x14ac:dyDescent="0.25">
      <c r="B31" s="138">
        <f t="shared" si="3"/>
        <v>42660</v>
      </c>
      <c r="C31" s="95">
        <v>0.33333333333333331</v>
      </c>
      <c r="D31" s="95">
        <v>0.70833333333333337</v>
      </c>
      <c r="E31" s="95">
        <f t="shared" si="0"/>
        <v>0.37500000000000006</v>
      </c>
      <c r="F31" s="94">
        <v>4.1666666666666664E-2</v>
      </c>
      <c r="G31" s="130">
        <f t="shared" si="1"/>
        <v>0.33333333333333337</v>
      </c>
      <c r="H31" s="3"/>
      <c r="I31" s="3"/>
      <c r="J31" s="112"/>
      <c r="K31" s="83"/>
      <c r="L31" s="97"/>
      <c r="M31" s="92">
        <f t="shared" si="2"/>
        <v>0.33333333333333337</v>
      </c>
      <c r="N31" s="93">
        <f t="shared" si="4"/>
        <v>0.33333333333333337</v>
      </c>
      <c r="O31" s="98"/>
      <c r="P31" s="99"/>
    </row>
    <row r="32" spans="2:16" s="44" customFormat="1" ht="15" customHeight="1" x14ac:dyDescent="0.25">
      <c r="B32" s="138">
        <f t="shared" si="3"/>
        <v>42661</v>
      </c>
      <c r="C32" s="95">
        <v>0.33333333333333331</v>
      </c>
      <c r="D32" s="95">
        <v>0.70833333333333337</v>
      </c>
      <c r="E32" s="95">
        <f>D32-C32</f>
        <v>0.37500000000000006</v>
      </c>
      <c r="F32" s="94">
        <v>4.1666666666666664E-2</v>
      </c>
      <c r="G32" s="130">
        <f>E32-F32</f>
        <v>0.33333333333333337</v>
      </c>
      <c r="H32" s="3"/>
      <c r="I32" s="3"/>
      <c r="J32" s="112"/>
      <c r="K32" s="83"/>
      <c r="L32" s="97"/>
      <c r="M32" s="92">
        <f t="shared" si="2"/>
        <v>0.33333333333333337</v>
      </c>
      <c r="N32" s="93">
        <f t="shared" si="4"/>
        <v>0.33333333333333337</v>
      </c>
      <c r="O32" s="98"/>
      <c r="P32" s="99"/>
    </row>
    <row r="33" spans="2:16" s="44" customFormat="1" ht="15" customHeight="1" x14ac:dyDescent="0.25">
      <c r="B33" s="138">
        <f t="shared" si="3"/>
        <v>42662</v>
      </c>
      <c r="C33" s="95">
        <v>0.33333333333333331</v>
      </c>
      <c r="D33" s="95">
        <v>0.70833333333333337</v>
      </c>
      <c r="E33" s="95">
        <f>D33-C33</f>
        <v>0.37500000000000006</v>
      </c>
      <c r="F33" s="94">
        <v>4.1666666666666664E-2</v>
      </c>
      <c r="G33" s="130">
        <f>E33-F33</f>
        <v>0.33333333333333337</v>
      </c>
      <c r="H33" s="3"/>
      <c r="I33" s="3"/>
      <c r="J33" s="112" t="s">
        <v>55</v>
      </c>
      <c r="K33" s="83"/>
      <c r="L33" s="97"/>
      <c r="M33" s="92">
        <f t="shared" si="2"/>
        <v>0.33333333333333337</v>
      </c>
      <c r="N33" s="93">
        <f t="shared" si="4"/>
        <v>0.33333333333333337</v>
      </c>
      <c r="O33" s="98"/>
      <c r="P33" s="99"/>
    </row>
    <row r="34" spans="2:16" s="44" customFormat="1" ht="15" customHeight="1" x14ac:dyDescent="0.25">
      <c r="B34" s="138">
        <f t="shared" si="3"/>
        <v>42663</v>
      </c>
      <c r="C34" s="95">
        <v>0.33333333333333331</v>
      </c>
      <c r="D34" s="95">
        <v>0.70833333333333337</v>
      </c>
      <c r="E34" s="95">
        <f t="shared" ref="E34:E45" si="5">D34-C34</f>
        <v>0.37500000000000006</v>
      </c>
      <c r="F34" s="94">
        <v>4.1666666666666664E-2</v>
      </c>
      <c r="G34" s="130">
        <f t="shared" ref="G34:G45" si="6">E34-F34</f>
        <v>0.33333333333333337</v>
      </c>
      <c r="H34" s="3"/>
      <c r="I34" s="3"/>
      <c r="J34" s="112" t="s">
        <v>55</v>
      </c>
      <c r="K34" s="83"/>
      <c r="L34" s="97">
        <v>0.33333333333333331</v>
      </c>
      <c r="M34" s="92">
        <f t="shared" si="2"/>
        <v>0.33333333333333337</v>
      </c>
      <c r="N34" s="93" t="str">
        <f t="shared" si="4"/>
        <v/>
      </c>
      <c r="O34" s="98"/>
      <c r="P34" s="99"/>
    </row>
    <row r="35" spans="2:16" s="44" customFormat="1" ht="15" customHeight="1" x14ac:dyDescent="0.25">
      <c r="B35" s="138">
        <f t="shared" si="3"/>
        <v>42664</v>
      </c>
      <c r="C35" s="95">
        <v>0.33333333333333331</v>
      </c>
      <c r="D35" s="95">
        <v>0.70833333333333337</v>
      </c>
      <c r="E35" s="95">
        <f t="shared" si="5"/>
        <v>0.37500000000000006</v>
      </c>
      <c r="F35" s="94">
        <v>4.1666666666666664E-2</v>
      </c>
      <c r="G35" s="130">
        <f t="shared" si="6"/>
        <v>0.33333333333333337</v>
      </c>
      <c r="H35" s="3"/>
      <c r="I35" s="3"/>
      <c r="J35" s="112" t="s">
        <v>55</v>
      </c>
      <c r="K35" s="83"/>
      <c r="L35" s="97">
        <v>0.33333333333333331</v>
      </c>
      <c r="M35" s="92">
        <f t="shared" si="2"/>
        <v>0.33333333333333337</v>
      </c>
      <c r="N35" s="93" t="str">
        <f t="shared" si="4"/>
        <v/>
      </c>
      <c r="O35" s="98"/>
      <c r="P35" s="99"/>
    </row>
    <row r="36" spans="2:16" s="44" customFormat="1" ht="15" customHeight="1" x14ac:dyDescent="0.25">
      <c r="B36" s="118">
        <f t="shared" si="3"/>
        <v>42665</v>
      </c>
      <c r="C36" s="95"/>
      <c r="D36" s="95"/>
      <c r="E36" s="95">
        <f t="shared" si="5"/>
        <v>0</v>
      </c>
      <c r="F36" s="95"/>
      <c r="G36" s="130">
        <f t="shared" si="6"/>
        <v>0</v>
      </c>
      <c r="H36" s="3"/>
      <c r="I36" s="3"/>
      <c r="J36" s="112" t="s">
        <v>55</v>
      </c>
      <c r="K36" s="83"/>
      <c r="L36" s="97">
        <v>0.33333333333333331</v>
      </c>
      <c r="M36" s="92">
        <f t="shared" si="2"/>
        <v>0</v>
      </c>
      <c r="N36" s="93" t="str">
        <f t="shared" si="4"/>
        <v>-08:00</v>
      </c>
      <c r="O36" s="98"/>
    </row>
    <row r="37" spans="2:16" s="44" customFormat="1" ht="15" customHeight="1" x14ac:dyDescent="0.25">
      <c r="B37" s="118">
        <f t="shared" si="3"/>
        <v>42666</v>
      </c>
      <c r="C37" s="95"/>
      <c r="D37" s="95"/>
      <c r="E37" s="95">
        <f t="shared" si="5"/>
        <v>0</v>
      </c>
      <c r="F37" s="95"/>
      <c r="G37" s="130">
        <f t="shared" si="6"/>
        <v>0</v>
      </c>
      <c r="H37" s="3"/>
      <c r="I37" s="3"/>
      <c r="J37" s="112" t="s">
        <v>55</v>
      </c>
      <c r="K37" s="83"/>
      <c r="L37" s="97">
        <v>0.33333333333333331</v>
      </c>
      <c r="M37" s="92">
        <f t="shared" si="2"/>
        <v>0</v>
      </c>
      <c r="N37" s="93" t="str">
        <f t="shared" si="4"/>
        <v>-08:00</v>
      </c>
      <c r="O37" s="98"/>
    </row>
    <row r="38" spans="2:16" s="44" customFormat="1" ht="15" customHeight="1" x14ac:dyDescent="0.25">
      <c r="B38" s="138">
        <f t="shared" si="3"/>
        <v>42667</v>
      </c>
      <c r="C38" s="95">
        <v>0.33333333333333331</v>
      </c>
      <c r="D38" s="95">
        <v>0.70833333333333337</v>
      </c>
      <c r="E38" s="95">
        <f t="shared" si="5"/>
        <v>0.37500000000000006</v>
      </c>
      <c r="F38" s="94">
        <v>4.1666666666666664E-2</v>
      </c>
      <c r="G38" s="130">
        <f t="shared" si="6"/>
        <v>0.33333333333333337</v>
      </c>
      <c r="H38" s="3"/>
      <c r="I38" s="3"/>
      <c r="J38" s="112"/>
      <c r="K38" s="83"/>
      <c r="L38" s="97">
        <v>0</v>
      </c>
      <c r="M38" s="92">
        <f t="shared" si="2"/>
        <v>0.33333333333333337</v>
      </c>
      <c r="N38" s="93">
        <f t="shared" si="4"/>
        <v>0.33333333333333337</v>
      </c>
      <c r="O38" s="98"/>
    </row>
    <row r="39" spans="2:16" s="44" customFormat="1" ht="15" customHeight="1" x14ac:dyDescent="0.25">
      <c r="B39" s="138">
        <f t="shared" si="3"/>
        <v>42668</v>
      </c>
      <c r="C39" s="95">
        <v>0.33333333333333331</v>
      </c>
      <c r="D39" s="95">
        <v>0.70833333333333337</v>
      </c>
      <c r="E39" s="95">
        <f t="shared" si="5"/>
        <v>0.37500000000000006</v>
      </c>
      <c r="F39" s="94">
        <v>4.1666666666666664E-2</v>
      </c>
      <c r="G39" s="130">
        <f t="shared" si="6"/>
        <v>0.33333333333333337</v>
      </c>
      <c r="H39" s="3"/>
      <c r="I39" s="3"/>
      <c r="J39" s="112"/>
      <c r="K39" s="83"/>
      <c r="L39" s="97"/>
      <c r="M39" s="92">
        <f t="shared" si="2"/>
        <v>0.33333333333333337</v>
      </c>
      <c r="N39" s="93">
        <f t="shared" si="4"/>
        <v>0.33333333333333337</v>
      </c>
      <c r="O39" s="98"/>
    </row>
    <row r="40" spans="2:16" s="44" customFormat="1" ht="15" customHeight="1" x14ac:dyDescent="0.25">
      <c r="B40" s="138">
        <f t="shared" si="3"/>
        <v>42669</v>
      </c>
      <c r="C40" s="95">
        <v>0.33333333333333331</v>
      </c>
      <c r="D40" s="95">
        <v>0.70833333333333337</v>
      </c>
      <c r="E40" s="95">
        <f t="shared" si="5"/>
        <v>0.37500000000000006</v>
      </c>
      <c r="F40" s="94">
        <v>4.1666666666666664E-2</v>
      </c>
      <c r="G40" s="130">
        <f t="shared" si="6"/>
        <v>0.33333333333333337</v>
      </c>
      <c r="H40" s="3"/>
      <c r="I40" s="3"/>
      <c r="J40" s="112" t="s">
        <v>55</v>
      </c>
      <c r="K40" s="83"/>
      <c r="L40" s="97"/>
      <c r="M40" s="92">
        <f t="shared" si="2"/>
        <v>0.33333333333333337</v>
      </c>
      <c r="N40" s="93">
        <f t="shared" si="4"/>
        <v>0.33333333333333337</v>
      </c>
      <c r="O40" s="98"/>
    </row>
    <row r="41" spans="2:16" s="44" customFormat="1" ht="15" customHeight="1" x14ac:dyDescent="0.25">
      <c r="B41" s="138">
        <f t="shared" si="3"/>
        <v>42670</v>
      </c>
      <c r="C41" s="95">
        <v>0.33333333333333331</v>
      </c>
      <c r="D41" s="95">
        <v>0.70833333333333337</v>
      </c>
      <c r="E41" s="95">
        <f t="shared" si="5"/>
        <v>0.37500000000000006</v>
      </c>
      <c r="F41" s="94">
        <v>4.1666666666666664E-2</v>
      </c>
      <c r="G41" s="130">
        <f t="shared" si="6"/>
        <v>0.33333333333333337</v>
      </c>
      <c r="H41" s="3"/>
      <c r="I41" s="3"/>
      <c r="J41" s="112" t="s">
        <v>55</v>
      </c>
      <c r="K41" s="83"/>
      <c r="L41" s="97">
        <v>0.33333333333333331</v>
      </c>
      <c r="M41" s="92">
        <f t="shared" si="2"/>
        <v>0.33333333333333337</v>
      </c>
      <c r="N41" s="93" t="str">
        <f t="shared" si="4"/>
        <v/>
      </c>
      <c r="O41" s="98"/>
    </row>
    <row r="42" spans="2:16" s="44" customFormat="1" ht="15" customHeight="1" x14ac:dyDescent="0.25">
      <c r="B42" s="138">
        <f t="shared" si="3"/>
        <v>42671</v>
      </c>
      <c r="C42" s="95">
        <v>0.33333333333333331</v>
      </c>
      <c r="D42" s="95">
        <v>0.70833333333333337</v>
      </c>
      <c r="E42" s="95">
        <f t="shared" si="5"/>
        <v>0.37500000000000006</v>
      </c>
      <c r="F42" s="94">
        <v>4.1666666666666664E-2</v>
      </c>
      <c r="G42" s="130">
        <f t="shared" si="6"/>
        <v>0.33333333333333337</v>
      </c>
      <c r="H42" s="3"/>
      <c r="I42" s="3"/>
      <c r="J42" s="112" t="s">
        <v>55</v>
      </c>
      <c r="K42" s="83"/>
      <c r="L42" s="97">
        <v>0.33333333333333331</v>
      </c>
      <c r="M42" s="92">
        <f t="shared" si="2"/>
        <v>0.33333333333333337</v>
      </c>
      <c r="N42" s="93" t="str">
        <f t="shared" si="4"/>
        <v/>
      </c>
      <c r="O42" s="98"/>
    </row>
    <row r="43" spans="2:16" s="44" customFormat="1" ht="15" customHeight="1" x14ac:dyDescent="0.25">
      <c r="B43" s="118">
        <f t="shared" si="3"/>
        <v>42672</v>
      </c>
      <c r="C43" s="95"/>
      <c r="D43" s="95"/>
      <c r="E43" s="95">
        <f t="shared" si="5"/>
        <v>0</v>
      </c>
      <c r="F43" s="95"/>
      <c r="G43" s="130">
        <f t="shared" si="6"/>
        <v>0</v>
      </c>
      <c r="H43" s="3"/>
      <c r="I43" s="3"/>
      <c r="J43" s="112" t="s">
        <v>55</v>
      </c>
      <c r="K43" s="83"/>
      <c r="L43" s="97">
        <v>0.33333333333333331</v>
      </c>
      <c r="M43" s="92">
        <f t="shared" si="2"/>
        <v>0</v>
      </c>
      <c r="N43" s="93" t="str">
        <f t="shared" si="4"/>
        <v>-08:00</v>
      </c>
      <c r="O43" s="98"/>
    </row>
    <row r="44" spans="2:16" s="44" customFormat="1" ht="15" customHeight="1" x14ac:dyDescent="0.25">
      <c r="B44" s="118">
        <f t="shared" si="3"/>
        <v>42673</v>
      </c>
      <c r="C44" s="95"/>
      <c r="D44" s="95"/>
      <c r="E44" s="95">
        <f t="shared" si="5"/>
        <v>0</v>
      </c>
      <c r="F44" s="95"/>
      <c r="G44" s="130">
        <f t="shared" si="6"/>
        <v>0</v>
      </c>
      <c r="H44" s="3"/>
      <c r="I44" s="3"/>
      <c r="J44" s="112" t="s">
        <v>55</v>
      </c>
      <c r="K44" s="83"/>
      <c r="L44" s="97">
        <v>0.33333333333333331</v>
      </c>
      <c r="M44" s="92">
        <f t="shared" si="2"/>
        <v>0</v>
      </c>
      <c r="N44" s="93" t="str">
        <f t="shared" si="4"/>
        <v>-08:00</v>
      </c>
      <c r="O44" s="98"/>
    </row>
    <row r="45" spans="2:16" s="44" customFormat="1" ht="15" customHeight="1" thickBot="1" x14ac:dyDescent="0.3">
      <c r="B45" s="114">
        <v>42674</v>
      </c>
      <c r="C45" s="95">
        <v>0.33333333333333331</v>
      </c>
      <c r="D45" s="95">
        <v>0.70833333333333337</v>
      </c>
      <c r="E45" s="95">
        <f t="shared" si="5"/>
        <v>0.37500000000000006</v>
      </c>
      <c r="F45" s="94">
        <v>4.1666666666666664E-2</v>
      </c>
      <c r="G45" s="130">
        <f t="shared" si="6"/>
        <v>0.33333333333333337</v>
      </c>
      <c r="H45" s="3"/>
      <c r="I45" s="3"/>
      <c r="J45" s="115"/>
      <c r="K45" s="83"/>
      <c r="L45" s="102"/>
      <c r="M45" s="103">
        <f t="shared" si="2"/>
        <v>0.33333333333333337</v>
      </c>
      <c r="N45" s="104">
        <f t="shared" si="4"/>
        <v>0.33333333333333337</v>
      </c>
      <c r="O45" s="98"/>
    </row>
    <row r="46" spans="2:16" s="30" customFormat="1" ht="24.95" customHeight="1" thickBot="1" x14ac:dyDescent="0.3">
      <c r="B46" s="85" t="s">
        <v>2</v>
      </c>
      <c r="C46" s="80"/>
      <c r="D46" s="80"/>
      <c r="E46" s="86"/>
      <c r="F46" s="87"/>
      <c r="G46" s="134">
        <f>SUM(G15:G45)</f>
        <v>6.7083333333333321</v>
      </c>
      <c r="H46" s="3"/>
      <c r="I46" s="140"/>
      <c r="J46" s="88"/>
      <c r="K46" s="83"/>
      <c r="L46" s="84">
        <f>SUM(L15:L45)</f>
        <v>4.6666666666666661</v>
      </c>
      <c r="M46" s="84">
        <f>SUM(M15:M45)</f>
        <v>6.7083333333333321</v>
      </c>
      <c r="N46" s="84">
        <f>IF(M46&lt;L46,TEXT((ABS(M46-L46)),"-[h]:mm"),IF(M46=L46,"",M46-L46))</f>
        <v>2.0416666666666661</v>
      </c>
    </row>
    <row r="47" spans="2:16" ht="20.100000000000001" customHeight="1" thickBot="1" x14ac:dyDescent="0.3">
      <c r="I47" s="141"/>
      <c r="L47" s="20"/>
    </row>
    <row r="48" spans="2:16" ht="15" customHeight="1" x14ac:dyDescent="0.25">
      <c r="B48" s="178" t="s">
        <v>5</v>
      </c>
      <c r="C48" s="180" t="s">
        <v>48</v>
      </c>
      <c r="D48" s="170"/>
      <c r="E48" s="62"/>
      <c r="F48" s="63"/>
      <c r="G48" s="72"/>
      <c r="I48" s="141"/>
    </row>
    <row r="49" spans="2:9" ht="15" customHeight="1" thickBot="1" x14ac:dyDescent="0.3">
      <c r="B49" s="179"/>
      <c r="C49" s="181"/>
      <c r="D49" s="171"/>
      <c r="E49" s="9"/>
      <c r="F49" s="7"/>
      <c r="G49" s="75"/>
      <c r="I49" s="142"/>
    </row>
    <row r="50" spans="2:9" ht="17.100000000000001" customHeight="1" x14ac:dyDescent="0.25">
      <c r="B50" s="182" t="s">
        <v>45</v>
      </c>
      <c r="C50" s="125" t="s">
        <v>46</v>
      </c>
      <c r="D50" s="9"/>
      <c r="E50" s="9"/>
      <c r="F50" s="7"/>
      <c r="G50" s="75"/>
    </row>
    <row r="51" spans="2:9" ht="17.100000000000001" customHeight="1" thickBot="1" x14ac:dyDescent="0.3">
      <c r="B51" s="179"/>
      <c r="C51" s="126" t="s">
        <v>47</v>
      </c>
      <c r="D51" s="66"/>
      <c r="E51" s="66"/>
      <c r="F51" s="67"/>
      <c r="G51" s="73"/>
    </row>
    <row r="52" spans="2:9" ht="20.100000000000001" customHeight="1" thickBot="1" x14ac:dyDescent="0.3"/>
    <row r="53" spans="2:9" ht="15" customHeight="1" x14ac:dyDescent="0.25">
      <c r="C53" s="172" t="s">
        <v>50</v>
      </c>
      <c r="D53" s="173"/>
      <c r="E53" s="173"/>
      <c r="F53" s="173"/>
      <c r="G53" s="174"/>
    </row>
    <row r="54" spans="2:9" x14ac:dyDescent="0.25">
      <c r="C54" s="175"/>
      <c r="D54" s="176"/>
      <c r="E54" s="176"/>
      <c r="F54" s="176"/>
      <c r="G54" s="177"/>
    </row>
    <row r="55" spans="2:9" ht="39.950000000000003" customHeight="1" thickBot="1" x14ac:dyDescent="0.3">
      <c r="C55" s="127" t="s">
        <v>57</v>
      </c>
      <c r="D55" s="67"/>
      <c r="E55" s="67"/>
      <c r="F55" s="67"/>
      <c r="G55" s="68"/>
    </row>
    <row r="56" spans="2:9" x14ac:dyDescent="0.25">
      <c r="G56" s="1"/>
    </row>
  </sheetData>
  <mergeCells count="11">
    <mergeCell ref="B2:G2"/>
    <mergeCell ref="B4:B5"/>
    <mergeCell ref="C4:D5"/>
    <mergeCell ref="B6:B7"/>
    <mergeCell ref="L7:L14"/>
    <mergeCell ref="N7:N14"/>
    <mergeCell ref="B48:B49"/>
    <mergeCell ref="C48:D49"/>
    <mergeCell ref="B50:B51"/>
    <mergeCell ref="C53:G54"/>
    <mergeCell ref="M7:M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fitToWidth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 summaryRight="0"/>
    <pageSetUpPr fitToPage="1"/>
  </sheetPr>
  <dimension ref="B2:P56"/>
  <sheetViews>
    <sheetView topLeftCell="A40" workbookViewId="0">
      <selection activeCell="P50" sqref="P50"/>
    </sheetView>
  </sheetViews>
  <sheetFormatPr defaultRowHeight="15" x14ac:dyDescent="0.25"/>
  <cols>
    <col min="1" max="1" width="3.7109375" style="1" customWidth="1"/>
    <col min="2" max="2" width="14.7109375" style="1" customWidth="1"/>
    <col min="3" max="6" width="15.7109375" style="1" customWidth="1"/>
    <col min="7" max="7" width="15.7109375" style="3" customWidth="1"/>
    <col min="8" max="8" width="3.7109375" style="3" customWidth="1"/>
    <col min="9" max="9" width="14.7109375" style="3" customWidth="1"/>
    <col min="10" max="10" width="50.7109375" style="3" hidden="1" customWidth="1"/>
    <col min="11" max="11" width="3" style="3" hidden="1" customWidth="1"/>
    <col min="12" max="14" width="7.7109375" style="3" hidden="1" customWidth="1"/>
    <col min="15" max="15" width="0" style="1" hidden="1" customWidth="1"/>
    <col min="16" max="16384" width="9.140625" style="1"/>
  </cols>
  <sheetData>
    <row r="2" spans="2:14" ht="47.25" customHeight="1" x14ac:dyDescent="0.25">
      <c r="B2" s="165" t="s">
        <v>40</v>
      </c>
      <c r="C2" s="166"/>
      <c r="D2" s="166"/>
      <c r="E2" s="166"/>
      <c r="F2" s="166"/>
      <c r="G2" s="166"/>
    </row>
    <row r="3" spans="2:14" ht="20.100000000000001" customHeight="1" thickBot="1" x14ac:dyDescent="0.3">
      <c r="B3" s="4"/>
      <c r="G3" s="1"/>
    </row>
    <row r="4" spans="2:14" ht="20.100000000000001" hidden="1" customHeight="1" x14ac:dyDescent="0.25">
      <c r="B4" s="178" t="s">
        <v>5</v>
      </c>
      <c r="C4" s="180" t="s">
        <v>48</v>
      </c>
      <c r="D4" s="170"/>
      <c r="E4" s="62"/>
      <c r="F4" s="63"/>
      <c r="G4" s="72"/>
    </row>
    <row r="5" spans="2:14" ht="20.100000000000001" hidden="1" customHeight="1" thickBot="1" x14ac:dyDescent="0.3">
      <c r="B5" s="179"/>
      <c r="C5" s="181"/>
      <c r="D5" s="171"/>
      <c r="E5" s="9"/>
      <c r="F5" s="7"/>
      <c r="G5" s="75"/>
    </row>
    <row r="6" spans="2:14" ht="20.100000000000001" hidden="1" customHeight="1" thickBot="1" x14ac:dyDescent="0.3">
      <c r="B6" s="182" t="s">
        <v>45</v>
      </c>
      <c r="C6" s="125" t="s">
        <v>46</v>
      </c>
      <c r="D6" s="9"/>
      <c r="E6" s="9"/>
      <c r="F6" s="7"/>
      <c r="G6" s="75"/>
    </row>
    <row r="7" spans="2:14" ht="20.100000000000001" hidden="1" customHeight="1" thickBot="1" x14ac:dyDescent="0.3">
      <c r="B7" s="179"/>
      <c r="C7" s="126" t="s">
        <v>47</v>
      </c>
      <c r="D7" s="66"/>
      <c r="E7" s="66"/>
      <c r="F7" s="67"/>
      <c r="G7" s="73"/>
      <c r="L7" s="162" t="s">
        <v>16</v>
      </c>
      <c r="M7" s="162" t="s">
        <v>17</v>
      </c>
      <c r="N7" s="162" t="s">
        <v>18</v>
      </c>
    </row>
    <row r="8" spans="2:14" ht="20.100000000000001" hidden="1" customHeight="1" thickBot="1" x14ac:dyDescent="0.3">
      <c r="G8" s="1"/>
      <c r="L8" s="163"/>
      <c r="M8" s="163"/>
      <c r="N8" s="163"/>
    </row>
    <row r="9" spans="2:14" ht="20.100000000000001" customHeight="1" x14ac:dyDescent="0.25">
      <c r="B9" s="135" t="s">
        <v>41</v>
      </c>
      <c r="C9" s="132" t="s">
        <v>42</v>
      </c>
      <c r="D9" s="62"/>
      <c r="E9" s="120"/>
      <c r="F9" s="9"/>
      <c r="G9" s="9"/>
      <c r="L9" s="163"/>
      <c r="M9" s="163"/>
      <c r="N9" s="163"/>
    </row>
    <row r="10" spans="2:14" ht="20.100000000000001" customHeight="1" x14ac:dyDescent="0.25">
      <c r="B10" s="137" t="s">
        <v>43</v>
      </c>
      <c r="C10" s="133" t="s">
        <v>44</v>
      </c>
      <c r="D10" s="9"/>
      <c r="E10" s="122"/>
      <c r="F10" s="9"/>
      <c r="G10" s="9"/>
      <c r="L10" s="163"/>
      <c r="M10" s="163"/>
      <c r="N10" s="163"/>
    </row>
    <row r="11" spans="2:14" ht="20.100000000000001" customHeight="1" x14ac:dyDescent="0.25">
      <c r="B11" s="137" t="s">
        <v>7</v>
      </c>
      <c r="C11" s="145" t="s">
        <v>58</v>
      </c>
      <c r="D11" s="146"/>
      <c r="E11" s="147"/>
      <c r="F11" s="9"/>
      <c r="G11" s="9"/>
      <c r="L11" s="163"/>
      <c r="M11" s="163"/>
      <c r="N11" s="163"/>
    </row>
    <row r="12" spans="2:14" ht="20.100000000000001" customHeight="1" thickBot="1" x14ac:dyDescent="0.3">
      <c r="B12" s="136" t="s">
        <v>37</v>
      </c>
      <c r="C12" s="148" t="s">
        <v>11</v>
      </c>
      <c r="D12" s="143"/>
      <c r="E12" s="144"/>
      <c r="F12" s="9"/>
      <c r="G12" s="9"/>
      <c r="L12" s="163"/>
      <c r="M12" s="163"/>
      <c r="N12" s="163"/>
    </row>
    <row r="13" spans="2:14" ht="20.100000000000001" customHeight="1" thickBot="1" x14ac:dyDescent="0.3">
      <c r="L13" s="163"/>
      <c r="M13" s="163"/>
      <c r="N13" s="163"/>
    </row>
    <row r="14" spans="2:14" ht="33" customHeight="1" thickBot="1" x14ac:dyDescent="0.3">
      <c r="B14" s="79" t="s">
        <v>1</v>
      </c>
      <c r="C14" s="80" t="s">
        <v>12</v>
      </c>
      <c r="D14" s="80" t="s">
        <v>13</v>
      </c>
      <c r="E14" s="80" t="s">
        <v>0</v>
      </c>
      <c r="F14" s="80" t="s">
        <v>15</v>
      </c>
      <c r="G14" s="128" t="s">
        <v>39</v>
      </c>
      <c r="J14" s="82" t="s">
        <v>56</v>
      </c>
      <c r="L14" s="164"/>
      <c r="M14" s="164"/>
      <c r="N14" s="164"/>
    </row>
    <row r="15" spans="2:14" s="44" customFormat="1" ht="15" customHeight="1" x14ac:dyDescent="0.25">
      <c r="B15" s="139">
        <v>42644</v>
      </c>
      <c r="C15" s="89"/>
      <c r="D15" s="89"/>
      <c r="E15" s="89">
        <f t="shared" ref="E15:E31" si="0">D15-C15</f>
        <v>0</v>
      </c>
      <c r="F15" s="89"/>
      <c r="G15" s="129">
        <f t="shared" ref="G15:G31" si="1">E15-F15</f>
        <v>0</v>
      </c>
      <c r="H15" s="3"/>
      <c r="I15" s="3"/>
      <c r="J15" s="110" t="s">
        <v>53</v>
      </c>
      <c r="K15" s="83"/>
      <c r="L15" s="91"/>
      <c r="M15" s="92">
        <f t="shared" ref="M15:M45" si="2">G15</f>
        <v>0</v>
      </c>
      <c r="N15" s="93" t="str">
        <f>IF(M15&lt;L15,TEXT((ABS(M15-L15)),"-hh:mm"),IF(M15=L15,"",M15-L15))</f>
        <v/>
      </c>
    </row>
    <row r="16" spans="2:14" s="44" customFormat="1" ht="15" customHeight="1" x14ac:dyDescent="0.25">
      <c r="B16" s="118">
        <f t="shared" ref="B16:B44" si="3">B15+1</f>
        <v>42645</v>
      </c>
      <c r="C16" s="94"/>
      <c r="D16" s="94"/>
      <c r="E16" s="95">
        <f t="shared" si="0"/>
        <v>0</v>
      </c>
      <c r="F16" s="94"/>
      <c r="G16" s="130">
        <f t="shared" si="1"/>
        <v>0</v>
      </c>
      <c r="H16" s="3"/>
      <c r="I16" s="3"/>
      <c r="J16" s="110" t="s">
        <v>53</v>
      </c>
      <c r="K16" s="83"/>
      <c r="L16" s="97"/>
      <c r="M16" s="92">
        <f t="shared" si="2"/>
        <v>0</v>
      </c>
      <c r="N16" s="93" t="str">
        <f t="shared" ref="N16:N45" si="4">IF(M16&lt;L16,TEXT((ABS(M16-L16)),"-hh:mm"),IF(M16=L16,"",M16-L16))</f>
        <v/>
      </c>
    </row>
    <row r="17" spans="2:16" s="44" customFormat="1" ht="15" customHeight="1" x14ac:dyDescent="0.25">
      <c r="B17" s="138">
        <f t="shared" si="3"/>
        <v>42646</v>
      </c>
      <c r="C17" s="94"/>
      <c r="D17" s="94"/>
      <c r="E17" s="95">
        <f t="shared" si="0"/>
        <v>0</v>
      </c>
      <c r="F17" s="94"/>
      <c r="G17" s="130">
        <f t="shared" si="1"/>
        <v>0</v>
      </c>
      <c r="H17" s="3"/>
      <c r="I17" s="3"/>
      <c r="J17" s="110" t="s">
        <v>53</v>
      </c>
      <c r="K17" s="83"/>
      <c r="L17" s="97"/>
      <c r="M17" s="92">
        <f t="shared" si="2"/>
        <v>0</v>
      </c>
      <c r="N17" s="93" t="str">
        <f t="shared" si="4"/>
        <v/>
      </c>
    </row>
    <row r="18" spans="2:16" s="44" customFormat="1" ht="15" customHeight="1" x14ac:dyDescent="0.25">
      <c r="B18" s="138">
        <f t="shared" si="3"/>
        <v>42647</v>
      </c>
      <c r="C18" s="94">
        <v>0.60416666666666663</v>
      </c>
      <c r="D18" s="95">
        <v>0.84375</v>
      </c>
      <c r="E18" s="95">
        <f t="shared" si="0"/>
        <v>0.23958333333333337</v>
      </c>
      <c r="F18" s="94"/>
      <c r="G18" s="130">
        <f t="shared" si="1"/>
        <v>0.23958333333333337</v>
      </c>
      <c r="H18" s="3"/>
      <c r="I18" s="3"/>
      <c r="J18" s="112"/>
      <c r="K18" s="83"/>
      <c r="L18" s="97"/>
      <c r="M18" s="92">
        <f t="shared" si="2"/>
        <v>0.23958333333333337</v>
      </c>
      <c r="N18" s="93">
        <f t="shared" si="4"/>
        <v>0.23958333333333337</v>
      </c>
    </row>
    <row r="19" spans="2:16" s="44" customFormat="1" ht="15" customHeight="1" x14ac:dyDescent="0.25">
      <c r="B19" s="138">
        <f t="shared" si="3"/>
        <v>42648</v>
      </c>
      <c r="C19" s="94">
        <v>0.625</v>
      </c>
      <c r="D19" s="95">
        <v>0.83333333333333337</v>
      </c>
      <c r="E19" s="95">
        <f t="shared" si="0"/>
        <v>0.20833333333333337</v>
      </c>
      <c r="F19" s="94"/>
      <c r="G19" s="130">
        <f t="shared" si="1"/>
        <v>0.20833333333333337</v>
      </c>
      <c r="H19" s="3"/>
      <c r="I19" s="3"/>
      <c r="J19" s="112" t="s">
        <v>54</v>
      </c>
      <c r="K19" s="83"/>
      <c r="L19" s="97"/>
      <c r="M19" s="92">
        <f t="shared" si="2"/>
        <v>0.20833333333333337</v>
      </c>
      <c r="N19" s="93">
        <f t="shared" si="4"/>
        <v>0.20833333333333337</v>
      </c>
    </row>
    <row r="20" spans="2:16" s="44" customFormat="1" ht="15" customHeight="1" x14ac:dyDescent="0.25">
      <c r="B20" s="138">
        <f t="shared" si="3"/>
        <v>42649</v>
      </c>
      <c r="C20" s="95">
        <v>0.66666666666666663</v>
      </c>
      <c r="D20" s="95">
        <v>0.83333333333333337</v>
      </c>
      <c r="E20" s="95">
        <f t="shared" si="0"/>
        <v>0.16666666666666674</v>
      </c>
      <c r="F20" s="94"/>
      <c r="G20" s="130">
        <f t="shared" si="1"/>
        <v>0.16666666666666674</v>
      </c>
      <c r="H20" s="3"/>
      <c r="I20" s="3"/>
      <c r="J20" s="112" t="s">
        <v>54</v>
      </c>
      <c r="K20" s="83"/>
      <c r="L20" s="97">
        <v>0.33333333333333331</v>
      </c>
      <c r="M20" s="92">
        <f t="shared" si="2"/>
        <v>0.16666666666666674</v>
      </c>
      <c r="N20" s="93" t="str">
        <f t="shared" si="4"/>
        <v>-04:00</v>
      </c>
      <c r="O20" s="98"/>
    </row>
    <row r="21" spans="2:16" s="44" customFormat="1" ht="15" customHeight="1" x14ac:dyDescent="0.25">
      <c r="B21" s="138">
        <f t="shared" si="3"/>
        <v>42650</v>
      </c>
      <c r="C21" s="95"/>
      <c r="D21" s="95"/>
      <c r="E21" s="95">
        <f t="shared" si="0"/>
        <v>0</v>
      </c>
      <c r="F21" s="94"/>
      <c r="G21" s="130">
        <f t="shared" si="1"/>
        <v>0</v>
      </c>
      <c r="H21" s="3"/>
      <c r="I21" s="3"/>
      <c r="J21" s="112" t="s">
        <v>54</v>
      </c>
      <c r="K21" s="83"/>
      <c r="L21" s="97">
        <v>0.33333333333333331</v>
      </c>
      <c r="M21" s="92">
        <f t="shared" si="2"/>
        <v>0</v>
      </c>
      <c r="N21" s="93" t="str">
        <f t="shared" si="4"/>
        <v>-08:00</v>
      </c>
      <c r="O21" s="98"/>
    </row>
    <row r="22" spans="2:16" s="44" customFormat="1" ht="15" customHeight="1" x14ac:dyDescent="0.25">
      <c r="B22" s="118">
        <f t="shared" si="3"/>
        <v>42651</v>
      </c>
      <c r="C22" s="95"/>
      <c r="D22" s="95"/>
      <c r="E22" s="95">
        <f t="shared" si="0"/>
        <v>0</v>
      </c>
      <c r="F22" s="95"/>
      <c r="G22" s="130">
        <f t="shared" si="1"/>
        <v>0</v>
      </c>
      <c r="H22" s="3"/>
      <c r="I22" s="3"/>
      <c r="J22" s="112" t="s">
        <v>54</v>
      </c>
      <c r="K22" s="83"/>
      <c r="L22" s="97"/>
      <c r="M22" s="92">
        <f t="shared" si="2"/>
        <v>0</v>
      </c>
      <c r="N22" s="93" t="str">
        <f t="shared" si="4"/>
        <v/>
      </c>
      <c r="O22" s="98"/>
    </row>
    <row r="23" spans="2:16" s="44" customFormat="1" ht="15" customHeight="1" x14ac:dyDescent="0.25">
      <c r="B23" s="118">
        <f t="shared" si="3"/>
        <v>42652</v>
      </c>
      <c r="C23" s="95"/>
      <c r="D23" s="95"/>
      <c r="E23" s="95">
        <f t="shared" si="0"/>
        <v>0</v>
      </c>
      <c r="F23" s="95"/>
      <c r="G23" s="130">
        <f t="shared" si="1"/>
        <v>0</v>
      </c>
      <c r="H23" s="3"/>
      <c r="I23" s="3"/>
      <c r="J23" s="112" t="s">
        <v>54</v>
      </c>
      <c r="K23" s="83"/>
      <c r="L23" s="97"/>
      <c r="M23" s="92">
        <f t="shared" si="2"/>
        <v>0</v>
      </c>
      <c r="N23" s="93" t="str">
        <f t="shared" si="4"/>
        <v/>
      </c>
      <c r="O23" s="98"/>
    </row>
    <row r="24" spans="2:16" s="44" customFormat="1" ht="15" customHeight="1" x14ac:dyDescent="0.25">
      <c r="B24" s="138">
        <f t="shared" si="3"/>
        <v>42653</v>
      </c>
      <c r="C24" s="95"/>
      <c r="D24" s="95"/>
      <c r="E24" s="95">
        <f t="shared" si="0"/>
        <v>0</v>
      </c>
      <c r="F24" s="94"/>
      <c r="G24" s="130">
        <f t="shared" si="1"/>
        <v>0</v>
      </c>
      <c r="H24" s="3"/>
      <c r="I24" s="3"/>
      <c r="J24" s="112"/>
      <c r="K24" s="83"/>
      <c r="L24" s="97"/>
      <c r="M24" s="92">
        <f t="shared" si="2"/>
        <v>0</v>
      </c>
      <c r="N24" s="93" t="str">
        <f t="shared" si="4"/>
        <v/>
      </c>
      <c r="O24" s="98"/>
    </row>
    <row r="25" spans="2:16" s="44" customFormat="1" ht="15" customHeight="1" x14ac:dyDescent="0.25">
      <c r="B25" s="138">
        <f t="shared" si="3"/>
        <v>42654</v>
      </c>
      <c r="C25" s="95">
        <v>0.375</v>
      </c>
      <c r="D25" s="95">
        <v>0.875</v>
      </c>
      <c r="E25" s="95">
        <f t="shared" si="0"/>
        <v>0.5</v>
      </c>
      <c r="F25" s="94">
        <v>4.1666666666666664E-2</v>
      </c>
      <c r="G25" s="130">
        <f t="shared" si="1"/>
        <v>0.45833333333333331</v>
      </c>
      <c r="H25" s="3"/>
      <c r="I25" s="3"/>
      <c r="J25" s="112"/>
      <c r="K25" s="83"/>
      <c r="L25" s="97"/>
      <c r="M25" s="92">
        <f t="shared" si="2"/>
        <v>0.45833333333333331</v>
      </c>
      <c r="N25" s="93">
        <f t="shared" si="4"/>
        <v>0.45833333333333331</v>
      </c>
      <c r="O25" s="98"/>
    </row>
    <row r="26" spans="2:16" s="44" customFormat="1" ht="15" customHeight="1" x14ac:dyDescent="0.25">
      <c r="B26" s="118">
        <f t="shared" si="3"/>
        <v>42655</v>
      </c>
      <c r="C26" s="95"/>
      <c r="D26" s="95"/>
      <c r="E26" s="95">
        <f t="shared" si="0"/>
        <v>0</v>
      </c>
      <c r="F26" s="95"/>
      <c r="G26" s="130">
        <f t="shared" si="1"/>
        <v>0</v>
      </c>
      <c r="H26" s="3"/>
      <c r="I26" s="3"/>
      <c r="J26" s="112" t="s">
        <v>55</v>
      </c>
      <c r="K26" s="83"/>
      <c r="L26" s="97"/>
      <c r="M26" s="92">
        <f t="shared" si="2"/>
        <v>0</v>
      </c>
      <c r="N26" s="93" t="str">
        <f t="shared" si="4"/>
        <v/>
      </c>
      <c r="O26" s="98"/>
    </row>
    <row r="27" spans="2:16" s="44" customFormat="1" ht="15" customHeight="1" x14ac:dyDescent="0.25">
      <c r="B27" s="138">
        <f t="shared" si="3"/>
        <v>42656</v>
      </c>
      <c r="C27" s="94">
        <v>0.625</v>
      </c>
      <c r="D27" s="95">
        <v>0.83333333333333337</v>
      </c>
      <c r="E27" s="95">
        <f t="shared" si="0"/>
        <v>0.20833333333333337</v>
      </c>
      <c r="F27" s="94"/>
      <c r="G27" s="130">
        <f t="shared" si="1"/>
        <v>0.20833333333333337</v>
      </c>
      <c r="H27" s="3"/>
      <c r="I27" s="3"/>
      <c r="J27" s="112" t="s">
        <v>55</v>
      </c>
      <c r="K27" s="83"/>
      <c r="L27" s="97">
        <v>0.33333333333333331</v>
      </c>
      <c r="M27" s="92">
        <f t="shared" si="2"/>
        <v>0.20833333333333337</v>
      </c>
      <c r="N27" s="93" t="str">
        <f t="shared" si="4"/>
        <v>-03:00</v>
      </c>
      <c r="O27" s="98"/>
      <c r="P27" s="99"/>
    </row>
    <row r="28" spans="2:16" s="44" customFormat="1" ht="15" customHeight="1" x14ac:dyDescent="0.25">
      <c r="B28" s="138">
        <f t="shared" si="3"/>
        <v>42657</v>
      </c>
      <c r="C28" s="95">
        <v>0.58333333333333337</v>
      </c>
      <c r="D28" s="95">
        <v>0.86111111111111116</v>
      </c>
      <c r="E28" s="95">
        <f t="shared" si="0"/>
        <v>0.27777777777777779</v>
      </c>
      <c r="F28" s="94"/>
      <c r="G28" s="130">
        <f t="shared" si="1"/>
        <v>0.27777777777777779</v>
      </c>
      <c r="H28" s="3"/>
      <c r="I28" s="3"/>
      <c r="J28" s="112" t="s">
        <v>55</v>
      </c>
      <c r="K28" s="83"/>
      <c r="L28" s="97">
        <v>0.33333333333333331</v>
      </c>
      <c r="M28" s="92">
        <f t="shared" si="2"/>
        <v>0.27777777777777779</v>
      </c>
      <c r="N28" s="93" t="str">
        <f t="shared" si="4"/>
        <v>-01:20</v>
      </c>
      <c r="O28" s="98"/>
      <c r="P28" s="99"/>
    </row>
    <row r="29" spans="2:16" s="44" customFormat="1" ht="15" customHeight="1" x14ac:dyDescent="0.25">
      <c r="B29" s="118">
        <f t="shared" si="3"/>
        <v>42658</v>
      </c>
      <c r="C29" s="95"/>
      <c r="D29" s="95"/>
      <c r="E29" s="95">
        <f t="shared" si="0"/>
        <v>0</v>
      </c>
      <c r="F29" s="95"/>
      <c r="G29" s="130">
        <f t="shared" si="1"/>
        <v>0</v>
      </c>
      <c r="H29" s="3"/>
      <c r="I29" s="3"/>
      <c r="J29" s="112" t="s">
        <v>55</v>
      </c>
      <c r="K29" s="83"/>
      <c r="L29" s="97">
        <v>0.33333333333333331</v>
      </c>
      <c r="M29" s="92">
        <f t="shared" si="2"/>
        <v>0</v>
      </c>
      <c r="N29" s="93" t="str">
        <f t="shared" si="4"/>
        <v>-08:00</v>
      </c>
      <c r="O29" s="98"/>
      <c r="P29" s="99"/>
    </row>
    <row r="30" spans="2:16" s="44" customFormat="1" ht="15" customHeight="1" x14ac:dyDescent="0.25">
      <c r="B30" s="118">
        <f t="shared" si="3"/>
        <v>42659</v>
      </c>
      <c r="C30" s="95"/>
      <c r="D30" s="95"/>
      <c r="E30" s="95">
        <f t="shared" si="0"/>
        <v>0</v>
      </c>
      <c r="F30" s="95"/>
      <c r="G30" s="130">
        <f t="shared" si="1"/>
        <v>0</v>
      </c>
      <c r="H30" s="3"/>
      <c r="I30" s="3"/>
      <c r="J30" s="112" t="s">
        <v>55</v>
      </c>
      <c r="K30" s="83"/>
      <c r="L30" s="97">
        <v>0.33333333333333331</v>
      </c>
      <c r="M30" s="92">
        <f t="shared" si="2"/>
        <v>0</v>
      </c>
      <c r="N30" s="93" t="str">
        <f t="shared" si="4"/>
        <v>-08:00</v>
      </c>
      <c r="O30" s="98"/>
      <c r="P30" s="99"/>
    </row>
    <row r="31" spans="2:16" s="44" customFormat="1" ht="15" customHeight="1" x14ac:dyDescent="0.25">
      <c r="B31" s="138">
        <f t="shared" si="3"/>
        <v>42660</v>
      </c>
      <c r="C31" s="95"/>
      <c r="D31" s="95"/>
      <c r="E31" s="95">
        <f t="shared" si="0"/>
        <v>0</v>
      </c>
      <c r="F31" s="94"/>
      <c r="G31" s="130">
        <f t="shared" si="1"/>
        <v>0</v>
      </c>
      <c r="H31" s="3"/>
      <c r="I31" s="3"/>
      <c r="J31" s="112"/>
      <c r="K31" s="83"/>
      <c r="L31" s="97"/>
      <c r="M31" s="92">
        <f t="shared" si="2"/>
        <v>0</v>
      </c>
      <c r="N31" s="93" t="str">
        <f t="shared" si="4"/>
        <v/>
      </c>
      <c r="O31" s="98"/>
      <c r="P31" s="99"/>
    </row>
    <row r="32" spans="2:16" s="44" customFormat="1" ht="15" customHeight="1" x14ac:dyDescent="0.25">
      <c r="B32" s="138">
        <f t="shared" si="3"/>
        <v>42661</v>
      </c>
      <c r="C32" s="94">
        <v>0.61458333333333337</v>
      </c>
      <c r="D32" s="95">
        <v>0.83333333333333337</v>
      </c>
      <c r="E32" s="95">
        <f>D32-C32</f>
        <v>0.21875</v>
      </c>
      <c r="F32" s="94"/>
      <c r="G32" s="130">
        <f>E32-F32</f>
        <v>0.21875</v>
      </c>
      <c r="H32" s="3"/>
      <c r="I32" s="3"/>
      <c r="J32" s="112"/>
      <c r="K32" s="83"/>
      <c r="L32" s="97"/>
      <c r="M32" s="92">
        <f t="shared" si="2"/>
        <v>0.21875</v>
      </c>
      <c r="N32" s="93">
        <f t="shared" si="4"/>
        <v>0.21875</v>
      </c>
      <c r="O32" s="98"/>
      <c r="P32" s="99"/>
    </row>
    <row r="33" spans="2:16" s="44" customFormat="1" ht="15" customHeight="1" x14ac:dyDescent="0.25">
      <c r="B33" s="138">
        <f t="shared" si="3"/>
        <v>42662</v>
      </c>
      <c r="C33" s="95">
        <v>0.33333333333333331</v>
      </c>
      <c r="D33" s="95">
        <v>0.91666666666666663</v>
      </c>
      <c r="E33" s="95">
        <f>D33-C33</f>
        <v>0.58333333333333326</v>
      </c>
      <c r="F33" s="94">
        <v>4.1666666666666664E-2</v>
      </c>
      <c r="G33" s="130">
        <f>E33-F33</f>
        <v>0.54166666666666663</v>
      </c>
      <c r="H33" s="3"/>
      <c r="I33" s="3"/>
      <c r="J33" s="112" t="s">
        <v>55</v>
      </c>
      <c r="K33" s="83"/>
      <c r="L33" s="97"/>
      <c r="M33" s="92">
        <f t="shared" si="2"/>
        <v>0.54166666666666663</v>
      </c>
      <c r="N33" s="93">
        <f t="shared" si="4"/>
        <v>0.54166666666666663</v>
      </c>
      <c r="O33" s="98"/>
      <c r="P33" s="99"/>
    </row>
    <row r="34" spans="2:16" s="44" customFormat="1" ht="15" customHeight="1" x14ac:dyDescent="0.25">
      <c r="B34" s="138">
        <f t="shared" si="3"/>
        <v>42663</v>
      </c>
      <c r="C34" s="95">
        <v>0.375</v>
      </c>
      <c r="D34" s="95">
        <v>0.875</v>
      </c>
      <c r="E34" s="95">
        <f t="shared" ref="E34:E45" si="5">D34-C34</f>
        <v>0.5</v>
      </c>
      <c r="F34" s="94">
        <v>5.2083333333333336E-2</v>
      </c>
      <c r="G34" s="130">
        <f t="shared" ref="G34:G45" si="6">E34-F34</f>
        <v>0.44791666666666669</v>
      </c>
      <c r="H34" s="3"/>
      <c r="I34" s="3"/>
      <c r="J34" s="112" t="s">
        <v>55</v>
      </c>
      <c r="K34" s="83"/>
      <c r="L34" s="97">
        <v>0.33333333333333331</v>
      </c>
      <c r="M34" s="92">
        <f t="shared" si="2"/>
        <v>0.44791666666666669</v>
      </c>
      <c r="N34" s="93">
        <f t="shared" si="4"/>
        <v>0.11458333333333337</v>
      </c>
      <c r="O34" s="98"/>
      <c r="P34" s="99"/>
    </row>
    <row r="35" spans="2:16" s="44" customFormat="1" ht="15" customHeight="1" x14ac:dyDescent="0.25">
      <c r="B35" s="138">
        <f t="shared" si="3"/>
        <v>42664</v>
      </c>
      <c r="C35" s="95">
        <v>0.54166666666666663</v>
      </c>
      <c r="D35" s="95">
        <v>0.86111111111111116</v>
      </c>
      <c r="E35" s="95">
        <f t="shared" si="5"/>
        <v>0.31944444444444453</v>
      </c>
      <c r="F35" s="94"/>
      <c r="G35" s="130">
        <f t="shared" si="6"/>
        <v>0.31944444444444453</v>
      </c>
      <c r="H35" s="3"/>
      <c r="I35" s="3"/>
      <c r="J35" s="112" t="s">
        <v>55</v>
      </c>
      <c r="K35" s="83"/>
      <c r="L35" s="97">
        <v>0.33333333333333331</v>
      </c>
      <c r="M35" s="92">
        <f t="shared" si="2"/>
        <v>0.31944444444444453</v>
      </c>
      <c r="N35" s="93" t="str">
        <f t="shared" si="4"/>
        <v>-00:20</v>
      </c>
      <c r="O35" s="98"/>
      <c r="P35" s="99"/>
    </row>
    <row r="36" spans="2:16" s="44" customFormat="1" ht="15" customHeight="1" x14ac:dyDescent="0.25">
      <c r="B36" s="118">
        <f t="shared" si="3"/>
        <v>42665</v>
      </c>
      <c r="C36" s="95"/>
      <c r="D36" s="95"/>
      <c r="E36" s="95">
        <f t="shared" si="5"/>
        <v>0</v>
      </c>
      <c r="F36" s="95"/>
      <c r="G36" s="130">
        <f t="shared" si="6"/>
        <v>0</v>
      </c>
      <c r="H36" s="3"/>
      <c r="I36" s="3"/>
      <c r="J36" s="112" t="s">
        <v>55</v>
      </c>
      <c r="K36" s="83"/>
      <c r="L36" s="97">
        <v>0.33333333333333331</v>
      </c>
      <c r="M36" s="92">
        <f t="shared" si="2"/>
        <v>0</v>
      </c>
      <c r="N36" s="93" t="str">
        <f t="shared" si="4"/>
        <v>-08:00</v>
      </c>
      <c r="O36" s="98"/>
    </row>
    <row r="37" spans="2:16" s="44" customFormat="1" ht="15" customHeight="1" x14ac:dyDescent="0.25">
      <c r="B37" s="118">
        <f t="shared" si="3"/>
        <v>42666</v>
      </c>
      <c r="C37" s="95"/>
      <c r="D37" s="95"/>
      <c r="E37" s="95">
        <f t="shared" si="5"/>
        <v>0</v>
      </c>
      <c r="F37" s="95"/>
      <c r="G37" s="130">
        <f t="shared" si="6"/>
        <v>0</v>
      </c>
      <c r="H37" s="3"/>
      <c r="I37" s="3"/>
      <c r="J37" s="112" t="s">
        <v>55</v>
      </c>
      <c r="K37" s="83"/>
      <c r="L37" s="97">
        <v>0.33333333333333331</v>
      </c>
      <c r="M37" s="92">
        <f t="shared" si="2"/>
        <v>0</v>
      </c>
      <c r="N37" s="93" t="str">
        <f t="shared" si="4"/>
        <v>-08:00</v>
      </c>
      <c r="O37" s="98"/>
    </row>
    <row r="38" spans="2:16" s="44" customFormat="1" ht="15" customHeight="1" x14ac:dyDescent="0.25">
      <c r="B38" s="138">
        <f t="shared" si="3"/>
        <v>42667</v>
      </c>
      <c r="C38" s="95"/>
      <c r="D38" s="95"/>
      <c r="E38" s="95">
        <f t="shared" si="5"/>
        <v>0</v>
      </c>
      <c r="F38" s="94"/>
      <c r="G38" s="130">
        <f t="shared" si="6"/>
        <v>0</v>
      </c>
      <c r="H38" s="3"/>
      <c r="I38" s="3"/>
      <c r="J38" s="112"/>
      <c r="K38" s="83"/>
      <c r="L38" s="97">
        <v>0</v>
      </c>
      <c r="M38" s="92">
        <f t="shared" si="2"/>
        <v>0</v>
      </c>
      <c r="N38" s="93" t="str">
        <f t="shared" si="4"/>
        <v/>
      </c>
      <c r="O38" s="98"/>
    </row>
    <row r="39" spans="2:16" s="44" customFormat="1" ht="15" customHeight="1" x14ac:dyDescent="0.25">
      <c r="B39" s="138">
        <f t="shared" si="3"/>
        <v>42668</v>
      </c>
      <c r="C39" s="95">
        <v>0.375</v>
      </c>
      <c r="D39" s="95">
        <v>0.83333333333333337</v>
      </c>
      <c r="E39" s="95">
        <f t="shared" si="5"/>
        <v>0.45833333333333337</v>
      </c>
      <c r="F39" s="94">
        <v>2.4305555555555556E-2</v>
      </c>
      <c r="G39" s="130">
        <f t="shared" si="6"/>
        <v>0.43402777777777779</v>
      </c>
      <c r="H39" s="3"/>
      <c r="I39" s="3"/>
      <c r="J39" s="112"/>
      <c r="K39" s="83"/>
      <c r="L39" s="97"/>
      <c r="M39" s="92">
        <f t="shared" si="2"/>
        <v>0.43402777777777779</v>
      </c>
      <c r="N39" s="93">
        <f t="shared" si="4"/>
        <v>0.43402777777777779</v>
      </c>
      <c r="O39" s="98"/>
    </row>
    <row r="40" spans="2:16" s="44" customFormat="1" ht="15" customHeight="1" x14ac:dyDescent="0.25">
      <c r="B40" s="138">
        <f t="shared" si="3"/>
        <v>42669</v>
      </c>
      <c r="C40" s="94">
        <v>0.44791666666666669</v>
      </c>
      <c r="D40" s="95">
        <v>0.83333333333333337</v>
      </c>
      <c r="E40" s="95">
        <f t="shared" si="5"/>
        <v>0.38541666666666669</v>
      </c>
      <c r="F40" s="94">
        <v>4.8611111111111112E-2</v>
      </c>
      <c r="G40" s="130">
        <f t="shared" si="6"/>
        <v>0.33680555555555558</v>
      </c>
      <c r="H40" s="3"/>
      <c r="I40" s="3"/>
      <c r="J40" s="112" t="s">
        <v>55</v>
      </c>
      <c r="K40" s="83"/>
      <c r="L40" s="97"/>
      <c r="M40" s="92">
        <f t="shared" si="2"/>
        <v>0.33680555555555558</v>
      </c>
      <c r="N40" s="93">
        <f t="shared" si="4"/>
        <v>0.33680555555555558</v>
      </c>
      <c r="O40" s="98"/>
    </row>
    <row r="41" spans="2:16" s="44" customFormat="1" ht="15" customHeight="1" x14ac:dyDescent="0.25">
      <c r="B41" s="138">
        <f t="shared" si="3"/>
        <v>42670</v>
      </c>
      <c r="C41" s="94">
        <v>0.41666666666666669</v>
      </c>
      <c r="D41" s="95">
        <v>0.83333333333333337</v>
      </c>
      <c r="E41" s="95">
        <f t="shared" si="5"/>
        <v>0.41666666666666669</v>
      </c>
      <c r="F41" s="94">
        <v>6.5972222222222224E-2</v>
      </c>
      <c r="G41" s="130">
        <f t="shared" si="6"/>
        <v>0.35069444444444448</v>
      </c>
      <c r="H41" s="3"/>
      <c r="I41" s="3"/>
      <c r="J41" s="112" t="s">
        <v>55</v>
      </c>
      <c r="K41" s="83"/>
      <c r="L41" s="97">
        <v>0.33333333333333331</v>
      </c>
      <c r="M41" s="92">
        <f t="shared" si="2"/>
        <v>0.35069444444444448</v>
      </c>
      <c r="N41" s="93">
        <f t="shared" si="4"/>
        <v>1.736111111111116E-2</v>
      </c>
      <c r="O41" s="98"/>
    </row>
    <row r="42" spans="2:16" s="44" customFormat="1" ht="15" customHeight="1" x14ac:dyDescent="0.25">
      <c r="B42" s="138">
        <f t="shared" si="3"/>
        <v>42671</v>
      </c>
      <c r="C42" s="95"/>
      <c r="D42" s="95"/>
      <c r="E42" s="95">
        <f t="shared" si="5"/>
        <v>0</v>
      </c>
      <c r="F42" s="94"/>
      <c r="G42" s="130">
        <f t="shared" si="6"/>
        <v>0</v>
      </c>
      <c r="H42" s="3"/>
      <c r="I42" s="3"/>
      <c r="J42" s="112" t="s">
        <v>55</v>
      </c>
      <c r="K42" s="83"/>
      <c r="L42" s="97">
        <v>0.33333333333333331</v>
      </c>
      <c r="M42" s="92">
        <f t="shared" si="2"/>
        <v>0</v>
      </c>
      <c r="N42" s="93" t="str">
        <f t="shared" si="4"/>
        <v>-08:00</v>
      </c>
      <c r="O42" s="98"/>
    </row>
    <row r="43" spans="2:16" s="44" customFormat="1" ht="15" customHeight="1" x14ac:dyDescent="0.25">
      <c r="B43" s="118">
        <f t="shared" si="3"/>
        <v>42672</v>
      </c>
      <c r="C43" s="95"/>
      <c r="D43" s="95"/>
      <c r="E43" s="95">
        <f t="shared" si="5"/>
        <v>0</v>
      </c>
      <c r="F43" s="95"/>
      <c r="G43" s="130">
        <f t="shared" si="6"/>
        <v>0</v>
      </c>
      <c r="H43" s="3"/>
      <c r="I43" s="3"/>
      <c r="J43" s="112" t="s">
        <v>55</v>
      </c>
      <c r="K43" s="83"/>
      <c r="L43" s="97">
        <v>0.33333333333333331</v>
      </c>
      <c r="M43" s="92">
        <f t="shared" si="2"/>
        <v>0</v>
      </c>
      <c r="N43" s="93" t="str">
        <f t="shared" si="4"/>
        <v>-08:00</v>
      </c>
      <c r="O43" s="98"/>
    </row>
    <row r="44" spans="2:16" s="44" customFormat="1" ht="15" customHeight="1" x14ac:dyDescent="0.25">
      <c r="B44" s="118">
        <f t="shared" si="3"/>
        <v>42673</v>
      </c>
      <c r="C44" s="95"/>
      <c r="D44" s="95"/>
      <c r="E44" s="95">
        <f t="shared" si="5"/>
        <v>0</v>
      </c>
      <c r="F44" s="95"/>
      <c r="G44" s="130">
        <f t="shared" si="6"/>
        <v>0</v>
      </c>
      <c r="H44" s="3"/>
      <c r="I44" s="3"/>
      <c r="J44" s="112" t="s">
        <v>55</v>
      </c>
      <c r="K44" s="83"/>
      <c r="L44" s="97">
        <v>0.33333333333333331</v>
      </c>
      <c r="M44" s="92">
        <f t="shared" si="2"/>
        <v>0</v>
      </c>
      <c r="N44" s="93" t="str">
        <f t="shared" si="4"/>
        <v>-08:00</v>
      </c>
      <c r="O44" s="98"/>
    </row>
    <row r="45" spans="2:16" s="44" customFormat="1" ht="15" customHeight="1" thickBot="1" x14ac:dyDescent="0.3">
      <c r="B45" s="114">
        <v>42674</v>
      </c>
      <c r="C45" s="95">
        <v>0.41666666666666669</v>
      </c>
      <c r="D45" s="95">
        <v>0.91666666666666663</v>
      </c>
      <c r="E45" s="95">
        <f t="shared" si="5"/>
        <v>0.49999999999999994</v>
      </c>
      <c r="F45" s="94">
        <v>0.125</v>
      </c>
      <c r="G45" s="130">
        <f t="shared" si="6"/>
        <v>0.37499999999999994</v>
      </c>
      <c r="H45" s="3"/>
      <c r="I45" s="3"/>
      <c r="J45" s="115"/>
      <c r="K45" s="83"/>
      <c r="L45" s="102"/>
      <c r="M45" s="103">
        <f t="shared" si="2"/>
        <v>0.37499999999999994</v>
      </c>
      <c r="N45" s="104">
        <f t="shared" si="4"/>
        <v>0.37499999999999994</v>
      </c>
      <c r="O45" s="98"/>
    </row>
    <row r="46" spans="2:16" s="30" customFormat="1" ht="24.95" customHeight="1" thickBot="1" x14ac:dyDescent="0.3">
      <c r="B46" s="85" t="s">
        <v>2</v>
      </c>
      <c r="C46" s="80"/>
      <c r="D46" s="80"/>
      <c r="E46" s="86"/>
      <c r="F46" s="87"/>
      <c r="G46" s="134">
        <f>SUM(G15:G45)</f>
        <v>4.583333333333333</v>
      </c>
      <c r="H46" s="3"/>
      <c r="I46" s="140"/>
      <c r="J46" s="88"/>
      <c r="K46" s="83"/>
      <c r="L46" s="84">
        <f>SUM(L15:L45)</f>
        <v>4.6666666666666661</v>
      </c>
      <c r="M46" s="84">
        <f>SUM(M15:M45)</f>
        <v>4.583333333333333</v>
      </c>
      <c r="N46" s="84" t="str">
        <f>IF(M46&lt;L46,TEXT((ABS(M46-L46)),"-[h]:mm"),IF(M46=L46,"",M46-L46))</f>
        <v>-2:00</v>
      </c>
    </row>
    <row r="47" spans="2:16" ht="20.100000000000001" customHeight="1" thickBot="1" x14ac:dyDescent="0.3">
      <c r="I47" s="141"/>
      <c r="L47" s="20"/>
    </row>
    <row r="48" spans="2:16" ht="15" customHeight="1" x14ac:dyDescent="0.25">
      <c r="B48" s="178" t="s">
        <v>5</v>
      </c>
      <c r="C48" s="180" t="s">
        <v>48</v>
      </c>
      <c r="D48" s="170"/>
      <c r="E48" s="62"/>
      <c r="F48" s="63"/>
      <c r="G48" s="72"/>
      <c r="I48" s="141"/>
    </row>
    <row r="49" spans="2:9" ht="15" customHeight="1" thickBot="1" x14ac:dyDescent="0.3">
      <c r="B49" s="179"/>
      <c r="C49" s="181"/>
      <c r="D49" s="171"/>
      <c r="E49" s="9"/>
      <c r="F49" s="7"/>
      <c r="G49" s="75"/>
      <c r="I49" s="142"/>
    </row>
    <row r="50" spans="2:9" ht="17.100000000000001" customHeight="1" x14ac:dyDescent="0.25">
      <c r="B50" s="182" t="s">
        <v>45</v>
      </c>
      <c r="C50" s="125" t="s">
        <v>46</v>
      </c>
      <c r="D50" s="9"/>
      <c r="E50" s="9"/>
      <c r="F50" s="7"/>
      <c r="G50" s="75"/>
    </row>
    <row r="51" spans="2:9" ht="17.100000000000001" customHeight="1" thickBot="1" x14ac:dyDescent="0.3">
      <c r="B51" s="179"/>
      <c r="C51" s="126" t="s">
        <v>47</v>
      </c>
      <c r="D51" s="66"/>
      <c r="E51" s="66"/>
      <c r="F51" s="67"/>
      <c r="G51" s="73"/>
    </row>
    <row r="52" spans="2:9" ht="20.100000000000001" customHeight="1" thickBot="1" x14ac:dyDescent="0.3"/>
    <row r="53" spans="2:9" ht="15" customHeight="1" x14ac:dyDescent="0.25">
      <c r="C53" s="172" t="s">
        <v>50</v>
      </c>
      <c r="D53" s="173"/>
      <c r="E53" s="173"/>
      <c r="F53" s="173"/>
      <c r="G53" s="174"/>
    </row>
    <row r="54" spans="2:9" x14ac:dyDescent="0.25">
      <c r="C54" s="175"/>
      <c r="D54" s="176"/>
      <c r="E54" s="176"/>
      <c r="F54" s="176"/>
      <c r="G54" s="177"/>
    </row>
    <row r="55" spans="2:9" ht="39.950000000000003" customHeight="1" thickBot="1" x14ac:dyDescent="0.3">
      <c r="C55" s="127" t="s">
        <v>57</v>
      </c>
      <c r="D55" s="67"/>
      <c r="E55" s="67"/>
      <c r="F55" s="67"/>
      <c r="G55" s="68"/>
    </row>
    <row r="56" spans="2:9" x14ac:dyDescent="0.25">
      <c r="G56" s="1"/>
    </row>
  </sheetData>
  <mergeCells count="11">
    <mergeCell ref="B2:G2"/>
    <mergeCell ref="B4:B5"/>
    <mergeCell ref="C4:D5"/>
    <mergeCell ref="B6:B7"/>
    <mergeCell ref="L7:L14"/>
    <mergeCell ref="N7:N14"/>
    <mergeCell ref="B48:B49"/>
    <mergeCell ref="C48:D49"/>
    <mergeCell ref="B50:B51"/>
    <mergeCell ref="C53:G54"/>
    <mergeCell ref="M7:M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fitToWidth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 summaryRight="0"/>
    <pageSetUpPr fitToPage="1"/>
  </sheetPr>
  <dimension ref="B2:P56"/>
  <sheetViews>
    <sheetView workbookViewId="0"/>
  </sheetViews>
  <sheetFormatPr defaultRowHeight="15" x14ac:dyDescent="0.25"/>
  <cols>
    <col min="1" max="1" width="3.7109375" style="1" customWidth="1"/>
    <col min="2" max="2" width="14.7109375" style="1" customWidth="1"/>
    <col min="3" max="6" width="15.7109375" style="1" customWidth="1"/>
    <col min="7" max="7" width="15.7109375" style="3" customWidth="1"/>
    <col min="8" max="8" width="3.7109375" style="3" customWidth="1"/>
    <col min="9" max="9" width="14.7109375" style="3" customWidth="1"/>
    <col min="10" max="10" width="50.7109375" style="3" hidden="1" customWidth="1"/>
    <col min="11" max="11" width="3" style="3" hidden="1" customWidth="1"/>
    <col min="12" max="14" width="7.7109375" style="3" hidden="1" customWidth="1"/>
    <col min="15" max="15" width="0" style="1" hidden="1" customWidth="1"/>
    <col min="16" max="16384" width="9.140625" style="1"/>
  </cols>
  <sheetData>
    <row r="2" spans="2:14" ht="47.25" customHeight="1" x14ac:dyDescent="0.25">
      <c r="B2" s="165" t="s">
        <v>40</v>
      </c>
      <c r="C2" s="166"/>
      <c r="D2" s="166"/>
      <c r="E2" s="166"/>
      <c r="F2" s="166"/>
      <c r="G2" s="166"/>
    </row>
    <row r="3" spans="2:14" ht="20.100000000000001" customHeight="1" thickBot="1" x14ac:dyDescent="0.3">
      <c r="B3" s="4"/>
      <c r="G3" s="1"/>
    </row>
    <row r="4" spans="2:14" ht="20.100000000000001" hidden="1" customHeight="1" x14ac:dyDescent="0.25">
      <c r="B4" s="178" t="s">
        <v>5</v>
      </c>
      <c r="C4" s="180" t="s">
        <v>48</v>
      </c>
      <c r="D4" s="170"/>
      <c r="E4" s="62"/>
      <c r="F4" s="63"/>
      <c r="G4" s="72"/>
    </row>
    <row r="5" spans="2:14" ht="20.100000000000001" hidden="1" customHeight="1" thickBot="1" x14ac:dyDescent="0.3">
      <c r="B5" s="179"/>
      <c r="C5" s="181"/>
      <c r="D5" s="171"/>
      <c r="E5" s="9"/>
      <c r="F5" s="7"/>
      <c r="G5" s="75"/>
    </row>
    <row r="6" spans="2:14" ht="20.100000000000001" hidden="1" customHeight="1" thickBot="1" x14ac:dyDescent="0.3">
      <c r="B6" s="182" t="s">
        <v>45</v>
      </c>
      <c r="C6" s="125" t="s">
        <v>46</v>
      </c>
      <c r="D6" s="9"/>
      <c r="E6" s="9"/>
      <c r="F6" s="7"/>
      <c r="G6" s="75"/>
    </row>
    <row r="7" spans="2:14" ht="20.100000000000001" hidden="1" customHeight="1" thickBot="1" x14ac:dyDescent="0.3">
      <c r="B7" s="179"/>
      <c r="C7" s="126" t="s">
        <v>47</v>
      </c>
      <c r="D7" s="66"/>
      <c r="E7" s="66"/>
      <c r="F7" s="67"/>
      <c r="G7" s="73"/>
      <c r="L7" s="162" t="s">
        <v>16</v>
      </c>
      <c r="M7" s="162" t="s">
        <v>17</v>
      </c>
      <c r="N7" s="162" t="s">
        <v>18</v>
      </c>
    </row>
    <row r="8" spans="2:14" ht="20.100000000000001" hidden="1" customHeight="1" thickBot="1" x14ac:dyDescent="0.3">
      <c r="G8" s="1"/>
      <c r="L8" s="163"/>
      <c r="M8" s="163"/>
      <c r="N8" s="163"/>
    </row>
    <row r="9" spans="2:14" ht="20.100000000000001" customHeight="1" x14ac:dyDescent="0.25">
      <c r="B9" s="149" t="s">
        <v>41</v>
      </c>
      <c r="C9" s="132" t="s">
        <v>42</v>
      </c>
      <c r="D9" s="62"/>
      <c r="E9" s="120"/>
      <c r="F9" s="9"/>
      <c r="G9" s="9"/>
      <c r="L9" s="163"/>
      <c r="M9" s="163"/>
      <c r="N9" s="163"/>
    </row>
    <row r="10" spans="2:14" ht="20.100000000000001" customHeight="1" x14ac:dyDescent="0.25">
      <c r="B10" s="151" t="s">
        <v>43</v>
      </c>
      <c r="C10" s="133" t="s">
        <v>44</v>
      </c>
      <c r="D10" s="9"/>
      <c r="E10" s="122"/>
      <c r="F10" s="9"/>
      <c r="G10" s="9"/>
      <c r="L10" s="163"/>
      <c r="M10" s="163"/>
      <c r="N10" s="163"/>
    </row>
    <row r="11" spans="2:14" ht="20.100000000000001" customHeight="1" x14ac:dyDescent="0.25">
      <c r="B11" s="151" t="s">
        <v>7</v>
      </c>
      <c r="C11" s="145" t="s">
        <v>59</v>
      </c>
      <c r="D11" s="146"/>
      <c r="E11" s="147"/>
      <c r="F11" s="9"/>
      <c r="G11" s="9"/>
      <c r="L11" s="163"/>
      <c r="M11" s="163"/>
      <c r="N11" s="163"/>
    </row>
    <row r="12" spans="2:14" ht="20.100000000000001" customHeight="1" thickBot="1" x14ac:dyDescent="0.3">
      <c r="B12" s="150" t="s">
        <v>37</v>
      </c>
      <c r="C12" s="148" t="s">
        <v>38</v>
      </c>
      <c r="D12" s="143"/>
      <c r="E12" s="144"/>
      <c r="F12" s="9"/>
      <c r="G12" s="9"/>
      <c r="L12" s="163"/>
      <c r="M12" s="163"/>
      <c r="N12" s="163"/>
    </row>
    <row r="13" spans="2:14" ht="20.100000000000001" customHeight="1" thickBot="1" x14ac:dyDescent="0.3">
      <c r="L13" s="163"/>
      <c r="M13" s="163"/>
      <c r="N13" s="163"/>
    </row>
    <row r="14" spans="2:14" ht="33" customHeight="1" thickBot="1" x14ac:dyDescent="0.3">
      <c r="B14" s="79" t="s">
        <v>1</v>
      </c>
      <c r="C14" s="80" t="s">
        <v>12</v>
      </c>
      <c r="D14" s="80" t="s">
        <v>13</v>
      </c>
      <c r="E14" s="80" t="s">
        <v>0</v>
      </c>
      <c r="F14" s="80" t="s">
        <v>15</v>
      </c>
      <c r="G14" s="128" t="s">
        <v>39</v>
      </c>
      <c r="J14" s="82" t="s">
        <v>56</v>
      </c>
      <c r="L14" s="164"/>
      <c r="M14" s="164"/>
      <c r="N14" s="164"/>
    </row>
    <row r="15" spans="2:14" s="44" customFormat="1" ht="15" customHeight="1" x14ac:dyDescent="0.25">
      <c r="B15" s="109">
        <v>42675</v>
      </c>
      <c r="C15" s="89">
        <v>0.33333333333333331</v>
      </c>
      <c r="D15" s="89">
        <v>0.83333333333333337</v>
      </c>
      <c r="E15" s="89">
        <f t="shared" ref="E15:E31" si="0">D15-C15</f>
        <v>0.5</v>
      </c>
      <c r="F15" s="94">
        <v>4.1666666666666664E-2</v>
      </c>
      <c r="G15" s="129">
        <f t="shared" ref="G15:G31" si="1">E15-F15</f>
        <v>0.45833333333333331</v>
      </c>
      <c r="H15" s="3"/>
      <c r="I15" s="3"/>
      <c r="J15" s="110" t="s">
        <v>53</v>
      </c>
      <c r="K15" s="83"/>
      <c r="L15" s="91"/>
      <c r="M15" s="92">
        <f t="shared" ref="M15:M45" si="2">G15</f>
        <v>0.45833333333333331</v>
      </c>
      <c r="N15" s="93">
        <f>IF(M15&lt;L15,TEXT((ABS(M15-L15)),"-hh:mm"),IF(M15=L15,"",M15-L15))</f>
        <v>0.45833333333333331</v>
      </c>
    </row>
    <row r="16" spans="2:14" s="44" customFormat="1" ht="15" customHeight="1" x14ac:dyDescent="0.25">
      <c r="B16" s="111">
        <f t="shared" ref="B16:B44" si="3">B15+1</f>
        <v>42676</v>
      </c>
      <c r="C16" s="94"/>
      <c r="D16" s="94"/>
      <c r="E16" s="95">
        <f t="shared" si="0"/>
        <v>0</v>
      </c>
      <c r="F16" s="94"/>
      <c r="G16" s="130">
        <f t="shared" si="1"/>
        <v>0</v>
      </c>
      <c r="H16" s="3"/>
      <c r="I16" s="3"/>
      <c r="J16" s="110" t="s">
        <v>53</v>
      </c>
      <c r="K16" s="83"/>
      <c r="L16" s="97"/>
      <c r="M16" s="92">
        <f t="shared" si="2"/>
        <v>0</v>
      </c>
      <c r="N16" s="93" t="str">
        <f t="shared" ref="N16:N45" si="4">IF(M16&lt;L16,TEXT((ABS(M16-L16)),"-hh:mm"),IF(M16=L16,"",M16-L16))</f>
        <v/>
      </c>
    </row>
    <row r="17" spans="2:16" s="44" customFormat="1" ht="15" customHeight="1" x14ac:dyDescent="0.25">
      <c r="B17" s="111">
        <f t="shared" si="3"/>
        <v>42677</v>
      </c>
      <c r="C17" s="94">
        <v>0.33333333333333331</v>
      </c>
      <c r="D17" s="94">
        <v>0.70833333333333337</v>
      </c>
      <c r="E17" s="95">
        <f t="shared" si="0"/>
        <v>0.37500000000000006</v>
      </c>
      <c r="F17" s="94">
        <v>4.1666666666666664E-2</v>
      </c>
      <c r="G17" s="130">
        <f t="shared" si="1"/>
        <v>0.33333333333333337</v>
      </c>
      <c r="H17" s="3"/>
      <c r="I17" s="3"/>
      <c r="J17" s="110" t="s">
        <v>53</v>
      </c>
      <c r="K17" s="83"/>
      <c r="L17" s="97"/>
      <c r="M17" s="92">
        <f t="shared" si="2"/>
        <v>0.33333333333333337</v>
      </c>
      <c r="N17" s="93">
        <f t="shared" si="4"/>
        <v>0.33333333333333337</v>
      </c>
    </row>
    <row r="18" spans="2:16" s="44" customFormat="1" ht="15" customHeight="1" x14ac:dyDescent="0.25">
      <c r="B18" s="111">
        <f t="shared" si="3"/>
        <v>42678</v>
      </c>
      <c r="C18" s="95">
        <v>0.33333333333333331</v>
      </c>
      <c r="D18" s="95">
        <v>0.70833333333333337</v>
      </c>
      <c r="E18" s="95">
        <f t="shared" si="0"/>
        <v>0.37500000000000006</v>
      </c>
      <c r="F18" s="95">
        <v>4.1666666666666664E-2</v>
      </c>
      <c r="G18" s="130">
        <f t="shared" si="1"/>
        <v>0.33333333333333337</v>
      </c>
      <c r="H18" s="3"/>
      <c r="I18" s="3"/>
      <c r="J18" s="112"/>
      <c r="K18" s="83"/>
      <c r="L18" s="97"/>
      <c r="M18" s="92">
        <f t="shared" si="2"/>
        <v>0.33333333333333337</v>
      </c>
      <c r="N18" s="93">
        <f t="shared" si="4"/>
        <v>0.33333333333333337</v>
      </c>
    </row>
    <row r="19" spans="2:16" s="44" customFormat="1" ht="15" customHeight="1" x14ac:dyDescent="0.25">
      <c r="B19" s="118">
        <f t="shared" si="3"/>
        <v>42679</v>
      </c>
      <c r="C19" s="95"/>
      <c r="D19" s="95"/>
      <c r="E19" s="95">
        <f t="shared" si="0"/>
        <v>0</v>
      </c>
      <c r="F19" s="95"/>
      <c r="G19" s="130">
        <f t="shared" si="1"/>
        <v>0</v>
      </c>
      <c r="H19" s="3"/>
      <c r="I19" s="3"/>
      <c r="J19" s="112" t="s">
        <v>54</v>
      </c>
      <c r="K19" s="83"/>
      <c r="L19" s="97"/>
      <c r="M19" s="92">
        <f t="shared" si="2"/>
        <v>0</v>
      </c>
      <c r="N19" s="93" t="str">
        <f t="shared" si="4"/>
        <v/>
      </c>
    </row>
    <row r="20" spans="2:16" s="44" customFormat="1" ht="15" customHeight="1" x14ac:dyDescent="0.25">
      <c r="B20" s="118">
        <f t="shared" si="3"/>
        <v>42680</v>
      </c>
      <c r="C20" s="95"/>
      <c r="D20" s="95"/>
      <c r="E20" s="95">
        <f t="shared" si="0"/>
        <v>0</v>
      </c>
      <c r="F20" s="95"/>
      <c r="G20" s="130">
        <f t="shared" si="1"/>
        <v>0</v>
      </c>
      <c r="H20" s="3"/>
      <c r="I20" s="3"/>
      <c r="J20" s="112" t="s">
        <v>54</v>
      </c>
      <c r="K20" s="83"/>
      <c r="L20" s="97">
        <v>0.33333333333333331</v>
      </c>
      <c r="M20" s="92">
        <f t="shared" si="2"/>
        <v>0</v>
      </c>
      <c r="N20" s="93" t="str">
        <f t="shared" si="4"/>
        <v>-08:00</v>
      </c>
      <c r="O20" s="98"/>
    </row>
    <row r="21" spans="2:16" s="44" customFormat="1" ht="15" customHeight="1" x14ac:dyDescent="0.25">
      <c r="B21" s="111">
        <f t="shared" si="3"/>
        <v>42681</v>
      </c>
      <c r="C21" s="95">
        <v>0.33333333333333331</v>
      </c>
      <c r="D21" s="95">
        <v>0.70833333333333337</v>
      </c>
      <c r="E21" s="95">
        <f t="shared" si="0"/>
        <v>0.37500000000000006</v>
      </c>
      <c r="F21" s="95">
        <v>4.1666666666666664E-2</v>
      </c>
      <c r="G21" s="130">
        <f t="shared" si="1"/>
        <v>0.33333333333333337</v>
      </c>
      <c r="H21" s="3"/>
      <c r="I21" s="3"/>
      <c r="J21" s="112" t="s">
        <v>54</v>
      </c>
      <c r="K21" s="83"/>
      <c r="L21" s="97">
        <v>0.33333333333333331</v>
      </c>
      <c r="M21" s="92">
        <f t="shared" si="2"/>
        <v>0.33333333333333337</v>
      </c>
      <c r="N21" s="93" t="str">
        <f t="shared" si="4"/>
        <v/>
      </c>
      <c r="O21" s="98"/>
    </row>
    <row r="22" spans="2:16" s="44" customFormat="1" ht="15" customHeight="1" x14ac:dyDescent="0.25">
      <c r="B22" s="111">
        <f t="shared" si="3"/>
        <v>42682</v>
      </c>
      <c r="C22" s="95">
        <v>0.33333333333333331</v>
      </c>
      <c r="D22" s="95">
        <v>0.70833333333333337</v>
      </c>
      <c r="E22" s="95">
        <f t="shared" si="0"/>
        <v>0.37500000000000006</v>
      </c>
      <c r="F22" s="95">
        <v>4.1666666666666664E-2</v>
      </c>
      <c r="G22" s="130">
        <f t="shared" si="1"/>
        <v>0.33333333333333337</v>
      </c>
      <c r="H22" s="3"/>
      <c r="I22" s="3"/>
      <c r="J22" s="112" t="s">
        <v>54</v>
      </c>
      <c r="K22" s="83"/>
      <c r="L22" s="97"/>
      <c r="M22" s="92">
        <f t="shared" si="2"/>
        <v>0.33333333333333337</v>
      </c>
      <c r="N22" s="93">
        <f t="shared" si="4"/>
        <v>0.33333333333333337</v>
      </c>
      <c r="O22" s="98"/>
    </row>
    <row r="23" spans="2:16" s="44" customFormat="1" ht="15" customHeight="1" x14ac:dyDescent="0.25">
      <c r="B23" s="111">
        <f t="shared" si="3"/>
        <v>42683</v>
      </c>
      <c r="C23" s="95">
        <v>0.33333333333333331</v>
      </c>
      <c r="D23" s="95">
        <v>0.70833333333333337</v>
      </c>
      <c r="E23" s="95">
        <f t="shared" si="0"/>
        <v>0.37500000000000006</v>
      </c>
      <c r="F23" s="95">
        <v>4.1666666666666664E-2</v>
      </c>
      <c r="G23" s="130">
        <f t="shared" si="1"/>
        <v>0.33333333333333337</v>
      </c>
      <c r="H23" s="3"/>
      <c r="I23" s="3"/>
      <c r="J23" s="112" t="s">
        <v>54</v>
      </c>
      <c r="K23" s="83"/>
      <c r="L23" s="97"/>
      <c r="M23" s="92">
        <f t="shared" si="2"/>
        <v>0.33333333333333337</v>
      </c>
      <c r="N23" s="93">
        <f t="shared" si="4"/>
        <v>0.33333333333333337</v>
      </c>
      <c r="O23" s="98"/>
    </row>
    <row r="24" spans="2:16" s="44" customFormat="1" ht="15" customHeight="1" x14ac:dyDescent="0.25">
      <c r="B24" s="111">
        <f t="shared" si="3"/>
        <v>42684</v>
      </c>
      <c r="C24" s="95">
        <v>0.33333333333333331</v>
      </c>
      <c r="D24" s="95">
        <v>0.70833333333333337</v>
      </c>
      <c r="E24" s="95">
        <f t="shared" si="0"/>
        <v>0.37500000000000006</v>
      </c>
      <c r="F24" s="95">
        <v>4.1666666666666664E-2</v>
      </c>
      <c r="G24" s="130">
        <f t="shared" si="1"/>
        <v>0.33333333333333337</v>
      </c>
      <c r="H24" s="3"/>
      <c r="I24" s="3"/>
      <c r="J24" s="112"/>
      <c r="K24" s="83"/>
      <c r="L24" s="97"/>
      <c r="M24" s="92">
        <f t="shared" si="2"/>
        <v>0.33333333333333337</v>
      </c>
      <c r="N24" s="93">
        <f t="shared" si="4"/>
        <v>0.33333333333333337</v>
      </c>
      <c r="O24" s="98"/>
    </row>
    <row r="25" spans="2:16" s="44" customFormat="1" ht="15" customHeight="1" x14ac:dyDescent="0.25">
      <c r="B25" s="111">
        <f t="shared" si="3"/>
        <v>42685</v>
      </c>
      <c r="C25" s="95">
        <v>0.33333333333333331</v>
      </c>
      <c r="D25" s="95">
        <v>0.70833333333333337</v>
      </c>
      <c r="E25" s="95">
        <f t="shared" si="0"/>
        <v>0.37500000000000006</v>
      </c>
      <c r="F25" s="95">
        <v>4.1666666666666664E-2</v>
      </c>
      <c r="G25" s="130">
        <f t="shared" si="1"/>
        <v>0.33333333333333337</v>
      </c>
      <c r="H25" s="3"/>
      <c r="I25" s="3"/>
      <c r="J25" s="112"/>
      <c r="K25" s="83"/>
      <c r="L25" s="97"/>
      <c r="M25" s="92">
        <f t="shared" si="2"/>
        <v>0.33333333333333337</v>
      </c>
      <c r="N25" s="93">
        <f t="shared" si="4"/>
        <v>0.33333333333333337</v>
      </c>
      <c r="O25" s="98"/>
    </row>
    <row r="26" spans="2:16" s="44" customFormat="1" ht="15" customHeight="1" x14ac:dyDescent="0.25">
      <c r="B26" s="118">
        <f t="shared" si="3"/>
        <v>42686</v>
      </c>
      <c r="C26" s="95"/>
      <c r="D26" s="95"/>
      <c r="E26" s="95">
        <f t="shared" si="0"/>
        <v>0</v>
      </c>
      <c r="F26" s="95"/>
      <c r="G26" s="130">
        <f t="shared" si="1"/>
        <v>0</v>
      </c>
      <c r="H26" s="3"/>
      <c r="I26" s="3"/>
      <c r="J26" s="112" t="s">
        <v>55</v>
      </c>
      <c r="K26" s="83"/>
      <c r="L26" s="97"/>
      <c r="M26" s="92">
        <f t="shared" si="2"/>
        <v>0</v>
      </c>
      <c r="N26" s="93" t="str">
        <f t="shared" si="4"/>
        <v/>
      </c>
      <c r="O26" s="98"/>
    </row>
    <row r="27" spans="2:16" s="44" customFormat="1" ht="15" customHeight="1" x14ac:dyDescent="0.25">
      <c r="B27" s="118">
        <f t="shared" si="3"/>
        <v>42687</v>
      </c>
      <c r="C27" s="95"/>
      <c r="D27" s="95"/>
      <c r="E27" s="95">
        <f t="shared" si="0"/>
        <v>0</v>
      </c>
      <c r="F27" s="95"/>
      <c r="G27" s="130">
        <f t="shared" si="1"/>
        <v>0</v>
      </c>
      <c r="H27" s="3"/>
      <c r="I27" s="3"/>
      <c r="J27" s="112" t="s">
        <v>55</v>
      </c>
      <c r="K27" s="83"/>
      <c r="L27" s="97">
        <v>0.33333333333333331</v>
      </c>
      <c r="M27" s="92">
        <f t="shared" si="2"/>
        <v>0</v>
      </c>
      <c r="N27" s="93" t="str">
        <f t="shared" si="4"/>
        <v>-08:00</v>
      </c>
      <c r="O27" s="98"/>
      <c r="P27" s="99"/>
    </row>
    <row r="28" spans="2:16" s="44" customFormat="1" ht="15" customHeight="1" x14ac:dyDescent="0.25">
      <c r="B28" s="111">
        <f t="shared" si="3"/>
        <v>42688</v>
      </c>
      <c r="C28" s="95"/>
      <c r="D28" s="95"/>
      <c r="E28" s="95">
        <f t="shared" si="0"/>
        <v>0</v>
      </c>
      <c r="F28" s="95"/>
      <c r="G28" s="130">
        <f t="shared" si="1"/>
        <v>0</v>
      </c>
      <c r="H28" s="3"/>
      <c r="I28" s="3"/>
      <c r="J28" s="112" t="s">
        <v>55</v>
      </c>
      <c r="K28" s="83"/>
      <c r="L28" s="97">
        <v>0.33333333333333331</v>
      </c>
      <c r="M28" s="92">
        <f t="shared" si="2"/>
        <v>0</v>
      </c>
      <c r="N28" s="93" t="str">
        <f t="shared" si="4"/>
        <v>-08:00</v>
      </c>
      <c r="O28" s="98"/>
      <c r="P28" s="99"/>
    </row>
    <row r="29" spans="2:16" s="44" customFormat="1" ht="15" customHeight="1" x14ac:dyDescent="0.25">
      <c r="B29" s="111">
        <f t="shared" si="3"/>
        <v>42689</v>
      </c>
      <c r="C29" s="95"/>
      <c r="D29" s="95"/>
      <c r="E29" s="95">
        <f t="shared" si="0"/>
        <v>0</v>
      </c>
      <c r="F29" s="95"/>
      <c r="G29" s="130">
        <f t="shared" si="1"/>
        <v>0</v>
      </c>
      <c r="H29" s="3"/>
      <c r="I29" s="3"/>
      <c r="J29" s="112" t="s">
        <v>55</v>
      </c>
      <c r="K29" s="83"/>
      <c r="L29" s="97">
        <v>0.33333333333333331</v>
      </c>
      <c r="M29" s="92">
        <f t="shared" si="2"/>
        <v>0</v>
      </c>
      <c r="N29" s="93" t="str">
        <f t="shared" si="4"/>
        <v>-08:00</v>
      </c>
      <c r="O29" s="98"/>
      <c r="P29" s="99"/>
    </row>
    <row r="30" spans="2:16" s="44" customFormat="1" ht="15" customHeight="1" x14ac:dyDescent="0.25">
      <c r="B30" s="111">
        <f t="shared" si="3"/>
        <v>42690</v>
      </c>
      <c r="C30" s="95">
        <v>0.33333333333333331</v>
      </c>
      <c r="D30" s="95">
        <v>0.70833333333333337</v>
      </c>
      <c r="E30" s="95">
        <f t="shared" si="0"/>
        <v>0.37500000000000006</v>
      </c>
      <c r="F30" s="95">
        <v>4.1666666666666664E-2</v>
      </c>
      <c r="G30" s="130">
        <f t="shared" si="1"/>
        <v>0.33333333333333337</v>
      </c>
      <c r="H30" s="3"/>
      <c r="I30" s="3"/>
      <c r="J30" s="112" t="s">
        <v>55</v>
      </c>
      <c r="K30" s="83"/>
      <c r="L30" s="97">
        <v>0.33333333333333331</v>
      </c>
      <c r="M30" s="92">
        <f t="shared" si="2"/>
        <v>0.33333333333333337</v>
      </c>
      <c r="N30" s="93" t="str">
        <f t="shared" si="4"/>
        <v/>
      </c>
      <c r="O30" s="98"/>
      <c r="P30" s="99"/>
    </row>
    <row r="31" spans="2:16" s="44" customFormat="1" ht="15" customHeight="1" x14ac:dyDescent="0.25">
      <c r="B31" s="111">
        <f t="shared" si="3"/>
        <v>42691</v>
      </c>
      <c r="C31" s="95">
        <v>0.33333333333333331</v>
      </c>
      <c r="D31" s="95">
        <v>0.91666666666666663</v>
      </c>
      <c r="E31" s="95">
        <f t="shared" si="0"/>
        <v>0.58333333333333326</v>
      </c>
      <c r="F31" s="95">
        <v>0.16666666666666666</v>
      </c>
      <c r="G31" s="130">
        <f t="shared" si="1"/>
        <v>0.41666666666666663</v>
      </c>
      <c r="H31" s="3"/>
      <c r="I31" s="3"/>
      <c r="J31" s="112"/>
      <c r="K31" s="83"/>
      <c r="L31" s="97"/>
      <c r="M31" s="92">
        <f t="shared" si="2"/>
        <v>0.41666666666666663</v>
      </c>
      <c r="N31" s="93">
        <f t="shared" si="4"/>
        <v>0.41666666666666663</v>
      </c>
      <c r="O31" s="98"/>
      <c r="P31" s="99"/>
    </row>
    <row r="32" spans="2:16" s="44" customFormat="1" ht="15" customHeight="1" x14ac:dyDescent="0.25">
      <c r="B32" s="111">
        <f t="shared" si="3"/>
        <v>42692</v>
      </c>
      <c r="C32" s="95">
        <v>0.33333333333333331</v>
      </c>
      <c r="D32" s="95">
        <v>0.70833333333333337</v>
      </c>
      <c r="E32" s="95">
        <f>D32-C32</f>
        <v>0.37500000000000006</v>
      </c>
      <c r="F32" s="95">
        <v>4.1666666666666664E-2</v>
      </c>
      <c r="G32" s="130">
        <f>E32-F32</f>
        <v>0.33333333333333337</v>
      </c>
      <c r="H32" s="3"/>
      <c r="I32" s="3"/>
      <c r="J32" s="112"/>
      <c r="K32" s="83"/>
      <c r="L32" s="97"/>
      <c r="M32" s="92">
        <f t="shared" si="2"/>
        <v>0.33333333333333337</v>
      </c>
      <c r="N32" s="93">
        <f t="shared" si="4"/>
        <v>0.33333333333333337</v>
      </c>
      <c r="O32" s="98"/>
      <c r="P32" s="99"/>
    </row>
    <row r="33" spans="2:16" s="44" customFormat="1" ht="15" customHeight="1" x14ac:dyDescent="0.25">
      <c r="B33" s="118">
        <f t="shared" si="3"/>
        <v>42693</v>
      </c>
      <c r="C33" s="95"/>
      <c r="D33" s="95"/>
      <c r="E33" s="95">
        <f>D33-C33</f>
        <v>0</v>
      </c>
      <c r="F33" s="95"/>
      <c r="G33" s="130">
        <f>E33-F33</f>
        <v>0</v>
      </c>
      <c r="H33" s="3"/>
      <c r="I33" s="3"/>
      <c r="J33" s="112" t="s">
        <v>55</v>
      </c>
      <c r="K33" s="83"/>
      <c r="L33" s="97"/>
      <c r="M33" s="92">
        <f t="shared" si="2"/>
        <v>0</v>
      </c>
      <c r="N33" s="93" t="str">
        <f t="shared" si="4"/>
        <v/>
      </c>
      <c r="O33" s="98"/>
      <c r="P33" s="99"/>
    </row>
    <row r="34" spans="2:16" s="44" customFormat="1" ht="15" customHeight="1" x14ac:dyDescent="0.25">
      <c r="B34" s="118">
        <f t="shared" si="3"/>
        <v>42694</v>
      </c>
      <c r="C34" s="95"/>
      <c r="D34" s="95"/>
      <c r="E34" s="95">
        <f t="shared" ref="E34:E44" si="5">D34-C34</f>
        <v>0</v>
      </c>
      <c r="F34" s="95"/>
      <c r="G34" s="130">
        <f t="shared" ref="G34:G44" si="6">E34-F34</f>
        <v>0</v>
      </c>
      <c r="H34" s="3"/>
      <c r="I34" s="3"/>
      <c r="J34" s="112" t="s">
        <v>55</v>
      </c>
      <c r="K34" s="83"/>
      <c r="L34" s="97">
        <v>0.33333333333333331</v>
      </c>
      <c r="M34" s="92">
        <f t="shared" si="2"/>
        <v>0</v>
      </c>
      <c r="N34" s="93" t="str">
        <f t="shared" si="4"/>
        <v>-08:00</v>
      </c>
      <c r="O34" s="98"/>
      <c r="P34" s="99"/>
    </row>
    <row r="35" spans="2:16" s="44" customFormat="1" ht="15" customHeight="1" x14ac:dyDescent="0.25">
      <c r="B35" s="111">
        <f t="shared" si="3"/>
        <v>42695</v>
      </c>
      <c r="C35" s="95">
        <v>0.33333333333333331</v>
      </c>
      <c r="D35" s="95">
        <v>0.70833333333333337</v>
      </c>
      <c r="E35" s="95">
        <f t="shared" si="5"/>
        <v>0.37500000000000006</v>
      </c>
      <c r="F35" s="95">
        <v>4.1666666666666664E-2</v>
      </c>
      <c r="G35" s="130">
        <f t="shared" si="6"/>
        <v>0.33333333333333337</v>
      </c>
      <c r="H35" s="3"/>
      <c r="I35" s="3"/>
      <c r="J35" s="112" t="s">
        <v>55</v>
      </c>
      <c r="K35" s="83"/>
      <c r="L35" s="97">
        <v>0.33333333333333331</v>
      </c>
      <c r="M35" s="92">
        <f t="shared" si="2"/>
        <v>0.33333333333333337</v>
      </c>
      <c r="N35" s="93" t="str">
        <f t="shared" si="4"/>
        <v/>
      </c>
      <c r="O35" s="98"/>
      <c r="P35" s="99"/>
    </row>
    <row r="36" spans="2:16" s="44" customFormat="1" ht="15" customHeight="1" x14ac:dyDescent="0.25">
      <c r="B36" s="111">
        <f t="shared" si="3"/>
        <v>42696</v>
      </c>
      <c r="C36" s="95">
        <v>0.33333333333333331</v>
      </c>
      <c r="D36" s="95">
        <v>0.70833333333333337</v>
      </c>
      <c r="E36" s="95">
        <f t="shared" si="5"/>
        <v>0.37500000000000006</v>
      </c>
      <c r="F36" s="95">
        <v>4.1666666666666664E-2</v>
      </c>
      <c r="G36" s="130">
        <f t="shared" si="6"/>
        <v>0.33333333333333337</v>
      </c>
      <c r="H36" s="3"/>
      <c r="I36" s="3"/>
      <c r="J36" s="112" t="s">
        <v>55</v>
      </c>
      <c r="K36" s="83"/>
      <c r="L36" s="97">
        <v>0.33333333333333331</v>
      </c>
      <c r="M36" s="92">
        <f t="shared" si="2"/>
        <v>0.33333333333333337</v>
      </c>
      <c r="N36" s="93" t="str">
        <f t="shared" si="4"/>
        <v/>
      </c>
      <c r="O36" s="98"/>
    </row>
    <row r="37" spans="2:16" s="44" customFormat="1" ht="15" customHeight="1" x14ac:dyDescent="0.25">
      <c r="B37" s="111">
        <f t="shared" si="3"/>
        <v>42697</v>
      </c>
      <c r="C37" s="95">
        <v>0.33333333333333331</v>
      </c>
      <c r="D37" s="95">
        <v>0.70833333333333337</v>
      </c>
      <c r="E37" s="95">
        <f t="shared" si="5"/>
        <v>0.37500000000000006</v>
      </c>
      <c r="F37" s="95">
        <v>4.1666666666666664E-2</v>
      </c>
      <c r="G37" s="130">
        <f t="shared" si="6"/>
        <v>0.33333333333333337</v>
      </c>
      <c r="H37" s="3"/>
      <c r="I37" s="3"/>
      <c r="J37" s="112" t="s">
        <v>55</v>
      </c>
      <c r="K37" s="83"/>
      <c r="L37" s="97">
        <v>0.33333333333333331</v>
      </c>
      <c r="M37" s="92">
        <f t="shared" si="2"/>
        <v>0.33333333333333337</v>
      </c>
      <c r="N37" s="93" t="str">
        <f t="shared" si="4"/>
        <v/>
      </c>
      <c r="O37" s="98"/>
    </row>
    <row r="38" spans="2:16" s="44" customFormat="1" ht="15" customHeight="1" x14ac:dyDescent="0.25">
      <c r="B38" s="111">
        <f t="shared" si="3"/>
        <v>42698</v>
      </c>
      <c r="C38" s="95">
        <v>0.33333333333333331</v>
      </c>
      <c r="D38" s="95">
        <v>0.79166666666666663</v>
      </c>
      <c r="E38" s="95">
        <f t="shared" si="5"/>
        <v>0.45833333333333331</v>
      </c>
      <c r="F38" s="95">
        <v>4.1666666666666664E-2</v>
      </c>
      <c r="G38" s="130">
        <f t="shared" si="6"/>
        <v>0.41666666666666663</v>
      </c>
      <c r="H38" s="3"/>
      <c r="I38" s="3"/>
      <c r="J38" s="112"/>
      <c r="K38" s="83"/>
      <c r="L38" s="97">
        <v>0</v>
      </c>
      <c r="M38" s="92">
        <f t="shared" si="2"/>
        <v>0.41666666666666663</v>
      </c>
      <c r="N38" s="93">
        <f t="shared" si="4"/>
        <v>0.41666666666666663</v>
      </c>
      <c r="O38" s="98"/>
    </row>
    <row r="39" spans="2:16" s="44" customFormat="1" ht="15" customHeight="1" x14ac:dyDescent="0.25">
      <c r="B39" s="111">
        <f t="shared" si="3"/>
        <v>42699</v>
      </c>
      <c r="C39" s="95">
        <v>0.33333333333333331</v>
      </c>
      <c r="D39" s="95">
        <v>0.70833333333333337</v>
      </c>
      <c r="E39" s="95">
        <f t="shared" si="5"/>
        <v>0.37500000000000006</v>
      </c>
      <c r="F39" s="95">
        <v>4.1666666666666664E-2</v>
      </c>
      <c r="G39" s="130">
        <f t="shared" si="6"/>
        <v>0.33333333333333337</v>
      </c>
      <c r="H39" s="3"/>
      <c r="I39" s="3"/>
      <c r="J39" s="112"/>
      <c r="K39" s="83"/>
      <c r="L39" s="97"/>
      <c r="M39" s="92">
        <f t="shared" si="2"/>
        <v>0.33333333333333337</v>
      </c>
      <c r="N39" s="93">
        <f t="shared" si="4"/>
        <v>0.33333333333333337</v>
      </c>
      <c r="O39" s="98"/>
    </row>
    <row r="40" spans="2:16" s="44" customFormat="1" ht="15" customHeight="1" x14ac:dyDescent="0.25">
      <c r="B40" s="118">
        <f t="shared" si="3"/>
        <v>42700</v>
      </c>
      <c r="C40" s="95"/>
      <c r="D40" s="95"/>
      <c r="E40" s="95">
        <f t="shared" si="5"/>
        <v>0</v>
      </c>
      <c r="F40" s="95"/>
      <c r="G40" s="130">
        <f t="shared" si="6"/>
        <v>0</v>
      </c>
      <c r="H40" s="3"/>
      <c r="I40" s="3"/>
      <c r="J40" s="112" t="s">
        <v>55</v>
      </c>
      <c r="K40" s="83"/>
      <c r="L40" s="97"/>
      <c r="M40" s="92">
        <f t="shared" si="2"/>
        <v>0</v>
      </c>
      <c r="N40" s="93" t="str">
        <f t="shared" si="4"/>
        <v/>
      </c>
      <c r="O40" s="98"/>
    </row>
    <row r="41" spans="2:16" s="44" customFormat="1" ht="15" customHeight="1" x14ac:dyDescent="0.25">
      <c r="B41" s="118">
        <f t="shared" si="3"/>
        <v>42701</v>
      </c>
      <c r="C41" s="95"/>
      <c r="D41" s="95"/>
      <c r="E41" s="95">
        <f t="shared" si="5"/>
        <v>0</v>
      </c>
      <c r="F41" s="95"/>
      <c r="G41" s="130">
        <f t="shared" si="6"/>
        <v>0</v>
      </c>
      <c r="H41" s="3"/>
      <c r="I41" s="3"/>
      <c r="J41" s="112" t="s">
        <v>55</v>
      </c>
      <c r="K41" s="83"/>
      <c r="L41" s="97">
        <v>0.33333333333333331</v>
      </c>
      <c r="M41" s="92">
        <f t="shared" si="2"/>
        <v>0</v>
      </c>
      <c r="N41" s="93" t="str">
        <f t="shared" si="4"/>
        <v>-08:00</v>
      </c>
      <c r="O41" s="98"/>
    </row>
    <row r="42" spans="2:16" s="44" customFormat="1" ht="15" customHeight="1" x14ac:dyDescent="0.25">
      <c r="B42" s="111">
        <f t="shared" si="3"/>
        <v>42702</v>
      </c>
      <c r="C42" s="95">
        <v>0.33333333333333331</v>
      </c>
      <c r="D42" s="95">
        <v>0.70833333333333337</v>
      </c>
      <c r="E42" s="95">
        <f t="shared" si="5"/>
        <v>0.37500000000000006</v>
      </c>
      <c r="F42" s="95">
        <v>4.1666666666666664E-2</v>
      </c>
      <c r="G42" s="130">
        <f t="shared" si="6"/>
        <v>0.33333333333333337</v>
      </c>
      <c r="H42" s="3"/>
      <c r="I42" s="3"/>
      <c r="J42" s="112" t="s">
        <v>55</v>
      </c>
      <c r="K42" s="83"/>
      <c r="L42" s="97">
        <v>0.33333333333333331</v>
      </c>
      <c r="M42" s="92">
        <f t="shared" si="2"/>
        <v>0.33333333333333337</v>
      </c>
      <c r="N42" s="93" t="str">
        <f t="shared" si="4"/>
        <v/>
      </c>
      <c r="O42" s="98"/>
    </row>
    <row r="43" spans="2:16" s="44" customFormat="1" ht="15" customHeight="1" x14ac:dyDescent="0.25">
      <c r="B43" s="111">
        <f t="shared" si="3"/>
        <v>42703</v>
      </c>
      <c r="C43" s="95">
        <v>0.33333333333333331</v>
      </c>
      <c r="D43" s="95">
        <v>0.70833333333333337</v>
      </c>
      <c r="E43" s="95">
        <f t="shared" si="5"/>
        <v>0.37500000000000006</v>
      </c>
      <c r="F43" s="95">
        <v>0</v>
      </c>
      <c r="G43" s="130">
        <f t="shared" si="6"/>
        <v>0.37500000000000006</v>
      </c>
      <c r="H43" s="3"/>
      <c r="I43" s="3"/>
      <c r="J43" s="112" t="s">
        <v>55</v>
      </c>
      <c r="K43" s="83"/>
      <c r="L43" s="97">
        <v>0.33333333333333331</v>
      </c>
      <c r="M43" s="92">
        <f t="shared" si="2"/>
        <v>0.37500000000000006</v>
      </c>
      <c r="N43" s="93">
        <f t="shared" si="4"/>
        <v>4.1666666666666741E-2</v>
      </c>
      <c r="O43" s="98"/>
    </row>
    <row r="44" spans="2:16" s="44" customFormat="1" ht="15" customHeight="1" x14ac:dyDescent="0.25">
      <c r="B44" s="111">
        <f t="shared" si="3"/>
        <v>42704</v>
      </c>
      <c r="C44" s="95">
        <v>0.33333333333333331</v>
      </c>
      <c r="D44" s="95">
        <v>0.70833333333333337</v>
      </c>
      <c r="E44" s="95">
        <f t="shared" si="5"/>
        <v>0.37500000000000006</v>
      </c>
      <c r="F44" s="95">
        <v>4.1666666666666664E-2</v>
      </c>
      <c r="G44" s="130">
        <f t="shared" si="6"/>
        <v>0.33333333333333337</v>
      </c>
      <c r="H44" s="3"/>
      <c r="I44" s="3"/>
      <c r="J44" s="112" t="s">
        <v>55</v>
      </c>
      <c r="K44" s="83"/>
      <c r="L44" s="97">
        <v>0.33333333333333331</v>
      </c>
      <c r="M44" s="92">
        <f t="shared" si="2"/>
        <v>0.33333333333333337</v>
      </c>
      <c r="N44" s="93" t="str">
        <f t="shared" si="4"/>
        <v/>
      </c>
      <c r="O44" s="98"/>
    </row>
    <row r="45" spans="2:16" s="44" customFormat="1" ht="15" customHeight="1" thickBot="1" x14ac:dyDescent="0.3">
      <c r="B45" s="114"/>
      <c r="C45" s="95"/>
      <c r="D45" s="95"/>
      <c r="E45" s="95"/>
      <c r="F45" s="94"/>
      <c r="G45" s="130"/>
      <c r="H45" s="3"/>
      <c r="I45" s="3"/>
      <c r="J45" s="115"/>
      <c r="K45" s="83"/>
      <c r="L45" s="102"/>
      <c r="M45" s="103">
        <f t="shared" si="2"/>
        <v>0</v>
      </c>
      <c r="N45" s="104" t="str">
        <f t="shared" si="4"/>
        <v/>
      </c>
      <c r="O45" s="98"/>
    </row>
    <row r="46" spans="2:16" s="30" customFormat="1" ht="24.95" customHeight="1" thickBot="1" x14ac:dyDescent="0.3">
      <c r="B46" s="85" t="s">
        <v>2</v>
      </c>
      <c r="C46" s="80"/>
      <c r="D46" s="80"/>
      <c r="E46" s="86"/>
      <c r="F46" s="87"/>
      <c r="G46" s="134">
        <f>SUM(G15:G45)</f>
        <v>6.6666666666666661</v>
      </c>
      <c r="H46" s="3"/>
      <c r="I46" s="140"/>
      <c r="J46" s="88"/>
      <c r="K46" s="83"/>
      <c r="L46" s="84">
        <f>SUM(L15:L45)</f>
        <v>4.6666666666666661</v>
      </c>
      <c r="M46" s="84">
        <f>SUM(M15:M45)</f>
        <v>6.6666666666666661</v>
      </c>
      <c r="N46" s="84">
        <f>IF(M46&lt;L46,TEXT((ABS(M46-L46)),"-[h]:mm"),IF(M46=L46,"",M46-L46))</f>
        <v>2</v>
      </c>
    </row>
    <row r="47" spans="2:16" ht="20.100000000000001" customHeight="1" thickBot="1" x14ac:dyDescent="0.3">
      <c r="I47" s="141"/>
      <c r="L47" s="20"/>
    </row>
    <row r="48" spans="2:16" ht="15" customHeight="1" x14ac:dyDescent="0.25">
      <c r="B48" s="178" t="s">
        <v>5</v>
      </c>
      <c r="C48" s="180" t="s">
        <v>48</v>
      </c>
      <c r="D48" s="170"/>
      <c r="E48" s="62"/>
      <c r="F48" s="63"/>
      <c r="G48" s="72"/>
      <c r="I48" s="141"/>
    </row>
    <row r="49" spans="2:9" ht="15" customHeight="1" thickBot="1" x14ac:dyDescent="0.3">
      <c r="B49" s="179"/>
      <c r="C49" s="181"/>
      <c r="D49" s="171"/>
      <c r="E49" s="9"/>
      <c r="F49" s="7"/>
      <c r="G49" s="75"/>
      <c r="I49" s="142"/>
    </row>
    <row r="50" spans="2:9" ht="17.100000000000001" customHeight="1" x14ac:dyDescent="0.25">
      <c r="B50" s="182" t="s">
        <v>45</v>
      </c>
      <c r="C50" s="125" t="s">
        <v>46</v>
      </c>
      <c r="D50" s="9"/>
      <c r="E50" s="9"/>
      <c r="F50" s="7"/>
      <c r="G50" s="75"/>
    </row>
    <row r="51" spans="2:9" ht="17.100000000000001" customHeight="1" thickBot="1" x14ac:dyDescent="0.3">
      <c r="B51" s="179"/>
      <c r="C51" s="126" t="s">
        <v>47</v>
      </c>
      <c r="D51" s="66"/>
      <c r="E51" s="66"/>
      <c r="F51" s="67"/>
      <c r="G51" s="73"/>
    </row>
    <row r="52" spans="2:9" ht="20.100000000000001" customHeight="1" thickBot="1" x14ac:dyDescent="0.3"/>
    <row r="53" spans="2:9" ht="15" customHeight="1" x14ac:dyDescent="0.25">
      <c r="C53" s="172" t="s">
        <v>50</v>
      </c>
      <c r="D53" s="173"/>
      <c r="E53" s="173"/>
      <c r="F53" s="173"/>
      <c r="G53" s="174"/>
    </row>
    <row r="54" spans="2:9" x14ac:dyDescent="0.25">
      <c r="C54" s="175"/>
      <c r="D54" s="176"/>
      <c r="E54" s="176"/>
      <c r="F54" s="176"/>
      <c r="G54" s="177"/>
    </row>
    <row r="55" spans="2:9" ht="39.950000000000003" customHeight="1" thickBot="1" x14ac:dyDescent="0.3">
      <c r="C55" s="127" t="s">
        <v>57</v>
      </c>
      <c r="D55" s="67"/>
      <c r="E55" s="67"/>
      <c r="F55" s="67"/>
      <c r="G55" s="68"/>
    </row>
    <row r="56" spans="2:9" x14ac:dyDescent="0.25">
      <c r="G56" s="1"/>
    </row>
  </sheetData>
  <mergeCells count="11">
    <mergeCell ref="B2:G2"/>
    <mergeCell ref="B4:B5"/>
    <mergeCell ref="C4:D5"/>
    <mergeCell ref="B6:B7"/>
    <mergeCell ref="L7:L14"/>
    <mergeCell ref="N7:N14"/>
    <mergeCell ref="B48:B49"/>
    <mergeCell ref="C48:D49"/>
    <mergeCell ref="B50:B51"/>
    <mergeCell ref="C53:G54"/>
    <mergeCell ref="M7:M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fitToWidth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 summaryRight="0"/>
    <pageSetUpPr fitToPage="1"/>
  </sheetPr>
  <dimension ref="B2:P56"/>
  <sheetViews>
    <sheetView workbookViewId="0">
      <selection activeCell="H56" sqref="A1:H56"/>
    </sheetView>
  </sheetViews>
  <sheetFormatPr defaultRowHeight="15" x14ac:dyDescent="0.25"/>
  <cols>
    <col min="1" max="1" width="3.7109375" style="1" customWidth="1"/>
    <col min="2" max="2" width="14.7109375" style="1" customWidth="1"/>
    <col min="3" max="6" width="15.7109375" style="1" customWidth="1"/>
    <col min="7" max="7" width="15.7109375" style="3" customWidth="1"/>
    <col min="8" max="8" width="3.7109375" style="3" customWidth="1"/>
    <col min="9" max="9" width="14.7109375" style="3" customWidth="1"/>
    <col min="10" max="10" width="50.7109375" style="3" hidden="1" customWidth="1"/>
    <col min="11" max="11" width="3" style="3" hidden="1" customWidth="1"/>
    <col min="12" max="14" width="7.7109375" style="3" hidden="1" customWidth="1"/>
    <col min="15" max="15" width="0" style="1" hidden="1" customWidth="1"/>
    <col min="16" max="16384" width="9.140625" style="1"/>
  </cols>
  <sheetData>
    <row r="2" spans="2:14" ht="47.25" customHeight="1" x14ac:dyDescent="0.25">
      <c r="B2" s="165" t="s">
        <v>40</v>
      </c>
      <c r="C2" s="166"/>
      <c r="D2" s="166"/>
      <c r="E2" s="166"/>
      <c r="F2" s="166"/>
      <c r="G2" s="166"/>
    </row>
    <row r="3" spans="2:14" ht="20.100000000000001" customHeight="1" thickBot="1" x14ac:dyDescent="0.3">
      <c r="B3" s="4"/>
      <c r="G3" s="1"/>
    </row>
    <row r="4" spans="2:14" ht="20.100000000000001" hidden="1" customHeight="1" x14ac:dyDescent="0.25">
      <c r="B4" s="178" t="s">
        <v>5</v>
      </c>
      <c r="C4" s="180" t="s">
        <v>48</v>
      </c>
      <c r="D4" s="170"/>
      <c r="E4" s="62"/>
      <c r="F4" s="63"/>
      <c r="G4" s="72"/>
    </row>
    <row r="5" spans="2:14" ht="20.100000000000001" hidden="1" customHeight="1" thickBot="1" x14ac:dyDescent="0.3">
      <c r="B5" s="179"/>
      <c r="C5" s="181"/>
      <c r="D5" s="171"/>
      <c r="E5" s="9"/>
      <c r="F5" s="7"/>
      <c r="G5" s="75"/>
    </row>
    <row r="6" spans="2:14" ht="20.100000000000001" hidden="1" customHeight="1" thickBot="1" x14ac:dyDescent="0.3">
      <c r="B6" s="182" t="s">
        <v>45</v>
      </c>
      <c r="C6" s="125" t="s">
        <v>46</v>
      </c>
      <c r="D6" s="9"/>
      <c r="E6" s="9"/>
      <c r="F6" s="7"/>
      <c r="G6" s="75"/>
    </row>
    <row r="7" spans="2:14" ht="20.100000000000001" hidden="1" customHeight="1" thickBot="1" x14ac:dyDescent="0.3">
      <c r="B7" s="179"/>
      <c r="C7" s="126" t="s">
        <v>47</v>
      </c>
      <c r="D7" s="66"/>
      <c r="E7" s="66"/>
      <c r="F7" s="67"/>
      <c r="G7" s="73"/>
      <c r="L7" s="162" t="s">
        <v>16</v>
      </c>
      <c r="M7" s="162" t="s">
        <v>17</v>
      </c>
      <c r="N7" s="162" t="s">
        <v>18</v>
      </c>
    </row>
    <row r="8" spans="2:14" ht="20.100000000000001" hidden="1" customHeight="1" thickBot="1" x14ac:dyDescent="0.3">
      <c r="G8" s="1"/>
      <c r="L8" s="163"/>
      <c r="M8" s="163"/>
      <c r="N8" s="163"/>
    </row>
    <row r="9" spans="2:14" ht="20.100000000000001" customHeight="1" x14ac:dyDescent="0.25">
      <c r="B9" s="149" t="s">
        <v>41</v>
      </c>
      <c r="C9" s="132" t="s">
        <v>42</v>
      </c>
      <c r="D9" s="62"/>
      <c r="E9" s="120"/>
      <c r="F9" s="9"/>
      <c r="G9" s="9"/>
      <c r="L9" s="163"/>
      <c r="M9" s="163"/>
      <c r="N9" s="163"/>
    </row>
    <row r="10" spans="2:14" ht="20.100000000000001" customHeight="1" x14ac:dyDescent="0.25">
      <c r="B10" s="151" t="s">
        <v>43</v>
      </c>
      <c r="C10" s="133" t="s">
        <v>44</v>
      </c>
      <c r="D10" s="9"/>
      <c r="E10" s="122"/>
      <c r="F10" s="9"/>
      <c r="G10" s="9"/>
      <c r="L10" s="163"/>
      <c r="M10" s="163"/>
      <c r="N10" s="163"/>
    </row>
    <row r="11" spans="2:14" ht="20.100000000000001" customHeight="1" x14ac:dyDescent="0.25">
      <c r="B11" s="151" t="s">
        <v>7</v>
      </c>
      <c r="C11" s="145" t="s">
        <v>59</v>
      </c>
      <c r="D11" s="146"/>
      <c r="E11" s="147"/>
      <c r="F11" s="9"/>
      <c r="G11" s="9"/>
      <c r="L11" s="163"/>
      <c r="M11" s="163"/>
      <c r="N11" s="163"/>
    </row>
    <row r="12" spans="2:14" ht="20.100000000000001" customHeight="1" thickBot="1" x14ac:dyDescent="0.3">
      <c r="B12" s="150" t="s">
        <v>37</v>
      </c>
      <c r="C12" s="148" t="s">
        <v>11</v>
      </c>
      <c r="D12" s="143"/>
      <c r="E12" s="144"/>
      <c r="F12" s="9"/>
      <c r="G12" s="9"/>
      <c r="L12" s="163"/>
      <c r="M12" s="163"/>
      <c r="N12" s="163"/>
    </row>
    <row r="13" spans="2:14" ht="20.100000000000001" customHeight="1" thickBot="1" x14ac:dyDescent="0.3">
      <c r="L13" s="163"/>
      <c r="M13" s="163"/>
      <c r="N13" s="163"/>
    </row>
    <row r="14" spans="2:14" ht="33" customHeight="1" thickBot="1" x14ac:dyDescent="0.3">
      <c r="B14" s="79" t="s">
        <v>1</v>
      </c>
      <c r="C14" s="80" t="s">
        <v>12</v>
      </c>
      <c r="D14" s="80" t="s">
        <v>13</v>
      </c>
      <c r="E14" s="80" t="s">
        <v>0</v>
      </c>
      <c r="F14" s="80" t="s">
        <v>15</v>
      </c>
      <c r="G14" s="128" t="s">
        <v>39</v>
      </c>
      <c r="J14" s="82" t="s">
        <v>56</v>
      </c>
      <c r="L14" s="164"/>
      <c r="M14" s="164"/>
      <c r="N14" s="164"/>
    </row>
    <row r="15" spans="2:14" s="44" customFormat="1" ht="15" customHeight="1" x14ac:dyDescent="0.25">
      <c r="B15" s="109">
        <v>42675</v>
      </c>
      <c r="C15" s="89">
        <v>0.29166666666666669</v>
      </c>
      <c r="D15" s="89">
        <v>0.91666666666666663</v>
      </c>
      <c r="E15" s="89">
        <f t="shared" ref="E15:E31" si="0">D15-C15</f>
        <v>0.625</v>
      </c>
      <c r="F15" s="89">
        <v>0.15625</v>
      </c>
      <c r="G15" s="129">
        <f t="shared" ref="G15:G31" si="1">E15-F15</f>
        <v>0.46875</v>
      </c>
      <c r="H15" s="3"/>
      <c r="I15" s="3"/>
      <c r="J15" s="110" t="s">
        <v>53</v>
      </c>
      <c r="K15" s="83"/>
      <c r="L15" s="91"/>
      <c r="M15" s="92">
        <f t="shared" ref="M15:M45" si="2">G15</f>
        <v>0.46875</v>
      </c>
      <c r="N15" s="93">
        <f>IF(M15&lt;L15,TEXT((ABS(M15-L15)),"-hh:mm"),IF(M15=L15,"",M15-L15))</f>
        <v>0.46875</v>
      </c>
    </row>
    <row r="16" spans="2:14" s="44" customFormat="1" ht="15" customHeight="1" x14ac:dyDescent="0.25">
      <c r="B16" s="111">
        <f t="shared" ref="B16:B44" si="3">B15+1</f>
        <v>42676</v>
      </c>
      <c r="C16" s="94">
        <v>0.625</v>
      </c>
      <c r="D16" s="94">
        <v>0.79166666666666663</v>
      </c>
      <c r="E16" s="95">
        <f t="shared" si="0"/>
        <v>0.16666666666666663</v>
      </c>
      <c r="F16" s="94"/>
      <c r="G16" s="130">
        <f t="shared" si="1"/>
        <v>0.16666666666666663</v>
      </c>
      <c r="H16" s="3"/>
      <c r="I16" s="3"/>
      <c r="J16" s="110" t="s">
        <v>53</v>
      </c>
      <c r="K16" s="83"/>
      <c r="L16" s="97"/>
      <c r="M16" s="92">
        <f t="shared" si="2"/>
        <v>0.16666666666666663</v>
      </c>
      <c r="N16" s="93">
        <f t="shared" ref="N16:N45" si="4">IF(M16&lt;L16,TEXT((ABS(M16-L16)),"-hh:mm"),IF(M16=L16,"",M16-L16))</f>
        <v>0.16666666666666663</v>
      </c>
    </row>
    <row r="17" spans="2:16" s="44" customFormat="1" ht="15" customHeight="1" x14ac:dyDescent="0.25">
      <c r="B17" s="111">
        <f t="shared" si="3"/>
        <v>42677</v>
      </c>
      <c r="C17" s="89">
        <v>0.29166666666666669</v>
      </c>
      <c r="D17" s="89">
        <v>0.91666666666666663</v>
      </c>
      <c r="E17" s="95">
        <f t="shared" si="0"/>
        <v>0.625</v>
      </c>
      <c r="F17" s="94">
        <v>0.13541666666666666</v>
      </c>
      <c r="G17" s="130">
        <f t="shared" si="1"/>
        <v>0.48958333333333337</v>
      </c>
      <c r="H17" s="3"/>
      <c r="I17" s="3"/>
      <c r="J17" s="110" t="s">
        <v>53</v>
      </c>
      <c r="K17" s="83"/>
      <c r="L17" s="97"/>
      <c r="M17" s="92">
        <f t="shared" si="2"/>
        <v>0.48958333333333337</v>
      </c>
      <c r="N17" s="93">
        <f t="shared" si="4"/>
        <v>0.48958333333333337</v>
      </c>
    </row>
    <row r="18" spans="2:16" s="44" customFormat="1" ht="15" customHeight="1" x14ac:dyDescent="0.25">
      <c r="B18" s="111">
        <f t="shared" si="3"/>
        <v>42678</v>
      </c>
      <c r="C18" s="94">
        <v>0.625</v>
      </c>
      <c r="D18" s="94">
        <v>0.875</v>
      </c>
      <c r="E18" s="95">
        <f t="shared" si="0"/>
        <v>0.25</v>
      </c>
      <c r="F18" s="94"/>
      <c r="G18" s="130">
        <f t="shared" si="1"/>
        <v>0.25</v>
      </c>
      <c r="H18" s="3"/>
      <c r="I18" s="3"/>
      <c r="J18" s="112"/>
      <c r="K18" s="83"/>
      <c r="L18" s="97"/>
      <c r="M18" s="92">
        <f t="shared" si="2"/>
        <v>0.25</v>
      </c>
      <c r="N18" s="93">
        <f t="shared" si="4"/>
        <v>0.25</v>
      </c>
    </row>
    <row r="19" spans="2:16" s="44" customFormat="1" ht="15" customHeight="1" x14ac:dyDescent="0.25">
      <c r="B19" s="118">
        <f t="shared" si="3"/>
        <v>42679</v>
      </c>
      <c r="C19" s="94"/>
      <c r="D19" s="95"/>
      <c r="E19" s="95">
        <f t="shared" si="0"/>
        <v>0</v>
      </c>
      <c r="F19" s="94"/>
      <c r="G19" s="130">
        <f t="shared" si="1"/>
        <v>0</v>
      </c>
      <c r="H19" s="3"/>
      <c r="I19" s="3"/>
      <c r="J19" s="112" t="s">
        <v>54</v>
      </c>
      <c r="K19" s="83"/>
      <c r="L19" s="97"/>
      <c r="M19" s="92">
        <f t="shared" si="2"/>
        <v>0</v>
      </c>
      <c r="N19" s="93" t="str">
        <f t="shared" si="4"/>
        <v/>
      </c>
    </row>
    <row r="20" spans="2:16" s="44" customFormat="1" ht="15" customHeight="1" x14ac:dyDescent="0.25">
      <c r="B20" s="118">
        <f t="shared" si="3"/>
        <v>42680</v>
      </c>
      <c r="C20" s="95"/>
      <c r="D20" s="95"/>
      <c r="E20" s="95">
        <f t="shared" si="0"/>
        <v>0</v>
      </c>
      <c r="F20" s="94"/>
      <c r="G20" s="130">
        <f t="shared" si="1"/>
        <v>0</v>
      </c>
      <c r="H20" s="3"/>
      <c r="I20" s="3"/>
      <c r="J20" s="112" t="s">
        <v>54</v>
      </c>
      <c r="K20" s="83"/>
      <c r="L20" s="97">
        <v>0.33333333333333331</v>
      </c>
      <c r="M20" s="92">
        <f t="shared" si="2"/>
        <v>0</v>
      </c>
      <c r="N20" s="93" t="str">
        <f t="shared" si="4"/>
        <v>-08:00</v>
      </c>
      <c r="O20" s="98"/>
    </row>
    <row r="21" spans="2:16" s="44" customFormat="1" ht="15" customHeight="1" x14ac:dyDescent="0.25">
      <c r="B21" s="111">
        <f t="shared" si="3"/>
        <v>42681</v>
      </c>
      <c r="C21" s="95">
        <v>0.58333333333333337</v>
      </c>
      <c r="D21" s="95">
        <v>0.86458333333333337</v>
      </c>
      <c r="E21" s="95">
        <f t="shared" si="0"/>
        <v>0.28125</v>
      </c>
      <c r="F21" s="94"/>
      <c r="G21" s="130">
        <f t="shared" si="1"/>
        <v>0.28125</v>
      </c>
      <c r="H21" s="3"/>
      <c r="I21" s="3"/>
      <c r="J21" s="112" t="s">
        <v>54</v>
      </c>
      <c r="K21" s="83"/>
      <c r="L21" s="97">
        <v>0.33333333333333331</v>
      </c>
      <c r="M21" s="92">
        <f t="shared" si="2"/>
        <v>0.28125</v>
      </c>
      <c r="N21" s="93" t="str">
        <f t="shared" si="4"/>
        <v>-01:15</v>
      </c>
      <c r="O21" s="98"/>
    </row>
    <row r="22" spans="2:16" s="44" customFormat="1" ht="15" customHeight="1" x14ac:dyDescent="0.25">
      <c r="B22" s="111">
        <f t="shared" si="3"/>
        <v>42682</v>
      </c>
      <c r="C22" s="95">
        <v>0.58333333333333337</v>
      </c>
      <c r="D22" s="95">
        <v>0.79166666666666663</v>
      </c>
      <c r="E22" s="95">
        <f t="shared" si="0"/>
        <v>0.20833333333333326</v>
      </c>
      <c r="F22" s="95"/>
      <c r="G22" s="130">
        <f t="shared" si="1"/>
        <v>0.20833333333333326</v>
      </c>
      <c r="H22" s="3"/>
      <c r="I22" s="3"/>
      <c r="J22" s="112" t="s">
        <v>54</v>
      </c>
      <c r="K22" s="83"/>
      <c r="L22" s="97"/>
      <c r="M22" s="92">
        <f t="shared" si="2"/>
        <v>0.20833333333333326</v>
      </c>
      <c r="N22" s="93">
        <f t="shared" si="4"/>
        <v>0.20833333333333326</v>
      </c>
      <c r="O22" s="98"/>
    </row>
    <row r="23" spans="2:16" s="44" customFormat="1" ht="15" customHeight="1" x14ac:dyDescent="0.25">
      <c r="B23" s="111">
        <f t="shared" si="3"/>
        <v>42683</v>
      </c>
      <c r="C23" s="94">
        <v>0.625</v>
      </c>
      <c r="D23" s="94">
        <v>0.875</v>
      </c>
      <c r="E23" s="95">
        <f t="shared" si="0"/>
        <v>0.25</v>
      </c>
      <c r="F23" s="95"/>
      <c r="G23" s="130">
        <f t="shared" si="1"/>
        <v>0.25</v>
      </c>
      <c r="H23" s="3"/>
      <c r="I23" s="3"/>
      <c r="J23" s="112" t="s">
        <v>54</v>
      </c>
      <c r="K23" s="83"/>
      <c r="L23" s="97"/>
      <c r="M23" s="92">
        <f t="shared" si="2"/>
        <v>0.25</v>
      </c>
      <c r="N23" s="93">
        <f t="shared" si="4"/>
        <v>0.25</v>
      </c>
      <c r="O23" s="98"/>
    </row>
    <row r="24" spans="2:16" s="44" customFormat="1" ht="15" customHeight="1" x14ac:dyDescent="0.25">
      <c r="B24" s="111">
        <f t="shared" si="3"/>
        <v>42684</v>
      </c>
      <c r="C24" s="94">
        <v>0.625</v>
      </c>
      <c r="D24" s="94">
        <v>0.875</v>
      </c>
      <c r="E24" s="95">
        <f t="shared" si="0"/>
        <v>0.25</v>
      </c>
      <c r="F24" s="94"/>
      <c r="G24" s="130">
        <f t="shared" si="1"/>
        <v>0.25</v>
      </c>
      <c r="H24" s="3"/>
      <c r="I24" s="3"/>
      <c r="J24" s="112"/>
      <c r="K24" s="83"/>
      <c r="L24" s="97"/>
      <c r="M24" s="92">
        <f t="shared" si="2"/>
        <v>0.25</v>
      </c>
      <c r="N24" s="93">
        <f t="shared" si="4"/>
        <v>0.25</v>
      </c>
      <c r="O24" s="98"/>
    </row>
    <row r="25" spans="2:16" s="44" customFormat="1" ht="15" customHeight="1" x14ac:dyDescent="0.25">
      <c r="B25" s="111">
        <f t="shared" si="3"/>
        <v>42685</v>
      </c>
      <c r="C25" s="94">
        <v>0.58333333333333337</v>
      </c>
      <c r="D25" s="94">
        <v>0.85069444444444453</v>
      </c>
      <c r="E25" s="95">
        <f t="shared" si="0"/>
        <v>0.26736111111111116</v>
      </c>
      <c r="F25" s="94"/>
      <c r="G25" s="130">
        <f t="shared" si="1"/>
        <v>0.26736111111111116</v>
      </c>
      <c r="H25" s="3"/>
      <c r="I25" s="3"/>
      <c r="J25" s="112"/>
      <c r="K25" s="83"/>
      <c r="L25" s="97"/>
      <c r="M25" s="92">
        <f t="shared" si="2"/>
        <v>0.26736111111111116</v>
      </c>
      <c r="N25" s="93">
        <f t="shared" si="4"/>
        <v>0.26736111111111116</v>
      </c>
      <c r="O25" s="98"/>
    </row>
    <row r="26" spans="2:16" s="44" customFormat="1" ht="15" customHeight="1" x14ac:dyDescent="0.25">
      <c r="B26" s="118">
        <f t="shared" si="3"/>
        <v>42686</v>
      </c>
      <c r="C26" s="95"/>
      <c r="D26" s="95"/>
      <c r="E26" s="95">
        <f t="shared" si="0"/>
        <v>0</v>
      </c>
      <c r="F26" s="95"/>
      <c r="G26" s="130">
        <f t="shared" si="1"/>
        <v>0</v>
      </c>
      <c r="H26" s="3"/>
      <c r="I26" s="3"/>
      <c r="J26" s="112" t="s">
        <v>55</v>
      </c>
      <c r="K26" s="83"/>
      <c r="L26" s="97"/>
      <c r="M26" s="92">
        <f t="shared" si="2"/>
        <v>0</v>
      </c>
      <c r="N26" s="93" t="str">
        <f t="shared" si="4"/>
        <v/>
      </c>
      <c r="O26" s="98"/>
    </row>
    <row r="27" spans="2:16" s="44" customFormat="1" ht="15" customHeight="1" x14ac:dyDescent="0.25">
      <c r="B27" s="118">
        <f t="shared" si="3"/>
        <v>42687</v>
      </c>
      <c r="C27" s="94"/>
      <c r="D27" s="95"/>
      <c r="E27" s="95">
        <f t="shared" si="0"/>
        <v>0</v>
      </c>
      <c r="F27" s="94"/>
      <c r="G27" s="130">
        <f t="shared" si="1"/>
        <v>0</v>
      </c>
      <c r="H27" s="3"/>
      <c r="I27" s="3"/>
      <c r="J27" s="112" t="s">
        <v>55</v>
      </c>
      <c r="K27" s="83"/>
      <c r="L27" s="97">
        <v>0.33333333333333331</v>
      </c>
      <c r="M27" s="92">
        <f t="shared" si="2"/>
        <v>0</v>
      </c>
      <c r="N27" s="93" t="str">
        <f t="shared" si="4"/>
        <v>-08:00</v>
      </c>
      <c r="O27" s="98"/>
      <c r="P27" s="99"/>
    </row>
    <row r="28" spans="2:16" s="44" customFormat="1" ht="15" customHeight="1" x14ac:dyDescent="0.25">
      <c r="B28" s="111">
        <f t="shared" si="3"/>
        <v>42688</v>
      </c>
      <c r="C28" s="94">
        <v>0.625</v>
      </c>
      <c r="D28" s="94">
        <v>0.875</v>
      </c>
      <c r="E28" s="95">
        <f t="shared" si="0"/>
        <v>0.25</v>
      </c>
      <c r="F28" s="94"/>
      <c r="G28" s="130">
        <f t="shared" si="1"/>
        <v>0.25</v>
      </c>
      <c r="H28" s="3"/>
      <c r="I28" s="3"/>
      <c r="J28" s="112" t="s">
        <v>55</v>
      </c>
      <c r="K28" s="83"/>
      <c r="L28" s="97">
        <v>0.33333333333333331</v>
      </c>
      <c r="M28" s="92">
        <f t="shared" si="2"/>
        <v>0.25</v>
      </c>
      <c r="N28" s="93" t="str">
        <f t="shared" si="4"/>
        <v>-02:00</v>
      </c>
      <c r="O28" s="98"/>
      <c r="P28" s="99"/>
    </row>
    <row r="29" spans="2:16" s="44" customFormat="1" ht="15" customHeight="1" x14ac:dyDescent="0.25">
      <c r="B29" s="111">
        <f t="shared" si="3"/>
        <v>42689</v>
      </c>
      <c r="C29" s="95">
        <v>0.66666666666666663</v>
      </c>
      <c r="D29" s="95">
        <v>0.83333333333333337</v>
      </c>
      <c r="E29" s="95">
        <f t="shared" si="0"/>
        <v>0.16666666666666674</v>
      </c>
      <c r="F29" s="95"/>
      <c r="G29" s="130">
        <f t="shared" si="1"/>
        <v>0.16666666666666674</v>
      </c>
      <c r="H29" s="3"/>
      <c r="I29" s="3"/>
      <c r="J29" s="112" t="s">
        <v>55</v>
      </c>
      <c r="K29" s="83"/>
      <c r="L29" s="97">
        <v>0.33333333333333331</v>
      </c>
      <c r="M29" s="92">
        <f t="shared" si="2"/>
        <v>0.16666666666666674</v>
      </c>
      <c r="N29" s="93" t="str">
        <f t="shared" si="4"/>
        <v>-04:00</v>
      </c>
      <c r="O29" s="98"/>
      <c r="P29" s="99"/>
    </row>
    <row r="30" spans="2:16" s="44" customFormat="1" ht="15" customHeight="1" x14ac:dyDescent="0.25">
      <c r="B30" s="111">
        <f t="shared" si="3"/>
        <v>42690</v>
      </c>
      <c r="C30" s="95">
        <v>0.66666666666666663</v>
      </c>
      <c r="D30" s="95">
        <v>0.83333333333333337</v>
      </c>
      <c r="E30" s="95">
        <f t="shared" si="0"/>
        <v>0.16666666666666674</v>
      </c>
      <c r="F30" s="95"/>
      <c r="G30" s="130">
        <f t="shared" si="1"/>
        <v>0.16666666666666674</v>
      </c>
      <c r="H30" s="3"/>
      <c r="I30" s="3"/>
      <c r="J30" s="112" t="s">
        <v>55</v>
      </c>
      <c r="K30" s="83"/>
      <c r="L30" s="97">
        <v>0.33333333333333331</v>
      </c>
      <c r="M30" s="92">
        <f t="shared" si="2"/>
        <v>0.16666666666666674</v>
      </c>
      <c r="N30" s="93" t="str">
        <f t="shared" si="4"/>
        <v>-04:00</v>
      </c>
      <c r="O30" s="98"/>
      <c r="P30" s="99"/>
    </row>
    <row r="31" spans="2:16" s="44" customFormat="1" ht="15" customHeight="1" x14ac:dyDescent="0.25">
      <c r="B31" s="111">
        <f t="shared" si="3"/>
        <v>42691</v>
      </c>
      <c r="C31" s="89">
        <v>0.29166666666666669</v>
      </c>
      <c r="D31" s="89">
        <v>0.91666666666666663</v>
      </c>
      <c r="E31" s="95">
        <f t="shared" si="0"/>
        <v>0.625</v>
      </c>
      <c r="F31" s="94">
        <v>0.15972222222222224</v>
      </c>
      <c r="G31" s="130">
        <f t="shared" si="1"/>
        <v>0.46527777777777779</v>
      </c>
      <c r="H31" s="3"/>
      <c r="I31" s="3"/>
      <c r="J31" s="112"/>
      <c r="K31" s="83"/>
      <c r="L31" s="97"/>
      <c r="M31" s="92">
        <f t="shared" si="2"/>
        <v>0.46527777777777779</v>
      </c>
      <c r="N31" s="93">
        <f t="shared" si="4"/>
        <v>0.46527777777777779</v>
      </c>
      <c r="O31" s="98"/>
      <c r="P31" s="99"/>
    </row>
    <row r="32" spans="2:16" s="44" customFormat="1" ht="15" customHeight="1" x14ac:dyDescent="0.25">
      <c r="B32" s="111">
        <f t="shared" si="3"/>
        <v>42692</v>
      </c>
      <c r="C32" s="95">
        <v>0.66666666666666663</v>
      </c>
      <c r="D32" s="95">
        <v>0.83333333333333337</v>
      </c>
      <c r="E32" s="95">
        <f>D32-C32</f>
        <v>0.16666666666666674</v>
      </c>
      <c r="F32" s="94"/>
      <c r="G32" s="130">
        <f>E32-F32</f>
        <v>0.16666666666666674</v>
      </c>
      <c r="H32" s="3"/>
      <c r="I32" s="3"/>
      <c r="J32" s="112"/>
      <c r="K32" s="83"/>
      <c r="L32" s="97"/>
      <c r="M32" s="92">
        <f t="shared" si="2"/>
        <v>0.16666666666666674</v>
      </c>
      <c r="N32" s="93">
        <f t="shared" si="4"/>
        <v>0.16666666666666674</v>
      </c>
      <c r="O32" s="98"/>
      <c r="P32" s="99"/>
    </row>
    <row r="33" spans="2:16" s="44" customFormat="1" ht="15" customHeight="1" x14ac:dyDescent="0.25">
      <c r="B33" s="118">
        <f t="shared" si="3"/>
        <v>42693</v>
      </c>
      <c r="C33" s="95"/>
      <c r="D33" s="95"/>
      <c r="E33" s="95">
        <f>D33-C33</f>
        <v>0</v>
      </c>
      <c r="F33" s="94"/>
      <c r="G33" s="130">
        <f>E33-F33</f>
        <v>0</v>
      </c>
      <c r="H33" s="3"/>
      <c r="I33" s="3"/>
      <c r="J33" s="112" t="s">
        <v>55</v>
      </c>
      <c r="K33" s="83"/>
      <c r="L33" s="97"/>
      <c r="M33" s="92">
        <f t="shared" si="2"/>
        <v>0</v>
      </c>
      <c r="N33" s="93" t="str">
        <f t="shared" si="4"/>
        <v/>
      </c>
      <c r="O33" s="98"/>
      <c r="P33" s="99"/>
    </row>
    <row r="34" spans="2:16" s="44" customFormat="1" ht="15" customHeight="1" x14ac:dyDescent="0.25">
      <c r="B34" s="118">
        <f t="shared" si="3"/>
        <v>42694</v>
      </c>
      <c r="C34" s="95"/>
      <c r="D34" s="95"/>
      <c r="E34" s="95">
        <f t="shared" ref="E34:E44" si="5">D34-C34</f>
        <v>0</v>
      </c>
      <c r="F34" s="94"/>
      <c r="G34" s="130">
        <f t="shared" ref="G34:G44" si="6">E34-F34</f>
        <v>0</v>
      </c>
      <c r="H34" s="3"/>
      <c r="I34" s="3"/>
      <c r="J34" s="112" t="s">
        <v>55</v>
      </c>
      <c r="K34" s="83"/>
      <c r="L34" s="97">
        <v>0.33333333333333331</v>
      </c>
      <c r="M34" s="92">
        <f t="shared" si="2"/>
        <v>0</v>
      </c>
      <c r="N34" s="93" t="str">
        <f t="shared" si="4"/>
        <v>-08:00</v>
      </c>
      <c r="O34" s="98"/>
      <c r="P34" s="99"/>
    </row>
    <row r="35" spans="2:16" s="44" customFormat="1" ht="15" customHeight="1" x14ac:dyDescent="0.25">
      <c r="B35" s="111">
        <f t="shared" si="3"/>
        <v>42695</v>
      </c>
      <c r="C35" s="95">
        <v>0.66666666666666663</v>
      </c>
      <c r="D35" s="95">
        <v>0.83333333333333337</v>
      </c>
      <c r="E35" s="95">
        <f t="shared" si="5"/>
        <v>0.16666666666666674</v>
      </c>
      <c r="F35" s="94"/>
      <c r="G35" s="130">
        <f t="shared" si="6"/>
        <v>0.16666666666666674</v>
      </c>
      <c r="H35" s="3"/>
      <c r="I35" s="3"/>
      <c r="J35" s="112" t="s">
        <v>55</v>
      </c>
      <c r="K35" s="83"/>
      <c r="L35" s="97">
        <v>0.33333333333333331</v>
      </c>
      <c r="M35" s="92">
        <f t="shared" si="2"/>
        <v>0.16666666666666674</v>
      </c>
      <c r="N35" s="93" t="str">
        <f t="shared" si="4"/>
        <v>-04:00</v>
      </c>
      <c r="O35" s="98"/>
      <c r="P35" s="99"/>
    </row>
    <row r="36" spans="2:16" s="44" customFormat="1" ht="15" customHeight="1" x14ac:dyDescent="0.25">
      <c r="B36" s="111">
        <f t="shared" si="3"/>
        <v>42696</v>
      </c>
      <c r="C36" s="95">
        <v>0.375</v>
      </c>
      <c r="D36" s="95">
        <v>0.81944444444444453</v>
      </c>
      <c r="E36" s="95">
        <f t="shared" si="5"/>
        <v>0.44444444444444453</v>
      </c>
      <c r="F36" s="95">
        <v>4.1666666666666664E-2</v>
      </c>
      <c r="G36" s="130">
        <f t="shared" si="6"/>
        <v>0.40277777777777785</v>
      </c>
      <c r="H36" s="3"/>
      <c r="I36" s="3"/>
      <c r="J36" s="112" t="s">
        <v>55</v>
      </c>
      <c r="K36" s="83"/>
      <c r="L36" s="97">
        <v>0.33333333333333331</v>
      </c>
      <c r="M36" s="92">
        <f t="shared" si="2"/>
        <v>0.40277777777777785</v>
      </c>
      <c r="N36" s="93">
        <f t="shared" si="4"/>
        <v>6.9444444444444531E-2</v>
      </c>
      <c r="O36" s="98"/>
    </row>
    <row r="37" spans="2:16" s="44" customFormat="1" ht="15" customHeight="1" x14ac:dyDescent="0.25">
      <c r="B37" s="111">
        <f t="shared" si="3"/>
        <v>42697</v>
      </c>
      <c r="C37" s="95">
        <v>0.66666666666666663</v>
      </c>
      <c r="D37" s="95">
        <v>0.91666666666666663</v>
      </c>
      <c r="E37" s="95">
        <f t="shared" si="5"/>
        <v>0.25</v>
      </c>
      <c r="F37" s="95"/>
      <c r="G37" s="130">
        <f t="shared" si="6"/>
        <v>0.25</v>
      </c>
      <c r="H37" s="3"/>
      <c r="I37" s="3"/>
      <c r="J37" s="112" t="s">
        <v>55</v>
      </c>
      <c r="K37" s="83"/>
      <c r="L37" s="97">
        <v>0.33333333333333331</v>
      </c>
      <c r="M37" s="92">
        <f t="shared" si="2"/>
        <v>0.25</v>
      </c>
      <c r="N37" s="93" t="str">
        <f t="shared" si="4"/>
        <v>-02:00</v>
      </c>
      <c r="O37" s="98"/>
    </row>
    <row r="38" spans="2:16" s="44" customFormat="1" ht="15" customHeight="1" x14ac:dyDescent="0.25">
      <c r="B38" s="111">
        <f t="shared" si="3"/>
        <v>42698</v>
      </c>
      <c r="C38" s="95">
        <v>0.66666666666666663</v>
      </c>
      <c r="D38" s="95">
        <v>0.91666666666666663</v>
      </c>
      <c r="E38" s="95">
        <f t="shared" si="5"/>
        <v>0.25</v>
      </c>
      <c r="F38" s="94"/>
      <c r="G38" s="130">
        <f t="shared" si="6"/>
        <v>0.25</v>
      </c>
      <c r="H38" s="3"/>
      <c r="I38" s="3"/>
      <c r="J38" s="112"/>
      <c r="K38" s="83"/>
      <c r="L38" s="97">
        <v>0</v>
      </c>
      <c r="M38" s="92">
        <f t="shared" si="2"/>
        <v>0.25</v>
      </c>
      <c r="N38" s="93">
        <f t="shared" si="4"/>
        <v>0.25</v>
      </c>
      <c r="O38" s="98"/>
    </row>
    <row r="39" spans="2:16" s="44" customFormat="1" ht="15" customHeight="1" x14ac:dyDescent="0.25">
      <c r="B39" s="111">
        <f t="shared" si="3"/>
        <v>42699</v>
      </c>
      <c r="C39" s="95">
        <v>0.66666666666666663</v>
      </c>
      <c r="D39" s="95">
        <v>0.91666666666666663</v>
      </c>
      <c r="E39" s="95">
        <f t="shared" si="5"/>
        <v>0.25</v>
      </c>
      <c r="F39" s="94"/>
      <c r="G39" s="130">
        <f t="shared" si="6"/>
        <v>0.25</v>
      </c>
      <c r="H39" s="3"/>
      <c r="I39" s="3"/>
      <c r="J39" s="112"/>
      <c r="K39" s="83"/>
      <c r="L39" s="97"/>
      <c r="M39" s="92">
        <f t="shared" si="2"/>
        <v>0.25</v>
      </c>
      <c r="N39" s="93">
        <f t="shared" si="4"/>
        <v>0.25</v>
      </c>
      <c r="O39" s="98"/>
    </row>
    <row r="40" spans="2:16" s="44" customFormat="1" ht="15" customHeight="1" x14ac:dyDescent="0.25">
      <c r="B40" s="118">
        <f t="shared" si="3"/>
        <v>42700</v>
      </c>
      <c r="C40" s="94"/>
      <c r="D40" s="95"/>
      <c r="E40" s="95">
        <f t="shared" si="5"/>
        <v>0</v>
      </c>
      <c r="F40" s="94"/>
      <c r="G40" s="130">
        <f t="shared" si="6"/>
        <v>0</v>
      </c>
      <c r="H40" s="3"/>
      <c r="I40" s="3"/>
      <c r="J40" s="112" t="s">
        <v>55</v>
      </c>
      <c r="K40" s="83"/>
      <c r="L40" s="97"/>
      <c r="M40" s="92">
        <f t="shared" si="2"/>
        <v>0</v>
      </c>
      <c r="N40" s="93" t="str">
        <f t="shared" si="4"/>
        <v/>
      </c>
      <c r="O40" s="98"/>
    </row>
    <row r="41" spans="2:16" s="44" customFormat="1" ht="15" customHeight="1" x14ac:dyDescent="0.25">
      <c r="B41" s="118">
        <f t="shared" si="3"/>
        <v>42701</v>
      </c>
      <c r="C41" s="94"/>
      <c r="D41" s="95"/>
      <c r="E41" s="95">
        <f t="shared" si="5"/>
        <v>0</v>
      </c>
      <c r="F41" s="94"/>
      <c r="G41" s="130">
        <f t="shared" si="6"/>
        <v>0</v>
      </c>
      <c r="H41" s="3"/>
      <c r="I41" s="3"/>
      <c r="J41" s="112" t="s">
        <v>55</v>
      </c>
      <c r="K41" s="83"/>
      <c r="L41" s="97">
        <v>0.33333333333333331</v>
      </c>
      <c r="M41" s="92">
        <f t="shared" si="2"/>
        <v>0</v>
      </c>
      <c r="N41" s="93" t="str">
        <f t="shared" si="4"/>
        <v>-08:00</v>
      </c>
      <c r="O41" s="98"/>
    </row>
    <row r="42" spans="2:16" s="44" customFormat="1" ht="15" customHeight="1" x14ac:dyDescent="0.25">
      <c r="B42" s="111">
        <f t="shared" si="3"/>
        <v>42702</v>
      </c>
      <c r="C42" s="95">
        <v>0.66666666666666663</v>
      </c>
      <c r="D42" s="95">
        <v>0.91666666666666663</v>
      </c>
      <c r="E42" s="95">
        <f t="shared" si="5"/>
        <v>0.25</v>
      </c>
      <c r="F42" s="94"/>
      <c r="G42" s="130">
        <f t="shared" si="6"/>
        <v>0.25</v>
      </c>
      <c r="H42" s="3"/>
      <c r="I42" s="3"/>
      <c r="J42" s="112" t="s">
        <v>55</v>
      </c>
      <c r="K42" s="83"/>
      <c r="L42" s="97">
        <v>0.33333333333333331</v>
      </c>
      <c r="M42" s="92">
        <f t="shared" si="2"/>
        <v>0.25</v>
      </c>
      <c r="N42" s="93" t="str">
        <f t="shared" si="4"/>
        <v>-02:00</v>
      </c>
      <c r="O42" s="98"/>
    </row>
    <row r="43" spans="2:16" s="44" customFormat="1" ht="15" customHeight="1" x14ac:dyDescent="0.25">
      <c r="B43" s="111">
        <f t="shared" si="3"/>
        <v>42703</v>
      </c>
      <c r="C43" s="95">
        <v>0.66666666666666663</v>
      </c>
      <c r="D43" s="95">
        <v>0.91666666666666663</v>
      </c>
      <c r="E43" s="95">
        <f t="shared" si="5"/>
        <v>0.25</v>
      </c>
      <c r="F43" s="95"/>
      <c r="G43" s="130">
        <f t="shared" si="6"/>
        <v>0.25</v>
      </c>
      <c r="H43" s="3"/>
      <c r="I43" s="3"/>
      <c r="J43" s="112" t="s">
        <v>55</v>
      </c>
      <c r="K43" s="83"/>
      <c r="L43" s="97">
        <v>0.33333333333333331</v>
      </c>
      <c r="M43" s="92">
        <f t="shared" si="2"/>
        <v>0.25</v>
      </c>
      <c r="N43" s="93" t="str">
        <f t="shared" si="4"/>
        <v>-02:00</v>
      </c>
      <c r="O43" s="98"/>
    </row>
    <row r="44" spans="2:16" s="44" customFormat="1" ht="15" customHeight="1" x14ac:dyDescent="0.25">
      <c r="B44" s="111">
        <f t="shared" si="3"/>
        <v>42704</v>
      </c>
      <c r="C44" s="95">
        <v>0.66666666666666663</v>
      </c>
      <c r="D44" s="95">
        <v>0.91666666666666663</v>
      </c>
      <c r="E44" s="95">
        <f t="shared" si="5"/>
        <v>0.25</v>
      </c>
      <c r="F44" s="95"/>
      <c r="G44" s="130">
        <f t="shared" si="6"/>
        <v>0.25</v>
      </c>
      <c r="H44" s="3"/>
      <c r="I44" s="3"/>
      <c r="J44" s="112" t="s">
        <v>55</v>
      </c>
      <c r="K44" s="83"/>
      <c r="L44" s="97">
        <v>0.33333333333333331</v>
      </c>
      <c r="M44" s="92">
        <f t="shared" si="2"/>
        <v>0.25</v>
      </c>
      <c r="N44" s="93" t="str">
        <f t="shared" si="4"/>
        <v>-02:00</v>
      </c>
      <c r="O44" s="98"/>
    </row>
    <row r="45" spans="2:16" s="44" customFormat="1" ht="15" customHeight="1" thickBot="1" x14ac:dyDescent="0.3">
      <c r="B45" s="114"/>
      <c r="C45" s="95"/>
      <c r="D45" s="95"/>
      <c r="E45" s="95"/>
      <c r="F45" s="94"/>
      <c r="G45" s="130"/>
      <c r="H45" s="3"/>
      <c r="I45" s="3"/>
      <c r="J45" s="115"/>
      <c r="K45" s="83"/>
      <c r="L45" s="102"/>
      <c r="M45" s="103">
        <f t="shared" si="2"/>
        <v>0</v>
      </c>
      <c r="N45" s="104" t="str">
        <f t="shared" si="4"/>
        <v/>
      </c>
      <c r="O45" s="98"/>
    </row>
    <row r="46" spans="2:16" s="30" customFormat="1" ht="24.95" customHeight="1" thickBot="1" x14ac:dyDescent="0.3">
      <c r="B46" s="85" t="s">
        <v>2</v>
      </c>
      <c r="C46" s="80"/>
      <c r="D46" s="80"/>
      <c r="E46" s="86"/>
      <c r="F46" s="87"/>
      <c r="G46" s="134">
        <f>SUM(G15:G45)</f>
        <v>5.916666666666667</v>
      </c>
      <c r="H46" s="3"/>
      <c r="I46" s="140"/>
      <c r="J46" s="88"/>
      <c r="K46" s="83"/>
      <c r="L46" s="84">
        <f>SUM(L15:L45)</f>
        <v>4.6666666666666661</v>
      </c>
      <c r="M46" s="84">
        <f>SUM(M15:M45)</f>
        <v>5.916666666666667</v>
      </c>
      <c r="N46" s="84">
        <f>IF(M46&lt;L46,TEXT((ABS(M46-L46)),"-[h]:mm"),IF(M46=L46,"",M46-L46))</f>
        <v>1.2500000000000009</v>
      </c>
    </row>
    <row r="47" spans="2:16" ht="20.100000000000001" customHeight="1" thickBot="1" x14ac:dyDescent="0.3">
      <c r="I47" s="141"/>
      <c r="L47" s="20"/>
    </row>
    <row r="48" spans="2:16" ht="15" customHeight="1" x14ac:dyDescent="0.25">
      <c r="B48" s="178" t="s">
        <v>5</v>
      </c>
      <c r="C48" s="180" t="s">
        <v>48</v>
      </c>
      <c r="D48" s="170"/>
      <c r="E48" s="62"/>
      <c r="F48" s="63"/>
      <c r="G48" s="72"/>
      <c r="I48" s="141"/>
    </row>
    <row r="49" spans="2:9" ht="15" customHeight="1" thickBot="1" x14ac:dyDescent="0.3">
      <c r="B49" s="179"/>
      <c r="C49" s="181"/>
      <c r="D49" s="171"/>
      <c r="E49" s="9"/>
      <c r="F49" s="7"/>
      <c r="G49" s="75"/>
      <c r="I49" s="142"/>
    </row>
    <row r="50" spans="2:9" ht="17.100000000000001" customHeight="1" x14ac:dyDescent="0.25">
      <c r="B50" s="182" t="s">
        <v>45</v>
      </c>
      <c r="C50" s="125" t="s">
        <v>46</v>
      </c>
      <c r="D50" s="9"/>
      <c r="E50" s="9"/>
      <c r="F50" s="7"/>
      <c r="G50" s="75"/>
    </row>
    <row r="51" spans="2:9" ht="17.100000000000001" customHeight="1" thickBot="1" x14ac:dyDescent="0.3">
      <c r="B51" s="179"/>
      <c r="C51" s="126" t="s">
        <v>47</v>
      </c>
      <c r="D51" s="66"/>
      <c r="E51" s="66"/>
      <c r="F51" s="67"/>
      <c r="G51" s="73"/>
    </row>
    <row r="52" spans="2:9" ht="20.100000000000001" customHeight="1" thickBot="1" x14ac:dyDescent="0.3"/>
    <row r="53" spans="2:9" ht="15" customHeight="1" x14ac:dyDescent="0.25">
      <c r="C53" s="172" t="s">
        <v>50</v>
      </c>
      <c r="D53" s="173"/>
      <c r="E53" s="173"/>
      <c r="F53" s="173"/>
      <c r="G53" s="174"/>
    </row>
    <row r="54" spans="2:9" x14ac:dyDescent="0.25">
      <c r="C54" s="175"/>
      <c r="D54" s="176"/>
      <c r="E54" s="176"/>
      <c r="F54" s="176"/>
      <c r="G54" s="177"/>
    </row>
    <row r="55" spans="2:9" ht="39.950000000000003" customHeight="1" thickBot="1" x14ac:dyDescent="0.3">
      <c r="C55" s="127" t="s">
        <v>57</v>
      </c>
      <c r="D55" s="67"/>
      <c r="E55" s="67"/>
      <c r="F55" s="67"/>
      <c r="G55" s="68"/>
    </row>
    <row r="56" spans="2:9" x14ac:dyDescent="0.25">
      <c r="G56" s="1"/>
    </row>
  </sheetData>
  <mergeCells count="11">
    <mergeCell ref="B2:G2"/>
    <mergeCell ref="B4:B5"/>
    <mergeCell ref="C4:D5"/>
    <mergeCell ref="B6:B7"/>
    <mergeCell ref="L7:L14"/>
    <mergeCell ref="N7:N14"/>
    <mergeCell ref="B48:B49"/>
    <mergeCell ref="C48:D49"/>
    <mergeCell ref="B50:B51"/>
    <mergeCell ref="C53:G54"/>
    <mergeCell ref="M7:M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fitToWidth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 summaryRight="0"/>
    <pageSetUpPr fitToPage="1"/>
  </sheetPr>
  <dimension ref="B2:P56"/>
  <sheetViews>
    <sheetView workbookViewId="0">
      <selection activeCell="H56" sqref="A1:H56"/>
    </sheetView>
  </sheetViews>
  <sheetFormatPr defaultRowHeight="15" x14ac:dyDescent="0.25"/>
  <cols>
    <col min="1" max="1" width="3.7109375" style="1" customWidth="1"/>
    <col min="2" max="2" width="14.7109375" style="1" customWidth="1"/>
    <col min="3" max="6" width="15.7109375" style="1" customWidth="1"/>
    <col min="7" max="7" width="15.7109375" style="3" customWidth="1"/>
    <col min="8" max="8" width="3.7109375" style="3" customWidth="1"/>
    <col min="9" max="9" width="14.7109375" style="3" customWidth="1"/>
    <col min="10" max="10" width="50.7109375" style="3" hidden="1" customWidth="1"/>
    <col min="11" max="11" width="3" style="3" hidden="1" customWidth="1"/>
    <col min="12" max="14" width="7.7109375" style="3" hidden="1" customWidth="1"/>
    <col min="15" max="15" width="0" style="1" hidden="1" customWidth="1"/>
    <col min="16" max="16384" width="9.140625" style="1"/>
  </cols>
  <sheetData>
    <row r="2" spans="2:14" ht="47.25" customHeight="1" x14ac:dyDescent="0.25">
      <c r="B2" s="165" t="s">
        <v>40</v>
      </c>
      <c r="C2" s="166"/>
      <c r="D2" s="166"/>
      <c r="E2" s="166"/>
      <c r="F2" s="166"/>
      <c r="G2" s="166"/>
    </row>
    <row r="3" spans="2:14" ht="20.100000000000001" customHeight="1" thickBot="1" x14ac:dyDescent="0.3">
      <c r="B3" s="4"/>
      <c r="G3" s="1"/>
    </row>
    <row r="4" spans="2:14" ht="20.100000000000001" hidden="1" customHeight="1" x14ac:dyDescent="0.25">
      <c r="B4" s="178" t="s">
        <v>5</v>
      </c>
      <c r="C4" s="180" t="s">
        <v>48</v>
      </c>
      <c r="D4" s="170"/>
      <c r="E4" s="62"/>
      <c r="F4" s="63"/>
      <c r="G4" s="72"/>
    </row>
    <row r="5" spans="2:14" ht="20.100000000000001" hidden="1" customHeight="1" thickBot="1" x14ac:dyDescent="0.3">
      <c r="B5" s="179"/>
      <c r="C5" s="181"/>
      <c r="D5" s="171"/>
      <c r="E5" s="9"/>
      <c r="F5" s="7"/>
      <c r="G5" s="75"/>
    </row>
    <row r="6" spans="2:14" ht="20.100000000000001" hidden="1" customHeight="1" thickBot="1" x14ac:dyDescent="0.3">
      <c r="B6" s="182" t="s">
        <v>45</v>
      </c>
      <c r="C6" s="125" t="s">
        <v>46</v>
      </c>
      <c r="D6" s="9"/>
      <c r="E6" s="9"/>
      <c r="F6" s="7"/>
      <c r="G6" s="75"/>
    </row>
    <row r="7" spans="2:14" ht="20.100000000000001" hidden="1" customHeight="1" thickBot="1" x14ac:dyDescent="0.3">
      <c r="B7" s="179"/>
      <c r="C7" s="126" t="s">
        <v>47</v>
      </c>
      <c r="D7" s="66"/>
      <c r="E7" s="66"/>
      <c r="F7" s="67"/>
      <c r="G7" s="73"/>
      <c r="L7" s="162" t="s">
        <v>16</v>
      </c>
      <c r="M7" s="162" t="s">
        <v>17</v>
      </c>
      <c r="N7" s="162" t="s">
        <v>18</v>
      </c>
    </row>
    <row r="8" spans="2:14" ht="20.100000000000001" hidden="1" customHeight="1" thickBot="1" x14ac:dyDescent="0.3">
      <c r="G8" s="1"/>
      <c r="L8" s="163"/>
      <c r="M8" s="163"/>
      <c r="N8" s="163"/>
    </row>
    <row r="9" spans="2:14" ht="20.100000000000001" customHeight="1" x14ac:dyDescent="0.25">
      <c r="B9" s="152" t="s">
        <v>41</v>
      </c>
      <c r="C9" s="132" t="s">
        <v>42</v>
      </c>
      <c r="D9" s="62"/>
      <c r="E9" s="120"/>
      <c r="F9" s="9"/>
      <c r="G9" s="9"/>
      <c r="L9" s="163"/>
      <c r="M9" s="163"/>
      <c r="N9" s="163"/>
    </row>
    <row r="10" spans="2:14" ht="20.100000000000001" customHeight="1" x14ac:dyDescent="0.25">
      <c r="B10" s="154" t="s">
        <v>43</v>
      </c>
      <c r="C10" s="133" t="s">
        <v>44</v>
      </c>
      <c r="D10" s="9"/>
      <c r="E10" s="122"/>
      <c r="F10" s="9"/>
      <c r="G10" s="9"/>
      <c r="L10" s="163"/>
      <c r="M10" s="163"/>
      <c r="N10" s="163"/>
    </row>
    <row r="11" spans="2:14" ht="20.100000000000001" customHeight="1" x14ac:dyDescent="0.25">
      <c r="B11" s="154" t="s">
        <v>7</v>
      </c>
      <c r="C11" s="145" t="s">
        <v>60</v>
      </c>
      <c r="D11" s="146"/>
      <c r="E11" s="147"/>
      <c r="F11" s="9"/>
      <c r="G11" s="9"/>
      <c r="L11" s="163"/>
      <c r="M11" s="163"/>
      <c r="N11" s="163"/>
    </row>
    <row r="12" spans="2:14" ht="20.100000000000001" customHeight="1" thickBot="1" x14ac:dyDescent="0.3">
      <c r="B12" s="153" t="s">
        <v>37</v>
      </c>
      <c r="C12" s="148" t="s">
        <v>38</v>
      </c>
      <c r="D12" s="143"/>
      <c r="E12" s="144"/>
      <c r="F12" s="9"/>
      <c r="G12" s="9"/>
      <c r="L12" s="163"/>
      <c r="M12" s="163"/>
      <c r="N12" s="163"/>
    </row>
    <row r="13" spans="2:14" ht="20.100000000000001" customHeight="1" thickBot="1" x14ac:dyDescent="0.3">
      <c r="L13" s="163"/>
      <c r="M13" s="163"/>
      <c r="N13" s="163"/>
    </row>
    <row r="14" spans="2:14" ht="33" customHeight="1" thickBot="1" x14ac:dyDescent="0.3">
      <c r="B14" s="79" t="s">
        <v>1</v>
      </c>
      <c r="C14" s="80" t="s">
        <v>12</v>
      </c>
      <c r="D14" s="80" t="s">
        <v>13</v>
      </c>
      <c r="E14" s="80" t="s">
        <v>0</v>
      </c>
      <c r="F14" s="80" t="s">
        <v>15</v>
      </c>
      <c r="G14" s="128" t="s">
        <v>39</v>
      </c>
      <c r="J14" s="82" t="s">
        <v>56</v>
      </c>
      <c r="L14" s="164"/>
      <c r="M14" s="164"/>
      <c r="N14" s="164"/>
    </row>
    <row r="15" spans="2:14" s="44" customFormat="1" ht="15" customHeight="1" x14ac:dyDescent="0.25">
      <c r="B15" s="109">
        <v>42705</v>
      </c>
      <c r="C15" s="95">
        <v>0.33333333333333331</v>
      </c>
      <c r="D15" s="95">
        <v>0.70833333333333337</v>
      </c>
      <c r="E15" s="89">
        <f t="shared" ref="E15:E31" si="0">D15-C15</f>
        <v>0.37500000000000006</v>
      </c>
      <c r="F15" s="95">
        <v>4.1666666666666664E-2</v>
      </c>
      <c r="G15" s="129">
        <f t="shared" ref="G15:G31" si="1">E15-F15</f>
        <v>0.33333333333333337</v>
      </c>
      <c r="H15" s="3"/>
      <c r="I15" s="3"/>
      <c r="J15" s="110" t="s">
        <v>53</v>
      </c>
      <c r="K15" s="83"/>
      <c r="L15" s="91"/>
      <c r="M15" s="92">
        <f t="shared" ref="M15:M45" si="2">G15</f>
        <v>0.33333333333333337</v>
      </c>
      <c r="N15" s="93">
        <f>IF(M15&lt;L15,TEXT((ABS(M15-L15)),"-hh:mm"),IF(M15=L15,"",M15-L15))</f>
        <v>0.33333333333333337</v>
      </c>
    </row>
    <row r="16" spans="2:14" s="44" customFormat="1" ht="15" customHeight="1" x14ac:dyDescent="0.25">
      <c r="B16" s="111">
        <f>B15+1</f>
        <v>42706</v>
      </c>
      <c r="C16" s="95">
        <v>0.33333333333333331</v>
      </c>
      <c r="D16" s="95">
        <v>0.70833333333333337</v>
      </c>
      <c r="E16" s="95">
        <f t="shared" si="0"/>
        <v>0.37500000000000006</v>
      </c>
      <c r="F16" s="95">
        <v>4.1666666666666664E-2</v>
      </c>
      <c r="G16" s="130">
        <f t="shared" si="1"/>
        <v>0.33333333333333337</v>
      </c>
      <c r="H16" s="3"/>
      <c r="I16" s="3"/>
      <c r="J16" s="110" t="s">
        <v>53</v>
      </c>
      <c r="K16" s="83"/>
      <c r="L16" s="97"/>
      <c r="M16" s="92">
        <f t="shared" si="2"/>
        <v>0.33333333333333337</v>
      </c>
      <c r="N16" s="93">
        <f t="shared" ref="N16:N45" si="3">IF(M16&lt;L16,TEXT((ABS(M16-L16)),"-hh:mm"),IF(M16=L16,"",M16-L16))</f>
        <v>0.33333333333333337</v>
      </c>
    </row>
    <row r="17" spans="2:16" s="44" customFormat="1" ht="15" customHeight="1" x14ac:dyDescent="0.25">
      <c r="B17" s="118">
        <f t="shared" ref="B16:B45" si="4">B16+1</f>
        <v>42707</v>
      </c>
      <c r="C17" s="94"/>
      <c r="D17" s="94"/>
      <c r="E17" s="95">
        <f t="shared" si="0"/>
        <v>0</v>
      </c>
      <c r="F17" s="94"/>
      <c r="G17" s="130">
        <f t="shared" si="1"/>
        <v>0</v>
      </c>
      <c r="H17" s="3"/>
      <c r="I17" s="3"/>
      <c r="J17" s="110" t="s">
        <v>53</v>
      </c>
      <c r="K17" s="83"/>
      <c r="L17" s="97"/>
      <c r="M17" s="92">
        <f t="shared" si="2"/>
        <v>0</v>
      </c>
      <c r="N17" s="93" t="str">
        <f t="shared" si="3"/>
        <v/>
      </c>
    </row>
    <row r="18" spans="2:16" s="44" customFormat="1" ht="15" customHeight="1" x14ac:dyDescent="0.25">
      <c r="B18" s="118">
        <f t="shared" si="4"/>
        <v>42708</v>
      </c>
      <c r="C18" s="95"/>
      <c r="D18" s="95"/>
      <c r="E18" s="95">
        <f t="shared" si="0"/>
        <v>0</v>
      </c>
      <c r="F18" s="95"/>
      <c r="G18" s="130">
        <f t="shared" si="1"/>
        <v>0</v>
      </c>
      <c r="H18" s="3"/>
      <c r="I18" s="3"/>
      <c r="J18" s="112"/>
      <c r="K18" s="83"/>
      <c r="L18" s="97"/>
      <c r="M18" s="92">
        <f t="shared" si="2"/>
        <v>0</v>
      </c>
      <c r="N18" s="93" t="str">
        <f t="shared" si="3"/>
        <v/>
      </c>
    </row>
    <row r="19" spans="2:16" s="44" customFormat="1" ht="15" customHeight="1" x14ac:dyDescent="0.25">
      <c r="B19" s="111">
        <f t="shared" si="4"/>
        <v>42709</v>
      </c>
      <c r="C19" s="95">
        <v>0.33333333333333331</v>
      </c>
      <c r="D19" s="95">
        <v>0.79166666666666663</v>
      </c>
      <c r="E19" s="95">
        <f t="shared" si="0"/>
        <v>0.45833333333333331</v>
      </c>
      <c r="F19" s="95">
        <v>4.1666666666666664E-2</v>
      </c>
      <c r="G19" s="130">
        <f t="shared" si="1"/>
        <v>0.41666666666666663</v>
      </c>
      <c r="H19" s="3"/>
      <c r="I19" s="3"/>
      <c r="J19" s="112" t="s">
        <v>54</v>
      </c>
      <c r="K19" s="83"/>
      <c r="L19" s="97"/>
      <c r="M19" s="92">
        <f t="shared" si="2"/>
        <v>0.41666666666666663</v>
      </c>
      <c r="N19" s="93">
        <f t="shared" si="3"/>
        <v>0.41666666666666663</v>
      </c>
    </row>
    <row r="20" spans="2:16" s="44" customFormat="1" ht="15" customHeight="1" x14ac:dyDescent="0.25">
      <c r="B20" s="111">
        <f t="shared" si="4"/>
        <v>42710</v>
      </c>
      <c r="C20" s="95">
        <v>0.33333333333333331</v>
      </c>
      <c r="D20" s="95">
        <v>0.91666666666666663</v>
      </c>
      <c r="E20" s="95">
        <f t="shared" si="0"/>
        <v>0.58333333333333326</v>
      </c>
      <c r="F20" s="95">
        <v>8.3333333333333329E-2</v>
      </c>
      <c r="G20" s="130">
        <f t="shared" si="1"/>
        <v>0.49999999999999994</v>
      </c>
      <c r="H20" s="3"/>
      <c r="I20" s="3"/>
      <c r="J20" s="112" t="s">
        <v>54</v>
      </c>
      <c r="K20" s="83"/>
      <c r="L20" s="97">
        <v>0.33333333333333331</v>
      </c>
      <c r="M20" s="92">
        <f t="shared" si="2"/>
        <v>0.49999999999999994</v>
      </c>
      <c r="N20" s="93">
        <f t="shared" si="3"/>
        <v>0.16666666666666663</v>
      </c>
      <c r="O20" s="98"/>
    </row>
    <row r="21" spans="2:16" s="44" customFormat="1" ht="15" customHeight="1" x14ac:dyDescent="0.25">
      <c r="B21" s="111">
        <f t="shared" si="4"/>
        <v>42711</v>
      </c>
      <c r="C21" s="95">
        <v>0.33333333333333331</v>
      </c>
      <c r="D21" s="95">
        <v>0.70833333333333337</v>
      </c>
      <c r="E21" s="95">
        <f t="shared" si="0"/>
        <v>0.37500000000000006</v>
      </c>
      <c r="F21" s="95">
        <v>4.1666666666666664E-2</v>
      </c>
      <c r="G21" s="130">
        <f t="shared" si="1"/>
        <v>0.33333333333333337</v>
      </c>
      <c r="H21" s="3"/>
      <c r="I21" s="3"/>
      <c r="J21" s="112" t="s">
        <v>54</v>
      </c>
      <c r="K21" s="83"/>
      <c r="L21" s="97">
        <v>0.33333333333333331</v>
      </c>
      <c r="M21" s="92">
        <f t="shared" si="2"/>
        <v>0.33333333333333337</v>
      </c>
      <c r="N21" s="93" t="str">
        <f t="shared" si="3"/>
        <v/>
      </c>
      <c r="O21" s="98"/>
    </row>
    <row r="22" spans="2:16" s="44" customFormat="1" ht="15" customHeight="1" x14ac:dyDescent="0.25">
      <c r="B22" s="111">
        <f t="shared" si="4"/>
        <v>42712</v>
      </c>
      <c r="C22" s="95">
        <v>0.33333333333333331</v>
      </c>
      <c r="D22" s="95">
        <v>0.83333333333333337</v>
      </c>
      <c r="E22" s="95">
        <f t="shared" si="0"/>
        <v>0.5</v>
      </c>
      <c r="F22" s="95">
        <v>8.3333333333333329E-2</v>
      </c>
      <c r="G22" s="130">
        <f t="shared" si="1"/>
        <v>0.41666666666666669</v>
      </c>
      <c r="H22" s="3"/>
      <c r="I22" s="3"/>
      <c r="J22" s="112" t="s">
        <v>54</v>
      </c>
      <c r="K22" s="83"/>
      <c r="L22" s="97"/>
      <c r="M22" s="92">
        <f t="shared" si="2"/>
        <v>0.41666666666666669</v>
      </c>
      <c r="N22" s="93">
        <f t="shared" si="3"/>
        <v>0.41666666666666669</v>
      </c>
      <c r="O22" s="98"/>
    </row>
    <row r="23" spans="2:16" s="44" customFormat="1" ht="15" customHeight="1" x14ac:dyDescent="0.25">
      <c r="B23" s="111">
        <f t="shared" si="4"/>
        <v>42713</v>
      </c>
      <c r="C23" s="95">
        <v>0.33333333333333331</v>
      </c>
      <c r="D23" s="95">
        <v>0.70833333333333337</v>
      </c>
      <c r="E23" s="95">
        <f t="shared" si="0"/>
        <v>0.37500000000000006</v>
      </c>
      <c r="F23" s="95">
        <v>4.1666666666666664E-2</v>
      </c>
      <c r="G23" s="130">
        <f t="shared" si="1"/>
        <v>0.33333333333333337</v>
      </c>
      <c r="H23" s="3"/>
      <c r="I23" s="3"/>
      <c r="J23" s="112" t="s">
        <v>54</v>
      </c>
      <c r="K23" s="83"/>
      <c r="L23" s="97"/>
      <c r="M23" s="92">
        <f t="shared" si="2"/>
        <v>0.33333333333333337</v>
      </c>
      <c r="N23" s="93">
        <f t="shared" si="3"/>
        <v>0.33333333333333337</v>
      </c>
      <c r="O23" s="98"/>
    </row>
    <row r="24" spans="2:16" s="44" customFormat="1" ht="15" customHeight="1" x14ac:dyDescent="0.25">
      <c r="B24" s="118">
        <f t="shared" si="4"/>
        <v>42714</v>
      </c>
      <c r="C24" s="95"/>
      <c r="D24" s="95"/>
      <c r="E24" s="95">
        <f t="shared" si="0"/>
        <v>0</v>
      </c>
      <c r="F24" s="95"/>
      <c r="G24" s="130">
        <f t="shared" si="1"/>
        <v>0</v>
      </c>
      <c r="H24" s="3"/>
      <c r="I24" s="3"/>
      <c r="J24" s="112"/>
      <c r="K24" s="83"/>
      <c r="L24" s="97"/>
      <c r="M24" s="92">
        <f t="shared" si="2"/>
        <v>0</v>
      </c>
      <c r="N24" s="93" t="str">
        <f t="shared" si="3"/>
        <v/>
      </c>
      <c r="O24" s="98"/>
    </row>
    <row r="25" spans="2:16" s="44" customFormat="1" ht="15" customHeight="1" x14ac:dyDescent="0.25">
      <c r="B25" s="118">
        <f t="shared" si="4"/>
        <v>42715</v>
      </c>
      <c r="C25" s="95"/>
      <c r="D25" s="95"/>
      <c r="E25" s="95">
        <f t="shared" si="0"/>
        <v>0</v>
      </c>
      <c r="F25" s="95"/>
      <c r="G25" s="130">
        <f t="shared" si="1"/>
        <v>0</v>
      </c>
      <c r="H25" s="3"/>
      <c r="I25" s="3"/>
      <c r="J25" s="112"/>
      <c r="K25" s="83"/>
      <c r="L25" s="97"/>
      <c r="M25" s="92">
        <f t="shared" si="2"/>
        <v>0</v>
      </c>
      <c r="N25" s="93" t="str">
        <f t="shared" si="3"/>
        <v/>
      </c>
      <c r="O25" s="98"/>
    </row>
    <row r="26" spans="2:16" s="44" customFormat="1" ht="15" customHeight="1" x14ac:dyDescent="0.25">
      <c r="B26" s="111">
        <f t="shared" si="4"/>
        <v>42716</v>
      </c>
      <c r="C26" s="95">
        <v>0.33333333333333331</v>
      </c>
      <c r="D26" s="95">
        <v>0.70833333333333337</v>
      </c>
      <c r="E26" s="95">
        <f t="shared" si="0"/>
        <v>0.37500000000000006</v>
      </c>
      <c r="F26" s="95">
        <v>4.1666666666666664E-2</v>
      </c>
      <c r="G26" s="130">
        <f t="shared" si="1"/>
        <v>0.33333333333333337</v>
      </c>
      <c r="H26" s="3"/>
      <c r="I26" s="3"/>
      <c r="J26" s="112" t="s">
        <v>55</v>
      </c>
      <c r="K26" s="83"/>
      <c r="L26" s="97"/>
      <c r="M26" s="92">
        <f t="shared" si="2"/>
        <v>0.33333333333333337</v>
      </c>
      <c r="N26" s="93">
        <f t="shared" si="3"/>
        <v>0.33333333333333337</v>
      </c>
      <c r="O26" s="98"/>
    </row>
    <row r="27" spans="2:16" s="44" customFormat="1" ht="15" customHeight="1" x14ac:dyDescent="0.25">
      <c r="B27" s="111">
        <f t="shared" si="4"/>
        <v>42717</v>
      </c>
      <c r="C27" s="95">
        <v>0.33333333333333331</v>
      </c>
      <c r="D27" s="95">
        <v>0.70833333333333337</v>
      </c>
      <c r="E27" s="95">
        <f t="shared" si="0"/>
        <v>0.37500000000000006</v>
      </c>
      <c r="F27" s="95">
        <v>4.1666666666666664E-2</v>
      </c>
      <c r="G27" s="130">
        <f t="shared" si="1"/>
        <v>0.33333333333333337</v>
      </c>
      <c r="H27" s="3"/>
      <c r="I27" s="3"/>
      <c r="J27" s="112" t="s">
        <v>55</v>
      </c>
      <c r="K27" s="83"/>
      <c r="L27" s="97">
        <v>0.33333333333333331</v>
      </c>
      <c r="M27" s="92">
        <f t="shared" si="2"/>
        <v>0.33333333333333337</v>
      </c>
      <c r="N27" s="93" t="str">
        <f t="shared" si="3"/>
        <v/>
      </c>
      <c r="O27" s="98"/>
      <c r="P27" s="99"/>
    </row>
    <row r="28" spans="2:16" s="44" customFormat="1" ht="15" customHeight="1" x14ac:dyDescent="0.25">
      <c r="B28" s="111">
        <f t="shared" si="4"/>
        <v>42718</v>
      </c>
      <c r="C28" s="95">
        <v>0.33333333333333331</v>
      </c>
      <c r="D28" s="95">
        <v>0.70833333333333337</v>
      </c>
      <c r="E28" s="95">
        <f t="shared" si="0"/>
        <v>0.37500000000000006</v>
      </c>
      <c r="F28" s="95">
        <v>4.1666666666666664E-2</v>
      </c>
      <c r="G28" s="130">
        <f t="shared" si="1"/>
        <v>0.33333333333333337</v>
      </c>
      <c r="H28" s="3"/>
      <c r="I28" s="3"/>
      <c r="J28" s="112" t="s">
        <v>55</v>
      </c>
      <c r="K28" s="83"/>
      <c r="L28" s="97">
        <v>0.33333333333333331</v>
      </c>
      <c r="M28" s="92">
        <f t="shared" si="2"/>
        <v>0.33333333333333337</v>
      </c>
      <c r="N28" s="93" t="str">
        <f t="shared" si="3"/>
        <v/>
      </c>
      <c r="O28" s="98"/>
      <c r="P28" s="99"/>
    </row>
    <row r="29" spans="2:16" s="44" customFormat="1" ht="15" customHeight="1" x14ac:dyDescent="0.25">
      <c r="B29" s="111">
        <f t="shared" si="4"/>
        <v>42719</v>
      </c>
      <c r="C29" s="95">
        <v>0.33333333333333331</v>
      </c>
      <c r="D29" s="95">
        <v>0.70833333333333337</v>
      </c>
      <c r="E29" s="95">
        <f t="shared" si="0"/>
        <v>0.37500000000000006</v>
      </c>
      <c r="F29" s="95">
        <v>4.1666666666666664E-2</v>
      </c>
      <c r="G29" s="130">
        <f t="shared" si="1"/>
        <v>0.33333333333333337</v>
      </c>
      <c r="H29" s="3"/>
      <c r="I29" s="3"/>
      <c r="J29" s="112" t="s">
        <v>55</v>
      </c>
      <c r="K29" s="83"/>
      <c r="L29" s="97">
        <v>0.33333333333333331</v>
      </c>
      <c r="M29" s="92">
        <f t="shared" si="2"/>
        <v>0.33333333333333337</v>
      </c>
      <c r="N29" s="93" t="str">
        <f t="shared" si="3"/>
        <v/>
      </c>
      <c r="O29" s="98"/>
      <c r="P29" s="99"/>
    </row>
    <row r="30" spans="2:16" s="44" customFormat="1" ht="15" customHeight="1" x14ac:dyDescent="0.25">
      <c r="B30" s="111">
        <f t="shared" si="4"/>
        <v>42720</v>
      </c>
      <c r="C30" s="95">
        <v>0.33333333333333331</v>
      </c>
      <c r="D30" s="95">
        <v>0.70833333333333337</v>
      </c>
      <c r="E30" s="95">
        <f t="shared" si="0"/>
        <v>0.37500000000000006</v>
      </c>
      <c r="F30" s="95">
        <v>4.1666666666666664E-2</v>
      </c>
      <c r="G30" s="130">
        <f t="shared" si="1"/>
        <v>0.33333333333333337</v>
      </c>
      <c r="H30" s="3"/>
      <c r="I30" s="3"/>
      <c r="J30" s="112" t="s">
        <v>55</v>
      </c>
      <c r="K30" s="83"/>
      <c r="L30" s="97">
        <v>0.33333333333333331</v>
      </c>
      <c r="M30" s="92">
        <f t="shared" si="2"/>
        <v>0.33333333333333337</v>
      </c>
      <c r="N30" s="93" t="str">
        <f t="shared" si="3"/>
        <v/>
      </c>
      <c r="O30" s="98"/>
      <c r="P30" s="99"/>
    </row>
    <row r="31" spans="2:16" s="44" customFormat="1" ht="15" customHeight="1" x14ac:dyDescent="0.25">
      <c r="B31" s="118">
        <f t="shared" si="4"/>
        <v>42721</v>
      </c>
      <c r="C31" s="95"/>
      <c r="D31" s="95"/>
      <c r="E31" s="95">
        <f t="shared" si="0"/>
        <v>0</v>
      </c>
      <c r="F31" s="95"/>
      <c r="G31" s="130">
        <f t="shared" si="1"/>
        <v>0</v>
      </c>
      <c r="H31" s="3"/>
      <c r="I31" s="3"/>
      <c r="J31" s="112"/>
      <c r="K31" s="83"/>
      <c r="L31" s="97"/>
      <c r="M31" s="92">
        <f t="shared" si="2"/>
        <v>0</v>
      </c>
      <c r="N31" s="93" t="str">
        <f t="shared" si="3"/>
        <v/>
      </c>
      <c r="O31" s="98"/>
      <c r="P31" s="99"/>
    </row>
    <row r="32" spans="2:16" s="44" customFormat="1" ht="15" customHeight="1" x14ac:dyDescent="0.25">
      <c r="B32" s="118">
        <f t="shared" si="4"/>
        <v>42722</v>
      </c>
      <c r="C32" s="95"/>
      <c r="D32" s="95"/>
      <c r="E32" s="95">
        <f>D32-C32</f>
        <v>0</v>
      </c>
      <c r="F32" s="95"/>
      <c r="G32" s="130">
        <f>E32-F32</f>
        <v>0</v>
      </c>
      <c r="H32" s="3"/>
      <c r="I32" s="3"/>
      <c r="J32" s="112"/>
      <c r="K32" s="83"/>
      <c r="L32" s="97"/>
      <c r="M32" s="92">
        <f t="shared" si="2"/>
        <v>0</v>
      </c>
      <c r="N32" s="93" t="str">
        <f t="shared" si="3"/>
        <v/>
      </c>
      <c r="O32" s="98"/>
      <c r="P32" s="99"/>
    </row>
    <row r="33" spans="2:16" s="44" customFormat="1" ht="15" customHeight="1" x14ac:dyDescent="0.25">
      <c r="B33" s="111">
        <f t="shared" si="4"/>
        <v>42723</v>
      </c>
      <c r="C33" s="95">
        <v>0.33333333333333331</v>
      </c>
      <c r="D33" s="95">
        <v>0.89583333333333337</v>
      </c>
      <c r="E33" s="95">
        <f>D33-C33</f>
        <v>0.5625</v>
      </c>
      <c r="F33" s="95">
        <v>8.3333333333333329E-2</v>
      </c>
      <c r="G33" s="130">
        <f>E33-F33</f>
        <v>0.47916666666666669</v>
      </c>
      <c r="H33" s="3"/>
      <c r="I33" s="3"/>
      <c r="J33" s="112" t="s">
        <v>55</v>
      </c>
      <c r="K33" s="83"/>
      <c r="L33" s="97"/>
      <c r="M33" s="92">
        <f t="shared" si="2"/>
        <v>0.47916666666666669</v>
      </c>
      <c r="N33" s="93">
        <f t="shared" si="3"/>
        <v>0.47916666666666669</v>
      </c>
      <c r="O33" s="98"/>
      <c r="P33" s="99"/>
    </row>
    <row r="34" spans="2:16" s="44" customFormat="1" ht="15" customHeight="1" x14ac:dyDescent="0.25">
      <c r="B34" s="111">
        <f t="shared" si="4"/>
        <v>42724</v>
      </c>
      <c r="C34" s="95">
        <v>0.33333333333333331</v>
      </c>
      <c r="D34" s="95">
        <v>0.89583333333333337</v>
      </c>
      <c r="E34" s="95">
        <f t="shared" ref="E34:E44" si="5">D34-C34</f>
        <v>0.5625</v>
      </c>
      <c r="F34" s="95">
        <v>8.3333333333333329E-2</v>
      </c>
      <c r="G34" s="130">
        <f t="shared" ref="G34:G44" si="6">E34-F34</f>
        <v>0.47916666666666669</v>
      </c>
      <c r="H34" s="3"/>
      <c r="I34" s="3"/>
      <c r="J34" s="112" t="s">
        <v>55</v>
      </c>
      <c r="K34" s="83"/>
      <c r="L34" s="97">
        <v>0.33333333333333331</v>
      </c>
      <c r="M34" s="92">
        <f t="shared" si="2"/>
        <v>0.47916666666666669</v>
      </c>
      <c r="N34" s="93">
        <f t="shared" si="3"/>
        <v>0.14583333333333337</v>
      </c>
      <c r="O34" s="98"/>
      <c r="P34" s="99"/>
    </row>
    <row r="35" spans="2:16" s="44" customFormat="1" ht="15" customHeight="1" x14ac:dyDescent="0.25">
      <c r="B35" s="111">
        <f t="shared" si="4"/>
        <v>42725</v>
      </c>
      <c r="C35" s="95">
        <v>0.33333333333333331</v>
      </c>
      <c r="D35" s="95">
        <v>0.75</v>
      </c>
      <c r="E35" s="95">
        <f t="shared" si="5"/>
        <v>0.41666666666666669</v>
      </c>
      <c r="F35" s="95">
        <v>4.1666666666666664E-2</v>
      </c>
      <c r="G35" s="130">
        <f t="shared" si="6"/>
        <v>0.375</v>
      </c>
      <c r="H35" s="3"/>
      <c r="I35" s="3"/>
      <c r="J35" s="112" t="s">
        <v>55</v>
      </c>
      <c r="K35" s="83"/>
      <c r="L35" s="97">
        <v>0.33333333333333331</v>
      </c>
      <c r="M35" s="92">
        <f t="shared" si="2"/>
        <v>0.375</v>
      </c>
      <c r="N35" s="93">
        <f t="shared" si="3"/>
        <v>4.1666666666666685E-2</v>
      </c>
      <c r="O35" s="98"/>
      <c r="P35" s="99"/>
    </row>
    <row r="36" spans="2:16" s="44" customFormat="1" ht="15" customHeight="1" x14ac:dyDescent="0.25">
      <c r="B36" s="111">
        <f t="shared" si="4"/>
        <v>42726</v>
      </c>
      <c r="C36" s="95">
        <v>0.33333333333333331</v>
      </c>
      <c r="D36" s="95">
        <v>0.79166666666666663</v>
      </c>
      <c r="E36" s="95">
        <f t="shared" si="5"/>
        <v>0.45833333333333331</v>
      </c>
      <c r="F36" s="95">
        <v>8.3333333333333329E-2</v>
      </c>
      <c r="G36" s="130">
        <f t="shared" si="6"/>
        <v>0.375</v>
      </c>
      <c r="H36" s="3"/>
      <c r="I36" s="3"/>
      <c r="J36" s="112" t="s">
        <v>55</v>
      </c>
      <c r="K36" s="83"/>
      <c r="L36" s="97">
        <v>0.33333333333333331</v>
      </c>
      <c r="M36" s="92">
        <f t="shared" si="2"/>
        <v>0.375</v>
      </c>
      <c r="N36" s="93">
        <f t="shared" si="3"/>
        <v>4.1666666666666685E-2</v>
      </c>
      <c r="O36" s="98"/>
    </row>
    <row r="37" spans="2:16" s="44" customFormat="1" ht="15" customHeight="1" x14ac:dyDescent="0.25">
      <c r="B37" s="111">
        <f t="shared" si="4"/>
        <v>42727</v>
      </c>
      <c r="C37" s="95">
        <v>0.33333333333333331</v>
      </c>
      <c r="D37" s="95">
        <v>0.70833333333333337</v>
      </c>
      <c r="E37" s="95">
        <f t="shared" si="5"/>
        <v>0.37500000000000006</v>
      </c>
      <c r="F37" s="95">
        <v>4.1666666666666664E-2</v>
      </c>
      <c r="G37" s="130">
        <f t="shared" si="6"/>
        <v>0.33333333333333337</v>
      </c>
      <c r="H37" s="3"/>
      <c r="I37" s="3"/>
      <c r="J37" s="112" t="s">
        <v>55</v>
      </c>
      <c r="K37" s="83"/>
      <c r="L37" s="97">
        <v>0.33333333333333331</v>
      </c>
      <c r="M37" s="92">
        <f t="shared" si="2"/>
        <v>0.33333333333333337</v>
      </c>
      <c r="N37" s="93" t="str">
        <f t="shared" si="3"/>
        <v/>
      </c>
      <c r="O37" s="98"/>
    </row>
    <row r="38" spans="2:16" s="44" customFormat="1" ht="15" customHeight="1" x14ac:dyDescent="0.25">
      <c r="B38" s="118">
        <f t="shared" si="4"/>
        <v>42728</v>
      </c>
      <c r="C38" s="95"/>
      <c r="D38" s="95"/>
      <c r="E38" s="95">
        <f t="shared" si="5"/>
        <v>0</v>
      </c>
      <c r="F38" s="95"/>
      <c r="G38" s="130">
        <f t="shared" si="6"/>
        <v>0</v>
      </c>
      <c r="H38" s="3"/>
      <c r="I38" s="3"/>
      <c r="J38" s="112"/>
      <c r="K38" s="83"/>
      <c r="L38" s="97">
        <v>0</v>
      </c>
      <c r="M38" s="92">
        <f t="shared" si="2"/>
        <v>0</v>
      </c>
      <c r="N38" s="93" t="str">
        <f t="shared" si="3"/>
        <v/>
      </c>
      <c r="O38" s="98"/>
    </row>
    <row r="39" spans="2:16" s="44" customFormat="1" ht="15" customHeight="1" x14ac:dyDescent="0.25">
      <c r="B39" s="118">
        <f t="shared" si="4"/>
        <v>42729</v>
      </c>
      <c r="C39" s="95"/>
      <c r="D39" s="95"/>
      <c r="E39" s="95">
        <f t="shared" si="5"/>
        <v>0</v>
      </c>
      <c r="F39" s="95"/>
      <c r="G39" s="130">
        <f t="shared" si="6"/>
        <v>0</v>
      </c>
      <c r="H39" s="3"/>
      <c r="I39" s="3"/>
      <c r="J39" s="112"/>
      <c r="K39" s="83"/>
      <c r="L39" s="97"/>
      <c r="M39" s="92">
        <f t="shared" si="2"/>
        <v>0</v>
      </c>
      <c r="N39" s="93" t="str">
        <f t="shared" si="3"/>
        <v/>
      </c>
      <c r="O39" s="98"/>
    </row>
    <row r="40" spans="2:16" s="44" customFormat="1" ht="15" customHeight="1" x14ac:dyDescent="0.25">
      <c r="B40" s="111">
        <f t="shared" si="4"/>
        <v>42730</v>
      </c>
      <c r="C40" s="95"/>
      <c r="D40" s="95"/>
      <c r="E40" s="95">
        <f t="shared" si="5"/>
        <v>0</v>
      </c>
      <c r="F40" s="95"/>
      <c r="G40" s="130">
        <f t="shared" si="6"/>
        <v>0</v>
      </c>
      <c r="H40" s="3"/>
      <c r="I40" s="3"/>
      <c r="J40" s="112" t="s">
        <v>55</v>
      </c>
      <c r="K40" s="83"/>
      <c r="L40" s="97"/>
      <c r="M40" s="92">
        <f t="shared" si="2"/>
        <v>0</v>
      </c>
      <c r="N40" s="93" t="str">
        <f t="shared" si="3"/>
        <v/>
      </c>
      <c r="O40" s="98"/>
    </row>
    <row r="41" spans="2:16" s="44" customFormat="1" ht="15" customHeight="1" x14ac:dyDescent="0.25">
      <c r="B41" s="111">
        <f t="shared" si="4"/>
        <v>42731</v>
      </c>
      <c r="C41" s="95"/>
      <c r="D41" s="95"/>
      <c r="E41" s="95">
        <f t="shared" si="5"/>
        <v>0</v>
      </c>
      <c r="F41" s="95"/>
      <c r="G41" s="130">
        <f t="shared" si="6"/>
        <v>0</v>
      </c>
      <c r="H41" s="3"/>
      <c r="I41" s="3"/>
      <c r="J41" s="112" t="s">
        <v>55</v>
      </c>
      <c r="K41" s="83"/>
      <c r="L41" s="97">
        <v>0.33333333333333331</v>
      </c>
      <c r="M41" s="92">
        <f t="shared" si="2"/>
        <v>0</v>
      </c>
      <c r="N41" s="93" t="str">
        <f t="shared" si="3"/>
        <v>-08:00</v>
      </c>
      <c r="O41" s="98"/>
    </row>
    <row r="42" spans="2:16" s="44" customFormat="1" ht="15" customHeight="1" x14ac:dyDescent="0.25">
      <c r="B42" s="111">
        <f t="shared" si="4"/>
        <v>42732</v>
      </c>
      <c r="C42" s="95"/>
      <c r="D42" s="95"/>
      <c r="E42" s="95">
        <f t="shared" si="5"/>
        <v>0</v>
      </c>
      <c r="F42" s="95"/>
      <c r="G42" s="130">
        <f t="shared" si="6"/>
        <v>0</v>
      </c>
      <c r="H42" s="3"/>
      <c r="I42" s="3"/>
      <c r="J42" s="112" t="s">
        <v>55</v>
      </c>
      <c r="K42" s="83"/>
      <c r="L42" s="97">
        <v>0.33333333333333331</v>
      </c>
      <c r="M42" s="92">
        <f t="shared" si="2"/>
        <v>0</v>
      </c>
      <c r="N42" s="93" t="str">
        <f t="shared" si="3"/>
        <v>-08:00</v>
      </c>
      <c r="O42" s="98"/>
    </row>
    <row r="43" spans="2:16" s="44" customFormat="1" ht="15" customHeight="1" x14ac:dyDescent="0.25">
      <c r="B43" s="111">
        <f t="shared" si="4"/>
        <v>42733</v>
      </c>
      <c r="C43" s="95"/>
      <c r="D43" s="95"/>
      <c r="E43" s="95">
        <f t="shared" si="5"/>
        <v>0</v>
      </c>
      <c r="F43" s="95"/>
      <c r="G43" s="130">
        <f t="shared" si="6"/>
        <v>0</v>
      </c>
      <c r="H43" s="3"/>
      <c r="I43" s="3"/>
      <c r="J43" s="112" t="s">
        <v>55</v>
      </c>
      <c r="K43" s="83"/>
      <c r="L43" s="97">
        <v>0.33333333333333331</v>
      </c>
      <c r="M43" s="92">
        <f t="shared" si="2"/>
        <v>0</v>
      </c>
      <c r="N43" s="93" t="str">
        <f t="shared" si="3"/>
        <v>-08:00</v>
      </c>
      <c r="O43" s="98"/>
    </row>
    <row r="44" spans="2:16" s="44" customFormat="1" ht="15" customHeight="1" x14ac:dyDescent="0.25">
      <c r="B44" s="111">
        <f t="shared" si="4"/>
        <v>42734</v>
      </c>
      <c r="C44" s="95"/>
      <c r="D44" s="95"/>
      <c r="E44" s="95">
        <f t="shared" si="5"/>
        <v>0</v>
      </c>
      <c r="F44" s="95"/>
      <c r="G44" s="130">
        <f t="shared" si="6"/>
        <v>0</v>
      </c>
      <c r="H44" s="3"/>
      <c r="I44" s="3"/>
      <c r="J44" s="112" t="s">
        <v>55</v>
      </c>
      <c r="K44" s="83"/>
      <c r="L44" s="97">
        <v>0.33333333333333331</v>
      </c>
      <c r="M44" s="92">
        <f t="shared" si="2"/>
        <v>0</v>
      </c>
      <c r="N44" s="93" t="str">
        <f t="shared" si="3"/>
        <v>-08:00</v>
      </c>
      <c r="O44" s="98"/>
    </row>
    <row r="45" spans="2:16" s="44" customFormat="1" ht="15" customHeight="1" thickBot="1" x14ac:dyDescent="0.3">
      <c r="B45" s="118">
        <f t="shared" si="4"/>
        <v>42735</v>
      </c>
      <c r="C45" s="95"/>
      <c r="D45" s="95"/>
      <c r="E45" s="95"/>
      <c r="F45" s="94"/>
      <c r="G45" s="130"/>
      <c r="H45" s="3"/>
      <c r="I45" s="3"/>
      <c r="J45" s="115"/>
      <c r="K45" s="83"/>
      <c r="L45" s="102"/>
      <c r="M45" s="103">
        <f t="shared" si="2"/>
        <v>0</v>
      </c>
      <c r="N45" s="104" t="str">
        <f t="shared" si="3"/>
        <v/>
      </c>
      <c r="O45" s="98"/>
    </row>
    <row r="46" spans="2:16" s="30" customFormat="1" ht="24.95" customHeight="1" thickBot="1" x14ac:dyDescent="0.3">
      <c r="B46" s="85" t="s">
        <v>2</v>
      </c>
      <c r="C46" s="80"/>
      <c r="D46" s="80"/>
      <c r="E46" s="86"/>
      <c r="F46" s="87"/>
      <c r="G46" s="134">
        <f>SUM(G15:G45)</f>
        <v>6.3750000000000009</v>
      </c>
      <c r="H46" s="3"/>
      <c r="I46" s="140"/>
      <c r="J46" s="88"/>
      <c r="K46" s="83"/>
      <c r="L46" s="84">
        <f>SUM(L15:L45)</f>
        <v>4.6666666666666661</v>
      </c>
      <c r="M46" s="84">
        <f>SUM(M15:M45)</f>
        <v>6.3750000000000009</v>
      </c>
      <c r="N46" s="84">
        <f>IF(M46&lt;L46,TEXT((ABS(M46-L46)),"-[h]:mm"),IF(M46=L46,"",M46-L46))</f>
        <v>1.7083333333333348</v>
      </c>
    </row>
    <row r="47" spans="2:16" ht="20.100000000000001" customHeight="1" thickBot="1" x14ac:dyDescent="0.3">
      <c r="I47" s="141"/>
      <c r="L47" s="20"/>
    </row>
    <row r="48" spans="2:16" ht="15" customHeight="1" x14ac:dyDescent="0.25">
      <c r="B48" s="178" t="s">
        <v>5</v>
      </c>
      <c r="C48" s="180" t="s">
        <v>48</v>
      </c>
      <c r="D48" s="170"/>
      <c r="E48" s="62"/>
      <c r="F48" s="63"/>
      <c r="G48" s="72"/>
      <c r="I48" s="141"/>
    </row>
    <row r="49" spans="2:9" ht="15" customHeight="1" thickBot="1" x14ac:dyDescent="0.3">
      <c r="B49" s="179"/>
      <c r="C49" s="181"/>
      <c r="D49" s="171"/>
      <c r="E49" s="9"/>
      <c r="F49" s="7"/>
      <c r="G49" s="75"/>
      <c r="I49" s="142"/>
    </row>
    <row r="50" spans="2:9" ht="17.100000000000001" customHeight="1" x14ac:dyDescent="0.25">
      <c r="B50" s="182" t="s">
        <v>45</v>
      </c>
      <c r="C50" s="125" t="s">
        <v>46</v>
      </c>
      <c r="D50" s="9"/>
      <c r="E50" s="9"/>
      <c r="F50" s="7"/>
      <c r="G50" s="75"/>
    </row>
    <row r="51" spans="2:9" ht="17.100000000000001" customHeight="1" thickBot="1" x14ac:dyDescent="0.3">
      <c r="B51" s="179"/>
      <c r="C51" s="126" t="s">
        <v>47</v>
      </c>
      <c r="D51" s="66"/>
      <c r="E51" s="66"/>
      <c r="F51" s="67"/>
      <c r="G51" s="73"/>
    </row>
    <row r="52" spans="2:9" ht="20.100000000000001" customHeight="1" thickBot="1" x14ac:dyDescent="0.3"/>
    <row r="53" spans="2:9" ht="15" customHeight="1" x14ac:dyDescent="0.25">
      <c r="C53" s="172" t="s">
        <v>50</v>
      </c>
      <c r="D53" s="173"/>
      <c r="E53" s="173"/>
      <c r="F53" s="173"/>
      <c r="G53" s="174"/>
    </row>
    <row r="54" spans="2:9" x14ac:dyDescent="0.25">
      <c r="C54" s="175"/>
      <c r="D54" s="176"/>
      <c r="E54" s="176"/>
      <c r="F54" s="176"/>
      <c r="G54" s="177"/>
    </row>
    <row r="55" spans="2:9" ht="39.950000000000003" customHeight="1" thickBot="1" x14ac:dyDescent="0.3">
      <c r="C55" s="127" t="s">
        <v>57</v>
      </c>
      <c r="D55" s="67"/>
      <c r="E55" s="67"/>
      <c r="F55" s="67"/>
      <c r="G55" s="68"/>
    </row>
    <row r="56" spans="2:9" x14ac:dyDescent="0.25">
      <c r="G56" s="1"/>
    </row>
  </sheetData>
  <mergeCells count="11">
    <mergeCell ref="N7:N14"/>
    <mergeCell ref="B48:B49"/>
    <mergeCell ref="C48:D49"/>
    <mergeCell ref="B50:B51"/>
    <mergeCell ref="C53:G54"/>
    <mergeCell ref="B2:G2"/>
    <mergeCell ref="B4:B5"/>
    <mergeCell ref="C4:D5"/>
    <mergeCell ref="B6:B7"/>
    <mergeCell ref="L7:L14"/>
    <mergeCell ref="M7:M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fitToWidth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outlinePr summaryBelow="0" summaryRight="0"/>
    <pageSetUpPr fitToPage="1"/>
  </sheetPr>
  <dimension ref="B2:P56"/>
  <sheetViews>
    <sheetView tabSelected="1" workbookViewId="0">
      <selection activeCell="R21" sqref="R21"/>
    </sheetView>
  </sheetViews>
  <sheetFormatPr defaultRowHeight="15" x14ac:dyDescent="0.25"/>
  <cols>
    <col min="1" max="1" width="3.7109375" style="1" customWidth="1"/>
    <col min="2" max="2" width="14.7109375" style="1" customWidth="1"/>
    <col min="3" max="6" width="15.7109375" style="1" customWidth="1"/>
    <col min="7" max="7" width="15.7109375" style="3" customWidth="1"/>
    <col min="8" max="8" width="3.7109375" style="3" customWidth="1"/>
    <col min="9" max="9" width="14.7109375" style="3" customWidth="1"/>
    <col min="10" max="10" width="50.7109375" style="3" hidden="1" customWidth="1"/>
    <col min="11" max="11" width="3" style="3" hidden="1" customWidth="1"/>
    <col min="12" max="14" width="7.7109375" style="3" hidden="1" customWidth="1"/>
    <col min="15" max="15" width="0" style="1" hidden="1" customWidth="1"/>
    <col min="16" max="16384" width="9.140625" style="1"/>
  </cols>
  <sheetData>
    <row r="2" spans="2:14" ht="47.25" customHeight="1" x14ac:dyDescent="0.25">
      <c r="B2" s="165" t="s">
        <v>40</v>
      </c>
      <c r="C2" s="166"/>
      <c r="D2" s="166"/>
      <c r="E2" s="166"/>
      <c r="F2" s="166"/>
      <c r="G2" s="166"/>
    </row>
    <row r="3" spans="2:14" ht="20.100000000000001" customHeight="1" thickBot="1" x14ac:dyDescent="0.3">
      <c r="B3" s="4"/>
      <c r="G3" s="1"/>
    </row>
    <row r="4" spans="2:14" ht="20.100000000000001" hidden="1" customHeight="1" x14ac:dyDescent="0.25">
      <c r="B4" s="178" t="s">
        <v>5</v>
      </c>
      <c r="C4" s="180" t="s">
        <v>48</v>
      </c>
      <c r="D4" s="170"/>
      <c r="E4" s="62"/>
      <c r="F4" s="63"/>
      <c r="G4" s="72"/>
    </row>
    <row r="5" spans="2:14" ht="20.100000000000001" hidden="1" customHeight="1" thickBot="1" x14ac:dyDescent="0.3">
      <c r="B5" s="179"/>
      <c r="C5" s="181"/>
      <c r="D5" s="171"/>
      <c r="E5" s="9"/>
      <c r="F5" s="7"/>
      <c r="G5" s="75"/>
    </row>
    <row r="6" spans="2:14" ht="20.100000000000001" hidden="1" customHeight="1" thickBot="1" x14ac:dyDescent="0.3">
      <c r="B6" s="182" t="s">
        <v>45</v>
      </c>
      <c r="C6" s="125" t="s">
        <v>46</v>
      </c>
      <c r="D6" s="9"/>
      <c r="E6" s="9"/>
      <c r="F6" s="7"/>
      <c r="G6" s="75"/>
    </row>
    <row r="7" spans="2:14" ht="20.100000000000001" hidden="1" customHeight="1" thickBot="1" x14ac:dyDescent="0.3">
      <c r="B7" s="179"/>
      <c r="C7" s="126" t="s">
        <v>47</v>
      </c>
      <c r="D7" s="66"/>
      <c r="E7" s="66"/>
      <c r="F7" s="67"/>
      <c r="G7" s="73"/>
      <c r="L7" s="162" t="s">
        <v>16</v>
      </c>
      <c r="M7" s="162" t="s">
        <v>17</v>
      </c>
      <c r="N7" s="162" t="s">
        <v>18</v>
      </c>
    </row>
    <row r="8" spans="2:14" ht="20.100000000000001" hidden="1" customHeight="1" thickBot="1" x14ac:dyDescent="0.3">
      <c r="G8" s="1"/>
      <c r="L8" s="163"/>
      <c r="M8" s="163"/>
      <c r="N8" s="163"/>
    </row>
    <row r="9" spans="2:14" ht="20.100000000000001" customHeight="1" x14ac:dyDescent="0.25">
      <c r="B9" s="152" t="s">
        <v>41</v>
      </c>
      <c r="C9" s="132" t="s">
        <v>42</v>
      </c>
      <c r="D9" s="62"/>
      <c r="E9" s="120"/>
      <c r="F9" s="9"/>
      <c r="G9" s="9"/>
      <c r="L9" s="163"/>
      <c r="M9" s="163"/>
      <c r="N9" s="163"/>
    </row>
    <row r="10" spans="2:14" ht="20.100000000000001" customHeight="1" x14ac:dyDescent="0.25">
      <c r="B10" s="154" t="s">
        <v>43</v>
      </c>
      <c r="C10" s="133" t="s">
        <v>44</v>
      </c>
      <c r="D10" s="9"/>
      <c r="E10" s="122"/>
      <c r="F10" s="9"/>
      <c r="G10" s="9"/>
      <c r="L10" s="163"/>
      <c r="M10" s="163"/>
      <c r="N10" s="163"/>
    </row>
    <row r="11" spans="2:14" ht="20.100000000000001" customHeight="1" x14ac:dyDescent="0.25">
      <c r="B11" s="154" t="s">
        <v>7</v>
      </c>
      <c r="C11" s="145" t="s">
        <v>60</v>
      </c>
      <c r="D11" s="146"/>
      <c r="E11" s="147"/>
      <c r="F11" s="9"/>
      <c r="G11" s="9"/>
      <c r="L11" s="163"/>
      <c r="M11" s="163"/>
      <c r="N11" s="163"/>
    </row>
    <row r="12" spans="2:14" ht="20.100000000000001" customHeight="1" thickBot="1" x14ac:dyDescent="0.3">
      <c r="B12" s="153" t="s">
        <v>37</v>
      </c>
      <c r="C12" s="148" t="s">
        <v>11</v>
      </c>
      <c r="D12" s="143"/>
      <c r="E12" s="144"/>
      <c r="F12" s="9"/>
      <c r="G12" s="9"/>
      <c r="L12" s="163"/>
      <c r="M12" s="163"/>
      <c r="N12" s="163"/>
    </row>
    <row r="13" spans="2:14" ht="20.100000000000001" customHeight="1" thickBot="1" x14ac:dyDescent="0.3">
      <c r="L13" s="163"/>
      <c r="M13" s="163"/>
      <c r="N13" s="163"/>
    </row>
    <row r="14" spans="2:14" ht="33" customHeight="1" thickBot="1" x14ac:dyDescent="0.3">
      <c r="B14" s="79" t="s">
        <v>1</v>
      </c>
      <c r="C14" s="80" t="s">
        <v>12</v>
      </c>
      <c r="D14" s="80" t="s">
        <v>13</v>
      </c>
      <c r="E14" s="80" t="s">
        <v>0</v>
      </c>
      <c r="F14" s="80" t="s">
        <v>15</v>
      </c>
      <c r="G14" s="128" t="s">
        <v>39</v>
      </c>
      <c r="J14" s="82" t="s">
        <v>56</v>
      </c>
      <c r="L14" s="164"/>
      <c r="M14" s="164"/>
      <c r="N14" s="164"/>
    </row>
    <row r="15" spans="2:14" s="44" customFormat="1" ht="15" customHeight="1" x14ac:dyDescent="0.25">
      <c r="B15" s="109">
        <v>42705</v>
      </c>
      <c r="C15" s="95">
        <v>0.625</v>
      </c>
      <c r="D15" s="95">
        <v>0.70833333333333337</v>
      </c>
      <c r="E15" s="89">
        <f t="shared" ref="E15:E31" si="0">D15-C15</f>
        <v>8.333333333333337E-2</v>
      </c>
      <c r="F15" s="94"/>
      <c r="G15" s="129">
        <f t="shared" ref="G15:G31" si="1">E15-F15</f>
        <v>8.333333333333337E-2</v>
      </c>
      <c r="H15" s="3"/>
      <c r="I15" s="3"/>
      <c r="J15" s="110" t="s">
        <v>53</v>
      </c>
      <c r="K15" s="83"/>
      <c r="L15" s="91"/>
      <c r="M15" s="92">
        <f t="shared" ref="M15:M45" si="2">G15</f>
        <v>8.333333333333337E-2</v>
      </c>
      <c r="N15" s="93">
        <f>IF(M15&lt;L15,TEXT((ABS(M15-L15)),"-hh:mm"),IF(M15=L15,"",M15-L15))</f>
        <v>8.333333333333337E-2</v>
      </c>
    </row>
    <row r="16" spans="2:14" s="44" customFormat="1" ht="15" customHeight="1" x14ac:dyDescent="0.25">
      <c r="B16" s="111">
        <f>B15+1</f>
        <v>42706</v>
      </c>
      <c r="C16" s="95">
        <v>0.625</v>
      </c>
      <c r="D16" s="95">
        <v>0.70833333333333337</v>
      </c>
      <c r="E16" s="95">
        <f t="shared" si="0"/>
        <v>8.333333333333337E-2</v>
      </c>
      <c r="F16" s="94"/>
      <c r="G16" s="130">
        <f t="shared" si="1"/>
        <v>8.333333333333337E-2</v>
      </c>
      <c r="H16" s="3"/>
      <c r="I16" s="3"/>
      <c r="J16" s="110" t="s">
        <v>53</v>
      </c>
      <c r="K16" s="83"/>
      <c r="L16" s="97"/>
      <c r="M16" s="92">
        <f t="shared" si="2"/>
        <v>8.333333333333337E-2</v>
      </c>
      <c r="N16" s="93">
        <f t="shared" ref="N16:N45" si="3">IF(M16&lt;L16,TEXT((ABS(M16-L16)),"-hh:mm"),IF(M16=L16,"",M16-L16))</f>
        <v>8.333333333333337E-2</v>
      </c>
    </row>
    <row r="17" spans="2:16" s="44" customFormat="1" ht="15" customHeight="1" x14ac:dyDescent="0.25">
      <c r="B17" s="118">
        <f t="shared" ref="B17:B45" si="4">B16+1</f>
        <v>42707</v>
      </c>
      <c r="C17" s="94"/>
      <c r="D17" s="94"/>
      <c r="E17" s="95">
        <f t="shared" si="0"/>
        <v>0</v>
      </c>
      <c r="F17" s="94"/>
      <c r="G17" s="130">
        <f t="shared" si="1"/>
        <v>0</v>
      </c>
      <c r="H17" s="3"/>
      <c r="I17" s="3"/>
      <c r="J17" s="110" t="s">
        <v>53</v>
      </c>
      <c r="K17" s="83"/>
      <c r="L17" s="97"/>
      <c r="M17" s="92">
        <f t="shared" si="2"/>
        <v>0</v>
      </c>
      <c r="N17" s="93" t="str">
        <f t="shared" si="3"/>
        <v/>
      </c>
    </row>
    <row r="18" spans="2:16" s="44" customFormat="1" ht="15" customHeight="1" x14ac:dyDescent="0.25">
      <c r="B18" s="118">
        <f t="shared" si="4"/>
        <v>42708</v>
      </c>
      <c r="C18" s="95"/>
      <c r="D18" s="95"/>
      <c r="E18" s="95">
        <f t="shared" si="0"/>
        <v>0</v>
      </c>
      <c r="F18" s="95"/>
      <c r="G18" s="130">
        <f t="shared" si="1"/>
        <v>0</v>
      </c>
      <c r="H18" s="3"/>
      <c r="I18" s="3"/>
      <c r="J18" s="112"/>
      <c r="K18" s="83"/>
      <c r="L18" s="97"/>
      <c r="M18" s="92">
        <f t="shared" si="2"/>
        <v>0</v>
      </c>
      <c r="N18" s="93" t="str">
        <f t="shared" si="3"/>
        <v/>
      </c>
    </row>
    <row r="19" spans="2:16" s="44" customFormat="1" ht="15" customHeight="1" x14ac:dyDescent="0.25">
      <c r="B19" s="111">
        <f t="shared" si="4"/>
        <v>42709</v>
      </c>
      <c r="C19" s="95">
        <v>0.58333333333333337</v>
      </c>
      <c r="D19" s="95">
        <v>0.875</v>
      </c>
      <c r="E19" s="95">
        <f t="shared" si="0"/>
        <v>0.29166666666666663</v>
      </c>
      <c r="F19" s="95"/>
      <c r="G19" s="130">
        <f t="shared" si="1"/>
        <v>0.29166666666666663</v>
      </c>
      <c r="H19" s="3"/>
      <c r="I19" s="3"/>
      <c r="J19" s="112" t="s">
        <v>54</v>
      </c>
      <c r="K19" s="83"/>
      <c r="L19" s="97"/>
      <c r="M19" s="92">
        <f t="shared" si="2"/>
        <v>0.29166666666666663</v>
      </c>
      <c r="N19" s="93">
        <f t="shared" si="3"/>
        <v>0.29166666666666663</v>
      </c>
    </row>
    <row r="20" spans="2:16" s="44" customFormat="1" ht="15" customHeight="1" x14ac:dyDescent="0.25">
      <c r="B20" s="111">
        <f t="shared" si="4"/>
        <v>42710</v>
      </c>
      <c r="C20" s="95">
        <v>0.58333333333333337</v>
      </c>
      <c r="D20" s="95">
        <v>0.875</v>
      </c>
      <c r="E20" s="95">
        <f t="shared" si="0"/>
        <v>0.29166666666666663</v>
      </c>
      <c r="F20" s="95"/>
      <c r="G20" s="130">
        <f t="shared" si="1"/>
        <v>0.29166666666666663</v>
      </c>
      <c r="H20" s="3"/>
      <c r="I20" s="3"/>
      <c r="J20" s="112" t="s">
        <v>54</v>
      </c>
      <c r="K20" s="83"/>
      <c r="L20" s="97">
        <v>0.33333333333333331</v>
      </c>
      <c r="M20" s="92">
        <f t="shared" si="2"/>
        <v>0.29166666666666663</v>
      </c>
      <c r="N20" s="93" t="str">
        <f t="shared" si="3"/>
        <v>-01:00</v>
      </c>
      <c r="O20" s="98"/>
    </row>
    <row r="21" spans="2:16" s="44" customFormat="1" ht="15" customHeight="1" x14ac:dyDescent="0.25">
      <c r="B21" s="111">
        <f t="shared" si="4"/>
        <v>42711</v>
      </c>
      <c r="C21" s="95">
        <v>0.625</v>
      </c>
      <c r="D21" s="95">
        <v>0.875</v>
      </c>
      <c r="E21" s="95">
        <f t="shared" si="0"/>
        <v>0.25</v>
      </c>
      <c r="F21" s="95"/>
      <c r="G21" s="130">
        <f t="shared" si="1"/>
        <v>0.25</v>
      </c>
      <c r="H21" s="3"/>
      <c r="I21" s="3"/>
      <c r="J21" s="112" t="s">
        <v>54</v>
      </c>
      <c r="K21" s="83"/>
      <c r="L21" s="97">
        <v>0.33333333333333331</v>
      </c>
      <c r="M21" s="92">
        <f t="shared" si="2"/>
        <v>0.25</v>
      </c>
      <c r="N21" s="93" t="str">
        <f t="shared" si="3"/>
        <v>-02:00</v>
      </c>
      <c r="O21" s="98"/>
    </row>
    <row r="22" spans="2:16" s="44" customFormat="1" ht="15" customHeight="1" x14ac:dyDescent="0.25">
      <c r="B22" s="111">
        <f t="shared" si="4"/>
        <v>42712</v>
      </c>
      <c r="C22" s="95">
        <v>0.625</v>
      </c>
      <c r="D22" s="95">
        <v>0.875</v>
      </c>
      <c r="E22" s="95">
        <f t="shared" si="0"/>
        <v>0.25</v>
      </c>
      <c r="F22" s="95"/>
      <c r="G22" s="130">
        <f t="shared" si="1"/>
        <v>0.25</v>
      </c>
      <c r="H22" s="3"/>
      <c r="I22" s="3"/>
      <c r="J22" s="112" t="s">
        <v>54</v>
      </c>
      <c r="K22" s="83"/>
      <c r="L22" s="97"/>
      <c r="M22" s="92">
        <f t="shared" si="2"/>
        <v>0.25</v>
      </c>
      <c r="N22" s="93">
        <f t="shared" si="3"/>
        <v>0.25</v>
      </c>
      <c r="O22" s="98"/>
    </row>
    <row r="23" spans="2:16" s="44" customFormat="1" ht="15" customHeight="1" x14ac:dyDescent="0.25">
      <c r="B23" s="111">
        <f t="shared" si="4"/>
        <v>42713</v>
      </c>
      <c r="C23" s="95">
        <v>0.625</v>
      </c>
      <c r="D23" s="95">
        <v>0.875</v>
      </c>
      <c r="E23" s="95">
        <f t="shared" si="0"/>
        <v>0.25</v>
      </c>
      <c r="F23" s="95"/>
      <c r="G23" s="130">
        <f t="shared" si="1"/>
        <v>0.25</v>
      </c>
      <c r="H23" s="3"/>
      <c r="I23" s="3"/>
      <c r="J23" s="112" t="s">
        <v>54</v>
      </c>
      <c r="K23" s="83"/>
      <c r="L23" s="97"/>
      <c r="M23" s="92">
        <f t="shared" si="2"/>
        <v>0.25</v>
      </c>
      <c r="N23" s="93">
        <f t="shared" si="3"/>
        <v>0.25</v>
      </c>
      <c r="O23" s="98"/>
    </row>
    <row r="24" spans="2:16" s="44" customFormat="1" ht="15" customHeight="1" x14ac:dyDescent="0.25">
      <c r="B24" s="118">
        <f t="shared" si="4"/>
        <v>42714</v>
      </c>
      <c r="C24" s="95"/>
      <c r="D24" s="95"/>
      <c r="E24" s="95">
        <f t="shared" si="0"/>
        <v>0</v>
      </c>
      <c r="F24" s="95"/>
      <c r="G24" s="130">
        <f t="shared" si="1"/>
        <v>0</v>
      </c>
      <c r="H24" s="3"/>
      <c r="I24" s="3"/>
      <c r="J24" s="112"/>
      <c r="K24" s="83"/>
      <c r="L24" s="97"/>
      <c r="M24" s="92">
        <f t="shared" si="2"/>
        <v>0</v>
      </c>
      <c r="N24" s="93" t="str">
        <f t="shared" si="3"/>
        <v/>
      </c>
      <c r="O24" s="98"/>
    </row>
    <row r="25" spans="2:16" s="44" customFormat="1" ht="15" customHeight="1" x14ac:dyDescent="0.25">
      <c r="B25" s="118">
        <f t="shared" si="4"/>
        <v>42715</v>
      </c>
      <c r="C25" s="95"/>
      <c r="D25" s="95"/>
      <c r="E25" s="95">
        <f t="shared" si="0"/>
        <v>0</v>
      </c>
      <c r="F25" s="95"/>
      <c r="G25" s="130">
        <f t="shared" si="1"/>
        <v>0</v>
      </c>
      <c r="H25" s="3"/>
      <c r="I25" s="3"/>
      <c r="J25" s="112"/>
      <c r="K25" s="83"/>
      <c r="L25" s="97"/>
      <c r="M25" s="92">
        <f t="shared" si="2"/>
        <v>0</v>
      </c>
      <c r="N25" s="93" t="str">
        <f t="shared" si="3"/>
        <v/>
      </c>
      <c r="O25" s="98"/>
    </row>
    <row r="26" spans="2:16" s="44" customFormat="1" ht="15" customHeight="1" x14ac:dyDescent="0.25">
      <c r="B26" s="111">
        <f t="shared" si="4"/>
        <v>42716</v>
      </c>
      <c r="C26" s="95">
        <v>0.58333333333333337</v>
      </c>
      <c r="D26" s="95">
        <v>0.875</v>
      </c>
      <c r="E26" s="95">
        <f t="shared" si="0"/>
        <v>0.29166666666666663</v>
      </c>
      <c r="F26" s="95"/>
      <c r="G26" s="130">
        <f t="shared" si="1"/>
        <v>0.29166666666666663</v>
      </c>
      <c r="H26" s="3"/>
      <c r="I26" s="3"/>
      <c r="J26" s="112" t="s">
        <v>55</v>
      </c>
      <c r="K26" s="83"/>
      <c r="L26" s="97"/>
      <c r="M26" s="92">
        <f t="shared" si="2"/>
        <v>0.29166666666666663</v>
      </c>
      <c r="N26" s="93">
        <f t="shared" si="3"/>
        <v>0.29166666666666663</v>
      </c>
      <c r="O26" s="98"/>
    </row>
    <row r="27" spans="2:16" s="44" customFormat="1" ht="15" customHeight="1" x14ac:dyDescent="0.25">
      <c r="B27" s="111">
        <f t="shared" si="4"/>
        <v>42717</v>
      </c>
      <c r="C27" s="95">
        <v>0.625</v>
      </c>
      <c r="D27" s="95">
        <v>0.875</v>
      </c>
      <c r="E27" s="95">
        <f t="shared" si="0"/>
        <v>0.25</v>
      </c>
      <c r="F27" s="95"/>
      <c r="G27" s="130">
        <f t="shared" si="1"/>
        <v>0.25</v>
      </c>
      <c r="H27" s="3"/>
      <c r="I27" s="3"/>
      <c r="J27" s="112" t="s">
        <v>55</v>
      </c>
      <c r="K27" s="83"/>
      <c r="L27" s="97">
        <v>0.33333333333333331</v>
      </c>
      <c r="M27" s="92">
        <f t="shared" si="2"/>
        <v>0.25</v>
      </c>
      <c r="N27" s="93" t="str">
        <f t="shared" si="3"/>
        <v>-02:00</v>
      </c>
      <c r="O27" s="98"/>
      <c r="P27" s="99"/>
    </row>
    <row r="28" spans="2:16" s="44" customFormat="1" ht="15" customHeight="1" x14ac:dyDescent="0.25">
      <c r="B28" s="111">
        <f t="shared" si="4"/>
        <v>42718</v>
      </c>
      <c r="C28" s="95">
        <v>0.58333333333333337</v>
      </c>
      <c r="D28" s="95">
        <v>0.79166666666666663</v>
      </c>
      <c r="E28" s="95">
        <f t="shared" si="0"/>
        <v>0.20833333333333326</v>
      </c>
      <c r="F28" s="95"/>
      <c r="G28" s="130">
        <f t="shared" si="1"/>
        <v>0.20833333333333326</v>
      </c>
      <c r="H28" s="3"/>
      <c r="I28" s="3"/>
      <c r="J28" s="112" t="s">
        <v>55</v>
      </c>
      <c r="K28" s="83"/>
      <c r="L28" s="97">
        <v>0.33333333333333331</v>
      </c>
      <c r="M28" s="92">
        <f t="shared" si="2"/>
        <v>0.20833333333333326</v>
      </c>
      <c r="N28" s="93" t="str">
        <f t="shared" si="3"/>
        <v>-03:00</v>
      </c>
      <c r="O28" s="98"/>
      <c r="P28" s="99"/>
    </row>
    <row r="29" spans="2:16" s="44" customFormat="1" ht="15" customHeight="1" x14ac:dyDescent="0.25">
      <c r="B29" s="111">
        <f t="shared" si="4"/>
        <v>42719</v>
      </c>
      <c r="C29" s="95">
        <v>0.625</v>
      </c>
      <c r="D29" s="95">
        <v>0.70833333333333337</v>
      </c>
      <c r="E29" s="95">
        <f t="shared" si="0"/>
        <v>8.333333333333337E-2</v>
      </c>
      <c r="F29" s="95"/>
      <c r="G29" s="130">
        <f t="shared" si="1"/>
        <v>8.333333333333337E-2</v>
      </c>
      <c r="H29" s="3"/>
      <c r="I29" s="3"/>
      <c r="J29" s="112" t="s">
        <v>55</v>
      </c>
      <c r="K29" s="83"/>
      <c r="L29" s="97">
        <v>0.33333333333333331</v>
      </c>
      <c r="M29" s="92">
        <f t="shared" si="2"/>
        <v>8.333333333333337E-2</v>
      </c>
      <c r="N29" s="93" t="str">
        <f t="shared" si="3"/>
        <v>-06:00</v>
      </c>
      <c r="O29" s="98"/>
      <c r="P29" s="99"/>
    </row>
    <row r="30" spans="2:16" s="44" customFormat="1" ht="15" customHeight="1" x14ac:dyDescent="0.25">
      <c r="B30" s="111">
        <f t="shared" si="4"/>
        <v>42720</v>
      </c>
      <c r="C30" s="95">
        <v>0.625</v>
      </c>
      <c r="D30" s="95">
        <v>0.70833333333333337</v>
      </c>
      <c r="E30" s="95">
        <f t="shared" si="0"/>
        <v>8.333333333333337E-2</v>
      </c>
      <c r="F30" s="95"/>
      <c r="G30" s="130">
        <f t="shared" si="1"/>
        <v>8.333333333333337E-2</v>
      </c>
      <c r="H30" s="3"/>
      <c r="I30" s="3"/>
      <c r="J30" s="112" t="s">
        <v>55</v>
      </c>
      <c r="K30" s="83"/>
      <c r="L30" s="97">
        <v>0.33333333333333331</v>
      </c>
      <c r="M30" s="92">
        <f t="shared" si="2"/>
        <v>8.333333333333337E-2</v>
      </c>
      <c r="N30" s="93" t="str">
        <f t="shared" si="3"/>
        <v>-06:00</v>
      </c>
      <c r="O30" s="98"/>
      <c r="P30" s="99"/>
    </row>
    <row r="31" spans="2:16" s="44" customFormat="1" ht="15" customHeight="1" x14ac:dyDescent="0.25">
      <c r="B31" s="118">
        <f t="shared" si="4"/>
        <v>42721</v>
      </c>
      <c r="C31" s="95"/>
      <c r="D31" s="95"/>
      <c r="E31" s="95">
        <f t="shared" si="0"/>
        <v>0</v>
      </c>
      <c r="F31" s="95"/>
      <c r="G31" s="130">
        <f t="shared" si="1"/>
        <v>0</v>
      </c>
      <c r="H31" s="3"/>
      <c r="I31" s="3"/>
      <c r="J31" s="112"/>
      <c r="K31" s="83"/>
      <c r="L31" s="97"/>
      <c r="M31" s="92">
        <f t="shared" si="2"/>
        <v>0</v>
      </c>
      <c r="N31" s="93" t="str">
        <f t="shared" si="3"/>
        <v/>
      </c>
      <c r="O31" s="98"/>
      <c r="P31" s="99"/>
    </row>
    <row r="32" spans="2:16" s="44" customFormat="1" ht="15" customHeight="1" x14ac:dyDescent="0.25">
      <c r="B32" s="118">
        <f t="shared" si="4"/>
        <v>42722</v>
      </c>
      <c r="C32" s="95"/>
      <c r="D32" s="95"/>
      <c r="E32" s="95">
        <f>D32-C32</f>
        <v>0</v>
      </c>
      <c r="F32" s="95"/>
      <c r="G32" s="130">
        <f>E32-F32</f>
        <v>0</v>
      </c>
      <c r="H32" s="3"/>
      <c r="I32" s="3"/>
      <c r="J32" s="112"/>
      <c r="K32" s="83"/>
      <c r="L32" s="97"/>
      <c r="M32" s="92">
        <f t="shared" si="2"/>
        <v>0</v>
      </c>
      <c r="N32" s="93" t="str">
        <f t="shared" si="3"/>
        <v/>
      </c>
      <c r="O32" s="98"/>
      <c r="P32" s="99"/>
    </row>
    <row r="33" spans="2:16" s="44" customFormat="1" ht="15" customHeight="1" x14ac:dyDescent="0.25">
      <c r="B33" s="111">
        <f t="shared" si="4"/>
        <v>42723</v>
      </c>
      <c r="C33" s="95">
        <v>0.58333333333333337</v>
      </c>
      <c r="D33" s="95">
        <v>0.8125</v>
      </c>
      <c r="E33" s="95">
        <f>D33-C33</f>
        <v>0.22916666666666663</v>
      </c>
      <c r="F33" s="95"/>
      <c r="G33" s="130">
        <f>E33-F33</f>
        <v>0.22916666666666663</v>
      </c>
      <c r="H33" s="3"/>
      <c r="I33" s="3"/>
      <c r="J33" s="112" t="s">
        <v>55</v>
      </c>
      <c r="K33" s="83"/>
      <c r="L33" s="97"/>
      <c r="M33" s="92">
        <f t="shared" si="2"/>
        <v>0.22916666666666663</v>
      </c>
      <c r="N33" s="93">
        <f t="shared" si="3"/>
        <v>0.22916666666666663</v>
      </c>
      <c r="O33" s="98"/>
      <c r="P33" s="99"/>
    </row>
    <row r="34" spans="2:16" s="44" customFormat="1" ht="15" customHeight="1" x14ac:dyDescent="0.25">
      <c r="B34" s="111">
        <f t="shared" si="4"/>
        <v>42724</v>
      </c>
      <c r="C34" s="95">
        <v>0.58333333333333337</v>
      </c>
      <c r="D34" s="95">
        <v>0.89583333333333337</v>
      </c>
      <c r="E34" s="95">
        <f t="shared" ref="E34:E44" si="5">D34-C34</f>
        <v>0.3125</v>
      </c>
      <c r="F34" s="95"/>
      <c r="G34" s="130">
        <f t="shared" ref="G34:G44" si="6">E34-F34</f>
        <v>0.3125</v>
      </c>
      <c r="H34" s="3"/>
      <c r="I34" s="3"/>
      <c r="J34" s="112" t="s">
        <v>55</v>
      </c>
      <c r="K34" s="83"/>
      <c r="L34" s="97">
        <v>0.33333333333333331</v>
      </c>
      <c r="M34" s="92">
        <f t="shared" si="2"/>
        <v>0.3125</v>
      </c>
      <c r="N34" s="93" t="str">
        <f t="shared" si="3"/>
        <v>-00:30</v>
      </c>
      <c r="O34" s="98"/>
      <c r="P34" s="99"/>
    </row>
    <row r="35" spans="2:16" s="44" customFormat="1" ht="15" customHeight="1" x14ac:dyDescent="0.25">
      <c r="B35" s="111">
        <f t="shared" si="4"/>
        <v>42725</v>
      </c>
      <c r="C35" s="95">
        <v>0.41666666666666669</v>
      </c>
      <c r="D35" s="95">
        <v>0.91666666666666663</v>
      </c>
      <c r="E35" s="95">
        <f t="shared" si="5"/>
        <v>0.49999999999999994</v>
      </c>
      <c r="F35" s="95">
        <v>4.1666666666666664E-2</v>
      </c>
      <c r="G35" s="130">
        <f t="shared" si="6"/>
        <v>0.45833333333333326</v>
      </c>
      <c r="H35" s="3"/>
      <c r="I35" s="3"/>
      <c r="J35" s="112" t="s">
        <v>55</v>
      </c>
      <c r="K35" s="83"/>
      <c r="L35" s="97">
        <v>0.33333333333333331</v>
      </c>
      <c r="M35" s="92">
        <f t="shared" si="2"/>
        <v>0.45833333333333326</v>
      </c>
      <c r="N35" s="93">
        <f t="shared" si="3"/>
        <v>0.12499999999999994</v>
      </c>
      <c r="O35" s="98"/>
      <c r="P35" s="99"/>
    </row>
    <row r="36" spans="2:16" s="44" customFormat="1" ht="15" customHeight="1" x14ac:dyDescent="0.25">
      <c r="B36" s="111">
        <f t="shared" si="4"/>
        <v>42726</v>
      </c>
      <c r="C36" s="95">
        <v>0.66666666666666663</v>
      </c>
      <c r="D36" s="95">
        <v>0.70833333333333337</v>
      </c>
      <c r="E36" s="95">
        <f t="shared" si="5"/>
        <v>4.1666666666666741E-2</v>
      </c>
      <c r="F36" s="95"/>
      <c r="G36" s="130">
        <f t="shared" si="6"/>
        <v>4.1666666666666741E-2</v>
      </c>
      <c r="H36" s="3"/>
      <c r="I36" s="3"/>
      <c r="J36" s="112" t="s">
        <v>55</v>
      </c>
      <c r="K36" s="83"/>
      <c r="L36" s="97">
        <v>0.33333333333333331</v>
      </c>
      <c r="M36" s="92">
        <f t="shared" si="2"/>
        <v>4.1666666666666741E-2</v>
      </c>
      <c r="N36" s="93" t="str">
        <f t="shared" si="3"/>
        <v>-07:00</v>
      </c>
      <c r="O36" s="98"/>
    </row>
    <row r="37" spans="2:16" s="44" customFormat="1" ht="15" customHeight="1" x14ac:dyDescent="0.25">
      <c r="B37" s="111">
        <f t="shared" si="4"/>
        <v>42727</v>
      </c>
      <c r="C37" s="95"/>
      <c r="D37" s="95"/>
      <c r="E37" s="95">
        <f t="shared" si="5"/>
        <v>0</v>
      </c>
      <c r="F37" s="95"/>
      <c r="G37" s="130">
        <f t="shared" si="6"/>
        <v>0</v>
      </c>
      <c r="H37" s="3"/>
      <c r="I37" s="3"/>
      <c r="J37" s="112" t="s">
        <v>55</v>
      </c>
      <c r="K37" s="83"/>
      <c r="L37" s="97">
        <v>0.33333333333333331</v>
      </c>
      <c r="M37" s="92">
        <f t="shared" si="2"/>
        <v>0</v>
      </c>
      <c r="N37" s="93" t="str">
        <f t="shared" si="3"/>
        <v>-08:00</v>
      </c>
      <c r="O37" s="98"/>
    </row>
    <row r="38" spans="2:16" s="44" customFormat="1" ht="15" customHeight="1" x14ac:dyDescent="0.25">
      <c r="B38" s="118">
        <f t="shared" si="4"/>
        <v>42728</v>
      </c>
      <c r="C38" s="95"/>
      <c r="D38" s="95"/>
      <c r="E38" s="95">
        <f t="shared" si="5"/>
        <v>0</v>
      </c>
      <c r="F38" s="95"/>
      <c r="G38" s="130">
        <f t="shared" si="6"/>
        <v>0</v>
      </c>
      <c r="H38" s="3"/>
      <c r="I38" s="3"/>
      <c r="J38" s="112"/>
      <c r="K38" s="83"/>
      <c r="L38" s="97">
        <v>0</v>
      </c>
      <c r="M38" s="92">
        <f t="shared" si="2"/>
        <v>0</v>
      </c>
      <c r="N38" s="93" t="str">
        <f t="shared" si="3"/>
        <v/>
      </c>
      <c r="O38" s="98"/>
    </row>
    <row r="39" spans="2:16" s="44" customFormat="1" ht="15" customHeight="1" x14ac:dyDescent="0.25">
      <c r="B39" s="118">
        <f t="shared" si="4"/>
        <v>42729</v>
      </c>
      <c r="C39" s="95"/>
      <c r="D39" s="95"/>
      <c r="E39" s="95">
        <f t="shared" si="5"/>
        <v>0</v>
      </c>
      <c r="F39" s="95"/>
      <c r="G39" s="130">
        <f t="shared" si="6"/>
        <v>0</v>
      </c>
      <c r="H39" s="3"/>
      <c r="I39" s="3"/>
      <c r="J39" s="112"/>
      <c r="K39" s="83"/>
      <c r="L39" s="97"/>
      <c r="M39" s="92">
        <f t="shared" si="2"/>
        <v>0</v>
      </c>
      <c r="N39" s="93" t="str">
        <f t="shared" si="3"/>
        <v/>
      </c>
      <c r="O39" s="98"/>
    </row>
    <row r="40" spans="2:16" s="44" customFormat="1" ht="15" customHeight="1" x14ac:dyDescent="0.25">
      <c r="B40" s="111">
        <f t="shared" si="4"/>
        <v>42730</v>
      </c>
      <c r="C40" s="95"/>
      <c r="D40" s="95"/>
      <c r="E40" s="95">
        <f t="shared" si="5"/>
        <v>0</v>
      </c>
      <c r="F40" s="95"/>
      <c r="G40" s="130">
        <f t="shared" si="6"/>
        <v>0</v>
      </c>
      <c r="H40" s="3"/>
      <c r="I40" s="3"/>
      <c r="J40" s="112" t="s">
        <v>55</v>
      </c>
      <c r="K40" s="83"/>
      <c r="L40" s="97"/>
      <c r="M40" s="92">
        <f t="shared" si="2"/>
        <v>0</v>
      </c>
      <c r="N40" s="93" t="str">
        <f t="shared" si="3"/>
        <v/>
      </c>
      <c r="O40" s="98"/>
    </row>
    <row r="41" spans="2:16" s="44" customFormat="1" ht="15" customHeight="1" x14ac:dyDescent="0.25">
      <c r="B41" s="111">
        <f t="shared" si="4"/>
        <v>42731</v>
      </c>
      <c r="C41" s="95"/>
      <c r="D41" s="95"/>
      <c r="E41" s="95">
        <f t="shared" si="5"/>
        <v>0</v>
      </c>
      <c r="F41" s="95"/>
      <c r="G41" s="130">
        <f t="shared" si="6"/>
        <v>0</v>
      </c>
      <c r="H41" s="3"/>
      <c r="I41" s="3"/>
      <c r="J41" s="112" t="s">
        <v>55</v>
      </c>
      <c r="K41" s="83"/>
      <c r="L41" s="97">
        <v>0.33333333333333331</v>
      </c>
      <c r="M41" s="92">
        <f t="shared" si="2"/>
        <v>0</v>
      </c>
      <c r="N41" s="93" t="str">
        <f t="shared" si="3"/>
        <v>-08:00</v>
      </c>
      <c r="O41" s="98"/>
    </row>
    <row r="42" spans="2:16" s="44" customFormat="1" ht="15" customHeight="1" x14ac:dyDescent="0.25">
      <c r="B42" s="111">
        <f t="shared" si="4"/>
        <v>42732</v>
      </c>
      <c r="C42" s="95"/>
      <c r="D42" s="95"/>
      <c r="E42" s="95">
        <f t="shared" si="5"/>
        <v>0</v>
      </c>
      <c r="F42" s="95"/>
      <c r="G42" s="130">
        <f t="shared" si="6"/>
        <v>0</v>
      </c>
      <c r="H42" s="3"/>
      <c r="I42" s="3"/>
      <c r="J42" s="112" t="s">
        <v>55</v>
      </c>
      <c r="K42" s="83"/>
      <c r="L42" s="97">
        <v>0.33333333333333331</v>
      </c>
      <c r="M42" s="92">
        <f t="shared" si="2"/>
        <v>0</v>
      </c>
      <c r="N42" s="93" t="str">
        <f t="shared" si="3"/>
        <v>-08:00</v>
      </c>
      <c r="O42" s="98"/>
    </row>
    <row r="43" spans="2:16" s="44" customFormat="1" ht="15" customHeight="1" x14ac:dyDescent="0.25">
      <c r="B43" s="111">
        <f t="shared" si="4"/>
        <v>42733</v>
      </c>
      <c r="C43" s="95"/>
      <c r="D43" s="95"/>
      <c r="E43" s="95">
        <f t="shared" si="5"/>
        <v>0</v>
      </c>
      <c r="F43" s="95"/>
      <c r="G43" s="130">
        <f t="shared" si="6"/>
        <v>0</v>
      </c>
      <c r="H43" s="3"/>
      <c r="I43" s="3"/>
      <c r="J43" s="112" t="s">
        <v>55</v>
      </c>
      <c r="K43" s="83"/>
      <c r="L43" s="97">
        <v>0.33333333333333331</v>
      </c>
      <c r="M43" s="92">
        <f t="shared" si="2"/>
        <v>0</v>
      </c>
      <c r="N43" s="93" t="str">
        <f t="shared" si="3"/>
        <v>-08:00</v>
      </c>
      <c r="O43" s="98"/>
    </row>
    <row r="44" spans="2:16" s="44" customFormat="1" ht="15" customHeight="1" x14ac:dyDescent="0.25">
      <c r="B44" s="111">
        <f t="shared" si="4"/>
        <v>42734</v>
      </c>
      <c r="C44" s="95"/>
      <c r="D44" s="95"/>
      <c r="E44" s="95">
        <f t="shared" si="5"/>
        <v>0</v>
      </c>
      <c r="F44" s="95"/>
      <c r="G44" s="130">
        <f t="shared" si="6"/>
        <v>0</v>
      </c>
      <c r="H44" s="3"/>
      <c r="I44" s="3"/>
      <c r="J44" s="112" t="s">
        <v>55</v>
      </c>
      <c r="K44" s="83"/>
      <c r="L44" s="97">
        <v>0.33333333333333331</v>
      </c>
      <c r="M44" s="92">
        <f t="shared" si="2"/>
        <v>0</v>
      </c>
      <c r="N44" s="93" t="str">
        <f t="shared" si="3"/>
        <v>-08:00</v>
      </c>
      <c r="O44" s="98"/>
    </row>
    <row r="45" spans="2:16" s="44" customFormat="1" ht="15" customHeight="1" thickBot="1" x14ac:dyDescent="0.3">
      <c r="B45" s="118">
        <f t="shared" si="4"/>
        <v>42735</v>
      </c>
      <c r="C45" s="95"/>
      <c r="D45" s="95"/>
      <c r="E45" s="95"/>
      <c r="F45" s="94"/>
      <c r="G45" s="130"/>
      <c r="H45" s="3"/>
      <c r="I45" s="3"/>
      <c r="J45" s="115"/>
      <c r="K45" s="83"/>
      <c r="L45" s="102"/>
      <c r="M45" s="103">
        <f t="shared" si="2"/>
        <v>0</v>
      </c>
      <c r="N45" s="104" t="str">
        <f t="shared" si="3"/>
        <v/>
      </c>
      <c r="O45" s="98"/>
    </row>
    <row r="46" spans="2:16" s="30" customFormat="1" ht="24.95" customHeight="1" thickBot="1" x14ac:dyDescent="0.3">
      <c r="B46" s="85" t="s">
        <v>2</v>
      </c>
      <c r="C46" s="80"/>
      <c r="D46" s="80"/>
      <c r="E46" s="86"/>
      <c r="F46" s="87"/>
      <c r="G46" s="134">
        <f>SUM(G15:G45)</f>
        <v>3.4583333333333339</v>
      </c>
      <c r="H46" s="3"/>
      <c r="I46" s="140"/>
      <c r="J46" s="88"/>
      <c r="K46" s="83"/>
      <c r="L46" s="84">
        <f>SUM(L15:L45)</f>
        <v>4.6666666666666661</v>
      </c>
      <c r="M46" s="84">
        <f>SUM(M15:M45)</f>
        <v>3.4583333333333339</v>
      </c>
      <c r="N46" s="84" t="str">
        <f>IF(M46&lt;L46,TEXT((ABS(M46-L46)),"-[h]:mm"),IF(M46=L46,"",M46-L46))</f>
        <v>-29:00</v>
      </c>
    </row>
    <row r="47" spans="2:16" ht="20.100000000000001" customHeight="1" thickBot="1" x14ac:dyDescent="0.3">
      <c r="I47" s="141"/>
      <c r="L47" s="20"/>
    </row>
    <row r="48" spans="2:16" ht="15" customHeight="1" x14ac:dyDescent="0.25">
      <c r="B48" s="178" t="s">
        <v>5</v>
      </c>
      <c r="C48" s="180" t="s">
        <v>48</v>
      </c>
      <c r="D48" s="170"/>
      <c r="E48" s="62"/>
      <c r="F48" s="63"/>
      <c r="G48" s="72"/>
      <c r="I48" s="141"/>
    </row>
    <row r="49" spans="2:9" ht="15" customHeight="1" thickBot="1" x14ac:dyDescent="0.3">
      <c r="B49" s="179"/>
      <c r="C49" s="181"/>
      <c r="D49" s="171"/>
      <c r="E49" s="9"/>
      <c r="F49" s="7"/>
      <c r="G49" s="75"/>
      <c r="I49" s="142"/>
    </row>
    <row r="50" spans="2:9" ht="17.100000000000001" customHeight="1" x14ac:dyDescent="0.25">
      <c r="B50" s="182" t="s">
        <v>45</v>
      </c>
      <c r="C50" s="125" t="s">
        <v>46</v>
      </c>
      <c r="D50" s="9"/>
      <c r="E50" s="9"/>
      <c r="F50" s="7"/>
      <c r="G50" s="75"/>
    </row>
    <row r="51" spans="2:9" ht="17.100000000000001" customHeight="1" thickBot="1" x14ac:dyDescent="0.3">
      <c r="B51" s="179"/>
      <c r="C51" s="126" t="s">
        <v>47</v>
      </c>
      <c r="D51" s="66"/>
      <c r="E51" s="66"/>
      <c r="F51" s="67"/>
      <c r="G51" s="73"/>
    </row>
    <row r="52" spans="2:9" ht="20.100000000000001" customHeight="1" thickBot="1" x14ac:dyDescent="0.3"/>
    <row r="53" spans="2:9" ht="15" customHeight="1" x14ac:dyDescent="0.25">
      <c r="C53" s="172" t="s">
        <v>50</v>
      </c>
      <c r="D53" s="173"/>
      <c r="E53" s="173"/>
      <c r="F53" s="173"/>
      <c r="G53" s="174"/>
    </row>
    <row r="54" spans="2:9" x14ac:dyDescent="0.25">
      <c r="C54" s="175"/>
      <c r="D54" s="176"/>
      <c r="E54" s="176"/>
      <c r="F54" s="176"/>
      <c r="G54" s="177"/>
    </row>
    <row r="55" spans="2:9" ht="39.950000000000003" customHeight="1" thickBot="1" x14ac:dyDescent="0.3">
      <c r="C55" s="127" t="s">
        <v>57</v>
      </c>
      <c r="D55" s="67"/>
      <c r="E55" s="67"/>
      <c r="F55" s="67"/>
      <c r="G55" s="68"/>
    </row>
    <row r="56" spans="2:9" x14ac:dyDescent="0.25">
      <c r="G56" s="1"/>
    </row>
  </sheetData>
  <mergeCells count="11">
    <mergeCell ref="N7:N14"/>
    <mergeCell ref="B48:B49"/>
    <mergeCell ref="C48:D49"/>
    <mergeCell ref="B50:B51"/>
    <mergeCell ref="C53:G54"/>
    <mergeCell ref="B2:G2"/>
    <mergeCell ref="B4:B5"/>
    <mergeCell ref="C4:D5"/>
    <mergeCell ref="B6:B7"/>
    <mergeCell ref="L7:L14"/>
    <mergeCell ref="M7:M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4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Consolidado</vt:lpstr>
      <vt:lpstr>AGO-16</vt:lpstr>
      <vt:lpstr>SET-16</vt:lpstr>
      <vt:lpstr>OUT-16 Tânia</vt:lpstr>
      <vt:lpstr>OUT-16 Maluf</vt:lpstr>
      <vt:lpstr>NOV-16 Tânia</vt:lpstr>
      <vt:lpstr>NOV-16 Maluf</vt:lpstr>
      <vt:lpstr>DEZ-16 Tânia</vt:lpstr>
      <vt:lpstr>DEZ-16 Maluf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Maluf</dc:creator>
  <cp:lastModifiedBy>Jorge Filho</cp:lastModifiedBy>
  <cp:lastPrinted>2017-01-18T19:36:27Z</cp:lastPrinted>
  <dcterms:created xsi:type="dcterms:W3CDTF">2011-04-20T21:15:05Z</dcterms:created>
  <dcterms:modified xsi:type="dcterms:W3CDTF">2017-01-18T19:38:26Z</dcterms:modified>
</cp:coreProperties>
</file>