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7" lowestEdited="4" rupBuild="1757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Chacon\Google Drive\Smiles\Controle de Horas\"/>
    </mc:Choice>
  </mc:AlternateContent>
  <bookViews>
    <workbookView xWindow="0" yWindow="36" windowWidth="19152" windowHeight="8508" tabRatio="673" firstSheet="1" activeTab="2"/>
  </bookViews>
  <sheets>
    <sheet name="Consolidado" sheetId="11" state="hidden" r:id="rId1"/>
    <sheet name="DEZ-16" sheetId="27" r:id="rId2"/>
    <sheet name="JAN-17" sheetId="28" r:id="rId3"/>
    <sheet name="FEV-17" sheetId="29" r:id="rId4"/>
    <sheet name="MAR-17" sheetId="30" r:id="rId5"/>
    <sheet name="ABR-17" sheetId="31" r:id="rId6"/>
    <sheet name="MAI-17" sheetId="32" r:id="rId7"/>
    <sheet name="JUN-17" sheetId="35" r:id="rId8"/>
    <sheet name="JUL-17" sheetId="34" r:id="rId9"/>
    <sheet name="AGO-17" sheetId="36" r:id="rId10"/>
    <sheet name="SET-17" sheetId="37" r:id="rId11"/>
    <sheet name="OUT-17" sheetId="38" r:id="rId12"/>
    <sheet name="NOV-17" sheetId="39" r:id="rId13"/>
    <sheet name="DEZ-17" sheetId="40" r:id="rId14"/>
  </sheets>
  <calcPr calcId="162913"/>
</workbook>
</file>

<file path=xl/calcChain.xml><?xml version="1.0" encoding="utf-8"?>
<calcChain xmlns="http://schemas.openxmlformats.org/spreadsheetml/2006/main">
  <c r="E19" i="28" l="1"/>
  <c r="E13" i="28" l="1"/>
  <c r="E12" i="28"/>
  <c r="E11" i="28"/>
  <c r="E15" i="28"/>
  <c r="J41" i="40" l="1"/>
  <c r="G40" i="40"/>
  <c r="K40" i="40" s="1"/>
  <c r="L40" i="40" s="1"/>
  <c r="E40" i="40"/>
  <c r="E39" i="40"/>
  <c r="G39" i="40" s="1"/>
  <c r="K39" i="40" s="1"/>
  <c r="L39" i="40" s="1"/>
  <c r="E38" i="40"/>
  <c r="G38" i="40" s="1"/>
  <c r="K38" i="40" s="1"/>
  <c r="L38" i="40" s="1"/>
  <c r="E37" i="40"/>
  <c r="G37" i="40" s="1"/>
  <c r="K37" i="40" s="1"/>
  <c r="L37" i="40" s="1"/>
  <c r="G36" i="40"/>
  <c r="K36" i="40" s="1"/>
  <c r="L36" i="40" s="1"/>
  <c r="E36" i="40"/>
  <c r="E35" i="40"/>
  <c r="G35" i="40" s="1"/>
  <c r="K35" i="40" s="1"/>
  <c r="L35" i="40" s="1"/>
  <c r="E34" i="40"/>
  <c r="G34" i="40" s="1"/>
  <c r="K34" i="40" s="1"/>
  <c r="L34" i="40" s="1"/>
  <c r="E33" i="40"/>
  <c r="G33" i="40" s="1"/>
  <c r="K33" i="40" s="1"/>
  <c r="L33" i="40" s="1"/>
  <c r="G32" i="40"/>
  <c r="K32" i="40" s="1"/>
  <c r="L32" i="40" s="1"/>
  <c r="E32" i="40"/>
  <c r="E31" i="40"/>
  <c r="G31" i="40" s="1"/>
  <c r="K31" i="40" s="1"/>
  <c r="L31" i="40" s="1"/>
  <c r="E30" i="40"/>
  <c r="G30" i="40" s="1"/>
  <c r="K30" i="40" s="1"/>
  <c r="L30" i="40" s="1"/>
  <c r="E29" i="40"/>
  <c r="G29" i="40" s="1"/>
  <c r="K29" i="40" s="1"/>
  <c r="L29" i="40" s="1"/>
  <c r="G28" i="40"/>
  <c r="K28" i="40" s="1"/>
  <c r="L28" i="40" s="1"/>
  <c r="E28" i="40"/>
  <c r="E27" i="40"/>
  <c r="G27" i="40" s="1"/>
  <c r="K27" i="40" s="1"/>
  <c r="L27" i="40" s="1"/>
  <c r="E26" i="40"/>
  <c r="G26" i="40" s="1"/>
  <c r="K26" i="40" s="1"/>
  <c r="L26" i="40" s="1"/>
  <c r="E25" i="40"/>
  <c r="G25" i="40" s="1"/>
  <c r="K25" i="40" s="1"/>
  <c r="L25" i="40" s="1"/>
  <c r="G24" i="40"/>
  <c r="K24" i="40" s="1"/>
  <c r="L24" i="40" s="1"/>
  <c r="E24" i="40"/>
  <c r="E23" i="40"/>
  <c r="G23" i="40" s="1"/>
  <c r="K23" i="40" s="1"/>
  <c r="L23" i="40" s="1"/>
  <c r="E22" i="40"/>
  <c r="G22" i="40" s="1"/>
  <c r="K22" i="40" s="1"/>
  <c r="L22" i="40" s="1"/>
  <c r="E21" i="40"/>
  <c r="G21" i="40" s="1"/>
  <c r="K21" i="40" s="1"/>
  <c r="L21" i="40" s="1"/>
  <c r="G20" i="40"/>
  <c r="K20" i="40" s="1"/>
  <c r="L20" i="40" s="1"/>
  <c r="E20" i="40"/>
  <c r="E19" i="40"/>
  <c r="G19" i="40" s="1"/>
  <c r="K19" i="40" s="1"/>
  <c r="L19" i="40" s="1"/>
  <c r="E18" i="40"/>
  <c r="G18" i="40" s="1"/>
  <c r="K18" i="40" s="1"/>
  <c r="L18" i="40" s="1"/>
  <c r="E17" i="40"/>
  <c r="G17" i="40" s="1"/>
  <c r="K17" i="40" s="1"/>
  <c r="L17" i="40" s="1"/>
  <c r="G16" i="40"/>
  <c r="K16" i="40" s="1"/>
  <c r="L16" i="40" s="1"/>
  <c r="E16" i="40"/>
  <c r="E15" i="40"/>
  <c r="G15" i="40" s="1"/>
  <c r="K15" i="40" s="1"/>
  <c r="L15" i="40" s="1"/>
  <c r="E14" i="40"/>
  <c r="G14" i="40" s="1"/>
  <c r="K14" i="40" s="1"/>
  <c r="L14" i="40" s="1"/>
  <c r="E13" i="40"/>
  <c r="G13" i="40" s="1"/>
  <c r="K13" i="40" s="1"/>
  <c r="L13" i="40" s="1"/>
  <c r="G12" i="40"/>
  <c r="K12" i="40" s="1"/>
  <c r="L12" i="40" s="1"/>
  <c r="E12" i="40"/>
  <c r="E11" i="40"/>
  <c r="G11" i="40" s="1"/>
  <c r="K11" i="40" s="1"/>
  <c r="L11" i="40" s="1"/>
  <c r="B11" i="40"/>
  <c r="B12" i="40" s="1"/>
  <c r="B13" i="40" s="1"/>
  <c r="B14" i="40" s="1"/>
  <c r="B15" i="40" s="1"/>
  <c r="B16" i="40" s="1"/>
  <c r="B17" i="40" s="1"/>
  <c r="B18" i="40" s="1"/>
  <c r="B19" i="40" s="1"/>
  <c r="B20" i="40" s="1"/>
  <c r="B21" i="40" s="1"/>
  <c r="B22" i="40" s="1"/>
  <c r="B23" i="40" s="1"/>
  <c r="B24" i="40" s="1"/>
  <c r="B25" i="40" s="1"/>
  <c r="B26" i="40" s="1"/>
  <c r="B27" i="40" s="1"/>
  <c r="B28" i="40" s="1"/>
  <c r="B29" i="40" s="1"/>
  <c r="B30" i="40" s="1"/>
  <c r="B31" i="40" s="1"/>
  <c r="B32" i="40" s="1"/>
  <c r="B33" i="40" s="1"/>
  <c r="B34" i="40" s="1"/>
  <c r="B35" i="40" s="1"/>
  <c r="B36" i="40" s="1"/>
  <c r="B37" i="40" s="1"/>
  <c r="B38" i="40" s="1"/>
  <c r="B39" i="40" s="1"/>
  <c r="B40" i="40" s="1"/>
  <c r="E10" i="40"/>
  <c r="G10" i="40" s="1"/>
  <c r="J40" i="39"/>
  <c r="E39" i="39"/>
  <c r="G39" i="39" s="1"/>
  <c r="K39" i="39" s="1"/>
  <c r="L39" i="39" s="1"/>
  <c r="E38" i="39"/>
  <c r="G38" i="39" s="1"/>
  <c r="K38" i="39" s="1"/>
  <c r="L38" i="39" s="1"/>
  <c r="E37" i="39"/>
  <c r="G37" i="39" s="1"/>
  <c r="K37" i="39" s="1"/>
  <c r="L37" i="39" s="1"/>
  <c r="E36" i="39"/>
  <c r="G36" i="39" s="1"/>
  <c r="K36" i="39" s="1"/>
  <c r="L36" i="39" s="1"/>
  <c r="G35" i="39"/>
  <c r="K35" i="39" s="1"/>
  <c r="L35" i="39" s="1"/>
  <c r="E35" i="39"/>
  <c r="E34" i="39"/>
  <c r="G34" i="39" s="1"/>
  <c r="K34" i="39" s="1"/>
  <c r="L34" i="39" s="1"/>
  <c r="E33" i="39"/>
  <c r="G33" i="39" s="1"/>
  <c r="K33" i="39" s="1"/>
  <c r="L33" i="39" s="1"/>
  <c r="E32" i="39"/>
  <c r="G32" i="39" s="1"/>
  <c r="K32" i="39" s="1"/>
  <c r="L32" i="39" s="1"/>
  <c r="G31" i="39"/>
  <c r="K31" i="39" s="1"/>
  <c r="L31" i="39" s="1"/>
  <c r="E31" i="39"/>
  <c r="K30" i="39"/>
  <c r="L30" i="39" s="1"/>
  <c r="G30" i="39"/>
  <c r="E30" i="39"/>
  <c r="E29" i="39"/>
  <c r="G29" i="39" s="1"/>
  <c r="K29" i="39" s="1"/>
  <c r="L29" i="39" s="1"/>
  <c r="E28" i="39"/>
  <c r="G28" i="39" s="1"/>
  <c r="K28" i="39" s="1"/>
  <c r="L28" i="39" s="1"/>
  <c r="E27" i="39"/>
  <c r="G27" i="39" s="1"/>
  <c r="K27" i="39" s="1"/>
  <c r="L27" i="39" s="1"/>
  <c r="E26" i="39"/>
  <c r="G26" i="39" s="1"/>
  <c r="K26" i="39" s="1"/>
  <c r="L26" i="39" s="1"/>
  <c r="E25" i="39"/>
  <c r="G25" i="39" s="1"/>
  <c r="K25" i="39" s="1"/>
  <c r="L25" i="39" s="1"/>
  <c r="E24" i="39"/>
  <c r="G24" i="39" s="1"/>
  <c r="K24" i="39" s="1"/>
  <c r="L24" i="39" s="1"/>
  <c r="E23" i="39"/>
  <c r="G23" i="39" s="1"/>
  <c r="K23" i="39" s="1"/>
  <c r="L23" i="39" s="1"/>
  <c r="E22" i="39"/>
  <c r="G22" i="39" s="1"/>
  <c r="K22" i="39" s="1"/>
  <c r="L22" i="39" s="1"/>
  <c r="E21" i="39"/>
  <c r="G21" i="39" s="1"/>
  <c r="K21" i="39" s="1"/>
  <c r="L21" i="39" s="1"/>
  <c r="E20" i="39"/>
  <c r="G20" i="39" s="1"/>
  <c r="K20" i="39" s="1"/>
  <c r="L20" i="39" s="1"/>
  <c r="G19" i="39"/>
  <c r="K19" i="39" s="1"/>
  <c r="L19" i="39" s="1"/>
  <c r="E19" i="39"/>
  <c r="E18" i="39"/>
  <c r="G18" i="39" s="1"/>
  <c r="K18" i="39" s="1"/>
  <c r="L18" i="39" s="1"/>
  <c r="E17" i="39"/>
  <c r="G17" i="39" s="1"/>
  <c r="K17" i="39" s="1"/>
  <c r="L17" i="39" s="1"/>
  <c r="E16" i="39"/>
  <c r="G16" i="39" s="1"/>
  <c r="K16" i="39" s="1"/>
  <c r="L16" i="39" s="1"/>
  <c r="E15" i="39"/>
  <c r="G15" i="39" s="1"/>
  <c r="K15" i="39" s="1"/>
  <c r="L15" i="39" s="1"/>
  <c r="K14" i="39"/>
  <c r="L14" i="39" s="1"/>
  <c r="G14" i="39"/>
  <c r="E14" i="39"/>
  <c r="E13" i="39"/>
  <c r="G13" i="39" s="1"/>
  <c r="K13" i="39" s="1"/>
  <c r="L13" i="39" s="1"/>
  <c r="E12" i="39"/>
  <c r="G12" i="39" s="1"/>
  <c r="K12" i="39" s="1"/>
  <c r="L12" i="39" s="1"/>
  <c r="E11" i="39"/>
  <c r="G11" i="39" s="1"/>
  <c r="K11" i="39" s="1"/>
  <c r="L11" i="39" s="1"/>
  <c r="B11" i="39"/>
  <c r="B12" i="39" s="1"/>
  <c r="B13" i="39" s="1"/>
  <c r="B14" i="39" s="1"/>
  <c r="B15" i="39" s="1"/>
  <c r="B16" i="39" s="1"/>
  <c r="B17" i="39" s="1"/>
  <c r="B18" i="39" s="1"/>
  <c r="B19" i="39" s="1"/>
  <c r="B20" i="39" s="1"/>
  <c r="B21" i="39" s="1"/>
  <c r="B22" i="39" s="1"/>
  <c r="B23" i="39" s="1"/>
  <c r="B24" i="39" s="1"/>
  <c r="B25" i="39" s="1"/>
  <c r="B26" i="39" s="1"/>
  <c r="B27" i="39" s="1"/>
  <c r="B28" i="39" s="1"/>
  <c r="B29" i="39" s="1"/>
  <c r="B30" i="39" s="1"/>
  <c r="B31" i="39" s="1"/>
  <c r="B32" i="39" s="1"/>
  <c r="B33" i="39" s="1"/>
  <c r="B34" i="39" s="1"/>
  <c r="B35" i="39" s="1"/>
  <c r="B36" i="39" s="1"/>
  <c r="B37" i="39" s="1"/>
  <c r="B38" i="39" s="1"/>
  <c r="B39" i="39" s="1"/>
  <c r="E10" i="39"/>
  <c r="G10" i="39" s="1"/>
  <c r="J41" i="38"/>
  <c r="E40" i="38"/>
  <c r="G40" i="38" s="1"/>
  <c r="K40" i="38" s="1"/>
  <c r="L40" i="38" s="1"/>
  <c r="E39" i="38"/>
  <c r="G39" i="38" s="1"/>
  <c r="K39" i="38" s="1"/>
  <c r="L39" i="38" s="1"/>
  <c r="E38" i="38"/>
  <c r="G38" i="38" s="1"/>
  <c r="K38" i="38" s="1"/>
  <c r="L38" i="38" s="1"/>
  <c r="K37" i="38"/>
  <c r="L37" i="38" s="1"/>
  <c r="G37" i="38"/>
  <c r="E37" i="38"/>
  <c r="G36" i="38"/>
  <c r="K36" i="38" s="1"/>
  <c r="L36" i="38" s="1"/>
  <c r="E36" i="38"/>
  <c r="G35" i="38"/>
  <c r="K35" i="38" s="1"/>
  <c r="L35" i="38" s="1"/>
  <c r="E35" i="38"/>
  <c r="E34" i="38"/>
  <c r="G34" i="38" s="1"/>
  <c r="K34" i="38" s="1"/>
  <c r="L34" i="38" s="1"/>
  <c r="E33" i="38"/>
  <c r="G33" i="38" s="1"/>
  <c r="K33" i="38" s="1"/>
  <c r="L33" i="38" s="1"/>
  <c r="E32" i="38"/>
  <c r="G32" i="38" s="1"/>
  <c r="K32" i="38" s="1"/>
  <c r="L32" i="38" s="1"/>
  <c r="K31" i="38"/>
  <c r="L31" i="38" s="1"/>
  <c r="G31" i="38"/>
  <c r="E31" i="38"/>
  <c r="E30" i="38"/>
  <c r="G30" i="38" s="1"/>
  <c r="K30" i="38" s="1"/>
  <c r="L30" i="38" s="1"/>
  <c r="G29" i="38"/>
  <c r="K29" i="38" s="1"/>
  <c r="L29" i="38" s="1"/>
  <c r="E29" i="38"/>
  <c r="G28" i="38"/>
  <c r="K28" i="38" s="1"/>
  <c r="L28" i="38" s="1"/>
  <c r="E28" i="38"/>
  <c r="G27" i="38"/>
  <c r="K27" i="38" s="1"/>
  <c r="L27" i="38" s="1"/>
  <c r="E27" i="38"/>
  <c r="E26" i="38"/>
  <c r="G26" i="38" s="1"/>
  <c r="K26" i="38" s="1"/>
  <c r="L26" i="38" s="1"/>
  <c r="E25" i="38"/>
  <c r="G25" i="38" s="1"/>
  <c r="K25" i="38" s="1"/>
  <c r="L25" i="38" s="1"/>
  <c r="E24" i="38"/>
  <c r="G24" i="38" s="1"/>
  <c r="K24" i="38" s="1"/>
  <c r="L24" i="38" s="1"/>
  <c r="K23" i="38"/>
  <c r="L23" i="38" s="1"/>
  <c r="G23" i="38"/>
  <c r="E23" i="38"/>
  <c r="E22" i="38"/>
  <c r="G22" i="38" s="1"/>
  <c r="K22" i="38" s="1"/>
  <c r="L22" i="38" s="1"/>
  <c r="G21" i="38"/>
  <c r="K21" i="38" s="1"/>
  <c r="L21" i="38" s="1"/>
  <c r="E21" i="38"/>
  <c r="G20" i="38"/>
  <c r="K20" i="38" s="1"/>
  <c r="L20" i="38" s="1"/>
  <c r="E20" i="38"/>
  <c r="G19" i="38"/>
  <c r="K19" i="38" s="1"/>
  <c r="L19" i="38" s="1"/>
  <c r="E19" i="38"/>
  <c r="E18" i="38"/>
  <c r="G18" i="38" s="1"/>
  <c r="K18" i="38" s="1"/>
  <c r="L18" i="38" s="1"/>
  <c r="E17" i="38"/>
  <c r="G17" i="38" s="1"/>
  <c r="K17" i="38" s="1"/>
  <c r="L17" i="38" s="1"/>
  <c r="E16" i="38"/>
  <c r="G16" i="38" s="1"/>
  <c r="K16" i="38" s="1"/>
  <c r="L16" i="38" s="1"/>
  <c r="K15" i="38"/>
  <c r="L15" i="38" s="1"/>
  <c r="G15" i="38"/>
  <c r="E15" i="38"/>
  <c r="E14" i="38"/>
  <c r="G14" i="38" s="1"/>
  <c r="K14" i="38" s="1"/>
  <c r="L14" i="38" s="1"/>
  <c r="G13" i="38"/>
  <c r="K13" i="38" s="1"/>
  <c r="L13" i="38" s="1"/>
  <c r="E13" i="38"/>
  <c r="G12" i="38"/>
  <c r="K12" i="38" s="1"/>
  <c r="L12" i="38" s="1"/>
  <c r="E12" i="38"/>
  <c r="G11" i="38"/>
  <c r="K11" i="38" s="1"/>
  <c r="L11" i="38" s="1"/>
  <c r="E11" i="38"/>
  <c r="B11" i="38"/>
  <c r="B12" i="38" s="1"/>
  <c r="B13" i="38" s="1"/>
  <c r="B14" i="38" s="1"/>
  <c r="B15" i="38" s="1"/>
  <c r="B16" i="38" s="1"/>
  <c r="B17" i="38" s="1"/>
  <c r="B18" i="38" s="1"/>
  <c r="B19" i="38" s="1"/>
  <c r="B20" i="38" s="1"/>
  <c r="B21" i="38" s="1"/>
  <c r="B22" i="38" s="1"/>
  <c r="B23" i="38" s="1"/>
  <c r="B24" i="38" s="1"/>
  <c r="B25" i="38" s="1"/>
  <c r="B26" i="38" s="1"/>
  <c r="B27" i="38" s="1"/>
  <c r="B28" i="38" s="1"/>
  <c r="B29" i="38" s="1"/>
  <c r="B30" i="38" s="1"/>
  <c r="B31" i="38" s="1"/>
  <c r="B32" i="38" s="1"/>
  <c r="B33" i="38" s="1"/>
  <c r="B34" i="38" s="1"/>
  <c r="B35" i="38" s="1"/>
  <c r="B36" i="38" s="1"/>
  <c r="B37" i="38" s="1"/>
  <c r="B38" i="38" s="1"/>
  <c r="B39" i="38" s="1"/>
  <c r="B40" i="38" s="1"/>
  <c r="E10" i="38"/>
  <c r="G10" i="38" s="1"/>
  <c r="J40" i="37"/>
  <c r="E39" i="37"/>
  <c r="G39" i="37" s="1"/>
  <c r="K39" i="37" s="1"/>
  <c r="L39" i="37" s="1"/>
  <c r="E38" i="37"/>
  <c r="G38" i="37" s="1"/>
  <c r="K38" i="37" s="1"/>
  <c r="L38" i="37" s="1"/>
  <c r="E37" i="37"/>
  <c r="G37" i="37" s="1"/>
  <c r="K37" i="37" s="1"/>
  <c r="L37" i="37" s="1"/>
  <c r="G36" i="37"/>
  <c r="K36" i="37" s="1"/>
  <c r="L36" i="37" s="1"/>
  <c r="E36" i="37"/>
  <c r="E35" i="37"/>
  <c r="G35" i="37" s="1"/>
  <c r="K35" i="37" s="1"/>
  <c r="L35" i="37" s="1"/>
  <c r="E34" i="37"/>
  <c r="G34" i="37" s="1"/>
  <c r="K34" i="37" s="1"/>
  <c r="L34" i="37" s="1"/>
  <c r="E33" i="37"/>
  <c r="G33" i="37" s="1"/>
  <c r="K33" i="37" s="1"/>
  <c r="L33" i="37" s="1"/>
  <c r="E32" i="37"/>
  <c r="G32" i="37" s="1"/>
  <c r="K32" i="37" s="1"/>
  <c r="L32" i="37" s="1"/>
  <c r="G31" i="37"/>
  <c r="K31" i="37" s="1"/>
  <c r="L31" i="37" s="1"/>
  <c r="E31" i="37"/>
  <c r="E30" i="37"/>
  <c r="G30" i="37" s="1"/>
  <c r="K30" i="37" s="1"/>
  <c r="L30" i="37" s="1"/>
  <c r="E29" i="37"/>
  <c r="G29" i="37" s="1"/>
  <c r="K29" i="37" s="1"/>
  <c r="L29" i="37" s="1"/>
  <c r="E28" i="37"/>
  <c r="G28" i="37" s="1"/>
  <c r="K28" i="37" s="1"/>
  <c r="L28" i="37" s="1"/>
  <c r="E27" i="37"/>
  <c r="G27" i="37" s="1"/>
  <c r="K27" i="37" s="1"/>
  <c r="L27" i="37" s="1"/>
  <c r="E26" i="37"/>
  <c r="G26" i="37" s="1"/>
  <c r="K26" i="37" s="1"/>
  <c r="L26" i="37" s="1"/>
  <c r="E25" i="37"/>
  <c r="G25" i="37" s="1"/>
  <c r="K25" i="37" s="1"/>
  <c r="L25" i="37" s="1"/>
  <c r="E24" i="37"/>
  <c r="G24" i="37" s="1"/>
  <c r="K24" i="37" s="1"/>
  <c r="L24" i="37" s="1"/>
  <c r="G23" i="37"/>
  <c r="K23" i="37" s="1"/>
  <c r="L23" i="37" s="1"/>
  <c r="E23" i="37"/>
  <c r="E22" i="37"/>
  <c r="G22" i="37" s="1"/>
  <c r="K22" i="37" s="1"/>
  <c r="L22" i="37" s="1"/>
  <c r="E21" i="37"/>
  <c r="G21" i="37" s="1"/>
  <c r="K21" i="37" s="1"/>
  <c r="L21" i="37" s="1"/>
  <c r="E20" i="37"/>
  <c r="G20" i="37" s="1"/>
  <c r="K20" i="37" s="1"/>
  <c r="L20" i="37" s="1"/>
  <c r="E19" i="37"/>
  <c r="G19" i="37" s="1"/>
  <c r="K19" i="37" s="1"/>
  <c r="L19" i="37" s="1"/>
  <c r="E18" i="37"/>
  <c r="G18" i="37" s="1"/>
  <c r="K18" i="37" s="1"/>
  <c r="L18" i="37" s="1"/>
  <c r="E17" i="37"/>
  <c r="G17" i="37" s="1"/>
  <c r="K17" i="37" s="1"/>
  <c r="L17" i="37" s="1"/>
  <c r="E16" i="37"/>
  <c r="G16" i="37" s="1"/>
  <c r="K16" i="37" s="1"/>
  <c r="L16" i="37" s="1"/>
  <c r="E15" i="37"/>
  <c r="G15" i="37" s="1"/>
  <c r="K15" i="37" s="1"/>
  <c r="L15" i="37" s="1"/>
  <c r="E14" i="37"/>
  <c r="G14" i="37" s="1"/>
  <c r="K14" i="37" s="1"/>
  <c r="L14" i="37" s="1"/>
  <c r="E13" i="37"/>
  <c r="G13" i="37" s="1"/>
  <c r="K13" i="37" s="1"/>
  <c r="L13" i="37" s="1"/>
  <c r="G12" i="37"/>
  <c r="K12" i="37" s="1"/>
  <c r="L12" i="37" s="1"/>
  <c r="E12" i="37"/>
  <c r="E11" i="37"/>
  <c r="G11" i="37" s="1"/>
  <c r="K11" i="37" s="1"/>
  <c r="L11" i="37" s="1"/>
  <c r="B11" i="37"/>
  <c r="B12" i="37" s="1"/>
  <c r="B13" i="37" s="1"/>
  <c r="B14" i="37" s="1"/>
  <c r="B15" i="37" s="1"/>
  <c r="B16" i="37" s="1"/>
  <c r="B17" i="37" s="1"/>
  <c r="B18" i="37" s="1"/>
  <c r="B19" i="37" s="1"/>
  <c r="B20" i="37" s="1"/>
  <c r="B21" i="37" s="1"/>
  <c r="B22" i="37" s="1"/>
  <c r="B23" i="37" s="1"/>
  <c r="B24" i="37" s="1"/>
  <c r="B25" i="37" s="1"/>
  <c r="B26" i="37" s="1"/>
  <c r="B27" i="37" s="1"/>
  <c r="B28" i="37" s="1"/>
  <c r="B29" i="37" s="1"/>
  <c r="B30" i="37" s="1"/>
  <c r="B31" i="37" s="1"/>
  <c r="B32" i="37" s="1"/>
  <c r="B33" i="37" s="1"/>
  <c r="B34" i="37" s="1"/>
  <c r="B35" i="37" s="1"/>
  <c r="B36" i="37" s="1"/>
  <c r="B37" i="37" s="1"/>
  <c r="B38" i="37" s="1"/>
  <c r="B39" i="37" s="1"/>
  <c r="E10" i="37"/>
  <c r="G10" i="37" s="1"/>
  <c r="B39" i="36"/>
  <c r="B40" i="36" s="1"/>
  <c r="E39" i="36"/>
  <c r="G39" i="36" s="1"/>
  <c r="K39" i="36" s="1"/>
  <c r="L39" i="36" s="1"/>
  <c r="J41" i="36"/>
  <c r="E40" i="36"/>
  <c r="G40" i="36" s="1"/>
  <c r="K40" i="36" s="1"/>
  <c r="L40" i="36" s="1"/>
  <c r="E38" i="36"/>
  <c r="G38" i="36" s="1"/>
  <c r="K38" i="36" s="1"/>
  <c r="L38" i="36" s="1"/>
  <c r="E37" i="36"/>
  <c r="G37" i="36" s="1"/>
  <c r="K37" i="36" s="1"/>
  <c r="L37" i="36" s="1"/>
  <c r="G36" i="36"/>
  <c r="K36" i="36" s="1"/>
  <c r="L36" i="36" s="1"/>
  <c r="E36" i="36"/>
  <c r="G35" i="36"/>
  <c r="K35" i="36" s="1"/>
  <c r="L35" i="36" s="1"/>
  <c r="E35" i="36"/>
  <c r="G34" i="36"/>
  <c r="K34" i="36" s="1"/>
  <c r="L34" i="36" s="1"/>
  <c r="E34" i="36"/>
  <c r="E33" i="36"/>
  <c r="G33" i="36" s="1"/>
  <c r="K33" i="36" s="1"/>
  <c r="L33" i="36" s="1"/>
  <c r="E32" i="36"/>
  <c r="G32" i="36" s="1"/>
  <c r="K32" i="36" s="1"/>
  <c r="L32" i="36" s="1"/>
  <c r="E31" i="36"/>
  <c r="G31" i="36" s="1"/>
  <c r="K31" i="36" s="1"/>
  <c r="L31" i="36" s="1"/>
  <c r="E30" i="36"/>
  <c r="G30" i="36" s="1"/>
  <c r="K30" i="36" s="1"/>
  <c r="L30" i="36" s="1"/>
  <c r="E29" i="36"/>
  <c r="G29" i="36" s="1"/>
  <c r="K29" i="36" s="1"/>
  <c r="L29" i="36" s="1"/>
  <c r="G28" i="36"/>
  <c r="K28" i="36" s="1"/>
  <c r="L28" i="36" s="1"/>
  <c r="E28" i="36"/>
  <c r="E27" i="36"/>
  <c r="G27" i="36" s="1"/>
  <c r="K27" i="36" s="1"/>
  <c r="L27" i="36" s="1"/>
  <c r="E26" i="36"/>
  <c r="G26" i="36" s="1"/>
  <c r="K26" i="36" s="1"/>
  <c r="L26" i="36" s="1"/>
  <c r="E25" i="36"/>
  <c r="G25" i="36" s="1"/>
  <c r="K25" i="36" s="1"/>
  <c r="L25" i="36" s="1"/>
  <c r="E24" i="36"/>
  <c r="G24" i="36" s="1"/>
  <c r="K24" i="36" s="1"/>
  <c r="L24" i="36" s="1"/>
  <c r="E23" i="36"/>
  <c r="G23" i="36" s="1"/>
  <c r="K23" i="36" s="1"/>
  <c r="L23" i="36" s="1"/>
  <c r="E22" i="36"/>
  <c r="G22" i="36" s="1"/>
  <c r="K22" i="36" s="1"/>
  <c r="L22" i="36" s="1"/>
  <c r="E21" i="36"/>
  <c r="G21" i="36" s="1"/>
  <c r="K21" i="36" s="1"/>
  <c r="L21" i="36" s="1"/>
  <c r="G20" i="36"/>
  <c r="K20" i="36" s="1"/>
  <c r="L20" i="36" s="1"/>
  <c r="E20" i="36"/>
  <c r="E19" i="36"/>
  <c r="G19" i="36" s="1"/>
  <c r="K19" i="36" s="1"/>
  <c r="L19" i="36" s="1"/>
  <c r="G18" i="36"/>
  <c r="K18" i="36" s="1"/>
  <c r="L18" i="36" s="1"/>
  <c r="E18" i="36"/>
  <c r="E17" i="36"/>
  <c r="G17" i="36" s="1"/>
  <c r="K17" i="36" s="1"/>
  <c r="L17" i="36" s="1"/>
  <c r="E16" i="36"/>
  <c r="G16" i="36" s="1"/>
  <c r="K16" i="36" s="1"/>
  <c r="L16" i="36" s="1"/>
  <c r="E15" i="36"/>
  <c r="G15" i="36" s="1"/>
  <c r="K15" i="36" s="1"/>
  <c r="L15" i="36" s="1"/>
  <c r="E14" i="36"/>
  <c r="G14" i="36" s="1"/>
  <c r="K14" i="36" s="1"/>
  <c r="L14" i="36" s="1"/>
  <c r="E13" i="36"/>
  <c r="G13" i="36" s="1"/>
  <c r="K13" i="36" s="1"/>
  <c r="L13" i="36" s="1"/>
  <c r="E12" i="36"/>
  <c r="G12" i="36" s="1"/>
  <c r="K12" i="36" s="1"/>
  <c r="L12" i="36" s="1"/>
  <c r="E11" i="36"/>
  <c r="G11" i="36" s="1"/>
  <c r="K11" i="36" s="1"/>
  <c r="L11" i="36" s="1"/>
  <c r="B11" i="36"/>
  <c r="B12" i="36" s="1"/>
  <c r="B13" i="36" s="1"/>
  <c r="B14" i="36" s="1"/>
  <c r="B15" i="36" s="1"/>
  <c r="B16" i="36" s="1"/>
  <c r="B17" i="36" s="1"/>
  <c r="B18" i="36" s="1"/>
  <c r="B19" i="36" s="1"/>
  <c r="B20" i="36" s="1"/>
  <c r="B21" i="36" s="1"/>
  <c r="B22" i="36" s="1"/>
  <c r="B23" i="36" s="1"/>
  <c r="B24" i="36" s="1"/>
  <c r="B25" i="36" s="1"/>
  <c r="B26" i="36" s="1"/>
  <c r="B27" i="36" s="1"/>
  <c r="B28" i="36" s="1"/>
  <c r="B29" i="36" s="1"/>
  <c r="B30" i="36" s="1"/>
  <c r="B31" i="36" s="1"/>
  <c r="B32" i="36" s="1"/>
  <c r="B33" i="36" s="1"/>
  <c r="B34" i="36" s="1"/>
  <c r="B35" i="36" s="1"/>
  <c r="B36" i="36" s="1"/>
  <c r="B37" i="36" s="1"/>
  <c r="B38" i="36" s="1"/>
  <c r="G10" i="36"/>
  <c r="E10" i="36"/>
  <c r="E39" i="34"/>
  <c r="G39" i="34" s="1"/>
  <c r="K39" i="34" s="1"/>
  <c r="L39" i="34" s="1"/>
  <c r="J40" i="35"/>
  <c r="E39" i="35"/>
  <c r="G39" i="35" s="1"/>
  <c r="K39" i="35" s="1"/>
  <c r="L39" i="35" s="1"/>
  <c r="G38" i="35"/>
  <c r="K38" i="35" s="1"/>
  <c r="L38" i="35" s="1"/>
  <c r="E38" i="35"/>
  <c r="E37" i="35"/>
  <c r="G37" i="35" s="1"/>
  <c r="K37" i="35" s="1"/>
  <c r="L37" i="35" s="1"/>
  <c r="G36" i="35"/>
  <c r="K36" i="35" s="1"/>
  <c r="L36" i="35" s="1"/>
  <c r="E36" i="35"/>
  <c r="E35" i="35"/>
  <c r="G35" i="35" s="1"/>
  <c r="K35" i="35" s="1"/>
  <c r="L35" i="35" s="1"/>
  <c r="G34" i="35"/>
  <c r="K34" i="35" s="1"/>
  <c r="L34" i="35" s="1"/>
  <c r="E34" i="35"/>
  <c r="E33" i="35"/>
  <c r="G33" i="35" s="1"/>
  <c r="K33" i="35" s="1"/>
  <c r="L33" i="35" s="1"/>
  <c r="E32" i="35"/>
  <c r="G32" i="35" s="1"/>
  <c r="K32" i="35" s="1"/>
  <c r="L32" i="35" s="1"/>
  <c r="E31" i="35"/>
  <c r="G31" i="35" s="1"/>
  <c r="K31" i="35" s="1"/>
  <c r="L31" i="35" s="1"/>
  <c r="G30" i="35"/>
  <c r="K30" i="35" s="1"/>
  <c r="L30" i="35" s="1"/>
  <c r="E30" i="35"/>
  <c r="E29" i="35"/>
  <c r="G29" i="35" s="1"/>
  <c r="K29" i="35" s="1"/>
  <c r="L29" i="35" s="1"/>
  <c r="G28" i="35"/>
  <c r="K28" i="35" s="1"/>
  <c r="L28" i="35" s="1"/>
  <c r="E28" i="35"/>
  <c r="E27" i="35"/>
  <c r="G27" i="35" s="1"/>
  <c r="K27" i="35" s="1"/>
  <c r="L27" i="35" s="1"/>
  <c r="G26" i="35"/>
  <c r="K26" i="35" s="1"/>
  <c r="L26" i="35" s="1"/>
  <c r="E26" i="35"/>
  <c r="E25" i="35"/>
  <c r="G25" i="35" s="1"/>
  <c r="K25" i="35" s="1"/>
  <c r="L25" i="35" s="1"/>
  <c r="E24" i="35"/>
  <c r="G24" i="35" s="1"/>
  <c r="K24" i="35" s="1"/>
  <c r="L24" i="35" s="1"/>
  <c r="E23" i="35"/>
  <c r="G23" i="35" s="1"/>
  <c r="K23" i="35" s="1"/>
  <c r="L23" i="35" s="1"/>
  <c r="G22" i="35"/>
  <c r="K22" i="35" s="1"/>
  <c r="L22" i="35" s="1"/>
  <c r="E22" i="35"/>
  <c r="E21" i="35"/>
  <c r="G21" i="35" s="1"/>
  <c r="K21" i="35" s="1"/>
  <c r="L21" i="35" s="1"/>
  <c r="G20" i="35"/>
  <c r="K20" i="35" s="1"/>
  <c r="L20" i="35" s="1"/>
  <c r="E20" i="35"/>
  <c r="E19" i="35"/>
  <c r="G19" i="35" s="1"/>
  <c r="K19" i="35" s="1"/>
  <c r="L19" i="35" s="1"/>
  <c r="G18" i="35"/>
  <c r="K18" i="35" s="1"/>
  <c r="L18" i="35" s="1"/>
  <c r="E18" i="35"/>
  <c r="E17" i="35"/>
  <c r="G17" i="35" s="1"/>
  <c r="K17" i="35" s="1"/>
  <c r="L17" i="35" s="1"/>
  <c r="E16" i="35"/>
  <c r="G16" i="35" s="1"/>
  <c r="K16" i="35" s="1"/>
  <c r="L16" i="35" s="1"/>
  <c r="E15" i="35"/>
  <c r="G15" i="35" s="1"/>
  <c r="K15" i="35" s="1"/>
  <c r="L15" i="35" s="1"/>
  <c r="G14" i="35"/>
  <c r="K14" i="35" s="1"/>
  <c r="L14" i="35" s="1"/>
  <c r="E14" i="35"/>
  <c r="E13" i="35"/>
  <c r="G13" i="35" s="1"/>
  <c r="K13" i="35" s="1"/>
  <c r="L13" i="35" s="1"/>
  <c r="G12" i="35"/>
  <c r="K12" i="35" s="1"/>
  <c r="L12" i="35" s="1"/>
  <c r="E12" i="35"/>
  <c r="B12" i="35"/>
  <c r="B13" i="35" s="1"/>
  <c r="B14" i="35" s="1"/>
  <c r="B15" i="35" s="1"/>
  <c r="B16" i="35" s="1"/>
  <c r="B17" i="35" s="1"/>
  <c r="B18" i="35" s="1"/>
  <c r="B19" i="35" s="1"/>
  <c r="B20" i="35" s="1"/>
  <c r="B21" i="35" s="1"/>
  <c r="B22" i="35" s="1"/>
  <c r="B23" i="35" s="1"/>
  <c r="B24" i="35" s="1"/>
  <c r="B25" i="35" s="1"/>
  <c r="B26" i="35" s="1"/>
  <c r="B27" i="35" s="1"/>
  <c r="B28" i="35" s="1"/>
  <c r="B29" i="35" s="1"/>
  <c r="B30" i="35" s="1"/>
  <c r="B31" i="35" s="1"/>
  <c r="B32" i="35" s="1"/>
  <c r="B33" i="35" s="1"/>
  <c r="B34" i="35" s="1"/>
  <c r="B35" i="35" s="1"/>
  <c r="B36" i="35" s="1"/>
  <c r="B37" i="35" s="1"/>
  <c r="B38" i="35" s="1"/>
  <c r="B39" i="35" s="1"/>
  <c r="E11" i="35"/>
  <c r="G11" i="35" s="1"/>
  <c r="K11" i="35" s="1"/>
  <c r="L11" i="35" s="1"/>
  <c r="B11" i="35"/>
  <c r="G10" i="35"/>
  <c r="E10" i="35"/>
  <c r="J41" i="34"/>
  <c r="E40" i="34"/>
  <c r="G40" i="34" s="1"/>
  <c r="K40" i="34" s="1"/>
  <c r="L40" i="34" s="1"/>
  <c r="E38" i="34"/>
  <c r="G38" i="34" s="1"/>
  <c r="K38" i="34" s="1"/>
  <c r="L38" i="34" s="1"/>
  <c r="E37" i="34"/>
  <c r="G37" i="34" s="1"/>
  <c r="K37" i="34" s="1"/>
  <c r="L37" i="34" s="1"/>
  <c r="E36" i="34"/>
  <c r="G36" i="34" s="1"/>
  <c r="K36" i="34" s="1"/>
  <c r="L36" i="34" s="1"/>
  <c r="E35" i="34"/>
  <c r="G35" i="34" s="1"/>
  <c r="K35" i="34" s="1"/>
  <c r="L35" i="34" s="1"/>
  <c r="E34" i="34"/>
  <c r="G34" i="34" s="1"/>
  <c r="K34" i="34" s="1"/>
  <c r="L34" i="34" s="1"/>
  <c r="E33" i="34"/>
  <c r="G33" i="34" s="1"/>
  <c r="K33" i="34" s="1"/>
  <c r="L33" i="34" s="1"/>
  <c r="E32" i="34"/>
  <c r="G32" i="34" s="1"/>
  <c r="K32" i="34" s="1"/>
  <c r="L32" i="34" s="1"/>
  <c r="E31" i="34"/>
  <c r="G31" i="34" s="1"/>
  <c r="K31" i="34" s="1"/>
  <c r="L31" i="34" s="1"/>
  <c r="E30" i="34"/>
  <c r="G30" i="34" s="1"/>
  <c r="K30" i="34" s="1"/>
  <c r="L30" i="34" s="1"/>
  <c r="E29" i="34"/>
  <c r="G29" i="34" s="1"/>
  <c r="K29" i="34" s="1"/>
  <c r="L29" i="34" s="1"/>
  <c r="E28" i="34"/>
  <c r="G28" i="34" s="1"/>
  <c r="K28" i="34" s="1"/>
  <c r="L28" i="34" s="1"/>
  <c r="E27" i="34"/>
  <c r="G27" i="34" s="1"/>
  <c r="K27" i="34" s="1"/>
  <c r="L27" i="34" s="1"/>
  <c r="E26" i="34"/>
  <c r="G26" i="34" s="1"/>
  <c r="K26" i="34" s="1"/>
  <c r="L26" i="34" s="1"/>
  <c r="E25" i="34"/>
  <c r="G25" i="34" s="1"/>
  <c r="K25" i="34" s="1"/>
  <c r="L25" i="34" s="1"/>
  <c r="E24" i="34"/>
  <c r="G24" i="34" s="1"/>
  <c r="K24" i="34" s="1"/>
  <c r="L24" i="34" s="1"/>
  <c r="E23" i="34"/>
  <c r="G23" i="34" s="1"/>
  <c r="K23" i="34" s="1"/>
  <c r="L23" i="34" s="1"/>
  <c r="E22" i="34"/>
  <c r="G22" i="34" s="1"/>
  <c r="K22" i="34" s="1"/>
  <c r="L22" i="34" s="1"/>
  <c r="E21" i="34"/>
  <c r="G21" i="34" s="1"/>
  <c r="K21" i="34" s="1"/>
  <c r="L21" i="34" s="1"/>
  <c r="E20" i="34"/>
  <c r="G20" i="34" s="1"/>
  <c r="K20" i="34" s="1"/>
  <c r="L20" i="34" s="1"/>
  <c r="E19" i="34"/>
  <c r="G19" i="34" s="1"/>
  <c r="K19" i="34" s="1"/>
  <c r="L19" i="34" s="1"/>
  <c r="E18" i="34"/>
  <c r="G18" i="34" s="1"/>
  <c r="K18" i="34" s="1"/>
  <c r="L18" i="34" s="1"/>
  <c r="E17" i="34"/>
  <c r="G17" i="34" s="1"/>
  <c r="K17" i="34" s="1"/>
  <c r="L17" i="34" s="1"/>
  <c r="E16" i="34"/>
  <c r="G16" i="34" s="1"/>
  <c r="K16" i="34" s="1"/>
  <c r="L16" i="34" s="1"/>
  <c r="E15" i="34"/>
  <c r="G15" i="34" s="1"/>
  <c r="K15" i="34" s="1"/>
  <c r="L15" i="34" s="1"/>
  <c r="E14" i="34"/>
  <c r="G14" i="34" s="1"/>
  <c r="K14" i="34" s="1"/>
  <c r="L14" i="34" s="1"/>
  <c r="E13" i="34"/>
  <c r="G13" i="34" s="1"/>
  <c r="K13" i="34" s="1"/>
  <c r="L13" i="34" s="1"/>
  <c r="E12" i="34"/>
  <c r="G12" i="34" s="1"/>
  <c r="K12" i="34" s="1"/>
  <c r="L12" i="34" s="1"/>
  <c r="E11" i="34"/>
  <c r="G11" i="34" s="1"/>
  <c r="K11" i="34" s="1"/>
  <c r="L11" i="34" s="1"/>
  <c r="B11" i="34"/>
  <c r="B12" i="34" s="1"/>
  <c r="B13" i="34" s="1"/>
  <c r="B14" i="34" s="1"/>
  <c r="B15" i="34" s="1"/>
  <c r="B16" i="34" s="1"/>
  <c r="B17" i="34" s="1"/>
  <c r="B18" i="34" s="1"/>
  <c r="B19" i="34" s="1"/>
  <c r="B20" i="34" s="1"/>
  <c r="B21" i="34" s="1"/>
  <c r="B22" i="34" s="1"/>
  <c r="B23" i="34" s="1"/>
  <c r="B24" i="34" s="1"/>
  <c r="B25" i="34" s="1"/>
  <c r="B26" i="34" s="1"/>
  <c r="B27" i="34" s="1"/>
  <c r="B28" i="34" s="1"/>
  <c r="B29" i="34" s="1"/>
  <c r="B30" i="34" s="1"/>
  <c r="B31" i="34" s="1"/>
  <c r="B32" i="34" s="1"/>
  <c r="B33" i="34" s="1"/>
  <c r="B34" i="34" s="1"/>
  <c r="B35" i="34" s="1"/>
  <c r="B36" i="34" s="1"/>
  <c r="B37" i="34" s="1"/>
  <c r="B38" i="34" s="1"/>
  <c r="B39" i="34" s="1"/>
  <c r="B40" i="34" s="1"/>
  <c r="E10" i="34"/>
  <c r="G10" i="34" s="1"/>
  <c r="B39" i="32"/>
  <c r="B40" i="32" s="1"/>
  <c r="E39" i="32"/>
  <c r="G39" i="32" s="1"/>
  <c r="K39" i="32" s="1"/>
  <c r="L39" i="32" s="1"/>
  <c r="B39" i="30"/>
  <c r="B40" i="30" s="1"/>
  <c r="E39" i="30"/>
  <c r="G39" i="30" s="1"/>
  <c r="B39" i="28"/>
  <c r="B40" i="28" s="1"/>
  <c r="E39" i="28"/>
  <c r="G39" i="28" s="1"/>
  <c r="G41" i="40" l="1"/>
  <c r="K10" i="40"/>
  <c r="K10" i="39"/>
  <c r="G40" i="39"/>
  <c r="G41" i="38"/>
  <c r="K10" i="38"/>
  <c r="G40" i="37"/>
  <c r="K10" i="37"/>
  <c r="G41" i="36"/>
  <c r="K10" i="36"/>
  <c r="G40" i="35"/>
  <c r="K10" i="35"/>
  <c r="G41" i="34"/>
  <c r="K10" i="34"/>
  <c r="E39" i="27"/>
  <c r="G39" i="27" s="1"/>
  <c r="K39" i="27" s="1"/>
  <c r="L39" i="27" s="1"/>
  <c r="K41" i="40" l="1"/>
  <c r="L41" i="40" s="1"/>
  <c r="L10" i="40"/>
  <c r="K40" i="39"/>
  <c r="L40" i="39" s="1"/>
  <c r="L10" i="39"/>
  <c r="K41" i="38"/>
  <c r="L41" i="38" s="1"/>
  <c r="L10" i="38"/>
  <c r="K40" i="37"/>
  <c r="L40" i="37" s="1"/>
  <c r="L10" i="37"/>
  <c r="L10" i="36"/>
  <c r="K41" i="36"/>
  <c r="L41" i="36" s="1"/>
  <c r="K40" i="35"/>
  <c r="L40" i="35" s="1"/>
  <c r="L10" i="35"/>
  <c r="K41" i="34"/>
  <c r="L41" i="34" s="1"/>
  <c r="L10" i="34"/>
  <c r="J41" i="32"/>
  <c r="E40" i="32"/>
  <c r="G40" i="32" s="1"/>
  <c r="K40" i="32" s="1"/>
  <c r="L40" i="32" s="1"/>
  <c r="K38" i="32"/>
  <c r="L38" i="32" s="1"/>
  <c r="G38" i="32"/>
  <c r="E38" i="32"/>
  <c r="K37" i="32"/>
  <c r="L37" i="32" s="1"/>
  <c r="E37" i="32"/>
  <c r="G37" i="32" s="1"/>
  <c r="E36" i="32"/>
  <c r="G36" i="32" s="1"/>
  <c r="K36" i="32" s="1"/>
  <c r="L36" i="32" s="1"/>
  <c r="E35" i="32"/>
  <c r="G35" i="32" s="1"/>
  <c r="K35" i="32" s="1"/>
  <c r="L35" i="32" s="1"/>
  <c r="K34" i="32"/>
  <c r="L34" i="32" s="1"/>
  <c r="G34" i="32"/>
  <c r="E34" i="32"/>
  <c r="E33" i="32"/>
  <c r="G33" i="32" s="1"/>
  <c r="K33" i="32" s="1"/>
  <c r="L33" i="32" s="1"/>
  <c r="E32" i="32"/>
  <c r="G32" i="32" s="1"/>
  <c r="K32" i="32" s="1"/>
  <c r="L32" i="32" s="1"/>
  <c r="E31" i="32"/>
  <c r="G31" i="32" s="1"/>
  <c r="K31" i="32" s="1"/>
  <c r="L31" i="32" s="1"/>
  <c r="E30" i="32"/>
  <c r="G30" i="32" s="1"/>
  <c r="K30" i="32" s="1"/>
  <c r="L30" i="32" s="1"/>
  <c r="E29" i="32"/>
  <c r="G29" i="32" s="1"/>
  <c r="K29" i="32" s="1"/>
  <c r="L29" i="32" s="1"/>
  <c r="L28" i="32"/>
  <c r="E28" i="32"/>
  <c r="G28" i="32" s="1"/>
  <c r="K28" i="32" s="1"/>
  <c r="E27" i="32"/>
  <c r="G27" i="32" s="1"/>
  <c r="K27" i="32" s="1"/>
  <c r="L27" i="32" s="1"/>
  <c r="E26" i="32"/>
  <c r="G26" i="32" s="1"/>
  <c r="K26" i="32" s="1"/>
  <c r="L26" i="32" s="1"/>
  <c r="E25" i="32"/>
  <c r="G25" i="32" s="1"/>
  <c r="K25" i="32" s="1"/>
  <c r="L25" i="32" s="1"/>
  <c r="E24" i="32"/>
  <c r="G24" i="32" s="1"/>
  <c r="K24" i="32" s="1"/>
  <c r="L24" i="32" s="1"/>
  <c r="E23" i="32"/>
  <c r="G23" i="32" s="1"/>
  <c r="K23" i="32" s="1"/>
  <c r="L23" i="32" s="1"/>
  <c r="E22" i="32"/>
  <c r="G22" i="32" s="1"/>
  <c r="K22" i="32" s="1"/>
  <c r="L22" i="32" s="1"/>
  <c r="E21" i="32"/>
  <c r="G21" i="32" s="1"/>
  <c r="K21" i="32" s="1"/>
  <c r="L21" i="32" s="1"/>
  <c r="E20" i="32"/>
  <c r="G20" i="32" s="1"/>
  <c r="K20" i="32" s="1"/>
  <c r="L20" i="32" s="1"/>
  <c r="E19" i="32"/>
  <c r="G19" i="32" s="1"/>
  <c r="K19" i="32" s="1"/>
  <c r="L19" i="32" s="1"/>
  <c r="E18" i="32"/>
  <c r="G18" i="32" s="1"/>
  <c r="K18" i="32" s="1"/>
  <c r="L18" i="32" s="1"/>
  <c r="E17" i="32"/>
  <c r="G17" i="32" s="1"/>
  <c r="K17" i="32" s="1"/>
  <c r="L17" i="32" s="1"/>
  <c r="L16" i="32"/>
  <c r="E16" i="32"/>
  <c r="G16" i="32" s="1"/>
  <c r="K16" i="32" s="1"/>
  <c r="E15" i="32"/>
  <c r="G15" i="32" s="1"/>
  <c r="K15" i="32" s="1"/>
  <c r="L15" i="32" s="1"/>
  <c r="E14" i="32"/>
  <c r="G14" i="32" s="1"/>
  <c r="K14" i="32" s="1"/>
  <c r="L14" i="32" s="1"/>
  <c r="E13" i="32"/>
  <c r="G13" i="32" s="1"/>
  <c r="K13" i="32" s="1"/>
  <c r="L13" i="32" s="1"/>
  <c r="E12" i="32"/>
  <c r="G12" i="32" s="1"/>
  <c r="K12" i="32" s="1"/>
  <c r="L12" i="32" s="1"/>
  <c r="E11" i="32"/>
  <c r="G11" i="32" s="1"/>
  <c r="K11" i="32" s="1"/>
  <c r="L11" i="32" s="1"/>
  <c r="B11" i="32"/>
  <c r="B12" i="32" s="1"/>
  <c r="B13" i="32" s="1"/>
  <c r="B14" i="32" s="1"/>
  <c r="B15" i="32" s="1"/>
  <c r="B16" i="32" s="1"/>
  <c r="B17" i="32" s="1"/>
  <c r="B18" i="32" s="1"/>
  <c r="B19" i="32" s="1"/>
  <c r="B20" i="32" s="1"/>
  <c r="B21" i="32" s="1"/>
  <c r="B22" i="32" s="1"/>
  <c r="B23" i="32" s="1"/>
  <c r="B24" i="32" s="1"/>
  <c r="B25" i="32" s="1"/>
  <c r="B26" i="32" s="1"/>
  <c r="B27" i="32" s="1"/>
  <c r="B28" i="32" s="1"/>
  <c r="B29" i="32" s="1"/>
  <c r="B30" i="32" s="1"/>
  <c r="B31" i="32" s="1"/>
  <c r="B32" i="32" s="1"/>
  <c r="B33" i="32" s="1"/>
  <c r="B34" i="32" s="1"/>
  <c r="B35" i="32" s="1"/>
  <c r="B36" i="32" s="1"/>
  <c r="B37" i="32" s="1"/>
  <c r="B38" i="32" s="1"/>
  <c r="E10" i="32"/>
  <c r="G10" i="32" s="1"/>
  <c r="J40" i="31"/>
  <c r="G39" i="31"/>
  <c r="K39" i="31" s="1"/>
  <c r="L39" i="31" s="1"/>
  <c r="E39" i="31"/>
  <c r="G38" i="31"/>
  <c r="K38" i="31" s="1"/>
  <c r="L38" i="31" s="1"/>
  <c r="E38" i="31"/>
  <c r="E37" i="31"/>
  <c r="G37" i="31" s="1"/>
  <c r="K37" i="31" s="1"/>
  <c r="L37" i="31" s="1"/>
  <c r="E36" i="31"/>
  <c r="G36" i="31" s="1"/>
  <c r="K36" i="31" s="1"/>
  <c r="L36" i="31" s="1"/>
  <c r="G35" i="31"/>
  <c r="K35" i="31" s="1"/>
  <c r="L35" i="31" s="1"/>
  <c r="E35" i="31"/>
  <c r="G34" i="31"/>
  <c r="K34" i="31" s="1"/>
  <c r="L34" i="31" s="1"/>
  <c r="E34" i="31"/>
  <c r="E33" i="31"/>
  <c r="G33" i="31" s="1"/>
  <c r="K33" i="31" s="1"/>
  <c r="L33" i="31" s="1"/>
  <c r="E32" i="31"/>
  <c r="G32" i="31" s="1"/>
  <c r="K32" i="31" s="1"/>
  <c r="L32" i="31" s="1"/>
  <c r="E31" i="31"/>
  <c r="G31" i="31" s="1"/>
  <c r="K31" i="31" s="1"/>
  <c r="L31" i="31" s="1"/>
  <c r="E30" i="31"/>
  <c r="G30" i="31" s="1"/>
  <c r="K30" i="31" s="1"/>
  <c r="L30" i="31" s="1"/>
  <c r="E29" i="31"/>
  <c r="G29" i="31" s="1"/>
  <c r="K29" i="31" s="1"/>
  <c r="L29" i="31" s="1"/>
  <c r="E28" i="31"/>
  <c r="G28" i="31" s="1"/>
  <c r="K28" i="31" s="1"/>
  <c r="L28" i="31" s="1"/>
  <c r="G27" i="31"/>
  <c r="K27" i="31" s="1"/>
  <c r="L27" i="31" s="1"/>
  <c r="E27" i="31"/>
  <c r="E26" i="31"/>
  <c r="G26" i="31" s="1"/>
  <c r="K26" i="31" s="1"/>
  <c r="L26" i="31" s="1"/>
  <c r="E25" i="31"/>
  <c r="G25" i="31" s="1"/>
  <c r="K25" i="31" s="1"/>
  <c r="L25" i="31" s="1"/>
  <c r="E24" i="31"/>
  <c r="G24" i="31" s="1"/>
  <c r="K24" i="31" s="1"/>
  <c r="L24" i="31" s="1"/>
  <c r="G23" i="31"/>
  <c r="K23" i="31" s="1"/>
  <c r="L23" i="31" s="1"/>
  <c r="E23" i="31"/>
  <c r="E22" i="31"/>
  <c r="G22" i="31" s="1"/>
  <c r="K22" i="31" s="1"/>
  <c r="L22" i="31" s="1"/>
  <c r="E21" i="31"/>
  <c r="G21" i="31" s="1"/>
  <c r="K21" i="31" s="1"/>
  <c r="L21" i="31" s="1"/>
  <c r="E20" i="31"/>
  <c r="G20" i="31" s="1"/>
  <c r="K20" i="31" s="1"/>
  <c r="L20" i="31" s="1"/>
  <c r="K19" i="31"/>
  <c r="L19" i="31" s="1"/>
  <c r="G19" i="31"/>
  <c r="E19" i="31"/>
  <c r="K18" i="31"/>
  <c r="L18" i="31" s="1"/>
  <c r="E18" i="31"/>
  <c r="G18" i="31" s="1"/>
  <c r="E17" i="31"/>
  <c r="G17" i="31" s="1"/>
  <c r="K17" i="31" s="1"/>
  <c r="L17" i="31" s="1"/>
  <c r="E16" i="31"/>
  <c r="G16" i="31" s="1"/>
  <c r="K16" i="31" s="1"/>
  <c r="L16" i="31" s="1"/>
  <c r="G15" i="31"/>
  <c r="K15" i="31" s="1"/>
  <c r="L15" i="31" s="1"/>
  <c r="E15" i="31"/>
  <c r="E14" i="31"/>
  <c r="G14" i="31" s="1"/>
  <c r="K14" i="31" s="1"/>
  <c r="L14" i="31" s="1"/>
  <c r="E13" i="31"/>
  <c r="G13" i="31" s="1"/>
  <c r="K13" i="31" s="1"/>
  <c r="L13" i="31" s="1"/>
  <c r="E12" i="31"/>
  <c r="G12" i="31" s="1"/>
  <c r="K12" i="31" s="1"/>
  <c r="L12" i="31" s="1"/>
  <c r="G11" i="31"/>
  <c r="K11" i="31" s="1"/>
  <c r="L11" i="31" s="1"/>
  <c r="E11" i="31"/>
  <c r="B11" i="31"/>
  <c r="B12" i="31" s="1"/>
  <c r="B13" i="31" s="1"/>
  <c r="B14" i="31" s="1"/>
  <c r="B15" i="31" s="1"/>
  <c r="B16" i="31" s="1"/>
  <c r="B17" i="31" s="1"/>
  <c r="B18" i="31" s="1"/>
  <c r="B19" i="31" s="1"/>
  <c r="B20" i="31" s="1"/>
  <c r="B21" i="31" s="1"/>
  <c r="B22" i="31" s="1"/>
  <c r="B23" i="31" s="1"/>
  <c r="B24" i="31" s="1"/>
  <c r="B25" i="31" s="1"/>
  <c r="B26" i="31" s="1"/>
  <c r="B27" i="31" s="1"/>
  <c r="B28" i="31" s="1"/>
  <c r="B29" i="31" s="1"/>
  <c r="B30" i="31" s="1"/>
  <c r="B31" i="31" s="1"/>
  <c r="B32" i="31" s="1"/>
  <c r="B33" i="31" s="1"/>
  <c r="B34" i="31" s="1"/>
  <c r="B35" i="31" s="1"/>
  <c r="B36" i="31" s="1"/>
  <c r="B37" i="31" s="1"/>
  <c r="B38" i="31" s="1"/>
  <c r="B39" i="31" s="1"/>
  <c r="E10" i="31"/>
  <c r="G10" i="31" s="1"/>
  <c r="K10" i="31" s="1"/>
  <c r="L10" i="31" s="1"/>
  <c r="J41" i="30"/>
  <c r="G40" i="30"/>
  <c r="K40" i="30" s="1"/>
  <c r="L40" i="30" s="1"/>
  <c r="E40" i="30"/>
  <c r="E38" i="30"/>
  <c r="G38" i="30" s="1"/>
  <c r="K38" i="30" s="1"/>
  <c r="L38" i="30" s="1"/>
  <c r="E37" i="30"/>
  <c r="G37" i="30" s="1"/>
  <c r="K37" i="30" s="1"/>
  <c r="L37" i="30" s="1"/>
  <c r="G36" i="30"/>
  <c r="K36" i="30" s="1"/>
  <c r="L36" i="30" s="1"/>
  <c r="E36" i="30"/>
  <c r="G35" i="30"/>
  <c r="K35" i="30" s="1"/>
  <c r="L35" i="30" s="1"/>
  <c r="E35" i="30"/>
  <c r="E34" i="30"/>
  <c r="G34" i="30" s="1"/>
  <c r="K34" i="30" s="1"/>
  <c r="L34" i="30" s="1"/>
  <c r="E33" i="30"/>
  <c r="G33" i="30" s="1"/>
  <c r="K33" i="30" s="1"/>
  <c r="L33" i="30" s="1"/>
  <c r="K32" i="30"/>
  <c r="L32" i="30" s="1"/>
  <c r="G32" i="30"/>
  <c r="E32" i="30"/>
  <c r="E31" i="30"/>
  <c r="G31" i="30" s="1"/>
  <c r="K31" i="30" s="1"/>
  <c r="L31" i="30" s="1"/>
  <c r="E30" i="30"/>
  <c r="G30" i="30" s="1"/>
  <c r="K30" i="30" s="1"/>
  <c r="L30" i="30" s="1"/>
  <c r="G29" i="30"/>
  <c r="K29" i="30" s="1"/>
  <c r="L29" i="30" s="1"/>
  <c r="E29" i="30"/>
  <c r="G28" i="30"/>
  <c r="K28" i="30" s="1"/>
  <c r="L28" i="30" s="1"/>
  <c r="E28" i="30"/>
  <c r="E27" i="30"/>
  <c r="G27" i="30" s="1"/>
  <c r="K27" i="30" s="1"/>
  <c r="L27" i="30" s="1"/>
  <c r="E26" i="30"/>
  <c r="G26" i="30" s="1"/>
  <c r="K26" i="30" s="1"/>
  <c r="L26" i="30" s="1"/>
  <c r="E25" i="30"/>
  <c r="G25" i="30" s="1"/>
  <c r="K25" i="30" s="1"/>
  <c r="L25" i="30" s="1"/>
  <c r="E24" i="30"/>
  <c r="G24" i="30" s="1"/>
  <c r="K24" i="30" s="1"/>
  <c r="L24" i="30" s="1"/>
  <c r="E23" i="30"/>
  <c r="G23" i="30" s="1"/>
  <c r="K23" i="30" s="1"/>
  <c r="L23" i="30" s="1"/>
  <c r="E22" i="30"/>
  <c r="G22" i="30" s="1"/>
  <c r="K22" i="30" s="1"/>
  <c r="L22" i="30" s="1"/>
  <c r="E21" i="30"/>
  <c r="G21" i="30" s="1"/>
  <c r="K21" i="30" s="1"/>
  <c r="L21" i="30" s="1"/>
  <c r="E20" i="30"/>
  <c r="G20" i="30" s="1"/>
  <c r="K20" i="30" s="1"/>
  <c r="L20" i="30" s="1"/>
  <c r="E19" i="30"/>
  <c r="G19" i="30" s="1"/>
  <c r="K19" i="30" s="1"/>
  <c r="L19" i="30" s="1"/>
  <c r="E18" i="30"/>
  <c r="G18" i="30" s="1"/>
  <c r="K18" i="30" s="1"/>
  <c r="L18" i="30" s="1"/>
  <c r="E17" i="30"/>
  <c r="G17" i="30" s="1"/>
  <c r="K17" i="30" s="1"/>
  <c r="L17" i="30" s="1"/>
  <c r="G16" i="30"/>
  <c r="K16" i="30" s="1"/>
  <c r="L16" i="30" s="1"/>
  <c r="E16" i="30"/>
  <c r="E15" i="30"/>
  <c r="G15" i="30" s="1"/>
  <c r="K15" i="30" s="1"/>
  <c r="L15" i="30" s="1"/>
  <c r="E14" i="30"/>
  <c r="G14" i="30" s="1"/>
  <c r="K14" i="30" s="1"/>
  <c r="L14" i="30" s="1"/>
  <c r="E13" i="30"/>
  <c r="G13" i="30" s="1"/>
  <c r="K13" i="30" s="1"/>
  <c r="L13" i="30" s="1"/>
  <c r="E12" i="30"/>
  <c r="G12" i="30" s="1"/>
  <c r="K12" i="30" s="1"/>
  <c r="L12" i="30" s="1"/>
  <c r="E11" i="30"/>
  <c r="G11" i="30" s="1"/>
  <c r="K11" i="30" s="1"/>
  <c r="L11" i="30" s="1"/>
  <c r="B11" i="30"/>
  <c r="B12" i="30" s="1"/>
  <c r="B13" i="30" s="1"/>
  <c r="B14" i="30" s="1"/>
  <c r="B15" i="30" s="1"/>
  <c r="B16" i="30" s="1"/>
  <c r="B17" i="30" s="1"/>
  <c r="B18" i="30" s="1"/>
  <c r="B19" i="30" s="1"/>
  <c r="B20" i="30" s="1"/>
  <c r="B21" i="30" s="1"/>
  <c r="B22" i="30" s="1"/>
  <c r="B23" i="30" s="1"/>
  <c r="B24" i="30" s="1"/>
  <c r="B25" i="30" s="1"/>
  <c r="B26" i="30" s="1"/>
  <c r="B27" i="30" s="1"/>
  <c r="B28" i="30" s="1"/>
  <c r="B29" i="30" s="1"/>
  <c r="B30" i="30" s="1"/>
  <c r="B31" i="30" s="1"/>
  <c r="B32" i="30" s="1"/>
  <c r="B33" i="30" s="1"/>
  <c r="B34" i="30" s="1"/>
  <c r="B35" i="30" s="1"/>
  <c r="B36" i="30" s="1"/>
  <c r="B37" i="30" s="1"/>
  <c r="B38" i="30" s="1"/>
  <c r="E10" i="30"/>
  <c r="G10" i="30" s="1"/>
  <c r="J38" i="29"/>
  <c r="E37" i="29"/>
  <c r="G37" i="29" s="1"/>
  <c r="K37" i="29" s="1"/>
  <c r="L37" i="29" s="1"/>
  <c r="E36" i="29"/>
  <c r="G36" i="29" s="1"/>
  <c r="K36" i="29" s="1"/>
  <c r="L36" i="29" s="1"/>
  <c r="E35" i="29"/>
  <c r="G35" i="29" s="1"/>
  <c r="K35" i="29" s="1"/>
  <c r="L35" i="29" s="1"/>
  <c r="E34" i="29"/>
  <c r="G34" i="29" s="1"/>
  <c r="K34" i="29" s="1"/>
  <c r="L34" i="29" s="1"/>
  <c r="E33" i="29"/>
  <c r="G33" i="29" s="1"/>
  <c r="K33" i="29" s="1"/>
  <c r="L33" i="29" s="1"/>
  <c r="E32" i="29"/>
  <c r="G32" i="29" s="1"/>
  <c r="K32" i="29" s="1"/>
  <c r="L32" i="29" s="1"/>
  <c r="E31" i="29"/>
  <c r="G31" i="29" s="1"/>
  <c r="K31" i="29" s="1"/>
  <c r="L31" i="29" s="1"/>
  <c r="E30" i="29"/>
  <c r="G30" i="29" s="1"/>
  <c r="K30" i="29" s="1"/>
  <c r="L30" i="29" s="1"/>
  <c r="E29" i="29"/>
  <c r="G29" i="29" s="1"/>
  <c r="K29" i="29" s="1"/>
  <c r="L29" i="29" s="1"/>
  <c r="E28" i="29"/>
  <c r="G28" i="29" s="1"/>
  <c r="K28" i="29" s="1"/>
  <c r="L28" i="29" s="1"/>
  <c r="E27" i="29"/>
  <c r="G27" i="29" s="1"/>
  <c r="K27" i="29" s="1"/>
  <c r="L27" i="29" s="1"/>
  <c r="E26" i="29"/>
  <c r="G26" i="29" s="1"/>
  <c r="K26" i="29" s="1"/>
  <c r="L26" i="29" s="1"/>
  <c r="E25" i="29"/>
  <c r="G25" i="29" s="1"/>
  <c r="K25" i="29" s="1"/>
  <c r="L25" i="29" s="1"/>
  <c r="E24" i="29"/>
  <c r="G24" i="29" s="1"/>
  <c r="K24" i="29" s="1"/>
  <c r="L24" i="29" s="1"/>
  <c r="E23" i="29"/>
  <c r="G23" i="29" s="1"/>
  <c r="K23" i="29" s="1"/>
  <c r="L23" i="29" s="1"/>
  <c r="E22" i="29"/>
  <c r="G22" i="29" s="1"/>
  <c r="K22" i="29" s="1"/>
  <c r="L22" i="29" s="1"/>
  <c r="E21" i="29"/>
  <c r="G21" i="29" s="1"/>
  <c r="K21" i="29" s="1"/>
  <c r="L21" i="29" s="1"/>
  <c r="E20" i="29"/>
  <c r="G20" i="29" s="1"/>
  <c r="K20" i="29" s="1"/>
  <c r="L20" i="29" s="1"/>
  <c r="E19" i="29"/>
  <c r="G19" i="29" s="1"/>
  <c r="K19" i="29" s="1"/>
  <c r="L19" i="29" s="1"/>
  <c r="E18" i="29"/>
  <c r="G18" i="29" s="1"/>
  <c r="K18" i="29" s="1"/>
  <c r="L18" i="29" s="1"/>
  <c r="E17" i="29"/>
  <c r="G17" i="29" s="1"/>
  <c r="K17" i="29" s="1"/>
  <c r="L17" i="29" s="1"/>
  <c r="E16" i="29"/>
  <c r="G16" i="29" s="1"/>
  <c r="K16" i="29" s="1"/>
  <c r="L16" i="29" s="1"/>
  <c r="E15" i="29"/>
  <c r="G15" i="29" s="1"/>
  <c r="K15" i="29" s="1"/>
  <c r="L15" i="29" s="1"/>
  <c r="G14" i="29"/>
  <c r="K14" i="29" s="1"/>
  <c r="L14" i="29" s="1"/>
  <c r="E14" i="29"/>
  <c r="E13" i="29"/>
  <c r="G13" i="29" s="1"/>
  <c r="K13" i="29" s="1"/>
  <c r="L13" i="29" s="1"/>
  <c r="E12" i="29"/>
  <c r="G12" i="29" s="1"/>
  <c r="K12" i="29" s="1"/>
  <c r="L12" i="29" s="1"/>
  <c r="E11" i="29"/>
  <c r="G11" i="29" s="1"/>
  <c r="K11" i="29" s="1"/>
  <c r="L11" i="29" s="1"/>
  <c r="B11" i="29"/>
  <c r="B12" i="29" s="1"/>
  <c r="B13" i="29" s="1"/>
  <c r="B14" i="29" s="1"/>
  <c r="B15" i="29" s="1"/>
  <c r="B16" i="29" s="1"/>
  <c r="B17" i="29" s="1"/>
  <c r="B18" i="29" s="1"/>
  <c r="B19" i="29" s="1"/>
  <c r="B20" i="29" s="1"/>
  <c r="B21" i="29" s="1"/>
  <c r="B22" i="29" s="1"/>
  <c r="B23" i="29" s="1"/>
  <c r="B24" i="29" s="1"/>
  <c r="B25" i="29" s="1"/>
  <c r="B26" i="29" s="1"/>
  <c r="B27" i="29" s="1"/>
  <c r="B28" i="29" s="1"/>
  <c r="B29" i="29" s="1"/>
  <c r="B30" i="29" s="1"/>
  <c r="B31" i="29" s="1"/>
  <c r="B32" i="29" s="1"/>
  <c r="B33" i="29" s="1"/>
  <c r="B34" i="29" s="1"/>
  <c r="B35" i="29" s="1"/>
  <c r="B36" i="29" s="1"/>
  <c r="B37" i="29" s="1"/>
  <c r="E10" i="29"/>
  <c r="G10" i="29" s="1"/>
  <c r="K10" i="29" s="1"/>
  <c r="G41" i="30" l="1"/>
  <c r="K10" i="30"/>
  <c r="K40" i="31"/>
  <c r="L40" i="31" s="1"/>
  <c r="G41" i="32"/>
  <c r="G40" i="31"/>
  <c r="K10" i="32"/>
  <c r="L10" i="29"/>
  <c r="K38" i="29"/>
  <c r="L38" i="29" s="1"/>
  <c r="G38" i="29"/>
  <c r="J41" i="28"/>
  <c r="E40" i="28"/>
  <c r="G40" i="28" s="1"/>
  <c r="K40" i="28" s="1"/>
  <c r="L40" i="28" s="1"/>
  <c r="G38" i="28"/>
  <c r="K38" i="28" s="1"/>
  <c r="L38" i="28" s="1"/>
  <c r="E38" i="28"/>
  <c r="E37" i="28"/>
  <c r="G37" i="28" s="1"/>
  <c r="K37" i="28" s="1"/>
  <c r="L37" i="28" s="1"/>
  <c r="E36" i="28"/>
  <c r="G36" i="28" s="1"/>
  <c r="K36" i="28" s="1"/>
  <c r="L36" i="28" s="1"/>
  <c r="E35" i="28"/>
  <c r="G35" i="28" s="1"/>
  <c r="K35" i="28" s="1"/>
  <c r="L35" i="28" s="1"/>
  <c r="E34" i="28"/>
  <c r="G34" i="28" s="1"/>
  <c r="K34" i="28" s="1"/>
  <c r="L34" i="28" s="1"/>
  <c r="E33" i="28"/>
  <c r="G33" i="28" s="1"/>
  <c r="K33" i="28" s="1"/>
  <c r="L33" i="28" s="1"/>
  <c r="E32" i="28"/>
  <c r="G32" i="28" s="1"/>
  <c r="K32" i="28" s="1"/>
  <c r="L32" i="28" s="1"/>
  <c r="E31" i="28"/>
  <c r="G31" i="28" s="1"/>
  <c r="K31" i="28" s="1"/>
  <c r="L31" i="28" s="1"/>
  <c r="G30" i="28"/>
  <c r="K30" i="28" s="1"/>
  <c r="L30" i="28" s="1"/>
  <c r="E30" i="28"/>
  <c r="E29" i="28"/>
  <c r="G29" i="28" s="1"/>
  <c r="K29" i="28" s="1"/>
  <c r="L29" i="28" s="1"/>
  <c r="E28" i="28"/>
  <c r="G28" i="28" s="1"/>
  <c r="K28" i="28" s="1"/>
  <c r="L28" i="28" s="1"/>
  <c r="E27" i="28"/>
  <c r="G27" i="28" s="1"/>
  <c r="K27" i="28" s="1"/>
  <c r="L27" i="28" s="1"/>
  <c r="E26" i="28"/>
  <c r="G26" i="28" s="1"/>
  <c r="K26" i="28" s="1"/>
  <c r="L26" i="28" s="1"/>
  <c r="E25" i="28"/>
  <c r="G25" i="28" s="1"/>
  <c r="K25" i="28" s="1"/>
  <c r="L25" i="28" s="1"/>
  <c r="E24" i="28"/>
  <c r="G24" i="28" s="1"/>
  <c r="K24" i="28" s="1"/>
  <c r="L24" i="28" s="1"/>
  <c r="E23" i="28"/>
  <c r="G23" i="28" s="1"/>
  <c r="K23" i="28" s="1"/>
  <c r="L23" i="28" s="1"/>
  <c r="E22" i="28"/>
  <c r="G22" i="28" s="1"/>
  <c r="K22" i="28" s="1"/>
  <c r="L22" i="28" s="1"/>
  <c r="E21" i="28"/>
  <c r="G21" i="28" s="1"/>
  <c r="K21" i="28" s="1"/>
  <c r="L21" i="28" s="1"/>
  <c r="E20" i="28"/>
  <c r="G20" i="28" s="1"/>
  <c r="K20" i="28" s="1"/>
  <c r="L20" i="28" s="1"/>
  <c r="G19" i="28"/>
  <c r="K19" i="28" s="1"/>
  <c r="L19" i="28" s="1"/>
  <c r="E18" i="28"/>
  <c r="G18" i="28" s="1"/>
  <c r="K18" i="28" s="1"/>
  <c r="L18" i="28" s="1"/>
  <c r="E17" i="28"/>
  <c r="G17" i="28" s="1"/>
  <c r="K17" i="28" s="1"/>
  <c r="L17" i="28" s="1"/>
  <c r="E16" i="28"/>
  <c r="G16" i="28" s="1"/>
  <c r="K16" i="28" s="1"/>
  <c r="L16" i="28" s="1"/>
  <c r="G15" i="28"/>
  <c r="K15" i="28" s="1"/>
  <c r="L15" i="28" s="1"/>
  <c r="E14" i="28"/>
  <c r="G14" i="28" s="1"/>
  <c r="K14" i="28" s="1"/>
  <c r="L14" i="28" s="1"/>
  <c r="G13" i="28"/>
  <c r="K13" i="28" s="1"/>
  <c r="L13" i="28" s="1"/>
  <c r="G12" i="28"/>
  <c r="K12" i="28" s="1"/>
  <c r="L12" i="28" s="1"/>
  <c r="G11" i="28"/>
  <c r="K11" i="28" s="1"/>
  <c r="L11" i="28" s="1"/>
  <c r="B11" i="28"/>
  <c r="B12" i="28" s="1"/>
  <c r="B13" i="28" s="1"/>
  <c r="B14" i="28" s="1"/>
  <c r="B15" i="28" s="1"/>
  <c r="B16" i="28" s="1"/>
  <c r="B17" i="28" s="1"/>
  <c r="B18" i="28" s="1"/>
  <c r="B19" i="28" s="1"/>
  <c r="B20" i="28" s="1"/>
  <c r="B21" i="28" s="1"/>
  <c r="B22" i="28" s="1"/>
  <c r="B23" i="28" s="1"/>
  <c r="B24" i="28" s="1"/>
  <c r="B25" i="28" s="1"/>
  <c r="B26" i="28" s="1"/>
  <c r="B27" i="28" s="1"/>
  <c r="B28" i="28" s="1"/>
  <c r="B29" i="28" s="1"/>
  <c r="B30" i="28" s="1"/>
  <c r="B31" i="28" s="1"/>
  <c r="B32" i="28" s="1"/>
  <c r="B33" i="28" s="1"/>
  <c r="B34" i="28" s="1"/>
  <c r="B35" i="28" s="1"/>
  <c r="B36" i="28" s="1"/>
  <c r="B37" i="28" s="1"/>
  <c r="B38" i="28" s="1"/>
  <c r="E10" i="28"/>
  <c r="G10" i="28" s="1"/>
  <c r="K10" i="28" s="1"/>
  <c r="K41" i="32" l="1"/>
  <c r="L41" i="32" s="1"/>
  <c r="L10" i="32"/>
  <c r="K41" i="30"/>
  <c r="L41" i="30" s="1"/>
  <c r="L10" i="30"/>
  <c r="L10" i="28"/>
  <c r="K41" i="28"/>
  <c r="L41" i="28" s="1"/>
  <c r="G41" i="28"/>
  <c r="E21" i="27"/>
  <c r="E18" i="27" l="1"/>
  <c r="E17" i="27"/>
  <c r="E16" i="27" l="1"/>
  <c r="E15" i="27"/>
  <c r="E14" i="27"/>
  <c r="E11" i="27" l="1"/>
  <c r="E10" i="27"/>
  <c r="J41" i="27" l="1"/>
  <c r="E40" i="27"/>
  <c r="G40" i="27" s="1"/>
  <c r="K40" i="27" s="1"/>
  <c r="L40" i="27" s="1"/>
  <c r="E38" i="27"/>
  <c r="G38" i="27" s="1"/>
  <c r="K38" i="27" s="1"/>
  <c r="L38" i="27" s="1"/>
  <c r="E37" i="27"/>
  <c r="G37" i="27" s="1"/>
  <c r="K37" i="27" s="1"/>
  <c r="L37" i="27" s="1"/>
  <c r="E36" i="27"/>
  <c r="G36" i="27" s="1"/>
  <c r="K36" i="27" s="1"/>
  <c r="L36" i="27" s="1"/>
  <c r="E35" i="27"/>
  <c r="G35" i="27" s="1"/>
  <c r="K35" i="27" s="1"/>
  <c r="L35" i="27" s="1"/>
  <c r="E34" i="27"/>
  <c r="G34" i="27" s="1"/>
  <c r="K34" i="27" s="1"/>
  <c r="L34" i="27" s="1"/>
  <c r="E33" i="27"/>
  <c r="G33" i="27" s="1"/>
  <c r="K33" i="27" s="1"/>
  <c r="L33" i="27" s="1"/>
  <c r="E32" i="27"/>
  <c r="G32" i="27" s="1"/>
  <c r="K32" i="27" s="1"/>
  <c r="L32" i="27" s="1"/>
  <c r="E31" i="27"/>
  <c r="G31" i="27" s="1"/>
  <c r="K31" i="27" s="1"/>
  <c r="L31" i="27" s="1"/>
  <c r="E30" i="27"/>
  <c r="G30" i="27" s="1"/>
  <c r="K30" i="27" s="1"/>
  <c r="L30" i="27" s="1"/>
  <c r="E29" i="27"/>
  <c r="G29" i="27" s="1"/>
  <c r="K29" i="27" s="1"/>
  <c r="L29" i="27" s="1"/>
  <c r="E28" i="27"/>
  <c r="G28" i="27" s="1"/>
  <c r="K28" i="27" s="1"/>
  <c r="L28" i="27" s="1"/>
  <c r="E27" i="27"/>
  <c r="G27" i="27" s="1"/>
  <c r="K27" i="27" s="1"/>
  <c r="L27" i="27" s="1"/>
  <c r="E26" i="27"/>
  <c r="G26" i="27" s="1"/>
  <c r="K26" i="27" s="1"/>
  <c r="L26" i="27" s="1"/>
  <c r="E25" i="27"/>
  <c r="G25" i="27" s="1"/>
  <c r="K25" i="27" s="1"/>
  <c r="L25" i="27" s="1"/>
  <c r="E24" i="27"/>
  <c r="G24" i="27" s="1"/>
  <c r="K24" i="27" s="1"/>
  <c r="L24" i="27" s="1"/>
  <c r="E23" i="27"/>
  <c r="G23" i="27" s="1"/>
  <c r="K23" i="27" s="1"/>
  <c r="L23" i="27" s="1"/>
  <c r="E22" i="27"/>
  <c r="G22" i="27" s="1"/>
  <c r="K22" i="27" s="1"/>
  <c r="L22" i="27" s="1"/>
  <c r="G21" i="27"/>
  <c r="K21" i="27" s="1"/>
  <c r="L21" i="27" s="1"/>
  <c r="E20" i="27"/>
  <c r="G20" i="27" s="1"/>
  <c r="K20" i="27" s="1"/>
  <c r="L20" i="27" s="1"/>
  <c r="E19" i="27"/>
  <c r="G19" i="27" s="1"/>
  <c r="K19" i="27" s="1"/>
  <c r="L19" i="27" s="1"/>
  <c r="G18" i="27"/>
  <c r="K18" i="27" s="1"/>
  <c r="L18" i="27" s="1"/>
  <c r="G17" i="27"/>
  <c r="K17" i="27" s="1"/>
  <c r="L17" i="27" s="1"/>
  <c r="G16" i="27"/>
  <c r="K16" i="27" s="1"/>
  <c r="L16" i="27" s="1"/>
  <c r="G15" i="27"/>
  <c r="K15" i="27" s="1"/>
  <c r="L15" i="27" s="1"/>
  <c r="G14" i="27"/>
  <c r="K14" i="27" s="1"/>
  <c r="L14" i="27" s="1"/>
  <c r="E13" i="27"/>
  <c r="G13" i="27" s="1"/>
  <c r="K13" i="27" s="1"/>
  <c r="L13" i="27" s="1"/>
  <c r="E12" i="27"/>
  <c r="G12" i="27" s="1"/>
  <c r="K12" i="27" s="1"/>
  <c r="L12" i="27" s="1"/>
  <c r="G11" i="27"/>
  <c r="K11" i="27" s="1"/>
  <c r="L11" i="27" s="1"/>
  <c r="B11" i="27"/>
  <c r="B12" i="27" s="1"/>
  <c r="B13" i="27" s="1"/>
  <c r="B14" i="27" s="1"/>
  <c r="B15" i="27" s="1"/>
  <c r="B16" i="27" s="1"/>
  <c r="B17" i="27" s="1"/>
  <c r="B18" i="27" s="1"/>
  <c r="B19" i="27" s="1"/>
  <c r="B20" i="27" s="1"/>
  <c r="B21" i="27" s="1"/>
  <c r="B22" i="27" s="1"/>
  <c r="B23" i="27" s="1"/>
  <c r="B24" i="27" s="1"/>
  <c r="B25" i="27" s="1"/>
  <c r="B26" i="27" s="1"/>
  <c r="B27" i="27" s="1"/>
  <c r="B28" i="27" s="1"/>
  <c r="B29" i="27" s="1"/>
  <c r="B30" i="27" s="1"/>
  <c r="B31" i="27" s="1"/>
  <c r="B32" i="27" s="1"/>
  <c r="B33" i="27" s="1"/>
  <c r="B34" i="27" s="1"/>
  <c r="B35" i="27" s="1"/>
  <c r="B36" i="27" s="1"/>
  <c r="B37" i="27" s="1"/>
  <c r="G10" i="27"/>
  <c r="B38" i="27" l="1"/>
  <c r="B39" i="27" s="1"/>
  <c r="B40" i="27" s="1"/>
  <c r="K10" i="27"/>
  <c r="G41" i="27"/>
  <c r="K41" i="27" l="1"/>
  <c r="L41" i="27" s="1"/>
  <c r="L10" i="27"/>
  <c r="C17" i="11" l="1"/>
  <c r="D17" i="11" l="1"/>
  <c r="E17" i="11" s="1"/>
  <c r="L14" i="11" l="1"/>
  <c r="C16" i="11"/>
  <c r="C15" i="11"/>
  <c r="C14" i="11"/>
  <c r="C18" i="11" l="1"/>
  <c r="D15" i="11"/>
  <c r="E15" i="11" s="1"/>
  <c r="D16" i="11" l="1"/>
  <c r="F16" i="11" l="1"/>
  <c r="E16" i="11"/>
  <c r="F17" i="11"/>
  <c r="D14" i="11" l="1"/>
  <c r="E14" i="11" s="1"/>
  <c r="L15" i="11"/>
  <c r="F14" i="11" l="1"/>
  <c r="F15" i="11"/>
  <c r="D18" i="11"/>
  <c r="E18" i="11" l="1"/>
  <c r="D20" i="11"/>
  <c r="F18" i="11"/>
  <c r="F20" i="11" l="1"/>
</calcChain>
</file>

<file path=xl/sharedStrings.xml><?xml version="1.0" encoding="utf-8"?>
<sst xmlns="http://schemas.openxmlformats.org/spreadsheetml/2006/main" count="438" uniqueCount="77">
  <si>
    <t>Horas Brutas</t>
  </si>
  <si>
    <t>Data</t>
  </si>
  <si>
    <t>TOTAL MÊS</t>
  </si>
  <si>
    <t>Mês</t>
  </si>
  <si>
    <t>Saldo Restante</t>
  </si>
  <si>
    <t>Cliente</t>
  </si>
  <si>
    <t>Projeto</t>
  </si>
  <si>
    <t>Período</t>
  </si>
  <si>
    <t>Consultores</t>
  </si>
  <si>
    <t>%</t>
  </si>
  <si>
    <t>CONTROLE DE HORAS</t>
  </si>
  <si>
    <t>Jorge Maluf</t>
  </si>
  <si>
    <t>Início</t>
  </si>
  <si>
    <t>Término</t>
  </si>
  <si>
    <t>Sonda IT (Banco Votorantim)</t>
  </si>
  <si>
    <t>Intervalo</t>
  </si>
  <si>
    <t>VENDIDAS</t>
  </si>
  <si>
    <t>REALIZADAS</t>
  </si>
  <si>
    <t>GAP</t>
  </si>
  <si>
    <t>Horas 
Vendidas</t>
  </si>
  <si>
    <t>Horas 
Consumidas</t>
  </si>
  <si>
    <t>GAP 
Horas</t>
  </si>
  <si>
    <t>% Consumido 
sobre Total</t>
  </si>
  <si>
    <t>Gap Analysis: Gestão de Acessos Lógicos</t>
  </si>
  <si>
    <t>280 Horas de Consultoria</t>
  </si>
  <si>
    <t xml:space="preserve"> Setembro/2015</t>
  </si>
  <si>
    <t xml:space="preserve"> Agosto/2015</t>
  </si>
  <si>
    <t xml:space="preserve"> Julho/2015</t>
  </si>
  <si>
    <t>% Restante</t>
  </si>
  <si>
    <t>Horas Totais</t>
  </si>
  <si>
    <t>% Total</t>
  </si>
  <si>
    <t>Contratado</t>
  </si>
  <si>
    <t>Atualização: 15-10-15</t>
  </si>
  <si>
    <t xml:space="preserve"> Outubro/2015</t>
  </si>
  <si>
    <t>Já considerando 10% adicionais às 280 horas vendidas</t>
  </si>
  <si>
    <t>Foi necessário consumir mais 60 horas, além das 
308 horas combinadas (280 + 28).</t>
  </si>
  <si>
    <t>Consultor</t>
  </si>
  <si>
    <t>Horas Líquidas
(Faturáveis)</t>
  </si>
  <si>
    <t>CHACON CONSULTORIA ILIMITADA
CONTROLE DE HORAS</t>
  </si>
  <si>
    <t>Serviço</t>
  </si>
  <si>
    <t>Consultoria em Processos</t>
  </si>
  <si>
    <t>Escopo</t>
  </si>
  <si>
    <t>Evolução de Processos de Gestão TI</t>
  </si>
  <si>
    <t>Responsável</t>
  </si>
  <si>
    <t>Adriano Sarno Barbosa</t>
  </si>
  <si>
    <t>Gerente de Infra, Arquitetura e Operações de TI</t>
  </si>
  <si>
    <t>SMILES S.A.</t>
  </si>
  <si>
    <t>Tema / Assunto</t>
  </si>
  <si>
    <t>Aceito as horas acima reportadas para fins de cumprimento de contrato e faturamento.</t>
  </si>
  <si>
    <t>Visto/Carimbo</t>
  </si>
  <si>
    <t>Dezembro de 2016</t>
  </si>
  <si>
    <t>Janeiro de 2017</t>
  </si>
  <si>
    <t>Fevereiro de 2017</t>
  </si>
  <si>
    <t>Março de 2017</t>
  </si>
  <si>
    <t>Abril de 2017</t>
  </si>
  <si>
    <t>Maio de 2017</t>
  </si>
  <si>
    <t>Thomas Kiss</t>
  </si>
  <si>
    <t>Sábado</t>
  </si>
  <si>
    <t>Domingo</t>
  </si>
  <si>
    <t>Início de Trabalho, Passagem de conhecimento.</t>
  </si>
  <si>
    <t>Passagem de Conhecimento, Criação de Matriz de Riscos e Controles DS1, DS2</t>
  </si>
  <si>
    <t>Exame, Leitura de Material Smiles.</t>
  </si>
  <si>
    <t>Junho de 2017</t>
  </si>
  <si>
    <t>Julho de 2017</t>
  </si>
  <si>
    <t>Agosto de 2017</t>
  </si>
  <si>
    <t>Setembro de 2017</t>
  </si>
  <si>
    <t>Outubro de 2017</t>
  </si>
  <si>
    <t>Novembro de 2017</t>
  </si>
  <si>
    <t>Dezembro de 2017</t>
  </si>
  <si>
    <t>Acompanhamento de Mudanças, Leitura de material Jira.</t>
  </si>
  <si>
    <t>Workshop Gestão de Mudança, estudo de mateiral.</t>
  </si>
  <si>
    <t>Passagem de Conhecimento, revisão material confluence</t>
  </si>
  <si>
    <t>Passagem de Conhecimento, revisão material confluence, Gerot</t>
  </si>
  <si>
    <t>Passagem de Conhecimento, Criação de Matriz de Riscos e Controles DS1, Gerot</t>
  </si>
  <si>
    <t>CHACON CONSULTORIA ILIMITADA 
CONTROLE DE HORAS</t>
  </si>
  <si>
    <t>Revisão material Workshop</t>
  </si>
  <si>
    <t>Revisão de pendências, Reunião Germud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</si>
</sst>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4" formatCode="_-&quot;R$&quot;\ * #,##0.00_-;\-&quot;R$&quot;\ * #,##0.00_-;_-&quot;R$&quot;\ * &quot;-&quot;??_-;_-@_-"/>
    <numFmt numFmtId="164" formatCode="[h]:mm"/>
  </numFmts>
  <fonts count="23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b/>
      <sz val="10"/>
      <color theme="1"/>
      <name val="Calibri"/>
      <family val="2"/>
      <scheme val="minor"/>
    </font>
    <font>
      <i/>
      <sz val="8"/>
      <color theme="1"/>
      <name val="Calibri"/>
      <family val="2"/>
      <scheme val="minor"/>
    </font>
    <font>
      <b/>
      <sz val="16"/>
      <color theme="0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0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sz val="10"/>
      <color rgb="FFFF0000"/>
      <name val="Calibri"/>
      <family val="2"/>
      <scheme val="minor"/>
    </font>
    <font>
      <i/>
      <sz val="10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0"/>
      <color rgb="FFFF0000"/>
      <name val="Calibri"/>
      <family val="2"/>
      <scheme val="minor"/>
    </font>
    <font>
      <sz val="10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9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</fills>
  <borders count="50">
    <border>
      <left/>
      <right/>
      <top/>
      <bottom/>
      <diagonal/>
    </border>
    <border>
      <left style="medium">
        <color theme="3" tint="-0.24994659260841701"/>
      </left>
      <right/>
      <top style="medium">
        <color theme="3" tint="-0.24994659260841701"/>
      </top>
      <bottom/>
      <diagonal/>
    </border>
    <border>
      <left/>
      <right/>
      <top style="medium">
        <color theme="3" tint="-0.24994659260841701"/>
      </top>
      <bottom/>
      <diagonal/>
    </border>
    <border>
      <left/>
      <right style="medium">
        <color theme="3" tint="-0.24994659260841701"/>
      </right>
      <top style="medium">
        <color theme="3" tint="-0.24994659260841701"/>
      </top>
      <bottom/>
      <diagonal/>
    </border>
    <border>
      <left style="medium">
        <color theme="3" tint="-0.24994659260841701"/>
      </left>
      <right style="hair">
        <color theme="3" tint="-0.24994659260841701"/>
      </right>
      <top/>
      <bottom style="hair">
        <color auto="1"/>
      </bottom>
      <diagonal/>
    </border>
    <border>
      <left style="hair">
        <color theme="3" tint="-0.24994659260841701"/>
      </left>
      <right style="hair">
        <color theme="3" tint="-0.24994659260841701"/>
      </right>
      <top/>
      <bottom style="hair">
        <color auto="1"/>
      </bottom>
      <diagonal/>
    </border>
    <border>
      <left style="hair">
        <color theme="3" tint="-0.24994659260841701"/>
      </left>
      <right style="medium">
        <color theme="3" tint="-0.24994659260841701"/>
      </right>
      <top/>
      <bottom style="hair">
        <color auto="1"/>
      </bottom>
      <diagonal/>
    </border>
    <border>
      <left style="medium">
        <color theme="3" tint="-0.24994659260841701"/>
      </left>
      <right/>
      <top style="medium">
        <color theme="3" tint="-0.24994659260841701"/>
      </top>
      <bottom style="medium">
        <color theme="3" tint="-0.24994659260841701"/>
      </bottom>
      <diagonal/>
    </border>
    <border>
      <left/>
      <right/>
      <top style="medium">
        <color theme="3" tint="-0.24994659260841701"/>
      </top>
      <bottom style="medium">
        <color theme="3" tint="-0.24994659260841701"/>
      </bottom>
      <diagonal/>
    </border>
    <border>
      <left/>
      <right style="medium">
        <color theme="3" tint="-0.24994659260841701"/>
      </right>
      <top style="medium">
        <color theme="3" tint="-0.24994659260841701"/>
      </top>
      <bottom style="medium">
        <color theme="3" tint="-0.24994659260841701"/>
      </bottom>
      <diagonal/>
    </border>
    <border>
      <left style="medium">
        <color theme="3" tint="-0.24994659260841701"/>
      </left>
      <right style="hair">
        <color theme="3" tint="-0.24994659260841701"/>
      </right>
      <top style="hair">
        <color auto="1"/>
      </top>
      <bottom style="medium">
        <color theme="3" tint="-0.24994659260841701"/>
      </bottom>
      <diagonal/>
    </border>
    <border>
      <left/>
      <right style="hair">
        <color theme="3" tint="-0.24994659260841701"/>
      </right>
      <top style="medium">
        <color theme="3" tint="-0.24994659260841701"/>
      </top>
      <bottom style="medium">
        <color theme="3" tint="-0.24994659260841701"/>
      </bottom>
      <diagonal/>
    </border>
    <border>
      <left style="medium">
        <color theme="3" tint="-0.24994659260841701"/>
      </left>
      <right style="medium">
        <color theme="3" tint="-0.24994659260841701"/>
      </right>
      <top style="medium">
        <color theme="3" tint="-0.24994659260841701"/>
      </top>
      <bottom style="medium">
        <color theme="3" tint="-0.24994659260841701"/>
      </bottom>
      <diagonal/>
    </border>
    <border>
      <left style="medium">
        <color theme="3" tint="-0.24994659260841701"/>
      </left>
      <right style="medium">
        <color theme="3" tint="-0.24994659260841701"/>
      </right>
      <top style="medium">
        <color theme="3" tint="-0.24994659260841701"/>
      </top>
      <bottom/>
      <diagonal/>
    </border>
    <border>
      <left/>
      <right style="medium">
        <color theme="3" tint="-0.24994659260841701"/>
      </right>
      <top/>
      <bottom/>
      <diagonal/>
    </border>
    <border>
      <left/>
      <right/>
      <top/>
      <bottom style="medium">
        <color theme="3" tint="-0.24994659260841701"/>
      </bottom>
      <diagonal/>
    </border>
    <border>
      <left/>
      <right style="medium">
        <color theme="3" tint="-0.24994659260841701"/>
      </right>
      <top/>
      <bottom style="medium">
        <color theme="3" tint="-0.24994659260841701"/>
      </bottom>
      <diagonal/>
    </border>
    <border>
      <left style="medium">
        <color theme="3" tint="-0.249977111117893"/>
      </left>
      <right style="medium">
        <color theme="3" tint="-0.249977111117893"/>
      </right>
      <top style="medium">
        <color theme="3" tint="-0.249977111117893"/>
      </top>
      <bottom style="medium">
        <color theme="3" tint="-0.249977111117893"/>
      </bottom>
      <diagonal/>
    </border>
    <border>
      <left style="medium">
        <color theme="3" tint="-0.249977111117893"/>
      </left>
      <right/>
      <top style="medium">
        <color theme="3" tint="-0.249977111117893"/>
      </top>
      <bottom/>
      <diagonal/>
    </border>
    <border>
      <left style="medium">
        <color theme="3" tint="-0.249977111117893"/>
      </left>
      <right/>
      <top/>
      <bottom/>
      <diagonal/>
    </border>
    <border>
      <left style="medium">
        <color theme="3" tint="-0.249977111117893"/>
      </left>
      <right/>
      <top/>
      <bottom style="medium">
        <color theme="3" tint="-0.249977111117893"/>
      </bottom>
      <diagonal/>
    </border>
    <border>
      <left/>
      <right style="medium">
        <color theme="3" tint="-0.24994659260841701"/>
      </right>
      <top/>
      <bottom style="hair">
        <color auto="1"/>
      </bottom>
      <diagonal/>
    </border>
    <border>
      <left style="medium">
        <color theme="3" tint="-0.249977111117893"/>
      </left>
      <right style="medium">
        <color theme="3" tint="-0.249977111117893"/>
      </right>
      <top style="medium">
        <color theme="3" tint="-0.249977111117893"/>
      </top>
      <bottom style="hair">
        <color auto="1"/>
      </bottom>
      <diagonal/>
    </border>
    <border>
      <left style="medium">
        <color theme="3" tint="-0.249977111117893"/>
      </left>
      <right style="medium">
        <color theme="3" tint="-0.249977111117893"/>
      </right>
      <top style="hair">
        <color auto="1"/>
      </top>
      <bottom style="hair">
        <color auto="1"/>
      </bottom>
      <diagonal/>
    </border>
    <border>
      <left style="medium">
        <color theme="3" tint="-0.249977111117893"/>
      </left>
      <right style="medium">
        <color theme="3" tint="-0.249977111117893"/>
      </right>
      <top style="medium">
        <color theme="3" tint="-0.249977111117893"/>
      </top>
      <bottom/>
      <diagonal/>
    </border>
    <border>
      <left style="medium">
        <color theme="3" tint="-0.249977111117893"/>
      </left>
      <right style="medium">
        <color theme="3" tint="-0.249977111117893"/>
      </right>
      <top/>
      <bottom/>
      <diagonal/>
    </border>
    <border>
      <left style="medium">
        <color theme="3" tint="-0.249977111117893"/>
      </left>
      <right style="medium">
        <color theme="3" tint="-0.249977111117893"/>
      </right>
      <top/>
      <bottom style="medium">
        <color theme="3" tint="-0.249977111117893"/>
      </bottom>
      <diagonal/>
    </border>
    <border>
      <left style="medium">
        <color theme="3" tint="-0.24994659260841701"/>
      </left>
      <right style="hair">
        <color theme="3" tint="-0.24994659260841701"/>
      </right>
      <top/>
      <bottom/>
      <diagonal/>
    </border>
    <border>
      <left style="medium">
        <color rgb="FF16365C"/>
      </left>
      <right style="medium">
        <color rgb="FF16365C"/>
      </right>
      <top style="medium">
        <color rgb="FF16365C"/>
      </top>
      <bottom style="medium">
        <color rgb="FF16365C"/>
      </bottom>
      <diagonal/>
    </border>
    <border>
      <left style="medium">
        <color rgb="FF16365C"/>
      </left>
      <right/>
      <top style="medium">
        <color rgb="FF16365C"/>
      </top>
      <bottom/>
      <diagonal/>
    </border>
    <border>
      <left/>
      <right/>
      <top style="medium">
        <color rgb="FF16365C"/>
      </top>
      <bottom/>
      <diagonal/>
    </border>
    <border>
      <left/>
      <right style="medium">
        <color rgb="FF16365C"/>
      </right>
      <top style="medium">
        <color rgb="FF16365C"/>
      </top>
      <bottom/>
      <diagonal/>
    </border>
    <border>
      <left/>
      <right style="medium">
        <color rgb="FF16365C"/>
      </right>
      <top/>
      <bottom/>
      <diagonal/>
    </border>
    <border>
      <left/>
      <right/>
      <top/>
      <bottom style="medium">
        <color rgb="FF16365C"/>
      </bottom>
      <diagonal/>
    </border>
    <border>
      <left/>
      <right style="medium">
        <color rgb="FF16365C"/>
      </right>
      <top/>
      <bottom style="medium">
        <color rgb="FF16365C"/>
      </bottom>
      <diagonal/>
    </border>
    <border>
      <left style="medium">
        <color rgb="FF16365C"/>
      </left>
      <right style="medium">
        <color rgb="FF16365C"/>
      </right>
      <top style="medium">
        <color rgb="FF16365C"/>
      </top>
      <bottom/>
      <diagonal/>
    </border>
    <border>
      <left style="medium">
        <color rgb="FF16365C"/>
      </left>
      <right style="medium">
        <color rgb="FF16365C"/>
      </right>
      <top/>
      <bottom/>
      <diagonal/>
    </border>
    <border>
      <left style="medium">
        <color rgb="FF16365C"/>
      </left>
      <right style="medium">
        <color rgb="FF16365C"/>
      </right>
      <top/>
      <bottom style="medium">
        <color rgb="FF16365C"/>
      </bottom>
      <diagonal/>
    </border>
    <border>
      <left style="medium">
        <color rgb="FF16365C"/>
      </left>
      <right/>
      <top/>
      <bottom/>
      <diagonal/>
    </border>
    <border>
      <left/>
      <right style="medium">
        <color rgb="FF16365C"/>
      </right>
      <top style="medium">
        <color theme="3" tint="-0.24994659260841701"/>
      </top>
      <bottom/>
      <diagonal/>
    </border>
    <border>
      <left/>
      <right style="medium">
        <color rgb="FF16365C"/>
      </right>
      <top style="medium">
        <color theme="3" tint="-0.24994659260841701"/>
      </top>
      <bottom style="medium">
        <color rgb="FF16365C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medium">
        <color rgb="FF16365C"/>
      </left>
      <right style="thin">
        <color rgb="FF16365C"/>
      </right>
      <top style="medium">
        <color rgb="FF16365C"/>
      </top>
      <bottom style="medium">
        <color rgb="FF16365C"/>
      </bottom>
      <diagonal/>
    </border>
    <border>
      <left style="thin">
        <color rgb="FF16365C"/>
      </left>
      <right style="thin">
        <color rgb="FF16365C"/>
      </right>
      <top style="medium">
        <color rgb="FF16365C"/>
      </top>
      <bottom style="medium">
        <color rgb="FF16365C"/>
      </bottom>
      <diagonal/>
    </border>
    <border>
      <left style="thin">
        <color rgb="FF16365C"/>
      </left>
      <right style="medium">
        <color rgb="FF16365C"/>
      </right>
      <top style="medium">
        <color rgb="FF16365C"/>
      </top>
      <bottom style="medium">
        <color rgb="FF16365C"/>
      </bottom>
      <diagonal/>
    </border>
    <border>
      <left style="medium">
        <color rgb="FF16365C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medium">
        <color rgb="FF16365C"/>
      </right>
      <top/>
      <bottom style="thin">
        <color theme="0"/>
      </bottom>
      <diagonal/>
    </border>
    <border>
      <left style="medium">
        <color rgb="FF16365C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medium">
        <color rgb="FF16365C"/>
      </right>
      <top style="thin">
        <color theme="0"/>
      </top>
      <bottom style="thin">
        <color theme="0"/>
      </bottom>
      <diagonal/>
    </border>
  </borders>
  <cellStyleXfs count="2">
    <xf numFmtId="0" fontId="0" fillId="0" borderId="0"/>
    <xf numFmtId="44" fontId="18" fillId="0" borderId="0" applyFont="0" applyFill="0" applyBorder="0" applyAlignment="0" applyProtection="0"/>
  </cellStyleXfs>
  <cellXfs count="127">
    <xf numFmtId="0" fontId="0" fillId="0" borderId="0" xfId="0"/>
    <xf numFmtId="0" fontId="0" fillId="2" borderId="0" xfId="0" applyFill="1"/>
    <xf numFmtId="0" fontId="3" fillId="2" borderId="0" xfId="0" applyFont="1" applyFill="1"/>
    <xf numFmtId="0" fontId="2" fillId="2" borderId="0" xfId="0" applyFont="1" applyFill="1"/>
    <xf numFmtId="0" fontId="6" fillId="2" borderId="0" xfId="0" applyFont="1" applyFill="1"/>
    <xf numFmtId="0" fontId="1" fillId="2" borderId="0" xfId="0" applyFont="1" applyFill="1" applyBorder="1" applyAlignment="1">
      <alignment horizontal="center"/>
    </xf>
    <xf numFmtId="20" fontId="5" fillId="2" borderId="0" xfId="0" applyNumberFormat="1" applyFont="1" applyFill="1" applyBorder="1" applyAlignment="1">
      <alignment horizontal="center"/>
    </xf>
    <xf numFmtId="0" fontId="2" fillId="2" borderId="0" xfId="0" applyFont="1" applyFill="1" applyBorder="1"/>
    <xf numFmtId="0" fontId="0" fillId="2" borderId="0" xfId="0" applyFill="1" applyBorder="1" applyAlignment="1">
      <alignment horizontal="left" vertical="center" indent="1"/>
    </xf>
    <xf numFmtId="0" fontId="0" fillId="2" borderId="0" xfId="0" applyNumberFormat="1" applyFill="1"/>
    <xf numFmtId="9" fontId="3" fillId="2" borderId="0" xfId="0" applyNumberFormat="1" applyFont="1" applyFill="1"/>
    <xf numFmtId="0" fontId="8" fillId="2" borderId="0" xfId="0" applyFont="1" applyFill="1" applyAlignment="1">
      <alignment horizontal="right"/>
    </xf>
    <xf numFmtId="0" fontId="8" fillId="2" borderId="0" xfId="0" applyFont="1" applyFill="1" applyAlignment="1">
      <alignment horizontal="center"/>
    </xf>
    <xf numFmtId="16" fontId="8" fillId="2" borderId="0" xfId="0" applyNumberFormat="1" applyFont="1" applyFill="1" applyAlignment="1">
      <alignment horizontal="right"/>
    </xf>
    <xf numFmtId="10" fontId="8" fillId="2" borderId="0" xfId="0" applyNumberFormat="1" applyFont="1" applyFill="1" applyAlignment="1">
      <alignment horizontal="center"/>
    </xf>
    <xf numFmtId="0" fontId="11" fillId="3" borderId="1" xfId="0" applyFont="1" applyFill="1" applyBorder="1" applyAlignment="1">
      <alignment horizontal="center" vertical="center"/>
    </xf>
    <xf numFmtId="0" fontId="11" fillId="3" borderId="7" xfId="0" applyFont="1" applyFill="1" applyBorder="1" applyAlignment="1">
      <alignment horizontal="center" vertical="center"/>
    </xf>
    <xf numFmtId="0" fontId="11" fillId="3" borderId="13" xfId="0" applyFont="1" applyFill="1" applyBorder="1" applyAlignment="1">
      <alignment horizontal="left" vertical="center" indent="1"/>
    </xf>
    <xf numFmtId="0" fontId="11" fillId="3" borderId="12" xfId="0" applyFont="1" applyFill="1" applyBorder="1" applyAlignment="1">
      <alignment horizontal="left" vertical="center" indent="1"/>
    </xf>
    <xf numFmtId="49" fontId="2" fillId="2" borderId="0" xfId="0" applyNumberFormat="1" applyFont="1" applyFill="1"/>
    <xf numFmtId="0" fontId="11" fillId="3" borderId="2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5" fillId="2" borderId="18" xfId="0" applyFont="1" applyFill="1" applyBorder="1" applyAlignment="1">
      <alignment horizontal="left" vertical="center" indent="1"/>
    </xf>
    <xf numFmtId="0" fontId="5" fillId="2" borderId="19" xfId="0" applyFont="1" applyFill="1" applyBorder="1" applyAlignment="1">
      <alignment horizontal="left" vertical="center" indent="1"/>
    </xf>
    <xf numFmtId="0" fontId="5" fillId="2" borderId="20" xfId="0" applyFont="1" applyFill="1" applyBorder="1" applyAlignment="1">
      <alignment horizontal="left" vertical="center" indent="1"/>
    </xf>
    <xf numFmtId="10" fontId="5" fillId="2" borderId="6" xfId="0" applyNumberFormat="1" applyFont="1" applyFill="1" applyBorder="1" applyAlignment="1">
      <alignment horizontal="center" vertical="center"/>
    </xf>
    <xf numFmtId="164" fontId="5" fillId="2" borderId="5" xfId="0" applyNumberFormat="1" applyFont="1" applyFill="1" applyBorder="1" applyAlignment="1">
      <alignment horizontal="center" vertical="center"/>
    </xf>
    <xf numFmtId="16" fontId="5" fillId="2" borderId="4" xfId="0" quotePrefix="1" applyNumberFormat="1" applyFont="1" applyFill="1" applyBorder="1" applyAlignment="1">
      <alignment horizontal="left" vertical="center"/>
    </xf>
    <xf numFmtId="16" fontId="10" fillId="0" borderId="10" xfId="0" quotePrefix="1" applyNumberFormat="1" applyFont="1" applyFill="1" applyBorder="1" applyAlignment="1">
      <alignment horizontal="left" vertical="center"/>
    </xf>
    <xf numFmtId="0" fontId="0" fillId="2" borderId="0" xfId="0" applyFill="1" applyAlignment="1">
      <alignment vertical="center"/>
    </xf>
    <xf numFmtId="0" fontId="6" fillId="2" borderId="0" xfId="0" applyFont="1" applyFill="1" applyAlignment="1">
      <alignment horizontal="left" vertical="center"/>
    </xf>
    <xf numFmtId="0" fontId="5" fillId="2" borderId="2" xfId="0" applyFont="1" applyFill="1" applyBorder="1" applyAlignment="1">
      <alignment horizontal="left" vertical="center"/>
    </xf>
    <xf numFmtId="0" fontId="0" fillId="2" borderId="2" xfId="0" applyFill="1" applyBorder="1" applyAlignment="1">
      <alignment horizontal="left" vertical="center"/>
    </xf>
    <xf numFmtId="0" fontId="0" fillId="2" borderId="3" xfId="0" applyFill="1" applyBorder="1" applyAlignment="1">
      <alignment horizontal="left" vertical="center"/>
    </xf>
    <xf numFmtId="0" fontId="5" fillId="2" borderId="0" xfId="0" applyFont="1" applyFill="1" applyBorder="1" applyAlignment="1">
      <alignment horizontal="left" vertical="center"/>
    </xf>
    <xf numFmtId="0" fontId="0" fillId="2" borderId="0" xfId="0" applyFill="1" applyBorder="1" applyAlignment="1">
      <alignment horizontal="left" vertical="center"/>
    </xf>
    <xf numFmtId="0" fontId="0" fillId="2" borderId="14" xfId="0" applyFill="1" applyBorder="1" applyAlignment="1">
      <alignment horizontal="left" vertical="center"/>
    </xf>
    <xf numFmtId="0" fontId="5" fillId="2" borderId="15" xfId="0" applyFont="1" applyFill="1" applyBorder="1" applyAlignment="1">
      <alignment horizontal="left" vertical="center"/>
    </xf>
    <xf numFmtId="0" fontId="0" fillId="2" borderId="15" xfId="0" applyFill="1" applyBorder="1" applyAlignment="1">
      <alignment horizontal="left" vertical="center"/>
    </xf>
    <xf numFmtId="0" fontId="0" fillId="2" borderId="16" xfId="0" applyFill="1" applyBorder="1" applyAlignment="1">
      <alignment horizontal="left" vertical="center"/>
    </xf>
    <xf numFmtId="0" fontId="5" fillId="2" borderId="0" xfId="0" applyFont="1" applyFill="1" applyAlignment="1">
      <alignment vertical="center"/>
    </xf>
    <xf numFmtId="0" fontId="0" fillId="2" borderId="0" xfId="0" applyFill="1" applyBorder="1" applyAlignment="1">
      <alignment vertical="center"/>
    </xf>
    <xf numFmtId="0" fontId="1" fillId="2" borderId="0" xfId="0" applyFont="1" applyFill="1" applyBorder="1" applyAlignment="1">
      <alignment horizontal="center" vertical="center"/>
    </xf>
    <xf numFmtId="0" fontId="3" fillId="2" borderId="0" xfId="0" applyFont="1" applyFill="1" applyAlignment="1">
      <alignment vertical="center"/>
    </xf>
    <xf numFmtId="20" fontId="3" fillId="2" borderId="0" xfId="0" applyNumberFormat="1" applyFont="1" applyFill="1" applyBorder="1" applyAlignment="1">
      <alignment horizontal="center" vertical="center"/>
    </xf>
    <xf numFmtId="0" fontId="4" fillId="2" borderId="0" xfId="0" applyFont="1" applyFill="1" applyBorder="1" applyAlignment="1">
      <alignment horizontal="center" vertical="center"/>
    </xf>
    <xf numFmtId="16" fontId="4" fillId="0" borderId="0" xfId="0" applyNumberFormat="1" applyFont="1" applyFill="1" applyBorder="1" applyAlignment="1">
      <alignment horizontal="center" vertical="center"/>
    </xf>
    <xf numFmtId="0" fontId="12" fillId="2" borderId="0" xfId="0" applyFont="1" applyFill="1"/>
    <xf numFmtId="10" fontId="10" fillId="2" borderId="9" xfId="0" applyNumberFormat="1" applyFont="1" applyFill="1" applyBorder="1" applyAlignment="1">
      <alignment horizontal="center" vertical="center"/>
    </xf>
    <xf numFmtId="164" fontId="11" fillId="3" borderId="8" xfId="0" applyNumberFormat="1" applyFont="1" applyFill="1" applyBorder="1" applyAlignment="1">
      <alignment horizontal="center" vertical="center"/>
    </xf>
    <xf numFmtId="10" fontId="11" fillId="3" borderId="9" xfId="0" applyNumberFormat="1" applyFont="1" applyFill="1" applyBorder="1" applyAlignment="1">
      <alignment horizontal="center" vertical="center"/>
    </xf>
    <xf numFmtId="10" fontId="3" fillId="2" borderId="0" xfId="0" applyNumberFormat="1" applyFont="1" applyFill="1" applyBorder="1" applyAlignment="1">
      <alignment vertical="center"/>
    </xf>
    <xf numFmtId="0" fontId="13" fillId="2" borderId="0" xfId="0" applyFont="1" applyFill="1"/>
    <xf numFmtId="16" fontId="5" fillId="2" borderId="27" xfId="0" quotePrefix="1" applyNumberFormat="1" applyFont="1" applyFill="1" applyBorder="1" applyAlignment="1">
      <alignment horizontal="left" vertical="center"/>
    </xf>
    <xf numFmtId="10" fontId="16" fillId="2" borderId="9" xfId="0" applyNumberFormat="1" applyFont="1" applyFill="1" applyBorder="1" applyAlignment="1">
      <alignment horizontal="center" vertical="center"/>
    </xf>
    <xf numFmtId="0" fontId="15" fillId="2" borderId="0" xfId="0" applyFont="1" applyFill="1"/>
    <xf numFmtId="16" fontId="17" fillId="2" borderId="0" xfId="0" applyNumberFormat="1" applyFont="1" applyFill="1"/>
    <xf numFmtId="9" fontId="17" fillId="2" borderId="0" xfId="0" applyNumberFormat="1" applyFont="1" applyFill="1"/>
    <xf numFmtId="164" fontId="10" fillId="6" borderId="11" xfId="0" applyNumberFormat="1" applyFont="1" applyFill="1" applyBorder="1" applyAlignment="1">
      <alignment horizontal="center" vertical="center"/>
    </xf>
    <xf numFmtId="164" fontId="16" fillId="6" borderId="11" xfId="0" applyNumberFormat="1" applyFont="1" applyFill="1" applyBorder="1" applyAlignment="1">
      <alignment horizontal="center" vertical="center"/>
    </xf>
    <xf numFmtId="0" fontId="5" fillId="2" borderId="0" xfId="0" applyFont="1" applyFill="1" applyAlignment="1">
      <alignment horizontal="left" vertical="center"/>
    </xf>
    <xf numFmtId="0" fontId="0" fillId="2" borderId="30" xfId="0" applyFill="1" applyBorder="1" applyAlignment="1">
      <alignment horizontal="left" vertical="center" indent="1"/>
    </xf>
    <xf numFmtId="0" fontId="5" fillId="2" borderId="33" xfId="0" applyFont="1" applyFill="1" applyBorder="1" applyAlignment="1">
      <alignment horizontal="left" vertical="center" indent="1"/>
    </xf>
    <xf numFmtId="0" fontId="0" fillId="2" borderId="33" xfId="0" applyFill="1" applyBorder="1" applyAlignment="1">
      <alignment horizontal="left" vertical="center" indent="1"/>
    </xf>
    <xf numFmtId="0" fontId="0" fillId="2" borderId="31" xfId="0" applyFill="1" applyBorder="1"/>
    <xf numFmtId="0" fontId="0" fillId="2" borderId="34" xfId="0" applyFill="1" applyBorder="1"/>
    <xf numFmtId="0" fontId="19" fillId="2" borderId="0" xfId="0" applyFont="1" applyFill="1" applyBorder="1" applyAlignment="1">
      <alignment horizontal="left" vertical="center" indent="1"/>
    </xf>
    <xf numFmtId="0" fontId="0" fillId="2" borderId="32" xfId="0" applyFill="1" applyBorder="1"/>
    <xf numFmtId="0" fontId="11" fillId="3" borderId="31" xfId="0" applyFont="1" applyFill="1" applyBorder="1" applyAlignment="1">
      <alignment horizontal="right" vertical="center" indent="1"/>
    </xf>
    <xf numFmtId="0" fontId="11" fillId="3" borderId="39" xfId="0" applyFont="1" applyFill="1" applyBorder="1" applyAlignment="1">
      <alignment horizontal="right" vertical="center" indent="1"/>
    </xf>
    <xf numFmtId="0" fontId="11" fillId="3" borderId="40" xfId="0" applyFont="1" applyFill="1" applyBorder="1" applyAlignment="1">
      <alignment horizontal="right" vertical="center" indent="1"/>
    </xf>
    <xf numFmtId="0" fontId="1" fillId="3" borderId="43" xfId="0" applyFont="1" applyFill="1" applyBorder="1" applyAlignment="1">
      <alignment horizontal="center" vertical="center"/>
    </xf>
    <xf numFmtId="0" fontId="1" fillId="3" borderId="44" xfId="0" applyFont="1" applyFill="1" applyBorder="1" applyAlignment="1">
      <alignment horizontal="center" vertical="center"/>
    </xf>
    <xf numFmtId="0" fontId="1" fillId="3" borderId="44" xfId="0" applyFont="1" applyFill="1" applyBorder="1" applyAlignment="1">
      <alignment horizontal="center" vertical="center" wrapText="1"/>
    </xf>
    <xf numFmtId="0" fontId="2" fillId="2" borderId="0" xfId="0" applyFont="1" applyFill="1" applyAlignment="1">
      <alignment vertical="center"/>
    </xf>
    <xf numFmtId="164" fontId="1" fillId="4" borderId="17" xfId="0" applyNumberFormat="1" applyFont="1" applyFill="1" applyBorder="1" applyAlignment="1">
      <alignment horizontal="center" vertical="center"/>
    </xf>
    <xf numFmtId="16" fontId="1" fillId="3" borderId="43" xfId="0" applyNumberFormat="1" applyFont="1" applyFill="1" applyBorder="1" applyAlignment="1">
      <alignment horizontal="center" vertical="center"/>
    </xf>
    <xf numFmtId="164" fontId="21" fillId="3" borderId="44" xfId="0" applyNumberFormat="1" applyFont="1" applyFill="1" applyBorder="1" applyAlignment="1">
      <alignment horizontal="center" vertical="center"/>
    </xf>
    <xf numFmtId="0" fontId="21" fillId="3" borderId="44" xfId="0" applyFont="1" applyFill="1" applyBorder="1" applyAlignment="1">
      <alignment horizontal="center" vertical="center"/>
    </xf>
    <xf numFmtId="20" fontId="5" fillId="7" borderId="42" xfId="0" applyNumberFormat="1" applyFont="1" applyFill="1" applyBorder="1" applyAlignment="1">
      <alignment horizontal="center" vertical="center"/>
    </xf>
    <xf numFmtId="20" fontId="5" fillId="0" borderId="22" xfId="0" applyNumberFormat="1" applyFont="1" applyFill="1" applyBorder="1" applyAlignment="1">
      <alignment horizontal="center" vertical="center"/>
    </xf>
    <xf numFmtId="20" fontId="5" fillId="0" borderId="21" xfId="0" applyNumberFormat="1" applyFont="1" applyFill="1" applyBorder="1" applyAlignment="1">
      <alignment horizontal="center" vertical="center"/>
    </xf>
    <xf numFmtId="20" fontId="5" fillId="0" borderId="6" xfId="0" applyNumberFormat="1" applyFont="1" applyFill="1" applyBorder="1" applyAlignment="1">
      <alignment horizontal="center" vertical="center"/>
    </xf>
    <xf numFmtId="20" fontId="4" fillId="7" borderId="41" xfId="0" applyNumberFormat="1" applyFont="1" applyFill="1" applyBorder="1" applyAlignment="1">
      <alignment horizontal="center" vertical="center"/>
    </xf>
    <xf numFmtId="20" fontId="3" fillId="7" borderId="41" xfId="0" applyNumberFormat="1" applyFont="1" applyFill="1" applyBorder="1" applyAlignment="1">
      <alignment horizontal="center" vertical="center"/>
    </xf>
    <xf numFmtId="20" fontId="5" fillId="7" borderId="41" xfId="0" applyNumberFormat="1" applyFont="1" applyFill="1" applyBorder="1" applyAlignment="1">
      <alignment horizontal="center" vertical="center"/>
    </xf>
    <xf numFmtId="20" fontId="5" fillId="0" borderId="23" xfId="0" applyNumberFormat="1" applyFont="1" applyFill="1" applyBorder="1" applyAlignment="1">
      <alignment horizontal="center" vertical="center"/>
    </xf>
    <xf numFmtId="164" fontId="3" fillId="2" borderId="0" xfId="0" applyNumberFormat="1" applyFont="1" applyFill="1" applyAlignment="1">
      <alignment vertical="center"/>
    </xf>
    <xf numFmtId="2" fontId="3" fillId="2" borderId="0" xfId="0" applyNumberFormat="1" applyFont="1" applyFill="1" applyAlignment="1">
      <alignment vertical="center"/>
    </xf>
    <xf numFmtId="0" fontId="11" fillId="3" borderId="28" xfId="0" applyFont="1" applyFill="1" applyBorder="1" applyAlignment="1">
      <alignment horizontal="right" vertical="center" indent="1"/>
    </xf>
    <xf numFmtId="0" fontId="0" fillId="2" borderId="0" xfId="0" applyFill="1" applyAlignment="1">
      <alignment horizontal="right" vertical="center" indent="1"/>
    </xf>
    <xf numFmtId="0" fontId="2" fillId="2" borderId="0" xfId="0" applyFont="1" applyFill="1" applyAlignment="1">
      <alignment horizontal="right" vertical="center" indent="1"/>
    </xf>
    <xf numFmtId="14" fontId="3" fillId="7" borderId="46" xfId="0" applyNumberFormat="1" applyFont="1" applyFill="1" applyBorder="1" applyAlignment="1">
      <alignment horizontal="center" vertical="center"/>
    </xf>
    <xf numFmtId="14" fontId="3" fillId="7" borderId="48" xfId="0" applyNumberFormat="1" applyFont="1" applyFill="1" applyBorder="1" applyAlignment="1">
      <alignment horizontal="center" vertical="center"/>
    </xf>
    <xf numFmtId="44" fontId="3" fillId="2" borderId="0" xfId="1" applyFont="1" applyFill="1" applyAlignment="1">
      <alignment vertical="center"/>
    </xf>
    <xf numFmtId="0" fontId="1" fillId="3" borderId="45" xfId="0" applyFont="1" applyFill="1" applyBorder="1" applyAlignment="1">
      <alignment horizontal="center" vertical="center" wrapText="1"/>
    </xf>
    <xf numFmtId="0" fontId="2" fillId="2" borderId="0" xfId="0" applyFont="1" applyFill="1" applyAlignment="1">
      <alignment wrapText="1"/>
    </xf>
    <xf numFmtId="0" fontId="5" fillId="2" borderId="31" xfId="0" applyFont="1" applyFill="1" applyBorder="1" applyAlignment="1">
      <alignment horizontal="left" vertical="center" wrapText="1"/>
    </xf>
    <xf numFmtId="0" fontId="5" fillId="2" borderId="32" xfId="0" applyFont="1" applyFill="1" applyBorder="1" applyAlignment="1">
      <alignment horizontal="left" vertical="center" wrapText="1"/>
    </xf>
    <xf numFmtId="0" fontId="19" fillId="2" borderId="32" xfId="0" applyFont="1" applyFill="1" applyBorder="1" applyAlignment="1">
      <alignment horizontal="left" vertical="center" wrapText="1"/>
    </xf>
    <xf numFmtId="0" fontId="5" fillId="2" borderId="34" xfId="0" applyFont="1" applyFill="1" applyBorder="1" applyAlignment="1">
      <alignment horizontal="left" vertical="center" wrapText="1"/>
    </xf>
    <xf numFmtId="20" fontId="9" fillId="7" borderId="47" xfId="0" applyNumberFormat="1" applyFont="1" applyFill="1" applyBorder="1" applyAlignment="1">
      <alignment horizontal="left" vertical="center" wrapText="1"/>
    </xf>
    <xf numFmtId="20" fontId="9" fillId="7" borderId="49" xfId="0" applyNumberFormat="1" applyFont="1" applyFill="1" applyBorder="1" applyAlignment="1">
      <alignment horizontal="left" vertical="center" wrapText="1"/>
    </xf>
    <xf numFmtId="164" fontId="1" fillId="3" borderId="45" xfId="0" applyNumberFormat="1" applyFont="1" applyFill="1" applyBorder="1" applyAlignment="1">
      <alignment horizontal="center" vertical="center" wrapText="1"/>
    </xf>
    <xf numFmtId="0" fontId="2" fillId="2" borderId="32" xfId="0" applyFont="1" applyFill="1" applyBorder="1" applyAlignment="1">
      <alignment wrapText="1"/>
    </xf>
    <xf numFmtId="20" fontId="6" fillId="7" borderId="49" xfId="0" applyNumberFormat="1" applyFont="1" applyFill="1" applyBorder="1" applyAlignment="1">
      <alignment horizontal="left" vertical="center" wrapText="1"/>
    </xf>
    <xf numFmtId="0" fontId="11" fillId="3" borderId="35" xfId="0" applyFont="1" applyFill="1" applyBorder="1" applyAlignment="1">
      <alignment horizontal="right" vertical="center" indent="1"/>
    </xf>
    <xf numFmtId="0" fontId="11" fillId="3" borderId="35" xfId="0" applyFont="1" applyFill="1" applyBorder="1" applyAlignment="1">
      <alignment horizontal="right" vertical="center" indent="1"/>
    </xf>
    <xf numFmtId="0" fontId="11" fillId="3" borderId="35" xfId="0" applyFont="1" applyFill="1" applyBorder="1" applyAlignment="1">
      <alignment horizontal="right" vertical="center" indent="1"/>
    </xf>
    <xf numFmtId="0" fontId="11" fillId="3" borderId="35" xfId="0" applyFont="1" applyFill="1" applyBorder="1" applyAlignment="1">
      <alignment horizontal="right" vertical="center" indent="1"/>
    </xf>
    <xf numFmtId="0" fontId="7" fillId="3" borderId="0" xfId="0" applyFont="1" applyFill="1" applyBorder="1" applyAlignment="1">
      <alignment horizontal="center" vertical="center"/>
    </xf>
    <xf numFmtId="0" fontId="14" fillId="5" borderId="0" xfId="0" applyFont="1" applyFill="1" applyAlignment="1">
      <alignment horizontal="center" vertical="center"/>
    </xf>
    <xf numFmtId="0" fontId="16" fillId="2" borderId="2" xfId="0" applyFont="1" applyFill="1" applyBorder="1" applyAlignment="1">
      <alignment horizontal="center" vertical="center" wrapText="1"/>
    </xf>
    <xf numFmtId="0" fontId="1" fillId="3" borderId="24" xfId="0" applyFont="1" applyFill="1" applyBorder="1" applyAlignment="1">
      <alignment horizontal="center" textRotation="90"/>
    </xf>
    <xf numFmtId="0" fontId="1" fillId="3" borderId="25" xfId="0" applyFont="1" applyFill="1" applyBorder="1" applyAlignment="1">
      <alignment horizontal="center" textRotation="90"/>
    </xf>
    <xf numFmtId="0" fontId="1" fillId="3" borderId="26" xfId="0" applyFont="1" applyFill="1" applyBorder="1" applyAlignment="1">
      <alignment horizontal="center" textRotation="90"/>
    </xf>
    <xf numFmtId="0" fontId="22" fillId="2" borderId="29" xfId="0" applyFont="1" applyFill="1" applyBorder="1" applyAlignment="1">
      <alignment horizontal="center" vertical="center"/>
    </xf>
    <xf numFmtId="0" fontId="22" fillId="2" borderId="31" xfId="0" applyFont="1" applyFill="1" applyBorder="1" applyAlignment="1">
      <alignment horizontal="center" vertical="center"/>
    </xf>
    <xf numFmtId="0" fontId="22" fillId="2" borderId="38" xfId="0" applyFont="1" applyFill="1" applyBorder="1" applyAlignment="1">
      <alignment horizontal="center" vertical="center"/>
    </xf>
    <xf numFmtId="0" fontId="22" fillId="2" borderId="32" xfId="0" applyFont="1" applyFill="1" applyBorder="1" applyAlignment="1">
      <alignment horizontal="center" vertical="center"/>
    </xf>
    <xf numFmtId="0" fontId="7" fillId="3" borderId="0" xfId="0" applyFont="1" applyFill="1" applyBorder="1" applyAlignment="1">
      <alignment horizontal="left" vertical="center" wrapText="1" indent="1"/>
    </xf>
    <xf numFmtId="0" fontId="7" fillId="3" borderId="0" xfId="0" applyFont="1" applyFill="1" applyBorder="1" applyAlignment="1">
      <alignment horizontal="left" vertical="center" indent="1"/>
    </xf>
    <xf numFmtId="0" fontId="11" fillId="3" borderId="35" xfId="0" applyFont="1" applyFill="1" applyBorder="1" applyAlignment="1">
      <alignment horizontal="right" vertical="center" indent="1"/>
    </xf>
    <xf numFmtId="0" fontId="11" fillId="3" borderId="37" xfId="0" applyFont="1" applyFill="1" applyBorder="1" applyAlignment="1">
      <alignment horizontal="right" vertical="center" indent="1"/>
    </xf>
    <xf numFmtId="0" fontId="20" fillId="2" borderId="30" xfId="0" applyFont="1" applyFill="1" applyBorder="1" applyAlignment="1">
      <alignment horizontal="left" vertical="center" indent="1"/>
    </xf>
    <xf numFmtId="0" fontId="20" fillId="2" borderId="0" xfId="0" applyFont="1" applyFill="1" applyBorder="1" applyAlignment="1">
      <alignment horizontal="left" vertical="center" indent="1"/>
    </xf>
    <xf numFmtId="0" fontId="11" fillId="3" borderId="36" xfId="0" applyFont="1" applyFill="1" applyBorder="1" applyAlignment="1">
      <alignment horizontal="right" vertical="center" indent="1"/>
    </xf>
  </cellXfs>
  <cellStyles count="2">
    <cellStyle name="Moeda" xfId="1" builtinId="4"/>
    <cellStyle name="Normal" xfId="0" builtinId="0"/>
  </cellStyles>
  <dxfs count="0"/>
  <tableStyles count="0" defaultTableStyle="TableStyleMedium9" defaultPivotStyle="PivotStyleLight16"/>
  <colors>
    <mruColors>
      <color rgb="FF16365C"/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view3D>
      <c:rotX val="50"/>
      <c:rotY val="0"/>
      <c:rAngAx val="0"/>
    </c:view3D>
    <c:floor>
      <c:thickness val="0"/>
    </c:floor>
    <c:sideWall>
      <c:thickness val="0"/>
    </c:sideWall>
    <c:backWall>
      <c:thickness val="0"/>
    </c:backWall>
    <c:plotArea>
      <c:layout>
        <c:manualLayout>
          <c:layoutTarget val="inner"/>
          <c:xMode val="edge"/>
          <c:yMode val="edge"/>
          <c:x val="9.3055555555555558E-2"/>
          <c:y val="0.12826948200981603"/>
          <c:w val="0.76666666666666672"/>
          <c:h val="0.69562845003119"/>
        </c:manualLayout>
      </c:layout>
      <c:pie3DChart>
        <c:varyColors val="1"/>
        <c:ser>
          <c:idx val="0"/>
          <c:order val="0"/>
          <c:tx>
            <c:strRef>
              <c:f>Consolidado!$M$13</c:f>
              <c:strCache>
                <c:ptCount val="1"/>
                <c:pt idx="0">
                  <c:v>%</c:v>
                </c:pt>
              </c:strCache>
            </c:strRef>
          </c:tx>
          <c:explosion val="7"/>
          <c:dPt>
            <c:idx val="0"/>
            <c:bubble3D val="0"/>
            <c:explosion val="9"/>
            <c:spPr>
              <a:gradFill flip="none" rotWithShape="1">
                <a:gsLst>
                  <a:gs pos="0">
                    <a:schemeClr val="accent1">
                      <a:shade val="30000"/>
                      <a:satMod val="115000"/>
                    </a:schemeClr>
                  </a:gs>
                  <a:gs pos="50000">
                    <a:schemeClr val="accent1">
                      <a:shade val="67500"/>
                      <a:satMod val="115000"/>
                    </a:schemeClr>
                  </a:gs>
                  <a:gs pos="100000">
                    <a:schemeClr val="accent1">
                      <a:shade val="100000"/>
                      <a:satMod val="115000"/>
                    </a:schemeClr>
                  </a:gs>
                </a:gsLst>
                <a:lin ang="16200000" scaled="1"/>
                <a:tileRect/>
              </a:gradFill>
            </c:spPr>
            <c:extLst>
              <c:ext xmlns:c16="http://schemas.microsoft.com/office/drawing/2014/chart" uri="{C3380CC4-5D6E-409C-BE32-E72D297353CC}">
                <c16:uniqueId val="{00000001-36FB-4018-9432-20C6C183EBFA}"/>
              </c:ext>
            </c:extLst>
          </c:dPt>
          <c:dPt>
            <c:idx val="1"/>
            <c:bubble3D val="0"/>
            <c:spPr>
              <a:gradFill flip="none" rotWithShape="1">
                <a:gsLst>
                  <a:gs pos="0">
                    <a:srgbClr val="C00000">
                      <a:shade val="30000"/>
                      <a:satMod val="115000"/>
                    </a:srgbClr>
                  </a:gs>
                  <a:gs pos="50000">
                    <a:srgbClr val="C00000">
                      <a:shade val="67500"/>
                      <a:satMod val="115000"/>
                    </a:srgbClr>
                  </a:gs>
                  <a:gs pos="100000">
                    <a:srgbClr val="C00000">
                      <a:shade val="100000"/>
                      <a:satMod val="115000"/>
                    </a:srgbClr>
                  </a:gs>
                </a:gsLst>
                <a:lin ang="16200000" scaled="1"/>
                <a:tileRect/>
              </a:gradFill>
            </c:spPr>
            <c:extLst>
              <c:ext xmlns:c16="http://schemas.microsoft.com/office/drawing/2014/chart" uri="{C3380CC4-5D6E-409C-BE32-E72D297353CC}">
                <c16:uniqueId val="{00000003-36FB-4018-9432-20C6C183EBFA}"/>
              </c:ext>
            </c:extLst>
          </c:dPt>
          <c:dLbls>
            <c:dLbl>
              <c:idx val="1"/>
              <c:layout>
                <c:manualLayout>
                  <c:x val="-0.3298245614035088"/>
                  <c:y val="-0.11958146487294459"/>
                </c:manualLayout>
              </c:layout>
              <c:dLblPos val="bestFit"/>
              <c:showLegendKey val="1"/>
              <c:showVal val="1"/>
              <c:showCatName val="1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36FB-4018-9432-20C6C183EBFA}"/>
                </c:ext>
              </c:extLst>
            </c:dLbl>
            <c:spPr>
              <a:noFill/>
              <a:ln>
                <a:noFill/>
              </a:ln>
              <a:effectLst/>
            </c:spPr>
            <c:dLblPos val="outEnd"/>
            <c:showLegendKey val="1"/>
            <c:showVal val="1"/>
            <c:showCatName val="1"/>
            <c:showSerName val="0"/>
            <c:showPercent val="0"/>
            <c:showBubbleSize val="0"/>
            <c:separator>
</c:separator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Consolidado!$L$14:$L$15</c:f>
              <c:strCache>
                <c:ptCount val="2"/>
                <c:pt idx="0">
                  <c:v>Saldo Restante</c:v>
                </c:pt>
                <c:pt idx="1">
                  <c:v>Horas 
Consumidas</c:v>
                </c:pt>
              </c:strCache>
            </c:strRef>
          </c:cat>
          <c:val>
            <c:numRef>
              <c:f>Consolidado!$M$14:$M$15</c:f>
              <c:numCache>
                <c:formatCode>0.00%</c:formatCode>
                <c:ptCount val="2"/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6FB-4018-9432-20C6C183EB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8740157499999996" l="0.511811024" r="0.511811024" t="0.78740157499999996" header="0.31496062000000041" footer="0.31496062000000041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jpg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2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2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2.png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2.png"/></Relationships>
</file>

<file path=xl/drawings/_rels/drawing9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2.png"/></Relationships>
</file>

<file path=xl/drawings/_rels/drawing10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2.png"/></Relationships>
</file>

<file path=xl/drawings/_rels/drawing12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2.png"/></Relationships>
</file>

<file path=xl/drawings/_rels/drawing13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2.png"/></Relationships>
</file>

<file path=xl/drawings/_rels/drawing14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76200</xdr:colOff>
      <xdr:row>10</xdr:row>
      <xdr:rowOff>142875</xdr:rowOff>
    </xdr:from>
    <xdr:to>
      <xdr:col>10</xdr:col>
      <xdr:colOff>266700</xdr:colOff>
      <xdr:row>20</xdr:row>
      <xdr:rowOff>95250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5</xdr:col>
      <xdr:colOff>104775</xdr:colOff>
      <xdr:row>4</xdr:row>
      <xdr:rowOff>133350</xdr:rowOff>
    </xdr:from>
    <xdr:to>
      <xdr:col>6</xdr:col>
      <xdr:colOff>868980</xdr:colOff>
      <xdr:row>7</xdr:row>
      <xdr:rowOff>73275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276725" y="981075"/>
          <a:ext cx="1745280" cy="5400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758172</xdr:colOff>
      <xdr:row>0</xdr:row>
      <xdr:rowOff>133350</xdr:rowOff>
    </xdr:from>
    <xdr:to>
      <xdr:col>7</xdr:col>
      <xdr:colOff>2714625</xdr:colOff>
      <xdr:row>2</xdr:row>
      <xdr:rowOff>33876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58872" y="133350"/>
          <a:ext cx="1956453" cy="910176"/>
        </a:xfrm>
        <a:prstGeom prst="rect">
          <a:avLst/>
        </a:prstGeom>
      </xdr:spPr>
    </xdr:pic>
    <xdr:clientData/>
  </xdr:twoCellAnchor>
  <xdr:twoCellAnchor editAs="oneCell">
    <xdr:from>
      <xdr:col>4</xdr:col>
      <xdr:colOff>495300</xdr:colOff>
      <xdr:row>2</xdr:row>
      <xdr:rowOff>229644</xdr:rowOff>
    </xdr:from>
    <xdr:to>
      <xdr:col>5</xdr:col>
      <xdr:colOff>676276</xdr:colOff>
      <xdr:row>6</xdr:row>
      <xdr:rowOff>84431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419475" y="1239294"/>
          <a:ext cx="1028701" cy="822527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758172</xdr:colOff>
      <xdr:row>0</xdr:row>
      <xdr:rowOff>133350</xdr:rowOff>
    </xdr:from>
    <xdr:to>
      <xdr:col>7</xdr:col>
      <xdr:colOff>2714625</xdr:colOff>
      <xdr:row>2</xdr:row>
      <xdr:rowOff>33876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58872" y="133350"/>
          <a:ext cx="1956453" cy="910176"/>
        </a:xfrm>
        <a:prstGeom prst="rect">
          <a:avLst/>
        </a:prstGeom>
      </xdr:spPr>
    </xdr:pic>
    <xdr:clientData/>
  </xdr:twoCellAnchor>
  <xdr:twoCellAnchor editAs="oneCell">
    <xdr:from>
      <xdr:col>4</xdr:col>
      <xdr:colOff>495300</xdr:colOff>
      <xdr:row>2</xdr:row>
      <xdr:rowOff>229644</xdr:rowOff>
    </xdr:from>
    <xdr:to>
      <xdr:col>5</xdr:col>
      <xdr:colOff>676276</xdr:colOff>
      <xdr:row>6</xdr:row>
      <xdr:rowOff>84431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419475" y="1239294"/>
          <a:ext cx="1028701" cy="822527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758172</xdr:colOff>
      <xdr:row>0</xdr:row>
      <xdr:rowOff>133350</xdr:rowOff>
    </xdr:from>
    <xdr:to>
      <xdr:col>7</xdr:col>
      <xdr:colOff>2714625</xdr:colOff>
      <xdr:row>2</xdr:row>
      <xdr:rowOff>33876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58872" y="133350"/>
          <a:ext cx="1956453" cy="910176"/>
        </a:xfrm>
        <a:prstGeom prst="rect">
          <a:avLst/>
        </a:prstGeom>
      </xdr:spPr>
    </xdr:pic>
    <xdr:clientData/>
  </xdr:twoCellAnchor>
  <xdr:twoCellAnchor editAs="oneCell">
    <xdr:from>
      <xdr:col>4</xdr:col>
      <xdr:colOff>495300</xdr:colOff>
      <xdr:row>2</xdr:row>
      <xdr:rowOff>229644</xdr:rowOff>
    </xdr:from>
    <xdr:to>
      <xdr:col>5</xdr:col>
      <xdr:colOff>676276</xdr:colOff>
      <xdr:row>6</xdr:row>
      <xdr:rowOff>84431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419475" y="1239294"/>
          <a:ext cx="1028701" cy="82252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758172</xdr:colOff>
      <xdr:row>0</xdr:row>
      <xdr:rowOff>133350</xdr:rowOff>
    </xdr:from>
    <xdr:to>
      <xdr:col>7</xdr:col>
      <xdr:colOff>2714625</xdr:colOff>
      <xdr:row>2</xdr:row>
      <xdr:rowOff>33876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58872" y="133350"/>
          <a:ext cx="1956453" cy="910176"/>
        </a:xfrm>
        <a:prstGeom prst="rect">
          <a:avLst/>
        </a:prstGeom>
      </xdr:spPr>
    </xdr:pic>
    <xdr:clientData/>
  </xdr:twoCellAnchor>
  <xdr:twoCellAnchor editAs="oneCell">
    <xdr:from>
      <xdr:col>4</xdr:col>
      <xdr:colOff>495300</xdr:colOff>
      <xdr:row>2</xdr:row>
      <xdr:rowOff>229644</xdr:rowOff>
    </xdr:from>
    <xdr:to>
      <xdr:col>5</xdr:col>
      <xdr:colOff>676276</xdr:colOff>
      <xdr:row>6</xdr:row>
      <xdr:rowOff>84431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419475" y="1239294"/>
          <a:ext cx="1028701" cy="822527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758172</xdr:colOff>
      <xdr:row>0</xdr:row>
      <xdr:rowOff>133350</xdr:rowOff>
    </xdr:from>
    <xdr:to>
      <xdr:col>7</xdr:col>
      <xdr:colOff>2714625</xdr:colOff>
      <xdr:row>2</xdr:row>
      <xdr:rowOff>33876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58872" y="133350"/>
          <a:ext cx="1956453" cy="910176"/>
        </a:xfrm>
        <a:prstGeom prst="rect">
          <a:avLst/>
        </a:prstGeom>
      </xdr:spPr>
    </xdr:pic>
    <xdr:clientData/>
  </xdr:twoCellAnchor>
  <xdr:twoCellAnchor editAs="oneCell">
    <xdr:from>
      <xdr:col>4</xdr:col>
      <xdr:colOff>495300</xdr:colOff>
      <xdr:row>2</xdr:row>
      <xdr:rowOff>229644</xdr:rowOff>
    </xdr:from>
    <xdr:to>
      <xdr:col>5</xdr:col>
      <xdr:colOff>676276</xdr:colOff>
      <xdr:row>6</xdr:row>
      <xdr:rowOff>84431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419475" y="1239294"/>
          <a:ext cx="1028701" cy="822527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758172</xdr:colOff>
      <xdr:row>0</xdr:row>
      <xdr:rowOff>133350</xdr:rowOff>
    </xdr:from>
    <xdr:to>
      <xdr:col>7</xdr:col>
      <xdr:colOff>2714625</xdr:colOff>
      <xdr:row>2</xdr:row>
      <xdr:rowOff>33876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58872" y="133350"/>
          <a:ext cx="1956453" cy="910176"/>
        </a:xfrm>
        <a:prstGeom prst="rect">
          <a:avLst/>
        </a:prstGeom>
      </xdr:spPr>
    </xdr:pic>
    <xdr:clientData/>
  </xdr:twoCellAnchor>
  <xdr:twoCellAnchor editAs="oneCell">
    <xdr:from>
      <xdr:col>4</xdr:col>
      <xdr:colOff>495300</xdr:colOff>
      <xdr:row>2</xdr:row>
      <xdr:rowOff>229644</xdr:rowOff>
    </xdr:from>
    <xdr:to>
      <xdr:col>5</xdr:col>
      <xdr:colOff>676276</xdr:colOff>
      <xdr:row>6</xdr:row>
      <xdr:rowOff>84431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419475" y="1239294"/>
          <a:ext cx="1028701" cy="822527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758172</xdr:colOff>
      <xdr:row>0</xdr:row>
      <xdr:rowOff>133350</xdr:rowOff>
    </xdr:from>
    <xdr:to>
      <xdr:col>7</xdr:col>
      <xdr:colOff>2714625</xdr:colOff>
      <xdr:row>2</xdr:row>
      <xdr:rowOff>33876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8FB167FB-5A25-48BE-B937-F748C96734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496032" y="133350"/>
          <a:ext cx="1956453" cy="906366"/>
        </a:xfrm>
        <a:prstGeom prst="rect">
          <a:avLst/>
        </a:prstGeom>
      </xdr:spPr>
    </xdr:pic>
    <xdr:clientData/>
  </xdr:twoCellAnchor>
  <xdr:twoCellAnchor editAs="oneCell">
    <xdr:from>
      <xdr:col>4</xdr:col>
      <xdr:colOff>495300</xdr:colOff>
      <xdr:row>2</xdr:row>
      <xdr:rowOff>229644</xdr:rowOff>
    </xdr:from>
    <xdr:to>
      <xdr:col>5</xdr:col>
      <xdr:colOff>676276</xdr:colOff>
      <xdr:row>6</xdr:row>
      <xdr:rowOff>84431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A5EDC4BC-E179-4248-8617-59F66E78F0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489960" y="1235484"/>
          <a:ext cx="1049656" cy="837767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758172</xdr:colOff>
      <xdr:row>0</xdr:row>
      <xdr:rowOff>133350</xdr:rowOff>
    </xdr:from>
    <xdr:to>
      <xdr:col>7</xdr:col>
      <xdr:colOff>2714625</xdr:colOff>
      <xdr:row>2</xdr:row>
      <xdr:rowOff>33876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C8B249D3-4D06-4903-8E59-4924262477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496032" y="133350"/>
          <a:ext cx="1956453" cy="906366"/>
        </a:xfrm>
        <a:prstGeom prst="rect">
          <a:avLst/>
        </a:prstGeom>
      </xdr:spPr>
    </xdr:pic>
    <xdr:clientData/>
  </xdr:twoCellAnchor>
  <xdr:twoCellAnchor editAs="oneCell">
    <xdr:from>
      <xdr:col>4</xdr:col>
      <xdr:colOff>495300</xdr:colOff>
      <xdr:row>2</xdr:row>
      <xdr:rowOff>229644</xdr:rowOff>
    </xdr:from>
    <xdr:to>
      <xdr:col>5</xdr:col>
      <xdr:colOff>676276</xdr:colOff>
      <xdr:row>6</xdr:row>
      <xdr:rowOff>84431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ADD722C0-9E4C-47C0-B9C2-33C96F6225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489960" y="1235484"/>
          <a:ext cx="1049656" cy="837767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758172</xdr:colOff>
      <xdr:row>0</xdr:row>
      <xdr:rowOff>133350</xdr:rowOff>
    </xdr:from>
    <xdr:to>
      <xdr:col>7</xdr:col>
      <xdr:colOff>2714625</xdr:colOff>
      <xdr:row>2</xdr:row>
      <xdr:rowOff>33876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B197B30C-EDD3-4EB1-A2C7-E7CAEB007A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496032" y="133350"/>
          <a:ext cx="1956453" cy="906366"/>
        </a:xfrm>
        <a:prstGeom prst="rect">
          <a:avLst/>
        </a:prstGeom>
      </xdr:spPr>
    </xdr:pic>
    <xdr:clientData/>
  </xdr:twoCellAnchor>
  <xdr:twoCellAnchor editAs="oneCell">
    <xdr:from>
      <xdr:col>4</xdr:col>
      <xdr:colOff>495300</xdr:colOff>
      <xdr:row>2</xdr:row>
      <xdr:rowOff>229644</xdr:rowOff>
    </xdr:from>
    <xdr:to>
      <xdr:col>5</xdr:col>
      <xdr:colOff>676276</xdr:colOff>
      <xdr:row>6</xdr:row>
      <xdr:rowOff>84431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29B7E3A3-C434-4199-9B48-848CBB3DD9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489960" y="1235484"/>
          <a:ext cx="1049656" cy="837767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758172</xdr:colOff>
      <xdr:row>0</xdr:row>
      <xdr:rowOff>133350</xdr:rowOff>
    </xdr:from>
    <xdr:to>
      <xdr:col>7</xdr:col>
      <xdr:colOff>2714625</xdr:colOff>
      <xdr:row>2</xdr:row>
      <xdr:rowOff>33876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3AE2A446-7C06-4929-B01D-74F20CB239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496032" y="133350"/>
          <a:ext cx="1956453" cy="906366"/>
        </a:xfrm>
        <a:prstGeom prst="rect">
          <a:avLst/>
        </a:prstGeom>
      </xdr:spPr>
    </xdr:pic>
    <xdr:clientData/>
  </xdr:twoCellAnchor>
  <xdr:twoCellAnchor editAs="oneCell">
    <xdr:from>
      <xdr:col>4</xdr:col>
      <xdr:colOff>495300</xdr:colOff>
      <xdr:row>2</xdr:row>
      <xdr:rowOff>229644</xdr:rowOff>
    </xdr:from>
    <xdr:to>
      <xdr:col>5</xdr:col>
      <xdr:colOff>676276</xdr:colOff>
      <xdr:row>6</xdr:row>
      <xdr:rowOff>84431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30E3B6F3-388C-4F5E-8839-AF53518C74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489960" y="1235484"/>
          <a:ext cx="1049656" cy="837767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758172</xdr:colOff>
      <xdr:row>0</xdr:row>
      <xdr:rowOff>133350</xdr:rowOff>
    </xdr:from>
    <xdr:to>
      <xdr:col>7</xdr:col>
      <xdr:colOff>2714625</xdr:colOff>
      <xdr:row>2</xdr:row>
      <xdr:rowOff>33876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F59A7B4F-CED5-44E3-9BFC-ABBD598333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496032" y="133350"/>
          <a:ext cx="1956453" cy="906366"/>
        </a:xfrm>
        <a:prstGeom prst="rect">
          <a:avLst/>
        </a:prstGeom>
      </xdr:spPr>
    </xdr:pic>
    <xdr:clientData/>
  </xdr:twoCellAnchor>
  <xdr:twoCellAnchor editAs="oneCell">
    <xdr:from>
      <xdr:col>4</xdr:col>
      <xdr:colOff>495300</xdr:colOff>
      <xdr:row>2</xdr:row>
      <xdr:rowOff>229644</xdr:rowOff>
    </xdr:from>
    <xdr:to>
      <xdr:col>5</xdr:col>
      <xdr:colOff>676276</xdr:colOff>
      <xdr:row>6</xdr:row>
      <xdr:rowOff>84431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08858644-802E-4640-8A2C-63D3FFB47A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489960" y="1235484"/>
          <a:ext cx="1049656" cy="837767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758172</xdr:colOff>
      <xdr:row>0</xdr:row>
      <xdr:rowOff>133350</xdr:rowOff>
    </xdr:from>
    <xdr:to>
      <xdr:col>7</xdr:col>
      <xdr:colOff>2714625</xdr:colOff>
      <xdr:row>2</xdr:row>
      <xdr:rowOff>33876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50480168-1824-42F7-BEB1-5E761EBD22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496032" y="133350"/>
          <a:ext cx="1956453" cy="906366"/>
        </a:xfrm>
        <a:prstGeom prst="rect">
          <a:avLst/>
        </a:prstGeom>
      </xdr:spPr>
    </xdr:pic>
    <xdr:clientData/>
  </xdr:twoCellAnchor>
  <xdr:twoCellAnchor editAs="oneCell">
    <xdr:from>
      <xdr:col>4</xdr:col>
      <xdr:colOff>495300</xdr:colOff>
      <xdr:row>2</xdr:row>
      <xdr:rowOff>229644</xdr:rowOff>
    </xdr:from>
    <xdr:to>
      <xdr:col>5</xdr:col>
      <xdr:colOff>676276</xdr:colOff>
      <xdr:row>6</xdr:row>
      <xdr:rowOff>84431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B0F85E2F-88C0-4DCF-A882-0A1EA9F635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489960" y="1235484"/>
          <a:ext cx="1049656" cy="837767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758172</xdr:colOff>
      <xdr:row>0</xdr:row>
      <xdr:rowOff>133350</xdr:rowOff>
    </xdr:from>
    <xdr:to>
      <xdr:col>7</xdr:col>
      <xdr:colOff>2714625</xdr:colOff>
      <xdr:row>2</xdr:row>
      <xdr:rowOff>33876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249D631E-0D73-4F6D-86D5-7C0D3B4B4F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496032" y="133350"/>
          <a:ext cx="1956453" cy="906366"/>
        </a:xfrm>
        <a:prstGeom prst="rect">
          <a:avLst/>
        </a:prstGeom>
      </xdr:spPr>
    </xdr:pic>
    <xdr:clientData/>
  </xdr:twoCellAnchor>
  <xdr:twoCellAnchor editAs="oneCell">
    <xdr:from>
      <xdr:col>4</xdr:col>
      <xdr:colOff>495300</xdr:colOff>
      <xdr:row>2</xdr:row>
      <xdr:rowOff>229644</xdr:rowOff>
    </xdr:from>
    <xdr:to>
      <xdr:col>5</xdr:col>
      <xdr:colOff>676276</xdr:colOff>
      <xdr:row>6</xdr:row>
      <xdr:rowOff>84431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4AAF2B96-4565-4B2D-B341-E8CD0EB426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489960" y="1235484"/>
          <a:ext cx="1049656" cy="83776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2060"/>
  </sheetPr>
  <dimension ref="A1:N22"/>
  <sheetViews>
    <sheetView workbookViewId="0">
      <selection activeCell="N11" sqref="N11"/>
    </sheetView>
  </sheetViews>
  <sheetFormatPr defaultColWidth="9.109375" defaultRowHeight="14.4" x14ac:dyDescent="0.3"/>
  <cols>
    <col min="1" max="1" width="3.6640625" style="1" customWidth="1"/>
    <col min="2" max="7" width="14.6640625" style="1" customWidth="1"/>
    <col min="8" max="8" width="18.6640625" style="1" customWidth="1"/>
    <col min="9" max="9" width="8.88671875" style="3" customWidth="1"/>
    <col min="10" max="16384" width="9.109375" style="1"/>
  </cols>
  <sheetData>
    <row r="1" spans="1:14" x14ac:dyDescent="0.3">
      <c r="A1" s="29"/>
      <c r="B1" s="29"/>
      <c r="C1" s="29"/>
      <c r="D1" s="29"/>
      <c r="E1" s="29"/>
      <c r="F1" s="29"/>
      <c r="G1" s="29"/>
      <c r="H1" s="29"/>
    </row>
    <row r="2" spans="1:14" ht="21" x14ac:dyDescent="0.3">
      <c r="A2" s="29"/>
      <c r="B2" s="110" t="s">
        <v>10</v>
      </c>
      <c r="C2" s="110"/>
      <c r="D2" s="110"/>
      <c r="E2" s="110"/>
      <c r="F2" s="110"/>
      <c r="G2" s="110"/>
      <c r="H2" s="29"/>
      <c r="J2" s="3"/>
    </row>
    <row r="3" spans="1:14" x14ac:dyDescent="0.3">
      <c r="A3" s="29"/>
      <c r="B3" s="30"/>
      <c r="C3" s="30"/>
      <c r="D3" s="29"/>
      <c r="E3" s="29"/>
      <c r="F3" s="111" t="s">
        <v>32</v>
      </c>
      <c r="G3" s="111"/>
      <c r="H3" s="29"/>
      <c r="J3" s="3"/>
    </row>
    <row r="4" spans="1:14" ht="15" thickBot="1" x14ac:dyDescent="0.35">
      <c r="A4" s="29"/>
      <c r="B4" s="29"/>
      <c r="C4" s="29"/>
      <c r="D4" s="29"/>
      <c r="E4" s="29"/>
      <c r="F4" s="29"/>
      <c r="G4" s="29"/>
      <c r="H4" s="29"/>
      <c r="J4" s="3"/>
    </row>
    <row r="5" spans="1:14" ht="15" thickBot="1" x14ac:dyDescent="0.35">
      <c r="A5" s="29"/>
      <c r="B5" s="17" t="s">
        <v>5</v>
      </c>
      <c r="C5" s="22" t="s">
        <v>14</v>
      </c>
      <c r="D5" s="31"/>
      <c r="E5" s="31"/>
      <c r="F5" s="32"/>
      <c r="G5" s="33"/>
      <c r="H5" s="29"/>
      <c r="J5" s="3"/>
    </row>
    <row r="6" spans="1:14" ht="15" thickBot="1" x14ac:dyDescent="0.35">
      <c r="A6" s="29"/>
      <c r="B6" s="17" t="s">
        <v>6</v>
      </c>
      <c r="C6" s="23" t="s">
        <v>23</v>
      </c>
      <c r="D6" s="34"/>
      <c r="E6" s="34"/>
      <c r="F6" s="35"/>
      <c r="G6" s="36"/>
      <c r="H6" s="29"/>
      <c r="J6" s="3"/>
    </row>
    <row r="7" spans="1:14" ht="15" thickBot="1" x14ac:dyDescent="0.35">
      <c r="A7" s="29"/>
      <c r="B7" s="17" t="s">
        <v>31</v>
      </c>
      <c r="C7" s="23" t="s">
        <v>24</v>
      </c>
      <c r="D7" s="34"/>
      <c r="E7" s="34"/>
      <c r="F7" s="35"/>
      <c r="G7" s="36"/>
      <c r="H7" s="29"/>
      <c r="J7" s="3"/>
    </row>
    <row r="8" spans="1:14" ht="15" thickBot="1" x14ac:dyDescent="0.35">
      <c r="A8" s="29"/>
      <c r="B8" s="18" t="s">
        <v>8</v>
      </c>
      <c r="C8" s="24" t="s">
        <v>11</v>
      </c>
      <c r="D8" s="37"/>
      <c r="E8" s="37"/>
      <c r="F8" s="38"/>
      <c r="G8" s="39"/>
      <c r="H8" s="29"/>
      <c r="J8" s="3"/>
    </row>
    <row r="9" spans="1:14" x14ac:dyDescent="0.3">
      <c r="A9" s="29"/>
      <c r="B9" s="40"/>
      <c r="C9" s="40"/>
      <c r="D9" s="29"/>
      <c r="E9" s="29"/>
      <c r="F9" s="29"/>
      <c r="G9" s="29"/>
      <c r="H9" s="29"/>
    </row>
    <row r="10" spans="1:14" ht="15" thickBot="1" x14ac:dyDescent="0.35">
      <c r="A10" s="29"/>
      <c r="B10" s="40"/>
      <c r="C10" s="40"/>
      <c r="D10" s="60" t="s">
        <v>34</v>
      </c>
      <c r="E10" s="29"/>
      <c r="F10" s="29"/>
      <c r="G10" s="29"/>
      <c r="H10" s="29"/>
      <c r="L10" s="47"/>
      <c r="M10" s="47"/>
      <c r="N10" s="47"/>
    </row>
    <row r="11" spans="1:14" ht="15" thickBot="1" x14ac:dyDescent="0.35">
      <c r="A11" s="29"/>
      <c r="B11" s="40"/>
      <c r="C11" s="16" t="s">
        <v>29</v>
      </c>
      <c r="D11" s="58">
        <v>12.833333333333334</v>
      </c>
      <c r="E11" s="16" t="s">
        <v>30</v>
      </c>
      <c r="F11" s="48">
        <v>1</v>
      </c>
      <c r="G11" s="29"/>
      <c r="H11" s="29"/>
      <c r="L11" s="47"/>
      <c r="M11" s="47"/>
      <c r="N11" s="47"/>
    </row>
    <row r="12" spans="1:14" ht="15" thickBot="1" x14ac:dyDescent="0.35">
      <c r="A12" s="29"/>
      <c r="B12" s="43"/>
      <c r="C12" s="43"/>
      <c r="D12" s="43"/>
      <c r="E12" s="43"/>
      <c r="F12" s="43"/>
      <c r="G12" s="29"/>
      <c r="H12" s="29"/>
      <c r="K12" s="9"/>
      <c r="L12" s="55"/>
      <c r="M12" s="55"/>
      <c r="N12" s="47"/>
    </row>
    <row r="13" spans="1:14" ht="32.1" customHeight="1" x14ac:dyDescent="0.3">
      <c r="A13" s="29"/>
      <c r="B13" s="15" t="s">
        <v>3</v>
      </c>
      <c r="C13" s="20" t="s">
        <v>19</v>
      </c>
      <c r="D13" s="21" t="s">
        <v>20</v>
      </c>
      <c r="E13" s="21" t="s">
        <v>21</v>
      </c>
      <c r="F13" s="21" t="s">
        <v>22</v>
      </c>
      <c r="G13" s="41"/>
      <c r="H13" s="42"/>
      <c r="I13" s="5"/>
      <c r="L13" s="11" t="s">
        <v>3</v>
      </c>
      <c r="M13" s="12" t="s">
        <v>9</v>
      </c>
      <c r="N13" s="47"/>
    </row>
    <row r="14" spans="1:14" s="2" customFormat="1" x14ac:dyDescent="0.3">
      <c r="A14" s="43"/>
      <c r="B14" s="27" t="s">
        <v>27</v>
      </c>
      <c r="C14" s="26" t="e">
        <f>#REF!</f>
        <v>#REF!</v>
      </c>
      <c r="D14" s="26" t="e">
        <f>#REF!</f>
        <v>#REF!</v>
      </c>
      <c r="E14" s="26" t="e">
        <f>IF(D14&lt;C14,TEXT((ABS(D14-C14)),"-[h]:mm"),IF(D14=C14,"",D14-C14))</f>
        <v>#REF!</v>
      </c>
      <c r="F14" s="25" t="e">
        <f>D14/D11</f>
        <v>#REF!</v>
      </c>
      <c r="G14" s="41"/>
      <c r="H14" s="44"/>
      <c r="I14" s="6"/>
      <c r="J14" s="10"/>
      <c r="L14" s="13" t="str">
        <f>C20</f>
        <v>Saldo Restante</v>
      </c>
      <c r="M14" s="14"/>
      <c r="N14" s="52"/>
    </row>
    <row r="15" spans="1:14" s="2" customFormat="1" x14ac:dyDescent="0.3">
      <c r="A15" s="43"/>
      <c r="B15" s="27" t="s">
        <v>26</v>
      </c>
      <c r="C15" s="26" t="e">
        <f>#REF!</f>
        <v>#REF!</v>
      </c>
      <c r="D15" s="26" t="e">
        <f>#REF!</f>
        <v>#REF!</v>
      </c>
      <c r="E15" s="26" t="e">
        <f>IF(D15&lt;C15,TEXT((ABS(D15-C15)),"-[h]:mm"),IF(D15=C15,"",D15-C15))</f>
        <v>#REF!</v>
      </c>
      <c r="F15" s="25" t="e">
        <f>D15/D11</f>
        <v>#REF!</v>
      </c>
      <c r="G15" s="41"/>
      <c r="H15" s="45"/>
      <c r="I15" s="6"/>
      <c r="L15" s="13" t="str">
        <f>D13</f>
        <v>Horas 
Consumidas</v>
      </c>
      <c r="M15" s="14">
        <v>1</v>
      </c>
      <c r="N15" s="52"/>
    </row>
    <row r="16" spans="1:14" s="2" customFormat="1" x14ac:dyDescent="0.3">
      <c r="A16" s="43"/>
      <c r="B16" s="53" t="s">
        <v>25</v>
      </c>
      <c r="C16" s="26" t="e">
        <f>#REF!</f>
        <v>#REF!</v>
      </c>
      <c r="D16" s="26" t="e">
        <f>#REF!</f>
        <v>#REF!</v>
      </c>
      <c r="E16" s="26" t="e">
        <f>IF(D16&lt;C16,TEXT((ABS(D16-C16)),"-[h]:mm"),IF(D16=C16,"",D16-C16))</f>
        <v>#REF!</v>
      </c>
      <c r="F16" s="25" t="e">
        <f>D16/D11</f>
        <v>#REF!</v>
      </c>
      <c r="G16" s="41"/>
      <c r="H16" s="45"/>
      <c r="I16" s="6"/>
      <c r="L16" s="13"/>
      <c r="M16" s="14"/>
      <c r="N16" s="52"/>
    </row>
    <row r="17" spans="1:14" s="2" customFormat="1" ht="15" thickBot="1" x14ac:dyDescent="0.35">
      <c r="A17" s="43"/>
      <c r="B17" s="28" t="s">
        <v>33</v>
      </c>
      <c r="C17" s="26" t="e">
        <f>#REF!</f>
        <v>#REF!</v>
      </c>
      <c r="D17" s="26" t="e">
        <f>#REF!</f>
        <v>#REF!</v>
      </c>
      <c r="E17" s="26" t="e">
        <f>IF(D17&lt;C17,TEXT((ABS(D17-C17)),"-[h]:mm"),IF(D17=C17,"",D17-C17))</f>
        <v>#REF!</v>
      </c>
      <c r="F17" s="25" t="e">
        <f>D17/D11</f>
        <v>#REF!</v>
      </c>
      <c r="G17" s="41"/>
      <c r="H17" s="44"/>
      <c r="I17" s="6"/>
      <c r="L17" s="56"/>
      <c r="M17" s="57"/>
      <c r="N17" s="52"/>
    </row>
    <row r="18" spans="1:14" s="2" customFormat="1" ht="15" thickBot="1" x14ac:dyDescent="0.35">
      <c r="A18" s="43"/>
      <c r="B18" s="46"/>
      <c r="C18" s="49" t="e">
        <f>SUM(C14:C17)</f>
        <v>#REF!</v>
      </c>
      <c r="D18" s="49" t="e">
        <f>SUM(D14:D17)</f>
        <v>#REF!</v>
      </c>
      <c r="E18" s="49" t="e">
        <f>IF(D18&lt;C18,TEXT((ABS(D18-C18)),"-[h]:mm"),IF(D18=C18,"",D18-C18))</f>
        <v>#REF!</v>
      </c>
      <c r="F18" s="50" t="e">
        <f>SUM(F14:F17)</f>
        <v>#REF!</v>
      </c>
      <c r="G18" s="41"/>
      <c r="H18" s="44"/>
      <c r="I18" s="6"/>
      <c r="L18" s="52"/>
      <c r="M18" s="52"/>
      <c r="N18" s="52"/>
    </row>
    <row r="19" spans="1:14" ht="15" thickBot="1" x14ac:dyDescent="0.35">
      <c r="A19" s="29"/>
      <c r="B19" s="43"/>
      <c r="C19" s="43"/>
      <c r="D19" s="43"/>
      <c r="E19" s="43"/>
      <c r="F19" s="51"/>
      <c r="G19" s="41"/>
      <c r="H19" s="41"/>
      <c r="I19" s="7"/>
      <c r="L19" s="47"/>
      <c r="M19" s="47"/>
      <c r="N19" s="47"/>
    </row>
    <row r="20" spans="1:14" ht="15" thickBot="1" x14ac:dyDescent="0.35">
      <c r="A20" s="29"/>
      <c r="B20" s="43"/>
      <c r="C20" s="16" t="s">
        <v>4</v>
      </c>
      <c r="D20" s="59" t="e">
        <f>IF(D11&lt;D18,TEXT((ABS(D11-D18)),"-[h]:mm"),IF(D11=D18,"",D11-D18))</f>
        <v>#REF!</v>
      </c>
      <c r="E20" s="16" t="s">
        <v>28</v>
      </c>
      <c r="F20" s="54" t="e">
        <f>F11-F18</f>
        <v>#REF!</v>
      </c>
      <c r="G20" s="29"/>
      <c r="H20" s="41"/>
      <c r="I20" s="7"/>
    </row>
    <row r="21" spans="1:14" ht="36.75" customHeight="1" x14ac:dyDescent="0.3">
      <c r="A21" s="29"/>
      <c r="B21" s="43"/>
      <c r="C21" s="112" t="s">
        <v>35</v>
      </c>
      <c r="D21" s="112"/>
      <c r="E21" s="112"/>
      <c r="F21" s="43"/>
      <c r="G21" s="29"/>
      <c r="H21" s="29"/>
    </row>
    <row r="22" spans="1:14" x14ac:dyDescent="0.3">
      <c r="A22" s="29"/>
      <c r="B22" s="29"/>
      <c r="C22" s="29"/>
      <c r="D22" s="29"/>
      <c r="E22" s="29"/>
      <c r="F22" s="29"/>
      <c r="G22" s="29"/>
      <c r="H22" s="29"/>
    </row>
  </sheetData>
  <mergeCells count="3">
    <mergeCell ref="B2:G2"/>
    <mergeCell ref="F3:G3"/>
    <mergeCell ref="C21:E21"/>
  </mergeCells>
  <pageMargins left="0.511811024" right="0.511811024" top="0.78740157499999996" bottom="0.78740157499999996" header="0.31496062000000002" footer="0.31496062000000002"/>
  <pageSetup paperSize="9" orientation="portrait" r:id="rId1"/>
  <ignoredErrors>
    <ignoredError sqref="E18" 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70C0"/>
    <outlinePr summaryBelow="0" summaryRight="0"/>
    <pageSetUpPr fitToPage="1"/>
  </sheetPr>
  <dimension ref="B2:N46"/>
  <sheetViews>
    <sheetView topLeftCell="A28" zoomScaleNormal="100" workbookViewId="0">
      <selection activeCell="H32" sqref="B28:H32"/>
    </sheetView>
  </sheetViews>
  <sheetFormatPr defaultColWidth="9.109375" defaultRowHeight="14.4" x14ac:dyDescent="0.3"/>
  <cols>
    <col min="1" max="1" width="3.6640625" style="1" customWidth="1"/>
    <col min="2" max="2" width="14.6640625" style="1" customWidth="1"/>
    <col min="3" max="6" width="12.6640625" style="1" customWidth="1"/>
    <col min="7" max="7" width="14.6640625" style="3" customWidth="1"/>
    <col min="8" max="8" width="50.6640625" style="96" customWidth="1"/>
    <col min="9" max="9" width="3" style="3" customWidth="1"/>
    <col min="10" max="12" width="7.6640625" style="3" hidden="1" customWidth="1"/>
    <col min="13" max="13" width="9.109375" style="1"/>
    <col min="14" max="14" width="12.44140625" style="1" bestFit="1" customWidth="1"/>
    <col min="15" max="16384" width="9.109375" style="1"/>
  </cols>
  <sheetData>
    <row r="2" spans="2:14" ht="64.95" customHeight="1" x14ac:dyDescent="0.3">
      <c r="B2" s="120" t="s">
        <v>38</v>
      </c>
      <c r="C2" s="121"/>
      <c r="D2" s="121"/>
      <c r="E2" s="121"/>
      <c r="F2" s="121"/>
      <c r="G2" s="121"/>
    </row>
    <row r="3" spans="2:14" ht="15" thickBot="1" x14ac:dyDescent="0.35">
      <c r="B3" s="4"/>
      <c r="G3" s="1"/>
    </row>
    <row r="4" spans="2:14" ht="19.95" customHeight="1" thickBot="1" x14ac:dyDescent="0.35">
      <c r="B4" s="122" t="s">
        <v>5</v>
      </c>
      <c r="C4" s="124" t="s">
        <v>46</v>
      </c>
      <c r="D4" s="124"/>
      <c r="E4" s="61"/>
      <c r="F4" s="64"/>
      <c r="G4" s="68" t="s">
        <v>39</v>
      </c>
      <c r="H4" s="97" t="s">
        <v>40</v>
      </c>
    </row>
    <row r="5" spans="2:14" ht="19.95" customHeight="1" thickBot="1" x14ac:dyDescent="0.35">
      <c r="B5" s="123"/>
      <c r="C5" s="125"/>
      <c r="D5" s="125"/>
      <c r="E5" s="8"/>
      <c r="F5" s="67"/>
      <c r="G5" s="69" t="s">
        <v>41</v>
      </c>
      <c r="H5" s="98" t="s">
        <v>42</v>
      </c>
    </row>
    <row r="6" spans="2:14" ht="19.95" customHeight="1" thickBot="1" x14ac:dyDescent="0.35">
      <c r="B6" s="126" t="s">
        <v>43</v>
      </c>
      <c r="C6" s="66" t="s">
        <v>44</v>
      </c>
      <c r="D6" s="8"/>
      <c r="E6" s="8"/>
      <c r="F6" s="67"/>
      <c r="G6" s="69" t="s">
        <v>7</v>
      </c>
      <c r="H6" s="99" t="s">
        <v>50</v>
      </c>
    </row>
    <row r="7" spans="2:14" ht="19.95" customHeight="1" thickBot="1" x14ac:dyDescent="0.35">
      <c r="B7" s="123"/>
      <c r="C7" s="62" t="s">
        <v>45</v>
      </c>
      <c r="D7" s="63"/>
      <c r="E7" s="63"/>
      <c r="F7" s="65"/>
      <c r="G7" s="70" t="s">
        <v>36</v>
      </c>
      <c r="H7" s="100" t="s">
        <v>56</v>
      </c>
      <c r="J7" s="113" t="s">
        <v>16</v>
      </c>
      <c r="K7" s="113" t="s">
        <v>17</v>
      </c>
      <c r="L7" s="113" t="s">
        <v>18</v>
      </c>
    </row>
    <row r="8" spans="2:14" ht="15" thickBot="1" x14ac:dyDescent="0.35">
      <c r="J8" s="114"/>
      <c r="K8" s="114"/>
      <c r="L8" s="114"/>
    </row>
    <row r="9" spans="2:14" ht="29.4" thickBot="1" x14ac:dyDescent="0.35">
      <c r="B9" s="71" t="s">
        <v>1</v>
      </c>
      <c r="C9" s="72" t="s">
        <v>12</v>
      </c>
      <c r="D9" s="72" t="s">
        <v>13</v>
      </c>
      <c r="E9" s="72" t="s">
        <v>0</v>
      </c>
      <c r="F9" s="72" t="s">
        <v>15</v>
      </c>
      <c r="G9" s="73" t="s">
        <v>37</v>
      </c>
      <c r="H9" s="95" t="s">
        <v>47</v>
      </c>
      <c r="J9" s="115"/>
      <c r="K9" s="115"/>
      <c r="L9" s="115"/>
    </row>
    <row r="10" spans="2:14" s="43" customFormat="1" x14ac:dyDescent="0.3">
      <c r="B10" s="92">
        <v>42705</v>
      </c>
      <c r="C10" s="84"/>
      <c r="D10" s="84"/>
      <c r="E10" s="84">
        <f t="shared" ref="E10" si="0">D10-C10</f>
        <v>0</v>
      </c>
      <c r="F10" s="84"/>
      <c r="G10" s="79">
        <f t="shared" ref="G10:G26" si="1">E10-F10</f>
        <v>0</v>
      </c>
      <c r="H10" s="101"/>
      <c r="I10" s="74"/>
      <c r="J10" s="80"/>
      <c r="K10" s="81">
        <f>G10</f>
        <v>0</v>
      </c>
      <c r="L10" s="82" t="str">
        <f>IF(K10&lt;J10,TEXT((ABS(K10-J10)),"-hh:mm"),IF(K10=J10,"",K10-J10))</f>
        <v/>
      </c>
    </row>
    <row r="11" spans="2:14" s="43" customFormat="1" x14ac:dyDescent="0.3">
      <c r="B11" s="93">
        <f t="shared" ref="B11:B40" si="2">B10+1</f>
        <v>42706</v>
      </c>
      <c r="C11" s="84"/>
      <c r="D11" s="84"/>
      <c r="E11" s="84">
        <f t="shared" ref="E11" si="3">D11-C11</f>
        <v>0</v>
      </c>
      <c r="F11" s="84"/>
      <c r="G11" s="85">
        <f t="shared" si="1"/>
        <v>0</v>
      </c>
      <c r="H11" s="102"/>
      <c r="I11" s="74"/>
      <c r="J11" s="86"/>
      <c r="K11" s="81">
        <f t="shared" ref="K11:K40" si="4">G11</f>
        <v>0</v>
      </c>
      <c r="L11" s="82" t="str">
        <f t="shared" ref="L11:L40" si="5">IF(K11&lt;J11,TEXT((ABS(K11-J11)),"-hh:mm"),IF(K11=J11,"",K11-J11))</f>
        <v/>
      </c>
    </row>
    <row r="12" spans="2:14" s="43" customFormat="1" x14ac:dyDescent="0.3">
      <c r="B12" s="93">
        <f t="shared" si="2"/>
        <v>42707</v>
      </c>
      <c r="C12" s="83"/>
      <c r="D12" s="83"/>
      <c r="E12" s="84">
        <f t="shared" ref="E12:E27" si="6">D12-C12</f>
        <v>0</v>
      </c>
      <c r="F12" s="83"/>
      <c r="G12" s="85">
        <f t="shared" si="1"/>
        <v>0</v>
      </c>
      <c r="H12" s="102" t="s">
        <v>57</v>
      </c>
      <c r="I12" s="74"/>
      <c r="J12" s="86"/>
      <c r="K12" s="81">
        <f t="shared" si="4"/>
        <v>0</v>
      </c>
      <c r="L12" s="82" t="str">
        <f t="shared" si="5"/>
        <v/>
      </c>
      <c r="N12" s="94"/>
    </row>
    <row r="13" spans="2:14" s="43" customFormat="1" x14ac:dyDescent="0.3">
      <c r="B13" s="93">
        <f t="shared" si="2"/>
        <v>42708</v>
      </c>
      <c r="C13" s="84"/>
      <c r="D13" s="84"/>
      <c r="E13" s="84">
        <f t="shared" si="6"/>
        <v>0</v>
      </c>
      <c r="F13" s="84"/>
      <c r="G13" s="85">
        <f t="shared" si="1"/>
        <v>0</v>
      </c>
      <c r="H13" s="102" t="s">
        <v>58</v>
      </c>
      <c r="I13" s="74"/>
      <c r="J13" s="86"/>
      <c r="K13" s="81">
        <f t="shared" si="4"/>
        <v>0</v>
      </c>
      <c r="L13" s="82" t="str">
        <f t="shared" si="5"/>
        <v/>
      </c>
    </row>
    <row r="14" spans="2:14" s="43" customFormat="1" x14ac:dyDescent="0.3">
      <c r="B14" s="93">
        <f t="shared" si="2"/>
        <v>42709</v>
      </c>
      <c r="C14" s="84"/>
      <c r="D14" s="84"/>
      <c r="E14" s="84">
        <f t="shared" si="6"/>
        <v>0</v>
      </c>
      <c r="F14" s="84"/>
      <c r="G14" s="85">
        <f t="shared" si="1"/>
        <v>0</v>
      </c>
      <c r="H14" s="102"/>
      <c r="I14" s="74"/>
      <c r="J14" s="86"/>
      <c r="K14" s="81">
        <f t="shared" si="4"/>
        <v>0</v>
      </c>
      <c r="L14" s="82" t="str">
        <f t="shared" si="5"/>
        <v/>
      </c>
    </row>
    <row r="15" spans="2:14" s="43" customFormat="1" x14ac:dyDescent="0.3">
      <c r="B15" s="93">
        <f t="shared" si="2"/>
        <v>42710</v>
      </c>
      <c r="C15" s="84"/>
      <c r="D15" s="84"/>
      <c r="E15" s="84">
        <f t="shared" si="6"/>
        <v>0</v>
      </c>
      <c r="F15" s="84"/>
      <c r="G15" s="85">
        <f t="shared" si="1"/>
        <v>0</v>
      </c>
      <c r="H15" s="102"/>
      <c r="I15" s="74"/>
      <c r="J15" s="86">
        <v>0.33333333333333331</v>
      </c>
      <c r="K15" s="81">
        <f t="shared" si="4"/>
        <v>0</v>
      </c>
      <c r="L15" s="82" t="str">
        <f t="shared" si="5"/>
        <v>-08:00</v>
      </c>
      <c r="M15" s="87"/>
    </row>
    <row r="16" spans="2:14" s="43" customFormat="1" x14ac:dyDescent="0.3">
      <c r="B16" s="93">
        <f t="shared" si="2"/>
        <v>42711</v>
      </c>
      <c r="C16" s="84"/>
      <c r="D16" s="84"/>
      <c r="E16" s="84">
        <f t="shared" si="6"/>
        <v>0</v>
      </c>
      <c r="F16" s="84"/>
      <c r="G16" s="85">
        <f t="shared" si="1"/>
        <v>0</v>
      </c>
      <c r="H16" s="102"/>
      <c r="I16" s="74"/>
      <c r="J16" s="86">
        <v>0.33333333333333331</v>
      </c>
      <c r="K16" s="81">
        <f t="shared" si="4"/>
        <v>0</v>
      </c>
      <c r="L16" s="82" t="str">
        <f t="shared" si="5"/>
        <v>-08:00</v>
      </c>
      <c r="M16" s="87"/>
    </row>
    <row r="17" spans="2:14" s="43" customFormat="1" x14ac:dyDescent="0.3">
      <c r="B17" s="93">
        <f t="shared" si="2"/>
        <v>42712</v>
      </c>
      <c r="C17" s="84"/>
      <c r="D17" s="84"/>
      <c r="E17" s="84">
        <f t="shared" ref="E17:E18" si="7">D17-C17</f>
        <v>0</v>
      </c>
      <c r="F17" s="84"/>
      <c r="G17" s="85">
        <f t="shared" si="1"/>
        <v>0</v>
      </c>
      <c r="H17" s="102"/>
      <c r="I17" s="74"/>
      <c r="J17" s="86"/>
      <c r="K17" s="81">
        <f t="shared" si="4"/>
        <v>0</v>
      </c>
      <c r="L17" s="82" t="str">
        <f t="shared" si="5"/>
        <v/>
      </c>
      <c r="M17" s="87"/>
    </row>
    <row r="18" spans="2:14" s="43" customFormat="1" x14ac:dyDescent="0.3">
      <c r="B18" s="93">
        <f t="shared" si="2"/>
        <v>42713</v>
      </c>
      <c r="C18" s="84"/>
      <c r="D18" s="84"/>
      <c r="E18" s="84">
        <f t="shared" si="7"/>
        <v>0</v>
      </c>
      <c r="F18" s="84"/>
      <c r="G18" s="85">
        <f t="shared" si="1"/>
        <v>0</v>
      </c>
      <c r="H18" s="102"/>
      <c r="I18" s="74"/>
      <c r="J18" s="86"/>
      <c r="K18" s="81">
        <f t="shared" si="4"/>
        <v>0</v>
      </c>
      <c r="L18" s="82" t="str">
        <f t="shared" si="5"/>
        <v/>
      </c>
      <c r="M18" s="87"/>
    </row>
    <row r="19" spans="2:14" s="43" customFormat="1" x14ac:dyDescent="0.3">
      <c r="B19" s="93">
        <f t="shared" si="2"/>
        <v>42714</v>
      </c>
      <c r="C19" s="84"/>
      <c r="D19" s="84"/>
      <c r="E19" s="84">
        <f t="shared" si="6"/>
        <v>0</v>
      </c>
      <c r="F19" s="84"/>
      <c r="G19" s="85">
        <f t="shared" si="1"/>
        <v>0</v>
      </c>
      <c r="H19" s="102" t="s">
        <v>57</v>
      </c>
      <c r="I19" s="74"/>
      <c r="J19" s="86"/>
      <c r="K19" s="81">
        <f t="shared" si="4"/>
        <v>0</v>
      </c>
      <c r="L19" s="82" t="str">
        <f t="shared" si="5"/>
        <v/>
      </c>
      <c r="M19" s="87"/>
    </row>
    <row r="20" spans="2:14" s="43" customFormat="1" x14ac:dyDescent="0.3">
      <c r="B20" s="93">
        <f t="shared" si="2"/>
        <v>42715</v>
      </c>
      <c r="C20" s="84"/>
      <c r="D20" s="84"/>
      <c r="E20" s="84">
        <f t="shared" si="6"/>
        <v>0</v>
      </c>
      <c r="F20" s="84"/>
      <c r="G20" s="85">
        <f t="shared" si="1"/>
        <v>0</v>
      </c>
      <c r="H20" s="102" t="s">
        <v>58</v>
      </c>
      <c r="I20" s="74"/>
      <c r="J20" s="86"/>
      <c r="K20" s="81">
        <f t="shared" si="4"/>
        <v>0</v>
      </c>
      <c r="L20" s="82" t="str">
        <f t="shared" si="5"/>
        <v/>
      </c>
      <c r="M20" s="87"/>
    </row>
    <row r="21" spans="2:14" s="43" customFormat="1" x14ac:dyDescent="0.3">
      <c r="B21" s="93">
        <f t="shared" si="2"/>
        <v>42716</v>
      </c>
      <c r="C21" s="84"/>
      <c r="D21" s="84"/>
      <c r="E21" s="84">
        <f t="shared" si="6"/>
        <v>0</v>
      </c>
      <c r="F21" s="84"/>
      <c r="G21" s="85">
        <f t="shared" si="1"/>
        <v>0</v>
      </c>
      <c r="H21" s="102"/>
      <c r="I21" s="74"/>
      <c r="J21" s="86"/>
      <c r="K21" s="81">
        <f t="shared" si="4"/>
        <v>0</v>
      </c>
      <c r="L21" s="82" t="str">
        <f t="shared" si="5"/>
        <v/>
      </c>
      <c r="M21" s="87"/>
    </row>
    <row r="22" spans="2:14" s="43" customFormat="1" x14ac:dyDescent="0.3">
      <c r="B22" s="93">
        <f t="shared" si="2"/>
        <v>42717</v>
      </c>
      <c r="C22" s="84">
        <v>0.3125</v>
      </c>
      <c r="D22" s="84">
        <v>0.6875</v>
      </c>
      <c r="E22" s="84">
        <f t="shared" si="6"/>
        <v>0.375</v>
      </c>
      <c r="F22" s="84">
        <v>4.1666666666666664E-2</v>
      </c>
      <c r="G22" s="85">
        <f t="shared" si="1"/>
        <v>0.33333333333333331</v>
      </c>
      <c r="H22" s="102" t="s">
        <v>59</v>
      </c>
      <c r="I22" s="74"/>
      <c r="J22" s="86">
        <v>0.33333333333333331</v>
      </c>
      <c r="K22" s="81">
        <f t="shared" si="4"/>
        <v>0.33333333333333331</v>
      </c>
      <c r="L22" s="82" t="str">
        <f t="shared" si="5"/>
        <v/>
      </c>
      <c r="M22" s="87"/>
      <c r="N22" s="88"/>
    </row>
    <row r="23" spans="2:14" s="43" customFormat="1" x14ac:dyDescent="0.3">
      <c r="B23" s="93">
        <f t="shared" si="2"/>
        <v>42718</v>
      </c>
      <c r="C23" s="84"/>
      <c r="D23" s="84"/>
      <c r="E23" s="84">
        <f t="shared" si="6"/>
        <v>0</v>
      </c>
      <c r="F23" s="84"/>
      <c r="G23" s="85">
        <f t="shared" si="1"/>
        <v>0</v>
      </c>
      <c r="H23" s="102" t="s">
        <v>61</v>
      </c>
      <c r="I23" s="74"/>
      <c r="J23" s="86">
        <v>0.33333333333333331</v>
      </c>
      <c r="K23" s="81">
        <f t="shared" si="4"/>
        <v>0</v>
      </c>
      <c r="L23" s="82" t="str">
        <f t="shared" si="5"/>
        <v>-08:00</v>
      </c>
      <c r="M23" s="87"/>
      <c r="N23" s="88"/>
    </row>
    <row r="24" spans="2:14" s="43" customFormat="1" x14ac:dyDescent="0.3">
      <c r="B24" s="93">
        <f t="shared" si="2"/>
        <v>42719</v>
      </c>
      <c r="C24" s="84">
        <v>0.3125</v>
      </c>
      <c r="D24" s="84">
        <v>0.6875</v>
      </c>
      <c r="E24" s="84">
        <f t="shared" si="6"/>
        <v>0.375</v>
      </c>
      <c r="F24" s="84">
        <v>4.1666666666666664E-2</v>
      </c>
      <c r="G24" s="85">
        <f t="shared" si="1"/>
        <v>0.33333333333333331</v>
      </c>
      <c r="H24" s="102" t="s">
        <v>73</v>
      </c>
      <c r="I24" s="74"/>
      <c r="J24" s="86">
        <v>0.33333333333333331</v>
      </c>
      <c r="K24" s="81">
        <f t="shared" si="4"/>
        <v>0.33333333333333331</v>
      </c>
      <c r="L24" s="82" t="str">
        <f t="shared" si="5"/>
        <v/>
      </c>
      <c r="M24" s="87"/>
      <c r="N24" s="88"/>
    </row>
    <row r="25" spans="2:14" s="43" customFormat="1" x14ac:dyDescent="0.3">
      <c r="B25" s="93">
        <f t="shared" si="2"/>
        <v>42720</v>
      </c>
      <c r="C25" s="84">
        <v>0.3125</v>
      </c>
      <c r="D25" s="84">
        <v>0.6875</v>
      </c>
      <c r="E25" s="84">
        <f t="shared" si="6"/>
        <v>0.375</v>
      </c>
      <c r="F25" s="84">
        <v>4.1666666666666664E-2</v>
      </c>
      <c r="G25" s="85">
        <f t="shared" si="1"/>
        <v>0.33333333333333331</v>
      </c>
      <c r="H25" s="102" t="s">
        <v>60</v>
      </c>
      <c r="I25" s="74"/>
      <c r="J25" s="86">
        <v>0.33333333333333331</v>
      </c>
      <c r="K25" s="81">
        <f t="shared" si="4"/>
        <v>0.33333333333333331</v>
      </c>
      <c r="L25" s="82" t="str">
        <f t="shared" si="5"/>
        <v/>
      </c>
      <c r="M25" s="87"/>
      <c r="N25" s="88"/>
    </row>
    <row r="26" spans="2:14" s="43" customFormat="1" x14ac:dyDescent="0.3">
      <c r="B26" s="93">
        <f t="shared" si="2"/>
        <v>42721</v>
      </c>
      <c r="C26" s="84"/>
      <c r="D26" s="84"/>
      <c r="E26" s="84">
        <f t="shared" si="6"/>
        <v>0</v>
      </c>
      <c r="F26" s="84"/>
      <c r="G26" s="85">
        <f t="shared" si="1"/>
        <v>0</v>
      </c>
      <c r="H26" s="102" t="s">
        <v>57</v>
      </c>
      <c r="I26" s="74"/>
      <c r="J26" s="86"/>
      <c r="K26" s="81">
        <f t="shared" si="4"/>
        <v>0</v>
      </c>
      <c r="L26" s="82" t="str">
        <f t="shared" si="5"/>
        <v/>
      </c>
      <c r="M26" s="87"/>
      <c r="N26" s="88"/>
    </row>
    <row r="27" spans="2:14" s="43" customFormat="1" x14ac:dyDescent="0.3">
      <c r="B27" s="93">
        <f t="shared" si="2"/>
        <v>42722</v>
      </c>
      <c r="C27" s="84"/>
      <c r="D27" s="84"/>
      <c r="E27" s="84">
        <f t="shared" si="6"/>
        <v>0</v>
      </c>
      <c r="F27" s="84"/>
      <c r="G27" s="85">
        <f>E27-F27</f>
        <v>0</v>
      </c>
      <c r="H27" s="102" t="s">
        <v>58</v>
      </c>
      <c r="I27" s="74"/>
      <c r="J27" s="86"/>
      <c r="K27" s="81">
        <f t="shared" si="4"/>
        <v>0</v>
      </c>
      <c r="L27" s="82" t="str">
        <f t="shared" si="5"/>
        <v/>
      </c>
      <c r="M27" s="87"/>
      <c r="N27" s="88"/>
    </row>
    <row r="28" spans="2:14" s="43" customFormat="1" x14ac:dyDescent="0.3">
      <c r="B28" s="93">
        <f t="shared" si="2"/>
        <v>42723</v>
      </c>
      <c r="C28" s="84">
        <v>0.3125</v>
      </c>
      <c r="D28" s="84">
        <v>0.6875</v>
      </c>
      <c r="E28" s="84">
        <f>D28-C28</f>
        <v>0.375</v>
      </c>
      <c r="F28" s="84">
        <v>4.1666666666666664E-2</v>
      </c>
      <c r="G28" s="85">
        <f>E28-F28</f>
        <v>0.33333333333333331</v>
      </c>
      <c r="H28" s="102" t="s">
        <v>72</v>
      </c>
      <c r="I28" s="74"/>
      <c r="J28" s="86"/>
      <c r="K28" s="81">
        <f t="shared" si="4"/>
        <v>0.33333333333333331</v>
      </c>
      <c r="L28" s="82">
        <f t="shared" si="5"/>
        <v>0.33333333333333331</v>
      </c>
      <c r="M28" s="87"/>
      <c r="N28" s="88"/>
    </row>
    <row r="29" spans="2:14" s="43" customFormat="1" x14ac:dyDescent="0.3">
      <c r="B29" s="93">
        <f t="shared" si="2"/>
        <v>42724</v>
      </c>
      <c r="C29" s="84">
        <v>0.3125</v>
      </c>
      <c r="D29" s="84">
        <v>0.6875</v>
      </c>
      <c r="E29" s="84">
        <f t="shared" ref="E29:E40" si="8">D29-C29</f>
        <v>0.375</v>
      </c>
      <c r="F29" s="84">
        <v>4.1666666666666664E-2</v>
      </c>
      <c r="G29" s="85">
        <f t="shared" ref="G29:G40" si="9">E29-F29</f>
        <v>0.33333333333333331</v>
      </c>
      <c r="H29" s="102" t="s">
        <v>72</v>
      </c>
      <c r="I29" s="74"/>
      <c r="J29" s="86">
        <v>0.33333333333333331</v>
      </c>
      <c r="K29" s="81">
        <f t="shared" si="4"/>
        <v>0.33333333333333331</v>
      </c>
      <c r="L29" s="82" t="str">
        <f t="shared" si="5"/>
        <v/>
      </c>
      <c r="M29" s="87"/>
      <c r="N29" s="88"/>
    </row>
    <row r="30" spans="2:14" s="43" customFormat="1" x14ac:dyDescent="0.3">
      <c r="B30" s="93">
        <f t="shared" si="2"/>
        <v>42725</v>
      </c>
      <c r="C30" s="84">
        <v>0.3125</v>
      </c>
      <c r="D30" s="84">
        <v>0.6875</v>
      </c>
      <c r="E30" s="84">
        <f t="shared" si="8"/>
        <v>0.375</v>
      </c>
      <c r="F30" s="84">
        <v>4.1666666666666664E-2</v>
      </c>
      <c r="G30" s="85">
        <f t="shared" si="9"/>
        <v>0.33333333333333331</v>
      </c>
      <c r="H30" s="102" t="s">
        <v>72</v>
      </c>
      <c r="I30" s="74"/>
      <c r="J30" s="86">
        <v>0.33333333333333331</v>
      </c>
      <c r="K30" s="81">
        <f t="shared" si="4"/>
        <v>0.33333333333333331</v>
      </c>
      <c r="L30" s="82" t="str">
        <f t="shared" si="5"/>
        <v/>
      </c>
      <c r="M30" s="87"/>
      <c r="N30" s="88"/>
    </row>
    <row r="31" spans="2:14" s="43" customFormat="1" x14ac:dyDescent="0.3">
      <c r="B31" s="93">
        <f t="shared" si="2"/>
        <v>42726</v>
      </c>
      <c r="C31" s="84">
        <v>0.3125</v>
      </c>
      <c r="D31" s="84">
        <v>0.6875</v>
      </c>
      <c r="E31" s="84">
        <f t="shared" si="8"/>
        <v>0.375</v>
      </c>
      <c r="F31" s="84">
        <v>4.1666666666666664E-2</v>
      </c>
      <c r="G31" s="85">
        <f t="shared" si="9"/>
        <v>0.33333333333333331</v>
      </c>
      <c r="H31" s="102" t="s">
        <v>72</v>
      </c>
      <c r="I31" s="74"/>
      <c r="J31" s="86">
        <v>0.33333333333333331</v>
      </c>
      <c r="K31" s="81">
        <f t="shared" si="4"/>
        <v>0.33333333333333331</v>
      </c>
      <c r="L31" s="82" t="str">
        <f t="shared" si="5"/>
        <v/>
      </c>
      <c r="M31" s="87"/>
    </row>
    <row r="32" spans="2:14" s="43" customFormat="1" x14ac:dyDescent="0.3">
      <c r="B32" s="93">
        <f t="shared" si="2"/>
        <v>42727</v>
      </c>
      <c r="C32" s="84">
        <v>0.3125</v>
      </c>
      <c r="D32" s="84">
        <v>0.6875</v>
      </c>
      <c r="E32" s="84">
        <f t="shared" si="8"/>
        <v>0.375</v>
      </c>
      <c r="F32" s="84">
        <v>4.1666666666666664E-2</v>
      </c>
      <c r="G32" s="85">
        <f t="shared" si="9"/>
        <v>0.33333333333333331</v>
      </c>
      <c r="H32" s="102" t="s">
        <v>72</v>
      </c>
      <c r="I32" s="74"/>
      <c r="J32" s="86">
        <v>0.33333333333333331</v>
      </c>
      <c r="K32" s="81">
        <f t="shared" si="4"/>
        <v>0.33333333333333331</v>
      </c>
      <c r="L32" s="82" t="str">
        <f t="shared" si="5"/>
        <v/>
      </c>
      <c r="M32" s="87"/>
    </row>
    <row r="33" spans="2:13" s="43" customFormat="1" x14ac:dyDescent="0.3">
      <c r="B33" s="93">
        <f t="shared" si="2"/>
        <v>42728</v>
      </c>
      <c r="C33" s="84"/>
      <c r="D33" s="84"/>
      <c r="E33" s="84">
        <f t="shared" si="8"/>
        <v>0</v>
      </c>
      <c r="F33" s="84"/>
      <c r="G33" s="85">
        <f t="shared" si="9"/>
        <v>0</v>
      </c>
      <c r="H33" s="102" t="s">
        <v>57</v>
      </c>
      <c r="I33" s="74"/>
      <c r="J33" s="86">
        <v>0</v>
      </c>
      <c r="K33" s="81">
        <f t="shared" si="4"/>
        <v>0</v>
      </c>
      <c r="L33" s="82" t="str">
        <f t="shared" si="5"/>
        <v/>
      </c>
      <c r="M33" s="87"/>
    </row>
    <row r="34" spans="2:13" s="43" customFormat="1" x14ac:dyDescent="0.3">
      <c r="B34" s="93">
        <f t="shared" si="2"/>
        <v>42729</v>
      </c>
      <c r="C34" s="84"/>
      <c r="D34" s="84"/>
      <c r="E34" s="84">
        <f t="shared" si="8"/>
        <v>0</v>
      </c>
      <c r="F34" s="84"/>
      <c r="G34" s="85">
        <f t="shared" si="9"/>
        <v>0</v>
      </c>
      <c r="H34" s="102" t="s">
        <v>58</v>
      </c>
      <c r="I34" s="74"/>
      <c r="J34" s="86"/>
      <c r="K34" s="81">
        <f t="shared" si="4"/>
        <v>0</v>
      </c>
      <c r="L34" s="82" t="str">
        <f t="shared" si="5"/>
        <v/>
      </c>
      <c r="M34" s="87"/>
    </row>
    <row r="35" spans="2:13" s="43" customFormat="1" x14ac:dyDescent="0.3">
      <c r="B35" s="93">
        <f t="shared" si="2"/>
        <v>42730</v>
      </c>
      <c r="C35" s="84"/>
      <c r="D35" s="84"/>
      <c r="E35" s="84">
        <f t="shared" si="8"/>
        <v>0</v>
      </c>
      <c r="F35" s="84"/>
      <c r="G35" s="85">
        <f t="shared" si="9"/>
        <v>0</v>
      </c>
      <c r="H35" s="102"/>
      <c r="I35" s="74"/>
      <c r="J35" s="86"/>
      <c r="K35" s="81">
        <f t="shared" si="4"/>
        <v>0</v>
      </c>
      <c r="L35" s="82" t="str">
        <f t="shared" si="5"/>
        <v/>
      </c>
      <c r="M35" s="87"/>
    </row>
    <row r="36" spans="2:13" s="43" customFormat="1" x14ac:dyDescent="0.3">
      <c r="B36" s="93">
        <f t="shared" si="2"/>
        <v>42731</v>
      </c>
      <c r="C36" s="84"/>
      <c r="D36" s="84"/>
      <c r="E36" s="84">
        <f t="shared" si="8"/>
        <v>0</v>
      </c>
      <c r="F36" s="84"/>
      <c r="G36" s="85">
        <f t="shared" si="9"/>
        <v>0</v>
      </c>
      <c r="H36" s="102"/>
      <c r="I36" s="74"/>
      <c r="J36" s="86">
        <v>0.33333333333333331</v>
      </c>
      <c r="K36" s="81">
        <f t="shared" si="4"/>
        <v>0</v>
      </c>
      <c r="L36" s="82" t="str">
        <f t="shared" si="5"/>
        <v>-08:00</v>
      </c>
      <c r="M36" s="87"/>
    </row>
    <row r="37" spans="2:13" s="43" customFormat="1" x14ac:dyDescent="0.3">
      <c r="B37" s="93">
        <f t="shared" si="2"/>
        <v>42732</v>
      </c>
      <c r="C37" s="84"/>
      <c r="D37" s="84"/>
      <c r="E37" s="84">
        <f t="shared" si="8"/>
        <v>0</v>
      </c>
      <c r="F37" s="84"/>
      <c r="G37" s="85">
        <f t="shared" si="9"/>
        <v>0</v>
      </c>
      <c r="H37" s="102"/>
      <c r="I37" s="74"/>
      <c r="J37" s="86">
        <v>0.33333333333333331</v>
      </c>
      <c r="K37" s="81">
        <f t="shared" si="4"/>
        <v>0</v>
      </c>
      <c r="L37" s="82" t="str">
        <f t="shared" si="5"/>
        <v>-08:00</v>
      </c>
      <c r="M37" s="87"/>
    </row>
    <row r="38" spans="2:13" s="43" customFormat="1" x14ac:dyDescent="0.3">
      <c r="B38" s="93">
        <f t="shared" si="2"/>
        <v>42733</v>
      </c>
      <c r="C38" s="84"/>
      <c r="D38" s="84"/>
      <c r="E38" s="84">
        <f t="shared" si="8"/>
        <v>0</v>
      </c>
      <c r="F38" s="84"/>
      <c r="G38" s="85">
        <f t="shared" si="9"/>
        <v>0</v>
      </c>
      <c r="H38" s="102"/>
      <c r="I38" s="74"/>
      <c r="J38" s="86">
        <v>0.33333333333333331</v>
      </c>
      <c r="K38" s="81">
        <f t="shared" si="4"/>
        <v>0</v>
      </c>
      <c r="L38" s="82" t="str">
        <f t="shared" si="5"/>
        <v>-08:00</v>
      </c>
      <c r="M38" s="87"/>
    </row>
    <row r="39" spans="2:13" s="43" customFormat="1" x14ac:dyDescent="0.3">
      <c r="B39" s="93">
        <f t="shared" si="2"/>
        <v>42734</v>
      </c>
      <c r="C39" s="84"/>
      <c r="D39" s="84"/>
      <c r="E39" s="84">
        <f t="shared" ref="E39" si="10">D39-C39</f>
        <v>0</v>
      </c>
      <c r="F39" s="84"/>
      <c r="G39" s="85">
        <f t="shared" ref="G39" si="11">E39-F39</f>
        <v>0</v>
      </c>
      <c r="H39" s="105"/>
      <c r="I39" s="74"/>
      <c r="J39" s="86">
        <v>0.33333333333333331</v>
      </c>
      <c r="K39" s="81">
        <f t="shared" ref="K39" si="12">G39</f>
        <v>0</v>
      </c>
      <c r="L39" s="82" t="str">
        <f t="shared" ref="L39" si="13">IF(K39&lt;J39,TEXT((ABS(K39-J39)),"-hh:mm"),IF(K39=J39,"",K39-J39))</f>
        <v>-08:00</v>
      </c>
      <c r="M39" s="87"/>
    </row>
    <row r="40" spans="2:13" s="43" customFormat="1" ht="15" thickBot="1" x14ac:dyDescent="0.35">
      <c r="B40" s="93">
        <f t="shared" si="2"/>
        <v>42735</v>
      </c>
      <c r="C40" s="84"/>
      <c r="D40" s="84"/>
      <c r="E40" s="84">
        <f t="shared" si="8"/>
        <v>0</v>
      </c>
      <c r="F40" s="84"/>
      <c r="G40" s="85">
        <f t="shared" si="9"/>
        <v>0</v>
      </c>
      <c r="H40" s="102" t="s">
        <v>57</v>
      </c>
      <c r="I40" s="74"/>
      <c r="J40" s="86">
        <v>0.33333333333333331</v>
      </c>
      <c r="K40" s="81">
        <f t="shared" si="4"/>
        <v>0</v>
      </c>
      <c r="L40" s="82" t="str">
        <f t="shared" si="5"/>
        <v>-08:00</v>
      </c>
      <c r="M40" s="87"/>
    </row>
    <row r="41" spans="2:13" s="29" customFormat="1" ht="18.600000000000001" thickBot="1" x14ac:dyDescent="0.35">
      <c r="B41" s="76" t="s">
        <v>2</v>
      </c>
      <c r="C41" s="72"/>
      <c r="D41" s="72"/>
      <c r="E41" s="77"/>
      <c r="F41" s="78"/>
      <c r="G41" s="77">
        <f>SUM(G10:G40)</f>
        <v>2.6666666666666665</v>
      </c>
      <c r="H41" s="103"/>
      <c r="I41" s="74"/>
      <c r="J41" s="75">
        <f>SUM(J10:J40)</f>
        <v>4.9999999999999991</v>
      </c>
      <c r="K41" s="75">
        <f>SUM(K10:K40)</f>
        <v>2.6666666666666665</v>
      </c>
      <c r="L41" s="75" t="str">
        <f>IF(K41&lt;J41,TEXT((ABS(K41-J41)),"-[h]:mm"),IF(K41=J41,"",K41-J41))</f>
        <v>-56:00</v>
      </c>
    </row>
    <row r="42" spans="2:13" ht="15" thickBot="1" x14ac:dyDescent="0.35">
      <c r="J42" s="19"/>
    </row>
    <row r="43" spans="2:13" x14ac:dyDescent="0.3">
      <c r="G43" s="116" t="s">
        <v>48</v>
      </c>
      <c r="H43" s="117"/>
    </row>
    <row r="44" spans="2:13" ht="15" thickBot="1" x14ac:dyDescent="0.35">
      <c r="G44" s="118"/>
      <c r="H44" s="119"/>
    </row>
    <row r="45" spans="2:13" ht="64.95" customHeight="1" thickBot="1" x14ac:dyDescent="0.35">
      <c r="G45" s="106" t="s">
        <v>49</v>
      </c>
      <c r="H45" s="104"/>
    </row>
    <row r="46" spans="2:13" s="90" customFormat="1" ht="15" thickBot="1" x14ac:dyDescent="0.35">
      <c r="G46" s="89" t="s">
        <v>43</v>
      </c>
      <c r="H46" s="100" t="s">
        <v>44</v>
      </c>
      <c r="I46" s="91"/>
      <c r="J46" s="91"/>
      <c r="K46" s="91"/>
      <c r="L46" s="91"/>
    </row>
  </sheetData>
  <mergeCells count="8">
    <mergeCell ref="L7:L9"/>
    <mergeCell ref="G43:H44"/>
    <mergeCell ref="B2:G2"/>
    <mergeCell ref="B4:B5"/>
    <mergeCell ref="C4:D5"/>
    <mergeCell ref="B6:B7"/>
    <mergeCell ref="J7:J9"/>
    <mergeCell ref="K7:K9"/>
  </mergeCells>
  <pageMargins left="0.25" right="0.25" top="0.75" bottom="0.75" header="0.3" footer="0.3"/>
  <pageSetup paperSize="9" scale="62" fitToHeight="0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70C0"/>
    <outlinePr summaryBelow="0" summaryRight="0"/>
    <pageSetUpPr fitToPage="1"/>
  </sheetPr>
  <dimension ref="B2:N46"/>
  <sheetViews>
    <sheetView tabSelected="1" topLeftCell="A10" workbookViewId="0">
      <selection activeCell="H19" sqref="H19"/>
    </sheetView>
  </sheetViews>
  <sheetFormatPr defaultColWidth="9.109375" defaultRowHeight="14.4" x14ac:dyDescent="0.3"/>
  <cols>
    <col min="1" max="1" width="3.6640625" style="1" customWidth="1"/>
    <col min="2" max="2" width="14.6640625" style="1" customWidth="1"/>
    <col min="3" max="6" width="12.6640625" style="1" customWidth="1"/>
    <col min="7" max="7" width="14.6640625" style="3" customWidth="1"/>
    <col min="8" max="8" width="50.6640625" style="96" customWidth="1"/>
    <col min="9" max="9" width="3" style="3" customWidth="1"/>
    <col min="10" max="12" width="7.6640625" style="3" hidden="1" customWidth="1"/>
    <col min="13" max="13" width="9.109375" style="1"/>
    <col min="14" max="14" width="12.44140625" style="1" bestFit="1" customWidth="1"/>
    <col min="15" max="16384" width="9.109375" style="1"/>
  </cols>
  <sheetData>
    <row r="2" spans="2:14" ht="64.95" customHeight="1" x14ac:dyDescent="0.3">
      <c r="B2" s="120" t="s">
        <v>38</v>
      </c>
      <c r="C2" s="121"/>
      <c r="D2" s="121"/>
      <c r="E2" s="121"/>
      <c r="F2" s="121"/>
      <c r="G2" s="121"/>
    </row>
    <row r="3" spans="2:14" ht="15" thickBot="1" x14ac:dyDescent="0.35">
      <c r="B3" s="4"/>
      <c r="G3" s="1"/>
    </row>
    <row r="4" spans="2:14" ht="19.95" customHeight="1" thickBot="1" x14ac:dyDescent="0.35">
      <c r="B4" s="122" t="s">
        <v>5</v>
      </c>
      <c r="C4" s="124" t="s">
        <v>46</v>
      </c>
      <c r="D4" s="124"/>
      <c r="E4" s="61"/>
      <c r="F4" s="64"/>
      <c r="G4" s="68" t="s">
        <v>39</v>
      </c>
      <c r="H4" s="97" t="s">
        <v>40</v>
      </c>
    </row>
    <row r="5" spans="2:14" ht="19.95" customHeight="1" thickBot="1" x14ac:dyDescent="0.35">
      <c r="B5" s="123"/>
      <c r="C5" s="125"/>
      <c r="D5" s="125"/>
      <c r="E5" s="8"/>
      <c r="F5" s="67"/>
      <c r="G5" s="69" t="s">
        <v>41</v>
      </c>
      <c r="H5" s="98" t="s">
        <v>42</v>
      </c>
    </row>
    <row r="6" spans="2:14" ht="19.95" customHeight="1" thickBot="1" x14ac:dyDescent="0.35">
      <c r="B6" s="126" t="s">
        <v>43</v>
      </c>
      <c r="C6" s="66" t="s">
        <v>44</v>
      </c>
      <c r="D6" s="8"/>
      <c r="E6" s="8"/>
      <c r="F6" s="67"/>
      <c r="G6" s="69" t="s">
        <v>7</v>
      </c>
      <c r="H6" s="99" t="s">
        <v>51</v>
      </c>
    </row>
    <row r="7" spans="2:14" ht="19.95" customHeight="1" thickBot="1" x14ac:dyDescent="0.35">
      <c r="B7" s="123"/>
      <c r="C7" s="62" t="s">
        <v>45</v>
      </c>
      <c r="D7" s="63"/>
      <c r="E7" s="63"/>
      <c r="F7" s="65"/>
      <c r="G7" s="70" t="s">
        <v>36</v>
      </c>
      <c r="H7" s="100" t="s">
        <v>56</v>
      </c>
      <c r="J7" s="113" t="s">
        <v>16</v>
      </c>
      <c r="K7" s="113" t="s">
        <v>17</v>
      </c>
      <c r="L7" s="113" t="s">
        <v>18</v>
      </c>
    </row>
    <row r="8" spans="2:14" ht="15" thickBot="1" x14ac:dyDescent="0.35">
      <c r="J8" s="114"/>
      <c r="K8" s="114"/>
      <c r="L8" s="114"/>
    </row>
    <row r="9" spans="2:14" ht="29.4" thickBot="1" x14ac:dyDescent="0.35">
      <c r="B9" s="71" t="s">
        <v>1</v>
      </c>
      <c r="C9" s="72" t="s">
        <v>12</v>
      </c>
      <c r="D9" s="72" t="s">
        <v>13</v>
      </c>
      <c r="E9" s="72" t="s">
        <v>0</v>
      </c>
      <c r="F9" s="72" t="s">
        <v>15</v>
      </c>
      <c r="G9" s="73" t="s">
        <v>37</v>
      </c>
      <c r="H9" s="95" t="s">
        <v>47</v>
      </c>
      <c r="J9" s="115"/>
      <c r="K9" s="115"/>
      <c r="L9" s="115"/>
    </row>
    <row r="10" spans="2:14" s="43" customFormat="1" x14ac:dyDescent="0.3">
      <c r="B10" s="92">
        <v>42736</v>
      </c>
      <c r="C10" s="84"/>
      <c r="D10" s="84"/>
      <c r="E10" s="84">
        <f t="shared" ref="E10:E27" si="0">D10-C10</f>
        <v>0</v>
      </c>
      <c r="F10" s="84"/>
      <c r="G10" s="79">
        <f t="shared" ref="G10:G26" si="1">E10-F10</f>
        <v>0</v>
      </c>
      <c r="H10" s="102" t="s">
        <v>58</v>
      </c>
      <c r="I10" s="74"/>
      <c r="J10" s="80"/>
      <c r="K10" s="81">
        <f>G10</f>
        <v>0</v>
      </c>
      <c r="L10" s="82" t="str">
        <f>IF(K10&lt;J10,TEXT((ABS(K10-J10)),"-hh:mm"),IF(K10=J10,"",K10-J10))</f>
        <v/>
      </c>
    </row>
    <row r="11" spans="2:14" s="43" customFormat="1" x14ac:dyDescent="0.3">
      <c r="B11" s="93">
        <f t="shared" ref="B11:B40" si="2">B10+1</f>
        <v>42737</v>
      </c>
      <c r="C11" s="84">
        <v>0.3125</v>
      </c>
      <c r="D11" s="84">
        <v>0.6875</v>
      </c>
      <c r="E11" s="84">
        <f t="shared" si="0"/>
        <v>0.375</v>
      </c>
      <c r="F11" s="84">
        <v>4.1666666666666664E-2</v>
      </c>
      <c r="G11" s="85">
        <f t="shared" si="1"/>
        <v>0.33333333333333331</v>
      </c>
      <c r="H11" s="102" t="s">
        <v>71</v>
      </c>
      <c r="I11" s="74"/>
      <c r="J11" s="86"/>
      <c r="K11" s="81">
        <f t="shared" ref="K11:K40" si="3">G11</f>
        <v>0.33333333333333331</v>
      </c>
      <c r="L11" s="82">
        <f t="shared" ref="L11:L40" si="4">IF(K11&lt;J11,TEXT((ABS(K11-J11)),"-hh:mm"),IF(K11=J11,"",K11-J11))</f>
        <v>0.33333333333333331</v>
      </c>
    </row>
    <row r="12" spans="2:14" s="43" customFormat="1" x14ac:dyDescent="0.3">
      <c r="B12" s="93">
        <f t="shared" si="2"/>
        <v>42738</v>
      </c>
      <c r="C12" s="84">
        <v>0.3125</v>
      </c>
      <c r="D12" s="84">
        <v>0.6875</v>
      </c>
      <c r="E12" s="84">
        <f t="shared" si="0"/>
        <v>0.375</v>
      </c>
      <c r="F12" s="84">
        <v>4.1666666666666664E-2</v>
      </c>
      <c r="G12" s="85">
        <f t="shared" si="1"/>
        <v>0.33333333333333331</v>
      </c>
      <c r="H12" s="102" t="s">
        <v>71</v>
      </c>
      <c r="I12" s="74"/>
      <c r="J12" s="86"/>
      <c r="K12" s="81">
        <f t="shared" si="3"/>
        <v>0.33333333333333331</v>
      </c>
      <c r="L12" s="82">
        <f t="shared" si="4"/>
        <v>0.33333333333333331</v>
      </c>
      <c r="N12" s="94"/>
    </row>
    <row r="13" spans="2:14" s="43" customFormat="1" x14ac:dyDescent="0.3">
      <c r="B13" s="93">
        <f t="shared" si="2"/>
        <v>42739</v>
      </c>
      <c r="C13" s="84">
        <v>0.3125</v>
      </c>
      <c r="D13" s="84">
        <v>0.6875</v>
      </c>
      <c r="E13" s="84">
        <f t="shared" si="0"/>
        <v>0.375</v>
      </c>
      <c r="F13" s="84">
        <v>4.1666666666666664E-2</v>
      </c>
      <c r="G13" s="85">
        <f t="shared" si="1"/>
        <v>0.33333333333333331</v>
      </c>
      <c r="H13" s="102" t="s">
        <v>72</v>
      </c>
      <c r="I13" s="74"/>
      <c r="J13" s="86"/>
      <c r="K13" s="81">
        <f t="shared" si="3"/>
        <v>0.33333333333333331</v>
      </c>
      <c r="L13" s="82">
        <f t="shared" si="4"/>
        <v>0.33333333333333331</v>
      </c>
    </row>
    <row r="14" spans="2:14" s="43" customFormat="1" x14ac:dyDescent="0.3">
      <c r="B14" s="93">
        <f t="shared" si="2"/>
        <v>42740</v>
      </c>
      <c r="C14" s="84">
        <v>0.64583333333333337</v>
      </c>
      <c r="D14" s="84">
        <v>0.6875</v>
      </c>
      <c r="E14" s="84">
        <f t="shared" si="0"/>
        <v>4.166666666666663E-2</v>
      </c>
      <c r="F14" s="84">
        <v>0</v>
      </c>
      <c r="G14" s="85">
        <f t="shared" si="1"/>
        <v>4.166666666666663E-2</v>
      </c>
      <c r="H14" s="102" t="s">
        <v>75</v>
      </c>
      <c r="I14" s="74"/>
      <c r="J14" s="86"/>
      <c r="K14" s="81">
        <f t="shared" si="3"/>
        <v>4.166666666666663E-2</v>
      </c>
      <c r="L14" s="82">
        <f t="shared" si="4"/>
        <v>4.166666666666663E-2</v>
      </c>
    </row>
    <row r="15" spans="2:14" s="43" customFormat="1" x14ac:dyDescent="0.3">
      <c r="B15" s="93">
        <f t="shared" si="2"/>
        <v>42741</v>
      </c>
      <c r="C15" s="84">
        <v>0.3125</v>
      </c>
      <c r="D15" s="84">
        <v>0.6875</v>
      </c>
      <c r="E15" s="84">
        <f t="shared" ref="E15" si="5">D15-C15</f>
        <v>0.375</v>
      </c>
      <c r="F15" s="84">
        <v>4.1666666666666664E-2</v>
      </c>
      <c r="G15" s="85">
        <f t="shared" si="1"/>
        <v>0.33333333333333331</v>
      </c>
      <c r="H15" s="102" t="s">
        <v>70</v>
      </c>
      <c r="I15" s="74"/>
      <c r="J15" s="86">
        <v>0.33333333333333331</v>
      </c>
      <c r="K15" s="81">
        <f t="shared" si="3"/>
        <v>0.33333333333333331</v>
      </c>
      <c r="L15" s="82" t="str">
        <f t="shared" si="4"/>
        <v/>
      </c>
      <c r="M15" s="87"/>
    </row>
    <row r="16" spans="2:14" s="43" customFormat="1" x14ac:dyDescent="0.3">
      <c r="B16" s="93">
        <f t="shared" si="2"/>
        <v>42742</v>
      </c>
      <c r="C16" s="84"/>
      <c r="D16" s="84"/>
      <c r="E16" s="84">
        <f t="shared" si="0"/>
        <v>0</v>
      </c>
      <c r="F16" s="84"/>
      <c r="G16" s="85">
        <f t="shared" si="1"/>
        <v>0</v>
      </c>
      <c r="H16" s="102" t="s">
        <v>57</v>
      </c>
      <c r="I16" s="74"/>
      <c r="J16" s="86">
        <v>0.33333333333333331</v>
      </c>
      <c r="K16" s="81">
        <f t="shared" si="3"/>
        <v>0</v>
      </c>
      <c r="L16" s="82" t="str">
        <f t="shared" si="4"/>
        <v>-08:00</v>
      </c>
      <c r="M16" s="87"/>
    </row>
    <row r="17" spans="2:14" s="43" customFormat="1" x14ac:dyDescent="0.3">
      <c r="B17" s="93">
        <f t="shared" si="2"/>
        <v>42743</v>
      </c>
      <c r="C17" s="84"/>
      <c r="D17" s="84"/>
      <c r="E17" s="84">
        <f t="shared" si="0"/>
        <v>0</v>
      </c>
      <c r="F17" s="84"/>
      <c r="G17" s="85">
        <f t="shared" si="1"/>
        <v>0</v>
      </c>
      <c r="H17" s="102" t="s">
        <v>58</v>
      </c>
      <c r="I17" s="74"/>
      <c r="J17" s="86"/>
      <c r="K17" s="81">
        <f t="shared" si="3"/>
        <v>0</v>
      </c>
      <c r="L17" s="82" t="str">
        <f t="shared" si="4"/>
        <v/>
      </c>
      <c r="M17" s="87"/>
    </row>
    <row r="18" spans="2:14" s="43" customFormat="1" x14ac:dyDescent="0.3">
      <c r="B18" s="93">
        <f t="shared" si="2"/>
        <v>42744</v>
      </c>
      <c r="C18" s="84">
        <v>0.3125</v>
      </c>
      <c r="D18" s="84">
        <v>0.6875</v>
      </c>
      <c r="E18" s="84">
        <f t="shared" si="0"/>
        <v>0.375</v>
      </c>
      <c r="F18" s="84">
        <v>4.1666666666666664E-2</v>
      </c>
      <c r="G18" s="85">
        <f t="shared" si="1"/>
        <v>0.33333333333333331</v>
      </c>
      <c r="H18" s="102" t="s">
        <v>69</v>
      </c>
      <c r="I18" s="74"/>
      <c r="J18" s="86"/>
      <c r="K18" s="81">
        <f t="shared" si="3"/>
        <v>0.33333333333333331</v>
      </c>
      <c r="L18" s="82">
        <f t="shared" si="4"/>
        <v>0.33333333333333331</v>
      </c>
      <c r="M18" s="87"/>
    </row>
    <row r="19" spans="2:14" s="43" customFormat="1" x14ac:dyDescent="0.3">
      <c r="B19" s="93">
        <f t="shared" si="2"/>
        <v>42745</v>
      </c>
      <c r="C19" s="84">
        <v>0.3125</v>
      </c>
      <c r="D19" s="84">
        <v>0.6875</v>
      </c>
      <c r="E19" s="84">
        <f t="shared" ref="E19" si="6">D19-C19</f>
        <v>0.375</v>
      </c>
      <c r="F19" s="84">
        <v>4.1666666666666664E-2</v>
      </c>
      <c r="G19" s="85">
        <f t="shared" si="1"/>
        <v>0.33333333333333331</v>
      </c>
      <c r="H19" s="102" t="s">
        <v>76</v>
      </c>
      <c r="I19" s="74"/>
      <c r="J19" s="86"/>
      <c r="K19" s="81">
        <f t="shared" si="3"/>
        <v>0.33333333333333331</v>
      </c>
      <c r="L19" s="82">
        <f t="shared" si="4"/>
        <v>0.33333333333333331</v>
      </c>
      <c r="M19" s="87"/>
    </row>
    <row r="20" spans="2:14" s="43" customFormat="1" x14ac:dyDescent="0.3">
      <c r="B20" s="93">
        <f t="shared" si="2"/>
        <v>42746</v>
      </c>
      <c r="C20" s="84"/>
      <c r="D20" s="84"/>
      <c r="E20" s="84">
        <f t="shared" si="0"/>
        <v>0</v>
      </c>
      <c r="F20" s="84"/>
      <c r="G20" s="85">
        <f t="shared" si="1"/>
        <v>0</v>
      </c>
      <c r="H20" s="102"/>
      <c r="I20" s="74"/>
      <c r="J20" s="86"/>
      <c r="K20" s="81">
        <f t="shared" si="3"/>
        <v>0</v>
      </c>
      <c r="L20" s="82" t="str">
        <f t="shared" si="4"/>
        <v/>
      </c>
      <c r="M20" s="87"/>
    </row>
    <row r="21" spans="2:14" s="43" customFormat="1" x14ac:dyDescent="0.3">
      <c r="B21" s="93">
        <f t="shared" si="2"/>
        <v>42747</v>
      </c>
      <c r="C21" s="84"/>
      <c r="D21" s="84"/>
      <c r="E21" s="84">
        <f t="shared" si="0"/>
        <v>0</v>
      </c>
      <c r="F21" s="84"/>
      <c r="G21" s="85">
        <f t="shared" si="1"/>
        <v>0</v>
      </c>
      <c r="H21" s="102"/>
      <c r="I21" s="74"/>
      <c r="J21" s="86"/>
      <c r="K21" s="81">
        <f t="shared" si="3"/>
        <v>0</v>
      </c>
      <c r="L21" s="82" t="str">
        <f t="shared" si="4"/>
        <v/>
      </c>
      <c r="M21" s="87"/>
    </row>
    <row r="22" spans="2:14" s="43" customFormat="1" x14ac:dyDescent="0.3">
      <c r="B22" s="93">
        <f t="shared" si="2"/>
        <v>42748</v>
      </c>
      <c r="C22" s="84"/>
      <c r="D22" s="84"/>
      <c r="E22" s="84">
        <f t="shared" si="0"/>
        <v>0</v>
      </c>
      <c r="F22" s="84"/>
      <c r="G22" s="85">
        <f t="shared" si="1"/>
        <v>0</v>
      </c>
      <c r="H22" s="102"/>
      <c r="I22" s="74"/>
      <c r="J22" s="86">
        <v>0.33333333333333331</v>
      </c>
      <c r="K22" s="81">
        <f t="shared" si="3"/>
        <v>0</v>
      </c>
      <c r="L22" s="82" t="str">
        <f t="shared" si="4"/>
        <v>-08:00</v>
      </c>
      <c r="M22" s="87"/>
      <c r="N22" s="88"/>
    </row>
    <row r="23" spans="2:14" s="43" customFormat="1" x14ac:dyDescent="0.3">
      <c r="B23" s="93">
        <f t="shared" si="2"/>
        <v>42749</v>
      </c>
      <c r="C23" s="84"/>
      <c r="D23" s="84"/>
      <c r="E23" s="84">
        <f t="shared" si="0"/>
        <v>0</v>
      </c>
      <c r="F23" s="84"/>
      <c r="G23" s="85">
        <f t="shared" si="1"/>
        <v>0</v>
      </c>
      <c r="H23" s="102" t="s">
        <v>57</v>
      </c>
      <c r="I23" s="74"/>
      <c r="J23" s="86">
        <v>0.33333333333333331</v>
      </c>
      <c r="K23" s="81">
        <f t="shared" si="3"/>
        <v>0</v>
      </c>
      <c r="L23" s="82" t="str">
        <f t="shared" si="4"/>
        <v>-08:00</v>
      </c>
      <c r="M23" s="87"/>
      <c r="N23" s="88"/>
    </row>
    <row r="24" spans="2:14" s="43" customFormat="1" x14ac:dyDescent="0.3">
      <c r="B24" s="93">
        <f t="shared" si="2"/>
        <v>42750</v>
      </c>
      <c r="C24" s="84"/>
      <c r="D24" s="84"/>
      <c r="E24" s="84">
        <f t="shared" si="0"/>
        <v>0</v>
      </c>
      <c r="F24" s="84"/>
      <c r="G24" s="85">
        <f t="shared" si="1"/>
        <v>0</v>
      </c>
      <c r="H24" s="102" t="s">
        <v>58</v>
      </c>
      <c r="I24" s="74"/>
      <c r="J24" s="86">
        <v>0.33333333333333331</v>
      </c>
      <c r="K24" s="81">
        <f t="shared" si="3"/>
        <v>0</v>
      </c>
      <c r="L24" s="82" t="str">
        <f t="shared" si="4"/>
        <v>-08:00</v>
      </c>
      <c r="M24" s="87"/>
      <c r="N24" s="88"/>
    </row>
    <row r="25" spans="2:14" s="43" customFormat="1" x14ac:dyDescent="0.3">
      <c r="B25" s="93">
        <f t="shared" si="2"/>
        <v>42751</v>
      </c>
      <c r="C25" s="84"/>
      <c r="D25" s="84"/>
      <c r="E25" s="84">
        <f t="shared" si="0"/>
        <v>0</v>
      </c>
      <c r="F25" s="84"/>
      <c r="G25" s="85">
        <f t="shared" si="1"/>
        <v>0</v>
      </c>
      <c r="H25" s="102"/>
      <c r="I25" s="74"/>
      <c r="J25" s="86">
        <v>0.33333333333333331</v>
      </c>
      <c r="K25" s="81">
        <f t="shared" si="3"/>
        <v>0</v>
      </c>
      <c r="L25" s="82" t="str">
        <f t="shared" si="4"/>
        <v>-08:00</v>
      </c>
      <c r="M25" s="87"/>
      <c r="N25" s="88"/>
    </row>
    <row r="26" spans="2:14" s="43" customFormat="1" x14ac:dyDescent="0.3">
      <c r="B26" s="93">
        <f t="shared" si="2"/>
        <v>42752</v>
      </c>
      <c r="C26" s="84"/>
      <c r="D26" s="84"/>
      <c r="E26" s="84">
        <f t="shared" si="0"/>
        <v>0</v>
      </c>
      <c r="F26" s="84"/>
      <c r="G26" s="85">
        <f t="shared" si="1"/>
        <v>0</v>
      </c>
      <c r="H26" s="102"/>
      <c r="I26" s="74"/>
      <c r="J26" s="86"/>
      <c r="K26" s="81">
        <f t="shared" si="3"/>
        <v>0</v>
      </c>
      <c r="L26" s="82" t="str">
        <f t="shared" si="4"/>
        <v/>
      </c>
      <c r="M26" s="87"/>
      <c r="N26" s="88"/>
    </row>
    <row r="27" spans="2:14" s="43" customFormat="1" x14ac:dyDescent="0.3">
      <c r="B27" s="93">
        <f t="shared" si="2"/>
        <v>42753</v>
      </c>
      <c r="C27" s="84"/>
      <c r="D27" s="84"/>
      <c r="E27" s="84">
        <f t="shared" si="0"/>
        <v>0</v>
      </c>
      <c r="F27" s="84"/>
      <c r="G27" s="85">
        <f>E27-F27</f>
        <v>0</v>
      </c>
      <c r="H27" s="102"/>
      <c r="I27" s="74"/>
      <c r="J27" s="86"/>
      <c r="K27" s="81">
        <f t="shared" si="3"/>
        <v>0</v>
      </c>
      <c r="L27" s="82" t="str">
        <f t="shared" si="4"/>
        <v/>
      </c>
      <c r="M27" s="87"/>
      <c r="N27" s="88"/>
    </row>
    <row r="28" spans="2:14" s="43" customFormat="1" x14ac:dyDescent="0.3">
      <c r="B28" s="93">
        <f t="shared" si="2"/>
        <v>42754</v>
      </c>
      <c r="C28" s="84"/>
      <c r="D28" s="84"/>
      <c r="E28" s="84">
        <f>D28-C28</f>
        <v>0</v>
      </c>
      <c r="F28" s="84"/>
      <c r="G28" s="85">
        <f>E28-F28</f>
        <v>0</v>
      </c>
      <c r="H28" s="102"/>
      <c r="I28" s="74"/>
      <c r="J28" s="86"/>
      <c r="K28" s="81">
        <f t="shared" si="3"/>
        <v>0</v>
      </c>
      <c r="L28" s="82" t="str">
        <f t="shared" si="4"/>
        <v/>
      </c>
      <c r="M28" s="87"/>
      <c r="N28" s="88"/>
    </row>
    <row r="29" spans="2:14" s="43" customFormat="1" x14ac:dyDescent="0.3">
      <c r="B29" s="93">
        <f t="shared" si="2"/>
        <v>42755</v>
      </c>
      <c r="C29" s="84"/>
      <c r="D29" s="84"/>
      <c r="E29" s="84">
        <f t="shared" ref="E29:E40" si="7">D29-C29</f>
        <v>0</v>
      </c>
      <c r="F29" s="84"/>
      <c r="G29" s="85">
        <f t="shared" ref="G29:G40" si="8">E29-F29</f>
        <v>0</v>
      </c>
      <c r="H29" s="102"/>
      <c r="I29" s="74"/>
      <c r="J29" s="86">
        <v>0.33333333333333331</v>
      </c>
      <c r="K29" s="81">
        <f t="shared" si="3"/>
        <v>0</v>
      </c>
      <c r="L29" s="82" t="str">
        <f t="shared" si="4"/>
        <v>-08:00</v>
      </c>
      <c r="M29" s="87"/>
      <c r="N29" s="88"/>
    </row>
    <row r="30" spans="2:14" s="43" customFormat="1" x14ac:dyDescent="0.3">
      <c r="B30" s="93">
        <f t="shared" si="2"/>
        <v>42756</v>
      </c>
      <c r="C30" s="84"/>
      <c r="D30" s="84"/>
      <c r="E30" s="84">
        <f t="shared" si="7"/>
        <v>0</v>
      </c>
      <c r="F30" s="84"/>
      <c r="G30" s="85">
        <f t="shared" si="8"/>
        <v>0</v>
      </c>
      <c r="H30" s="102" t="s">
        <v>57</v>
      </c>
      <c r="I30" s="74"/>
      <c r="J30" s="86">
        <v>0.33333333333333331</v>
      </c>
      <c r="K30" s="81">
        <f t="shared" si="3"/>
        <v>0</v>
      </c>
      <c r="L30" s="82" t="str">
        <f t="shared" si="4"/>
        <v>-08:00</v>
      </c>
      <c r="M30" s="87"/>
      <c r="N30" s="88"/>
    </row>
    <row r="31" spans="2:14" s="43" customFormat="1" x14ac:dyDescent="0.3">
      <c r="B31" s="93">
        <f t="shared" si="2"/>
        <v>42757</v>
      </c>
      <c r="C31" s="84"/>
      <c r="D31" s="84"/>
      <c r="E31" s="84">
        <f t="shared" si="7"/>
        <v>0</v>
      </c>
      <c r="F31" s="84"/>
      <c r="G31" s="85">
        <f t="shared" si="8"/>
        <v>0</v>
      </c>
      <c r="H31" s="102" t="s">
        <v>58</v>
      </c>
      <c r="I31" s="74"/>
      <c r="J31" s="86">
        <v>0.33333333333333331</v>
      </c>
      <c r="K31" s="81">
        <f t="shared" si="3"/>
        <v>0</v>
      </c>
      <c r="L31" s="82" t="str">
        <f t="shared" si="4"/>
        <v>-08:00</v>
      </c>
      <c r="M31" s="87"/>
    </row>
    <row r="32" spans="2:14" s="43" customFormat="1" x14ac:dyDescent="0.3">
      <c r="B32" s="93">
        <f t="shared" si="2"/>
        <v>42758</v>
      </c>
      <c r="C32" s="84"/>
      <c r="D32" s="84"/>
      <c r="E32" s="84">
        <f t="shared" si="7"/>
        <v>0</v>
      </c>
      <c r="F32" s="84"/>
      <c r="G32" s="85">
        <f t="shared" si="8"/>
        <v>0</v>
      </c>
      <c r="H32" s="102"/>
      <c r="I32" s="74"/>
      <c r="J32" s="86">
        <v>0.33333333333333331</v>
      </c>
      <c r="K32" s="81">
        <f t="shared" si="3"/>
        <v>0</v>
      </c>
      <c r="L32" s="82" t="str">
        <f t="shared" si="4"/>
        <v>-08:00</v>
      </c>
      <c r="M32" s="87"/>
    </row>
    <row r="33" spans="2:13" s="43" customFormat="1" x14ac:dyDescent="0.3">
      <c r="B33" s="93">
        <f t="shared" si="2"/>
        <v>42759</v>
      </c>
      <c r="C33" s="84"/>
      <c r="D33" s="84"/>
      <c r="E33" s="84">
        <f t="shared" si="7"/>
        <v>0</v>
      </c>
      <c r="F33" s="84"/>
      <c r="G33" s="85">
        <f t="shared" si="8"/>
        <v>0</v>
      </c>
      <c r="H33" s="102"/>
      <c r="I33" s="74"/>
      <c r="J33" s="86">
        <v>0</v>
      </c>
      <c r="K33" s="81">
        <f t="shared" si="3"/>
        <v>0</v>
      </c>
      <c r="L33" s="82" t="str">
        <f t="shared" si="4"/>
        <v/>
      </c>
      <c r="M33" s="87"/>
    </row>
    <row r="34" spans="2:13" s="43" customFormat="1" x14ac:dyDescent="0.3">
      <c r="B34" s="93">
        <f t="shared" si="2"/>
        <v>42760</v>
      </c>
      <c r="C34" s="84"/>
      <c r="D34" s="84"/>
      <c r="E34" s="84">
        <f t="shared" si="7"/>
        <v>0</v>
      </c>
      <c r="F34" s="84"/>
      <c r="G34" s="85">
        <f t="shared" si="8"/>
        <v>0</v>
      </c>
      <c r="H34" s="102"/>
      <c r="I34" s="74"/>
      <c r="J34" s="86"/>
      <c r="K34" s="81">
        <f t="shared" si="3"/>
        <v>0</v>
      </c>
      <c r="L34" s="82" t="str">
        <f t="shared" si="4"/>
        <v/>
      </c>
      <c r="M34" s="87"/>
    </row>
    <row r="35" spans="2:13" s="43" customFormat="1" x14ac:dyDescent="0.3">
      <c r="B35" s="93">
        <f t="shared" si="2"/>
        <v>42761</v>
      </c>
      <c r="C35" s="84"/>
      <c r="D35" s="84"/>
      <c r="E35" s="84">
        <f t="shared" si="7"/>
        <v>0</v>
      </c>
      <c r="F35" s="84"/>
      <c r="G35" s="85">
        <f t="shared" si="8"/>
        <v>0</v>
      </c>
      <c r="H35" s="102"/>
      <c r="I35" s="74"/>
      <c r="J35" s="86"/>
      <c r="K35" s="81">
        <f t="shared" si="3"/>
        <v>0</v>
      </c>
      <c r="L35" s="82" t="str">
        <f t="shared" si="4"/>
        <v/>
      </c>
      <c r="M35" s="87"/>
    </row>
    <row r="36" spans="2:13" s="43" customFormat="1" x14ac:dyDescent="0.3">
      <c r="B36" s="93">
        <f t="shared" si="2"/>
        <v>42762</v>
      </c>
      <c r="C36" s="84"/>
      <c r="D36" s="84"/>
      <c r="E36" s="84">
        <f t="shared" si="7"/>
        <v>0</v>
      </c>
      <c r="F36" s="84"/>
      <c r="G36" s="85">
        <f t="shared" si="8"/>
        <v>0</v>
      </c>
      <c r="H36" s="102"/>
      <c r="I36" s="74"/>
      <c r="J36" s="86">
        <v>0.33333333333333331</v>
      </c>
      <c r="K36" s="81">
        <f t="shared" si="3"/>
        <v>0</v>
      </c>
      <c r="L36" s="82" t="str">
        <f t="shared" si="4"/>
        <v>-08:00</v>
      </c>
      <c r="M36" s="87"/>
    </row>
    <row r="37" spans="2:13" s="43" customFormat="1" x14ac:dyDescent="0.3">
      <c r="B37" s="93">
        <f t="shared" si="2"/>
        <v>42763</v>
      </c>
      <c r="C37" s="84"/>
      <c r="D37" s="84"/>
      <c r="E37" s="84">
        <f t="shared" si="7"/>
        <v>0</v>
      </c>
      <c r="F37" s="84"/>
      <c r="G37" s="85">
        <f t="shared" si="8"/>
        <v>0</v>
      </c>
      <c r="H37" s="102" t="s">
        <v>57</v>
      </c>
      <c r="I37" s="74"/>
      <c r="J37" s="86">
        <v>0.33333333333333331</v>
      </c>
      <c r="K37" s="81">
        <f t="shared" si="3"/>
        <v>0</v>
      </c>
      <c r="L37" s="82" t="str">
        <f t="shared" si="4"/>
        <v>-08:00</v>
      </c>
      <c r="M37" s="87"/>
    </row>
    <row r="38" spans="2:13" s="43" customFormat="1" x14ac:dyDescent="0.3">
      <c r="B38" s="93">
        <f t="shared" si="2"/>
        <v>42764</v>
      </c>
      <c r="C38" s="84"/>
      <c r="D38" s="84"/>
      <c r="E38" s="84">
        <f t="shared" si="7"/>
        <v>0</v>
      </c>
      <c r="F38" s="84"/>
      <c r="G38" s="85">
        <f t="shared" si="8"/>
        <v>0</v>
      </c>
      <c r="H38" s="102" t="s">
        <v>58</v>
      </c>
      <c r="I38" s="74"/>
      <c r="J38" s="86">
        <v>0.33333333333333331</v>
      </c>
      <c r="K38" s="81">
        <f t="shared" si="3"/>
        <v>0</v>
      </c>
      <c r="L38" s="82" t="str">
        <f t="shared" si="4"/>
        <v>-08:00</v>
      </c>
      <c r="M38" s="87"/>
    </row>
    <row r="39" spans="2:13" s="43" customFormat="1" x14ac:dyDescent="0.3">
      <c r="B39" s="93">
        <f t="shared" si="2"/>
        <v>42765</v>
      </c>
      <c r="C39" s="84"/>
      <c r="D39" s="84"/>
      <c r="E39" s="84">
        <f t="shared" ref="E39" si="9">D39-C39</f>
        <v>0</v>
      </c>
      <c r="F39" s="84"/>
      <c r="G39" s="85">
        <f t="shared" ref="G39" si="10">E39-F39</f>
        <v>0</v>
      </c>
      <c r="H39" s="102"/>
      <c r="I39" s="74"/>
      <c r="J39" s="86"/>
      <c r="K39" s="81"/>
      <c r="L39" s="82"/>
      <c r="M39" s="87"/>
    </row>
    <row r="40" spans="2:13" s="43" customFormat="1" ht="15" thickBot="1" x14ac:dyDescent="0.35">
      <c r="B40" s="93">
        <f t="shared" si="2"/>
        <v>42766</v>
      </c>
      <c r="C40" s="84"/>
      <c r="D40" s="84"/>
      <c r="E40" s="84">
        <f t="shared" si="7"/>
        <v>0</v>
      </c>
      <c r="F40" s="84"/>
      <c r="G40" s="85">
        <f t="shared" si="8"/>
        <v>0</v>
      </c>
      <c r="H40" s="105"/>
      <c r="I40" s="74"/>
      <c r="J40" s="86">
        <v>0.33333333333333331</v>
      </c>
      <c r="K40" s="81">
        <f t="shared" si="3"/>
        <v>0</v>
      </c>
      <c r="L40" s="82" t="str">
        <f t="shared" si="4"/>
        <v>-08:00</v>
      </c>
      <c r="M40" s="87"/>
    </row>
    <row r="41" spans="2:13" s="29" customFormat="1" ht="18.600000000000001" thickBot="1" x14ac:dyDescent="0.35">
      <c r="B41" s="76" t="s">
        <v>2</v>
      </c>
      <c r="C41" s="72"/>
      <c r="D41" s="72"/>
      <c r="E41" s="77"/>
      <c r="F41" s="78"/>
      <c r="G41" s="77">
        <f>SUM(G10:G40)</f>
        <v>2.0416666666666665</v>
      </c>
      <c r="H41" s="103"/>
      <c r="I41" s="74"/>
      <c r="J41" s="75">
        <f>SUM(J10:J40)</f>
        <v>4.6666666666666661</v>
      </c>
      <c r="K41" s="75">
        <f>SUM(K10:K40)</f>
        <v>2.0416666666666665</v>
      </c>
      <c r="L41" s="75" t="str">
        <f>IF(K41&lt;J41,TEXT((ABS(K41-J41)),"-[h]:mm"),IF(K41=J41,"",K41-J41))</f>
        <v>-63:00</v>
      </c>
    </row>
    <row r="42" spans="2:13" ht="15" thickBot="1" x14ac:dyDescent="0.35">
      <c r="J42" s="19"/>
    </row>
    <row r="43" spans="2:13" x14ac:dyDescent="0.3">
      <c r="G43" s="116" t="s">
        <v>48</v>
      </c>
      <c r="H43" s="117"/>
    </row>
    <row r="44" spans="2:13" ht="15" thickBot="1" x14ac:dyDescent="0.35">
      <c r="G44" s="118"/>
      <c r="H44" s="119"/>
    </row>
    <row r="45" spans="2:13" ht="64.95" customHeight="1" thickBot="1" x14ac:dyDescent="0.35">
      <c r="G45" s="107" t="s">
        <v>49</v>
      </c>
      <c r="H45" s="104"/>
    </row>
    <row r="46" spans="2:13" s="90" customFormat="1" ht="15" thickBot="1" x14ac:dyDescent="0.35">
      <c r="G46" s="89" t="s">
        <v>43</v>
      </c>
      <c r="H46" s="100" t="s">
        <v>44</v>
      </c>
      <c r="I46" s="91"/>
      <c r="J46" s="91"/>
      <c r="K46" s="91"/>
      <c r="L46" s="91"/>
    </row>
  </sheetData>
  <mergeCells count="8">
    <mergeCell ref="L7:L9"/>
    <mergeCell ref="G43:H44"/>
    <mergeCell ref="B2:G2"/>
    <mergeCell ref="B4:B5"/>
    <mergeCell ref="C4:D5"/>
    <mergeCell ref="B6:B7"/>
    <mergeCell ref="J7:J9"/>
    <mergeCell ref="K7:K9"/>
  </mergeCells>
  <pageMargins left="0.25" right="0.25" top="0.75" bottom="0.75" header="0.3" footer="0.3"/>
  <pageSetup paperSize="9" scale="62" fitToHeight="0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70C0"/>
    <outlinePr summaryBelow="0" summaryRight="0"/>
    <pageSetUpPr fitToPage="1"/>
  </sheetPr>
  <dimension ref="B2:N43"/>
  <sheetViews>
    <sheetView topLeftCell="A34" workbookViewId="0">
      <selection activeCell="D52" sqref="D52"/>
    </sheetView>
  </sheetViews>
  <sheetFormatPr defaultColWidth="9.109375" defaultRowHeight="14.4" x14ac:dyDescent="0.3"/>
  <cols>
    <col min="1" max="1" width="3.6640625" style="1" customWidth="1"/>
    <col min="2" max="2" width="14.6640625" style="1" customWidth="1"/>
    <col min="3" max="6" width="12.6640625" style="1" customWidth="1"/>
    <col min="7" max="7" width="14.6640625" style="3" customWidth="1"/>
    <col min="8" max="8" width="50.6640625" style="96" customWidth="1"/>
    <col min="9" max="9" width="3" style="3" customWidth="1"/>
    <col min="10" max="12" width="7.6640625" style="3" hidden="1" customWidth="1"/>
    <col min="13" max="13" width="9.109375" style="1"/>
    <col min="14" max="14" width="12.44140625" style="1" bestFit="1" customWidth="1"/>
    <col min="15" max="16384" width="9.109375" style="1"/>
  </cols>
  <sheetData>
    <row r="2" spans="2:14" ht="64.95" customHeight="1" x14ac:dyDescent="0.3">
      <c r="B2" s="120" t="s">
        <v>74</v>
      </c>
      <c r="C2" s="121"/>
      <c r="D2" s="121"/>
      <c r="E2" s="121"/>
      <c r="F2" s="121"/>
      <c r="G2" s="121"/>
    </row>
    <row r="3" spans="2:14" ht="15" thickBot="1" x14ac:dyDescent="0.35">
      <c r="B3" s="4"/>
      <c r="G3" s="1"/>
    </row>
    <row r="4" spans="2:14" ht="19.95" customHeight="1" thickBot="1" x14ac:dyDescent="0.35">
      <c r="B4" s="122" t="s">
        <v>5</v>
      </c>
      <c r="C4" s="124" t="s">
        <v>46</v>
      </c>
      <c r="D4" s="124"/>
      <c r="E4" s="61"/>
      <c r="F4" s="64"/>
      <c r="G4" s="68" t="s">
        <v>39</v>
      </c>
      <c r="H4" s="97" t="s">
        <v>40</v>
      </c>
    </row>
    <row r="5" spans="2:14" ht="19.95" customHeight="1" thickBot="1" x14ac:dyDescent="0.35">
      <c r="B5" s="123"/>
      <c r="C5" s="125"/>
      <c r="D5" s="125"/>
      <c r="E5" s="8"/>
      <c r="F5" s="67"/>
      <c r="G5" s="69" t="s">
        <v>41</v>
      </c>
      <c r="H5" s="98" t="s">
        <v>42</v>
      </c>
    </row>
    <row r="6" spans="2:14" ht="19.95" customHeight="1" thickBot="1" x14ac:dyDescent="0.35">
      <c r="B6" s="126" t="s">
        <v>43</v>
      </c>
      <c r="C6" s="66" t="s">
        <v>44</v>
      </c>
      <c r="D6" s="8"/>
      <c r="E6" s="8"/>
      <c r="F6" s="67"/>
      <c r="G6" s="69" t="s">
        <v>7</v>
      </c>
      <c r="H6" s="99" t="s">
        <v>52</v>
      </c>
    </row>
    <row r="7" spans="2:14" ht="19.95" customHeight="1" thickBot="1" x14ac:dyDescent="0.35">
      <c r="B7" s="123"/>
      <c r="C7" s="62" t="s">
        <v>45</v>
      </c>
      <c r="D7" s="63"/>
      <c r="E7" s="63"/>
      <c r="F7" s="65"/>
      <c r="G7" s="70" t="s">
        <v>36</v>
      </c>
      <c r="H7" s="100" t="s">
        <v>56</v>
      </c>
      <c r="J7" s="113" t="s">
        <v>16</v>
      </c>
      <c r="K7" s="113" t="s">
        <v>17</v>
      </c>
      <c r="L7" s="113" t="s">
        <v>18</v>
      </c>
    </row>
    <row r="8" spans="2:14" ht="15" thickBot="1" x14ac:dyDescent="0.35">
      <c r="J8" s="114"/>
      <c r="K8" s="114"/>
      <c r="L8" s="114"/>
    </row>
    <row r="9" spans="2:14" ht="29.4" thickBot="1" x14ac:dyDescent="0.35">
      <c r="B9" s="71" t="s">
        <v>1</v>
      </c>
      <c r="C9" s="72" t="s">
        <v>12</v>
      </c>
      <c r="D9" s="72" t="s">
        <v>13</v>
      </c>
      <c r="E9" s="72" t="s">
        <v>0</v>
      </c>
      <c r="F9" s="72" t="s">
        <v>15</v>
      </c>
      <c r="G9" s="73" t="s">
        <v>37</v>
      </c>
      <c r="H9" s="95" t="s">
        <v>47</v>
      </c>
      <c r="J9" s="115"/>
      <c r="K9" s="115"/>
      <c r="L9" s="115"/>
    </row>
    <row r="10" spans="2:14" s="43" customFormat="1" x14ac:dyDescent="0.3">
      <c r="B10" s="92">
        <v>42767</v>
      </c>
      <c r="C10" s="84"/>
      <c r="D10" s="84"/>
      <c r="E10" s="84">
        <f t="shared" ref="E10:E27" si="0">D10-C10</f>
        <v>0</v>
      </c>
      <c r="F10" s="84"/>
      <c r="G10" s="79">
        <f t="shared" ref="G10:G26" si="1">E10-F10</f>
        <v>0</v>
      </c>
      <c r="H10" s="101"/>
      <c r="I10" s="74"/>
      <c r="J10" s="80"/>
      <c r="K10" s="81">
        <f>G10</f>
        <v>0</v>
      </c>
      <c r="L10" s="82" t="str">
        <f>IF(K10&lt;J10,TEXT((ABS(K10-J10)),"-hh:mm"),IF(K10=J10,"",K10-J10))</f>
        <v/>
      </c>
    </row>
    <row r="11" spans="2:14" s="43" customFormat="1" x14ac:dyDescent="0.3">
      <c r="B11" s="93">
        <f t="shared" ref="B11:B37" si="2">B10+1</f>
        <v>42768</v>
      </c>
      <c r="C11" s="84"/>
      <c r="D11" s="84"/>
      <c r="E11" s="84">
        <f t="shared" si="0"/>
        <v>0</v>
      </c>
      <c r="F11" s="84"/>
      <c r="G11" s="85">
        <f t="shared" si="1"/>
        <v>0</v>
      </c>
      <c r="H11" s="102"/>
      <c r="I11" s="74"/>
      <c r="J11" s="86"/>
      <c r="K11" s="81">
        <f t="shared" ref="K11:K37" si="3">G11</f>
        <v>0</v>
      </c>
      <c r="L11" s="82" t="str">
        <f t="shared" ref="L11:L37" si="4">IF(K11&lt;J11,TEXT((ABS(K11-J11)),"-hh:mm"),IF(K11=J11,"",K11-J11))</f>
        <v/>
      </c>
    </row>
    <row r="12" spans="2:14" s="43" customFormat="1" x14ac:dyDescent="0.3">
      <c r="B12" s="93">
        <f t="shared" si="2"/>
        <v>42769</v>
      </c>
      <c r="C12" s="83"/>
      <c r="D12" s="83"/>
      <c r="E12" s="84">
        <f t="shared" si="0"/>
        <v>0</v>
      </c>
      <c r="F12" s="83"/>
      <c r="G12" s="85">
        <f t="shared" si="1"/>
        <v>0</v>
      </c>
      <c r="H12" s="102"/>
      <c r="I12" s="74"/>
      <c r="J12" s="86"/>
      <c r="K12" s="81">
        <f t="shared" si="3"/>
        <v>0</v>
      </c>
      <c r="L12" s="82" t="str">
        <f t="shared" si="4"/>
        <v/>
      </c>
      <c r="N12" s="94"/>
    </row>
    <row r="13" spans="2:14" s="43" customFormat="1" x14ac:dyDescent="0.3">
      <c r="B13" s="93">
        <f t="shared" si="2"/>
        <v>42770</v>
      </c>
      <c r="C13" s="84"/>
      <c r="D13" s="84"/>
      <c r="E13" s="84">
        <f t="shared" si="0"/>
        <v>0</v>
      </c>
      <c r="F13" s="84"/>
      <c r="G13" s="85">
        <f t="shared" si="1"/>
        <v>0</v>
      </c>
      <c r="H13" s="102"/>
      <c r="I13" s="74"/>
      <c r="J13" s="86"/>
      <c r="K13" s="81">
        <f t="shared" si="3"/>
        <v>0</v>
      </c>
      <c r="L13" s="82" t="str">
        <f t="shared" si="4"/>
        <v/>
      </c>
    </row>
    <row r="14" spans="2:14" s="43" customFormat="1" x14ac:dyDescent="0.3">
      <c r="B14" s="93">
        <f t="shared" si="2"/>
        <v>42771</v>
      </c>
      <c r="C14" s="84"/>
      <c r="D14" s="84"/>
      <c r="E14" s="84">
        <f t="shared" si="0"/>
        <v>0</v>
      </c>
      <c r="F14" s="84"/>
      <c r="G14" s="85">
        <f t="shared" si="1"/>
        <v>0</v>
      </c>
      <c r="H14" s="102"/>
      <c r="I14" s="74"/>
      <c r="J14" s="86"/>
      <c r="K14" s="81">
        <f t="shared" si="3"/>
        <v>0</v>
      </c>
      <c r="L14" s="82" t="str">
        <f t="shared" si="4"/>
        <v/>
      </c>
    </row>
    <row r="15" spans="2:14" s="43" customFormat="1" x14ac:dyDescent="0.3">
      <c r="B15" s="93">
        <f t="shared" si="2"/>
        <v>42772</v>
      </c>
      <c r="C15" s="84"/>
      <c r="D15" s="84"/>
      <c r="E15" s="84">
        <f t="shared" si="0"/>
        <v>0</v>
      </c>
      <c r="F15" s="84"/>
      <c r="G15" s="85">
        <f t="shared" si="1"/>
        <v>0</v>
      </c>
      <c r="H15" s="102"/>
      <c r="I15" s="74"/>
      <c r="J15" s="86">
        <v>0.33333333333333331</v>
      </c>
      <c r="K15" s="81">
        <f t="shared" si="3"/>
        <v>0</v>
      </c>
      <c r="L15" s="82" t="str">
        <f t="shared" si="4"/>
        <v>-08:00</v>
      </c>
      <c r="M15" s="87"/>
    </row>
    <row r="16" spans="2:14" s="43" customFormat="1" x14ac:dyDescent="0.3">
      <c r="B16" s="93">
        <f t="shared" si="2"/>
        <v>42773</v>
      </c>
      <c r="C16" s="84"/>
      <c r="D16" s="84"/>
      <c r="E16" s="84">
        <f t="shared" si="0"/>
        <v>0</v>
      </c>
      <c r="F16" s="84"/>
      <c r="G16" s="85">
        <f t="shared" si="1"/>
        <v>0</v>
      </c>
      <c r="H16" s="102"/>
      <c r="I16" s="74"/>
      <c r="J16" s="86">
        <v>0.33333333333333331</v>
      </c>
      <c r="K16" s="81">
        <f t="shared" si="3"/>
        <v>0</v>
      </c>
      <c r="L16" s="82" t="str">
        <f t="shared" si="4"/>
        <v>-08:00</v>
      </c>
      <c r="M16" s="87"/>
    </row>
    <row r="17" spans="2:14" s="43" customFormat="1" x14ac:dyDescent="0.3">
      <c r="B17" s="93">
        <f t="shared" si="2"/>
        <v>42774</v>
      </c>
      <c r="C17" s="84"/>
      <c r="D17" s="84"/>
      <c r="E17" s="84">
        <f t="shared" si="0"/>
        <v>0</v>
      </c>
      <c r="F17" s="84"/>
      <c r="G17" s="85">
        <f t="shared" si="1"/>
        <v>0</v>
      </c>
      <c r="H17" s="102"/>
      <c r="I17" s="74"/>
      <c r="J17" s="86"/>
      <c r="K17" s="81">
        <f t="shared" si="3"/>
        <v>0</v>
      </c>
      <c r="L17" s="82" t="str">
        <f t="shared" si="4"/>
        <v/>
      </c>
      <c r="M17" s="87"/>
    </row>
    <row r="18" spans="2:14" s="43" customFormat="1" x14ac:dyDescent="0.3">
      <c r="B18" s="93">
        <f t="shared" si="2"/>
        <v>42775</v>
      </c>
      <c r="C18" s="84"/>
      <c r="D18" s="84"/>
      <c r="E18" s="84">
        <f t="shared" si="0"/>
        <v>0</v>
      </c>
      <c r="F18" s="84"/>
      <c r="G18" s="85">
        <f t="shared" si="1"/>
        <v>0</v>
      </c>
      <c r="H18" s="102"/>
      <c r="I18" s="74"/>
      <c r="J18" s="86"/>
      <c r="K18" s="81">
        <f t="shared" si="3"/>
        <v>0</v>
      </c>
      <c r="L18" s="82" t="str">
        <f t="shared" si="4"/>
        <v/>
      </c>
      <c r="M18" s="87"/>
    </row>
    <row r="19" spans="2:14" s="43" customFormat="1" x14ac:dyDescent="0.3">
      <c r="B19" s="93">
        <f t="shared" si="2"/>
        <v>42776</v>
      </c>
      <c r="C19" s="84"/>
      <c r="D19" s="84"/>
      <c r="E19" s="84">
        <f t="shared" si="0"/>
        <v>0</v>
      </c>
      <c r="F19" s="84"/>
      <c r="G19" s="85">
        <f t="shared" si="1"/>
        <v>0</v>
      </c>
      <c r="H19" s="102"/>
      <c r="I19" s="74"/>
      <c r="J19" s="86"/>
      <c r="K19" s="81">
        <f t="shared" si="3"/>
        <v>0</v>
      </c>
      <c r="L19" s="82" t="str">
        <f t="shared" si="4"/>
        <v/>
      </c>
      <c r="M19" s="87"/>
    </row>
    <row r="20" spans="2:14" s="43" customFormat="1" x14ac:dyDescent="0.3">
      <c r="B20" s="93">
        <f t="shared" si="2"/>
        <v>42777</v>
      </c>
      <c r="C20" s="84"/>
      <c r="D20" s="84"/>
      <c r="E20" s="84">
        <f t="shared" si="0"/>
        <v>0</v>
      </c>
      <c r="F20" s="84"/>
      <c r="G20" s="85">
        <f t="shared" si="1"/>
        <v>0</v>
      </c>
      <c r="H20" s="102"/>
      <c r="I20" s="74"/>
      <c r="J20" s="86"/>
      <c r="K20" s="81">
        <f t="shared" si="3"/>
        <v>0</v>
      </c>
      <c r="L20" s="82" t="str">
        <f t="shared" si="4"/>
        <v/>
      </c>
      <c r="M20" s="87"/>
    </row>
    <row r="21" spans="2:14" s="43" customFormat="1" x14ac:dyDescent="0.3">
      <c r="B21" s="93">
        <f t="shared" si="2"/>
        <v>42778</v>
      </c>
      <c r="C21" s="84"/>
      <c r="D21" s="84"/>
      <c r="E21" s="84">
        <f t="shared" si="0"/>
        <v>0</v>
      </c>
      <c r="F21" s="84"/>
      <c r="G21" s="85">
        <f t="shared" si="1"/>
        <v>0</v>
      </c>
      <c r="H21" s="102"/>
      <c r="I21" s="74"/>
      <c r="J21" s="86"/>
      <c r="K21" s="81">
        <f t="shared" si="3"/>
        <v>0</v>
      </c>
      <c r="L21" s="82" t="str">
        <f t="shared" si="4"/>
        <v/>
      </c>
      <c r="M21" s="87"/>
    </row>
    <row r="22" spans="2:14" s="43" customFormat="1" x14ac:dyDescent="0.3">
      <c r="B22" s="93">
        <f t="shared" si="2"/>
        <v>42779</v>
      </c>
      <c r="C22" s="84"/>
      <c r="D22" s="84"/>
      <c r="E22" s="84">
        <f t="shared" si="0"/>
        <v>0</v>
      </c>
      <c r="F22" s="84"/>
      <c r="G22" s="85">
        <f t="shared" si="1"/>
        <v>0</v>
      </c>
      <c r="H22" s="102"/>
      <c r="I22" s="74"/>
      <c r="J22" s="86">
        <v>0.33333333333333331</v>
      </c>
      <c r="K22" s="81">
        <f t="shared" si="3"/>
        <v>0</v>
      </c>
      <c r="L22" s="82" t="str">
        <f t="shared" si="4"/>
        <v>-08:00</v>
      </c>
      <c r="M22" s="87"/>
      <c r="N22" s="88"/>
    </row>
    <row r="23" spans="2:14" s="43" customFormat="1" x14ac:dyDescent="0.3">
      <c r="B23" s="93">
        <f t="shared" si="2"/>
        <v>42780</v>
      </c>
      <c r="C23" s="84"/>
      <c r="D23" s="84"/>
      <c r="E23" s="84">
        <f t="shared" si="0"/>
        <v>0</v>
      </c>
      <c r="F23" s="84"/>
      <c r="G23" s="85">
        <f t="shared" si="1"/>
        <v>0</v>
      </c>
      <c r="H23" s="102"/>
      <c r="I23" s="74"/>
      <c r="J23" s="86">
        <v>0.33333333333333331</v>
      </c>
      <c r="K23" s="81">
        <f t="shared" si="3"/>
        <v>0</v>
      </c>
      <c r="L23" s="82" t="str">
        <f t="shared" si="4"/>
        <v>-08:00</v>
      </c>
      <c r="M23" s="87"/>
      <c r="N23" s="88"/>
    </row>
    <row r="24" spans="2:14" s="43" customFormat="1" x14ac:dyDescent="0.3">
      <c r="B24" s="93">
        <f t="shared" si="2"/>
        <v>42781</v>
      </c>
      <c r="C24" s="84"/>
      <c r="D24" s="84"/>
      <c r="E24" s="84">
        <f t="shared" si="0"/>
        <v>0</v>
      </c>
      <c r="F24" s="84"/>
      <c r="G24" s="85">
        <f t="shared" si="1"/>
        <v>0</v>
      </c>
      <c r="H24" s="102"/>
      <c r="I24" s="74"/>
      <c r="J24" s="86">
        <v>0.33333333333333331</v>
      </c>
      <c r="K24" s="81">
        <f t="shared" si="3"/>
        <v>0</v>
      </c>
      <c r="L24" s="82" t="str">
        <f t="shared" si="4"/>
        <v>-08:00</v>
      </c>
      <c r="M24" s="87"/>
      <c r="N24" s="88"/>
    </row>
    <row r="25" spans="2:14" s="43" customFormat="1" x14ac:dyDescent="0.3">
      <c r="B25" s="93">
        <f t="shared" si="2"/>
        <v>42782</v>
      </c>
      <c r="C25" s="84"/>
      <c r="D25" s="84"/>
      <c r="E25" s="84">
        <f t="shared" si="0"/>
        <v>0</v>
      </c>
      <c r="F25" s="84"/>
      <c r="G25" s="85">
        <f t="shared" si="1"/>
        <v>0</v>
      </c>
      <c r="H25" s="102"/>
      <c r="I25" s="74"/>
      <c r="J25" s="86">
        <v>0.33333333333333331</v>
      </c>
      <c r="K25" s="81">
        <f t="shared" si="3"/>
        <v>0</v>
      </c>
      <c r="L25" s="82" t="str">
        <f t="shared" si="4"/>
        <v>-08:00</v>
      </c>
      <c r="M25" s="87"/>
      <c r="N25" s="88"/>
    </row>
    <row r="26" spans="2:14" s="43" customFormat="1" x14ac:dyDescent="0.3">
      <c r="B26" s="93">
        <f t="shared" si="2"/>
        <v>42783</v>
      </c>
      <c r="C26" s="84"/>
      <c r="D26" s="84"/>
      <c r="E26" s="84">
        <f t="shared" si="0"/>
        <v>0</v>
      </c>
      <c r="F26" s="84"/>
      <c r="G26" s="85">
        <f t="shared" si="1"/>
        <v>0</v>
      </c>
      <c r="H26" s="102"/>
      <c r="I26" s="74"/>
      <c r="J26" s="86"/>
      <c r="K26" s="81">
        <f t="shared" si="3"/>
        <v>0</v>
      </c>
      <c r="L26" s="82" t="str">
        <f t="shared" si="4"/>
        <v/>
      </c>
      <c r="M26" s="87"/>
      <c r="N26" s="88"/>
    </row>
    <row r="27" spans="2:14" s="43" customFormat="1" x14ac:dyDescent="0.3">
      <c r="B27" s="93">
        <f t="shared" si="2"/>
        <v>42784</v>
      </c>
      <c r="C27" s="84"/>
      <c r="D27" s="84"/>
      <c r="E27" s="84">
        <f t="shared" si="0"/>
        <v>0</v>
      </c>
      <c r="F27" s="84"/>
      <c r="G27" s="85">
        <f>E27-F27</f>
        <v>0</v>
      </c>
      <c r="H27" s="102"/>
      <c r="I27" s="74"/>
      <c r="J27" s="86"/>
      <c r="K27" s="81">
        <f t="shared" si="3"/>
        <v>0</v>
      </c>
      <c r="L27" s="82" t="str">
        <f t="shared" si="4"/>
        <v/>
      </c>
      <c r="M27" s="87"/>
      <c r="N27" s="88"/>
    </row>
    <row r="28" spans="2:14" s="43" customFormat="1" x14ac:dyDescent="0.3">
      <c r="B28" s="93">
        <f t="shared" si="2"/>
        <v>42785</v>
      </c>
      <c r="C28" s="84"/>
      <c r="D28" s="84"/>
      <c r="E28" s="84">
        <f>D28-C28</f>
        <v>0</v>
      </c>
      <c r="F28" s="84"/>
      <c r="G28" s="85">
        <f>E28-F28</f>
        <v>0</v>
      </c>
      <c r="H28" s="102"/>
      <c r="I28" s="74"/>
      <c r="J28" s="86"/>
      <c r="K28" s="81">
        <f t="shared" si="3"/>
        <v>0</v>
      </c>
      <c r="L28" s="82" t="str">
        <f t="shared" si="4"/>
        <v/>
      </c>
      <c r="M28" s="87"/>
      <c r="N28" s="88"/>
    </row>
    <row r="29" spans="2:14" s="43" customFormat="1" x14ac:dyDescent="0.3">
      <c r="B29" s="93">
        <f t="shared" si="2"/>
        <v>42786</v>
      </c>
      <c r="C29" s="84"/>
      <c r="D29" s="84"/>
      <c r="E29" s="84">
        <f t="shared" ref="E29:E37" si="5">D29-C29</f>
        <v>0</v>
      </c>
      <c r="F29" s="84"/>
      <c r="G29" s="85">
        <f t="shared" ref="G29:G37" si="6">E29-F29</f>
        <v>0</v>
      </c>
      <c r="H29" s="102"/>
      <c r="I29" s="74"/>
      <c r="J29" s="86">
        <v>0.33333333333333331</v>
      </c>
      <c r="K29" s="81">
        <f t="shared" si="3"/>
        <v>0</v>
      </c>
      <c r="L29" s="82" t="str">
        <f t="shared" si="4"/>
        <v>-08:00</v>
      </c>
      <c r="M29" s="87"/>
      <c r="N29" s="88"/>
    </row>
    <row r="30" spans="2:14" s="43" customFormat="1" x14ac:dyDescent="0.3">
      <c r="B30" s="93">
        <f t="shared" si="2"/>
        <v>42787</v>
      </c>
      <c r="C30" s="84"/>
      <c r="D30" s="84"/>
      <c r="E30" s="84">
        <f t="shared" si="5"/>
        <v>0</v>
      </c>
      <c r="F30" s="84"/>
      <c r="G30" s="85">
        <f t="shared" si="6"/>
        <v>0</v>
      </c>
      <c r="H30" s="102"/>
      <c r="I30" s="74"/>
      <c r="J30" s="86">
        <v>0.33333333333333331</v>
      </c>
      <c r="K30" s="81">
        <f t="shared" si="3"/>
        <v>0</v>
      </c>
      <c r="L30" s="82" t="str">
        <f t="shared" si="4"/>
        <v>-08:00</v>
      </c>
      <c r="M30" s="87"/>
      <c r="N30" s="88"/>
    </row>
    <row r="31" spans="2:14" s="43" customFormat="1" x14ac:dyDescent="0.3">
      <c r="B31" s="93">
        <f t="shared" si="2"/>
        <v>42788</v>
      </c>
      <c r="C31" s="84"/>
      <c r="D31" s="84"/>
      <c r="E31" s="84">
        <f t="shared" si="5"/>
        <v>0</v>
      </c>
      <c r="F31" s="84"/>
      <c r="G31" s="85">
        <f t="shared" si="6"/>
        <v>0</v>
      </c>
      <c r="H31" s="102"/>
      <c r="I31" s="74"/>
      <c r="J31" s="86">
        <v>0.33333333333333331</v>
      </c>
      <c r="K31" s="81">
        <f t="shared" si="3"/>
        <v>0</v>
      </c>
      <c r="L31" s="82" t="str">
        <f t="shared" si="4"/>
        <v>-08:00</v>
      </c>
      <c r="M31" s="87"/>
    </row>
    <row r="32" spans="2:14" s="43" customFormat="1" x14ac:dyDescent="0.3">
      <c r="B32" s="93">
        <f t="shared" si="2"/>
        <v>42789</v>
      </c>
      <c r="C32" s="84"/>
      <c r="D32" s="84"/>
      <c r="E32" s="84">
        <f t="shared" si="5"/>
        <v>0</v>
      </c>
      <c r="F32" s="84"/>
      <c r="G32" s="85">
        <f t="shared" si="6"/>
        <v>0</v>
      </c>
      <c r="H32" s="102"/>
      <c r="I32" s="74"/>
      <c r="J32" s="86">
        <v>0.33333333333333331</v>
      </c>
      <c r="K32" s="81">
        <f t="shared" si="3"/>
        <v>0</v>
      </c>
      <c r="L32" s="82" t="str">
        <f t="shared" si="4"/>
        <v>-08:00</v>
      </c>
      <c r="M32" s="87"/>
    </row>
    <row r="33" spans="2:13" s="43" customFormat="1" x14ac:dyDescent="0.3">
      <c r="B33" s="93">
        <f t="shared" si="2"/>
        <v>42790</v>
      </c>
      <c r="C33" s="84"/>
      <c r="D33" s="84"/>
      <c r="E33" s="84">
        <f t="shared" si="5"/>
        <v>0</v>
      </c>
      <c r="F33" s="84"/>
      <c r="G33" s="85">
        <f t="shared" si="6"/>
        <v>0</v>
      </c>
      <c r="H33" s="102"/>
      <c r="I33" s="74"/>
      <c r="J33" s="86">
        <v>0</v>
      </c>
      <c r="K33" s="81">
        <f t="shared" si="3"/>
        <v>0</v>
      </c>
      <c r="L33" s="82" t="str">
        <f t="shared" si="4"/>
        <v/>
      </c>
      <c r="M33" s="87"/>
    </row>
    <row r="34" spans="2:13" s="43" customFormat="1" x14ac:dyDescent="0.3">
      <c r="B34" s="93">
        <f t="shared" si="2"/>
        <v>42791</v>
      </c>
      <c r="C34" s="84"/>
      <c r="D34" s="84"/>
      <c r="E34" s="84">
        <f t="shared" si="5"/>
        <v>0</v>
      </c>
      <c r="F34" s="84"/>
      <c r="G34" s="85">
        <f t="shared" si="6"/>
        <v>0</v>
      </c>
      <c r="H34" s="102"/>
      <c r="I34" s="74"/>
      <c r="J34" s="86"/>
      <c r="K34" s="81">
        <f t="shared" si="3"/>
        <v>0</v>
      </c>
      <c r="L34" s="82" t="str">
        <f t="shared" si="4"/>
        <v/>
      </c>
      <c r="M34" s="87"/>
    </row>
    <row r="35" spans="2:13" s="43" customFormat="1" x14ac:dyDescent="0.3">
      <c r="B35" s="93">
        <f t="shared" si="2"/>
        <v>42792</v>
      </c>
      <c r="C35" s="84"/>
      <c r="D35" s="84"/>
      <c r="E35" s="84">
        <f t="shared" si="5"/>
        <v>0</v>
      </c>
      <c r="F35" s="84"/>
      <c r="G35" s="85">
        <f t="shared" si="6"/>
        <v>0</v>
      </c>
      <c r="H35" s="102"/>
      <c r="I35" s="74"/>
      <c r="J35" s="86"/>
      <c r="K35" s="81">
        <f t="shared" si="3"/>
        <v>0</v>
      </c>
      <c r="L35" s="82" t="str">
        <f t="shared" si="4"/>
        <v/>
      </c>
      <c r="M35" s="87"/>
    </row>
    <row r="36" spans="2:13" s="43" customFormat="1" x14ac:dyDescent="0.3">
      <c r="B36" s="93">
        <f t="shared" si="2"/>
        <v>42793</v>
      </c>
      <c r="C36" s="84"/>
      <c r="D36" s="84"/>
      <c r="E36" s="84">
        <f t="shared" si="5"/>
        <v>0</v>
      </c>
      <c r="F36" s="84"/>
      <c r="G36" s="85">
        <f t="shared" si="6"/>
        <v>0</v>
      </c>
      <c r="H36" s="102"/>
      <c r="I36" s="74"/>
      <c r="J36" s="86">
        <v>0.33333333333333331</v>
      </c>
      <c r="K36" s="81">
        <f t="shared" si="3"/>
        <v>0</v>
      </c>
      <c r="L36" s="82" t="str">
        <f t="shared" si="4"/>
        <v>-08:00</v>
      </c>
      <c r="M36" s="87"/>
    </row>
    <row r="37" spans="2:13" s="43" customFormat="1" ht="15" thickBot="1" x14ac:dyDescent="0.35">
      <c r="B37" s="93">
        <f t="shared" si="2"/>
        <v>42794</v>
      </c>
      <c r="C37" s="84"/>
      <c r="D37" s="84"/>
      <c r="E37" s="84">
        <f t="shared" si="5"/>
        <v>0</v>
      </c>
      <c r="F37" s="84"/>
      <c r="G37" s="85">
        <f t="shared" si="6"/>
        <v>0</v>
      </c>
      <c r="H37" s="102"/>
      <c r="I37" s="74"/>
      <c r="J37" s="86">
        <v>0.33333333333333331</v>
      </c>
      <c r="K37" s="81">
        <f t="shared" si="3"/>
        <v>0</v>
      </c>
      <c r="L37" s="82" t="str">
        <f t="shared" si="4"/>
        <v>-08:00</v>
      </c>
      <c r="M37" s="87"/>
    </row>
    <row r="38" spans="2:13" s="29" customFormat="1" ht="18.600000000000001" thickBot="1" x14ac:dyDescent="0.35">
      <c r="B38" s="76" t="s">
        <v>2</v>
      </c>
      <c r="C38" s="72"/>
      <c r="D38" s="72"/>
      <c r="E38" s="77"/>
      <c r="F38" s="78"/>
      <c r="G38" s="77">
        <f>SUM(G10:G37)</f>
        <v>0</v>
      </c>
      <c r="H38" s="103"/>
      <c r="I38" s="74"/>
      <c r="J38" s="75">
        <f>SUM(J10:J37)</f>
        <v>4</v>
      </c>
      <c r="K38" s="75">
        <f>SUM(K10:K37)</f>
        <v>0</v>
      </c>
      <c r="L38" s="75" t="str">
        <f>IF(K38&lt;J38,TEXT((ABS(K38-J38)),"-[h]:mm"),IF(K38=J38,"",K38-J38))</f>
        <v>-96:00</v>
      </c>
    </row>
    <row r="39" spans="2:13" ht="15" thickBot="1" x14ac:dyDescent="0.35">
      <c r="J39" s="19"/>
    </row>
    <row r="40" spans="2:13" x14ac:dyDescent="0.3">
      <c r="G40" s="116" t="s">
        <v>48</v>
      </c>
      <c r="H40" s="117"/>
    </row>
    <row r="41" spans="2:13" ht="15" thickBot="1" x14ac:dyDescent="0.35">
      <c r="G41" s="118"/>
      <c r="H41" s="119"/>
    </row>
    <row r="42" spans="2:13" ht="64.95" customHeight="1" thickBot="1" x14ac:dyDescent="0.35">
      <c r="G42" s="108" t="s">
        <v>49</v>
      </c>
      <c r="H42" s="104"/>
    </row>
    <row r="43" spans="2:13" s="90" customFormat="1" ht="15" thickBot="1" x14ac:dyDescent="0.35">
      <c r="G43" s="89" t="s">
        <v>43</v>
      </c>
      <c r="H43" s="100" t="s">
        <v>44</v>
      </c>
      <c r="I43" s="91"/>
      <c r="J43" s="91"/>
      <c r="K43" s="91"/>
      <c r="L43" s="91"/>
    </row>
  </sheetData>
  <mergeCells count="8">
    <mergeCell ref="L7:L9"/>
    <mergeCell ref="G40:H41"/>
    <mergeCell ref="B2:G2"/>
    <mergeCell ref="B4:B5"/>
    <mergeCell ref="C4:D5"/>
    <mergeCell ref="B6:B7"/>
    <mergeCell ref="J7:J9"/>
    <mergeCell ref="K7:K9"/>
  </mergeCells>
  <pageMargins left="0.25" right="0.25" top="0.75" bottom="0.75" header="0.3" footer="0.3"/>
  <pageSetup paperSize="9" scale="62" fitToHeight="0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70C0"/>
    <outlinePr summaryBelow="0" summaryRight="0"/>
    <pageSetUpPr fitToPage="1"/>
  </sheetPr>
  <dimension ref="B2:N46"/>
  <sheetViews>
    <sheetView topLeftCell="A31" workbookViewId="0">
      <selection activeCell="C51" sqref="C51"/>
    </sheetView>
  </sheetViews>
  <sheetFormatPr defaultColWidth="9.109375" defaultRowHeight="14.4" x14ac:dyDescent="0.3"/>
  <cols>
    <col min="1" max="1" width="3.6640625" style="1" customWidth="1"/>
    <col min="2" max="2" width="14.6640625" style="1" customWidth="1"/>
    <col min="3" max="6" width="12.6640625" style="1" customWidth="1"/>
    <col min="7" max="7" width="14.6640625" style="3" customWidth="1"/>
    <col min="8" max="8" width="50.6640625" style="96" customWidth="1"/>
    <col min="9" max="9" width="3" style="3" customWidth="1"/>
    <col min="10" max="12" width="7.6640625" style="3" hidden="1" customWidth="1"/>
    <col min="13" max="13" width="9.109375" style="1"/>
    <col min="14" max="14" width="12.44140625" style="1" bestFit="1" customWidth="1"/>
    <col min="15" max="16384" width="9.109375" style="1"/>
  </cols>
  <sheetData>
    <row r="2" spans="2:14" ht="64.95" customHeight="1" x14ac:dyDescent="0.3">
      <c r="B2" s="120" t="s">
        <v>74</v>
      </c>
      <c r="C2" s="121"/>
      <c r="D2" s="121"/>
      <c r="E2" s="121"/>
      <c r="F2" s="121"/>
      <c r="G2" s="121"/>
    </row>
    <row r="3" spans="2:14" ht="15" thickBot="1" x14ac:dyDescent="0.35">
      <c r="B3" s="4"/>
      <c r="G3" s="1"/>
    </row>
    <row r="4" spans="2:14" ht="19.95" customHeight="1" thickBot="1" x14ac:dyDescent="0.35">
      <c r="B4" s="122" t="s">
        <v>5</v>
      </c>
      <c r="C4" s="124" t="s">
        <v>46</v>
      </c>
      <c r="D4" s="124"/>
      <c r="E4" s="61"/>
      <c r="F4" s="64"/>
      <c r="G4" s="68" t="s">
        <v>39</v>
      </c>
      <c r="H4" s="97" t="s">
        <v>40</v>
      </c>
    </row>
    <row r="5" spans="2:14" ht="19.95" customHeight="1" thickBot="1" x14ac:dyDescent="0.35">
      <c r="B5" s="123"/>
      <c r="C5" s="125"/>
      <c r="D5" s="125"/>
      <c r="E5" s="8"/>
      <c r="F5" s="67"/>
      <c r="G5" s="69" t="s">
        <v>41</v>
      </c>
      <c r="H5" s="98" t="s">
        <v>42</v>
      </c>
    </row>
    <row r="6" spans="2:14" ht="19.95" customHeight="1" thickBot="1" x14ac:dyDescent="0.35">
      <c r="B6" s="126" t="s">
        <v>43</v>
      </c>
      <c r="C6" s="66" t="s">
        <v>44</v>
      </c>
      <c r="D6" s="8"/>
      <c r="E6" s="8"/>
      <c r="F6" s="67"/>
      <c r="G6" s="69" t="s">
        <v>7</v>
      </c>
      <c r="H6" s="99" t="s">
        <v>53</v>
      </c>
    </row>
    <row r="7" spans="2:14" ht="19.95" customHeight="1" thickBot="1" x14ac:dyDescent="0.35">
      <c r="B7" s="123"/>
      <c r="C7" s="62" t="s">
        <v>45</v>
      </c>
      <c r="D7" s="63"/>
      <c r="E7" s="63"/>
      <c r="F7" s="65"/>
      <c r="G7" s="70" t="s">
        <v>36</v>
      </c>
      <c r="H7" s="100" t="s">
        <v>56</v>
      </c>
      <c r="J7" s="113" t="s">
        <v>16</v>
      </c>
      <c r="K7" s="113" t="s">
        <v>17</v>
      </c>
      <c r="L7" s="113" t="s">
        <v>18</v>
      </c>
    </row>
    <row r="8" spans="2:14" ht="15" thickBot="1" x14ac:dyDescent="0.35">
      <c r="J8" s="114"/>
      <c r="K8" s="114"/>
      <c r="L8" s="114"/>
    </row>
    <row r="9" spans="2:14" ht="29.4" thickBot="1" x14ac:dyDescent="0.35">
      <c r="B9" s="71" t="s">
        <v>1</v>
      </c>
      <c r="C9" s="72" t="s">
        <v>12</v>
      </c>
      <c r="D9" s="72" t="s">
        <v>13</v>
      </c>
      <c r="E9" s="72" t="s">
        <v>0</v>
      </c>
      <c r="F9" s="72" t="s">
        <v>15</v>
      </c>
      <c r="G9" s="73" t="s">
        <v>37</v>
      </c>
      <c r="H9" s="95" t="s">
        <v>47</v>
      </c>
      <c r="J9" s="115"/>
      <c r="K9" s="115"/>
      <c r="L9" s="115"/>
    </row>
    <row r="10" spans="2:14" s="43" customFormat="1" x14ac:dyDescent="0.3">
      <c r="B10" s="92">
        <v>42795</v>
      </c>
      <c r="C10" s="84"/>
      <c r="D10" s="84"/>
      <c r="E10" s="84">
        <f t="shared" ref="E10:E27" si="0">D10-C10</f>
        <v>0</v>
      </c>
      <c r="F10" s="84"/>
      <c r="G10" s="79">
        <f t="shared" ref="G10:G26" si="1">E10-F10</f>
        <v>0</v>
      </c>
      <c r="H10" s="101"/>
      <c r="I10" s="74"/>
      <c r="J10" s="80"/>
      <c r="K10" s="81">
        <f>G10</f>
        <v>0</v>
      </c>
      <c r="L10" s="82" t="str">
        <f>IF(K10&lt;J10,TEXT((ABS(K10-J10)),"-hh:mm"),IF(K10=J10,"",K10-J10))</f>
        <v/>
      </c>
    </row>
    <row r="11" spans="2:14" s="43" customFormat="1" x14ac:dyDescent="0.3">
      <c r="B11" s="93">
        <f t="shared" ref="B11:B40" si="2">B10+1</f>
        <v>42796</v>
      </c>
      <c r="C11" s="84"/>
      <c r="D11" s="84"/>
      <c r="E11" s="84">
        <f t="shared" si="0"/>
        <v>0</v>
      </c>
      <c r="F11" s="84"/>
      <c r="G11" s="85">
        <f t="shared" si="1"/>
        <v>0</v>
      </c>
      <c r="H11" s="102"/>
      <c r="I11" s="74"/>
      <c r="J11" s="86"/>
      <c r="K11" s="81">
        <f t="shared" ref="K11:K40" si="3">G11</f>
        <v>0</v>
      </c>
      <c r="L11" s="82" t="str">
        <f t="shared" ref="L11:L40" si="4">IF(K11&lt;J11,TEXT((ABS(K11-J11)),"-hh:mm"),IF(K11=J11,"",K11-J11))</f>
        <v/>
      </c>
    </row>
    <row r="12" spans="2:14" s="43" customFormat="1" x14ac:dyDescent="0.3">
      <c r="B12" s="93">
        <f t="shared" si="2"/>
        <v>42797</v>
      </c>
      <c r="C12" s="83"/>
      <c r="D12" s="83"/>
      <c r="E12" s="84">
        <f t="shared" si="0"/>
        <v>0</v>
      </c>
      <c r="F12" s="83"/>
      <c r="G12" s="85">
        <f t="shared" si="1"/>
        <v>0</v>
      </c>
      <c r="H12" s="102"/>
      <c r="I12" s="74"/>
      <c r="J12" s="86"/>
      <c r="K12" s="81">
        <f t="shared" si="3"/>
        <v>0</v>
      </c>
      <c r="L12" s="82" t="str">
        <f t="shared" si="4"/>
        <v/>
      </c>
      <c r="N12" s="94"/>
    </row>
    <row r="13" spans="2:14" s="43" customFormat="1" x14ac:dyDescent="0.3">
      <c r="B13" s="93">
        <f t="shared" si="2"/>
        <v>42798</v>
      </c>
      <c r="C13" s="84"/>
      <c r="D13" s="84"/>
      <c r="E13" s="84">
        <f t="shared" si="0"/>
        <v>0</v>
      </c>
      <c r="F13" s="84"/>
      <c r="G13" s="85">
        <f t="shared" si="1"/>
        <v>0</v>
      </c>
      <c r="H13" s="102"/>
      <c r="I13" s="74"/>
      <c r="J13" s="86"/>
      <c r="K13" s="81">
        <f t="shared" si="3"/>
        <v>0</v>
      </c>
      <c r="L13" s="82" t="str">
        <f t="shared" si="4"/>
        <v/>
      </c>
    </row>
    <row r="14" spans="2:14" s="43" customFormat="1" x14ac:dyDescent="0.3">
      <c r="B14" s="93">
        <f t="shared" si="2"/>
        <v>42799</v>
      </c>
      <c r="C14" s="84"/>
      <c r="D14" s="84"/>
      <c r="E14" s="84">
        <f t="shared" si="0"/>
        <v>0</v>
      </c>
      <c r="F14" s="84"/>
      <c r="G14" s="85">
        <f t="shared" si="1"/>
        <v>0</v>
      </c>
      <c r="H14" s="102"/>
      <c r="I14" s="74"/>
      <c r="J14" s="86"/>
      <c r="K14" s="81">
        <f t="shared" si="3"/>
        <v>0</v>
      </c>
      <c r="L14" s="82" t="str">
        <f t="shared" si="4"/>
        <v/>
      </c>
    </row>
    <row r="15" spans="2:14" s="43" customFormat="1" x14ac:dyDescent="0.3">
      <c r="B15" s="93">
        <f t="shared" si="2"/>
        <v>42800</v>
      </c>
      <c r="C15" s="84"/>
      <c r="D15" s="84"/>
      <c r="E15" s="84">
        <f t="shared" si="0"/>
        <v>0</v>
      </c>
      <c r="F15" s="84"/>
      <c r="G15" s="85">
        <f t="shared" si="1"/>
        <v>0</v>
      </c>
      <c r="H15" s="102"/>
      <c r="I15" s="74"/>
      <c r="J15" s="86">
        <v>0.33333333333333331</v>
      </c>
      <c r="K15" s="81">
        <f t="shared" si="3"/>
        <v>0</v>
      </c>
      <c r="L15" s="82" t="str">
        <f t="shared" si="4"/>
        <v>-08:00</v>
      </c>
      <c r="M15" s="87"/>
    </row>
    <row r="16" spans="2:14" s="43" customFormat="1" x14ac:dyDescent="0.3">
      <c r="B16" s="93">
        <f t="shared" si="2"/>
        <v>42801</v>
      </c>
      <c r="C16" s="84"/>
      <c r="D16" s="84"/>
      <c r="E16" s="84">
        <f t="shared" si="0"/>
        <v>0</v>
      </c>
      <c r="F16" s="84"/>
      <c r="G16" s="85">
        <f t="shared" si="1"/>
        <v>0</v>
      </c>
      <c r="H16" s="102"/>
      <c r="I16" s="74"/>
      <c r="J16" s="86">
        <v>0.33333333333333331</v>
      </c>
      <c r="K16" s="81">
        <f t="shared" si="3"/>
        <v>0</v>
      </c>
      <c r="L16" s="82" t="str">
        <f t="shared" si="4"/>
        <v>-08:00</v>
      </c>
      <c r="M16" s="87"/>
    </row>
    <row r="17" spans="2:14" s="43" customFormat="1" x14ac:dyDescent="0.3">
      <c r="B17" s="93">
        <f t="shared" si="2"/>
        <v>42802</v>
      </c>
      <c r="C17" s="84"/>
      <c r="D17" s="84"/>
      <c r="E17" s="84">
        <f t="shared" si="0"/>
        <v>0</v>
      </c>
      <c r="F17" s="84"/>
      <c r="G17" s="85">
        <f t="shared" si="1"/>
        <v>0</v>
      </c>
      <c r="H17" s="102"/>
      <c r="I17" s="74"/>
      <c r="J17" s="86"/>
      <c r="K17" s="81">
        <f t="shared" si="3"/>
        <v>0</v>
      </c>
      <c r="L17" s="82" t="str">
        <f t="shared" si="4"/>
        <v/>
      </c>
      <c r="M17" s="87"/>
    </row>
    <row r="18" spans="2:14" s="43" customFormat="1" x14ac:dyDescent="0.3">
      <c r="B18" s="93">
        <f t="shared" si="2"/>
        <v>42803</v>
      </c>
      <c r="C18" s="84"/>
      <c r="D18" s="84"/>
      <c r="E18" s="84">
        <f t="shared" si="0"/>
        <v>0</v>
      </c>
      <c r="F18" s="84"/>
      <c r="G18" s="85">
        <f t="shared" si="1"/>
        <v>0</v>
      </c>
      <c r="H18" s="102"/>
      <c r="I18" s="74"/>
      <c r="J18" s="86"/>
      <c r="K18" s="81">
        <f t="shared" si="3"/>
        <v>0</v>
      </c>
      <c r="L18" s="82" t="str">
        <f t="shared" si="4"/>
        <v/>
      </c>
      <c r="M18" s="87"/>
    </row>
    <row r="19" spans="2:14" s="43" customFormat="1" x14ac:dyDescent="0.3">
      <c r="B19" s="93">
        <f t="shared" si="2"/>
        <v>42804</v>
      </c>
      <c r="C19" s="84"/>
      <c r="D19" s="84"/>
      <c r="E19" s="84">
        <f t="shared" si="0"/>
        <v>0</v>
      </c>
      <c r="F19" s="84"/>
      <c r="G19" s="85">
        <f t="shared" si="1"/>
        <v>0</v>
      </c>
      <c r="H19" s="102"/>
      <c r="I19" s="74"/>
      <c r="J19" s="86"/>
      <c r="K19" s="81">
        <f t="shared" si="3"/>
        <v>0</v>
      </c>
      <c r="L19" s="82" t="str">
        <f t="shared" si="4"/>
        <v/>
      </c>
      <c r="M19" s="87"/>
    </row>
    <row r="20" spans="2:14" s="43" customFormat="1" x14ac:dyDescent="0.3">
      <c r="B20" s="93">
        <f t="shared" si="2"/>
        <v>42805</v>
      </c>
      <c r="C20" s="84"/>
      <c r="D20" s="84"/>
      <c r="E20" s="84">
        <f t="shared" si="0"/>
        <v>0</v>
      </c>
      <c r="F20" s="84"/>
      <c r="G20" s="85">
        <f t="shared" si="1"/>
        <v>0</v>
      </c>
      <c r="H20" s="102"/>
      <c r="I20" s="74"/>
      <c r="J20" s="86"/>
      <c r="K20" s="81">
        <f t="shared" si="3"/>
        <v>0</v>
      </c>
      <c r="L20" s="82" t="str">
        <f t="shared" si="4"/>
        <v/>
      </c>
      <c r="M20" s="87"/>
    </row>
    <row r="21" spans="2:14" s="43" customFormat="1" x14ac:dyDescent="0.3">
      <c r="B21" s="93">
        <f t="shared" si="2"/>
        <v>42806</v>
      </c>
      <c r="C21" s="84"/>
      <c r="D21" s="84"/>
      <c r="E21" s="84">
        <f t="shared" si="0"/>
        <v>0</v>
      </c>
      <c r="F21" s="84"/>
      <c r="G21" s="85">
        <f t="shared" si="1"/>
        <v>0</v>
      </c>
      <c r="H21" s="102"/>
      <c r="I21" s="74"/>
      <c r="J21" s="86"/>
      <c r="K21" s="81">
        <f t="shared" si="3"/>
        <v>0</v>
      </c>
      <c r="L21" s="82" t="str">
        <f t="shared" si="4"/>
        <v/>
      </c>
      <c r="M21" s="87"/>
    </row>
    <row r="22" spans="2:14" s="43" customFormat="1" x14ac:dyDescent="0.3">
      <c r="B22" s="93">
        <f t="shared" si="2"/>
        <v>42807</v>
      </c>
      <c r="C22" s="84"/>
      <c r="D22" s="84"/>
      <c r="E22" s="84">
        <f t="shared" si="0"/>
        <v>0</v>
      </c>
      <c r="F22" s="84"/>
      <c r="G22" s="85">
        <f t="shared" si="1"/>
        <v>0</v>
      </c>
      <c r="H22" s="102"/>
      <c r="I22" s="74"/>
      <c r="J22" s="86">
        <v>0.33333333333333331</v>
      </c>
      <c r="K22" s="81">
        <f t="shared" si="3"/>
        <v>0</v>
      </c>
      <c r="L22" s="82" t="str">
        <f t="shared" si="4"/>
        <v>-08:00</v>
      </c>
      <c r="M22" s="87"/>
      <c r="N22" s="88"/>
    </row>
    <row r="23" spans="2:14" s="43" customFormat="1" x14ac:dyDescent="0.3">
      <c r="B23" s="93">
        <f t="shared" si="2"/>
        <v>42808</v>
      </c>
      <c r="C23" s="84"/>
      <c r="D23" s="84"/>
      <c r="E23" s="84">
        <f t="shared" si="0"/>
        <v>0</v>
      </c>
      <c r="F23" s="84"/>
      <c r="G23" s="85">
        <f t="shared" si="1"/>
        <v>0</v>
      </c>
      <c r="H23" s="102"/>
      <c r="I23" s="74"/>
      <c r="J23" s="86">
        <v>0.33333333333333331</v>
      </c>
      <c r="K23" s="81">
        <f t="shared" si="3"/>
        <v>0</v>
      </c>
      <c r="L23" s="82" t="str">
        <f t="shared" si="4"/>
        <v>-08:00</v>
      </c>
      <c r="M23" s="87"/>
      <c r="N23" s="88"/>
    </row>
    <row r="24" spans="2:14" s="43" customFormat="1" x14ac:dyDescent="0.3">
      <c r="B24" s="93">
        <f t="shared" si="2"/>
        <v>42809</v>
      </c>
      <c r="C24" s="84"/>
      <c r="D24" s="84"/>
      <c r="E24" s="84">
        <f t="shared" si="0"/>
        <v>0</v>
      </c>
      <c r="F24" s="84"/>
      <c r="G24" s="85">
        <f t="shared" si="1"/>
        <v>0</v>
      </c>
      <c r="H24" s="102"/>
      <c r="I24" s="74"/>
      <c r="J24" s="86">
        <v>0.33333333333333331</v>
      </c>
      <c r="K24" s="81">
        <f t="shared" si="3"/>
        <v>0</v>
      </c>
      <c r="L24" s="82" t="str">
        <f t="shared" si="4"/>
        <v>-08:00</v>
      </c>
      <c r="M24" s="87"/>
      <c r="N24" s="88"/>
    </row>
    <row r="25" spans="2:14" s="43" customFormat="1" x14ac:dyDescent="0.3">
      <c r="B25" s="93">
        <f t="shared" si="2"/>
        <v>42810</v>
      </c>
      <c r="C25" s="84"/>
      <c r="D25" s="84"/>
      <c r="E25" s="84">
        <f t="shared" si="0"/>
        <v>0</v>
      </c>
      <c r="F25" s="84"/>
      <c r="G25" s="85">
        <f t="shared" si="1"/>
        <v>0</v>
      </c>
      <c r="H25" s="102"/>
      <c r="I25" s="74"/>
      <c r="J25" s="86">
        <v>0.33333333333333331</v>
      </c>
      <c r="K25" s="81">
        <f t="shared" si="3"/>
        <v>0</v>
      </c>
      <c r="L25" s="82" t="str">
        <f t="shared" si="4"/>
        <v>-08:00</v>
      </c>
      <c r="M25" s="87"/>
      <c r="N25" s="88"/>
    </row>
    <row r="26" spans="2:14" s="43" customFormat="1" x14ac:dyDescent="0.3">
      <c r="B26" s="93">
        <f t="shared" si="2"/>
        <v>42811</v>
      </c>
      <c r="C26" s="84"/>
      <c r="D26" s="84"/>
      <c r="E26" s="84">
        <f t="shared" si="0"/>
        <v>0</v>
      </c>
      <c r="F26" s="84"/>
      <c r="G26" s="85">
        <f t="shared" si="1"/>
        <v>0</v>
      </c>
      <c r="H26" s="102"/>
      <c r="I26" s="74"/>
      <c r="J26" s="86"/>
      <c r="K26" s="81">
        <f t="shared" si="3"/>
        <v>0</v>
      </c>
      <c r="L26" s="82" t="str">
        <f t="shared" si="4"/>
        <v/>
      </c>
      <c r="M26" s="87"/>
      <c r="N26" s="88"/>
    </row>
    <row r="27" spans="2:14" s="43" customFormat="1" x14ac:dyDescent="0.3">
      <c r="B27" s="93">
        <f t="shared" si="2"/>
        <v>42812</v>
      </c>
      <c r="C27" s="84"/>
      <c r="D27" s="84"/>
      <c r="E27" s="84">
        <f t="shared" si="0"/>
        <v>0</v>
      </c>
      <c r="F27" s="84"/>
      <c r="G27" s="85">
        <f>E27-F27</f>
        <v>0</v>
      </c>
      <c r="H27" s="102"/>
      <c r="I27" s="74"/>
      <c r="J27" s="86"/>
      <c r="K27" s="81">
        <f t="shared" si="3"/>
        <v>0</v>
      </c>
      <c r="L27" s="82" t="str">
        <f t="shared" si="4"/>
        <v/>
      </c>
      <c r="M27" s="87"/>
      <c r="N27" s="88"/>
    </row>
    <row r="28" spans="2:14" s="43" customFormat="1" x14ac:dyDescent="0.3">
      <c r="B28" s="93">
        <f t="shared" si="2"/>
        <v>42813</v>
      </c>
      <c r="C28" s="84"/>
      <c r="D28" s="84"/>
      <c r="E28" s="84">
        <f>D28-C28</f>
        <v>0</v>
      </c>
      <c r="F28" s="84"/>
      <c r="G28" s="85">
        <f>E28-F28</f>
        <v>0</v>
      </c>
      <c r="H28" s="102"/>
      <c r="I28" s="74"/>
      <c r="J28" s="86"/>
      <c r="K28" s="81">
        <f t="shared" si="3"/>
        <v>0</v>
      </c>
      <c r="L28" s="82" t="str">
        <f t="shared" si="4"/>
        <v/>
      </c>
      <c r="M28" s="87"/>
      <c r="N28" s="88"/>
    </row>
    <row r="29" spans="2:14" s="43" customFormat="1" x14ac:dyDescent="0.3">
      <c r="B29" s="93">
        <f t="shared" si="2"/>
        <v>42814</v>
      </c>
      <c r="C29" s="84"/>
      <c r="D29" s="84"/>
      <c r="E29" s="84">
        <f t="shared" ref="E29:E40" si="5">D29-C29</f>
        <v>0</v>
      </c>
      <c r="F29" s="84"/>
      <c r="G29" s="85">
        <f t="shared" ref="G29:G40" si="6">E29-F29</f>
        <v>0</v>
      </c>
      <c r="H29" s="102"/>
      <c r="I29" s="74"/>
      <c r="J29" s="86">
        <v>0.33333333333333331</v>
      </c>
      <c r="K29" s="81">
        <f t="shared" si="3"/>
        <v>0</v>
      </c>
      <c r="L29" s="82" t="str">
        <f t="shared" si="4"/>
        <v>-08:00</v>
      </c>
      <c r="M29" s="87"/>
      <c r="N29" s="88"/>
    </row>
    <row r="30" spans="2:14" s="43" customFormat="1" x14ac:dyDescent="0.3">
      <c r="B30" s="93">
        <f t="shared" si="2"/>
        <v>42815</v>
      </c>
      <c r="C30" s="84"/>
      <c r="D30" s="84"/>
      <c r="E30" s="84">
        <f t="shared" si="5"/>
        <v>0</v>
      </c>
      <c r="F30" s="84"/>
      <c r="G30" s="85">
        <f t="shared" si="6"/>
        <v>0</v>
      </c>
      <c r="H30" s="102"/>
      <c r="I30" s="74"/>
      <c r="J30" s="86">
        <v>0.33333333333333331</v>
      </c>
      <c r="K30" s="81">
        <f t="shared" si="3"/>
        <v>0</v>
      </c>
      <c r="L30" s="82" t="str">
        <f t="shared" si="4"/>
        <v>-08:00</v>
      </c>
      <c r="M30" s="87"/>
      <c r="N30" s="88"/>
    </row>
    <row r="31" spans="2:14" s="43" customFormat="1" x14ac:dyDescent="0.3">
      <c r="B31" s="93">
        <f t="shared" si="2"/>
        <v>42816</v>
      </c>
      <c r="C31" s="84"/>
      <c r="D31" s="84"/>
      <c r="E31" s="84">
        <f t="shared" si="5"/>
        <v>0</v>
      </c>
      <c r="F31" s="84"/>
      <c r="G31" s="85">
        <f t="shared" si="6"/>
        <v>0</v>
      </c>
      <c r="H31" s="102"/>
      <c r="I31" s="74"/>
      <c r="J31" s="86">
        <v>0.33333333333333331</v>
      </c>
      <c r="K31" s="81">
        <f t="shared" si="3"/>
        <v>0</v>
      </c>
      <c r="L31" s="82" t="str">
        <f t="shared" si="4"/>
        <v>-08:00</v>
      </c>
      <c r="M31" s="87"/>
    </row>
    <row r="32" spans="2:14" s="43" customFormat="1" x14ac:dyDescent="0.3">
      <c r="B32" s="93">
        <f t="shared" si="2"/>
        <v>42817</v>
      </c>
      <c r="C32" s="84"/>
      <c r="D32" s="84"/>
      <c r="E32" s="84">
        <f t="shared" si="5"/>
        <v>0</v>
      </c>
      <c r="F32" s="84"/>
      <c r="G32" s="85">
        <f t="shared" si="6"/>
        <v>0</v>
      </c>
      <c r="H32" s="102"/>
      <c r="I32" s="74"/>
      <c r="J32" s="86">
        <v>0.33333333333333331</v>
      </c>
      <c r="K32" s="81">
        <f t="shared" si="3"/>
        <v>0</v>
      </c>
      <c r="L32" s="82" t="str">
        <f t="shared" si="4"/>
        <v>-08:00</v>
      </c>
      <c r="M32" s="87"/>
    </row>
    <row r="33" spans="2:13" s="43" customFormat="1" x14ac:dyDescent="0.3">
      <c r="B33" s="93">
        <f t="shared" si="2"/>
        <v>42818</v>
      </c>
      <c r="C33" s="84"/>
      <c r="D33" s="84"/>
      <c r="E33" s="84">
        <f t="shared" si="5"/>
        <v>0</v>
      </c>
      <c r="F33" s="84"/>
      <c r="G33" s="85">
        <f t="shared" si="6"/>
        <v>0</v>
      </c>
      <c r="H33" s="102"/>
      <c r="I33" s="74"/>
      <c r="J33" s="86">
        <v>0</v>
      </c>
      <c r="K33" s="81">
        <f t="shared" si="3"/>
        <v>0</v>
      </c>
      <c r="L33" s="82" t="str">
        <f t="shared" si="4"/>
        <v/>
      </c>
      <c r="M33" s="87"/>
    </row>
    <row r="34" spans="2:13" s="43" customFormat="1" x14ac:dyDescent="0.3">
      <c r="B34" s="93">
        <f t="shared" si="2"/>
        <v>42819</v>
      </c>
      <c r="C34" s="84"/>
      <c r="D34" s="84"/>
      <c r="E34" s="84">
        <f t="shared" si="5"/>
        <v>0</v>
      </c>
      <c r="F34" s="84"/>
      <c r="G34" s="85">
        <f t="shared" si="6"/>
        <v>0</v>
      </c>
      <c r="H34" s="102"/>
      <c r="I34" s="74"/>
      <c r="J34" s="86"/>
      <c r="K34" s="81">
        <f t="shared" si="3"/>
        <v>0</v>
      </c>
      <c r="L34" s="82" t="str">
        <f t="shared" si="4"/>
        <v/>
      </c>
      <c r="M34" s="87"/>
    </row>
    <row r="35" spans="2:13" s="43" customFormat="1" x14ac:dyDescent="0.3">
      <c r="B35" s="93">
        <f t="shared" si="2"/>
        <v>42820</v>
      </c>
      <c r="C35" s="84"/>
      <c r="D35" s="84"/>
      <c r="E35" s="84">
        <f t="shared" si="5"/>
        <v>0</v>
      </c>
      <c r="F35" s="84"/>
      <c r="G35" s="85">
        <f t="shared" si="6"/>
        <v>0</v>
      </c>
      <c r="H35" s="102"/>
      <c r="I35" s="74"/>
      <c r="J35" s="86"/>
      <c r="K35" s="81">
        <f t="shared" si="3"/>
        <v>0</v>
      </c>
      <c r="L35" s="82" t="str">
        <f t="shared" si="4"/>
        <v/>
      </c>
      <c r="M35" s="87"/>
    </row>
    <row r="36" spans="2:13" s="43" customFormat="1" x14ac:dyDescent="0.3">
      <c r="B36" s="93">
        <f t="shared" si="2"/>
        <v>42821</v>
      </c>
      <c r="C36" s="84"/>
      <c r="D36" s="84"/>
      <c r="E36" s="84">
        <f t="shared" si="5"/>
        <v>0</v>
      </c>
      <c r="F36" s="84"/>
      <c r="G36" s="85">
        <f t="shared" si="6"/>
        <v>0</v>
      </c>
      <c r="H36" s="102"/>
      <c r="I36" s="74"/>
      <c r="J36" s="86">
        <v>0.33333333333333331</v>
      </c>
      <c r="K36" s="81">
        <f t="shared" si="3"/>
        <v>0</v>
      </c>
      <c r="L36" s="82" t="str">
        <f t="shared" si="4"/>
        <v>-08:00</v>
      </c>
      <c r="M36" s="87"/>
    </row>
    <row r="37" spans="2:13" s="43" customFormat="1" x14ac:dyDescent="0.3">
      <c r="B37" s="93">
        <f t="shared" si="2"/>
        <v>42822</v>
      </c>
      <c r="C37" s="84"/>
      <c r="D37" s="84"/>
      <c r="E37" s="84">
        <f t="shared" si="5"/>
        <v>0</v>
      </c>
      <c r="F37" s="84"/>
      <c r="G37" s="85">
        <f t="shared" si="6"/>
        <v>0</v>
      </c>
      <c r="H37" s="102"/>
      <c r="I37" s="74"/>
      <c r="J37" s="86">
        <v>0.33333333333333331</v>
      </c>
      <c r="K37" s="81">
        <f t="shared" si="3"/>
        <v>0</v>
      </c>
      <c r="L37" s="82" t="str">
        <f t="shared" si="4"/>
        <v>-08:00</v>
      </c>
      <c r="M37" s="87"/>
    </row>
    <row r="38" spans="2:13" s="43" customFormat="1" x14ac:dyDescent="0.3">
      <c r="B38" s="93">
        <f t="shared" si="2"/>
        <v>42823</v>
      </c>
      <c r="C38" s="84"/>
      <c r="D38" s="84"/>
      <c r="E38" s="84">
        <f t="shared" si="5"/>
        <v>0</v>
      </c>
      <c r="F38" s="84"/>
      <c r="G38" s="85">
        <f t="shared" si="6"/>
        <v>0</v>
      </c>
      <c r="H38" s="102"/>
      <c r="I38" s="74"/>
      <c r="J38" s="86">
        <v>0.33333333333333331</v>
      </c>
      <c r="K38" s="81">
        <f t="shared" si="3"/>
        <v>0</v>
      </c>
      <c r="L38" s="82" t="str">
        <f t="shared" si="4"/>
        <v>-08:00</v>
      </c>
      <c r="M38" s="87"/>
    </row>
    <row r="39" spans="2:13" s="43" customFormat="1" x14ac:dyDescent="0.3">
      <c r="B39" s="93">
        <f t="shared" si="2"/>
        <v>42824</v>
      </c>
      <c r="C39" s="84"/>
      <c r="D39" s="84"/>
      <c r="E39" s="84">
        <f t="shared" ref="E39" si="7">D39-C39</f>
        <v>0</v>
      </c>
      <c r="F39" s="84"/>
      <c r="G39" s="85">
        <f t="shared" ref="G39" si="8">E39-F39</f>
        <v>0</v>
      </c>
      <c r="H39" s="102"/>
      <c r="I39" s="74"/>
      <c r="J39" s="86"/>
      <c r="K39" s="81"/>
      <c r="L39" s="82"/>
      <c r="M39" s="87"/>
    </row>
    <row r="40" spans="2:13" s="43" customFormat="1" ht="15" thickBot="1" x14ac:dyDescent="0.35">
      <c r="B40" s="93">
        <f t="shared" si="2"/>
        <v>42825</v>
      </c>
      <c r="C40" s="84"/>
      <c r="D40" s="84"/>
      <c r="E40" s="84">
        <f t="shared" si="5"/>
        <v>0</v>
      </c>
      <c r="F40" s="84"/>
      <c r="G40" s="85">
        <f t="shared" si="6"/>
        <v>0</v>
      </c>
      <c r="H40" s="105"/>
      <c r="I40" s="74"/>
      <c r="J40" s="86">
        <v>0.33333333333333331</v>
      </c>
      <c r="K40" s="81">
        <f t="shared" si="3"/>
        <v>0</v>
      </c>
      <c r="L40" s="82" t="str">
        <f t="shared" si="4"/>
        <v>-08:00</v>
      </c>
      <c r="M40" s="87"/>
    </row>
    <row r="41" spans="2:13" s="29" customFormat="1" ht="18.600000000000001" thickBot="1" x14ac:dyDescent="0.35">
      <c r="B41" s="76" t="s">
        <v>2</v>
      </c>
      <c r="C41" s="72"/>
      <c r="D41" s="72"/>
      <c r="E41" s="77"/>
      <c r="F41" s="78"/>
      <c r="G41" s="77">
        <f>SUM(G10:G40)</f>
        <v>0</v>
      </c>
      <c r="H41" s="103"/>
      <c r="I41" s="74"/>
      <c r="J41" s="75">
        <f>SUM(J10:J40)</f>
        <v>4.6666666666666661</v>
      </c>
      <c r="K41" s="75">
        <f>SUM(K10:K40)</f>
        <v>0</v>
      </c>
      <c r="L41" s="75" t="str">
        <f>IF(K41&lt;J41,TEXT((ABS(K41-J41)),"-[h]:mm"),IF(K41=J41,"",K41-J41))</f>
        <v>-112:00</v>
      </c>
    </row>
    <row r="42" spans="2:13" ht="15" thickBot="1" x14ac:dyDescent="0.35">
      <c r="J42" s="19"/>
    </row>
    <row r="43" spans="2:13" x14ac:dyDescent="0.3">
      <c r="G43" s="116" t="s">
        <v>48</v>
      </c>
      <c r="H43" s="117"/>
    </row>
    <row r="44" spans="2:13" ht="15" thickBot="1" x14ac:dyDescent="0.35">
      <c r="G44" s="118"/>
      <c r="H44" s="119"/>
    </row>
    <row r="45" spans="2:13" ht="64.95" customHeight="1" thickBot="1" x14ac:dyDescent="0.35">
      <c r="G45" s="108" t="s">
        <v>49</v>
      </c>
      <c r="H45" s="104"/>
    </row>
    <row r="46" spans="2:13" s="90" customFormat="1" ht="15" thickBot="1" x14ac:dyDescent="0.35">
      <c r="G46" s="89" t="s">
        <v>43</v>
      </c>
      <c r="H46" s="100" t="s">
        <v>44</v>
      </c>
      <c r="I46" s="91"/>
      <c r="J46" s="91"/>
      <c r="K46" s="91"/>
      <c r="L46" s="91"/>
    </row>
  </sheetData>
  <mergeCells count="8">
    <mergeCell ref="L7:L9"/>
    <mergeCell ref="G43:H44"/>
    <mergeCell ref="B2:G2"/>
    <mergeCell ref="B4:B5"/>
    <mergeCell ref="C4:D5"/>
    <mergeCell ref="B6:B7"/>
    <mergeCell ref="J7:J9"/>
    <mergeCell ref="K7:K9"/>
  </mergeCells>
  <pageMargins left="0.25" right="0.25" top="0.75" bottom="0.75" header="0.3" footer="0.3"/>
  <pageSetup paperSize="9" scale="62" fitToHeight="0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70C0"/>
    <outlinePr summaryBelow="0" summaryRight="0"/>
    <pageSetUpPr fitToPage="1"/>
  </sheetPr>
  <dimension ref="B2:N45"/>
  <sheetViews>
    <sheetView topLeftCell="A31" workbookViewId="0">
      <selection activeCell="A44" sqref="A44:XFD44"/>
    </sheetView>
  </sheetViews>
  <sheetFormatPr defaultColWidth="9.109375" defaultRowHeight="14.4" x14ac:dyDescent="0.3"/>
  <cols>
    <col min="1" max="1" width="3.6640625" style="1" customWidth="1"/>
    <col min="2" max="2" width="14.6640625" style="1" customWidth="1"/>
    <col min="3" max="6" width="12.6640625" style="1" customWidth="1"/>
    <col min="7" max="7" width="14.6640625" style="3" customWidth="1"/>
    <col min="8" max="8" width="50.6640625" style="96" customWidth="1"/>
    <col min="9" max="9" width="3" style="3" customWidth="1"/>
    <col min="10" max="12" width="7.6640625" style="3" hidden="1" customWidth="1"/>
    <col min="13" max="13" width="9.109375" style="1"/>
    <col min="14" max="14" width="12.44140625" style="1" bestFit="1" customWidth="1"/>
    <col min="15" max="16384" width="9.109375" style="1"/>
  </cols>
  <sheetData>
    <row r="2" spans="2:14" ht="64.95" customHeight="1" x14ac:dyDescent="0.3">
      <c r="B2" s="120" t="s">
        <v>38</v>
      </c>
      <c r="C2" s="121"/>
      <c r="D2" s="121"/>
      <c r="E2" s="121"/>
      <c r="F2" s="121"/>
      <c r="G2" s="121"/>
    </row>
    <row r="3" spans="2:14" ht="15" thickBot="1" x14ac:dyDescent="0.35">
      <c r="B3" s="4"/>
      <c r="G3" s="1"/>
    </row>
    <row r="4" spans="2:14" ht="19.95" customHeight="1" thickBot="1" x14ac:dyDescent="0.35">
      <c r="B4" s="122" t="s">
        <v>5</v>
      </c>
      <c r="C4" s="124" t="s">
        <v>46</v>
      </c>
      <c r="D4" s="124"/>
      <c r="E4" s="61"/>
      <c r="F4" s="64"/>
      <c r="G4" s="68" t="s">
        <v>39</v>
      </c>
      <c r="H4" s="97" t="s">
        <v>40</v>
      </c>
    </row>
    <row r="5" spans="2:14" ht="19.95" customHeight="1" thickBot="1" x14ac:dyDescent="0.35">
      <c r="B5" s="123"/>
      <c r="C5" s="125"/>
      <c r="D5" s="125"/>
      <c r="E5" s="8"/>
      <c r="F5" s="67"/>
      <c r="G5" s="69" t="s">
        <v>41</v>
      </c>
      <c r="H5" s="98" t="s">
        <v>42</v>
      </c>
    </row>
    <row r="6" spans="2:14" ht="19.95" customHeight="1" thickBot="1" x14ac:dyDescent="0.35">
      <c r="B6" s="126" t="s">
        <v>43</v>
      </c>
      <c r="C6" s="66" t="s">
        <v>44</v>
      </c>
      <c r="D6" s="8"/>
      <c r="E6" s="8"/>
      <c r="F6" s="67"/>
      <c r="G6" s="69" t="s">
        <v>7</v>
      </c>
      <c r="H6" s="99" t="s">
        <v>54</v>
      </c>
    </row>
    <row r="7" spans="2:14" ht="19.95" customHeight="1" thickBot="1" x14ac:dyDescent="0.35">
      <c r="B7" s="123"/>
      <c r="C7" s="62" t="s">
        <v>45</v>
      </c>
      <c r="D7" s="63"/>
      <c r="E7" s="63"/>
      <c r="F7" s="65"/>
      <c r="G7" s="70" t="s">
        <v>36</v>
      </c>
      <c r="H7" s="100" t="s">
        <v>56</v>
      </c>
      <c r="J7" s="113" t="s">
        <v>16</v>
      </c>
      <c r="K7" s="113" t="s">
        <v>17</v>
      </c>
      <c r="L7" s="113" t="s">
        <v>18</v>
      </c>
    </row>
    <row r="8" spans="2:14" ht="15" thickBot="1" x14ac:dyDescent="0.35">
      <c r="J8" s="114"/>
      <c r="K8" s="114"/>
      <c r="L8" s="114"/>
    </row>
    <row r="9" spans="2:14" ht="29.4" thickBot="1" x14ac:dyDescent="0.35">
      <c r="B9" s="71" t="s">
        <v>1</v>
      </c>
      <c r="C9" s="72" t="s">
        <v>12</v>
      </c>
      <c r="D9" s="72" t="s">
        <v>13</v>
      </c>
      <c r="E9" s="72" t="s">
        <v>0</v>
      </c>
      <c r="F9" s="72" t="s">
        <v>15</v>
      </c>
      <c r="G9" s="73" t="s">
        <v>37</v>
      </c>
      <c r="H9" s="95" t="s">
        <v>47</v>
      </c>
      <c r="J9" s="115"/>
      <c r="K9" s="115"/>
      <c r="L9" s="115"/>
    </row>
    <row r="10" spans="2:14" s="43" customFormat="1" x14ac:dyDescent="0.3">
      <c r="B10" s="92">
        <v>42826</v>
      </c>
      <c r="C10" s="84"/>
      <c r="D10" s="84"/>
      <c r="E10" s="84">
        <f t="shared" ref="E10:E27" si="0">D10-C10</f>
        <v>0</v>
      </c>
      <c r="F10" s="84"/>
      <c r="G10" s="79">
        <f t="shared" ref="G10:G26" si="1">E10-F10</f>
        <v>0</v>
      </c>
      <c r="H10" s="101"/>
      <c r="I10" s="74"/>
      <c r="J10" s="80"/>
      <c r="K10" s="81">
        <f>G10</f>
        <v>0</v>
      </c>
      <c r="L10" s="82" t="str">
        <f>IF(K10&lt;J10,TEXT((ABS(K10-J10)),"-hh:mm"),IF(K10=J10,"",K10-J10))</f>
        <v/>
      </c>
    </row>
    <row r="11" spans="2:14" s="43" customFormat="1" x14ac:dyDescent="0.3">
      <c r="B11" s="93">
        <f t="shared" ref="B11:B39" si="2">B10+1</f>
        <v>42827</v>
      </c>
      <c r="C11" s="84"/>
      <c r="D11" s="84"/>
      <c r="E11" s="84">
        <f t="shared" si="0"/>
        <v>0</v>
      </c>
      <c r="F11" s="84"/>
      <c r="G11" s="85">
        <f t="shared" si="1"/>
        <v>0</v>
      </c>
      <c r="H11" s="102"/>
      <c r="I11" s="74"/>
      <c r="J11" s="86"/>
      <c r="K11" s="81">
        <f t="shared" ref="K11:K39" si="3">G11</f>
        <v>0</v>
      </c>
      <c r="L11" s="82" t="str">
        <f t="shared" ref="L11:L39" si="4">IF(K11&lt;J11,TEXT((ABS(K11-J11)),"-hh:mm"),IF(K11=J11,"",K11-J11))</f>
        <v/>
      </c>
    </row>
    <row r="12" spans="2:14" s="43" customFormat="1" x14ac:dyDescent="0.3">
      <c r="B12" s="93">
        <f t="shared" si="2"/>
        <v>42828</v>
      </c>
      <c r="C12" s="83"/>
      <c r="D12" s="83"/>
      <c r="E12" s="84">
        <f t="shared" si="0"/>
        <v>0</v>
      </c>
      <c r="F12" s="83"/>
      <c r="G12" s="85">
        <f t="shared" si="1"/>
        <v>0</v>
      </c>
      <c r="H12" s="102"/>
      <c r="I12" s="74"/>
      <c r="J12" s="86"/>
      <c r="K12" s="81">
        <f t="shared" si="3"/>
        <v>0</v>
      </c>
      <c r="L12" s="82" t="str">
        <f t="shared" si="4"/>
        <v/>
      </c>
      <c r="N12" s="94"/>
    </row>
    <row r="13" spans="2:14" s="43" customFormat="1" x14ac:dyDescent="0.3">
      <c r="B13" s="93">
        <f t="shared" si="2"/>
        <v>42829</v>
      </c>
      <c r="C13" s="84"/>
      <c r="D13" s="84"/>
      <c r="E13" s="84">
        <f t="shared" si="0"/>
        <v>0</v>
      </c>
      <c r="F13" s="84"/>
      <c r="G13" s="85">
        <f t="shared" si="1"/>
        <v>0</v>
      </c>
      <c r="H13" s="102"/>
      <c r="I13" s="74"/>
      <c r="J13" s="86"/>
      <c r="K13" s="81">
        <f t="shared" si="3"/>
        <v>0</v>
      </c>
      <c r="L13" s="82" t="str">
        <f t="shared" si="4"/>
        <v/>
      </c>
    </row>
    <row r="14" spans="2:14" s="43" customFormat="1" x14ac:dyDescent="0.3">
      <c r="B14" s="93">
        <f t="shared" si="2"/>
        <v>42830</v>
      </c>
      <c r="C14" s="84"/>
      <c r="D14" s="84"/>
      <c r="E14" s="84">
        <f t="shared" si="0"/>
        <v>0</v>
      </c>
      <c r="F14" s="84"/>
      <c r="G14" s="85">
        <f t="shared" si="1"/>
        <v>0</v>
      </c>
      <c r="H14" s="102"/>
      <c r="I14" s="74"/>
      <c r="J14" s="86"/>
      <c r="K14" s="81">
        <f t="shared" si="3"/>
        <v>0</v>
      </c>
      <c r="L14" s="82" t="str">
        <f t="shared" si="4"/>
        <v/>
      </c>
    </row>
    <row r="15" spans="2:14" s="43" customFormat="1" x14ac:dyDescent="0.3">
      <c r="B15" s="93">
        <f t="shared" si="2"/>
        <v>42831</v>
      </c>
      <c r="C15" s="84"/>
      <c r="D15" s="84"/>
      <c r="E15" s="84">
        <f t="shared" si="0"/>
        <v>0</v>
      </c>
      <c r="F15" s="84"/>
      <c r="G15" s="85">
        <f t="shared" si="1"/>
        <v>0</v>
      </c>
      <c r="H15" s="102"/>
      <c r="I15" s="74"/>
      <c r="J15" s="86">
        <v>0.33333333333333331</v>
      </c>
      <c r="K15" s="81">
        <f t="shared" si="3"/>
        <v>0</v>
      </c>
      <c r="L15" s="82" t="str">
        <f t="shared" si="4"/>
        <v>-08:00</v>
      </c>
      <c r="M15" s="87"/>
    </row>
    <row r="16" spans="2:14" s="43" customFormat="1" x14ac:dyDescent="0.3">
      <c r="B16" s="93">
        <f t="shared" si="2"/>
        <v>42832</v>
      </c>
      <c r="C16" s="84"/>
      <c r="D16" s="84"/>
      <c r="E16" s="84">
        <f t="shared" si="0"/>
        <v>0</v>
      </c>
      <c r="F16" s="84"/>
      <c r="G16" s="85">
        <f t="shared" si="1"/>
        <v>0</v>
      </c>
      <c r="H16" s="102"/>
      <c r="I16" s="74"/>
      <c r="J16" s="86">
        <v>0.33333333333333331</v>
      </c>
      <c r="K16" s="81">
        <f t="shared" si="3"/>
        <v>0</v>
      </c>
      <c r="L16" s="82" t="str">
        <f t="shared" si="4"/>
        <v>-08:00</v>
      </c>
      <c r="M16" s="87"/>
    </row>
    <row r="17" spans="2:14" s="43" customFormat="1" x14ac:dyDescent="0.3">
      <c r="B17" s="93">
        <f t="shared" si="2"/>
        <v>42833</v>
      </c>
      <c r="C17" s="84"/>
      <c r="D17" s="84"/>
      <c r="E17" s="84">
        <f t="shared" si="0"/>
        <v>0</v>
      </c>
      <c r="F17" s="84"/>
      <c r="G17" s="85">
        <f t="shared" si="1"/>
        <v>0</v>
      </c>
      <c r="H17" s="102"/>
      <c r="I17" s="74"/>
      <c r="J17" s="86"/>
      <c r="K17" s="81">
        <f t="shared" si="3"/>
        <v>0</v>
      </c>
      <c r="L17" s="82" t="str">
        <f t="shared" si="4"/>
        <v/>
      </c>
      <c r="M17" s="87"/>
    </row>
    <row r="18" spans="2:14" s="43" customFormat="1" x14ac:dyDescent="0.3">
      <c r="B18" s="93">
        <f t="shared" si="2"/>
        <v>42834</v>
      </c>
      <c r="C18" s="84"/>
      <c r="D18" s="84"/>
      <c r="E18" s="84">
        <f t="shared" si="0"/>
        <v>0</v>
      </c>
      <c r="F18" s="84"/>
      <c r="G18" s="85">
        <f t="shared" si="1"/>
        <v>0</v>
      </c>
      <c r="H18" s="102"/>
      <c r="I18" s="74"/>
      <c r="J18" s="86"/>
      <c r="K18" s="81">
        <f t="shared" si="3"/>
        <v>0</v>
      </c>
      <c r="L18" s="82" t="str">
        <f t="shared" si="4"/>
        <v/>
      </c>
      <c r="M18" s="87"/>
    </row>
    <row r="19" spans="2:14" s="43" customFormat="1" x14ac:dyDescent="0.3">
      <c r="B19" s="93">
        <f t="shared" si="2"/>
        <v>42835</v>
      </c>
      <c r="C19" s="84"/>
      <c r="D19" s="84"/>
      <c r="E19" s="84">
        <f t="shared" si="0"/>
        <v>0</v>
      </c>
      <c r="F19" s="84"/>
      <c r="G19" s="85">
        <f t="shared" si="1"/>
        <v>0</v>
      </c>
      <c r="H19" s="102"/>
      <c r="I19" s="74"/>
      <c r="J19" s="86"/>
      <c r="K19" s="81">
        <f t="shared" si="3"/>
        <v>0</v>
      </c>
      <c r="L19" s="82" t="str">
        <f t="shared" si="4"/>
        <v/>
      </c>
      <c r="M19" s="87"/>
    </row>
    <row r="20" spans="2:14" s="43" customFormat="1" x14ac:dyDescent="0.3">
      <c r="B20" s="93">
        <f t="shared" si="2"/>
        <v>42836</v>
      </c>
      <c r="C20" s="84"/>
      <c r="D20" s="84"/>
      <c r="E20" s="84">
        <f t="shared" si="0"/>
        <v>0</v>
      </c>
      <c r="F20" s="84"/>
      <c r="G20" s="85">
        <f t="shared" si="1"/>
        <v>0</v>
      </c>
      <c r="H20" s="102"/>
      <c r="I20" s="74"/>
      <c r="J20" s="86"/>
      <c r="K20" s="81">
        <f t="shared" si="3"/>
        <v>0</v>
      </c>
      <c r="L20" s="82" t="str">
        <f t="shared" si="4"/>
        <v/>
      </c>
      <c r="M20" s="87"/>
    </row>
    <row r="21" spans="2:14" s="43" customFormat="1" x14ac:dyDescent="0.3">
      <c r="B21" s="93">
        <f t="shared" si="2"/>
        <v>42837</v>
      </c>
      <c r="C21" s="84"/>
      <c r="D21" s="84"/>
      <c r="E21" s="84">
        <f t="shared" si="0"/>
        <v>0</v>
      </c>
      <c r="F21" s="84"/>
      <c r="G21" s="85">
        <f t="shared" si="1"/>
        <v>0</v>
      </c>
      <c r="H21" s="102"/>
      <c r="I21" s="74"/>
      <c r="J21" s="86"/>
      <c r="K21" s="81">
        <f t="shared" si="3"/>
        <v>0</v>
      </c>
      <c r="L21" s="82" t="str">
        <f t="shared" si="4"/>
        <v/>
      </c>
      <c r="M21" s="87"/>
    </row>
    <row r="22" spans="2:14" s="43" customFormat="1" x14ac:dyDescent="0.3">
      <c r="B22" s="93">
        <f t="shared" si="2"/>
        <v>42838</v>
      </c>
      <c r="C22" s="84"/>
      <c r="D22" s="84"/>
      <c r="E22" s="84">
        <f t="shared" si="0"/>
        <v>0</v>
      </c>
      <c r="F22" s="84"/>
      <c r="G22" s="85">
        <f t="shared" si="1"/>
        <v>0</v>
      </c>
      <c r="H22" s="102"/>
      <c r="I22" s="74"/>
      <c r="J22" s="86">
        <v>0.33333333333333331</v>
      </c>
      <c r="K22" s="81">
        <f t="shared" si="3"/>
        <v>0</v>
      </c>
      <c r="L22" s="82" t="str">
        <f t="shared" si="4"/>
        <v>-08:00</v>
      </c>
      <c r="M22" s="87"/>
      <c r="N22" s="88"/>
    </row>
    <row r="23" spans="2:14" s="43" customFormat="1" x14ac:dyDescent="0.3">
      <c r="B23" s="93">
        <f t="shared" si="2"/>
        <v>42839</v>
      </c>
      <c r="C23" s="84"/>
      <c r="D23" s="84"/>
      <c r="E23" s="84">
        <f t="shared" si="0"/>
        <v>0</v>
      </c>
      <c r="F23" s="84"/>
      <c r="G23" s="85">
        <f t="shared" si="1"/>
        <v>0</v>
      </c>
      <c r="H23" s="102"/>
      <c r="I23" s="74"/>
      <c r="J23" s="86">
        <v>0.33333333333333331</v>
      </c>
      <c r="K23" s="81">
        <f t="shared" si="3"/>
        <v>0</v>
      </c>
      <c r="L23" s="82" t="str">
        <f t="shared" si="4"/>
        <v>-08:00</v>
      </c>
      <c r="M23" s="87"/>
      <c r="N23" s="88"/>
    </row>
    <row r="24" spans="2:14" s="43" customFormat="1" x14ac:dyDescent="0.3">
      <c r="B24" s="93">
        <f t="shared" si="2"/>
        <v>42840</v>
      </c>
      <c r="C24" s="84"/>
      <c r="D24" s="84"/>
      <c r="E24" s="84">
        <f t="shared" si="0"/>
        <v>0</v>
      </c>
      <c r="F24" s="84"/>
      <c r="G24" s="85">
        <f t="shared" si="1"/>
        <v>0</v>
      </c>
      <c r="H24" s="102"/>
      <c r="I24" s="74"/>
      <c r="J24" s="86">
        <v>0.33333333333333331</v>
      </c>
      <c r="K24" s="81">
        <f t="shared" si="3"/>
        <v>0</v>
      </c>
      <c r="L24" s="82" t="str">
        <f t="shared" si="4"/>
        <v>-08:00</v>
      </c>
      <c r="M24" s="87"/>
      <c r="N24" s="88"/>
    </row>
    <row r="25" spans="2:14" s="43" customFormat="1" x14ac:dyDescent="0.3">
      <c r="B25" s="93">
        <f t="shared" si="2"/>
        <v>42841</v>
      </c>
      <c r="C25" s="84"/>
      <c r="D25" s="84"/>
      <c r="E25" s="84">
        <f t="shared" si="0"/>
        <v>0</v>
      </c>
      <c r="F25" s="84"/>
      <c r="G25" s="85">
        <f t="shared" si="1"/>
        <v>0</v>
      </c>
      <c r="H25" s="102"/>
      <c r="I25" s="74"/>
      <c r="J25" s="86">
        <v>0.33333333333333331</v>
      </c>
      <c r="K25" s="81">
        <f t="shared" si="3"/>
        <v>0</v>
      </c>
      <c r="L25" s="82" t="str">
        <f t="shared" si="4"/>
        <v>-08:00</v>
      </c>
      <c r="M25" s="87"/>
      <c r="N25" s="88"/>
    </row>
    <row r="26" spans="2:14" s="43" customFormat="1" x14ac:dyDescent="0.3">
      <c r="B26" s="93">
        <f t="shared" si="2"/>
        <v>42842</v>
      </c>
      <c r="C26" s="84"/>
      <c r="D26" s="84"/>
      <c r="E26" s="84">
        <f t="shared" si="0"/>
        <v>0</v>
      </c>
      <c r="F26" s="84"/>
      <c r="G26" s="85">
        <f t="shared" si="1"/>
        <v>0</v>
      </c>
      <c r="H26" s="102"/>
      <c r="I26" s="74"/>
      <c r="J26" s="86"/>
      <c r="K26" s="81">
        <f t="shared" si="3"/>
        <v>0</v>
      </c>
      <c r="L26" s="82" t="str">
        <f t="shared" si="4"/>
        <v/>
      </c>
      <c r="M26" s="87"/>
      <c r="N26" s="88"/>
    </row>
    <row r="27" spans="2:14" s="43" customFormat="1" x14ac:dyDescent="0.3">
      <c r="B27" s="93">
        <f t="shared" si="2"/>
        <v>42843</v>
      </c>
      <c r="C27" s="84"/>
      <c r="D27" s="84"/>
      <c r="E27" s="84">
        <f t="shared" si="0"/>
        <v>0</v>
      </c>
      <c r="F27" s="84"/>
      <c r="G27" s="85">
        <f>E27-F27</f>
        <v>0</v>
      </c>
      <c r="H27" s="102"/>
      <c r="I27" s="74"/>
      <c r="J27" s="86"/>
      <c r="K27" s="81">
        <f t="shared" si="3"/>
        <v>0</v>
      </c>
      <c r="L27" s="82" t="str">
        <f t="shared" si="4"/>
        <v/>
      </c>
      <c r="M27" s="87"/>
      <c r="N27" s="88"/>
    </row>
    <row r="28" spans="2:14" s="43" customFormat="1" x14ac:dyDescent="0.3">
      <c r="B28" s="93">
        <f t="shared" si="2"/>
        <v>42844</v>
      </c>
      <c r="C28" s="84"/>
      <c r="D28" s="84"/>
      <c r="E28" s="84">
        <f>D28-C28</f>
        <v>0</v>
      </c>
      <c r="F28" s="84"/>
      <c r="G28" s="85">
        <f>E28-F28</f>
        <v>0</v>
      </c>
      <c r="H28" s="102"/>
      <c r="I28" s="74"/>
      <c r="J28" s="86"/>
      <c r="K28" s="81">
        <f t="shared" si="3"/>
        <v>0</v>
      </c>
      <c r="L28" s="82" t="str">
        <f t="shared" si="4"/>
        <v/>
      </c>
      <c r="M28" s="87"/>
      <c r="N28" s="88"/>
    </row>
    <row r="29" spans="2:14" s="43" customFormat="1" x14ac:dyDescent="0.3">
      <c r="B29" s="93">
        <f t="shared" si="2"/>
        <v>42845</v>
      </c>
      <c r="C29" s="84"/>
      <c r="D29" s="84"/>
      <c r="E29" s="84">
        <f t="shared" ref="E29:E39" si="5">D29-C29</f>
        <v>0</v>
      </c>
      <c r="F29" s="84"/>
      <c r="G29" s="85">
        <f t="shared" ref="G29:G39" si="6">E29-F29</f>
        <v>0</v>
      </c>
      <c r="H29" s="102"/>
      <c r="I29" s="74"/>
      <c r="J29" s="86">
        <v>0.33333333333333331</v>
      </c>
      <c r="K29" s="81">
        <f t="shared" si="3"/>
        <v>0</v>
      </c>
      <c r="L29" s="82" t="str">
        <f t="shared" si="4"/>
        <v>-08:00</v>
      </c>
      <c r="M29" s="87"/>
      <c r="N29" s="88"/>
    </row>
    <row r="30" spans="2:14" s="43" customFormat="1" x14ac:dyDescent="0.3">
      <c r="B30" s="93">
        <f t="shared" si="2"/>
        <v>42846</v>
      </c>
      <c r="C30" s="84"/>
      <c r="D30" s="84"/>
      <c r="E30" s="84">
        <f t="shared" si="5"/>
        <v>0</v>
      </c>
      <c r="F30" s="84"/>
      <c r="G30" s="85">
        <f t="shared" si="6"/>
        <v>0</v>
      </c>
      <c r="H30" s="102"/>
      <c r="I30" s="74"/>
      <c r="J30" s="86">
        <v>0.33333333333333331</v>
      </c>
      <c r="K30" s="81">
        <f t="shared" si="3"/>
        <v>0</v>
      </c>
      <c r="L30" s="82" t="str">
        <f t="shared" si="4"/>
        <v>-08:00</v>
      </c>
      <c r="M30" s="87"/>
      <c r="N30" s="88"/>
    </row>
    <row r="31" spans="2:14" s="43" customFormat="1" x14ac:dyDescent="0.3">
      <c r="B31" s="93">
        <f t="shared" si="2"/>
        <v>42847</v>
      </c>
      <c r="C31" s="84"/>
      <c r="D31" s="84"/>
      <c r="E31" s="84">
        <f t="shared" si="5"/>
        <v>0</v>
      </c>
      <c r="F31" s="84"/>
      <c r="G31" s="85">
        <f t="shared" si="6"/>
        <v>0</v>
      </c>
      <c r="H31" s="102"/>
      <c r="I31" s="74"/>
      <c r="J31" s="86">
        <v>0.33333333333333331</v>
      </c>
      <c r="K31" s="81">
        <f t="shared" si="3"/>
        <v>0</v>
      </c>
      <c r="L31" s="82" t="str">
        <f t="shared" si="4"/>
        <v>-08:00</v>
      </c>
      <c r="M31" s="87"/>
    </row>
    <row r="32" spans="2:14" s="43" customFormat="1" x14ac:dyDescent="0.3">
      <c r="B32" s="93">
        <f t="shared" si="2"/>
        <v>42848</v>
      </c>
      <c r="C32" s="84"/>
      <c r="D32" s="84"/>
      <c r="E32" s="84">
        <f t="shared" si="5"/>
        <v>0</v>
      </c>
      <c r="F32" s="84"/>
      <c r="G32" s="85">
        <f t="shared" si="6"/>
        <v>0</v>
      </c>
      <c r="H32" s="102"/>
      <c r="I32" s="74"/>
      <c r="J32" s="86">
        <v>0.33333333333333331</v>
      </c>
      <c r="K32" s="81">
        <f t="shared" si="3"/>
        <v>0</v>
      </c>
      <c r="L32" s="82" t="str">
        <f t="shared" si="4"/>
        <v>-08:00</v>
      </c>
      <c r="M32" s="87"/>
    </row>
    <row r="33" spans="2:13" s="43" customFormat="1" x14ac:dyDescent="0.3">
      <c r="B33" s="93">
        <f t="shared" si="2"/>
        <v>42849</v>
      </c>
      <c r="C33" s="84"/>
      <c r="D33" s="84"/>
      <c r="E33" s="84">
        <f t="shared" si="5"/>
        <v>0</v>
      </c>
      <c r="F33" s="84"/>
      <c r="G33" s="85">
        <f t="shared" si="6"/>
        <v>0</v>
      </c>
      <c r="H33" s="102"/>
      <c r="I33" s="74"/>
      <c r="J33" s="86">
        <v>0</v>
      </c>
      <c r="K33" s="81">
        <f t="shared" si="3"/>
        <v>0</v>
      </c>
      <c r="L33" s="82" t="str">
        <f t="shared" si="4"/>
        <v/>
      </c>
      <c r="M33" s="87"/>
    </row>
    <row r="34" spans="2:13" s="43" customFormat="1" x14ac:dyDescent="0.3">
      <c r="B34" s="93">
        <f t="shared" si="2"/>
        <v>42850</v>
      </c>
      <c r="C34" s="84"/>
      <c r="D34" s="84"/>
      <c r="E34" s="84">
        <f t="shared" si="5"/>
        <v>0</v>
      </c>
      <c r="F34" s="84"/>
      <c r="G34" s="85">
        <f t="shared" si="6"/>
        <v>0</v>
      </c>
      <c r="H34" s="102"/>
      <c r="I34" s="74"/>
      <c r="J34" s="86"/>
      <c r="K34" s="81">
        <f t="shared" si="3"/>
        <v>0</v>
      </c>
      <c r="L34" s="82" t="str">
        <f t="shared" si="4"/>
        <v/>
      </c>
      <c r="M34" s="87"/>
    </row>
    <row r="35" spans="2:13" s="43" customFormat="1" x14ac:dyDescent="0.3">
      <c r="B35" s="93">
        <f t="shared" si="2"/>
        <v>42851</v>
      </c>
      <c r="C35" s="84"/>
      <c r="D35" s="84"/>
      <c r="E35" s="84">
        <f t="shared" si="5"/>
        <v>0</v>
      </c>
      <c r="F35" s="84"/>
      <c r="G35" s="85">
        <f t="shared" si="6"/>
        <v>0</v>
      </c>
      <c r="H35" s="102"/>
      <c r="I35" s="74"/>
      <c r="J35" s="86"/>
      <c r="K35" s="81">
        <f t="shared" si="3"/>
        <v>0</v>
      </c>
      <c r="L35" s="82" t="str">
        <f t="shared" si="4"/>
        <v/>
      </c>
      <c r="M35" s="87"/>
    </row>
    <row r="36" spans="2:13" s="43" customFormat="1" x14ac:dyDescent="0.3">
      <c r="B36" s="93">
        <f t="shared" si="2"/>
        <v>42852</v>
      </c>
      <c r="C36" s="84"/>
      <c r="D36" s="84"/>
      <c r="E36" s="84">
        <f t="shared" si="5"/>
        <v>0</v>
      </c>
      <c r="F36" s="84"/>
      <c r="G36" s="85">
        <f t="shared" si="6"/>
        <v>0</v>
      </c>
      <c r="H36" s="102"/>
      <c r="I36" s="74"/>
      <c r="J36" s="86">
        <v>0.33333333333333331</v>
      </c>
      <c r="K36" s="81">
        <f t="shared" si="3"/>
        <v>0</v>
      </c>
      <c r="L36" s="82" t="str">
        <f t="shared" si="4"/>
        <v>-08:00</v>
      </c>
      <c r="M36" s="87"/>
    </row>
    <row r="37" spans="2:13" s="43" customFormat="1" x14ac:dyDescent="0.3">
      <c r="B37" s="93">
        <f t="shared" si="2"/>
        <v>42853</v>
      </c>
      <c r="C37" s="84"/>
      <c r="D37" s="84"/>
      <c r="E37" s="84">
        <f t="shared" si="5"/>
        <v>0</v>
      </c>
      <c r="F37" s="84"/>
      <c r="G37" s="85">
        <f t="shared" si="6"/>
        <v>0</v>
      </c>
      <c r="H37" s="102"/>
      <c r="I37" s="74"/>
      <c r="J37" s="86">
        <v>0.33333333333333331</v>
      </c>
      <c r="K37" s="81">
        <f t="shared" si="3"/>
        <v>0</v>
      </c>
      <c r="L37" s="82" t="str">
        <f t="shared" si="4"/>
        <v>-08:00</v>
      </c>
      <c r="M37" s="87"/>
    </row>
    <row r="38" spans="2:13" s="43" customFormat="1" x14ac:dyDescent="0.3">
      <c r="B38" s="93">
        <f t="shared" si="2"/>
        <v>42854</v>
      </c>
      <c r="C38" s="84"/>
      <c r="D38" s="84"/>
      <c r="E38" s="84">
        <f t="shared" si="5"/>
        <v>0</v>
      </c>
      <c r="F38" s="84"/>
      <c r="G38" s="85">
        <f t="shared" si="6"/>
        <v>0</v>
      </c>
      <c r="H38" s="102"/>
      <c r="I38" s="74"/>
      <c r="J38" s="86">
        <v>0.33333333333333331</v>
      </c>
      <c r="K38" s="81">
        <f t="shared" si="3"/>
        <v>0</v>
      </c>
      <c r="L38" s="82" t="str">
        <f t="shared" si="4"/>
        <v>-08:00</v>
      </c>
      <c r="M38" s="87"/>
    </row>
    <row r="39" spans="2:13" s="43" customFormat="1" ht="15" thickBot="1" x14ac:dyDescent="0.35">
      <c r="B39" s="93">
        <f t="shared" si="2"/>
        <v>42855</v>
      </c>
      <c r="C39" s="84"/>
      <c r="D39" s="84"/>
      <c r="E39" s="84">
        <f t="shared" si="5"/>
        <v>0</v>
      </c>
      <c r="F39" s="84"/>
      <c r="G39" s="85">
        <f t="shared" si="6"/>
        <v>0</v>
      </c>
      <c r="H39" s="105"/>
      <c r="I39" s="74"/>
      <c r="J39" s="86">
        <v>0.33333333333333331</v>
      </c>
      <c r="K39" s="81">
        <f t="shared" si="3"/>
        <v>0</v>
      </c>
      <c r="L39" s="82" t="str">
        <f t="shared" si="4"/>
        <v>-08:00</v>
      </c>
      <c r="M39" s="87"/>
    </row>
    <row r="40" spans="2:13" s="29" customFormat="1" ht="18.600000000000001" thickBot="1" x14ac:dyDescent="0.35">
      <c r="B40" s="76" t="s">
        <v>2</v>
      </c>
      <c r="C40" s="72"/>
      <c r="D40" s="72"/>
      <c r="E40" s="77"/>
      <c r="F40" s="78"/>
      <c r="G40" s="77">
        <f>SUM(G10:G39)</f>
        <v>0</v>
      </c>
      <c r="H40" s="103"/>
      <c r="I40" s="74"/>
      <c r="J40" s="75">
        <f>SUM(J10:J39)</f>
        <v>4.6666666666666661</v>
      </c>
      <c r="K40" s="75">
        <f>SUM(K10:K39)</f>
        <v>0</v>
      </c>
      <c r="L40" s="75" t="str">
        <f>IF(K40&lt;J40,TEXT((ABS(K40-J40)),"-[h]:mm"),IF(K40=J40,"",K40-J40))</f>
        <v>-112:00</v>
      </c>
    </row>
    <row r="41" spans="2:13" ht="15" thickBot="1" x14ac:dyDescent="0.35">
      <c r="J41" s="19"/>
    </row>
    <row r="42" spans="2:13" x14ac:dyDescent="0.3">
      <c r="G42" s="116" t="s">
        <v>48</v>
      </c>
      <c r="H42" s="117"/>
    </row>
    <row r="43" spans="2:13" ht="15" thickBot="1" x14ac:dyDescent="0.35">
      <c r="G43" s="118"/>
      <c r="H43" s="119"/>
    </row>
    <row r="44" spans="2:13" ht="64.95" customHeight="1" thickBot="1" x14ac:dyDescent="0.35">
      <c r="G44" s="108" t="s">
        <v>49</v>
      </c>
      <c r="H44" s="104"/>
    </row>
    <row r="45" spans="2:13" s="90" customFormat="1" ht="15" thickBot="1" x14ac:dyDescent="0.35">
      <c r="G45" s="89" t="s">
        <v>43</v>
      </c>
      <c r="H45" s="100" t="s">
        <v>44</v>
      </c>
      <c r="I45" s="91"/>
      <c r="J45" s="91"/>
      <c r="K45" s="91"/>
      <c r="L45" s="91"/>
    </row>
  </sheetData>
  <mergeCells count="8">
    <mergeCell ref="L7:L9"/>
    <mergeCell ref="G42:H43"/>
    <mergeCell ref="B2:G2"/>
    <mergeCell ref="B4:B5"/>
    <mergeCell ref="C4:D5"/>
    <mergeCell ref="B6:B7"/>
    <mergeCell ref="J7:J9"/>
    <mergeCell ref="K7:K9"/>
  </mergeCells>
  <pageMargins left="0.25" right="0.25" top="0.75" bottom="0.75" header="0.3" footer="0.3"/>
  <pageSetup paperSize="9" scale="62" fitToHeight="0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70C0"/>
    <outlinePr summaryBelow="0" summaryRight="0"/>
    <pageSetUpPr fitToPage="1"/>
  </sheetPr>
  <dimension ref="B2:N46"/>
  <sheetViews>
    <sheetView topLeftCell="A28" workbookViewId="0">
      <selection activeCell="D50" sqref="D50"/>
    </sheetView>
  </sheetViews>
  <sheetFormatPr defaultColWidth="9.109375" defaultRowHeight="14.4" x14ac:dyDescent="0.3"/>
  <cols>
    <col min="1" max="1" width="3.6640625" style="1" customWidth="1"/>
    <col min="2" max="2" width="14.6640625" style="1" customWidth="1"/>
    <col min="3" max="6" width="12.6640625" style="1" customWidth="1"/>
    <col min="7" max="7" width="14.6640625" style="3" customWidth="1"/>
    <col min="8" max="8" width="50.6640625" style="96" customWidth="1"/>
    <col min="9" max="9" width="3" style="3" customWidth="1"/>
    <col min="10" max="12" width="7.6640625" style="3" hidden="1" customWidth="1"/>
    <col min="13" max="13" width="9.109375" style="1"/>
    <col min="14" max="14" width="12.44140625" style="1" bestFit="1" customWidth="1"/>
    <col min="15" max="16384" width="9.109375" style="1"/>
  </cols>
  <sheetData>
    <row r="2" spans="2:14" ht="64.95" customHeight="1" x14ac:dyDescent="0.3">
      <c r="B2" s="120" t="s">
        <v>38</v>
      </c>
      <c r="C2" s="121"/>
      <c r="D2" s="121"/>
      <c r="E2" s="121"/>
      <c r="F2" s="121"/>
      <c r="G2" s="121"/>
    </row>
    <row r="3" spans="2:14" ht="15" thickBot="1" x14ac:dyDescent="0.35">
      <c r="B3" s="4"/>
      <c r="G3" s="1"/>
    </row>
    <row r="4" spans="2:14" ht="19.95" customHeight="1" thickBot="1" x14ac:dyDescent="0.35">
      <c r="B4" s="122" t="s">
        <v>5</v>
      </c>
      <c r="C4" s="124" t="s">
        <v>46</v>
      </c>
      <c r="D4" s="124"/>
      <c r="E4" s="61"/>
      <c r="F4" s="64"/>
      <c r="G4" s="68" t="s">
        <v>39</v>
      </c>
      <c r="H4" s="97" t="s">
        <v>40</v>
      </c>
    </row>
    <row r="5" spans="2:14" ht="19.95" customHeight="1" thickBot="1" x14ac:dyDescent="0.35">
      <c r="B5" s="123"/>
      <c r="C5" s="125"/>
      <c r="D5" s="125"/>
      <c r="E5" s="8"/>
      <c r="F5" s="67"/>
      <c r="G5" s="69" t="s">
        <v>41</v>
      </c>
      <c r="H5" s="98" t="s">
        <v>42</v>
      </c>
    </row>
    <row r="6" spans="2:14" ht="19.95" customHeight="1" thickBot="1" x14ac:dyDescent="0.35">
      <c r="B6" s="126" t="s">
        <v>43</v>
      </c>
      <c r="C6" s="66" t="s">
        <v>44</v>
      </c>
      <c r="D6" s="8"/>
      <c r="E6" s="8"/>
      <c r="F6" s="67"/>
      <c r="G6" s="69" t="s">
        <v>7</v>
      </c>
      <c r="H6" s="99" t="s">
        <v>55</v>
      </c>
    </row>
    <row r="7" spans="2:14" ht="19.95" customHeight="1" thickBot="1" x14ac:dyDescent="0.35">
      <c r="B7" s="123"/>
      <c r="C7" s="62" t="s">
        <v>45</v>
      </c>
      <c r="D7" s="63"/>
      <c r="E7" s="63"/>
      <c r="F7" s="65"/>
      <c r="G7" s="70" t="s">
        <v>36</v>
      </c>
      <c r="H7" s="100" t="s">
        <v>56</v>
      </c>
      <c r="J7" s="113" t="s">
        <v>16</v>
      </c>
      <c r="K7" s="113" t="s">
        <v>17</v>
      </c>
      <c r="L7" s="113" t="s">
        <v>18</v>
      </c>
    </row>
    <row r="8" spans="2:14" ht="15" thickBot="1" x14ac:dyDescent="0.35">
      <c r="J8" s="114"/>
      <c r="K8" s="114"/>
      <c r="L8" s="114"/>
    </row>
    <row r="9" spans="2:14" ht="29.4" thickBot="1" x14ac:dyDescent="0.35">
      <c r="B9" s="71" t="s">
        <v>1</v>
      </c>
      <c r="C9" s="72" t="s">
        <v>12</v>
      </c>
      <c r="D9" s="72" t="s">
        <v>13</v>
      </c>
      <c r="E9" s="72" t="s">
        <v>0</v>
      </c>
      <c r="F9" s="72" t="s">
        <v>15</v>
      </c>
      <c r="G9" s="73" t="s">
        <v>37</v>
      </c>
      <c r="H9" s="95" t="s">
        <v>47</v>
      </c>
      <c r="J9" s="115"/>
      <c r="K9" s="115"/>
      <c r="L9" s="115"/>
    </row>
    <row r="10" spans="2:14" s="43" customFormat="1" x14ac:dyDescent="0.3">
      <c r="B10" s="92">
        <v>42856</v>
      </c>
      <c r="C10" s="84"/>
      <c r="D10" s="84"/>
      <c r="E10" s="84">
        <f t="shared" ref="E10:E27" si="0">D10-C10</f>
        <v>0</v>
      </c>
      <c r="F10" s="84"/>
      <c r="G10" s="79">
        <f t="shared" ref="G10:G26" si="1">E10-F10</f>
        <v>0</v>
      </c>
      <c r="H10" s="101"/>
      <c r="I10" s="74"/>
      <c r="J10" s="80"/>
      <c r="K10" s="81">
        <f>G10</f>
        <v>0</v>
      </c>
      <c r="L10" s="82" t="str">
        <f>IF(K10&lt;J10,TEXT((ABS(K10-J10)),"-hh:mm"),IF(K10=J10,"",K10-J10))</f>
        <v/>
      </c>
    </row>
    <row r="11" spans="2:14" s="43" customFormat="1" x14ac:dyDescent="0.3">
      <c r="B11" s="93">
        <f t="shared" ref="B11:B40" si="2">B10+1</f>
        <v>42857</v>
      </c>
      <c r="C11" s="84"/>
      <c r="D11" s="84"/>
      <c r="E11" s="84">
        <f t="shared" si="0"/>
        <v>0</v>
      </c>
      <c r="F11" s="84"/>
      <c r="G11" s="85">
        <f t="shared" si="1"/>
        <v>0</v>
      </c>
      <c r="H11" s="102"/>
      <c r="I11" s="74"/>
      <c r="J11" s="86"/>
      <c r="K11" s="81">
        <f t="shared" ref="K11:K40" si="3">G11</f>
        <v>0</v>
      </c>
      <c r="L11" s="82" t="str">
        <f t="shared" ref="L11:L40" si="4">IF(K11&lt;J11,TEXT((ABS(K11-J11)),"-hh:mm"),IF(K11=J11,"",K11-J11))</f>
        <v/>
      </c>
    </row>
    <row r="12" spans="2:14" s="43" customFormat="1" x14ac:dyDescent="0.3">
      <c r="B12" s="93">
        <f t="shared" si="2"/>
        <v>42858</v>
      </c>
      <c r="C12" s="83"/>
      <c r="D12" s="83"/>
      <c r="E12" s="84">
        <f t="shared" si="0"/>
        <v>0</v>
      </c>
      <c r="F12" s="83"/>
      <c r="G12" s="85">
        <f t="shared" si="1"/>
        <v>0</v>
      </c>
      <c r="H12" s="102"/>
      <c r="I12" s="74"/>
      <c r="J12" s="86"/>
      <c r="K12" s="81">
        <f t="shared" si="3"/>
        <v>0</v>
      </c>
      <c r="L12" s="82" t="str">
        <f t="shared" si="4"/>
        <v/>
      </c>
      <c r="N12" s="94"/>
    </row>
    <row r="13" spans="2:14" s="43" customFormat="1" x14ac:dyDescent="0.3">
      <c r="B13" s="93">
        <f t="shared" si="2"/>
        <v>42859</v>
      </c>
      <c r="C13" s="84"/>
      <c r="D13" s="84"/>
      <c r="E13" s="84">
        <f t="shared" si="0"/>
        <v>0</v>
      </c>
      <c r="F13" s="84"/>
      <c r="G13" s="85">
        <f t="shared" si="1"/>
        <v>0</v>
      </c>
      <c r="H13" s="102"/>
      <c r="I13" s="74"/>
      <c r="J13" s="86"/>
      <c r="K13" s="81">
        <f t="shared" si="3"/>
        <v>0</v>
      </c>
      <c r="L13" s="82" t="str">
        <f t="shared" si="4"/>
        <v/>
      </c>
    </row>
    <row r="14" spans="2:14" s="43" customFormat="1" x14ac:dyDescent="0.3">
      <c r="B14" s="93">
        <f t="shared" si="2"/>
        <v>42860</v>
      </c>
      <c r="C14" s="84"/>
      <c r="D14" s="84"/>
      <c r="E14" s="84">
        <f t="shared" si="0"/>
        <v>0</v>
      </c>
      <c r="F14" s="84"/>
      <c r="G14" s="85">
        <f t="shared" si="1"/>
        <v>0</v>
      </c>
      <c r="H14" s="102"/>
      <c r="I14" s="74"/>
      <c r="J14" s="86"/>
      <c r="K14" s="81">
        <f t="shared" si="3"/>
        <v>0</v>
      </c>
      <c r="L14" s="82" t="str">
        <f t="shared" si="4"/>
        <v/>
      </c>
    </row>
    <row r="15" spans="2:14" s="43" customFormat="1" x14ac:dyDescent="0.3">
      <c r="B15" s="93">
        <f t="shared" si="2"/>
        <v>42861</v>
      </c>
      <c r="C15" s="84"/>
      <c r="D15" s="84"/>
      <c r="E15" s="84">
        <f t="shared" si="0"/>
        <v>0</v>
      </c>
      <c r="F15" s="84"/>
      <c r="G15" s="85">
        <f t="shared" si="1"/>
        <v>0</v>
      </c>
      <c r="H15" s="102"/>
      <c r="I15" s="74"/>
      <c r="J15" s="86">
        <v>0.33333333333333331</v>
      </c>
      <c r="K15" s="81">
        <f t="shared" si="3"/>
        <v>0</v>
      </c>
      <c r="L15" s="82" t="str">
        <f t="shared" si="4"/>
        <v>-08:00</v>
      </c>
      <c r="M15" s="87"/>
    </row>
    <row r="16" spans="2:14" s="43" customFormat="1" x14ac:dyDescent="0.3">
      <c r="B16" s="93">
        <f t="shared" si="2"/>
        <v>42862</v>
      </c>
      <c r="C16" s="84"/>
      <c r="D16" s="84"/>
      <c r="E16" s="84">
        <f t="shared" si="0"/>
        <v>0</v>
      </c>
      <c r="F16" s="84"/>
      <c r="G16" s="85">
        <f t="shared" si="1"/>
        <v>0</v>
      </c>
      <c r="H16" s="102"/>
      <c r="I16" s="74"/>
      <c r="J16" s="86">
        <v>0.33333333333333331</v>
      </c>
      <c r="K16" s="81">
        <f t="shared" si="3"/>
        <v>0</v>
      </c>
      <c r="L16" s="82" t="str">
        <f t="shared" si="4"/>
        <v>-08:00</v>
      </c>
      <c r="M16" s="87"/>
    </row>
    <row r="17" spans="2:14" s="43" customFormat="1" x14ac:dyDescent="0.3">
      <c r="B17" s="93">
        <f t="shared" si="2"/>
        <v>42863</v>
      </c>
      <c r="C17" s="84"/>
      <c r="D17" s="84"/>
      <c r="E17" s="84">
        <f t="shared" si="0"/>
        <v>0</v>
      </c>
      <c r="F17" s="84"/>
      <c r="G17" s="85">
        <f t="shared" si="1"/>
        <v>0</v>
      </c>
      <c r="H17" s="102"/>
      <c r="I17" s="74"/>
      <c r="J17" s="86"/>
      <c r="K17" s="81">
        <f t="shared" si="3"/>
        <v>0</v>
      </c>
      <c r="L17" s="82" t="str">
        <f t="shared" si="4"/>
        <v/>
      </c>
      <c r="M17" s="87"/>
    </row>
    <row r="18" spans="2:14" s="43" customFormat="1" x14ac:dyDescent="0.3">
      <c r="B18" s="93">
        <f t="shared" si="2"/>
        <v>42864</v>
      </c>
      <c r="C18" s="84"/>
      <c r="D18" s="84"/>
      <c r="E18" s="84">
        <f t="shared" si="0"/>
        <v>0</v>
      </c>
      <c r="F18" s="84"/>
      <c r="G18" s="85">
        <f t="shared" si="1"/>
        <v>0</v>
      </c>
      <c r="H18" s="102"/>
      <c r="I18" s="74"/>
      <c r="J18" s="86"/>
      <c r="K18" s="81">
        <f t="shared" si="3"/>
        <v>0</v>
      </c>
      <c r="L18" s="82" t="str">
        <f t="shared" si="4"/>
        <v/>
      </c>
      <c r="M18" s="87"/>
    </row>
    <row r="19" spans="2:14" s="43" customFormat="1" x14ac:dyDescent="0.3">
      <c r="B19" s="93">
        <f t="shared" si="2"/>
        <v>42865</v>
      </c>
      <c r="C19" s="84"/>
      <c r="D19" s="84"/>
      <c r="E19" s="84">
        <f t="shared" si="0"/>
        <v>0</v>
      </c>
      <c r="F19" s="84"/>
      <c r="G19" s="85">
        <f t="shared" si="1"/>
        <v>0</v>
      </c>
      <c r="H19" s="102"/>
      <c r="I19" s="74"/>
      <c r="J19" s="86"/>
      <c r="K19" s="81">
        <f t="shared" si="3"/>
        <v>0</v>
      </c>
      <c r="L19" s="82" t="str">
        <f t="shared" si="4"/>
        <v/>
      </c>
      <c r="M19" s="87"/>
    </row>
    <row r="20" spans="2:14" s="43" customFormat="1" x14ac:dyDescent="0.3">
      <c r="B20" s="93">
        <f t="shared" si="2"/>
        <v>42866</v>
      </c>
      <c r="C20" s="84"/>
      <c r="D20" s="84"/>
      <c r="E20" s="84">
        <f t="shared" si="0"/>
        <v>0</v>
      </c>
      <c r="F20" s="84"/>
      <c r="G20" s="85">
        <f t="shared" si="1"/>
        <v>0</v>
      </c>
      <c r="H20" s="102"/>
      <c r="I20" s="74"/>
      <c r="J20" s="86"/>
      <c r="K20" s="81">
        <f t="shared" si="3"/>
        <v>0</v>
      </c>
      <c r="L20" s="82" t="str">
        <f t="shared" si="4"/>
        <v/>
      </c>
      <c r="M20" s="87"/>
    </row>
    <row r="21" spans="2:14" s="43" customFormat="1" x14ac:dyDescent="0.3">
      <c r="B21" s="93">
        <f t="shared" si="2"/>
        <v>42867</v>
      </c>
      <c r="C21" s="84"/>
      <c r="D21" s="84"/>
      <c r="E21" s="84">
        <f t="shared" si="0"/>
        <v>0</v>
      </c>
      <c r="F21" s="84"/>
      <c r="G21" s="85">
        <f t="shared" si="1"/>
        <v>0</v>
      </c>
      <c r="H21" s="102"/>
      <c r="I21" s="74"/>
      <c r="J21" s="86"/>
      <c r="K21" s="81">
        <f t="shared" si="3"/>
        <v>0</v>
      </c>
      <c r="L21" s="82" t="str">
        <f t="shared" si="4"/>
        <v/>
      </c>
      <c r="M21" s="87"/>
    </row>
    <row r="22" spans="2:14" s="43" customFormat="1" x14ac:dyDescent="0.3">
      <c r="B22" s="93">
        <f t="shared" si="2"/>
        <v>42868</v>
      </c>
      <c r="C22" s="84"/>
      <c r="D22" s="84"/>
      <c r="E22" s="84">
        <f t="shared" si="0"/>
        <v>0</v>
      </c>
      <c r="F22" s="84"/>
      <c r="G22" s="85">
        <f t="shared" si="1"/>
        <v>0</v>
      </c>
      <c r="H22" s="102"/>
      <c r="I22" s="74"/>
      <c r="J22" s="86">
        <v>0.33333333333333331</v>
      </c>
      <c r="K22" s="81">
        <f t="shared" si="3"/>
        <v>0</v>
      </c>
      <c r="L22" s="82" t="str">
        <f t="shared" si="4"/>
        <v>-08:00</v>
      </c>
      <c r="M22" s="87"/>
      <c r="N22" s="88"/>
    </row>
    <row r="23" spans="2:14" s="43" customFormat="1" x14ac:dyDescent="0.3">
      <c r="B23" s="93">
        <f t="shared" si="2"/>
        <v>42869</v>
      </c>
      <c r="C23" s="84"/>
      <c r="D23" s="84"/>
      <c r="E23" s="84">
        <f t="shared" si="0"/>
        <v>0</v>
      </c>
      <c r="F23" s="84"/>
      <c r="G23" s="85">
        <f t="shared" si="1"/>
        <v>0</v>
      </c>
      <c r="H23" s="102"/>
      <c r="I23" s="74"/>
      <c r="J23" s="86">
        <v>0.33333333333333331</v>
      </c>
      <c r="K23" s="81">
        <f t="shared" si="3"/>
        <v>0</v>
      </c>
      <c r="L23" s="82" t="str">
        <f t="shared" si="4"/>
        <v>-08:00</v>
      </c>
      <c r="M23" s="87"/>
      <c r="N23" s="88"/>
    </row>
    <row r="24" spans="2:14" s="43" customFormat="1" x14ac:dyDescent="0.3">
      <c r="B24" s="93">
        <f t="shared" si="2"/>
        <v>42870</v>
      </c>
      <c r="C24" s="84"/>
      <c r="D24" s="84"/>
      <c r="E24" s="84">
        <f t="shared" si="0"/>
        <v>0</v>
      </c>
      <c r="F24" s="84"/>
      <c r="G24" s="85">
        <f t="shared" si="1"/>
        <v>0</v>
      </c>
      <c r="H24" s="102"/>
      <c r="I24" s="74"/>
      <c r="J24" s="86">
        <v>0.33333333333333331</v>
      </c>
      <c r="K24" s="81">
        <f t="shared" si="3"/>
        <v>0</v>
      </c>
      <c r="L24" s="82" t="str">
        <f t="shared" si="4"/>
        <v>-08:00</v>
      </c>
      <c r="M24" s="87"/>
      <c r="N24" s="88"/>
    </row>
    <row r="25" spans="2:14" s="43" customFormat="1" x14ac:dyDescent="0.3">
      <c r="B25" s="93">
        <f t="shared" si="2"/>
        <v>42871</v>
      </c>
      <c r="C25" s="84"/>
      <c r="D25" s="84"/>
      <c r="E25" s="84">
        <f t="shared" si="0"/>
        <v>0</v>
      </c>
      <c r="F25" s="84"/>
      <c r="G25" s="85">
        <f t="shared" si="1"/>
        <v>0</v>
      </c>
      <c r="H25" s="102"/>
      <c r="I25" s="74"/>
      <c r="J25" s="86">
        <v>0.33333333333333331</v>
      </c>
      <c r="K25" s="81">
        <f t="shared" si="3"/>
        <v>0</v>
      </c>
      <c r="L25" s="82" t="str">
        <f t="shared" si="4"/>
        <v>-08:00</v>
      </c>
      <c r="M25" s="87"/>
      <c r="N25" s="88"/>
    </row>
    <row r="26" spans="2:14" s="43" customFormat="1" x14ac:dyDescent="0.3">
      <c r="B26" s="93">
        <f t="shared" si="2"/>
        <v>42872</v>
      </c>
      <c r="C26" s="84"/>
      <c r="D26" s="84"/>
      <c r="E26" s="84">
        <f t="shared" si="0"/>
        <v>0</v>
      </c>
      <c r="F26" s="84"/>
      <c r="G26" s="85">
        <f t="shared" si="1"/>
        <v>0</v>
      </c>
      <c r="H26" s="102"/>
      <c r="I26" s="74"/>
      <c r="J26" s="86"/>
      <c r="K26" s="81">
        <f t="shared" si="3"/>
        <v>0</v>
      </c>
      <c r="L26" s="82" t="str">
        <f t="shared" si="4"/>
        <v/>
      </c>
      <c r="M26" s="87"/>
      <c r="N26" s="88"/>
    </row>
    <row r="27" spans="2:14" s="43" customFormat="1" x14ac:dyDescent="0.3">
      <c r="B27" s="93">
        <f t="shared" si="2"/>
        <v>42873</v>
      </c>
      <c r="C27" s="84"/>
      <c r="D27" s="84"/>
      <c r="E27" s="84">
        <f t="shared" si="0"/>
        <v>0</v>
      </c>
      <c r="F27" s="84"/>
      <c r="G27" s="85">
        <f>E27-F27</f>
        <v>0</v>
      </c>
      <c r="H27" s="102"/>
      <c r="I27" s="74"/>
      <c r="J27" s="86"/>
      <c r="K27" s="81">
        <f t="shared" si="3"/>
        <v>0</v>
      </c>
      <c r="L27" s="82" t="str">
        <f t="shared" si="4"/>
        <v/>
      </c>
      <c r="M27" s="87"/>
      <c r="N27" s="88"/>
    </row>
    <row r="28" spans="2:14" s="43" customFormat="1" x14ac:dyDescent="0.3">
      <c r="B28" s="93">
        <f t="shared" si="2"/>
        <v>42874</v>
      </c>
      <c r="C28" s="84"/>
      <c r="D28" s="84"/>
      <c r="E28" s="84">
        <f>D28-C28</f>
        <v>0</v>
      </c>
      <c r="F28" s="84"/>
      <c r="G28" s="85">
        <f>E28-F28</f>
        <v>0</v>
      </c>
      <c r="H28" s="102"/>
      <c r="I28" s="74"/>
      <c r="J28" s="86"/>
      <c r="K28" s="81">
        <f t="shared" si="3"/>
        <v>0</v>
      </c>
      <c r="L28" s="82" t="str">
        <f t="shared" si="4"/>
        <v/>
      </c>
      <c r="M28" s="87"/>
      <c r="N28" s="88"/>
    </row>
    <row r="29" spans="2:14" s="43" customFormat="1" x14ac:dyDescent="0.3">
      <c r="B29" s="93">
        <f t="shared" si="2"/>
        <v>42875</v>
      </c>
      <c r="C29" s="84"/>
      <c r="D29" s="84"/>
      <c r="E29" s="84">
        <f t="shared" ref="E29:E40" si="5">D29-C29</f>
        <v>0</v>
      </c>
      <c r="F29" s="84"/>
      <c r="G29" s="85">
        <f t="shared" ref="G29:G40" si="6">E29-F29</f>
        <v>0</v>
      </c>
      <c r="H29" s="102"/>
      <c r="I29" s="74"/>
      <c r="J29" s="86">
        <v>0.33333333333333331</v>
      </c>
      <c r="K29" s="81">
        <f t="shared" si="3"/>
        <v>0</v>
      </c>
      <c r="L29" s="82" t="str">
        <f t="shared" si="4"/>
        <v>-08:00</v>
      </c>
      <c r="M29" s="87"/>
      <c r="N29" s="88"/>
    </row>
    <row r="30" spans="2:14" s="43" customFormat="1" x14ac:dyDescent="0.3">
      <c r="B30" s="93">
        <f t="shared" si="2"/>
        <v>42876</v>
      </c>
      <c r="C30" s="84"/>
      <c r="D30" s="84"/>
      <c r="E30" s="84">
        <f t="shared" si="5"/>
        <v>0</v>
      </c>
      <c r="F30" s="84"/>
      <c r="G30" s="85">
        <f t="shared" si="6"/>
        <v>0</v>
      </c>
      <c r="H30" s="102"/>
      <c r="I30" s="74"/>
      <c r="J30" s="86">
        <v>0.33333333333333331</v>
      </c>
      <c r="K30" s="81">
        <f t="shared" si="3"/>
        <v>0</v>
      </c>
      <c r="L30" s="82" t="str">
        <f t="shared" si="4"/>
        <v>-08:00</v>
      </c>
      <c r="M30" s="87"/>
      <c r="N30" s="88"/>
    </row>
    <row r="31" spans="2:14" s="43" customFormat="1" x14ac:dyDescent="0.3">
      <c r="B31" s="93">
        <f t="shared" si="2"/>
        <v>42877</v>
      </c>
      <c r="C31" s="84"/>
      <c r="D31" s="84"/>
      <c r="E31" s="84">
        <f t="shared" si="5"/>
        <v>0</v>
      </c>
      <c r="F31" s="84"/>
      <c r="G31" s="85">
        <f t="shared" si="6"/>
        <v>0</v>
      </c>
      <c r="H31" s="102"/>
      <c r="I31" s="74"/>
      <c r="J31" s="86">
        <v>0.33333333333333331</v>
      </c>
      <c r="K31" s="81">
        <f t="shared" si="3"/>
        <v>0</v>
      </c>
      <c r="L31" s="82" t="str">
        <f t="shared" si="4"/>
        <v>-08:00</v>
      </c>
      <c r="M31" s="87"/>
    </row>
    <row r="32" spans="2:14" s="43" customFormat="1" x14ac:dyDescent="0.3">
      <c r="B32" s="93">
        <f t="shared" si="2"/>
        <v>42878</v>
      </c>
      <c r="C32" s="84"/>
      <c r="D32" s="84"/>
      <c r="E32" s="84">
        <f t="shared" si="5"/>
        <v>0</v>
      </c>
      <c r="F32" s="84"/>
      <c r="G32" s="85">
        <f t="shared" si="6"/>
        <v>0</v>
      </c>
      <c r="H32" s="102"/>
      <c r="I32" s="74"/>
      <c r="J32" s="86">
        <v>0.33333333333333331</v>
      </c>
      <c r="K32" s="81">
        <f t="shared" si="3"/>
        <v>0</v>
      </c>
      <c r="L32" s="82" t="str">
        <f t="shared" si="4"/>
        <v>-08:00</v>
      </c>
      <c r="M32" s="87"/>
    </row>
    <row r="33" spans="2:13" s="43" customFormat="1" x14ac:dyDescent="0.3">
      <c r="B33" s="93">
        <f t="shared" si="2"/>
        <v>42879</v>
      </c>
      <c r="C33" s="84"/>
      <c r="D33" s="84"/>
      <c r="E33" s="84">
        <f t="shared" si="5"/>
        <v>0</v>
      </c>
      <c r="F33" s="84"/>
      <c r="G33" s="85">
        <f t="shared" si="6"/>
        <v>0</v>
      </c>
      <c r="H33" s="102"/>
      <c r="I33" s="74"/>
      <c r="J33" s="86">
        <v>0</v>
      </c>
      <c r="K33" s="81">
        <f t="shared" si="3"/>
        <v>0</v>
      </c>
      <c r="L33" s="82" t="str">
        <f t="shared" si="4"/>
        <v/>
      </c>
      <c r="M33" s="87"/>
    </row>
    <row r="34" spans="2:13" s="43" customFormat="1" x14ac:dyDescent="0.3">
      <c r="B34" s="93">
        <f t="shared" si="2"/>
        <v>42880</v>
      </c>
      <c r="C34" s="84"/>
      <c r="D34" s="84"/>
      <c r="E34" s="84">
        <f t="shared" si="5"/>
        <v>0</v>
      </c>
      <c r="F34" s="84"/>
      <c r="G34" s="85">
        <f t="shared" si="6"/>
        <v>0</v>
      </c>
      <c r="H34" s="102"/>
      <c r="I34" s="74"/>
      <c r="J34" s="86"/>
      <c r="K34" s="81">
        <f t="shared" si="3"/>
        <v>0</v>
      </c>
      <c r="L34" s="82" t="str">
        <f t="shared" si="4"/>
        <v/>
      </c>
      <c r="M34" s="87"/>
    </row>
    <row r="35" spans="2:13" s="43" customFormat="1" x14ac:dyDescent="0.3">
      <c r="B35" s="93">
        <f t="shared" si="2"/>
        <v>42881</v>
      </c>
      <c r="C35" s="84"/>
      <c r="D35" s="84"/>
      <c r="E35" s="84">
        <f t="shared" si="5"/>
        <v>0</v>
      </c>
      <c r="F35" s="84"/>
      <c r="G35" s="85">
        <f t="shared" si="6"/>
        <v>0</v>
      </c>
      <c r="H35" s="102"/>
      <c r="I35" s="74"/>
      <c r="J35" s="86"/>
      <c r="K35" s="81">
        <f t="shared" si="3"/>
        <v>0</v>
      </c>
      <c r="L35" s="82" t="str">
        <f t="shared" si="4"/>
        <v/>
      </c>
      <c r="M35" s="87"/>
    </row>
    <row r="36" spans="2:13" s="43" customFormat="1" x14ac:dyDescent="0.3">
      <c r="B36" s="93">
        <f t="shared" si="2"/>
        <v>42882</v>
      </c>
      <c r="C36" s="84"/>
      <c r="D36" s="84"/>
      <c r="E36" s="84">
        <f t="shared" si="5"/>
        <v>0</v>
      </c>
      <c r="F36" s="84"/>
      <c r="G36" s="85">
        <f t="shared" si="6"/>
        <v>0</v>
      </c>
      <c r="H36" s="102"/>
      <c r="I36" s="74"/>
      <c r="J36" s="86">
        <v>0.33333333333333331</v>
      </c>
      <c r="K36" s="81">
        <f t="shared" si="3"/>
        <v>0</v>
      </c>
      <c r="L36" s="82" t="str">
        <f t="shared" si="4"/>
        <v>-08:00</v>
      </c>
      <c r="M36" s="87"/>
    </row>
    <row r="37" spans="2:13" s="43" customFormat="1" x14ac:dyDescent="0.3">
      <c r="B37" s="93">
        <f t="shared" si="2"/>
        <v>42883</v>
      </c>
      <c r="C37" s="84"/>
      <c r="D37" s="84"/>
      <c r="E37" s="84">
        <f t="shared" si="5"/>
        <v>0</v>
      </c>
      <c r="F37" s="84"/>
      <c r="G37" s="85">
        <f t="shared" si="6"/>
        <v>0</v>
      </c>
      <c r="H37" s="102"/>
      <c r="I37" s="74"/>
      <c r="J37" s="86">
        <v>0.33333333333333331</v>
      </c>
      <c r="K37" s="81">
        <f t="shared" si="3"/>
        <v>0</v>
      </c>
      <c r="L37" s="82" t="str">
        <f t="shared" si="4"/>
        <v>-08:00</v>
      </c>
      <c r="M37" s="87"/>
    </row>
    <row r="38" spans="2:13" s="43" customFormat="1" x14ac:dyDescent="0.3">
      <c r="B38" s="93">
        <f t="shared" si="2"/>
        <v>42884</v>
      </c>
      <c r="C38" s="84"/>
      <c r="D38" s="84"/>
      <c r="E38" s="84">
        <f t="shared" si="5"/>
        <v>0</v>
      </c>
      <c r="F38" s="84"/>
      <c r="G38" s="85">
        <f t="shared" si="6"/>
        <v>0</v>
      </c>
      <c r="H38" s="102"/>
      <c r="I38" s="74"/>
      <c r="J38" s="86">
        <v>0.33333333333333331</v>
      </c>
      <c r="K38" s="81">
        <f t="shared" si="3"/>
        <v>0</v>
      </c>
      <c r="L38" s="82" t="str">
        <f t="shared" si="4"/>
        <v>-08:00</v>
      </c>
      <c r="M38" s="87"/>
    </row>
    <row r="39" spans="2:13" s="43" customFormat="1" x14ac:dyDescent="0.3">
      <c r="B39" s="93">
        <f t="shared" si="2"/>
        <v>42885</v>
      </c>
      <c r="C39" s="84"/>
      <c r="D39" s="84"/>
      <c r="E39" s="84">
        <f t="shared" ref="E39" si="7">D39-C39</f>
        <v>0</v>
      </c>
      <c r="F39" s="84"/>
      <c r="G39" s="85">
        <f t="shared" ref="G39" si="8">E39-F39</f>
        <v>0</v>
      </c>
      <c r="H39" s="105"/>
      <c r="I39" s="74"/>
      <c r="J39" s="86">
        <v>0.33333333333333331</v>
      </c>
      <c r="K39" s="81">
        <f t="shared" ref="K39" si="9">G39</f>
        <v>0</v>
      </c>
      <c r="L39" s="82" t="str">
        <f t="shared" ref="L39" si="10">IF(K39&lt;J39,TEXT((ABS(K39-J39)),"-hh:mm"),IF(K39=J39,"",K39-J39))</f>
        <v>-08:00</v>
      </c>
      <c r="M39" s="87"/>
    </row>
    <row r="40" spans="2:13" s="43" customFormat="1" ht="15" thickBot="1" x14ac:dyDescent="0.35">
      <c r="B40" s="93">
        <f t="shared" si="2"/>
        <v>42886</v>
      </c>
      <c r="C40" s="84"/>
      <c r="D40" s="84"/>
      <c r="E40" s="84">
        <f t="shared" si="5"/>
        <v>0</v>
      </c>
      <c r="F40" s="84"/>
      <c r="G40" s="85">
        <f t="shared" si="6"/>
        <v>0</v>
      </c>
      <c r="H40" s="105"/>
      <c r="I40" s="74"/>
      <c r="J40" s="86">
        <v>0.33333333333333331</v>
      </c>
      <c r="K40" s="81">
        <f t="shared" si="3"/>
        <v>0</v>
      </c>
      <c r="L40" s="82" t="str">
        <f t="shared" si="4"/>
        <v>-08:00</v>
      </c>
      <c r="M40" s="87"/>
    </row>
    <row r="41" spans="2:13" s="29" customFormat="1" ht="18.600000000000001" thickBot="1" x14ac:dyDescent="0.35">
      <c r="B41" s="76" t="s">
        <v>2</v>
      </c>
      <c r="C41" s="72"/>
      <c r="D41" s="72"/>
      <c r="E41" s="77"/>
      <c r="F41" s="78"/>
      <c r="G41" s="77">
        <f>SUM(G10:G40)</f>
        <v>0</v>
      </c>
      <c r="H41" s="103"/>
      <c r="I41" s="74"/>
      <c r="J41" s="75">
        <f>SUM(J10:J40)</f>
        <v>4.9999999999999991</v>
      </c>
      <c r="K41" s="75">
        <f>SUM(K10:K40)</f>
        <v>0</v>
      </c>
      <c r="L41" s="75" t="str">
        <f>IF(K41&lt;J41,TEXT((ABS(K41-J41)),"-[h]:mm"),IF(K41=J41,"",K41-J41))</f>
        <v>-120:00</v>
      </c>
    </row>
    <row r="42" spans="2:13" ht="15" thickBot="1" x14ac:dyDescent="0.35">
      <c r="J42" s="19"/>
    </row>
    <row r="43" spans="2:13" x14ac:dyDescent="0.3">
      <c r="G43" s="116" t="s">
        <v>48</v>
      </c>
      <c r="H43" s="117"/>
    </row>
    <row r="44" spans="2:13" ht="15" thickBot="1" x14ac:dyDescent="0.35">
      <c r="G44" s="118"/>
      <c r="H44" s="119"/>
    </row>
    <row r="45" spans="2:13" ht="64.95" customHeight="1" thickBot="1" x14ac:dyDescent="0.35">
      <c r="G45" s="108" t="s">
        <v>49</v>
      </c>
      <c r="H45" s="104"/>
    </row>
    <row r="46" spans="2:13" s="90" customFormat="1" ht="15" thickBot="1" x14ac:dyDescent="0.35">
      <c r="G46" s="89" t="s">
        <v>43</v>
      </c>
      <c r="H46" s="100" t="s">
        <v>44</v>
      </c>
      <c r="I46" s="91"/>
      <c r="J46" s="91"/>
      <c r="K46" s="91"/>
      <c r="L46" s="91"/>
    </row>
  </sheetData>
  <mergeCells count="8">
    <mergeCell ref="L7:L9"/>
    <mergeCell ref="G43:H44"/>
    <mergeCell ref="B2:G2"/>
    <mergeCell ref="B4:B5"/>
    <mergeCell ref="C4:D5"/>
    <mergeCell ref="B6:B7"/>
    <mergeCell ref="J7:J9"/>
    <mergeCell ref="K7:K9"/>
  </mergeCells>
  <pageMargins left="0.25" right="0.25" top="0.75" bottom="0.75" header="0.3" footer="0.3"/>
  <pageSetup paperSize="9" scale="62" fitToHeight="0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70C0"/>
    <outlinePr summaryBelow="0" summaryRight="0"/>
    <pageSetUpPr fitToPage="1"/>
  </sheetPr>
  <dimension ref="B2:N45"/>
  <sheetViews>
    <sheetView topLeftCell="A25" workbookViewId="0">
      <selection activeCell="A44" sqref="A44:XFD44"/>
    </sheetView>
  </sheetViews>
  <sheetFormatPr defaultColWidth="9.109375" defaultRowHeight="14.4" x14ac:dyDescent="0.3"/>
  <cols>
    <col min="1" max="1" width="3.6640625" style="1" customWidth="1"/>
    <col min="2" max="2" width="14.6640625" style="1" customWidth="1"/>
    <col min="3" max="6" width="12.6640625" style="1" customWidth="1"/>
    <col min="7" max="7" width="14.6640625" style="3" customWidth="1"/>
    <col min="8" max="8" width="50.6640625" style="96" customWidth="1"/>
    <col min="9" max="9" width="3" style="3" customWidth="1"/>
    <col min="10" max="12" width="7.6640625" style="3" hidden="1" customWidth="1"/>
    <col min="13" max="13" width="9.109375" style="1"/>
    <col min="14" max="14" width="12.44140625" style="1" customWidth="1"/>
    <col min="15" max="16384" width="9.109375" style="1"/>
  </cols>
  <sheetData>
    <row r="2" spans="2:14" ht="64.95" customHeight="1" x14ac:dyDescent="0.3">
      <c r="B2" s="120" t="s">
        <v>38</v>
      </c>
      <c r="C2" s="121"/>
      <c r="D2" s="121"/>
      <c r="E2" s="121"/>
      <c r="F2" s="121"/>
      <c r="G2" s="121"/>
    </row>
    <row r="3" spans="2:14" ht="15" thickBot="1" x14ac:dyDescent="0.35">
      <c r="B3" s="4"/>
      <c r="G3" s="1"/>
    </row>
    <row r="4" spans="2:14" ht="19.95" customHeight="1" thickBot="1" x14ac:dyDescent="0.35">
      <c r="B4" s="122" t="s">
        <v>5</v>
      </c>
      <c r="C4" s="124" t="s">
        <v>46</v>
      </c>
      <c r="D4" s="124"/>
      <c r="E4" s="61"/>
      <c r="F4" s="64"/>
      <c r="G4" s="68" t="s">
        <v>39</v>
      </c>
      <c r="H4" s="97" t="s">
        <v>40</v>
      </c>
    </row>
    <row r="5" spans="2:14" ht="19.95" customHeight="1" thickBot="1" x14ac:dyDescent="0.35">
      <c r="B5" s="123"/>
      <c r="C5" s="125"/>
      <c r="D5" s="125"/>
      <c r="E5" s="8"/>
      <c r="F5" s="67"/>
      <c r="G5" s="69" t="s">
        <v>41</v>
      </c>
      <c r="H5" s="98" t="s">
        <v>42</v>
      </c>
    </row>
    <row r="6" spans="2:14" ht="19.95" customHeight="1" thickBot="1" x14ac:dyDescent="0.35">
      <c r="B6" s="126" t="s">
        <v>43</v>
      </c>
      <c r="C6" s="66" t="s">
        <v>44</v>
      </c>
      <c r="D6" s="8"/>
      <c r="E6" s="8"/>
      <c r="F6" s="67"/>
      <c r="G6" s="69" t="s">
        <v>7</v>
      </c>
      <c r="H6" s="99" t="s">
        <v>62</v>
      </c>
    </row>
    <row r="7" spans="2:14" ht="19.95" customHeight="1" thickBot="1" x14ac:dyDescent="0.35">
      <c r="B7" s="123"/>
      <c r="C7" s="62" t="s">
        <v>45</v>
      </c>
      <c r="D7" s="63"/>
      <c r="E7" s="63"/>
      <c r="F7" s="65"/>
      <c r="G7" s="70" t="s">
        <v>36</v>
      </c>
      <c r="H7" s="100" t="s">
        <v>56</v>
      </c>
      <c r="J7" s="113" t="s">
        <v>16</v>
      </c>
      <c r="K7" s="113" t="s">
        <v>17</v>
      </c>
      <c r="L7" s="113" t="s">
        <v>18</v>
      </c>
    </row>
    <row r="8" spans="2:14" ht="15" thickBot="1" x14ac:dyDescent="0.35">
      <c r="J8" s="114"/>
      <c r="K8" s="114"/>
      <c r="L8" s="114"/>
    </row>
    <row r="9" spans="2:14" ht="29.4" thickBot="1" x14ac:dyDescent="0.35">
      <c r="B9" s="71" t="s">
        <v>1</v>
      </c>
      <c r="C9" s="72" t="s">
        <v>12</v>
      </c>
      <c r="D9" s="72" t="s">
        <v>13</v>
      </c>
      <c r="E9" s="72" t="s">
        <v>0</v>
      </c>
      <c r="F9" s="72" t="s">
        <v>15</v>
      </c>
      <c r="G9" s="73" t="s">
        <v>37</v>
      </c>
      <c r="H9" s="95" t="s">
        <v>47</v>
      </c>
      <c r="J9" s="115"/>
      <c r="K9" s="115"/>
      <c r="L9" s="115"/>
    </row>
    <row r="10" spans="2:14" s="43" customFormat="1" x14ac:dyDescent="0.3">
      <c r="B10" s="92">
        <v>42887</v>
      </c>
      <c r="C10" s="84"/>
      <c r="D10" s="84"/>
      <c r="E10" s="84">
        <f t="shared" ref="E10:E27" si="0">D10-C10</f>
        <v>0</v>
      </c>
      <c r="F10" s="84"/>
      <c r="G10" s="79">
        <f t="shared" ref="G10:G26" si="1">E10-F10</f>
        <v>0</v>
      </c>
      <c r="H10" s="101"/>
      <c r="I10" s="74"/>
      <c r="J10" s="80"/>
      <c r="K10" s="81">
        <f>G10</f>
        <v>0</v>
      </c>
      <c r="L10" s="82" t="str">
        <f>IF(K10&lt;J10,TEXT((ABS(K10-J10)),"-hh:mm"),IF(K10=J10,"",K10-J10))</f>
        <v/>
      </c>
    </row>
    <row r="11" spans="2:14" s="43" customFormat="1" x14ac:dyDescent="0.3">
      <c r="B11" s="93">
        <f t="shared" ref="B11:B39" si="2">B10+1</f>
        <v>42888</v>
      </c>
      <c r="C11" s="84"/>
      <c r="D11" s="84"/>
      <c r="E11" s="84">
        <f t="shared" si="0"/>
        <v>0</v>
      </c>
      <c r="F11" s="84"/>
      <c r="G11" s="85">
        <f t="shared" si="1"/>
        <v>0</v>
      </c>
      <c r="H11" s="102"/>
      <c r="I11" s="74"/>
      <c r="J11" s="86"/>
      <c r="K11" s="81">
        <f t="shared" ref="K11:K39" si="3">G11</f>
        <v>0</v>
      </c>
      <c r="L11" s="82" t="str">
        <f t="shared" ref="L11:L39" si="4">IF(K11&lt;J11,TEXT((ABS(K11-J11)),"-hh:mm"),IF(K11=J11,"",K11-J11))</f>
        <v/>
      </c>
    </row>
    <row r="12" spans="2:14" s="43" customFormat="1" x14ac:dyDescent="0.3">
      <c r="B12" s="93">
        <f t="shared" si="2"/>
        <v>42889</v>
      </c>
      <c r="C12" s="83"/>
      <c r="D12" s="83"/>
      <c r="E12" s="84">
        <f t="shared" si="0"/>
        <v>0</v>
      </c>
      <c r="F12" s="83"/>
      <c r="G12" s="85">
        <f t="shared" si="1"/>
        <v>0</v>
      </c>
      <c r="H12" s="102"/>
      <c r="I12" s="74"/>
      <c r="J12" s="86"/>
      <c r="K12" s="81">
        <f t="shared" si="3"/>
        <v>0</v>
      </c>
      <c r="L12" s="82" t="str">
        <f t="shared" si="4"/>
        <v/>
      </c>
      <c r="N12" s="94"/>
    </row>
    <row r="13" spans="2:14" s="43" customFormat="1" x14ac:dyDescent="0.3">
      <c r="B13" s="93">
        <f t="shared" si="2"/>
        <v>42890</v>
      </c>
      <c r="C13" s="84"/>
      <c r="D13" s="84"/>
      <c r="E13" s="84">
        <f t="shared" si="0"/>
        <v>0</v>
      </c>
      <c r="F13" s="84"/>
      <c r="G13" s="85">
        <f t="shared" si="1"/>
        <v>0</v>
      </c>
      <c r="H13" s="102"/>
      <c r="I13" s="74"/>
      <c r="J13" s="86"/>
      <c r="K13" s="81">
        <f t="shared" si="3"/>
        <v>0</v>
      </c>
      <c r="L13" s="82" t="str">
        <f t="shared" si="4"/>
        <v/>
      </c>
    </row>
    <row r="14" spans="2:14" s="43" customFormat="1" x14ac:dyDescent="0.3">
      <c r="B14" s="93">
        <f t="shared" si="2"/>
        <v>42891</v>
      </c>
      <c r="C14" s="84"/>
      <c r="D14" s="84"/>
      <c r="E14" s="84">
        <f t="shared" si="0"/>
        <v>0</v>
      </c>
      <c r="F14" s="84"/>
      <c r="G14" s="85">
        <f t="shared" si="1"/>
        <v>0</v>
      </c>
      <c r="H14" s="102"/>
      <c r="I14" s="74"/>
      <c r="J14" s="86"/>
      <c r="K14" s="81">
        <f t="shared" si="3"/>
        <v>0</v>
      </c>
      <c r="L14" s="82" t="str">
        <f t="shared" si="4"/>
        <v/>
      </c>
    </row>
    <row r="15" spans="2:14" s="43" customFormat="1" x14ac:dyDescent="0.3">
      <c r="B15" s="93">
        <f t="shared" si="2"/>
        <v>42892</v>
      </c>
      <c r="C15" s="84"/>
      <c r="D15" s="84"/>
      <c r="E15" s="84">
        <f t="shared" si="0"/>
        <v>0</v>
      </c>
      <c r="F15" s="84"/>
      <c r="G15" s="85">
        <f t="shared" si="1"/>
        <v>0</v>
      </c>
      <c r="H15" s="102"/>
      <c r="I15" s="74"/>
      <c r="J15" s="86">
        <v>0.33333333333333331</v>
      </c>
      <c r="K15" s="81">
        <f t="shared" si="3"/>
        <v>0</v>
      </c>
      <c r="L15" s="82" t="str">
        <f t="shared" si="4"/>
        <v>-08:00</v>
      </c>
      <c r="M15" s="87"/>
    </row>
    <row r="16" spans="2:14" s="43" customFormat="1" x14ac:dyDescent="0.3">
      <c r="B16" s="93">
        <f t="shared" si="2"/>
        <v>42893</v>
      </c>
      <c r="C16" s="84"/>
      <c r="D16" s="84"/>
      <c r="E16" s="84">
        <f t="shared" si="0"/>
        <v>0</v>
      </c>
      <c r="F16" s="84"/>
      <c r="G16" s="85">
        <f t="shared" si="1"/>
        <v>0</v>
      </c>
      <c r="H16" s="102"/>
      <c r="I16" s="74"/>
      <c r="J16" s="86">
        <v>0.33333333333333331</v>
      </c>
      <c r="K16" s="81">
        <f t="shared" si="3"/>
        <v>0</v>
      </c>
      <c r="L16" s="82" t="str">
        <f t="shared" si="4"/>
        <v>-08:00</v>
      </c>
      <c r="M16" s="87"/>
    </row>
    <row r="17" spans="2:14" s="43" customFormat="1" x14ac:dyDescent="0.3">
      <c r="B17" s="93">
        <f t="shared" si="2"/>
        <v>42894</v>
      </c>
      <c r="C17" s="84"/>
      <c r="D17" s="84"/>
      <c r="E17" s="84">
        <f t="shared" si="0"/>
        <v>0</v>
      </c>
      <c r="F17" s="84"/>
      <c r="G17" s="85">
        <f t="shared" si="1"/>
        <v>0</v>
      </c>
      <c r="H17" s="102"/>
      <c r="I17" s="74"/>
      <c r="J17" s="86"/>
      <c r="K17" s="81">
        <f t="shared" si="3"/>
        <v>0</v>
      </c>
      <c r="L17" s="82" t="str">
        <f t="shared" si="4"/>
        <v/>
      </c>
      <c r="M17" s="87"/>
    </row>
    <row r="18" spans="2:14" s="43" customFormat="1" x14ac:dyDescent="0.3">
      <c r="B18" s="93">
        <f t="shared" si="2"/>
        <v>42895</v>
      </c>
      <c r="C18" s="84"/>
      <c r="D18" s="84"/>
      <c r="E18" s="84">
        <f t="shared" si="0"/>
        <v>0</v>
      </c>
      <c r="F18" s="84"/>
      <c r="G18" s="85">
        <f t="shared" si="1"/>
        <v>0</v>
      </c>
      <c r="H18" s="102"/>
      <c r="I18" s="74"/>
      <c r="J18" s="86"/>
      <c r="K18" s="81">
        <f t="shared" si="3"/>
        <v>0</v>
      </c>
      <c r="L18" s="82" t="str">
        <f t="shared" si="4"/>
        <v/>
      </c>
      <c r="M18" s="87"/>
    </row>
    <row r="19" spans="2:14" s="43" customFormat="1" x14ac:dyDescent="0.3">
      <c r="B19" s="93">
        <f t="shared" si="2"/>
        <v>42896</v>
      </c>
      <c r="C19" s="84"/>
      <c r="D19" s="84"/>
      <c r="E19" s="84">
        <f t="shared" si="0"/>
        <v>0</v>
      </c>
      <c r="F19" s="84"/>
      <c r="G19" s="85">
        <f t="shared" si="1"/>
        <v>0</v>
      </c>
      <c r="H19" s="102"/>
      <c r="I19" s="74"/>
      <c r="J19" s="86"/>
      <c r="K19" s="81">
        <f t="shared" si="3"/>
        <v>0</v>
      </c>
      <c r="L19" s="82" t="str">
        <f t="shared" si="4"/>
        <v/>
      </c>
      <c r="M19" s="87"/>
    </row>
    <row r="20" spans="2:14" s="43" customFormat="1" x14ac:dyDescent="0.3">
      <c r="B20" s="93">
        <f t="shared" si="2"/>
        <v>42897</v>
      </c>
      <c r="C20" s="84"/>
      <c r="D20" s="84"/>
      <c r="E20" s="84">
        <f t="shared" si="0"/>
        <v>0</v>
      </c>
      <c r="F20" s="84"/>
      <c r="G20" s="85">
        <f t="shared" si="1"/>
        <v>0</v>
      </c>
      <c r="H20" s="102"/>
      <c r="I20" s="74"/>
      <c r="J20" s="86"/>
      <c r="K20" s="81">
        <f t="shared" si="3"/>
        <v>0</v>
      </c>
      <c r="L20" s="82" t="str">
        <f t="shared" si="4"/>
        <v/>
      </c>
      <c r="M20" s="87"/>
    </row>
    <row r="21" spans="2:14" s="43" customFormat="1" x14ac:dyDescent="0.3">
      <c r="B21" s="93">
        <f t="shared" si="2"/>
        <v>42898</v>
      </c>
      <c r="C21" s="84"/>
      <c r="D21" s="84"/>
      <c r="E21" s="84">
        <f t="shared" si="0"/>
        <v>0</v>
      </c>
      <c r="F21" s="84"/>
      <c r="G21" s="85">
        <f t="shared" si="1"/>
        <v>0</v>
      </c>
      <c r="H21" s="102"/>
      <c r="I21" s="74"/>
      <c r="J21" s="86"/>
      <c r="K21" s="81">
        <f t="shared" si="3"/>
        <v>0</v>
      </c>
      <c r="L21" s="82" t="str">
        <f t="shared" si="4"/>
        <v/>
      </c>
      <c r="M21" s="87"/>
    </row>
    <row r="22" spans="2:14" s="43" customFormat="1" x14ac:dyDescent="0.3">
      <c r="B22" s="93">
        <f t="shared" si="2"/>
        <v>42899</v>
      </c>
      <c r="C22" s="84"/>
      <c r="D22" s="84"/>
      <c r="E22" s="84">
        <f t="shared" si="0"/>
        <v>0</v>
      </c>
      <c r="F22" s="84"/>
      <c r="G22" s="85">
        <f t="shared" si="1"/>
        <v>0</v>
      </c>
      <c r="H22" s="102"/>
      <c r="I22" s="74"/>
      <c r="J22" s="86">
        <v>0.33333333333333331</v>
      </c>
      <c r="K22" s="81">
        <f t="shared" si="3"/>
        <v>0</v>
      </c>
      <c r="L22" s="82" t="str">
        <f t="shared" si="4"/>
        <v>-08:00</v>
      </c>
      <c r="M22" s="87"/>
      <c r="N22" s="88"/>
    </row>
    <row r="23" spans="2:14" s="43" customFormat="1" x14ac:dyDescent="0.3">
      <c r="B23" s="93">
        <f t="shared" si="2"/>
        <v>42900</v>
      </c>
      <c r="C23" s="84"/>
      <c r="D23" s="84"/>
      <c r="E23" s="84">
        <f t="shared" si="0"/>
        <v>0</v>
      </c>
      <c r="F23" s="84"/>
      <c r="G23" s="85">
        <f t="shared" si="1"/>
        <v>0</v>
      </c>
      <c r="H23" s="102"/>
      <c r="I23" s="74"/>
      <c r="J23" s="86">
        <v>0.33333333333333331</v>
      </c>
      <c r="K23" s="81">
        <f t="shared" si="3"/>
        <v>0</v>
      </c>
      <c r="L23" s="82" t="str">
        <f t="shared" si="4"/>
        <v>-08:00</v>
      </c>
      <c r="M23" s="87"/>
      <c r="N23" s="88"/>
    </row>
    <row r="24" spans="2:14" s="43" customFormat="1" x14ac:dyDescent="0.3">
      <c r="B24" s="93">
        <f t="shared" si="2"/>
        <v>42901</v>
      </c>
      <c r="C24" s="84"/>
      <c r="D24" s="84"/>
      <c r="E24" s="84">
        <f t="shared" si="0"/>
        <v>0</v>
      </c>
      <c r="F24" s="84"/>
      <c r="G24" s="85">
        <f t="shared" si="1"/>
        <v>0</v>
      </c>
      <c r="H24" s="102"/>
      <c r="I24" s="74"/>
      <c r="J24" s="86">
        <v>0.33333333333333331</v>
      </c>
      <c r="K24" s="81">
        <f t="shared" si="3"/>
        <v>0</v>
      </c>
      <c r="L24" s="82" t="str">
        <f t="shared" si="4"/>
        <v>-08:00</v>
      </c>
      <c r="M24" s="87"/>
      <c r="N24" s="88"/>
    </row>
    <row r="25" spans="2:14" s="43" customFormat="1" x14ac:dyDescent="0.3">
      <c r="B25" s="93">
        <f t="shared" si="2"/>
        <v>42902</v>
      </c>
      <c r="C25" s="84"/>
      <c r="D25" s="84"/>
      <c r="E25" s="84">
        <f t="shared" si="0"/>
        <v>0</v>
      </c>
      <c r="F25" s="84"/>
      <c r="G25" s="85">
        <f t="shared" si="1"/>
        <v>0</v>
      </c>
      <c r="H25" s="102"/>
      <c r="I25" s="74"/>
      <c r="J25" s="86">
        <v>0.33333333333333331</v>
      </c>
      <c r="K25" s="81">
        <f t="shared" si="3"/>
        <v>0</v>
      </c>
      <c r="L25" s="82" t="str">
        <f t="shared" si="4"/>
        <v>-08:00</v>
      </c>
      <c r="M25" s="87"/>
      <c r="N25" s="88"/>
    </row>
    <row r="26" spans="2:14" s="43" customFormat="1" x14ac:dyDescent="0.3">
      <c r="B26" s="93">
        <f t="shared" si="2"/>
        <v>42903</v>
      </c>
      <c r="C26" s="84"/>
      <c r="D26" s="84"/>
      <c r="E26" s="84">
        <f t="shared" si="0"/>
        <v>0</v>
      </c>
      <c r="F26" s="84"/>
      <c r="G26" s="85">
        <f t="shared" si="1"/>
        <v>0</v>
      </c>
      <c r="H26" s="102"/>
      <c r="I26" s="74"/>
      <c r="J26" s="86"/>
      <c r="K26" s="81">
        <f t="shared" si="3"/>
        <v>0</v>
      </c>
      <c r="L26" s="82" t="str">
        <f t="shared" si="4"/>
        <v/>
      </c>
      <c r="M26" s="87"/>
      <c r="N26" s="88"/>
    </row>
    <row r="27" spans="2:14" s="43" customFormat="1" x14ac:dyDescent="0.3">
      <c r="B27" s="93">
        <f t="shared" si="2"/>
        <v>42904</v>
      </c>
      <c r="C27" s="84"/>
      <c r="D27" s="84"/>
      <c r="E27" s="84">
        <f t="shared" si="0"/>
        <v>0</v>
      </c>
      <c r="F27" s="84"/>
      <c r="G27" s="85">
        <f>E27-F27</f>
        <v>0</v>
      </c>
      <c r="H27" s="102"/>
      <c r="I27" s="74"/>
      <c r="J27" s="86"/>
      <c r="K27" s="81">
        <f t="shared" si="3"/>
        <v>0</v>
      </c>
      <c r="L27" s="82" t="str">
        <f t="shared" si="4"/>
        <v/>
      </c>
      <c r="M27" s="87"/>
      <c r="N27" s="88"/>
    </row>
    <row r="28" spans="2:14" s="43" customFormat="1" x14ac:dyDescent="0.3">
      <c r="B28" s="93">
        <f t="shared" si="2"/>
        <v>42905</v>
      </c>
      <c r="C28" s="84"/>
      <c r="D28" s="84"/>
      <c r="E28" s="84">
        <f>D28-C28</f>
        <v>0</v>
      </c>
      <c r="F28" s="84"/>
      <c r="G28" s="85">
        <f>E28-F28</f>
        <v>0</v>
      </c>
      <c r="H28" s="102"/>
      <c r="I28" s="74"/>
      <c r="J28" s="86"/>
      <c r="K28" s="81">
        <f t="shared" si="3"/>
        <v>0</v>
      </c>
      <c r="L28" s="82" t="str">
        <f t="shared" si="4"/>
        <v/>
      </c>
      <c r="M28" s="87"/>
      <c r="N28" s="88"/>
    </row>
    <row r="29" spans="2:14" s="43" customFormat="1" x14ac:dyDescent="0.3">
      <c r="B29" s="93">
        <f t="shared" si="2"/>
        <v>42906</v>
      </c>
      <c r="C29" s="84"/>
      <c r="D29" s="84"/>
      <c r="E29" s="84">
        <f t="shared" ref="E29:E39" si="5">D29-C29</f>
        <v>0</v>
      </c>
      <c r="F29" s="84"/>
      <c r="G29" s="85">
        <f t="shared" ref="G29:G39" si="6">E29-F29</f>
        <v>0</v>
      </c>
      <c r="H29" s="102"/>
      <c r="I29" s="74"/>
      <c r="J29" s="86">
        <v>0.33333333333333331</v>
      </c>
      <c r="K29" s="81">
        <f t="shared" si="3"/>
        <v>0</v>
      </c>
      <c r="L29" s="82" t="str">
        <f t="shared" si="4"/>
        <v>-08:00</v>
      </c>
      <c r="M29" s="87"/>
      <c r="N29" s="88"/>
    </row>
    <row r="30" spans="2:14" s="43" customFormat="1" x14ac:dyDescent="0.3">
      <c r="B30" s="93">
        <f t="shared" si="2"/>
        <v>42907</v>
      </c>
      <c r="C30" s="84"/>
      <c r="D30" s="84"/>
      <c r="E30" s="84">
        <f t="shared" si="5"/>
        <v>0</v>
      </c>
      <c r="F30" s="84"/>
      <c r="G30" s="85">
        <f t="shared" si="6"/>
        <v>0</v>
      </c>
      <c r="H30" s="102"/>
      <c r="I30" s="74"/>
      <c r="J30" s="86">
        <v>0.33333333333333331</v>
      </c>
      <c r="K30" s="81">
        <f t="shared" si="3"/>
        <v>0</v>
      </c>
      <c r="L30" s="82" t="str">
        <f t="shared" si="4"/>
        <v>-08:00</v>
      </c>
      <c r="M30" s="87"/>
      <c r="N30" s="88"/>
    </row>
    <row r="31" spans="2:14" s="43" customFormat="1" x14ac:dyDescent="0.3">
      <c r="B31" s="93">
        <f t="shared" si="2"/>
        <v>42908</v>
      </c>
      <c r="C31" s="84"/>
      <c r="D31" s="84"/>
      <c r="E31" s="84">
        <f t="shared" si="5"/>
        <v>0</v>
      </c>
      <c r="F31" s="84"/>
      <c r="G31" s="85">
        <f t="shared" si="6"/>
        <v>0</v>
      </c>
      <c r="H31" s="102"/>
      <c r="I31" s="74"/>
      <c r="J31" s="86">
        <v>0.33333333333333331</v>
      </c>
      <c r="K31" s="81">
        <f t="shared" si="3"/>
        <v>0</v>
      </c>
      <c r="L31" s="82" t="str">
        <f t="shared" si="4"/>
        <v>-08:00</v>
      </c>
      <c r="M31" s="87"/>
    </row>
    <row r="32" spans="2:14" s="43" customFormat="1" x14ac:dyDescent="0.3">
      <c r="B32" s="93">
        <f t="shared" si="2"/>
        <v>42909</v>
      </c>
      <c r="C32" s="84"/>
      <c r="D32" s="84"/>
      <c r="E32" s="84">
        <f t="shared" si="5"/>
        <v>0</v>
      </c>
      <c r="F32" s="84"/>
      <c r="G32" s="85">
        <f t="shared" si="6"/>
        <v>0</v>
      </c>
      <c r="H32" s="102"/>
      <c r="I32" s="74"/>
      <c r="J32" s="86">
        <v>0.33333333333333331</v>
      </c>
      <c r="K32" s="81">
        <f t="shared" si="3"/>
        <v>0</v>
      </c>
      <c r="L32" s="82" t="str">
        <f t="shared" si="4"/>
        <v>-08:00</v>
      </c>
      <c r="M32" s="87"/>
    </row>
    <row r="33" spans="2:13" s="43" customFormat="1" x14ac:dyDescent="0.3">
      <c r="B33" s="93">
        <f t="shared" si="2"/>
        <v>42910</v>
      </c>
      <c r="C33" s="84"/>
      <c r="D33" s="84"/>
      <c r="E33" s="84">
        <f t="shared" si="5"/>
        <v>0</v>
      </c>
      <c r="F33" s="84"/>
      <c r="G33" s="85">
        <f t="shared" si="6"/>
        <v>0</v>
      </c>
      <c r="H33" s="102"/>
      <c r="I33" s="74"/>
      <c r="J33" s="86">
        <v>0</v>
      </c>
      <c r="K33" s="81">
        <f t="shared" si="3"/>
        <v>0</v>
      </c>
      <c r="L33" s="82" t="str">
        <f t="shared" si="4"/>
        <v/>
      </c>
      <c r="M33" s="87"/>
    </row>
    <row r="34" spans="2:13" s="43" customFormat="1" x14ac:dyDescent="0.3">
      <c r="B34" s="93">
        <f t="shared" si="2"/>
        <v>42911</v>
      </c>
      <c r="C34" s="84"/>
      <c r="D34" s="84"/>
      <c r="E34" s="84">
        <f t="shared" si="5"/>
        <v>0</v>
      </c>
      <c r="F34" s="84"/>
      <c r="G34" s="85">
        <f t="shared" si="6"/>
        <v>0</v>
      </c>
      <c r="H34" s="102"/>
      <c r="I34" s="74"/>
      <c r="J34" s="86"/>
      <c r="K34" s="81">
        <f t="shared" si="3"/>
        <v>0</v>
      </c>
      <c r="L34" s="82" t="str">
        <f t="shared" si="4"/>
        <v/>
      </c>
      <c r="M34" s="87"/>
    </row>
    <row r="35" spans="2:13" s="43" customFormat="1" x14ac:dyDescent="0.3">
      <c r="B35" s="93">
        <f t="shared" si="2"/>
        <v>42912</v>
      </c>
      <c r="C35" s="84"/>
      <c r="D35" s="84"/>
      <c r="E35" s="84">
        <f t="shared" si="5"/>
        <v>0</v>
      </c>
      <c r="F35" s="84"/>
      <c r="G35" s="85">
        <f t="shared" si="6"/>
        <v>0</v>
      </c>
      <c r="H35" s="102"/>
      <c r="I35" s="74"/>
      <c r="J35" s="86"/>
      <c r="K35" s="81">
        <f t="shared" si="3"/>
        <v>0</v>
      </c>
      <c r="L35" s="82" t="str">
        <f t="shared" si="4"/>
        <v/>
      </c>
      <c r="M35" s="87"/>
    </row>
    <row r="36" spans="2:13" s="43" customFormat="1" x14ac:dyDescent="0.3">
      <c r="B36" s="93">
        <f t="shared" si="2"/>
        <v>42913</v>
      </c>
      <c r="C36" s="84"/>
      <c r="D36" s="84"/>
      <c r="E36" s="84">
        <f t="shared" si="5"/>
        <v>0</v>
      </c>
      <c r="F36" s="84"/>
      <c r="G36" s="85">
        <f t="shared" si="6"/>
        <v>0</v>
      </c>
      <c r="H36" s="102"/>
      <c r="I36" s="74"/>
      <c r="J36" s="86">
        <v>0.33333333333333331</v>
      </c>
      <c r="K36" s="81">
        <f t="shared" si="3"/>
        <v>0</v>
      </c>
      <c r="L36" s="82" t="str">
        <f t="shared" si="4"/>
        <v>-08:00</v>
      </c>
      <c r="M36" s="87"/>
    </row>
    <row r="37" spans="2:13" s="43" customFormat="1" x14ac:dyDescent="0.3">
      <c r="B37" s="93">
        <f t="shared" si="2"/>
        <v>42914</v>
      </c>
      <c r="C37" s="84"/>
      <c r="D37" s="84"/>
      <c r="E37" s="84">
        <f t="shared" si="5"/>
        <v>0</v>
      </c>
      <c r="F37" s="84"/>
      <c r="G37" s="85">
        <f t="shared" si="6"/>
        <v>0</v>
      </c>
      <c r="H37" s="102"/>
      <c r="I37" s="74"/>
      <c r="J37" s="86">
        <v>0.33333333333333331</v>
      </c>
      <c r="K37" s="81">
        <f t="shared" si="3"/>
        <v>0</v>
      </c>
      <c r="L37" s="82" t="str">
        <f t="shared" si="4"/>
        <v>-08:00</v>
      </c>
      <c r="M37" s="87"/>
    </row>
    <row r="38" spans="2:13" s="43" customFormat="1" x14ac:dyDescent="0.3">
      <c r="B38" s="93">
        <f t="shared" si="2"/>
        <v>42915</v>
      </c>
      <c r="C38" s="84"/>
      <c r="D38" s="84"/>
      <c r="E38" s="84">
        <f t="shared" si="5"/>
        <v>0</v>
      </c>
      <c r="F38" s="84"/>
      <c r="G38" s="85">
        <f t="shared" si="6"/>
        <v>0</v>
      </c>
      <c r="H38" s="102"/>
      <c r="I38" s="74"/>
      <c r="J38" s="86">
        <v>0.33333333333333331</v>
      </c>
      <c r="K38" s="81">
        <f t="shared" si="3"/>
        <v>0</v>
      </c>
      <c r="L38" s="82" t="str">
        <f t="shared" si="4"/>
        <v>-08:00</v>
      </c>
      <c r="M38" s="87"/>
    </row>
    <row r="39" spans="2:13" s="43" customFormat="1" ht="15" thickBot="1" x14ac:dyDescent="0.35">
      <c r="B39" s="93">
        <f t="shared" si="2"/>
        <v>42916</v>
      </c>
      <c r="C39" s="84"/>
      <c r="D39" s="84"/>
      <c r="E39" s="84">
        <f t="shared" si="5"/>
        <v>0</v>
      </c>
      <c r="F39" s="84"/>
      <c r="G39" s="85">
        <f t="shared" si="6"/>
        <v>0</v>
      </c>
      <c r="H39" s="105"/>
      <c r="I39" s="74"/>
      <c r="J39" s="86">
        <v>0.33333333333333331</v>
      </c>
      <c r="K39" s="81">
        <f t="shared" si="3"/>
        <v>0</v>
      </c>
      <c r="L39" s="82" t="str">
        <f t="shared" si="4"/>
        <v>-08:00</v>
      </c>
      <c r="M39" s="87"/>
    </row>
    <row r="40" spans="2:13" s="29" customFormat="1" ht="18.600000000000001" thickBot="1" x14ac:dyDescent="0.35">
      <c r="B40" s="76" t="s">
        <v>2</v>
      </c>
      <c r="C40" s="72"/>
      <c r="D40" s="72"/>
      <c r="E40" s="77"/>
      <c r="F40" s="78"/>
      <c r="G40" s="77">
        <f>SUM(G10:G39)</f>
        <v>0</v>
      </c>
      <c r="H40" s="103"/>
      <c r="I40" s="74"/>
      <c r="J40" s="75">
        <f>SUM(J10:J39)</f>
        <v>4.6666666666666661</v>
      </c>
      <c r="K40" s="75">
        <f>SUM(K10:K39)</f>
        <v>0</v>
      </c>
      <c r="L40" s="75" t="str">
        <f>IF(K40&lt;J40,TEXT((ABS(K40-J40)),"-[h]:mm"),IF(K40=J40,"",K40-J40))</f>
        <v>-112:00</v>
      </c>
    </row>
    <row r="41" spans="2:13" ht="15" thickBot="1" x14ac:dyDescent="0.35">
      <c r="J41" s="19"/>
    </row>
    <row r="42" spans="2:13" x14ac:dyDescent="0.3">
      <c r="G42" s="116" t="s">
        <v>48</v>
      </c>
      <c r="H42" s="117"/>
    </row>
    <row r="43" spans="2:13" ht="15" thickBot="1" x14ac:dyDescent="0.35">
      <c r="G43" s="118"/>
      <c r="H43" s="119"/>
    </row>
    <row r="44" spans="2:13" ht="64.95" customHeight="1" thickBot="1" x14ac:dyDescent="0.35">
      <c r="G44" s="109" t="s">
        <v>49</v>
      </c>
      <c r="H44" s="104"/>
    </row>
    <row r="45" spans="2:13" s="90" customFormat="1" ht="15" thickBot="1" x14ac:dyDescent="0.35">
      <c r="G45" s="89" t="s">
        <v>43</v>
      </c>
      <c r="H45" s="100" t="s">
        <v>44</v>
      </c>
      <c r="I45" s="91"/>
      <c r="J45" s="91"/>
      <c r="K45" s="91"/>
      <c r="L45" s="91"/>
    </row>
  </sheetData>
  <mergeCells count="8">
    <mergeCell ref="L7:L9"/>
    <mergeCell ref="G42:H43"/>
    <mergeCell ref="B2:G2"/>
    <mergeCell ref="B4:B5"/>
    <mergeCell ref="C4:D5"/>
    <mergeCell ref="B6:B7"/>
    <mergeCell ref="J7:J9"/>
    <mergeCell ref="K7:K9"/>
  </mergeCells>
  <pageMargins left="0.25" right="0.25" top="0.75" bottom="0.75" header="0.3" footer="0.3"/>
  <pageSetup paperSize="9" scale="62" fitToHeight="0"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70C0"/>
    <outlinePr summaryBelow="0" summaryRight="0"/>
    <pageSetUpPr fitToPage="1"/>
  </sheetPr>
  <dimension ref="B2:N46"/>
  <sheetViews>
    <sheetView topLeftCell="A31" workbookViewId="0">
      <selection activeCell="A45" sqref="A45:XFD45"/>
    </sheetView>
  </sheetViews>
  <sheetFormatPr defaultColWidth="9.109375" defaultRowHeight="14.4" x14ac:dyDescent="0.3"/>
  <cols>
    <col min="1" max="1" width="3.6640625" style="1" customWidth="1"/>
    <col min="2" max="2" width="14.6640625" style="1" customWidth="1"/>
    <col min="3" max="6" width="12.6640625" style="1" customWidth="1"/>
    <col min="7" max="7" width="14.6640625" style="3" customWidth="1"/>
    <col min="8" max="8" width="50.6640625" style="96" customWidth="1"/>
    <col min="9" max="9" width="3" style="3" customWidth="1"/>
    <col min="10" max="12" width="7.6640625" style="3" hidden="1" customWidth="1"/>
    <col min="13" max="13" width="9.109375" style="1"/>
    <col min="14" max="14" width="12.44140625" style="1" customWidth="1"/>
    <col min="15" max="16384" width="9.109375" style="1"/>
  </cols>
  <sheetData>
    <row r="2" spans="2:14" ht="64.95" customHeight="1" x14ac:dyDescent="0.3">
      <c r="B2" s="120" t="s">
        <v>38</v>
      </c>
      <c r="C2" s="121"/>
      <c r="D2" s="121"/>
      <c r="E2" s="121"/>
      <c r="F2" s="121"/>
      <c r="G2" s="121"/>
    </row>
    <row r="3" spans="2:14" ht="15" thickBot="1" x14ac:dyDescent="0.35">
      <c r="B3" s="4"/>
      <c r="G3" s="1"/>
    </row>
    <row r="4" spans="2:14" ht="19.95" customHeight="1" thickBot="1" x14ac:dyDescent="0.35">
      <c r="B4" s="122" t="s">
        <v>5</v>
      </c>
      <c r="C4" s="124" t="s">
        <v>46</v>
      </c>
      <c r="D4" s="124"/>
      <c r="E4" s="61"/>
      <c r="F4" s="64"/>
      <c r="G4" s="68" t="s">
        <v>39</v>
      </c>
      <c r="H4" s="97" t="s">
        <v>40</v>
      </c>
    </row>
    <row r="5" spans="2:14" ht="19.95" customHeight="1" thickBot="1" x14ac:dyDescent="0.35">
      <c r="B5" s="123"/>
      <c r="C5" s="125"/>
      <c r="D5" s="125"/>
      <c r="E5" s="8"/>
      <c r="F5" s="67"/>
      <c r="G5" s="69" t="s">
        <v>41</v>
      </c>
      <c r="H5" s="98" t="s">
        <v>42</v>
      </c>
    </row>
    <row r="6" spans="2:14" ht="19.95" customHeight="1" thickBot="1" x14ac:dyDescent="0.35">
      <c r="B6" s="126" t="s">
        <v>43</v>
      </c>
      <c r="C6" s="66" t="s">
        <v>44</v>
      </c>
      <c r="D6" s="8"/>
      <c r="E6" s="8"/>
      <c r="F6" s="67"/>
      <c r="G6" s="69" t="s">
        <v>7</v>
      </c>
      <c r="H6" s="99" t="s">
        <v>63</v>
      </c>
    </row>
    <row r="7" spans="2:14" ht="19.95" customHeight="1" thickBot="1" x14ac:dyDescent="0.35">
      <c r="B7" s="123"/>
      <c r="C7" s="62" t="s">
        <v>45</v>
      </c>
      <c r="D7" s="63"/>
      <c r="E7" s="63"/>
      <c r="F7" s="65"/>
      <c r="G7" s="70" t="s">
        <v>36</v>
      </c>
      <c r="H7" s="100" t="s">
        <v>56</v>
      </c>
      <c r="J7" s="113" t="s">
        <v>16</v>
      </c>
      <c r="K7" s="113" t="s">
        <v>17</v>
      </c>
      <c r="L7" s="113" t="s">
        <v>18</v>
      </c>
    </row>
    <row r="8" spans="2:14" ht="15" thickBot="1" x14ac:dyDescent="0.35">
      <c r="J8" s="114"/>
      <c r="K8" s="114"/>
      <c r="L8" s="114"/>
    </row>
    <row r="9" spans="2:14" ht="29.4" thickBot="1" x14ac:dyDescent="0.35">
      <c r="B9" s="71" t="s">
        <v>1</v>
      </c>
      <c r="C9" s="72" t="s">
        <v>12</v>
      </c>
      <c r="D9" s="72" t="s">
        <v>13</v>
      </c>
      <c r="E9" s="72" t="s">
        <v>0</v>
      </c>
      <c r="F9" s="72" t="s">
        <v>15</v>
      </c>
      <c r="G9" s="73" t="s">
        <v>37</v>
      </c>
      <c r="H9" s="95" t="s">
        <v>47</v>
      </c>
      <c r="J9" s="115"/>
      <c r="K9" s="115"/>
      <c r="L9" s="115"/>
    </row>
    <row r="10" spans="2:14" s="43" customFormat="1" x14ac:dyDescent="0.3">
      <c r="B10" s="92">
        <v>42917</v>
      </c>
      <c r="C10" s="84"/>
      <c r="D10" s="84"/>
      <c r="E10" s="84">
        <f t="shared" ref="E10:E27" si="0">D10-C10</f>
        <v>0</v>
      </c>
      <c r="F10" s="84"/>
      <c r="G10" s="79">
        <f t="shared" ref="G10:G26" si="1">E10-F10</f>
        <v>0</v>
      </c>
      <c r="H10" s="101"/>
      <c r="I10" s="74"/>
      <c r="J10" s="80"/>
      <c r="K10" s="81">
        <f>G10</f>
        <v>0</v>
      </c>
      <c r="L10" s="82" t="str">
        <f>IF(K10&lt;J10,TEXT((ABS(K10-J10)),"-hh:mm"),IF(K10=J10,"",K10-J10))</f>
        <v/>
      </c>
    </row>
    <row r="11" spans="2:14" s="43" customFormat="1" x14ac:dyDescent="0.3">
      <c r="B11" s="93">
        <f t="shared" ref="B11:B40" si="2">B10+1</f>
        <v>42918</v>
      </c>
      <c r="C11" s="84"/>
      <c r="D11" s="84"/>
      <c r="E11" s="84">
        <f t="shared" si="0"/>
        <v>0</v>
      </c>
      <c r="F11" s="84"/>
      <c r="G11" s="85">
        <f t="shared" si="1"/>
        <v>0</v>
      </c>
      <c r="H11" s="102"/>
      <c r="I11" s="74"/>
      <c r="J11" s="86"/>
      <c r="K11" s="81">
        <f t="shared" ref="K11:K40" si="3">G11</f>
        <v>0</v>
      </c>
      <c r="L11" s="82" t="str">
        <f t="shared" ref="L11:L40" si="4">IF(K11&lt;J11,TEXT((ABS(K11-J11)),"-hh:mm"),IF(K11=J11,"",K11-J11))</f>
        <v/>
      </c>
    </row>
    <row r="12" spans="2:14" s="43" customFormat="1" x14ac:dyDescent="0.3">
      <c r="B12" s="93">
        <f t="shared" si="2"/>
        <v>42919</v>
      </c>
      <c r="C12" s="83"/>
      <c r="D12" s="83"/>
      <c r="E12" s="84">
        <f t="shared" si="0"/>
        <v>0</v>
      </c>
      <c r="F12" s="83"/>
      <c r="G12" s="85">
        <f t="shared" si="1"/>
        <v>0</v>
      </c>
      <c r="H12" s="102"/>
      <c r="I12" s="74"/>
      <c r="J12" s="86"/>
      <c r="K12" s="81">
        <f t="shared" si="3"/>
        <v>0</v>
      </c>
      <c r="L12" s="82" t="str">
        <f t="shared" si="4"/>
        <v/>
      </c>
      <c r="N12" s="94"/>
    </row>
    <row r="13" spans="2:14" s="43" customFormat="1" x14ac:dyDescent="0.3">
      <c r="B13" s="93">
        <f t="shared" si="2"/>
        <v>42920</v>
      </c>
      <c r="C13" s="84"/>
      <c r="D13" s="84"/>
      <c r="E13" s="84">
        <f t="shared" si="0"/>
        <v>0</v>
      </c>
      <c r="F13" s="84"/>
      <c r="G13" s="85">
        <f t="shared" si="1"/>
        <v>0</v>
      </c>
      <c r="H13" s="102"/>
      <c r="I13" s="74"/>
      <c r="J13" s="86"/>
      <c r="K13" s="81">
        <f t="shared" si="3"/>
        <v>0</v>
      </c>
      <c r="L13" s="82" t="str">
        <f t="shared" si="4"/>
        <v/>
      </c>
    </row>
    <row r="14" spans="2:14" s="43" customFormat="1" x14ac:dyDescent="0.3">
      <c r="B14" s="93">
        <f t="shared" si="2"/>
        <v>42921</v>
      </c>
      <c r="C14" s="84"/>
      <c r="D14" s="84"/>
      <c r="E14" s="84">
        <f t="shared" si="0"/>
        <v>0</v>
      </c>
      <c r="F14" s="84"/>
      <c r="G14" s="85">
        <f t="shared" si="1"/>
        <v>0</v>
      </c>
      <c r="H14" s="102"/>
      <c r="I14" s="74"/>
      <c r="J14" s="86"/>
      <c r="K14" s="81">
        <f t="shared" si="3"/>
        <v>0</v>
      </c>
      <c r="L14" s="82" t="str">
        <f t="shared" si="4"/>
        <v/>
      </c>
    </row>
    <row r="15" spans="2:14" s="43" customFormat="1" x14ac:dyDescent="0.3">
      <c r="B15" s="93">
        <f t="shared" si="2"/>
        <v>42922</v>
      </c>
      <c r="C15" s="84"/>
      <c r="D15" s="84"/>
      <c r="E15" s="84">
        <f t="shared" si="0"/>
        <v>0</v>
      </c>
      <c r="F15" s="84"/>
      <c r="G15" s="85">
        <f t="shared" si="1"/>
        <v>0</v>
      </c>
      <c r="H15" s="102"/>
      <c r="I15" s="74"/>
      <c r="J15" s="86">
        <v>0.33333333333333331</v>
      </c>
      <c r="K15" s="81">
        <f t="shared" si="3"/>
        <v>0</v>
      </c>
      <c r="L15" s="82" t="str">
        <f t="shared" si="4"/>
        <v>-08:00</v>
      </c>
      <c r="M15" s="87"/>
    </row>
    <row r="16" spans="2:14" s="43" customFormat="1" x14ac:dyDescent="0.3">
      <c r="B16" s="93">
        <f t="shared" si="2"/>
        <v>42923</v>
      </c>
      <c r="C16" s="84"/>
      <c r="D16" s="84"/>
      <c r="E16" s="84">
        <f t="shared" si="0"/>
        <v>0</v>
      </c>
      <c r="F16" s="84"/>
      <c r="G16" s="85">
        <f t="shared" si="1"/>
        <v>0</v>
      </c>
      <c r="H16" s="102"/>
      <c r="I16" s="74"/>
      <c r="J16" s="86">
        <v>0.33333333333333331</v>
      </c>
      <c r="K16" s="81">
        <f t="shared" si="3"/>
        <v>0</v>
      </c>
      <c r="L16" s="82" t="str">
        <f t="shared" si="4"/>
        <v>-08:00</v>
      </c>
      <c r="M16" s="87"/>
    </row>
    <row r="17" spans="2:14" s="43" customFormat="1" x14ac:dyDescent="0.3">
      <c r="B17" s="93">
        <f t="shared" si="2"/>
        <v>42924</v>
      </c>
      <c r="C17" s="84"/>
      <c r="D17" s="84"/>
      <c r="E17" s="84">
        <f t="shared" si="0"/>
        <v>0</v>
      </c>
      <c r="F17" s="84"/>
      <c r="G17" s="85">
        <f t="shared" si="1"/>
        <v>0</v>
      </c>
      <c r="H17" s="102"/>
      <c r="I17" s="74"/>
      <c r="J17" s="86"/>
      <c r="K17" s="81">
        <f t="shared" si="3"/>
        <v>0</v>
      </c>
      <c r="L17" s="82" t="str">
        <f t="shared" si="4"/>
        <v/>
      </c>
      <c r="M17" s="87"/>
    </row>
    <row r="18" spans="2:14" s="43" customFormat="1" x14ac:dyDescent="0.3">
      <c r="B18" s="93">
        <f t="shared" si="2"/>
        <v>42925</v>
      </c>
      <c r="C18" s="84"/>
      <c r="D18" s="84"/>
      <c r="E18" s="84">
        <f t="shared" si="0"/>
        <v>0</v>
      </c>
      <c r="F18" s="84"/>
      <c r="G18" s="85">
        <f t="shared" si="1"/>
        <v>0</v>
      </c>
      <c r="H18" s="102"/>
      <c r="I18" s="74"/>
      <c r="J18" s="86"/>
      <c r="K18" s="81">
        <f t="shared" si="3"/>
        <v>0</v>
      </c>
      <c r="L18" s="82" t="str">
        <f t="shared" si="4"/>
        <v/>
      </c>
      <c r="M18" s="87"/>
    </row>
    <row r="19" spans="2:14" s="43" customFormat="1" x14ac:dyDescent="0.3">
      <c r="B19" s="93">
        <f t="shared" si="2"/>
        <v>42926</v>
      </c>
      <c r="C19" s="84"/>
      <c r="D19" s="84"/>
      <c r="E19" s="84">
        <f t="shared" si="0"/>
        <v>0</v>
      </c>
      <c r="F19" s="84"/>
      <c r="G19" s="85">
        <f t="shared" si="1"/>
        <v>0</v>
      </c>
      <c r="H19" s="102"/>
      <c r="I19" s="74"/>
      <c r="J19" s="86"/>
      <c r="K19" s="81">
        <f t="shared" si="3"/>
        <v>0</v>
      </c>
      <c r="L19" s="82" t="str">
        <f t="shared" si="4"/>
        <v/>
      </c>
      <c r="M19" s="87"/>
    </row>
    <row r="20" spans="2:14" s="43" customFormat="1" x14ac:dyDescent="0.3">
      <c r="B20" s="93">
        <f t="shared" si="2"/>
        <v>42927</v>
      </c>
      <c r="C20" s="84"/>
      <c r="D20" s="84"/>
      <c r="E20" s="84">
        <f t="shared" si="0"/>
        <v>0</v>
      </c>
      <c r="F20" s="84"/>
      <c r="G20" s="85">
        <f t="shared" si="1"/>
        <v>0</v>
      </c>
      <c r="H20" s="102"/>
      <c r="I20" s="74"/>
      <c r="J20" s="86"/>
      <c r="K20" s="81">
        <f t="shared" si="3"/>
        <v>0</v>
      </c>
      <c r="L20" s="82" t="str">
        <f t="shared" si="4"/>
        <v/>
      </c>
      <c r="M20" s="87"/>
    </row>
    <row r="21" spans="2:14" s="43" customFormat="1" x14ac:dyDescent="0.3">
      <c r="B21" s="93">
        <f t="shared" si="2"/>
        <v>42928</v>
      </c>
      <c r="C21" s="84"/>
      <c r="D21" s="84"/>
      <c r="E21" s="84">
        <f t="shared" si="0"/>
        <v>0</v>
      </c>
      <c r="F21" s="84"/>
      <c r="G21" s="85">
        <f t="shared" si="1"/>
        <v>0</v>
      </c>
      <c r="H21" s="102"/>
      <c r="I21" s="74"/>
      <c r="J21" s="86"/>
      <c r="K21" s="81">
        <f t="shared" si="3"/>
        <v>0</v>
      </c>
      <c r="L21" s="82" t="str">
        <f t="shared" si="4"/>
        <v/>
      </c>
      <c r="M21" s="87"/>
    </row>
    <row r="22" spans="2:14" s="43" customFormat="1" x14ac:dyDescent="0.3">
      <c r="B22" s="93">
        <f t="shared" si="2"/>
        <v>42929</v>
      </c>
      <c r="C22" s="84"/>
      <c r="D22" s="84"/>
      <c r="E22" s="84">
        <f t="shared" si="0"/>
        <v>0</v>
      </c>
      <c r="F22" s="84"/>
      <c r="G22" s="85">
        <f t="shared" si="1"/>
        <v>0</v>
      </c>
      <c r="H22" s="102"/>
      <c r="I22" s="74"/>
      <c r="J22" s="86">
        <v>0.33333333333333331</v>
      </c>
      <c r="K22" s="81">
        <f t="shared" si="3"/>
        <v>0</v>
      </c>
      <c r="L22" s="82" t="str">
        <f t="shared" si="4"/>
        <v>-08:00</v>
      </c>
      <c r="M22" s="87"/>
      <c r="N22" s="88"/>
    </row>
    <row r="23" spans="2:14" s="43" customFormat="1" x14ac:dyDescent="0.3">
      <c r="B23" s="93">
        <f t="shared" si="2"/>
        <v>42930</v>
      </c>
      <c r="C23" s="84"/>
      <c r="D23" s="84"/>
      <c r="E23" s="84">
        <f t="shared" si="0"/>
        <v>0</v>
      </c>
      <c r="F23" s="84"/>
      <c r="G23" s="85">
        <f t="shared" si="1"/>
        <v>0</v>
      </c>
      <c r="H23" s="102"/>
      <c r="I23" s="74"/>
      <c r="J23" s="86">
        <v>0.33333333333333331</v>
      </c>
      <c r="K23" s="81">
        <f t="shared" si="3"/>
        <v>0</v>
      </c>
      <c r="L23" s="82" t="str">
        <f t="shared" si="4"/>
        <v>-08:00</v>
      </c>
      <c r="M23" s="87"/>
      <c r="N23" s="88"/>
    </row>
    <row r="24" spans="2:14" s="43" customFormat="1" x14ac:dyDescent="0.3">
      <c r="B24" s="93">
        <f t="shared" si="2"/>
        <v>42931</v>
      </c>
      <c r="C24" s="84"/>
      <c r="D24" s="84"/>
      <c r="E24" s="84">
        <f t="shared" si="0"/>
        <v>0</v>
      </c>
      <c r="F24" s="84"/>
      <c r="G24" s="85">
        <f t="shared" si="1"/>
        <v>0</v>
      </c>
      <c r="H24" s="102"/>
      <c r="I24" s="74"/>
      <c r="J24" s="86">
        <v>0.33333333333333331</v>
      </c>
      <c r="K24" s="81">
        <f t="shared" si="3"/>
        <v>0</v>
      </c>
      <c r="L24" s="82" t="str">
        <f t="shared" si="4"/>
        <v>-08:00</v>
      </c>
      <c r="M24" s="87"/>
      <c r="N24" s="88"/>
    </row>
    <row r="25" spans="2:14" s="43" customFormat="1" x14ac:dyDescent="0.3">
      <c r="B25" s="93">
        <f t="shared" si="2"/>
        <v>42932</v>
      </c>
      <c r="C25" s="84"/>
      <c r="D25" s="84"/>
      <c r="E25" s="84">
        <f t="shared" si="0"/>
        <v>0</v>
      </c>
      <c r="F25" s="84"/>
      <c r="G25" s="85">
        <f t="shared" si="1"/>
        <v>0</v>
      </c>
      <c r="H25" s="102"/>
      <c r="I25" s="74"/>
      <c r="J25" s="86">
        <v>0.33333333333333331</v>
      </c>
      <c r="K25" s="81">
        <f t="shared" si="3"/>
        <v>0</v>
      </c>
      <c r="L25" s="82" t="str">
        <f t="shared" si="4"/>
        <v>-08:00</v>
      </c>
      <c r="M25" s="87"/>
      <c r="N25" s="88"/>
    </row>
    <row r="26" spans="2:14" s="43" customFormat="1" x14ac:dyDescent="0.3">
      <c r="B26" s="93">
        <f t="shared" si="2"/>
        <v>42933</v>
      </c>
      <c r="C26" s="84"/>
      <c r="D26" s="84"/>
      <c r="E26" s="84">
        <f t="shared" si="0"/>
        <v>0</v>
      </c>
      <c r="F26" s="84"/>
      <c r="G26" s="85">
        <f t="shared" si="1"/>
        <v>0</v>
      </c>
      <c r="H26" s="102"/>
      <c r="I26" s="74"/>
      <c r="J26" s="86"/>
      <c r="K26" s="81">
        <f t="shared" si="3"/>
        <v>0</v>
      </c>
      <c r="L26" s="82" t="str">
        <f t="shared" si="4"/>
        <v/>
      </c>
      <c r="M26" s="87"/>
      <c r="N26" s="88"/>
    </row>
    <row r="27" spans="2:14" s="43" customFormat="1" x14ac:dyDescent="0.3">
      <c r="B27" s="93">
        <f t="shared" si="2"/>
        <v>42934</v>
      </c>
      <c r="C27" s="84"/>
      <c r="D27" s="84"/>
      <c r="E27" s="84">
        <f t="shared" si="0"/>
        <v>0</v>
      </c>
      <c r="F27" s="84"/>
      <c r="G27" s="85">
        <f>E27-F27</f>
        <v>0</v>
      </c>
      <c r="H27" s="102"/>
      <c r="I27" s="74"/>
      <c r="J27" s="86"/>
      <c r="K27" s="81">
        <f t="shared" si="3"/>
        <v>0</v>
      </c>
      <c r="L27" s="82" t="str">
        <f t="shared" si="4"/>
        <v/>
      </c>
      <c r="M27" s="87"/>
      <c r="N27" s="88"/>
    </row>
    <row r="28" spans="2:14" s="43" customFormat="1" x14ac:dyDescent="0.3">
      <c r="B28" s="93">
        <f t="shared" si="2"/>
        <v>42935</v>
      </c>
      <c r="C28" s="84"/>
      <c r="D28" s="84"/>
      <c r="E28" s="84">
        <f>D28-C28</f>
        <v>0</v>
      </c>
      <c r="F28" s="84"/>
      <c r="G28" s="85">
        <f>E28-F28</f>
        <v>0</v>
      </c>
      <c r="H28" s="102"/>
      <c r="I28" s="74"/>
      <c r="J28" s="86"/>
      <c r="K28" s="81">
        <f t="shared" si="3"/>
        <v>0</v>
      </c>
      <c r="L28" s="82" t="str">
        <f t="shared" si="4"/>
        <v/>
      </c>
      <c r="M28" s="87"/>
      <c r="N28" s="88"/>
    </row>
    <row r="29" spans="2:14" s="43" customFormat="1" x14ac:dyDescent="0.3">
      <c r="B29" s="93">
        <f t="shared" si="2"/>
        <v>42936</v>
      </c>
      <c r="C29" s="84"/>
      <c r="D29" s="84"/>
      <c r="E29" s="84">
        <f t="shared" ref="E29:E40" si="5">D29-C29</f>
        <v>0</v>
      </c>
      <c r="F29" s="84"/>
      <c r="G29" s="85">
        <f t="shared" ref="G29:G40" si="6">E29-F29</f>
        <v>0</v>
      </c>
      <c r="H29" s="102"/>
      <c r="I29" s="74"/>
      <c r="J29" s="86">
        <v>0.33333333333333331</v>
      </c>
      <c r="K29" s="81">
        <f t="shared" si="3"/>
        <v>0</v>
      </c>
      <c r="L29" s="82" t="str">
        <f t="shared" si="4"/>
        <v>-08:00</v>
      </c>
      <c r="M29" s="87"/>
      <c r="N29" s="88"/>
    </row>
    <row r="30" spans="2:14" s="43" customFormat="1" x14ac:dyDescent="0.3">
      <c r="B30" s="93">
        <f t="shared" si="2"/>
        <v>42937</v>
      </c>
      <c r="C30" s="84"/>
      <c r="D30" s="84"/>
      <c r="E30" s="84">
        <f t="shared" si="5"/>
        <v>0</v>
      </c>
      <c r="F30" s="84"/>
      <c r="G30" s="85">
        <f t="shared" si="6"/>
        <v>0</v>
      </c>
      <c r="H30" s="102"/>
      <c r="I30" s="74"/>
      <c r="J30" s="86">
        <v>0.33333333333333331</v>
      </c>
      <c r="K30" s="81">
        <f t="shared" si="3"/>
        <v>0</v>
      </c>
      <c r="L30" s="82" t="str">
        <f t="shared" si="4"/>
        <v>-08:00</v>
      </c>
      <c r="M30" s="87"/>
      <c r="N30" s="88"/>
    </row>
    <row r="31" spans="2:14" s="43" customFormat="1" x14ac:dyDescent="0.3">
      <c r="B31" s="93">
        <f t="shared" si="2"/>
        <v>42938</v>
      </c>
      <c r="C31" s="84"/>
      <c r="D31" s="84"/>
      <c r="E31" s="84">
        <f t="shared" si="5"/>
        <v>0</v>
      </c>
      <c r="F31" s="84"/>
      <c r="G31" s="85">
        <f t="shared" si="6"/>
        <v>0</v>
      </c>
      <c r="H31" s="102"/>
      <c r="I31" s="74"/>
      <c r="J31" s="86">
        <v>0.33333333333333331</v>
      </c>
      <c r="K31" s="81">
        <f t="shared" si="3"/>
        <v>0</v>
      </c>
      <c r="L31" s="82" t="str">
        <f t="shared" si="4"/>
        <v>-08:00</v>
      </c>
      <c r="M31" s="87"/>
    </row>
    <row r="32" spans="2:14" s="43" customFormat="1" x14ac:dyDescent="0.3">
      <c r="B32" s="93">
        <f t="shared" si="2"/>
        <v>42939</v>
      </c>
      <c r="C32" s="84"/>
      <c r="D32" s="84"/>
      <c r="E32" s="84">
        <f t="shared" si="5"/>
        <v>0</v>
      </c>
      <c r="F32" s="84"/>
      <c r="G32" s="85">
        <f t="shared" si="6"/>
        <v>0</v>
      </c>
      <c r="H32" s="102"/>
      <c r="I32" s="74"/>
      <c r="J32" s="86">
        <v>0.33333333333333331</v>
      </c>
      <c r="K32" s="81">
        <f t="shared" si="3"/>
        <v>0</v>
      </c>
      <c r="L32" s="82" t="str">
        <f t="shared" si="4"/>
        <v>-08:00</v>
      </c>
      <c r="M32" s="87"/>
    </row>
    <row r="33" spans="2:13" s="43" customFormat="1" x14ac:dyDescent="0.3">
      <c r="B33" s="93">
        <f t="shared" si="2"/>
        <v>42940</v>
      </c>
      <c r="C33" s="84"/>
      <c r="D33" s="84"/>
      <c r="E33" s="84">
        <f t="shared" si="5"/>
        <v>0</v>
      </c>
      <c r="F33" s="84"/>
      <c r="G33" s="85">
        <f t="shared" si="6"/>
        <v>0</v>
      </c>
      <c r="H33" s="102"/>
      <c r="I33" s="74"/>
      <c r="J33" s="86">
        <v>0</v>
      </c>
      <c r="K33" s="81">
        <f t="shared" si="3"/>
        <v>0</v>
      </c>
      <c r="L33" s="82" t="str">
        <f t="shared" si="4"/>
        <v/>
      </c>
      <c r="M33" s="87"/>
    </row>
    <row r="34" spans="2:13" s="43" customFormat="1" x14ac:dyDescent="0.3">
      <c r="B34" s="93">
        <f t="shared" si="2"/>
        <v>42941</v>
      </c>
      <c r="C34" s="84"/>
      <c r="D34" s="84"/>
      <c r="E34" s="84">
        <f t="shared" si="5"/>
        <v>0</v>
      </c>
      <c r="F34" s="84"/>
      <c r="G34" s="85">
        <f t="shared" si="6"/>
        <v>0</v>
      </c>
      <c r="H34" s="102"/>
      <c r="I34" s="74"/>
      <c r="J34" s="86"/>
      <c r="K34" s="81">
        <f t="shared" si="3"/>
        <v>0</v>
      </c>
      <c r="L34" s="82" t="str">
        <f t="shared" si="4"/>
        <v/>
      </c>
      <c r="M34" s="87"/>
    </row>
    <row r="35" spans="2:13" s="43" customFormat="1" x14ac:dyDescent="0.3">
      <c r="B35" s="93">
        <f t="shared" si="2"/>
        <v>42942</v>
      </c>
      <c r="C35" s="84"/>
      <c r="D35" s="84"/>
      <c r="E35" s="84">
        <f t="shared" si="5"/>
        <v>0</v>
      </c>
      <c r="F35" s="84"/>
      <c r="G35" s="85">
        <f t="shared" si="6"/>
        <v>0</v>
      </c>
      <c r="H35" s="102"/>
      <c r="I35" s="74"/>
      <c r="J35" s="86"/>
      <c r="K35" s="81">
        <f t="shared" si="3"/>
        <v>0</v>
      </c>
      <c r="L35" s="82" t="str">
        <f t="shared" si="4"/>
        <v/>
      </c>
      <c r="M35" s="87"/>
    </row>
    <row r="36" spans="2:13" s="43" customFormat="1" x14ac:dyDescent="0.3">
      <c r="B36" s="93">
        <f t="shared" si="2"/>
        <v>42943</v>
      </c>
      <c r="C36" s="84"/>
      <c r="D36" s="84"/>
      <c r="E36" s="84">
        <f t="shared" si="5"/>
        <v>0</v>
      </c>
      <c r="F36" s="84"/>
      <c r="G36" s="85">
        <f t="shared" si="6"/>
        <v>0</v>
      </c>
      <c r="H36" s="102"/>
      <c r="I36" s="74"/>
      <c r="J36" s="86">
        <v>0.33333333333333331</v>
      </c>
      <c r="K36" s="81">
        <f t="shared" si="3"/>
        <v>0</v>
      </c>
      <c r="L36" s="82" t="str">
        <f t="shared" si="4"/>
        <v>-08:00</v>
      </c>
      <c r="M36" s="87"/>
    </row>
    <row r="37" spans="2:13" s="43" customFormat="1" x14ac:dyDescent="0.3">
      <c r="B37" s="93">
        <f t="shared" si="2"/>
        <v>42944</v>
      </c>
      <c r="C37" s="84"/>
      <c r="D37" s="84"/>
      <c r="E37" s="84">
        <f t="shared" si="5"/>
        <v>0</v>
      </c>
      <c r="F37" s="84"/>
      <c r="G37" s="85">
        <f t="shared" si="6"/>
        <v>0</v>
      </c>
      <c r="H37" s="102"/>
      <c r="I37" s="74"/>
      <c r="J37" s="86">
        <v>0.33333333333333331</v>
      </c>
      <c r="K37" s="81">
        <f t="shared" si="3"/>
        <v>0</v>
      </c>
      <c r="L37" s="82" t="str">
        <f t="shared" si="4"/>
        <v>-08:00</v>
      </c>
      <c r="M37" s="87"/>
    </row>
    <row r="38" spans="2:13" s="43" customFormat="1" x14ac:dyDescent="0.3">
      <c r="B38" s="93">
        <f t="shared" si="2"/>
        <v>42945</v>
      </c>
      <c r="C38" s="84"/>
      <c r="D38" s="84"/>
      <c r="E38" s="84">
        <f t="shared" si="5"/>
        <v>0</v>
      </c>
      <c r="F38" s="84"/>
      <c r="G38" s="85">
        <f t="shared" si="6"/>
        <v>0</v>
      </c>
      <c r="H38" s="102"/>
      <c r="I38" s="74"/>
      <c r="J38" s="86">
        <v>0.33333333333333331</v>
      </c>
      <c r="K38" s="81">
        <f t="shared" si="3"/>
        <v>0</v>
      </c>
      <c r="L38" s="82" t="str">
        <f t="shared" si="4"/>
        <v>-08:00</v>
      </c>
      <c r="M38" s="87"/>
    </row>
    <row r="39" spans="2:13" s="43" customFormat="1" x14ac:dyDescent="0.3">
      <c r="B39" s="93">
        <f t="shared" si="2"/>
        <v>42946</v>
      </c>
      <c r="C39" s="84"/>
      <c r="D39" s="84"/>
      <c r="E39" s="84">
        <f t="shared" ref="E39" si="7">D39-C39</f>
        <v>0</v>
      </c>
      <c r="F39" s="84"/>
      <c r="G39" s="85">
        <f t="shared" ref="G39" si="8">E39-F39</f>
        <v>0</v>
      </c>
      <c r="H39" s="105"/>
      <c r="I39" s="74"/>
      <c r="J39" s="86">
        <v>0.33333333333333331</v>
      </c>
      <c r="K39" s="81">
        <f t="shared" ref="K39" si="9">G39</f>
        <v>0</v>
      </c>
      <c r="L39" s="82" t="str">
        <f t="shared" ref="L39" si="10">IF(K39&lt;J39,TEXT((ABS(K39-J39)),"-hh:mm"),IF(K39=J39,"",K39-J39))</f>
        <v>-08:00</v>
      </c>
      <c r="M39" s="87"/>
    </row>
    <row r="40" spans="2:13" s="43" customFormat="1" ht="15" thickBot="1" x14ac:dyDescent="0.35">
      <c r="B40" s="93">
        <f t="shared" si="2"/>
        <v>42947</v>
      </c>
      <c r="C40" s="84"/>
      <c r="D40" s="84"/>
      <c r="E40" s="84">
        <f t="shared" si="5"/>
        <v>0</v>
      </c>
      <c r="F40" s="84"/>
      <c r="G40" s="85">
        <f t="shared" si="6"/>
        <v>0</v>
      </c>
      <c r="H40" s="105"/>
      <c r="I40" s="74"/>
      <c r="J40" s="86">
        <v>0.33333333333333331</v>
      </c>
      <c r="K40" s="81">
        <f t="shared" si="3"/>
        <v>0</v>
      </c>
      <c r="L40" s="82" t="str">
        <f t="shared" si="4"/>
        <v>-08:00</v>
      </c>
      <c r="M40" s="87"/>
    </row>
    <row r="41" spans="2:13" s="29" customFormat="1" ht="18.600000000000001" thickBot="1" x14ac:dyDescent="0.35">
      <c r="B41" s="76" t="s">
        <v>2</v>
      </c>
      <c r="C41" s="72"/>
      <c r="D41" s="72"/>
      <c r="E41" s="77"/>
      <c r="F41" s="78"/>
      <c r="G41" s="77">
        <f>SUM(G10:G40)</f>
        <v>0</v>
      </c>
      <c r="H41" s="103"/>
      <c r="I41" s="74"/>
      <c r="J41" s="75">
        <f>SUM(J10:J40)</f>
        <v>4.9999999999999991</v>
      </c>
      <c r="K41" s="75">
        <f>SUM(K10:K40)</f>
        <v>0</v>
      </c>
      <c r="L41" s="75" t="str">
        <f>IF(K41&lt;J41,TEXT((ABS(K41-J41)),"-[h]:mm"),IF(K41=J41,"",K41-J41))</f>
        <v>-120:00</v>
      </c>
    </row>
    <row r="42" spans="2:13" ht="15" thickBot="1" x14ac:dyDescent="0.35">
      <c r="J42" s="19"/>
    </row>
    <row r="43" spans="2:13" x14ac:dyDescent="0.3">
      <c r="G43" s="116" t="s">
        <v>48</v>
      </c>
      <c r="H43" s="117"/>
    </row>
    <row r="44" spans="2:13" ht="15" thickBot="1" x14ac:dyDescent="0.35">
      <c r="G44" s="118"/>
      <c r="H44" s="119"/>
    </row>
    <row r="45" spans="2:13" ht="64.95" customHeight="1" thickBot="1" x14ac:dyDescent="0.35">
      <c r="G45" s="109" t="s">
        <v>49</v>
      </c>
      <c r="H45" s="104"/>
    </row>
    <row r="46" spans="2:13" s="90" customFormat="1" ht="15" thickBot="1" x14ac:dyDescent="0.35">
      <c r="G46" s="89" t="s">
        <v>43</v>
      </c>
      <c r="H46" s="100" t="s">
        <v>44</v>
      </c>
      <c r="I46" s="91"/>
      <c r="J46" s="91"/>
      <c r="K46" s="91"/>
      <c r="L46" s="91"/>
    </row>
  </sheetData>
  <mergeCells count="8">
    <mergeCell ref="L7:L9"/>
    <mergeCell ref="G43:H44"/>
    <mergeCell ref="B2:G2"/>
    <mergeCell ref="B4:B5"/>
    <mergeCell ref="C4:D5"/>
    <mergeCell ref="B6:B7"/>
    <mergeCell ref="J7:J9"/>
    <mergeCell ref="K7:K9"/>
  </mergeCells>
  <pageMargins left="0.25" right="0.25" top="0.75" bottom="0.75" header="0.3" footer="0.3"/>
  <pageSetup paperSize="9" scale="62" fitToHeight="0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70C0"/>
    <outlinePr summaryBelow="0" summaryRight="0"/>
    <pageSetUpPr fitToPage="1"/>
  </sheetPr>
  <dimension ref="B2:N46"/>
  <sheetViews>
    <sheetView topLeftCell="A28" workbookViewId="0">
      <selection activeCell="D47" sqref="D47"/>
    </sheetView>
  </sheetViews>
  <sheetFormatPr defaultColWidth="9.109375" defaultRowHeight="14.4" x14ac:dyDescent="0.3"/>
  <cols>
    <col min="1" max="1" width="3.6640625" style="1" customWidth="1"/>
    <col min="2" max="2" width="14.6640625" style="1" customWidth="1"/>
    <col min="3" max="6" width="12.6640625" style="1" customWidth="1"/>
    <col min="7" max="7" width="14.6640625" style="3" customWidth="1"/>
    <col min="8" max="8" width="50.6640625" style="96" customWidth="1"/>
    <col min="9" max="9" width="3" style="3" customWidth="1"/>
    <col min="10" max="12" width="7.6640625" style="3" hidden="1" customWidth="1"/>
    <col min="13" max="13" width="9.109375" style="1"/>
    <col min="14" max="14" width="12.44140625" style="1" customWidth="1"/>
    <col min="15" max="16384" width="9.109375" style="1"/>
  </cols>
  <sheetData>
    <row r="2" spans="2:14" ht="64.95" customHeight="1" x14ac:dyDescent="0.3">
      <c r="B2" s="120" t="s">
        <v>38</v>
      </c>
      <c r="C2" s="121"/>
      <c r="D2" s="121"/>
      <c r="E2" s="121"/>
      <c r="F2" s="121"/>
      <c r="G2" s="121"/>
    </row>
    <row r="3" spans="2:14" ht="15" thickBot="1" x14ac:dyDescent="0.35">
      <c r="B3" s="4"/>
      <c r="G3" s="1"/>
    </row>
    <row r="4" spans="2:14" ht="19.95" customHeight="1" thickBot="1" x14ac:dyDescent="0.35">
      <c r="B4" s="122" t="s">
        <v>5</v>
      </c>
      <c r="C4" s="124" t="s">
        <v>46</v>
      </c>
      <c r="D4" s="124"/>
      <c r="E4" s="61"/>
      <c r="F4" s="64"/>
      <c r="G4" s="68" t="s">
        <v>39</v>
      </c>
      <c r="H4" s="97" t="s">
        <v>40</v>
      </c>
    </row>
    <row r="5" spans="2:14" ht="19.95" customHeight="1" thickBot="1" x14ac:dyDescent="0.35">
      <c r="B5" s="123"/>
      <c r="C5" s="125"/>
      <c r="D5" s="125"/>
      <c r="E5" s="8"/>
      <c r="F5" s="67"/>
      <c r="G5" s="69" t="s">
        <v>41</v>
      </c>
      <c r="H5" s="98" t="s">
        <v>42</v>
      </c>
    </row>
    <row r="6" spans="2:14" ht="19.95" customHeight="1" thickBot="1" x14ac:dyDescent="0.35">
      <c r="B6" s="126" t="s">
        <v>43</v>
      </c>
      <c r="C6" s="66" t="s">
        <v>44</v>
      </c>
      <c r="D6" s="8"/>
      <c r="E6" s="8"/>
      <c r="F6" s="67"/>
      <c r="G6" s="69" t="s">
        <v>7</v>
      </c>
      <c r="H6" s="99" t="s">
        <v>64</v>
      </c>
    </row>
    <row r="7" spans="2:14" ht="19.95" customHeight="1" thickBot="1" x14ac:dyDescent="0.35">
      <c r="B7" s="123"/>
      <c r="C7" s="62" t="s">
        <v>45</v>
      </c>
      <c r="D7" s="63"/>
      <c r="E7" s="63"/>
      <c r="F7" s="65"/>
      <c r="G7" s="70" t="s">
        <v>36</v>
      </c>
      <c r="H7" s="100" t="s">
        <v>56</v>
      </c>
      <c r="J7" s="113" t="s">
        <v>16</v>
      </c>
      <c r="K7" s="113" t="s">
        <v>17</v>
      </c>
      <c r="L7" s="113" t="s">
        <v>18</v>
      </c>
    </row>
    <row r="8" spans="2:14" ht="15" thickBot="1" x14ac:dyDescent="0.35">
      <c r="J8" s="114"/>
      <c r="K8" s="114"/>
      <c r="L8" s="114"/>
    </row>
    <row r="9" spans="2:14" ht="29.4" thickBot="1" x14ac:dyDescent="0.35">
      <c r="B9" s="71" t="s">
        <v>1</v>
      </c>
      <c r="C9" s="72" t="s">
        <v>12</v>
      </c>
      <c r="D9" s="72" t="s">
        <v>13</v>
      </c>
      <c r="E9" s="72" t="s">
        <v>0</v>
      </c>
      <c r="F9" s="72" t="s">
        <v>15</v>
      </c>
      <c r="G9" s="73" t="s">
        <v>37</v>
      </c>
      <c r="H9" s="95" t="s">
        <v>47</v>
      </c>
      <c r="J9" s="115"/>
      <c r="K9" s="115"/>
      <c r="L9" s="115"/>
    </row>
    <row r="10" spans="2:14" s="43" customFormat="1" x14ac:dyDescent="0.3">
      <c r="B10" s="92">
        <v>42948</v>
      </c>
      <c r="C10" s="84"/>
      <c r="D10" s="84"/>
      <c r="E10" s="84">
        <f t="shared" ref="E10:E27" si="0">D10-C10</f>
        <v>0</v>
      </c>
      <c r="F10" s="84"/>
      <c r="G10" s="79">
        <f t="shared" ref="G10:G26" si="1">E10-F10</f>
        <v>0</v>
      </c>
      <c r="H10" s="101"/>
      <c r="I10" s="74"/>
      <c r="J10" s="80"/>
      <c r="K10" s="81">
        <f>G10</f>
        <v>0</v>
      </c>
      <c r="L10" s="82" t="str">
        <f>IF(K10&lt;J10,TEXT((ABS(K10-J10)),"-hh:mm"),IF(K10=J10,"",K10-J10))</f>
        <v/>
      </c>
    </row>
    <row r="11" spans="2:14" s="43" customFormat="1" x14ac:dyDescent="0.3">
      <c r="B11" s="93">
        <f t="shared" ref="B11:B40" si="2">B10+1</f>
        <v>42949</v>
      </c>
      <c r="C11" s="84"/>
      <c r="D11" s="84"/>
      <c r="E11" s="84">
        <f t="shared" si="0"/>
        <v>0</v>
      </c>
      <c r="F11" s="84"/>
      <c r="G11" s="85">
        <f t="shared" si="1"/>
        <v>0</v>
      </c>
      <c r="H11" s="102"/>
      <c r="I11" s="74"/>
      <c r="J11" s="86"/>
      <c r="K11" s="81">
        <f t="shared" ref="K11:K40" si="3">G11</f>
        <v>0</v>
      </c>
      <c r="L11" s="82" t="str">
        <f t="shared" ref="L11:L40" si="4">IF(K11&lt;J11,TEXT((ABS(K11-J11)),"-hh:mm"),IF(K11=J11,"",K11-J11))</f>
        <v/>
      </c>
    </row>
    <row r="12" spans="2:14" s="43" customFormat="1" x14ac:dyDescent="0.3">
      <c r="B12" s="93">
        <f t="shared" si="2"/>
        <v>42950</v>
      </c>
      <c r="C12" s="83"/>
      <c r="D12" s="83"/>
      <c r="E12" s="84">
        <f t="shared" si="0"/>
        <v>0</v>
      </c>
      <c r="F12" s="83"/>
      <c r="G12" s="85">
        <f t="shared" si="1"/>
        <v>0</v>
      </c>
      <c r="H12" s="102"/>
      <c r="I12" s="74"/>
      <c r="J12" s="86"/>
      <c r="K12" s="81">
        <f t="shared" si="3"/>
        <v>0</v>
      </c>
      <c r="L12" s="82" t="str">
        <f t="shared" si="4"/>
        <v/>
      </c>
      <c r="N12" s="94"/>
    </row>
    <row r="13" spans="2:14" s="43" customFormat="1" x14ac:dyDescent="0.3">
      <c r="B13" s="93">
        <f t="shared" si="2"/>
        <v>42951</v>
      </c>
      <c r="C13" s="84"/>
      <c r="D13" s="84"/>
      <c r="E13" s="84">
        <f t="shared" si="0"/>
        <v>0</v>
      </c>
      <c r="F13" s="84"/>
      <c r="G13" s="85">
        <f t="shared" si="1"/>
        <v>0</v>
      </c>
      <c r="H13" s="102"/>
      <c r="I13" s="74"/>
      <c r="J13" s="86"/>
      <c r="K13" s="81">
        <f t="shared" si="3"/>
        <v>0</v>
      </c>
      <c r="L13" s="82" t="str">
        <f t="shared" si="4"/>
        <v/>
      </c>
    </row>
    <row r="14" spans="2:14" s="43" customFormat="1" x14ac:dyDescent="0.3">
      <c r="B14" s="93">
        <f t="shared" si="2"/>
        <v>42952</v>
      </c>
      <c r="C14" s="84"/>
      <c r="D14" s="84"/>
      <c r="E14" s="84">
        <f t="shared" si="0"/>
        <v>0</v>
      </c>
      <c r="F14" s="84"/>
      <c r="G14" s="85">
        <f t="shared" si="1"/>
        <v>0</v>
      </c>
      <c r="H14" s="102"/>
      <c r="I14" s="74"/>
      <c r="J14" s="86"/>
      <c r="K14" s="81">
        <f t="shared" si="3"/>
        <v>0</v>
      </c>
      <c r="L14" s="82" t="str">
        <f t="shared" si="4"/>
        <v/>
      </c>
    </row>
    <row r="15" spans="2:14" s="43" customFormat="1" x14ac:dyDescent="0.3">
      <c r="B15" s="93">
        <f t="shared" si="2"/>
        <v>42953</v>
      </c>
      <c r="C15" s="84"/>
      <c r="D15" s="84"/>
      <c r="E15" s="84">
        <f t="shared" si="0"/>
        <v>0</v>
      </c>
      <c r="F15" s="84"/>
      <c r="G15" s="85">
        <f t="shared" si="1"/>
        <v>0</v>
      </c>
      <c r="H15" s="102"/>
      <c r="I15" s="74"/>
      <c r="J15" s="86">
        <v>0.33333333333333331</v>
      </c>
      <c r="K15" s="81">
        <f t="shared" si="3"/>
        <v>0</v>
      </c>
      <c r="L15" s="82" t="str">
        <f t="shared" si="4"/>
        <v>-08:00</v>
      </c>
      <c r="M15" s="87"/>
    </row>
    <row r="16" spans="2:14" s="43" customFormat="1" x14ac:dyDescent="0.3">
      <c r="B16" s="93">
        <f t="shared" si="2"/>
        <v>42954</v>
      </c>
      <c r="C16" s="84"/>
      <c r="D16" s="84"/>
      <c r="E16" s="84">
        <f t="shared" si="0"/>
        <v>0</v>
      </c>
      <c r="F16" s="84"/>
      <c r="G16" s="85">
        <f t="shared" si="1"/>
        <v>0</v>
      </c>
      <c r="H16" s="102"/>
      <c r="I16" s="74"/>
      <c r="J16" s="86">
        <v>0.33333333333333331</v>
      </c>
      <c r="K16" s="81">
        <f t="shared" si="3"/>
        <v>0</v>
      </c>
      <c r="L16" s="82" t="str">
        <f t="shared" si="4"/>
        <v>-08:00</v>
      </c>
      <c r="M16" s="87"/>
    </row>
    <row r="17" spans="2:14" s="43" customFormat="1" x14ac:dyDescent="0.3">
      <c r="B17" s="93">
        <f t="shared" si="2"/>
        <v>42955</v>
      </c>
      <c r="C17" s="84"/>
      <c r="D17" s="84"/>
      <c r="E17" s="84">
        <f t="shared" si="0"/>
        <v>0</v>
      </c>
      <c r="F17" s="84"/>
      <c r="G17" s="85">
        <f t="shared" si="1"/>
        <v>0</v>
      </c>
      <c r="H17" s="102"/>
      <c r="I17" s="74"/>
      <c r="J17" s="86"/>
      <c r="K17" s="81">
        <f t="shared" si="3"/>
        <v>0</v>
      </c>
      <c r="L17" s="82" t="str">
        <f t="shared" si="4"/>
        <v/>
      </c>
      <c r="M17" s="87"/>
    </row>
    <row r="18" spans="2:14" s="43" customFormat="1" x14ac:dyDescent="0.3">
      <c r="B18" s="93">
        <f t="shared" si="2"/>
        <v>42956</v>
      </c>
      <c r="C18" s="84"/>
      <c r="D18" s="84"/>
      <c r="E18" s="84">
        <f t="shared" si="0"/>
        <v>0</v>
      </c>
      <c r="F18" s="84"/>
      <c r="G18" s="85">
        <f t="shared" si="1"/>
        <v>0</v>
      </c>
      <c r="H18" s="102"/>
      <c r="I18" s="74"/>
      <c r="J18" s="86"/>
      <c r="K18" s="81">
        <f t="shared" si="3"/>
        <v>0</v>
      </c>
      <c r="L18" s="82" t="str">
        <f t="shared" si="4"/>
        <v/>
      </c>
      <c r="M18" s="87"/>
    </row>
    <row r="19" spans="2:14" s="43" customFormat="1" x14ac:dyDescent="0.3">
      <c r="B19" s="93">
        <f t="shared" si="2"/>
        <v>42957</v>
      </c>
      <c r="C19" s="84"/>
      <c r="D19" s="84"/>
      <c r="E19" s="84">
        <f t="shared" si="0"/>
        <v>0</v>
      </c>
      <c r="F19" s="84"/>
      <c r="G19" s="85">
        <f t="shared" si="1"/>
        <v>0</v>
      </c>
      <c r="H19" s="102"/>
      <c r="I19" s="74"/>
      <c r="J19" s="86"/>
      <c r="K19" s="81">
        <f t="shared" si="3"/>
        <v>0</v>
      </c>
      <c r="L19" s="82" t="str">
        <f t="shared" si="4"/>
        <v/>
      </c>
      <c r="M19" s="87"/>
    </row>
    <row r="20" spans="2:14" s="43" customFormat="1" x14ac:dyDescent="0.3">
      <c r="B20" s="93">
        <f t="shared" si="2"/>
        <v>42958</v>
      </c>
      <c r="C20" s="84"/>
      <c r="D20" s="84"/>
      <c r="E20" s="84">
        <f t="shared" si="0"/>
        <v>0</v>
      </c>
      <c r="F20" s="84"/>
      <c r="G20" s="85">
        <f t="shared" si="1"/>
        <v>0</v>
      </c>
      <c r="H20" s="102"/>
      <c r="I20" s="74"/>
      <c r="J20" s="86"/>
      <c r="K20" s="81">
        <f t="shared" si="3"/>
        <v>0</v>
      </c>
      <c r="L20" s="82" t="str">
        <f t="shared" si="4"/>
        <v/>
      </c>
      <c r="M20" s="87"/>
    </row>
    <row r="21" spans="2:14" s="43" customFormat="1" x14ac:dyDescent="0.3">
      <c r="B21" s="93">
        <f t="shared" si="2"/>
        <v>42959</v>
      </c>
      <c r="C21" s="84"/>
      <c r="D21" s="84"/>
      <c r="E21" s="84">
        <f t="shared" si="0"/>
        <v>0</v>
      </c>
      <c r="F21" s="84"/>
      <c r="G21" s="85">
        <f t="shared" si="1"/>
        <v>0</v>
      </c>
      <c r="H21" s="102"/>
      <c r="I21" s="74"/>
      <c r="J21" s="86"/>
      <c r="K21" s="81">
        <f t="shared" si="3"/>
        <v>0</v>
      </c>
      <c r="L21" s="82" t="str">
        <f t="shared" si="4"/>
        <v/>
      </c>
      <c r="M21" s="87"/>
    </row>
    <row r="22" spans="2:14" s="43" customFormat="1" x14ac:dyDescent="0.3">
      <c r="B22" s="93">
        <f t="shared" si="2"/>
        <v>42960</v>
      </c>
      <c r="C22" s="84"/>
      <c r="D22" s="84"/>
      <c r="E22" s="84">
        <f t="shared" si="0"/>
        <v>0</v>
      </c>
      <c r="F22" s="84"/>
      <c r="G22" s="85">
        <f t="shared" si="1"/>
        <v>0</v>
      </c>
      <c r="H22" s="102"/>
      <c r="I22" s="74"/>
      <c r="J22" s="86">
        <v>0.33333333333333331</v>
      </c>
      <c r="K22" s="81">
        <f t="shared" si="3"/>
        <v>0</v>
      </c>
      <c r="L22" s="82" t="str">
        <f t="shared" si="4"/>
        <v>-08:00</v>
      </c>
      <c r="M22" s="87"/>
      <c r="N22" s="88"/>
    </row>
    <row r="23" spans="2:14" s="43" customFormat="1" x14ac:dyDescent="0.3">
      <c r="B23" s="93">
        <f t="shared" si="2"/>
        <v>42961</v>
      </c>
      <c r="C23" s="84"/>
      <c r="D23" s="84"/>
      <c r="E23" s="84">
        <f t="shared" si="0"/>
        <v>0</v>
      </c>
      <c r="F23" s="84"/>
      <c r="G23" s="85">
        <f t="shared" si="1"/>
        <v>0</v>
      </c>
      <c r="H23" s="102"/>
      <c r="I23" s="74"/>
      <c r="J23" s="86">
        <v>0.33333333333333331</v>
      </c>
      <c r="K23" s="81">
        <f t="shared" si="3"/>
        <v>0</v>
      </c>
      <c r="L23" s="82" t="str">
        <f t="shared" si="4"/>
        <v>-08:00</v>
      </c>
      <c r="M23" s="87"/>
      <c r="N23" s="88"/>
    </row>
    <row r="24" spans="2:14" s="43" customFormat="1" x14ac:dyDescent="0.3">
      <c r="B24" s="93">
        <f t="shared" si="2"/>
        <v>42962</v>
      </c>
      <c r="C24" s="84"/>
      <c r="D24" s="84"/>
      <c r="E24" s="84">
        <f t="shared" si="0"/>
        <v>0</v>
      </c>
      <c r="F24" s="84"/>
      <c r="G24" s="85">
        <f t="shared" si="1"/>
        <v>0</v>
      </c>
      <c r="H24" s="102"/>
      <c r="I24" s="74"/>
      <c r="J24" s="86">
        <v>0.33333333333333331</v>
      </c>
      <c r="K24" s="81">
        <f t="shared" si="3"/>
        <v>0</v>
      </c>
      <c r="L24" s="82" t="str">
        <f t="shared" si="4"/>
        <v>-08:00</v>
      </c>
      <c r="M24" s="87"/>
      <c r="N24" s="88"/>
    </row>
    <row r="25" spans="2:14" s="43" customFormat="1" x14ac:dyDescent="0.3">
      <c r="B25" s="93">
        <f t="shared" si="2"/>
        <v>42963</v>
      </c>
      <c r="C25" s="84"/>
      <c r="D25" s="84"/>
      <c r="E25" s="84">
        <f t="shared" si="0"/>
        <v>0</v>
      </c>
      <c r="F25" s="84"/>
      <c r="G25" s="85">
        <f t="shared" si="1"/>
        <v>0</v>
      </c>
      <c r="H25" s="102"/>
      <c r="I25" s="74"/>
      <c r="J25" s="86">
        <v>0.33333333333333331</v>
      </c>
      <c r="K25" s="81">
        <f t="shared" si="3"/>
        <v>0</v>
      </c>
      <c r="L25" s="82" t="str">
        <f t="shared" si="4"/>
        <v>-08:00</v>
      </c>
      <c r="M25" s="87"/>
      <c r="N25" s="88"/>
    </row>
    <row r="26" spans="2:14" s="43" customFormat="1" x14ac:dyDescent="0.3">
      <c r="B26" s="93">
        <f t="shared" si="2"/>
        <v>42964</v>
      </c>
      <c r="C26" s="84"/>
      <c r="D26" s="84"/>
      <c r="E26" s="84">
        <f t="shared" si="0"/>
        <v>0</v>
      </c>
      <c r="F26" s="84"/>
      <c r="G26" s="85">
        <f t="shared" si="1"/>
        <v>0</v>
      </c>
      <c r="H26" s="102"/>
      <c r="I26" s="74"/>
      <c r="J26" s="86"/>
      <c r="K26" s="81">
        <f t="shared" si="3"/>
        <v>0</v>
      </c>
      <c r="L26" s="82" t="str">
        <f t="shared" si="4"/>
        <v/>
      </c>
      <c r="M26" s="87"/>
      <c r="N26" s="88"/>
    </row>
    <row r="27" spans="2:14" s="43" customFormat="1" x14ac:dyDescent="0.3">
      <c r="B27" s="93">
        <f t="shared" si="2"/>
        <v>42965</v>
      </c>
      <c r="C27" s="84"/>
      <c r="D27" s="84"/>
      <c r="E27" s="84">
        <f t="shared" si="0"/>
        <v>0</v>
      </c>
      <c r="F27" s="84"/>
      <c r="G27" s="85">
        <f>E27-F27</f>
        <v>0</v>
      </c>
      <c r="H27" s="102"/>
      <c r="I27" s="74"/>
      <c r="J27" s="86"/>
      <c r="K27" s="81">
        <f t="shared" si="3"/>
        <v>0</v>
      </c>
      <c r="L27" s="82" t="str">
        <f t="shared" si="4"/>
        <v/>
      </c>
      <c r="M27" s="87"/>
      <c r="N27" s="88"/>
    </row>
    <row r="28" spans="2:14" s="43" customFormat="1" x14ac:dyDescent="0.3">
      <c r="B28" s="93">
        <f t="shared" si="2"/>
        <v>42966</v>
      </c>
      <c r="C28" s="84"/>
      <c r="D28" s="84"/>
      <c r="E28" s="84">
        <f>D28-C28</f>
        <v>0</v>
      </c>
      <c r="F28" s="84"/>
      <c r="G28" s="85">
        <f>E28-F28</f>
        <v>0</v>
      </c>
      <c r="H28" s="102"/>
      <c r="I28" s="74"/>
      <c r="J28" s="86"/>
      <c r="K28" s="81">
        <f t="shared" si="3"/>
        <v>0</v>
      </c>
      <c r="L28" s="82" t="str">
        <f t="shared" si="4"/>
        <v/>
      </c>
      <c r="M28" s="87"/>
      <c r="N28" s="88"/>
    </row>
    <row r="29" spans="2:14" s="43" customFormat="1" x14ac:dyDescent="0.3">
      <c r="B29" s="93">
        <f t="shared" si="2"/>
        <v>42967</v>
      </c>
      <c r="C29" s="84"/>
      <c r="D29" s="84"/>
      <c r="E29" s="84">
        <f t="shared" ref="E29:E40" si="5">D29-C29</f>
        <v>0</v>
      </c>
      <c r="F29" s="84"/>
      <c r="G29" s="85">
        <f t="shared" ref="G29:G40" si="6">E29-F29</f>
        <v>0</v>
      </c>
      <c r="H29" s="102"/>
      <c r="I29" s="74"/>
      <c r="J29" s="86">
        <v>0.33333333333333331</v>
      </c>
      <c r="K29" s="81">
        <f t="shared" si="3"/>
        <v>0</v>
      </c>
      <c r="L29" s="82" t="str">
        <f t="shared" si="4"/>
        <v>-08:00</v>
      </c>
      <c r="M29" s="87"/>
      <c r="N29" s="88"/>
    </row>
    <row r="30" spans="2:14" s="43" customFormat="1" x14ac:dyDescent="0.3">
      <c r="B30" s="93">
        <f t="shared" si="2"/>
        <v>42968</v>
      </c>
      <c r="C30" s="84"/>
      <c r="D30" s="84"/>
      <c r="E30" s="84">
        <f t="shared" si="5"/>
        <v>0</v>
      </c>
      <c r="F30" s="84"/>
      <c r="G30" s="85">
        <f t="shared" si="6"/>
        <v>0</v>
      </c>
      <c r="H30" s="102"/>
      <c r="I30" s="74"/>
      <c r="J30" s="86">
        <v>0.33333333333333331</v>
      </c>
      <c r="K30" s="81">
        <f t="shared" si="3"/>
        <v>0</v>
      </c>
      <c r="L30" s="82" t="str">
        <f t="shared" si="4"/>
        <v>-08:00</v>
      </c>
      <c r="M30" s="87"/>
      <c r="N30" s="88"/>
    </row>
    <row r="31" spans="2:14" s="43" customFormat="1" x14ac:dyDescent="0.3">
      <c r="B31" s="93">
        <f t="shared" si="2"/>
        <v>42969</v>
      </c>
      <c r="C31" s="84"/>
      <c r="D31" s="84"/>
      <c r="E31" s="84">
        <f t="shared" si="5"/>
        <v>0</v>
      </c>
      <c r="F31" s="84"/>
      <c r="G31" s="85">
        <f t="shared" si="6"/>
        <v>0</v>
      </c>
      <c r="H31" s="102"/>
      <c r="I31" s="74"/>
      <c r="J31" s="86">
        <v>0.33333333333333331</v>
      </c>
      <c r="K31" s="81">
        <f t="shared" si="3"/>
        <v>0</v>
      </c>
      <c r="L31" s="82" t="str">
        <f t="shared" si="4"/>
        <v>-08:00</v>
      </c>
      <c r="M31" s="87"/>
    </row>
    <row r="32" spans="2:14" s="43" customFormat="1" x14ac:dyDescent="0.3">
      <c r="B32" s="93">
        <f t="shared" si="2"/>
        <v>42970</v>
      </c>
      <c r="C32" s="84"/>
      <c r="D32" s="84"/>
      <c r="E32" s="84">
        <f t="shared" si="5"/>
        <v>0</v>
      </c>
      <c r="F32" s="84"/>
      <c r="G32" s="85">
        <f t="shared" si="6"/>
        <v>0</v>
      </c>
      <c r="H32" s="102"/>
      <c r="I32" s="74"/>
      <c r="J32" s="86">
        <v>0.33333333333333331</v>
      </c>
      <c r="K32" s="81">
        <f t="shared" si="3"/>
        <v>0</v>
      </c>
      <c r="L32" s="82" t="str">
        <f t="shared" si="4"/>
        <v>-08:00</v>
      </c>
      <c r="M32" s="87"/>
    </row>
    <row r="33" spans="2:13" s="43" customFormat="1" x14ac:dyDescent="0.3">
      <c r="B33" s="93">
        <f t="shared" si="2"/>
        <v>42971</v>
      </c>
      <c r="C33" s="84"/>
      <c r="D33" s="84"/>
      <c r="E33" s="84">
        <f t="shared" si="5"/>
        <v>0</v>
      </c>
      <c r="F33" s="84"/>
      <c r="G33" s="85">
        <f t="shared" si="6"/>
        <v>0</v>
      </c>
      <c r="H33" s="102"/>
      <c r="I33" s="74"/>
      <c r="J33" s="86">
        <v>0</v>
      </c>
      <c r="K33" s="81">
        <f t="shared" si="3"/>
        <v>0</v>
      </c>
      <c r="L33" s="82" t="str">
        <f t="shared" si="4"/>
        <v/>
      </c>
      <c r="M33" s="87"/>
    </row>
    <row r="34" spans="2:13" s="43" customFormat="1" x14ac:dyDescent="0.3">
      <c r="B34" s="93">
        <f t="shared" si="2"/>
        <v>42972</v>
      </c>
      <c r="C34" s="84"/>
      <c r="D34" s="84"/>
      <c r="E34" s="84">
        <f t="shared" si="5"/>
        <v>0</v>
      </c>
      <c r="F34" s="84"/>
      <c r="G34" s="85">
        <f t="shared" si="6"/>
        <v>0</v>
      </c>
      <c r="H34" s="102"/>
      <c r="I34" s="74"/>
      <c r="J34" s="86"/>
      <c r="K34" s="81">
        <f t="shared" si="3"/>
        <v>0</v>
      </c>
      <c r="L34" s="82" t="str">
        <f t="shared" si="4"/>
        <v/>
      </c>
      <c r="M34" s="87"/>
    </row>
    <row r="35" spans="2:13" s="43" customFormat="1" x14ac:dyDescent="0.3">
      <c r="B35" s="93">
        <f t="shared" si="2"/>
        <v>42973</v>
      </c>
      <c r="C35" s="84"/>
      <c r="D35" s="84"/>
      <c r="E35" s="84">
        <f t="shared" si="5"/>
        <v>0</v>
      </c>
      <c r="F35" s="84"/>
      <c r="G35" s="85">
        <f t="shared" si="6"/>
        <v>0</v>
      </c>
      <c r="H35" s="102"/>
      <c r="I35" s="74"/>
      <c r="J35" s="86"/>
      <c r="K35" s="81">
        <f t="shared" si="3"/>
        <v>0</v>
      </c>
      <c r="L35" s="82" t="str">
        <f t="shared" si="4"/>
        <v/>
      </c>
      <c r="M35" s="87"/>
    </row>
    <row r="36" spans="2:13" s="43" customFormat="1" x14ac:dyDescent="0.3">
      <c r="B36" s="93">
        <f t="shared" si="2"/>
        <v>42974</v>
      </c>
      <c r="C36" s="84"/>
      <c r="D36" s="84"/>
      <c r="E36" s="84">
        <f t="shared" si="5"/>
        <v>0</v>
      </c>
      <c r="F36" s="84"/>
      <c r="G36" s="85">
        <f t="shared" si="6"/>
        <v>0</v>
      </c>
      <c r="H36" s="102"/>
      <c r="I36" s="74"/>
      <c r="J36" s="86">
        <v>0.33333333333333331</v>
      </c>
      <c r="K36" s="81">
        <f t="shared" si="3"/>
        <v>0</v>
      </c>
      <c r="L36" s="82" t="str">
        <f t="shared" si="4"/>
        <v>-08:00</v>
      </c>
      <c r="M36" s="87"/>
    </row>
    <row r="37" spans="2:13" s="43" customFormat="1" x14ac:dyDescent="0.3">
      <c r="B37" s="93">
        <f t="shared" si="2"/>
        <v>42975</v>
      </c>
      <c r="C37" s="84"/>
      <c r="D37" s="84"/>
      <c r="E37" s="84">
        <f t="shared" si="5"/>
        <v>0</v>
      </c>
      <c r="F37" s="84"/>
      <c r="G37" s="85">
        <f t="shared" si="6"/>
        <v>0</v>
      </c>
      <c r="H37" s="102"/>
      <c r="I37" s="74"/>
      <c r="J37" s="86">
        <v>0.33333333333333331</v>
      </c>
      <c r="K37" s="81">
        <f t="shared" si="3"/>
        <v>0</v>
      </c>
      <c r="L37" s="82" t="str">
        <f t="shared" si="4"/>
        <v>-08:00</v>
      </c>
      <c r="M37" s="87"/>
    </row>
    <row r="38" spans="2:13" s="43" customFormat="1" x14ac:dyDescent="0.3">
      <c r="B38" s="93">
        <f t="shared" si="2"/>
        <v>42976</v>
      </c>
      <c r="C38" s="84"/>
      <c r="D38" s="84"/>
      <c r="E38" s="84">
        <f t="shared" si="5"/>
        <v>0</v>
      </c>
      <c r="F38" s="84"/>
      <c r="G38" s="85">
        <f t="shared" si="6"/>
        <v>0</v>
      </c>
      <c r="H38" s="102"/>
      <c r="I38" s="74"/>
      <c r="J38" s="86">
        <v>0.33333333333333331</v>
      </c>
      <c r="K38" s="81">
        <f t="shared" si="3"/>
        <v>0</v>
      </c>
      <c r="L38" s="82" t="str">
        <f t="shared" si="4"/>
        <v>-08:00</v>
      </c>
      <c r="M38" s="87"/>
    </row>
    <row r="39" spans="2:13" s="43" customFormat="1" x14ac:dyDescent="0.3">
      <c r="B39" s="93">
        <f t="shared" si="2"/>
        <v>42977</v>
      </c>
      <c r="C39" s="84"/>
      <c r="D39" s="84"/>
      <c r="E39" s="84">
        <f t="shared" ref="E39" si="7">D39-C39</f>
        <v>0</v>
      </c>
      <c r="F39" s="84"/>
      <c r="G39" s="85">
        <f t="shared" ref="G39" si="8">E39-F39</f>
        <v>0</v>
      </c>
      <c r="H39" s="105"/>
      <c r="I39" s="74"/>
      <c r="J39" s="86">
        <v>0.33333333333333331</v>
      </c>
      <c r="K39" s="81">
        <f t="shared" ref="K39" si="9">G39</f>
        <v>0</v>
      </c>
      <c r="L39" s="82" t="str">
        <f t="shared" ref="L39" si="10">IF(K39&lt;J39,TEXT((ABS(K39-J39)),"-hh:mm"),IF(K39=J39,"",K39-J39))</f>
        <v>-08:00</v>
      </c>
      <c r="M39" s="87"/>
    </row>
    <row r="40" spans="2:13" s="43" customFormat="1" ht="15" thickBot="1" x14ac:dyDescent="0.35">
      <c r="B40" s="93">
        <f t="shared" si="2"/>
        <v>42978</v>
      </c>
      <c r="C40" s="84"/>
      <c r="D40" s="84"/>
      <c r="E40" s="84">
        <f t="shared" si="5"/>
        <v>0</v>
      </c>
      <c r="F40" s="84"/>
      <c r="G40" s="85">
        <f t="shared" si="6"/>
        <v>0</v>
      </c>
      <c r="H40" s="105"/>
      <c r="I40" s="74"/>
      <c r="J40" s="86">
        <v>0.33333333333333331</v>
      </c>
      <c r="K40" s="81">
        <f t="shared" si="3"/>
        <v>0</v>
      </c>
      <c r="L40" s="82" t="str">
        <f t="shared" si="4"/>
        <v>-08:00</v>
      </c>
      <c r="M40" s="87"/>
    </row>
    <row r="41" spans="2:13" s="29" customFormat="1" ht="18.600000000000001" thickBot="1" x14ac:dyDescent="0.35">
      <c r="B41" s="76" t="s">
        <v>2</v>
      </c>
      <c r="C41" s="72"/>
      <c r="D41" s="72"/>
      <c r="E41" s="77"/>
      <c r="F41" s="78"/>
      <c r="G41" s="77">
        <f>SUM(G10:G40)</f>
        <v>0</v>
      </c>
      <c r="H41" s="103"/>
      <c r="I41" s="74"/>
      <c r="J41" s="75">
        <f>SUM(J10:J40)</f>
        <v>4.9999999999999991</v>
      </c>
      <c r="K41" s="75">
        <f>SUM(K10:K40)</f>
        <v>0</v>
      </c>
      <c r="L41" s="75" t="str">
        <f>IF(K41&lt;J41,TEXT((ABS(K41-J41)),"-[h]:mm"),IF(K41=J41,"",K41-J41))</f>
        <v>-120:00</v>
      </c>
    </row>
    <row r="42" spans="2:13" ht="15" thickBot="1" x14ac:dyDescent="0.35">
      <c r="J42" s="19"/>
    </row>
    <row r="43" spans="2:13" x14ac:dyDescent="0.3">
      <c r="G43" s="116" t="s">
        <v>48</v>
      </c>
      <c r="H43" s="117"/>
    </row>
    <row r="44" spans="2:13" ht="15" thickBot="1" x14ac:dyDescent="0.35">
      <c r="G44" s="118"/>
      <c r="H44" s="119"/>
    </row>
    <row r="45" spans="2:13" ht="64.95" customHeight="1" thickBot="1" x14ac:dyDescent="0.35">
      <c r="G45" s="109" t="s">
        <v>49</v>
      </c>
      <c r="H45" s="104"/>
    </row>
    <row r="46" spans="2:13" s="90" customFormat="1" ht="15" thickBot="1" x14ac:dyDescent="0.35">
      <c r="G46" s="89" t="s">
        <v>43</v>
      </c>
      <c r="H46" s="100" t="s">
        <v>44</v>
      </c>
      <c r="I46" s="91"/>
      <c r="J46" s="91"/>
      <c r="K46" s="91"/>
      <c r="L46" s="91"/>
    </row>
  </sheetData>
  <mergeCells count="8">
    <mergeCell ref="L7:L9"/>
    <mergeCell ref="G43:H44"/>
    <mergeCell ref="B2:G2"/>
    <mergeCell ref="B4:B5"/>
    <mergeCell ref="C4:D5"/>
    <mergeCell ref="B6:B7"/>
    <mergeCell ref="J7:J9"/>
    <mergeCell ref="K7:K9"/>
  </mergeCells>
  <pageMargins left="0.25" right="0.25" top="0.75" bottom="0.75" header="0.3" footer="0.3"/>
  <pageSetup paperSize="9" scale="62" fitToHeight="0"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70C0"/>
    <outlinePr summaryBelow="0" summaryRight="0"/>
    <pageSetUpPr fitToPage="1"/>
  </sheetPr>
  <dimension ref="B2:N45"/>
  <sheetViews>
    <sheetView topLeftCell="A28" workbookViewId="0">
      <selection activeCell="A44" sqref="A44:XFD44"/>
    </sheetView>
  </sheetViews>
  <sheetFormatPr defaultColWidth="9.109375" defaultRowHeight="14.4" x14ac:dyDescent="0.3"/>
  <cols>
    <col min="1" max="1" width="3.6640625" style="1" customWidth="1"/>
    <col min="2" max="2" width="14.6640625" style="1" customWidth="1"/>
    <col min="3" max="6" width="12.6640625" style="1" customWidth="1"/>
    <col min="7" max="7" width="14.6640625" style="3" customWidth="1"/>
    <col min="8" max="8" width="50.6640625" style="96" customWidth="1"/>
    <col min="9" max="9" width="3" style="3" customWidth="1"/>
    <col min="10" max="12" width="7.6640625" style="3" hidden="1" customWidth="1"/>
    <col min="13" max="13" width="9.109375" style="1"/>
    <col min="14" max="14" width="12.44140625" style="1" customWidth="1"/>
    <col min="15" max="16384" width="9.109375" style="1"/>
  </cols>
  <sheetData>
    <row r="2" spans="2:14" ht="64.95" customHeight="1" x14ac:dyDescent="0.3">
      <c r="B2" s="120" t="s">
        <v>38</v>
      </c>
      <c r="C2" s="121"/>
      <c r="D2" s="121"/>
      <c r="E2" s="121"/>
      <c r="F2" s="121"/>
      <c r="G2" s="121"/>
    </row>
    <row r="3" spans="2:14" ht="15" thickBot="1" x14ac:dyDescent="0.35">
      <c r="B3" s="4"/>
      <c r="G3" s="1"/>
    </row>
    <row r="4" spans="2:14" ht="19.95" customHeight="1" thickBot="1" x14ac:dyDescent="0.35">
      <c r="B4" s="122" t="s">
        <v>5</v>
      </c>
      <c r="C4" s="124" t="s">
        <v>46</v>
      </c>
      <c r="D4" s="124"/>
      <c r="E4" s="61"/>
      <c r="F4" s="64"/>
      <c r="G4" s="68" t="s">
        <v>39</v>
      </c>
      <c r="H4" s="97" t="s">
        <v>40</v>
      </c>
    </row>
    <row r="5" spans="2:14" ht="19.95" customHeight="1" thickBot="1" x14ac:dyDescent="0.35">
      <c r="B5" s="123"/>
      <c r="C5" s="125"/>
      <c r="D5" s="125"/>
      <c r="E5" s="8"/>
      <c r="F5" s="67"/>
      <c r="G5" s="69" t="s">
        <v>41</v>
      </c>
      <c r="H5" s="98" t="s">
        <v>42</v>
      </c>
    </row>
    <row r="6" spans="2:14" ht="19.95" customHeight="1" thickBot="1" x14ac:dyDescent="0.35">
      <c r="B6" s="126" t="s">
        <v>43</v>
      </c>
      <c r="C6" s="66" t="s">
        <v>44</v>
      </c>
      <c r="D6" s="8"/>
      <c r="E6" s="8"/>
      <c r="F6" s="67"/>
      <c r="G6" s="69" t="s">
        <v>7</v>
      </c>
      <c r="H6" s="99" t="s">
        <v>65</v>
      </c>
    </row>
    <row r="7" spans="2:14" ht="19.95" customHeight="1" thickBot="1" x14ac:dyDescent="0.35">
      <c r="B7" s="123"/>
      <c r="C7" s="62" t="s">
        <v>45</v>
      </c>
      <c r="D7" s="63"/>
      <c r="E7" s="63"/>
      <c r="F7" s="65"/>
      <c r="G7" s="70" t="s">
        <v>36</v>
      </c>
      <c r="H7" s="100" t="s">
        <v>56</v>
      </c>
      <c r="J7" s="113" t="s">
        <v>16</v>
      </c>
      <c r="K7" s="113" t="s">
        <v>17</v>
      </c>
      <c r="L7" s="113" t="s">
        <v>18</v>
      </c>
    </row>
    <row r="8" spans="2:14" ht="15" thickBot="1" x14ac:dyDescent="0.35">
      <c r="J8" s="114"/>
      <c r="K8" s="114"/>
      <c r="L8" s="114"/>
    </row>
    <row r="9" spans="2:14" ht="29.4" thickBot="1" x14ac:dyDescent="0.35">
      <c r="B9" s="71" t="s">
        <v>1</v>
      </c>
      <c r="C9" s="72" t="s">
        <v>12</v>
      </c>
      <c r="D9" s="72" t="s">
        <v>13</v>
      </c>
      <c r="E9" s="72" t="s">
        <v>0</v>
      </c>
      <c r="F9" s="72" t="s">
        <v>15</v>
      </c>
      <c r="G9" s="73" t="s">
        <v>37</v>
      </c>
      <c r="H9" s="95" t="s">
        <v>47</v>
      </c>
      <c r="J9" s="115"/>
      <c r="K9" s="115"/>
      <c r="L9" s="115"/>
    </row>
    <row r="10" spans="2:14" s="43" customFormat="1" x14ac:dyDescent="0.3">
      <c r="B10" s="92">
        <v>42979</v>
      </c>
      <c r="C10" s="84"/>
      <c r="D10" s="84"/>
      <c r="E10" s="84">
        <f t="shared" ref="E10:E27" si="0">D10-C10</f>
        <v>0</v>
      </c>
      <c r="F10" s="84"/>
      <c r="G10" s="79">
        <f t="shared" ref="G10:G26" si="1">E10-F10</f>
        <v>0</v>
      </c>
      <c r="H10" s="101"/>
      <c r="I10" s="74"/>
      <c r="J10" s="80"/>
      <c r="K10" s="81">
        <f>G10</f>
        <v>0</v>
      </c>
      <c r="L10" s="82" t="str">
        <f>IF(K10&lt;J10,TEXT((ABS(K10-J10)),"-hh:mm"),IF(K10=J10,"",K10-J10))</f>
        <v/>
      </c>
    </row>
    <row r="11" spans="2:14" s="43" customFormat="1" x14ac:dyDescent="0.3">
      <c r="B11" s="93">
        <f t="shared" ref="B11:B39" si="2">B10+1</f>
        <v>42980</v>
      </c>
      <c r="C11" s="84"/>
      <c r="D11" s="84"/>
      <c r="E11" s="84">
        <f t="shared" si="0"/>
        <v>0</v>
      </c>
      <c r="F11" s="84"/>
      <c r="G11" s="85">
        <f t="shared" si="1"/>
        <v>0</v>
      </c>
      <c r="H11" s="102"/>
      <c r="I11" s="74"/>
      <c r="J11" s="86"/>
      <c r="K11" s="81">
        <f t="shared" ref="K11:K39" si="3">G11</f>
        <v>0</v>
      </c>
      <c r="L11" s="82" t="str">
        <f t="shared" ref="L11:L39" si="4">IF(K11&lt;J11,TEXT((ABS(K11-J11)),"-hh:mm"),IF(K11=J11,"",K11-J11))</f>
        <v/>
      </c>
    </row>
    <row r="12" spans="2:14" s="43" customFormat="1" x14ac:dyDescent="0.3">
      <c r="B12" s="93">
        <f t="shared" si="2"/>
        <v>42981</v>
      </c>
      <c r="C12" s="83"/>
      <c r="D12" s="83"/>
      <c r="E12" s="84">
        <f t="shared" si="0"/>
        <v>0</v>
      </c>
      <c r="F12" s="83"/>
      <c r="G12" s="85">
        <f t="shared" si="1"/>
        <v>0</v>
      </c>
      <c r="H12" s="102"/>
      <c r="I12" s="74"/>
      <c r="J12" s="86"/>
      <c r="K12" s="81">
        <f t="shared" si="3"/>
        <v>0</v>
      </c>
      <c r="L12" s="82" t="str">
        <f t="shared" si="4"/>
        <v/>
      </c>
      <c r="N12" s="94"/>
    </row>
    <row r="13" spans="2:14" s="43" customFormat="1" x14ac:dyDescent="0.3">
      <c r="B13" s="93">
        <f t="shared" si="2"/>
        <v>42982</v>
      </c>
      <c r="C13" s="84"/>
      <c r="D13" s="84"/>
      <c r="E13" s="84">
        <f t="shared" si="0"/>
        <v>0</v>
      </c>
      <c r="F13" s="84"/>
      <c r="G13" s="85">
        <f t="shared" si="1"/>
        <v>0</v>
      </c>
      <c r="H13" s="102"/>
      <c r="I13" s="74"/>
      <c r="J13" s="86"/>
      <c r="K13" s="81">
        <f t="shared" si="3"/>
        <v>0</v>
      </c>
      <c r="L13" s="82" t="str">
        <f t="shared" si="4"/>
        <v/>
      </c>
    </row>
    <row r="14" spans="2:14" s="43" customFormat="1" x14ac:dyDescent="0.3">
      <c r="B14" s="93">
        <f t="shared" si="2"/>
        <v>42983</v>
      </c>
      <c r="C14" s="84"/>
      <c r="D14" s="84"/>
      <c r="E14" s="84">
        <f t="shared" si="0"/>
        <v>0</v>
      </c>
      <c r="F14" s="84"/>
      <c r="G14" s="85">
        <f t="shared" si="1"/>
        <v>0</v>
      </c>
      <c r="H14" s="102"/>
      <c r="I14" s="74"/>
      <c r="J14" s="86"/>
      <c r="K14" s="81">
        <f t="shared" si="3"/>
        <v>0</v>
      </c>
      <c r="L14" s="82" t="str">
        <f t="shared" si="4"/>
        <v/>
      </c>
    </row>
    <row r="15" spans="2:14" s="43" customFormat="1" x14ac:dyDescent="0.3">
      <c r="B15" s="93">
        <f t="shared" si="2"/>
        <v>42984</v>
      </c>
      <c r="C15" s="84"/>
      <c r="D15" s="84"/>
      <c r="E15" s="84">
        <f t="shared" si="0"/>
        <v>0</v>
      </c>
      <c r="F15" s="84"/>
      <c r="G15" s="85">
        <f t="shared" si="1"/>
        <v>0</v>
      </c>
      <c r="H15" s="102"/>
      <c r="I15" s="74"/>
      <c r="J15" s="86">
        <v>0.33333333333333331</v>
      </c>
      <c r="K15" s="81">
        <f t="shared" si="3"/>
        <v>0</v>
      </c>
      <c r="L15" s="82" t="str">
        <f t="shared" si="4"/>
        <v>-08:00</v>
      </c>
      <c r="M15" s="87"/>
    </row>
    <row r="16" spans="2:14" s="43" customFormat="1" x14ac:dyDescent="0.3">
      <c r="B16" s="93">
        <f t="shared" si="2"/>
        <v>42985</v>
      </c>
      <c r="C16" s="84"/>
      <c r="D16" s="84"/>
      <c r="E16" s="84">
        <f t="shared" si="0"/>
        <v>0</v>
      </c>
      <c r="F16" s="84"/>
      <c r="G16" s="85">
        <f t="shared" si="1"/>
        <v>0</v>
      </c>
      <c r="H16" s="102"/>
      <c r="I16" s="74"/>
      <c r="J16" s="86">
        <v>0.33333333333333331</v>
      </c>
      <c r="K16" s="81">
        <f t="shared" si="3"/>
        <v>0</v>
      </c>
      <c r="L16" s="82" t="str">
        <f t="shared" si="4"/>
        <v>-08:00</v>
      </c>
      <c r="M16" s="87"/>
    </row>
    <row r="17" spans="2:14" s="43" customFormat="1" x14ac:dyDescent="0.3">
      <c r="B17" s="93">
        <f t="shared" si="2"/>
        <v>42986</v>
      </c>
      <c r="C17" s="84"/>
      <c r="D17" s="84"/>
      <c r="E17" s="84">
        <f t="shared" si="0"/>
        <v>0</v>
      </c>
      <c r="F17" s="84"/>
      <c r="G17" s="85">
        <f t="shared" si="1"/>
        <v>0</v>
      </c>
      <c r="H17" s="102"/>
      <c r="I17" s="74"/>
      <c r="J17" s="86"/>
      <c r="K17" s="81">
        <f t="shared" si="3"/>
        <v>0</v>
      </c>
      <c r="L17" s="82" t="str">
        <f t="shared" si="4"/>
        <v/>
      </c>
      <c r="M17" s="87"/>
    </row>
    <row r="18" spans="2:14" s="43" customFormat="1" x14ac:dyDescent="0.3">
      <c r="B18" s="93">
        <f t="shared" si="2"/>
        <v>42987</v>
      </c>
      <c r="C18" s="84"/>
      <c r="D18" s="84"/>
      <c r="E18" s="84">
        <f t="shared" si="0"/>
        <v>0</v>
      </c>
      <c r="F18" s="84"/>
      <c r="G18" s="85">
        <f t="shared" si="1"/>
        <v>0</v>
      </c>
      <c r="H18" s="102"/>
      <c r="I18" s="74"/>
      <c r="J18" s="86"/>
      <c r="K18" s="81">
        <f t="shared" si="3"/>
        <v>0</v>
      </c>
      <c r="L18" s="82" t="str">
        <f t="shared" si="4"/>
        <v/>
      </c>
      <c r="M18" s="87"/>
    </row>
    <row r="19" spans="2:14" s="43" customFormat="1" x14ac:dyDescent="0.3">
      <c r="B19" s="93">
        <f t="shared" si="2"/>
        <v>42988</v>
      </c>
      <c r="C19" s="84"/>
      <c r="D19" s="84"/>
      <c r="E19" s="84">
        <f t="shared" si="0"/>
        <v>0</v>
      </c>
      <c r="F19" s="84"/>
      <c r="G19" s="85">
        <f t="shared" si="1"/>
        <v>0</v>
      </c>
      <c r="H19" s="102"/>
      <c r="I19" s="74"/>
      <c r="J19" s="86"/>
      <c r="K19" s="81">
        <f t="shared" si="3"/>
        <v>0</v>
      </c>
      <c r="L19" s="82" t="str">
        <f t="shared" si="4"/>
        <v/>
      </c>
      <c r="M19" s="87"/>
    </row>
    <row r="20" spans="2:14" s="43" customFormat="1" x14ac:dyDescent="0.3">
      <c r="B20" s="93">
        <f t="shared" si="2"/>
        <v>42989</v>
      </c>
      <c r="C20" s="84"/>
      <c r="D20" s="84"/>
      <c r="E20" s="84">
        <f t="shared" si="0"/>
        <v>0</v>
      </c>
      <c r="F20" s="84"/>
      <c r="G20" s="85">
        <f t="shared" si="1"/>
        <v>0</v>
      </c>
      <c r="H20" s="102"/>
      <c r="I20" s="74"/>
      <c r="J20" s="86"/>
      <c r="K20" s="81">
        <f t="shared" si="3"/>
        <v>0</v>
      </c>
      <c r="L20" s="82" t="str">
        <f t="shared" si="4"/>
        <v/>
      </c>
      <c r="M20" s="87"/>
    </row>
    <row r="21" spans="2:14" s="43" customFormat="1" x14ac:dyDescent="0.3">
      <c r="B21" s="93">
        <f t="shared" si="2"/>
        <v>42990</v>
      </c>
      <c r="C21" s="84"/>
      <c r="D21" s="84"/>
      <c r="E21" s="84">
        <f t="shared" si="0"/>
        <v>0</v>
      </c>
      <c r="F21" s="84"/>
      <c r="G21" s="85">
        <f t="shared" si="1"/>
        <v>0</v>
      </c>
      <c r="H21" s="102"/>
      <c r="I21" s="74"/>
      <c r="J21" s="86"/>
      <c r="K21" s="81">
        <f t="shared" si="3"/>
        <v>0</v>
      </c>
      <c r="L21" s="82" t="str">
        <f t="shared" si="4"/>
        <v/>
      </c>
      <c r="M21" s="87"/>
    </row>
    <row r="22" spans="2:14" s="43" customFormat="1" x14ac:dyDescent="0.3">
      <c r="B22" s="93">
        <f t="shared" si="2"/>
        <v>42991</v>
      </c>
      <c r="C22" s="84"/>
      <c r="D22" s="84"/>
      <c r="E22" s="84">
        <f t="shared" si="0"/>
        <v>0</v>
      </c>
      <c r="F22" s="84"/>
      <c r="G22" s="85">
        <f t="shared" si="1"/>
        <v>0</v>
      </c>
      <c r="H22" s="102"/>
      <c r="I22" s="74"/>
      <c r="J22" s="86">
        <v>0.33333333333333331</v>
      </c>
      <c r="K22" s="81">
        <f t="shared" si="3"/>
        <v>0</v>
      </c>
      <c r="L22" s="82" t="str">
        <f t="shared" si="4"/>
        <v>-08:00</v>
      </c>
      <c r="M22" s="87"/>
      <c r="N22" s="88"/>
    </row>
    <row r="23" spans="2:14" s="43" customFormat="1" x14ac:dyDescent="0.3">
      <c r="B23" s="93">
        <f t="shared" si="2"/>
        <v>42992</v>
      </c>
      <c r="C23" s="84"/>
      <c r="D23" s="84"/>
      <c r="E23" s="84">
        <f t="shared" si="0"/>
        <v>0</v>
      </c>
      <c r="F23" s="84"/>
      <c r="G23" s="85">
        <f t="shared" si="1"/>
        <v>0</v>
      </c>
      <c r="H23" s="102"/>
      <c r="I23" s="74"/>
      <c r="J23" s="86">
        <v>0.33333333333333331</v>
      </c>
      <c r="K23" s="81">
        <f t="shared" si="3"/>
        <v>0</v>
      </c>
      <c r="L23" s="82" t="str">
        <f t="shared" si="4"/>
        <v>-08:00</v>
      </c>
      <c r="M23" s="87"/>
      <c r="N23" s="88"/>
    </row>
    <row r="24" spans="2:14" s="43" customFormat="1" x14ac:dyDescent="0.3">
      <c r="B24" s="93">
        <f t="shared" si="2"/>
        <v>42993</v>
      </c>
      <c r="C24" s="84"/>
      <c r="D24" s="84"/>
      <c r="E24" s="84">
        <f t="shared" si="0"/>
        <v>0</v>
      </c>
      <c r="F24" s="84"/>
      <c r="G24" s="85">
        <f t="shared" si="1"/>
        <v>0</v>
      </c>
      <c r="H24" s="102"/>
      <c r="I24" s="74"/>
      <c r="J24" s="86">
        <v>0.33333333333333331</v>
      </c>
      <c r="K24" s="81">
        <f t="shared" si="3"/>
        <v>0</v>
      </c>
      <c r="L24" s="82" t="str">
        <f t="shared" si="4"/>
        <v>-08:00</v>
      </c>
      <c r="M24" s="87"/>
      <c r="N24" s="88"/>
    </row>
    <row r="25" spans="2:14" s="43" customFormat="1" x14ac:dyDescent="0.3">
      <c r="B25" s="93">
        <f t="shared" si="2"/>
        <v>42994</v>
      </c>
      <c r="C25" s="84"/>
      <c r="D25" s="84"/>
      <c r="E25" s="84">
        <f t="shared" si="0"/>
        <v>0</v>
      </c>
      <c r="F25" s="84"/>
      <c r="G25" s="85">
        <f t="shared" si="1"/>
        <v>0</v>
      </c>
      <c r="H25" s="102"/>
      <c r="I25" s="74"/>
      <c r="J25" s="86">
        <v>0.33333333333333331</v>
      </c>
      <c r="K25" s="81">
        <f t="shared" si="3"/>
        <v>0</v>
      </c>
      <c r="L25" s="82" t="str">
        <f t="shared" si="4"/>
        <v>-08:00</v>
      </c>
      <c r="M25" s="87"/>
      <c r="N25" s="88"/>
    </row>
    <row r="26" spans="2:14" s="43" customFormat="1" x14ac:dyDescent="0.3">
      <c r="B26" s="93">
        <f t="shared" si="2"/>
        <v>42995</v>
      </c>
      <c r="C26" s="84"/>
      <c r="D26" s="84"/>
      <c r="E26" s="84">
        <f t="shared" si="0"/>
        <v>0</v>
      </c>
      <c r="F26" s="84"/>
      <c r="G26" s="85">
        <f t="shared" si="1"/>
        <v>0</v>
      </c>
      <c r="H26" s="102"/>
      <c r="I26" s="74"/>
      <c r="J26" s="86"/>
      <c r="K26" s="81">
        <f t="shared" si="3"/>
        <v>0</v>
      </c>
      <c r="L26" s="82" t="str">
        <f t="shared" si="4"/>
        <v/>
      </c>
      <c r="M26" s="87"/>
      <c r="N26" s="88"/>
    </row>
    <row r="27" spans="2:14" s="43" customFormat="1" x14ac:dyDescent="0.3">
      <c r="B27" s="93">
        <f t="shared" si="2"/>
        <v>42996</v>
      </c>
      <c r="C27" s="84"/>
      <c r="D27" s="84"/>
      <c r="E27" s="84">
        <f t="shared" si="0"/>
        <v>0</v>
      </c>
      <c r="F27" s="84"/>
      <c r="G27" s="85">
        <f>E27-F27</f>
        <v>0</v>
      </c>
      <c r="H27" s="102"/>
      <c r="I27" s="74"/>
      <c r="J27" s="86"/>
      <c r="K27" s="81">
        <f t="shared" si="3"/>
        <v>0</v>
      </c>
      <c r="L27" s="82" t="str">
        <f t="shared" si="4"/>
        <v/>
      </c>
      <c r="M27" s="87"/>
      <c r="N27" s="88"/>
    </row>
    <row r="28" spans="2:14" s="43" customFormat="1" x14ac:dyDescent="0.3">
      <c r="B28" s="93">
        <f t="shared" si="2"/>
        <v>42997</v>
      </c>
      <c r="C28" s="84"/>
      <c r="D28" s="84"/>
      <c r="E28" s="84">
        <f>D28-C28</f>
        <v>0</v>
      </c>
      <c r="F28" s="84"/>
      <c r="G28" s="85">
        <f>E28-F28</f>
        <v>0</v>
      </c>
      <c r="H28" s="102"/>
      <c r="I28" s="74"/>
      <c r="J28" s="86"/>
      <c r="K28" s="81">
        <f t="shared" si="3"/>
        <v>0</v>
      </c>
      <c r="L28" s="82" t="str">
        <f t="shared" si="4"/>
        <v/>
      </c>
      <c r="M28" s="87"/>
      <c r="N28" s="88"/>
    </row>
    <row r="29" spans="2:14" s="43" customFormat="1" x14ac:dyDescent="0.3">
      <c r="B29" s="93">
        <f t="shared" si="2"/>
        <v>42998</v>
      </c>
      <c r="C29" s="84"/>
      <c r="D29" s="84"/>
      <c r="E29" s="84">
        <f t="shared" ref="E29:E39" si="5">D29-C29</f>
        <v>0</v>
      </c>
      <c r="F29" s="84"/>
      <c r="G29" s="85">
        <f t="shared" ref="G29:G39" si="6">E29-F29</f>
        <v>0</v>
      </c>
      <c r="H29" s="102"/>
      <c r="I29" s="74"/>
      <c r="J29" s="86">
        <v>0.33333333333333331</v>
      </c>
      <c r="K29" s="81">
        <f t="shared" si="3"/>
        <v>0</v>
      </c>
      <c r="L29" s="82" t="str">
        <f t="shared" si="4"/>
        <v>-08:00</v>
      </c>
      <c r="M29" s="87"/>
      <c r="N29" s="88"/>
    </row>
    <row r="30" spans="2:14" s="43" customFormat="1" x14ac:dyDescent="0.3">
      <c r="B30" s="93">
        <f t="shared" si="2"/>
        <v>42999</v>
      </c>
      <c r="C30" s="84"/>
      <c r="D30" s="84"/>
      <c r="E30" s="84">
        <f t="shared" si="5"/>
        <v>0</v>
      </c>
      <c r="F30" s="84"/>
      <c r="G30" s="85">
        <f t="shared" si="6"/>
        <v>0</v>
      </c>
      <c r="H30" s="102"/>
      <c r="I30" s="74"/>
      <c r="J30" s="86">
        <v>0.33333333333333331</v>
      </c>
      <c r="K30" s="81">
        <f t="shared" si="3"/>
        <v>0</v>
      </c>
      <c r="L30" s="82" t="str">
        <f t="shared" si="4"/>
        <v>-08:00</v>
      </c>
      <c r="M30" s="87"/>
      <c r="N30" s="88"/>
    </row>
    <row r="31" spans="2:14" s="43" customFormat="1" x14ac:dyDescent="0.3">
      <c r="B31" s="93">
        <f t="shared" si="2"/>
        <v>43000</v>
      </c>
      <c r="C31" s="84"/>
      <c r="D31" s="84"/>
      <c r="E31" s="84">
        <f t="shared" si="5"/>
        <v>0</v>
      </c>
      <c r="F31" s="84"/>
      <c r="G31" s="85">
        <f t="shared" si="6"/>
        <v>0</v>
      </c>
      <c r="H31" s="102"/>
      <c r="I31" s="74"/>
      <c r="J31" s="86">
        <v>0.33333333333333331</v>
      </c>
      <c r="K31" s="81">
        <f t="shared" si="3"/>
        <v>0</v>
      </c>
      <c r="L31" s="82" t="str">
        <f t="shared" si="4"/>
        <v>-08:00</v>
      </c>
      <c r="M31" s="87"/>
    </row>
    <row r="32" spans="2:14" s="43" customFormat="1" x14ac:dyDescent="0.3">
      <c r="B32" s="93">
        <f t="shared" si="2"/>
        <v>43001</v>
      </c>
      <c r="C32" s="84"/>
      <c r="D32" s="84"/>
      <c r="E32" s="84">
        <f t="shared" si="5"/>
        <v>0</v>
      </c>
      <c r="F32" s="84"/>
      <c r="G32" s="85">
        <f t="shared" si="6"/>
        <v>0</v>
      </c>
      <c r="H32" s="102"/>
      <c r="I32" s="74"/>
      <c r="J32" s="86">
        <v>0.33333333333333331</v>
      </c>
      <c r="K32" s="81">
        <f t="shared" si="3"/>
        <v>0</v>
      </c>
      <c r="L32" s="82" t="str">
        <f t="shared" si="4"/>
        <v>-08:00</v>
      </c>
      <c r="M32" s="87"/>
    </row>
    <row r="33" spans="2:13" s="43" customFormat="1" x14ac:dyDescent="0.3">
      <c r="B33" s="93">
        <f t="shared" si="2"/>
        <v>43002</v>
      </c>
      <c r="C33" s="84"/>
      <c r="D33" s="84"/>
      <c r="E33" s="84">
        <f t="shared" si="5"/>
        <v>0</v>
      </c>
      <c r="F33" s="84"/>
      <c r="G33" s="85">
        <f t="shared" si="6"/>
        <v>0</v>
      </c>
      <c r="H33" s="102"/>
      <c r="I33" s="74"/>
      <c r="J33" s="86">
        <v>0</v>
      </c>
      <c r="K33" s="81">
        <f t="shared" si="3"/>
        <v>0</v>
      </c>
      <c r="L33" s="82" t="str">
        <f t="shared" si="4"/>
        <v/>
      </c>
      <c r="M33" s="87"/>
    </row>
    <row r="34" spans="2:13" s="43" customFormat="1" x14ac:dyDescent="0.3">
      <c r="B34" s="93">
        <f t="shared" si="2"/>
        <v>43003</v>
      </c>
      <c r="C34" s="84"/>
      <c r="D34" s="84"/>
      <c r="E34" s="84">
        <f t="shared" si="5"/>
        <v>0</v>
      </c>
      <c r="F34" s="84"/>
      <c r="G34" s="85">
        <f t="shared" si="6"/>
        <v>0</v>
      </c>
      <c r="H34" s="102"/>
      <c r="I34" s="74"/>
      <c r="J34" s="86"/>
      <c r="K34" s="81">
        <f t="shared" si="3"/>
        <v>0</v>
      </c>
      <c r="L34" s="82" t="str">
        <f t="shared" si="4"/>
        <v/>
      </c>
      <c r="M34" s="87"/>
    </row>
    <row r="35" spans="2:13" s="43" customFormat="1" x14ac:dyDescent="0.3">
      <c r="B35" s="93">
        <f t="shared" si="2"/>
        <v>43004</v>
      </c>
      <c r="C35" s="84"/>
      <c r="D35" s="84"/>
      <c r="E35" s="84">
        <f t="shared" si="5"/>
        <v>0</v>
      </c>
      <c r="F35" s="84"/>
      <c r="G35" s="85">
        <f t="shared" si="6"/>
        <v>0</v>
      </c>
      <c r="H35" s="102"/>
      <c r="I35" s="74"/>
      <c r="J35" s="86"/>
      <c r="K35" s="81">
        <f t="shared" si="3"/>
        <v>0</v>
      </c>
      <c r="L35" s="82" t="str">
        <f t="shared" si="4"/>
        <v/>
      </c>
      <c r="M35" s="87"/>
    </row>
    <row r="36" spans="2:13" s="43" customFormat="1" x14ac:dyDescent="0.3">
      <c r="B36" s="93">
        <f t="shared" si="2"/>
        <v>43005</v>
      </c>
      <c r="C36" s="84"/>
      <c r="D36" s="84"/>
      <c r="E36" s="84">
        <f t="shared" si="5"/>
        <v>0</v>
      </c>
      <c r="F36" s="84"/>
      <c r="G36" s="85">
        <f t="shared" si="6"/>
        <v>0</v>
      </c>
      <c r="H36" s="102"/>
      <c r="I36" s="74"/>
      <c r="J36" s="86">
        <v>0.33333333333333331</v>
      </c>
      <c r="K36" s="81">
        <f t="shared" si="3"/>
        <v>0</v>
      </c>
      <c r="L36" s="82" t="str">
        <f t="shared" si="4"/>
        <v>-08:00</v>
      </c>
      <c r="M36" s="87"/>
    </row>
    <row r="37" spans="2:13" s="43" customFormat="1" x14ac:dyDescent="0.3">
      <c r="B37" s="93">
        <f t="shared" si="2"/>
        <v>43006</v>
      </c>
      <c r="C37" s="84"/>
      <c r="D37" s="84"/>
      <c r="E37" s="84">
        <f t="shared" si="5"/>
        <v>0</v>
      </c>
      <c r="F37" s="84"/>
      <c r="G37" s="85">
        <f t="shared" si="6"/>
        <v>0</v>
      </c>
      <c r="H37" s="102"/>
      <c r="I37" s="74"/>
      <c r="J37" s="86">
        <v>0.33333333333333331</v>
      </c>
      <c r="K37" s="81">
        <f t="shared" si="3"/>
        <v>0</v>
      </c>
      <c r="L37" s="82" t="str">
        <f t="shared" si="4"/>
        <v>-08:00</v>
      </c>
      <c r="M37" s="87"/>
    </row>
    <row r="38" spans="2:13" s="43" customFormat="1" x14ac:dyDescent="0.3">
      <c r="B38" s="93">
        <f t="shared" si="2"/>
        <v>43007</v>
      </c>
      <c r="C38" s="84"/>
      <c r="D38" s="84"/>
      <c r="E38" s="84">
        <f t="shared" si="5"/>
        <v>0</v>
      </c>
      <c r="F38" s="84"/>
      <c r="G38" s="85">
        <f t="shared" si="6"/>
        <v>0</v>
      </c>
      <c r="H38" s="102"/>
      <c r="I38" s="74"/>
      <c r="J38" s="86">
        <v>0.33333333333333331</v>
      </c>
      <c r="K38" s="81">
        <f t="shared" si="3"/>
        <v>0</v>
      </c>
      <c r="L38" s="82" t="str">
        <f t="shared" si="4"/>
        <v>-08:00</v>
      </c>
      <c r="M38" s="87"/>
    </row>
    <row r="39" spans="2:13" s="43" customFormat="1" ht="15" thickBot="1" x14ac:dyDescent="0.35">
      <c r="B39" s="93">
        <f t="shared" si="2"/>
        <v>43008</v>
      </c>
      <c r="C39" s="84"/>
      <c r="D39" s="84"/>
      <c r="E39" s="84">
        <f t="shared" si="5"/>
        <v>0</v>
      </c>
      <c r="F39" s="84"/>
      <c r="G39" s="85">
        <f t="shared" si="6"/>
        <v>0</v>
      </c>
      <c r="H39" s="105"/>
      <c r="I39" s="74"/>
      <c r="J39" s="86">
        <v>0.33333333333333331</v>
      </c>
      <c r="K39" s="81">
        <f t="shared" si="3"/>
        <v>0</v>
      </c>
      <c r="L39" s="82" t="str">
        <f t="shared" si="4"/>
        <v>-08:00</v>
      </c>
      <c r="M39" s="87"/>
    </row>
    <row r="40" spans="2:13" s="29" customFormat="1" ht="18.600000000000001" thickBot="1" x14ac:dyDescent="0.35">
      <c r="B40" s="76" t="s">
        <v>2</v>
      </c>
      <c r="C40" s="72"/>
      <c r="D40" s="72"/>
      <c r="E40" s="77"/>
      <c r="F40" s="78"/>
      <c r="G40" s="77">
        <f>SUM(G10:G39)</f>
        <v>0</v>
      </c>
      <c r="H40" s="103"/>
      <c r="I40" s="74"/>
      <c r="J40" s="75">
        <f>SUM(J10:J39)</f>
        <v>4.6666666666666661</v>
      </c>
      <c r="K40" s="75">
        <f>SUM(K10:K39)</f>
        <v>0</v>
      </c>
      <c r="L40" s="75" t="str">
        <f>IF(K40&lt;J40,TEXT((ABS(K40-J40)),"-[h]:mm"),IF(K40=J40,"",K40-J40))</f>
        <v>-112:00</v>
      </c>
    </row>
    <row r="41" spans="2:13" ht="15" thickBot="1" x14ac:dyDescent="0.35">
      <c r="J41" s="19"/>
    </row>
    <row r="42" spans="2:13" x14ac:dyDescent="0.3">
      <c r="G42" s="116" t="s">
        <v>48</v>
      </c>
      <c r="H42" s="117"/>
    </row>
    <row r="43" spans="2:13" ht="15" thickBot="1" x14ac:dyDescent="0.35">
      <c r="G43" s="118"/>
      <c r="H43" s="119"/>
    </row>
    <row r="44" spans="2:13" ht="64.95" customHeight="1" thickBot="1" x14ac:dyDescent="0.35">
      <c r="G44" s="109" t="s">
        <v>49</v>
      </c>
      <c r="H44" s="104"/>
    </row>
    <row r="45" spans="2:13" s="90" customFormat="1" ht="15" thickBot="1" x14ac:dyDescent="0.35">
      <c r="G45" s="89" t="s">
        <v>43</v>
      </c>
      <c r="H45" s="100" t="s">
        <v>44</v>
      </c>
      <c r="I45" s="91"/>
      <c r="J45" s="91"/>
      <c r="K45" s="91"/>
      <c r="L45" s="91"/>
    </row>
  </sheetData>
  <mergeCells count="8">
    <mergeCell ref="L7:L9"/>
    <mergeCell ref="G42:H43"/>
    <mergeCell ref="B2:G2"/>
    <mergeCell ref="B4:B5"/>
    <mergeCell ref="C4:D5"/>
    <mergeCell ref="B6:B7"/>
    <mergeCell ref="J7:J9"/>
    <mergeCell ref="K7:K9"/>
  </mergeCells>
  <pageMargins left="0.25" right="0.25" top="0.75" bottom="0.75" header="0.3" footer="0.3"/>
  <pageSetup paperSize="9" scale="62" fitToHeight="0"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70C0"/>
    <outlinePr summaryBelow="0" summaryRight="0"/>
    <pageSetUpPr fitToPage="1"/>
  </sheetPr>
  <dimension ref="B2:N46"/>
  <sheetViews>
    <sheetView topLeftCell="A28" workbookViewId="0">
      <selection activeCell="A45" sqref="A45:XFD45"/>
    </sheetView>
  </sheetViews>
  <sheetFormatPr defaultColWidth="9.109375" defaultRowHeight="14.4" x14ac:dyDescent="0.3"/>
  <cols>
    <col min="1" max="1" width="3.6640625" style="1" customWidth="1"/>
    <col min="2" max="2" width="14.6640625" style="1" customWidth="1"/>
    <col min="3" max="6" width="12.6640625" style="1" customWidth="1"/>
    <col min="7" max="7" width="14.6640625" style="3" customWidth="1"/>
    <col min="8" max="8" width="50.6640625" style="96" customWidth="1"/>
    <col min="9" max="9" width="3" style="3" customWidth="1"/>
    <col min="10" max="12" width="7.6640625" style="3" hidden="1" customWidth="1"/>
    <col min="13" max="13" width="9.109375" style="1"/>
    <col min="14" max="14" width="12.44140625" style="1" customWidth="1"/>
    <col min="15" max="16384" width="9.109375" style="1"/>
  </cols>
  <sheetData>
    <row r="2" spans="2:14" ht="64.95" customHeight="1" x14ac:dyDescent="0.3">
      <c r="B2" s="120" t="s">
        <v>38</v>
      </c>
      <c r="C2" s="121"/>
      <c r="D2" s="121"/>
      <c r="E2" s="121"/>
      <c r="F2" s="121"/>
      <c r="G2" s="121"/>
    </row>
    <row r="3" spans="2:14" ht="15" thickBot="1" x14ac:dyDescent="0.35">
      <c r="B3" s="4"/>
      <c r="G3" s="1"/>
    </row>
    <row r="4" spans="2:14" ht="19.95" customHeight="1" thickBot="1" x14ac:dyDescent="0.35">
      <c r="B4" s="122" t="s">
        <v>5</v>
      </c>
      <c r="C4" s="124" t="s">
        <v>46</v>
      </c>
      <c r="D4" s="124"/>
      <c r="E4" s="61"/>
      <c r="F4" s="64"/>
      <c r="G4" s="68" t="s">
        <v>39</v>
      </c>
      <c r="H4" s="97" t="s">
        <v>40</v>
      </c>
    </row>
    <row r="5" spans="2:14" ht="19.95" customHeight="1" thickBot="1" x14ac:dyDescent="0.35">
      <c r="B5" s="123"/>
      <c r="C5" s="125"/>
      <c r="D5" s="125"/>
      <c r="E5" s="8"/>
      <c r="F5" s="67"/>
      <c r="G5" s="69" t="s">
        <v>41</v>
      </c>
      <c r="H5" s="98" t="s">
        <v>42</v>
      </c>
    </row>
    <row r="6" spans="2:14" ht="19.95" customHeight="1" thickBot="1" x14ac:dyDescent="0.35">
      <c r="B6" s="126" t="s">
        <v>43</v>
      </c>
      <c r="C6" s="66" t="s">
        <v>44</v>
      </c>
      <c r="D6" s="8"/>
      <c r="E6" s="8"/>
      <c r="F6" s="67"/>
      <c r="G6" s="69" t="s">
        <v>7</v>
      </c>
      <c r="H6" s="99" t="s">
        <v>66</v>
      </c>
    </row>
    <row r="7" spans="2:14" ht="19.95" customHeight="1" thickBot="1" x14ac:dyDescent="0.35">
      <c r="B7" s="123"/>
      <c r="C7" s="62" t="s">
        <v>45</v>
      </c>
      <c r="D7" s="63"/>
      <c r="E7" s="63"/>
      <c r="F7" s="65"/>
      <c r="G7" s="70" t="s">
        <v>36</v>
      </c>
      <c r="H7" s="100" t="s">
        <v>56</v>
      </c>
      <c r="J7" s="113" t="s">
        <v>16</v>
      </c>
      <c r="K7" s="113" t="s">
        <v>17</v>
      </c>
      <c r="L7" s="113" t="s">
        <v>18</v>
      </c>
    </row>
    <row r="8" spans="2:14" ht="15" thickBot="1" x14ac:dyDescent="0.35">
      <c r="J8" s="114"/>
      <c r="K8" s="114"/>
      <c r="L8" s="114"/>
    </row>
    <row r="9" spans="2:14" ht="29.4" thickBot="1" x14ac:dyDescent="0.35">
      <c r="B9" s="71" t="s">
        <v>1</v>
      </c>
      <c r="C9" s="72" t="s">
        <v>12</v>
      </c>
      <c r="D9" s="72" t="s">
        <v>13</v>
      </c>
      <c r="E9" s="72" t="s">
        <v>0</v>
      </c>
      <c r="F9" s="72" t="s">
        <v>15</v>
      </c>
      <c r="G9" s="73" t="s">
        <v>37</v>
      </c>
      <c r="H9" s="95" t="s">
        <v>47</v>
      </c>
      <c r="J9" s="115"/>
      <c r="K9" s="115"/>
      <c r="L9" s="115"/>
    </row>
    <row r="10" spans="2:14" s="43" customFormat="1" x14ac:dyDescent="0.3">
      <c r="B10" s="92">
        <v>43009</v>
      </c>
      <c r="C10" s="84"/>
      <c r="D10" s="84"/>
      <c r="E10" s="84">
        <f t="shared" ref="E10:E27" si="0">D10-C10</f>
        <v>0</v>
      </c>
      <c r="F10" s="84"/>
      <c r="G10" s="79">
        <f t="shared" ref="G10:G26" si="1">E10-F10</f>
        <v>0</v>
      </c>
      <c r="H10" s="101"/>
      <c r="I10" s="74"/>
      <c r="J10" s="80"/>
      <c r="K10" s="81">
        <f>G10</f>
        <v>0</v>
      </c>
      <c r="L10" s="82" t="str">
        <f>IF(K10&lt;J10,TEXT((ABS(K10-J10)),"-hh:mm"),IF(K10=J10,"",K10-J10))</f>
        <v/>
      </c>
    </row>
    <row r="11" spans="2:14" s="43" customFormat="1" x14ac:dyDescent="0.3">
      <c r="B11" s="93">
        <f t="shared" ref="B11:B40" si="2">B10+1</f>
        <v>43010</v>
      </c>
      <c r="C11" s="84"/>
      <c r="D11" s="84"/>
      <c r="E11" s="84">
        <f t="shared" si="0"/>
        <v>0</v>
      </c>
      <c r="F11" s="84"/>
      <c r="G11" s="85">
        <f t="shared" si="1"/>
        <v>0</v>
      </c>
      <c r="H11" s="102"/>
      <c r="I11" s="74"/>
      <c r="J11" s="86"/>
      <c r="K11" s="81">
        <f t="shared" ref="K11:K40" si="3">G11</f>
        <v>0</v>
      </c>
      <c r="L11" s="82" t="str">
        <f t="shared" ref="L11:L40" si="4">IF(K11&lt;J11,TEXT((ABS(K11-J11)),"-hh:mm"),IF(K11=J11,"",K11-J11))</f>
        <v/>
      </c>
    </row>
    <row r="12" spans="2:14" s="43" customFormat="1" x14ac:dyDescent="0.3">
      <c r="B12" s="93">
        <f t="shared" si="2"/>
        <v>43011</v>
      </c>
      <c r="C12" s="83"/>
      <c r="D12" s="83"/>
      <c r="E12" s="84">
        <f t="shared" si="0"/>
        <v>0</v>
      </c>
      <c r="F12" s="83"/>
      <c r="G12" s="85">
        <f t="shared" si="1"/>
        <v>0</v>
      </c>
      <c r="H12" s="102"/>
      <c r="I12" s="74"/>
      <c r="J12" s="86"/>
      <c r="K12" s="81">
        <f t="shared" si="3"/>
        <v>0</v>
      </c>
      <c r="L12" s="82" t="str">
        <f t="shared" si="4"/>
        <v/>
      </c>
      <c r="N12" s="94"/>
    </row>
    <row r="13" spans="2:14" s="43" customFormat="1" x14ac:dyDescent="0.3">
      <c r="B13" s="93">
        <f t="shared" si="2"/>
        <v>43012</v>
      </c>
      <c r="C13" s="84"/>
      <c r="D13" s="84"/>
      <c r="E13" s="84">
        <f t="shared" si="0"/>
        <v>0</v>
      </c>
      <c r="F13" s="84"/>
      <c r="G13" s="85">
        <f t="shared" si="1"/>
        <v>0</v>
      </c>
      <c r="H13" s="102"/>
      <c r="I13" s="74"/>
      <c r="J13" s="86"/>
      <c r="K13" s="81">
        <f t="shared" si="3"/>
        <v>0</v>
      </c>
      <c r="L13" s="82" t="str">
        <f t="shared" si="4"/>
        <v/>
      </c>
    </row>
    <row r="14" spans="2:14" s="43" customFormat="1" x14ac:dyDescent="0.3">
      <c r="B14" s="93">
        <f t="shared" si="2"/>
        <v>43013</v>
      </c>
      <c r="C14" s="84"/>
      <c r="D14" s="84"/>
      <c r="E14" s="84">
        <f t="shared" si="0"/>
        <v>0</v>
      </c>
      <c r="F14" s="84"/>
      <c r="G14" s="85">
        <f t="shared" si="1"/>
        <v>0</v>
      </c>
      <c r="H14" s="102"/>
      <c r="I14" s="74"/>
      <c r="J14" s="86"/>
      <c r="K14" s="81">
        <f t="shared" si="3"/>
        <v>0</v>
      </c>
      <c r="L14" s="82" t="str">
        <f t="shared" si="4"/>
        <v/>
      </c>
    </row>
    <row r="15" spans="2:14" s="43" customFormat="1" x14ac:dyDescent="0.3">
      <c r="B15" s="93">
        <f t="shared" si="2"/>
        <v>43014</v>
      </c>
      <c r="C15" s="84"/>
      <c r="D15" s="84"/>
      <c r="E15" s="84">
        <f t="shared" si="0"/>
        <v>0</v>
      </c>
      <c r="F15" s="84"/>
      <c r="G15" s="85">
        <f t="shared" si="1"/>
        <v>0</v>
      </c>
      <c r="H15" s="102"/>
      <c r="I15" s="74"/>
      <c r="J15" s="86">
        <v>0.33333333333333331</v>
      </c>
      <c r="K15" s="81">
        <f t="shared" si="3"/>
        <v>0</v>
      </c>
      <c r="L15" s="82" t="str">
        <f t="shared" si="4"/>
        <v>-08:00</v>
      </c>
      <c r="M15" s="87"/>
    </row>
    <row r="16" spans="2:14" s="43" customFormat="1" x14ac:dyDescent="0.3">
      <c r="B16" s="93">
        <f t="shared" si="2"/>
        <v>43015</v>
      </c>
      <c r="C16" s="84"/>
      <c r="D16" s="84"/>
      <c r="E16" s="84">
        <f t="shared" si="0"/>
        <v>0</v>
      </c>
      <c r="F16" s="84"/>
      <c r="G16" s="85">
        <f t="shared" si="1"/>
        <v>0</v>
      </c>
      <c r="H16" s="102"/>
      <c r="I16" s="74"/>
      <c r="J16" s="86">
        <v>0.33333333333333331</v>
      </c>
      <c r="K16" s="81">
        <f t="shared" si="3"/>
        <v>0</v>
      </c>
      <c r="L16" s="82" t="str">
        <f t="shared" si="4"/>
        <v>-08:00</v>
      </c>
      <c r="M16" s="87"/>
    </row>
    <row r="17" spans="2:14" s="43" customFormat="1" x14ac:dyDescent="0.3">
      <c r="B17" s="93">
        <f t="shared" si="2"/>
        <v>43016</v>
      </c>
      <c r="C17" s="84"/>
      <c r="D17" s="84"/>
      <c r="E17" s="84">
        <f t="shared" si="0"/>
        <v>0</v>
      </c>
      <c r="F17" s="84"/>
      <c r="G17" s="85">
        <f t="shared" si="1"/>
        <v>0</v>
      </c>
      <c r="H17" s="102"/>
      <c r="I17" s="74"/>
      <c r="J17" s="86"/>
      <c r="K17" s="81">
        <f t="shared" si="3"/>
        <v>0</v>
      </c>
      <c r="L17" s="82" t="str">
        <f t="shared" si="4"/>
        <v/>
      </c>
      <c r="M17" s="87"/>
    </row>
    <row r="18" spans="2:14" s="43" customFormat="1" x14ac:dyDescent="0.3">
      <c r="B18" s="93">
        <f t="shared" si="2"/>
        <v>43017</v>
      </c>
      <c r="C18" s="84"/>
      <c r="D18" s="84"/>
      <c r="E18" s="84">
        <f t="shared" si="0"/>
        <v>0</v>
      </c>
      <c r="F18" s="84"/>
      <c r="G18" s="85">
        <f t="shared" si="1"/>
        <v>0</v>
      </c>
      <c r="H18" s="102"/>
      <c r="I18" s="74"/>
      <c r="J18" s="86"/>
      <c r="K18" s="81">
        <f t="shared" si="3"/>
        <v>0</v>
      </c>
      <c r="L18" s="82" t="str">
        <f t="shared" si="4"/>
        <v/>
      </c>
      <c r="M18" s="87"/>
    </row>
    <row r="19" spans="2:14" s="43" customFormat="1" x14ac:dyDescent="0.3">
      <c r="B19" s="93">
        <f t="shared" si="2"/>
        <v>43018</v>
      </c>
      <c r="C19" s="84"/>
      <c r="D19" s="84"/>
      <c r="E19" s="84">
        <f t="shared" si="0"/>
        <v>0</v>
      </c>
      <c r="F19" s="84"/>
      <c r="G19" s="85">
        <f t="shared" si="1"/>
        <v>0</v>
      </c>
      <c r="H19" s="102"/>
      <c r="I19" s="74"/>
      <c r="J19" s="86"/>
      <c r="K19" s="81">
        <f t="shared" si="3"/>
        <v>0</v>
      </c>
      <c r="L19" s="82" t="str">
        <f t="shared" si="4"/>
        <v/>
      </c>
      <c r="M19" s="87"/>
    </row>
    <row r="20" spans="2:14" s="43" customFormat="1" x14ac:dyDescent="0.3">
      <c r="B20" s="93">
        <f t="shared" si="2"/>
        <v>43019</v>
      </c>
      <c r="C20" s="84"/>
      <c r="D20" s="84"/>
      <c r="E20" s="84">
        <f t="shared" si="0"/>
        <v>0</v>
      </c>
      <c r="F20" s="84"/>
      <c r="G20" s="85">
        <f t="shared" si="1"/>
        <v>0</v>
      </c>
      <c r="H20" s="102"/>
      <c r="I20" s="74"/>
      <c r="J20" s="86"/>
      <c r="K20" s="81">
        <f t="shared" si="3"/>
        <v>0</v>
      </c>
      <c r="L20" s="82" t="str">
        <f t="shared" si="4"/>
        <v/>
      </c>
      <c r="M20" s="87"/>
    </row>
    <row r="21" spans="2:14" s="43" customFormat="1" x14ac:dyDescent="0.3">
      <c r="B21" s="93">
        <f t="shared" si="2"/>
        <v>43020</v>
      </c>
      <c r="C21" s="84"/>
      <c r="D21" s="84"/>
      <c r="E21" s="84">
        <f t="shared" si="0"/>
        <v>0</v>
      </c>
      <c r="F21" s="84"/>
      <c r="G21" s="85">
        <f t="shared" si="1"/>
        <v>0</v>
      </c>
      <c r="H21" s="102"/>
      <c r="I21" s="74"/>
      <c r="J21" s="86"/>
      <c r="K21" s="81">
        <f t="shared" si="3"/>
        <v>0</v>
      </c>
      <c r="L21" s="82" t="str">
        <f t="shared" si="4"/>
        <v/>
      </c>
      <c r="M21" s="87"/>
    </row>
    <row r="22" spans="2:14" s="43" customFormat="1" x14ac:dyDescent="0.3">
      <c r="B22" s="93">
        <f t="shared" si="2"/>
        <v>43021</v>
      </c>
      <c r="C22" s="84"/>
      <c r="D22" s="84"/>
      <c r="E22" s="84">
        <f t="shared" si="0"/>
        <v>0</v>
      </c>
      <c r="F22" s="84"/>
      <c r="G22" s="85">
        <f t="shared" si="1"/>
        <v>0</v>
      </c>
      <c r="H22" s="102"/>
      <c r="I22" s="74"/>
      <c r="J22" s="86">
        <v>0.33333333333333331</v>
      </c>
      <c r="K22" s="81">
        <f t="shared" si="3"/>
        <v>0</v>
      </c>
      <c r="L22" s="82" t="str">
        <f t="shared" si="4"/>
        <v>-08:00</v>
      </c>
      <c r="M22" s="87"/>
      <c r="N22" s="88"/>
    </row>
    <row r="23" spans="2:14" s="43" customFormat="1" x14ac:dyDescent="0.3">
      <c r="B23" s="93">
        <f t="shared" si="2"/>
        <v>43022</v>
      </c>
      <c r="C23" s="84"/>
      <c r="D23" s="84"/>
      <c r="E23" s="84">
        <f t="shared" si="0"/>
        <v>0</v>
      </c>
      <c r="F23" s="84"/>
      <c r="G23" s="85">
        <f t="shared" si="1"/>
        <v>0</v>
      </c>
      <c r="H23" s="102"/>
      <c r="I23" s="74"/>
      <c r="J23" s="86">
        <v>0.33333333333333331</v>
      </c>
      <c r="K23" s="81">
        <f t="shared" si="3"/>
        <v>0</v>
      </c>
      <c r="L23" s="82" t="str">
        <f t="shared" si="4"/>
        <v>-08:00</v>
      </c>
      <c r="M23" s="87"/>
      <c r="N23" s="88"/>
    </row>
    <row r="24" spans="2:14" s="43" customFormat="1" x14ac:dyDescent="0.3">
      <c r="B24" s="93">
        <f t="shared" si="2"/>
        <v>43023</v>
      </c>
      <c r="C24" s="84"/>
      <c r="D24" s="84"/>
      <c r="E24" s="84">
        <f t="shared" si="0"/>
        <v>0</v>
      </c>
      <c r="F24" s="84"/>
      <c r="G24" s="85">
        <f t="shared" si="1"/>
        <v>0</v>
      </c>
      <c r="H24" s="102"/>
      <c r="I24" s="74"/>
      <c r="J24" s="86">
        <v>0.33333333333333331</v>
      </c>
      <c r="K24" s="81">
        <f t="shared" si="3"/>
        <v>0</v>
      </c>
      <c r="L24" s="82" t="str">
        <f t="shared" si="4"/>
        <v>-08:00</v>
      </c>
      <c r="M24" s="87"/>
      <c r="N24" s="88"/>
    </row>
    <row r="25" spans="2:14" s="43" customFormat="1" x14ac:dyDescent="0.3">
      <c r="B25" s="93">
        <f t="shared" si="2"/>
        <v>43024</v>
      </c>
      <c r="C25" s="84"/>
      <c r="D25" s="84"/>
      <c r="E25" s="84">
        <f t="shared" si="0"/>
        <v>0</v>
      </c>
      <c r="F25" s="84"/>
      <c r="G25" s="85">
        <f t="shared" si="1"/>
        <v>0</v>
      </c>
      <c r="H25" s="102"/>
      <c r="I25" s="74"/>
      <c r="J25" s="86">
        <v>0.33333333333333331</v>
      </c>
      <c r="K25" s="81">
        <f t="shared" si="3"/>
        <v>0</v>
      </c>
      <c r="L25" s="82" t="str">
        <f t="shared" si="4"/>
        <v>-08:00</v>
      </c>
      <c r="M25" s="87"/>
      <c r="N25" s="88"/>
    </row>
    <row r="26" spans="2:14" s="43" customFormat="1" x14ac:dyDescent="0.3">
      <c r="B26" s="93">
        <f t="shared" si="2"/>
        <v>43025</v>
      </c>
      <c r="C26" s="84"/>
      <c r="D26" s="84"/>
      <c r="E26" s="84">
        <f t="shared" si="0"/>
        <v>0</v>
      </c>
      <c r="F26" s="84"/>
      <c r="G26" s="85">
        <f t="shared" si="1"/>
        <v>0</v>
      </c>
      <c r="H26" s="102"/>
      <c r="I26" s="74"/>
      <c r="J26" s="86"/>
      <c r="K26" s="81">
        <f t="shared" si="3"/>
        <v>0</v>
      </c>
      <c r="L26" s="82" t="str">
        <f t="shared" si="4"/>
        <v/>
      </c>
      <c r="M26" s="87"/>
      <c r="N26" s="88"/>
    </row>
    <row r="27" spans="2:14" s="43" customFormat="1" x14ac:dyDescent="0.3">
      <c r="B27" s="93">
        <f t="shared" si="2"/>
        <v>43026</v>
      </c>
      <c r="C27" s="84"/>
      <c r="D27" s="84"/>
      <c r="E27" s="84">
        <f t="shared" si="0"/>
        <v>0</v>
      </c>
      <c r="F27" s="84"/>
      <c r="G27" s="85">
        <f>E27-F27</f>
        <v>0</v>
      </c>
      <c r="H27" s="102"/>
      <c r="I27" s="74"/>
      <c r="J27" s="86"/>
      <c r="K27" s="81">
        <f t="shared" si="3"/>
        <v>0</v>
      </c>
      <c r="L27" s="82" t="str">
        <f t="shared" si="4"/>
        <v/>
      </c>
      <c r="M27" s="87"/>
      <c r="N27" s="88"/>
    </row>
    <row r="28" spans="2:14" s="43" customFormat="1" x14ac:dyDescent="0.3">
      <c r="B28" s="93">
        <f t="shared" si="2"/>
        <v>43027</v>
      </c>
      <c r="C28" s="84"/>
      <c r="D28" s="84"/>
      <c r="E28" s="84">
        <f>D28-C28</f>
        <v>0</v>
      </c>
      <c r="F28" s="84"/>
      <c r="G28" s="85">
        <f>E28-F28</f>
        <v>0</v>
      </c>
      <c r="H28" s="102"/>
      <c r="I28" s="74"/>
      <c r="J28" s="86"/>
      <c r="K28" s="81">
        <f t="shared" si="3"/>
        <v>0</v>
      </c>
      <c r="L28" s="82" t="str">
        <f t="shared" si="4"/>
        <v/>
      </c>
      <c r="M28" s="87"/>
      <c r="N28" s="88"/>
    </row>
    <row r="29" spans="2:14" s="43" customFormat="1" x14ac:dyDescent="0.3">
      <c r="B29" s="93">
        <f t="shared" si="2"/>
        <v>43028</v>
      </c>
      <c r="C29" s="84"/>
      <c r="D29" s="84"/>
      <c r="E29" s="84">
        <f t="shared" ref="E29:E40" si="5">D29-C29</f>
        <v>0</v>
      </c>
      <c r="F29" s="84"/>
      <c r="G29" s="85">
        <f t="shared" ref="G29:G40" si="6">E29-F29</f>
        <v>0</v>
      </c>
      <c r="H29" s="102"/>
      <c r="I29" s="74"/>
      <c r="J29" s="86">
        <v>0.33333333333333331</v>
      </c>
      <c r="K29" s="81">
        <f t="shared" si="3"/>
        <v>0</v>
      </c>
      <c r="L29" s="82" t="str">
        <f t="shared" si="4"/>
        <v>-08:00</v>
      </c>
      <c r="M29" s="87"/>
      <c r="N29" s="88"/>
    </row>
    <row r="30" spans="2:14" s="43" customFormat="1" x14ac:dyDescent="0.3">
      <c r="B30" s="93">
        <f t="shared" si="2"/>
        <v>43029</v>
      </c>
      <c r="C30" s="84"/>
      <c r="D30" s="84"/>
      <c r="E30" s="84">
        <f t="shared" si="5"/>
        <v>0</v>
      </c>
      <c r="F30" s="84"/>
      <c r="G30" s="85">
        <f t="shared" si="6"/>
        <v>0</v>
      </c>
      <c r="H30" s="102"/>
      <c r="I30" s="74"/>
      <c r="J30" s="86">
        <v>0.33333333333333331</v>
      </c>
      <c r="K30" s="81">
        <f t="shared" si="3"/>
        <v>0</v>
      </c>
      <c r="L30" s="82" t="str">
        <f t="shared" si="4"/>
        <v>-08:00</v>
      </c>
      <c r="M30" s="87"/>
      <c r="N30" s="88"/>
    </row>
    <row r="31" spans="2:14" s="43" customFormat="1" x14ac:dyDescent="0.3">
      <c r="B31" s="93">
        <f t="shared" si="2"/>
        <v>43030</v>
      </c>
      <c r="C31" s="84"/>
      <c r="D31" s="84"/>
      <c r="E31" s="84">
        <f t="shared" si="5"/>
        <v>0</v>
      </c>
      <c r="F31" s="84"/>
      <c r="G31" s="85">
        <f t="shared" si="6"/>
        <v>0</v>
      </c>
      <c r="H31" s="102"/>
      <c r="I31" s="74"/>
      <c r="J31" s="86">
        <v>0.33333333333333331</v>
      </c>
      <c r="K31" s="81">
        <f t="shared" si="3"/>
        <v>0</v>
      </c>
      <c r="L31" s="82" t="str">
        <f t="shared" si="4"/>
        <v>-08:00</v>
      </c>
      <c r="M31" s="87"/>
    </row>
    <row r="32" spans="2:14" s="43" customFormat="1" x14ac:dyDescent="0.3">
      <c r="B32" s="93">
        <f t="shared" si="2"/>
        <v>43031</v>
      </c>
      <c r="C32" s="84"/>
      <c r="D32" s="84"/>
      <c r="E32" s="84">
        <f t="shared" si="5"/>
        <v>0</v>
      </c>
      <c r="F32" s="84"/>
      <c r="G32" s="85">
        <f t="shared" si="6"/>
        <v>0</v>
      </c>
      <c r="H32" s="102"/>
      <c r="I32" s="74"/>
      <c r="J32" s="86">
        <v>0.33333333333333331</v>
      </c>
      <c r="K32" s="81">
        <f t="shared" si="3"/>
        <v>0</v>
      </c>
      <c r="L32" s="82" t="str">
        <f t="shared" si="4"/>
        <v>-08:00</v>
      </c>
      <c r="M32" s="87"/>
    </row>
    <row r="33" spans="2:13" s="43" customFormat="1" x14ac:dyDescent="0.3">
      <c r="B33" s="93">
        <f t="shared" si="2"/>
        <v>43032</v>
      </c>
      <c r="C33" s="84"/>
      <c r="D33" s="84"/>
      <c r="E33" s="84">
        <f t="shared" si="5"/>
        <v>0</v>
      </c>
      <c r="F33" s="84"/>
      <c r="G33" s="85">
        <f t="shared" si="6"/>
        <v>0</v>
      </c>
      <c r="H33" s="102"/>
      <c r="I33" s="74"/>
      <c r="J33" s="86">
        <v>0</v>
      </c>
      <c r="K33" s="81">
        <f t="shared" si="3"/>
        <v>0</v>
      </c>
      <c r="L33" s="82" t="str">
        <f t="shared" si="4"/>
        <v/>
      </c>
      <c r="M33" s="87"/>
    </row>
    <row r="34" spans="2:13" s="43" customFormat="1" x14ac:dyDescent="0.3">
      <c r="B34" s="93">
        <f t="shared" si="2"/>
        <v>43033</v>
      </c>
      <c r="C34" s="84"/>
      <c r="D34" s="84"/>
      <c r="E34" s="84">
        <f t="shared" si="5"/>
        <v>0</v>
      </c>
      <c r="F34" s="84"/>
      <c r="G34" s="85">
        <f t="shared" si="6"/>
        <v>0</v>
      </c>
      <c r="H34" s="102"/>
      <c r="I34" s="74"/>
      <c r="J34" s="86"/>
      <c r="K34" s="81">
        <f t="shared" si="3"/>
        <v>0</v>
      </c>
      <c r="L34" s="82" t="str">
        <f t="shared" si="4"/>
        <v/>
      </c>
      <c r="M34" s="87"/>
    </row>
    <row r="35" spans="2:13" s="43" customFormat="1" x14ac:dyDescent="0.3">
      <c r="B35" s="93">
        <f t="shared" si="2"/>
        <v>43034</v>
      </c>
      <c r="C35" s="84"/>
      <c r="D35" s="84"/>
      <c r="E35" s="84">
        <f t="shared" si="5"/>
        <v>0</v>
      </c>
      <c r="F35" s="84"/>
      <c r="G35" s="85">
        <f t="shared" si="6"/>
        <v>0</v>
      </c>
      <c r="H35" s="102"/>
      <c r="I35" s="74"/>
      <c r="J35" s="86"/>
      <c r="K35" s="81">
        <f t="shared" si="3"/>
        <v>0</v>
      </c>
      <c r="L35" s="82" t="str">
        <f t="shared" si="4"/>
        <v/>
      </c>
      <c r="M35" s="87"/>
    </row>
    <row r="36" spans="2:13" s="43" customFormat="1" x14ac:dyDescent="0.3">
      <c r="B36" s="93">
        <f t="shared" si="2"/>
        <v>43035</v>
      </c>
      <c r="C36" s="84"/>
      <c r="D36" s="84"/>
      <c r="E36" s="84">
        <f t="shared" si="5"/>
        <v>0</v>
      </c>
      <c r="F36" s="84"/>
      <c r="G36" s="85">
        <f t="shared" si="6"/>
        <v>0</v>
      </c>
      <c r="H36" s="102"/>
      <c r="I36" s="74"/>
      <c r="J36" s="86">
        <v>0.33333333333333331</v>
      </c>
      <c r="K36" s="81">
        <f t="shared" si="3"/>
        <v>0</v>
      </c>
      <c r="L36" s="82" t="str">
        <f t="shared" si="4"/>
        <v>-08:00</v>
      </c>
      <c r="M36" s="87"/>
    </row>
    <row r="37" spans="2:13" s="43" customFormat="1" x14ac:dyDescent="0.3">
      <c r="B37" s="93">
        <f t="shared" si="2"/>
        <v>43036</v>
      </c>
      <c r="C37" s="84"/>
      <c r="D37" s="84"/>
      <c r="E37" s="84">
        <f t="shared" si="5"/>
        <v>0</v>
      </c>
      <c r="F37" s="84"/>
      <c r="G37" s="85">
        <f t="shared" si="6"/>
        <v>0</v>
      </c>
      <c r="H37" s="102"/>
      <c r="I37" s="74"/>
      <c r="J37" s="86">
        <v>0.33333333333333331</v>
      </c>
      <c r="K37" s="81">
        <f t="shared" si="3"/>
        <v>0</v>
      </c>
      <c r="L37" s="82" t="str">
        <f t="shared" si="4"/>
        <v>-08:00</v>
      </c>
      <c r="M37" s="87"/>
    </row>
    <row r="38" spans="2:13" s="43" customFormat="1" x14ac:dyDescent="0.3">
      <c r="B38" s="93">
        <f t="shared" si="2"/>
        <v>43037</v>
      </c>
      <c r="C38" s="84"/>
      <c r="D38" s="84"/>
      <c r="E38" s="84">
        <f t="shared" si="5"/>
        <v>0</v>
      </c>
      <c r="F38" s="84"/>
      <c r="G38" s="85">
        <f t="shared" si="6"/>
        <v>0</v>
      </c>
      <c r="H38" s="102"/>
      <c r="I38" s="74"/>
      <c r="J38" s="86">
        <v>0.33333333333333331</v>
      </c>
      <c r="K38" s="81">
        <f t="shared" si="3"/>
        <v>0</v>
      </c>
      <c r="L38" s="82" t="str">
        <f t="shared" si="4"/>
        <v>-08:00</v>
      </c>
      <c r="M38" s="87"/>
    </row>
    <row r="39" spans="2:13" s="43" customFormat="1" x14ac:dyDescent="0.3">
      <c r="B39" s="93">
        <f t="shared" si="2"/>
        <v>43038</v>
      </c>
      <c r="C39" s="84"/>
      <c r="D39" s="84"/>
      <c r="E39" s="84">
        <f t="shared" si="5"/>
        <v>0</v>
      </c>
      <c r="F39" s="84"/>
      <c r="G39" s="85">
        <f t="shared" si="6"/>
        <v>0</v>
      </c>
      <c r="H39" s="105"/>
      <c r="I39" s="74"/>
      <c r="J39" s="86">
        <v>0.33333333333333331</v>
      </c>
      <c r="K39" s="81">
        <f t="shared" si="3"/>
        <v>0</v>
      </c>
      <c r="L39" s="82" t="str">
        <f t="shared" si="4"/>
        <v>-08:00</v>
      </c>
      <c r="M39" s="87"/>
    </row>
    <row r="40" spans="2:13" s="43" customFormat="1" ht="15" thickBot="1" x14ac:dyDescent="0.35">
      <c r="B40" s="93">
        <f t="shared" si="2"/>
        <v>43039</v>
      </c>
      <c r="C40" s="84"/>
      <c r="D40" s="84"/>
      <c r="E40" s="84">
        <f t="shared" si="5"/>
        <v>0</v>
      </c>
      <c r="F40" s="84"/>
      <c r="G40" s="85">
        <f t="shared" si="6"/>
        <v>0</v>
      </c>
      <c r="H40" s="105"/>
      <c r="I40" s="74"/>
      <c r="J40" s="86">
        <v>0.33333333333333331</v>
      </c>
      <c r="K40" s="81">
        <f t="shared" si="3"/>
        <v>0</v>
      </c>
      <c r="L40" s="82" t="str">
        <f t="shared" si="4"/>
        <v>-08:00</v>
      </c>
      <c r="M40" s="87"/>
    </row>
    <row r="41" spans="2:13" s="29" customFormat="1" ht="18.600000000000001" thickBot="1" x14ac:dyDescent="0.35">
      <c r="B41" s="76" t="s">
        <v>2</v>
      </c>
      <c r="C41" s="72"/>
      <c r="D41" s="72"/>
      <c r="E41" s="77"/>
      <c r="F41" s="78"/>
      <c r="G41" s="77">
        <f>SUM(G10:G40)</f>
        <v>0</v>
      </c>
      <c r="H41" s="103"/>
      <c r="I41" s="74"/>
      <c r="J41" s="75">
        <f>SUM(J10:J40)</f>
        <v>4.9999999999999991</v>
      </c>
      <c r="K41" s="75">
        <f>SUM(K10:K40)</f>
        <v>0</v>
      </c>
      <c r="L41" s="75" t="str">
        <f>IF(K41&lt;J41,TEXT((ABS(K41-J41)),"-[h]:mm"),IF(K41=J41,"",K41-J41))</f>
        <v>-120:00</v>
      </c>
    </row>
    <row r="42" spans="2:13" ht="15" thickBot="1" x14ac:dyDescent="0.35">
      <c r="J42" s="19"/>
    </row>
    <row r="43" spans="2:13" x14ac:dyDescent="0.3">
      <c r="G43" s="116" t="s">
        <v>48</v>
      </c>
      <c r="H43" s="117"/>
    </row>
    <row r="44" spans="2:13" ht="15" thickBot="1" x14ac:dyDescent="0.35">
      <c r="G44" s="118"/>
      <c r="H44" s="119"/>
    </row>
    <row r="45" spans="2:13" ht="64.95" customHeight="1" thickBot="1" x14ac:dyDescent="0.35">
      <c r="G45" s="109" t="s">
        <v>49</v>
      </c>
      <c r="H45" s="104"/>
    </row>
    <row r="46" spans="2:13" s="90" customFormat="1" ht="15" thickBot="1" x14ac:dyDescent="0.35">
      <c r="G46" s="89" t="s">
        <v>43</v>
      </c>
      <c r="H46" s="100" t="s">
        <v>44</v>
      </c>
      <c r="I46" s="91"/>
      <c r="J46" s="91"/>
      <c r="K46" s="91"/>
      <c r="L46" s="91"/>
    </row>
  </sheetData>
  <mergeCells count="8">
    <mergeCell ref="L7:L9"/>
    <mergeCell ref="G43:H44"/>
    <mergeCell ref="B2:G2"/>
    <mergeCell ref="B4:B5"/>
    <mergeCell ref="C4:D5"/>
    <mergeCell ref="B6:B7"/>
    <mergeCell ref="J7:J9"/>
    <mergeCell ref="K7:K9"/>
  </mergeCells>
  <pageMargins left="0.25" right="0.25" top="0.75" bottom="0.75" header="0.3" footer="0.3"/>
  <pageSetup paperSize="9" scale="62" fitToHeight="0" orientation="portrait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70C0"/>
    <outlinePr summaryBelow="0" summaryRight="0"/>
    <pageSetUpPr fitToPage="1"/>
  </sheetPr>
  <dimension ref="B2:N45"/>
  <sheetViews>
    <sheetView topLeftCell="A31" workbookViewId="0">
      <selection activeCell="A44" sqref="A44:XFD44"/>
    </sheetView>
  </sheetViews>
  <sheetFormatPr defaultColWidth="9.109375" defaultRowHeight="14.4" x14ac:dyDescent="0.3"/>
  <cols>
    <col min="1" max="1" width="3.6640625" style="1" customWidth="1"/>
    <col min="2" max="2" width="14.6640625" style="1" customWidth="1"/>
    <col min="3" max="6" width="12.6640625" style="1" customWidth="1"/>
    <col min="7" max="7" width="14.6640625" style="3" customWidth="1"/>
    <col min="8" max="8" width="50.6640625" style="96" customWidth="1"/>
    <col min="9" max="9" width="3" style="3" customWidth="1"/>
    <col min="10" max="12" width="7.6640625" style="3" hidden="1" customWidth="1"/>
    <col min="13" max="13" width="9.109375" style="1"/>
    <col min="14" max="14" width="12.44140625" style="1" customWidth="1"/>
    <col min="15" max="16384" width="9.109375" style="1"/>
  </cols>
  <sheetData>
    <row r="2" spans="2:14" ht="64.95" customHeight="1" x14ac:dyDescent="0.3">
      <c r="B2" s="120" t="s">
        <v>38</v>
      </c>
      <c r="C2" s="121"/>
      <c r="D2" s="121"/>
      <c r="E2" s="121"/>
      <c r="F2" s="121"/>
      <c r="G2" s="121"/>
    </row>
    <row r="3" spans="2:14" ht="15" thickBot="1" x14ac:dyDescent="0.35">
      <c r="B3" s="4"/>
      <c r="G3" s="1"/>
    </row>
    <row r="4" spans="2:14" ht="19.95" customHeight="1" thickBot="1" x14ac:dyDescent="0.35">
      <c r="B4" s="122" t="s">
        <v>5</v>
      </c>
      <c r="C4" s="124" t="s">
        <v>46</v>
      </c>
      <c r="D4" s="124"/>
      <c r="E4" s="61"/>
      <c r="F4" s="64"/>
      <c r="G4" s="68" t="s">
        <v>39</v>
      </c>
      <c r="H4" s="97" t="s">
        <v>40</v>
      </c>
    </row>
    <row r="5" spans="2:14" ht="19.95" customHeight="1" thickBot="1" x14ac:dyDescent="0.35">
      <c r="B5" s="123"/>
      <c r="C5" s="125"/>
      <c r="D5" s="125"/>
      <c r="E5" s="8"/>
      <c r="F5" s="67"/>
      <c r="G5" s="69" t="s">
        <v>41</v>
      </c>
      <c r="H5" s="98" t="s">
        <v>42</v>
      </c>
    </row>
    <row r="6" spans="2:14" ht="19.95" customHeight="1" thickBot="1" x14ac:dyDescent="0.35">
      <c r="B6" s="126" t="s">
        <v>43</v>
      </c>
      <c r="C6" s="66" t="s">
        <v>44</v>
      </c>
      <c r="D6" s="8"/>
      <c r="E6" s="8"/>
      <c r="F6" s="67"/>
      <c r="G6" s="69" t="s">
        <v>7</v>
      </c>
      <c r="H6" s="99" t="s">
        <v>67</v>
      </c>
    </row>
    <row r="7" spans="2:14" ht="19.95" customHeight="1" thickBot="1" x14ac:dyDescent="0.35">
      <c r="B7" s="123"/>
      <c r="C7" s="62" t="s">
        <v>45</v>
      </c>
      <c r="D7" s="63"/>
      <c r="E7" s="63"/>
      <c r="F7" s="65"/>
      <c r="G7" s="70" t="s">
        <v>36</v>
      </c>
      <c r="H7" s="100" t="s">
        <v>56</v>
      </c>
      <c r="J7" s="113" t="s">
        <v>16</v>
      </c>
      <c r="K7" s="113" t="s">
        <v>17</v>
      </c>
      <c r="L7" s="113" t="s">
        <v>18</v>
      </c>
    </row>
    <row r="8" spans="2:14" ht="15" thickBot="1" x14ac:dyDescent="0.35">
      <c r="J8" s="114"/>
      <c r="K8" s="114"/>
      <c r="L8" s="114"/>
    </row>
    <row r="9" spans="2:14" ht="29.4" thickBot="1" x14ac:dyDescent="0.35">
      <c r="B9" s="71" t="s">
        <v>1</v>
      </c>
      <c r="C9" s="72" t="s">
        <v>12</v>
      </c>
      <c r="D9" s="72" t="s">
        <v>13</v>
      </c>
      <c r="E9" s="72" t="s">
        <v>0</v>
      </c>
      <c r="F9" s="72" t="s">
        <v>15</v>
      </c>
      <c r="G9" s="73" t="s">
        <v>37</v>
      </c>
      <c r="H9" s="95" t="s">
        <v>47</v>
      </c>
      <c r="J9" s="115"/>
      <c r="K9" s="115"/>
      <c r="L9" s="115"/>
    </row>
    <row r="10" spans="2:14" s="43" customFormat="1" x14ac:dyDescent="0.3">
      <c r="B10" s="92">
        <v>43040</v>
      </c>
      <c r="C10" s="84"/>
      <c r="D10" s="84"/>
      <c r="E10" s="84">
        <f t="shared" ref="E10:E27" si="0">D10-C10</f>
        <v>0</v>
      </c>
      <c r="F10" s="84"/>
      <c r="G10" s="79">
        <f t="shared" ref="G10:G26" si="1">E10-F10</f>
        <v>0</v>
      </c>
      <c r="H10" s="101"/>
      <c r="I10" s="74"/>
      <c r="J10" s="80"/>
      <c r="K10" s="81">
        <f>G10</f>
        <v>0</v>
      </c>
      <c r="L10" s="82" t="str">
        <f>IF(K10&lt;J10,TEXT((ABS(K10-J10)),"-hh:mm"),IF(K10=J10,"",K10-J10))</f>
        <v/>
      </c>
    </row>
    <row r="11" spans="2:14" s="43" customFormat="1" x14ac:dyDescent="0.3">
      <c r="B11" s="93">
        <f t="shared" ref="B11:B39" si="2">B10+1</f>
        <v>43041</v>
      </c>
      <c r="C11" s="84"/>
      <c r="D11" s="84"/>
      <c r="E11" s="84">
        <f t="shared" si="0"/>
        <v>0</v>
      </c>
      <c r="F11" s="84"/>
      <c r="G11" s="85">
        <f t="shared" si="1"/>
        <v>0</v>
      </c>
      <c r="H11" s="102"/>
      <c r="I11" s="74"/>
      <c r="J11" s="86"/>
      <c r="K11" s="81">
        <f t="shared" ref="K11:K39" si="3">G11</f>
        <v>0</v>
      </c>
      <c r="L11" s="82" t="str">
        <f t="shared" ref="L11:L39" si="4">IF(K11&lt;J11,TEXT((ABS(K11-J11)),"-hh:mm"),IF(K11=J11,"",K11-J11))</f>
        <v/>
      </c>
    </row>
    <row r="12" spans="2:14" s="43" customFormat="1" x14ac:dyDescent="0.3">
      <c r="B12" s="93">
        <f t="shared" si="2"/>
        <v>43042</v>
      </c>
      <c r="C12" s="83"/>
      <c r="D12" s="83"/>
      <c r="E12" s="84">
        <f t="shared" si="0"/>
        <v>0</v>
      </c>
      <c r="F12" s="83"/>
      <c r="G12" s="85">
        <f t="shared" si="1"/>
        <v>0</v>
      </c>
      <c r="H12" s="102"/>
      <c r="I12" s="74"/>
      <c r="J12" s="86"/>
      <c r="K12" s="81">
        <f t="shared" si="3"/>
        <v>0</v>
      </c>
      <c r="L12" s="82" t="str">
        <f t="shared" si="4"/>
        <v/>
      </c>
      <c r="N12" s="94"/>
    </row>
    <row r="13" spans="2:14" s="43" customFormat="1" x14ac:dyDescent="0.3">
      <c r="B13" s="93">
        <f t="shared" si="2"/>
        <v>43043</v>
      </c>
      <c r="C13" s="84"/>
      <c r="D13" s="84"/>
      <c r="E13" s="84">
        <f t="shared" si="0"/>
        <v>0</v>
      </c>
      <c r="F13" s="84"/>
      <c r="G13" s="85">
        <f t="shared" si="1"/>
        <v>0</v>
      </c>
      <c r="H13" s="102"/>
      <c r="I13" s="74"/>
      <c r="J13" s="86"/>
      <c r="K13" s="81">
        <f t="shared" si="3"/>
        <v>0</v>
      </c>
      <c r="L13" s="82" t="str">
        <f t="shared" si="4"/>
        <v/>
      </c>
    </row>
    <row r="14" spans="2:14" s="43" customFormat="1" x14ac:dyDescent="0.3">
      <c r="B14" s="93">
        <f t="shared" si="2"/>
        <v>43044</v>
      </c>
      <c r="C14" s="84"/>
      <c r="D14" s="84"/>
      <c r="E14" s="84">
        <f t="shared" si="0"/>
        <v>0</v>
      </c>
      <c r="F14" s="84"/>
      <c r="G14" s="85">
        <f t="shared" si="1"/>
        <v>0</v>
      </c>
      <c r="H14" s="102"/>
      <c r="I14" s="74"/>
      <c r="J14" s="86"/>
      <c r="K14" s="81">
        <f t="shared" si="3"/>
        <v>0</v>
      </c>
      <c r="L14" s="82" t="str">
        <f t="shared" si="4"/>
        <v/>
      </c>
    </row>
    <row r="15" spans="2:14" s="43" customFormat="1" x14ac:dyDescent="0.3">
      <c r="B15" s="93">
        <f t="shared" si="2"/>
        <v>43045</v>
      </c>
      <c r="C15" s="84"/>
      <c r="D15" s="84"/>
      <c r="E15" s="84">
        <f t="shared" si="0"/>
        <v>0</v>
      </c>
      <c r="F15" s="84"/>
      <c r="G15" s="85">
        <f t="shared" si="1"/>
        <v>0</v>
      </c>
      <c r="H15" s="102"/>
      <c r="I15" s="74"/>
      <c r="J15" s="86">
        <v>0.33333333333333331</v>
      </c>
      <c r="K15" s="81">
        <f t="shared" si="3"/>
        <v>0</v>
      </c>
      <c r="L15" s="82" t="str">
        <f t="shared" si="4"/>
        <v>-08:00</v>
      </c>
      <c r="M15" s="87"/>
    </row>
    <row r="16" spans="2:14" s="43" customFormat="1" x14ac:dyDescent="0.3">
      <c r="B16" s="93">
        <f t="shared" si="2"/>
        <v>43046</v>
      </c>
      <c r="C16" s="84"/>
      <c r="D16" s="84"/>
      <c r="E16" s="84">
        <f t="shared" si="0"/>
        <v>0</v>
      </c>
      <c r="F16" s="84"/>
      <c r="G16" s="85">
        <f t="shared" si="1"/>
        <v>0</v>
      </c>
      <c r="H16" s="102"/>
      <c r="I16" s="74"/>
      <c r="J16" s="86">
        <v>0.33333333333333331</v>
      </c>
      <c r="K16" s="81">
        <f t="shared" si="3"/>
        <v>0</v>
      </c>
      <c r="L16" s="82" t="str">
        <f t="shared" si="4"/>
        <v>-08:00</v>
      </c>
      <c r="M16" s="87"/>
    </row>
    <row r="17" spans="2:14" s="43" customFormat="1" x14ac:dyDescent="0.3">
      <c r="B17" s="93">
        <f t="shared" si="2"/>
        <v>43047</v>
      </c>
      <c r="C17" s="84"/>
      <c r="D17" s="84"/>
      <c r="E17" s="84">
        <f t="shared" si="0"/>
        <v>0</v>
      </c>
      <c r="F17" s="84"/>
      <c r="G17" s="85">
        <f t="shared" si="1"/>
        <v>0</v>
      </c>
      <c r="H17" s="102"/>
      <c r="I17" s="74"/>
      <c r="J17" s="86"/>
      <c r="K17" s="81">
        <f t="shared" si="3"/>
        <v>0</v>
      </c>
      <c r="L17" s="82" t="str">
        <f t="shared" si="4"/>
        <v/>
      </c>
      <c r="M17" s="87"/>
    </row>
    <row r="18" spans="2:14" s="43" customFormat="1" x14ac:dyDescent="0.3">
      <c r="B18" s="93">
        <f t="shared" si="2"/>
        <v>43048</v>
      </c>
      <c r="C18" s="84"/>
      <c r="D18" s="84"/>
      <c r="E18" s="84">
        <f t="shared" si="0"/>
        <v>0</v>
      </c>
      <c r="F18" s="84"/>
      <c r="G18" s="85">
        <f t="shared" si="1"/>
        <v>0</v>
      </c>
      <c r="H18" s="102"/>
      <c r="I18" s="74"/>
      <c r="J18" s="86"/>
      <c r="K18" s="81">
        <f t="shared" si="3"/>
        <v>0</v>
      </c>
      <c r="L18" s="82" t="str">
        <f t="shared" si="4"/>
        <v/>
      </c>
      <c r="M18" s="87"/>
    </row>
    <row r="19" spans="2:14" s="43" customFormat="1" x14ac:dyDescent="0.3">
      <c r="B19" s="93">
        <f t="shared" si="2"/>
        <v>43049</v>
      </c>
      <c r="C19" s="84"/>
      <c r="D19" s="84"/>
      <c r="E19" s="84">
        <f t="shared" si="0"/>
        <v>0</v>
      </c>
      <c r="F19" s="84"/>
      <c r="G19" s="85">
        <f t="shared" si="1"/>
        <v>0</v>
      </c>
      <c r="H19" s="102"/>
      <c r="I19" s="74"/>
      <c r="J19" s="86"/>
      <c r="K19" s="81">
        <f t="shared" si="3"/>
        <v>0</v>
      </c>
      <c r="L19" s="82" t="str">
        <f t="shared" si="4"/>
        <v/>
      </c>
      <c r="M19" s="87"/>
    </row>
    <row r="20" spans="2:14" s="43" customFormat="1" x14ac:dyDescent="0.3">
      <c r="B20" s="93">
        <f t="shared" si="2"/>
        <v>43050</v>
      </c>
      <c r="C20" s="84"/>
      <c r="D20" s="84"/>
      <c r="E20" s="84">
        <f t="shared" si="0"/>
        <v>0</v>
      </c>
      <c r="F20" s="84"/>
      <c r="G20" s="85">
        <f t="shared" si="1"/>
        <v>0</v>
      </c>
      <c r="H20" s="102"/>
      <c r="I20" s="74"/>
      <c r="J20" s="86"/>
      <c r="K20" s="81">
        <f t="shared" si="3"/>
        <v>0</v>
      </c>
      <c r="L20" s="82" t="str">
        <f t="shared" si="4"/>
        <v/>
      </c>
      <c r="M20" s="87"/>
    </row>
    <row r="21" spans="2:14" s="43" customFormat="1" x14ac:dyDescent="0.3">
      <c r="B21" s="93">
        <f t="shared" si="2"/>
        <v>43051</v>
      </c>
      <c r="C21" s="84"/>
      <c r="D21" s="84"/>
      <c r="E21" s="84">
        <f t="shared" si="0"/>
        <v>0</v>
      </c>
      <c r="F21" s="84"/>
      <c r="G21" s="85">
        <f t="shared" si="1"/>
        <v>0</v>
      </c>
      <c r="H21" s="102"/>
      <c r="I21" s="74"/>
      <c r="J21" s="86"/>
      <c r="K21" s="81">
        <f t="shared" si="3"/>
        <v>0</v>
      </c>
      <c r="L21" s="82" t="str">
        <f t="shared" si="4"/>
        <v/>
      </c>
      <c r="M21" s="87"/>
    </row>
    <row r="22" spans="2:14" s="43" customFormat="1" x14ac:dyDescent="0.3">
      <c r="B22" s="93">
        <f t="shared" si="2"/>
        <v>43052</v>
      </c>
      <c r="C22" s="84"/>
      <c r="D22" s="84"/>
      <c r="E22" s="84">
        <f t="shared" si="0"/>
        <v>0</v>
      </c>
      <c r="F22" s="84"/>
      <c r="G22" s="85">
        <f t="shared" si="1"/>
        <v>0</v>
      </c>
      <c r="H22" s="102"/>
      <c r="I22" s="74"/>
      <c r="J22" s="86">
        <v>0.33333333333333331</v>
      </c>
      <c r="K22" s="81">
        <f t="shared" si="3"/>
        <v>0</v>
      </c>
      <c r="L22" s="82" t="str">
        <f t="shared" si="4"/>
        <v>-08:00</v>
      </c>
      <c r="M22" s="87"/>
      <c r="N22" s="88"/>
    </row>
    <row r="23" spans="2:14" s="43" customFormat="1" x14ac:dyDescent="0.3">
      <c r="B23" s="93">
        <f t="shared" si="2"/>
        <v>43053</v>
      </c>
      <c r="C23" s="84"/>
      <c r="D23" s="84"/>
      <c r="E23" s="84">
        <f t="shared" si="0"/>
        <v>0</v>
      </c>
      <c r="F23" s="84"/>
      <c r="G23" s="85">
        <f t="shared" si="1"/>
        <v>0</v>
      </c>
      <c r="H23" s="102"/>
      <c r="I23" s="74"/>
      <c r="J23" s="86">
        <v>0.33333333333333331</v>
      </c>
      <c r="K23" s="81">
        <f t="shared" si="3"/>
        <v>0</v>
      </c>
      <c r="L23" s="82" t="str">
        <f t="shared" si="4"/>
        <v>-08:00</v>
      </c>
      <c r="M23" s="87"/>
      <c r="N23" s="88"/>
    </row>
    <row r="24" spans="2:14" s="43" customFormat="1" x14ac:dyDescent="0.3">
      <c r="B24" s="93">
        <f t="shared" si="2"/>
        <v>43054</v>
      </c>
      <c r="C24" s="84"/>
      <c r="D24" s="84"/>
      <c r="E24" s="84">
        <f t="shared" si="0"/>
        <v>0</v>
      </c>
      <c r="F24" s="84"/>
      <c r="G24" s="85">
        <f t="shared" si="1"/>
        <v>0</v>
      </c>
      <c r="H24" s="102"/>
      <c r="I24" s="74"/>
      <c r="J24" s="86">
        <v>0.33333333333333331</v>
      </c>
      <c r="K24" s="81">
        <f t="shared" si="3"/>
        <v>0</v>
      </c>
      <c r="L24" s="82" t="str">
        <f t="shared" si="4"/>
        <v>-08:00</v>
      </c>
      <c r="M24" s="87"/>
      <c r="N24" s="88"/>
    </row>
    <row r="25" spans="2:14" s="43" customFormat="1" x14ac:dyDescent="0.3">
      <c r="B25" s="93">
        <f t="shared" si="2"/>
        <v>43055</v>
      </c>
      <c r="C25" s="84"/>
      <c r="D25" s="84"/>
      <c r="E25" s="84">
        <f t="shared" si="0"/>
        <v>0</v>
      </c>
      <c r="F25" s="84"/>
      <c r="G25" s="85">
        <f t="shared" si="1"/>
        <v>0</v>
      </c>
      <c r="H25" s="102"/>
      <c r="I25" s="74"/>
      <c r="J25" s="86">
        <v>0.33333333333333331</v>
      </c>
      <c r="K25" s="81">
        <f t="shared" si="3"/>
        <v>0</v>
      </c>
      <c r="L25" s="82" t="str">
        <f t="shared" si="4"/>
        <v>-08:00</v>
      </c>
      <c r="M25" s="87"/>
      <c r="N25" s="88"/>
    </row>
    <row r="26" spans="2:14" s="43" customFormat="1" x14ac:dyDescent="0.3">
      <c r="B26" s="93">
        <f t="shared" si="2"/>
        <v>43056</v>
      </c>
      <c r="C26" s="84"/>
      <c r="D26" s="84"/>
      <c r="E26" s="84">
        <f t="shared" si="0"/>
        <v>0</v>
      </c>
      <c r="F26" s="84"/>
      <c r="G26" s="85">
        <f t="shared" si="1"/>
        <v>0</v>
      </c>
      <c r="H26" s="102"/>
      <c r="I26" s="74"/>
      <c r="J26" s="86"/>
      <c r="K26" s="81">
        <f t="shared" si="3"/>
        <v>0</v>
      </c>
      <c r="L26" s="82" t="str">
        <f t="shared" si="4"/>
        <v/>
      </c>
      <c r="M26" s="87"/>
      <c r="N26" s="88"/>
    </row>
    <row r="27" spans="2:14" s="43" customFormat="1" x14ac:dyDescent="0.3">
      <c r="B27" s="93">
        <f t="shared" si="2"/>
        <v>43057</v>
      </c>
      <c r="C27" s="84"/>
      <c r="D27" s="84"/>
      <c r="E27" s="84">
        <f t="shared" si="0"/>
        <v>0</v>
      </c>
      <c r="F27" s="84"/>
      <c r="G27" s="85">
        <f>E27-F27</f>
        <v>0</v>
      </c>
      <c r="H27" s="102"/>
      <c r="I27" s="74"/>
      <c r="J27" s="86"/>
      <c r="K27" s="81">
        <f t="shared" si="3"/>
        <v>0</v>
      </c>
      <c r="L27" s="82" t="str">
        <f t="shared" si="4"/>
        <v/>
      </c>
      <c r="M27" s="87"/>
      <c r="N27" s="88"/>
    </row>
    <row r="28" spans="2:14" s="43" customFormat="1" x14ac:dyDescent="0.3">
      <c r="B28" s="93">
        <f t="shared" si="2"/>
        <v>43058</v>
      </c>
      <c r="C28" s="84"/>
      <c r="D28" s="84"/>
      <c r="E28" s="84">
        <f>D28-C28</f>
        <v>0</v>
      </c>
      <c r="F28" s="84"/>
      <c r="G28" s="85">
        <f>E28-F28</f>
        <v>0</v>
      </c>
      <c r="H28" s="102"/>
      <c r="I28" s="74"/>
      <c r="J28" s="86"/>
      <c r="K28" s="81">
        <f t="shared" si="3"/>
        <v>0</v>
      </c>
      <c r="L28" s="82" t="str">
        <f t="shared" si="4"/>
        <v/>
      </c>
      <c r="M28" s="87"/>
      <c r="N28" s="88"/>
    </row>
    <row r="29" spans="2:14" s="43" customFormat="1" x14ac:dyDescent="0.3">
      <c r="B29" s="93">
        <f t="shared" si="2"/>
        <v>43059</v>
      </c>
      <c r="C29" s="84"/>
      <c r="D29" s="84"/>
      <c r="E29" s="84">
        <f t="shared" ref="E29:E39" si="5">D29-C29</f>
        <v>0</v>
      </c>
      <c r="F29" s="84"/>
      <c r="G29" s="85">
        <f t="shared" ref="G29:G39" si="6">E29-F29</f>
        <v>0</v>
      </c>
      <c r="H29" s="102"/>
      <c r="I29" s="74"/>
      <c r="J29" s="86">
        <v>0.33333333333333331</v>
      </c>
      <c r="K29" s="81">
        <f t="shared" si="3"/>
        <v>0</v>
      </c>
      <c r="L29" s="82" t="str">
        <f t="shared" si="4"/>
        <v>-08:00</v>
      </c>
      <c r="M29" s="87"/>
      <c r="N29" s="88"/>
    </row>
    <row r="30" spans="2:14" s="43" customFormat="1" x14ac:dyDescent="0.3">
      <c r="B30" s="93">
        <f t="shared" si="2"/>
        <v>43060</v>
      </c>
      <c r="C30" s="84"/>
      <c r="D30" s="84"/>
      <c r="E30" s="84">
        <f t="shared" si="5"/>
        <v>0</v>
      </c>
      <c r="F30" s="84"/>
      <c r="G30" s="85">
        <f t="shared" si="6"/>
        <v>0</v>
      </c>
      <c r="H30" s="102"/>
      <c r="I30" s="74"/>
      <c r="J30" s="86">
        <v>0.33333333333333331</v>
      </c>
      <c r="K30" s="81">
        <f t="shared" si="3"/>
        <v>0</v>
      </c>
      <c r="L30" s="82" t="str">
        <f t="shared" si="4"/>
        <v>-08:00</v>
      </c>
      <c r="M30" s="87"/>
      <c r="N30" s="88"/>
    </row>
    <row r="31" spans="2:14" s="43" customFormat="1" x14ac:dyDescent="0.3">
      <c r="B31" s="93">
        <f t="shared" si="2"/>
        <v>43061</v>
      </c>
      <c r="C31" s="84"/>
      <c r="D31" s="84"/>
      <c r="E31" s="84">
        <f t="shared" si="5"/>
        <v>0</v>
      </c>
      <c r="F31" s="84"/>
      <c r="G31" s="85">
        <f t="shared" si="6"/>
        <v>0</v>
      </c>
      <c r="H31" s="102"/>
      <c r="I31" s="74"/>
      <c r="J31" s="86">
        <v>0.33333333333333331</v>
      </c>
      <c r="K31" s="81">
        <f t="shared" si="3"/>
        <v>0</v>
      </c>
      <c r="L31" s="82" t="str">
        <f t="shared" si="4"/>
        <v>-08:00</v>
      </c>
      <c r="M31" s="87"/>
    </row>
    <row r="32" spans="2:14" s="43" customFormat="1" x14ac:dyDescent="0.3">
      <c r="B32" s="93">
        <f t="shared" si="2"/>
        <v>43062</v>
      </c>
      <c r="C32" s="84"/>
      <c r="D32" s="84"/>
      <c r="E32" s="84">
        <f t="shared" si="5"/>
        <v>0</v>
      </c>
      <c r="F32" s="84"/>
      <c r="G32" s="85">
        <f t="shared" si="6"/>
        <v>0</v>
      </c>
      <c r="H32" s="102"/>
      <c r="I32" s="74"/>
      <c r="J32" s="86">
        <v>0.33333333333333331</v>
      </c>
      <c r="K32" s="81">
        <f t="shared" si="3"/>
        <v>0</v>
      </c>
      <c r="L32" s="82" t="str">
        <f t="shared" si="4"/>
        <v>-08:00</v>
      </c>
      <c r="M32" s="87"/>
    </row>
    <row r="33" spans="2:13" s="43" customFormat="1" x14ac:dyDescent="0.3">
      <c r="B33" s="93">
        <f t="shared" si="2"/>
        <v>43063</v>
      </c>
      <c r="C33" s="84"/>
      <c r="D33" s="84"/>
      <c r="E33" s="84">
        <f t="shared" si="5"/>
        <v>0</v>
      </c>
      <c r="F33" s="84"/>
      <c r="G33" s="85">
        <f t="shared" si="6"/>
        <v>0</v>
      </c>
      <c r="H33" s="102"/>
      <c r="I33" s="74"/>
      <c r="J33" s="86">
        <v>0</v>
      </c>
      <c r="K33" s="81">
        <f t="shared" si="3"/>
        <v>0</v>
      </c>
      <c r="L33" s="82" t="str">
        <f t="shared" si="4"/>
        <v/>
      </c>
      <c r="M33" s="87"/>
    </row>
    <row r="34" spans="2:13" s="43" customFormat="1" x14ac:dyDescent="0.3">
      <c r="B34" s="93">
        <f t="shared" si="2"/>
        <v>43064</v>
      </c>
      <c r="C34" s="84"/>
      <c r="D34" s="84"/>
      <c r="E34" s="84">
        <f t="shared" si="5"/>
        <v>0</v>
      </c>
      <c r="F34" s="84"/>
      <c r="G34" s="85">
        <f t="shared" si="6"/>
        <v>0</v>
      </c>
      <c r="H34" s="102"/>
      <c r="I34" s="74"/>
      <c r="J34" s="86"/>
      <c r="K34" s="81">
        <f t="shared" si="3"/>
        <v>0</v>
      </c>
      <c r="L34" s="82" t="str">
        <f t="shared" si="4"/>
        <v/>
      </c>
      <c r="M34" s="87"/>
    </row>
    <row r="35" spans="2:13" s="43" customFormat="1" x14ac:dyDescent="0.3">
      <c r="B35" s="93">
        <f t="shared" si="2"/>
        <v>43065</v>
      </c>
      <c r="C35" s="84"/>
      <c r="D35" s="84"/>
      <c r="E35" s="84">
        <f t="shared" si="5"/>
        <v>0</v>
      </c>
      <c r="F35" s="84"/>
      <c r="G35" s="85">
        <f t="shared" si="6"/>
        <v>0</v>
      </c>
      <c r="H35" s="102"/>
      <c r="I35" s="74"/>
      <c r="J35" s="86"/>
      <c r="K35" s="81">
        <f t="shared" si="3"/>
        <v>0</v>
      </c>
      <c r="L35" s="82" t="str">
        <f t="shared" si="4"/>
        <v/>
      </c>
      <c r="M35" s="87"/>
    </row>
    <row r="36" spans="2:13" s="43" customFormat="1" x14ac:dyDescent="0.3">
      <c r="B36" s="93">
        <f t="shared" si="2"/>
        <v>43066</v>
      </c>
      <c r="C36" s="84"/>
      <c r="D36" s="84"/>
      <c r="E36" s="84">
        <f t="shared" si="5"/>
        <v>0</v>
      </c>
      <c r="F36" s="84"/>
      <c r="G36" s="85">
        <f t="shared" si="6"/>
        <v>0</v>
      </c>
      <c r="H36" s="102"/>
      <c r="I36" s="74"/>
      <c r="J36" s="86">
        <v>0.33333333333333331</v>
      </c>
      <c r="K36" s="81">
        <f t="shared" si="3"/>
        <v>0</v>
      </c>
      <c r="L36" s="82" t="str">
        <f t="shared" si="4"/>
        <v>-08:00</v>
      </c>
      <c r="M36" s="87"/>
    </row>
    <row r="37" spans="2:13" s="43" customFormat="1" x14ac:dyDescent="0.3">
      <c r="B37" s="93">
        <f t="shared" si="2"/>
        <v>43067</v>
      </c>
      <c r="C37" s="84"/>
      <c r="D37" s="84"/>
      <c r="E37" s="84">
        <f t="shared" si="5"/>
        <v>0</v>
      </c>
      <c r="F37" s="84"/>
      <c r="G37" s="85">
        <f t="shared" si="6"/>
        <v>0</v>
      </c>
      <c r="H37" s="102"/>
      <c r="I37" s="74"/>
      <c r="J37" s="86">
        <v>0.33333333333333331</v>
      </c>
      <c r="K37" s="81">
        <f t="shared" si="3"/>
        <v>0</v>
      </c>
      <c r="L37" s="82" t="str">
        <f t="shared" si="4"/>
        <v>-08:00</v>
      </c>
      <c r="M37" s="87"/>
    </row>
    <row r="38" spans="2:13" s="43" customFormat="1" x14ac:dyDescent="0.3">
      <c r="B38" s="93">
        <f t="shared" si="2"/>
        <v>43068</v>
      </c>
      <c r="C38" s="84"/>
      <c r="D38" s="84"/>
      <c r="E38" s="84">
        <f t="shared" si="5"/>
        <v>0</v>
      </c>
      <c r="F38" s="84"/>
      <c r="G38" s="85">
        <f t="shared" si="6"/>
        <v>0</v>
      </c>
      <c r="H38" s="102"/>
      <c r="I38" s="74"/>
      <c r="J38" s="86">
        <v>0.33333333333333331</v>
      </c>
      <c r="K38" s="81">
        <f t="shared" si="3"/>
        <v>0</v>
      </c>
      <c r="L38" s="82" t="str">
        <f t="shared" si="4"/>
        <v>-08:00</v>
      </c>
      <c r="M38" s="87"/>
    </row>
    <row r="39" spans="2:13" s="43" customFormat="1" ht="15" thickBot="1" x14ac:dyDescent="0.35">
      <c r="B39" s="93">
        <f t="shared" si="2"/>
        <v>43069</v>
      </c>
      <c r="C39" s="84"/>
      <c r="D39" s="84"/>
      <c r="E39" s="84">
        <f t="shared" si="5"/>
        <v>0</v>
      </c>
      <c r="F39" s="84"/>
      <c r="G39" s="85">
        <f t="shared" si="6"/>
        <v>0</v>
      </c>
      <c r="H39" s="105"/>
      <c r="I39" s="74"/>
      <c r="J39" s="86">
        <v>0.33333333333333331</v>
      </c>
      <c r="K39" s="81">
        <f t="shared" si="3"/>
        <v>0</v>
      </c>
      <c r="L39" s="82" t="str">
        <f t="shared" si="4"/>
        <v>-08:00</v>
      </c>
      <c r="M39" s="87"/>
    </row>
    <row r="40" spans="2:13" s="29" customFormat="1" ht="18.600000000000001" thickBot="1" x14ac:dyDescent="0.35">
      <c r="B40" s="76" t="s">
        <v>2</v>
      </c>
      <c r="C40" s="72"/>
      <c r="D40" s="72"/>
      <c r="E40" s="77"/>
      <c r="F40" s="78"/>
      <c r="G40" s="77">
        <f>SUM(G10:G39)</f>
        <v>0</v>
      </c>
      <c r="H40" s="103"/>
      <c r="I40" s="74"/>
      <c r="J40" s="75">
        <f>SUM(J10:J39)</f>
        <v>4.6666666666666661</v>
      </c>
      <c r="K40" s="75">
        <f>SUM(K10:K39)</f>
        <v>0</v>
      </c>
      <c r="L40" s="75" t="str">
        <f>IF(K40&lt;J40,TEXT((ABS(K40-J40)),"-[h]:mm"),IF(K40=J40,"",K40-J40))</f>
        <v>-112:00</v>
      </c>
    </row>
    <row r="41" spans="2:13" ht="15" thickBot="1" x14ac:dyDescent="0.35">
      <c r="J41" s="19"/>
    </row>
    <row r="42" spans="2:13" x14ac:dyDescent="0.3">
      <c r="G42" s="116" t="s">
        <v>48</v>
      </c>
      <c r="H42" s="117"/>
    </row>
    <row r="43" spans="2:13" ht="15" thickBot="1" x14ac:dyDescent="0.35">
      <c r="G43" s="118"/>
      <c r="H43" s="119"/>
    </row>
    <row r="44" spans="2:13" ht="64.95" customHeight="1" thickBot="1" x14ac:dyDescent="0.35">
      <c r="G44" s="109" t="s">
        <v>49</v>
      </c>
      <c r="H44" s="104"/>
    </row>
    <row r="45" spans="2:13" s="90" customFormat="1" ht="15" thickBot="1" x14ac:dyDescent="0.35">
      <c r="G45" s="89" t="s">
        <v>43</v>
      </c>
      <c r="H45" s="100" t="s">
        <v>44</v>
      </c>
      <c r="I45" s="91"/>
      <c r="J45" s="91"/>
      <c r="K45" s="91"/>
      <c r="L45" s="91"/>
    </row>
  </sheetData>
  <mergeCells count="8">
    <mergeCell ref="L7:L9"/>
    <mergeCell ref="G42:H43"/>
    <mergeCell ref="B2:G2"/>
    <mergeCell ref="B4:B5"/>
    <mergeCell ref="C4:D5"/>
    <mergeCell ref="B6:B7"/>
    <mergeCell ref="J7:J9"/>
    <mergeCell ref="K7:K9"/>
  </mergeCells>
  <pageMargins left="0.25" right="0.25" top="0.75" bottom="0.75" header="0.3" footer="0.3"/>
  <pageSetup paperSize="9" scale="62" fitToHeight="0" orientation="portrait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70C0"/>
    <outlinePr summaryBelow="0" summaryRight="0"/>
    <pageSetUpPr fitToPage="1"/>
  </sheetPr>
  <dimension ref="B2:N46"/>
  <sheetViews>
    <sheetView topLeftCell="A28" workbookViewId="0">
      <selection activeCell="A45" sqref="A45:XFD45"/>
    </sheetView>
  </sheetViews>
  <sheetFormatPr defaultColWidth="9.109375" defaultRowHeight="14.4" x14ac:dyDescent="0.3"/>
  <cols>
    <col min="1" max="1" width="3.6640625" style="1" customWidth="1"/>
    <col min="2" max="2" width="14.6640625" style="1" customWidth="1"/>
    <col min="3" max="6" width="12.6640625" style="1" customWidth="1"/>
    <col min="7" max="7" width="14.6640625" style="3" customWidth="1"/>
    <col min="8" max="8" width="50.6640625" style="96" customWidth="1"/>
    <col min="9" max="9" width="3" style="3" customWidth="1"/>
    <col min="10" max="12" width="7.6640625" style="3" hidden="1" customWidth="1"/>
    <col min="13" max="13" width="9.109375" style="1"/>
    <col min="14" max="14" width="12.44140625" style="1" customWidth="1"/>
    <col min="15" max="16384" width="9.109375" style="1"/>
  </cols>
  <sheetData>
    <row r="2" spans="2:14" ht="64.95" customHeight="1" x14ac:dyDescent="0.3">
      <c r="B2" s="120" t="s">
        <v>38</v>
      </c>
      <c r="C2" s="121"/>
      <c r="D2" s="121"/>
      <c r="E2" s="121"/>
      <c r="F2" s="121"/>
      <c r="G2" s="121"/>
    </row>
    <row r="3" spans="2:14" ht="15" thickBot="1" x14ac:dyDescent="0.35">
      <c r="B3" s="4"/>
      <c r="G3" s="1"/>
    </row>
    <row r="4" spans="2:14" ht="19.95" customHeight="1" thickBot="1" x14ac:dyDescent="0.35">
      <c r="B4" s="122" t="s">
        <v>5</v>
      </c>
      <c r="C4" s="124" t="s">
        <v>46</v>
      </c>
      <c r="D4" s="124"/>
      <c r="E4" s="61"/>
      <c r="F4" s="64"/>
      <c r="G4" s="68" t="s">
        <v>39</v>
      </c>
      <c r="H4" s="97" t="s">
        <v>40</v>
      </c>
    </row>
    <row r="5" spans="2:14" ht="19.95" customHeight="1" thickBot="1" x14ac:dyDescent="0.35">
      <c r="B5" s="123"/>
      <c r="C5" s="125"/>
      <c r="D5" s="125"/>
      <c r="E5" s="8"/>
      <c r="F5" s="67"/>
      <c r="G5" s="69" t="s">
        <v>41</v>
      </c>
      <c r="H5" s="98" t="s">
        <v>42</v>
      </c>
    </row>
    <row r="6" spans="2:14" ht="19.95" customHeight="1" thickBot="1" x14ac:dyDescent="0.35">
      <c r="B6" s="126" t="s">
        <v>43</v>
      </c>
      <c r="C6" s="66" t="s">
        <v>44</v>
      </c>
      <c r="D6" s="8"/>
      <c r="E6" s="8"/>
      <c r="F6" s="67"/>
      <c r="G6" s="69" t="s">
        <v>7</v>
      </c>
      <c r="H6" s="99" t="s">
        <v>68</v>
      </c>
    </row>
    <row r="7" spans="2:14" ht="19.95" customHeight="1" thickBot="1" x14ac:dyDescent="0.35">
      <c r="B7" s="123"/>
      <c r="C7" s="62" t="s">
        <v>45</v>
      </c>
      <c r="D7" s="63"/>
      <c r="E7" s="63"/>
      <c r="F7" s="65"/>
      <c r="G7" s="70" t="s">
        <v>36</v>
      </c>
      <c r="H7" s="100" t="s">
        <v>56</v>
      </c>
      <c r="J7" s="113" t="s">
        <v>16</v>
      </c>
      <c r="K7" s="113" t="s">
        <v>17</v>
      </c>
      <c r="L7" s="113" t="s">
        <v>18</v>
      </c>
    </row>
    <row r="8" spans="2:14" ht="15" thickBot="1" x14ac:dyDescent="0.35">
      <c r="J8" s="114"/>
      <c r="K8" s="114"/>
      <c r="L8" s="114"/>
    </row>
    <row r="9" spans="2:14" ht="29.4" thickBot="1" x14ac:dyDescent="0.35">
      <c r="B9" s="71" t="s">
        <v>1</v>
      </c>
      <c r="C9" s="72" t="s">
        <v>12</v>
      </c>
      <c r="D9" s="72" t="s">
        <v>13</v>
      </c>
      <c r="E9" s="72" t="s">
        <v>0</v>
      </c>
      <c r="F9" s="72" t="s">
        <v>15</v>
      </c>
      <c r="G9" s="73" t="s">
        <v>37</v>
      </c>
      <c r="H9" s="95" t="s">
        <v>47</v>
      </c>
      <c r="J9" s="115"/>
      <c r="K9" s="115"/>
      <c r="L9" s="115"/>
    </row>
    <row r="10" spans="2:14" s="43" customFormat="1" x14ac:dyDescent="0.3">
      <c r="B10" s="92">
        <v>43070</v>
      </c>
      <c r="C10" s="84"/>
      <c r="D10" s="84"/>
      <c r="E10" s="84">
        <f t="shared" ref="E10:E27" si="0">D10-C10</f>
        <v>0</v>
      </c>
      <c r="F10" s="84"/>
      <c r="G10" s="79">
        <f t="shared" ref="G10:G26" si="1">E10-F10</f>
        <v>0</v>
      </c>
      <c r="H10" s="101"/>
      <c r="I10" s="74"/>
      <c r="J10" s="80"/>
      <c r="K10" s="81">
        <f>G10</f>
        <v>0</v>
      </c>
      <c r="L10" s="82" t="str">
        <f>IF(K10&lt;J10,TEXT((ABS(K10-J10)),"-hh:mm"),IF(K10=J10,"",K10-J10))</f>
        <v/>
      </c>
    </row>
    <row r="11" spans="2:14" s="43" customFormat="1" x14ac:dyDescent="0.3">
      <c r="B11" s="93">
        <f t="shared" ref="B11:B40" si="2">B10+1</f>
        <v>43071</v>
      </c>
      <c r="C11" s="84"/>
      <c r="D11" s="84"/>
      <c r="E11" s="84">
        <f t="shared" si="0"/>
        <v>0</v>
      </c>
      <c r="F11" s="84"/>
      <c r="G11" s="85">
        <f t="shared" si="1"/>
        <v>0</v>
      </c>
      <c r="H11" s="102"/>
      <c r="I11" s="74"/>
      <c r="J11" s="86"/>
      <c r="K11" s="81">
        <f t="shared" ref="K11:K40" si="3">G11</f>
        <v>0</v>
      </c>
      <c r="L11" s="82" t="str">
        <f t="shared" ref="L11:L40" si="4">IF(K11&lt;J11,TEXT((ABS(K11-J11)),"-hh:mm"),IF(K11=J11,"",K11-J11))</f>
        <v/>
      </c>
    </row>
    <row r="12" spans="2:14" s="43" customFormat="1" x14ac:dyDescent="0.3">
      <c r="B12" s="93">
        <f t="shared" si="2"/>
        <v>43072</v>
      </c>
      <c r="C12" s="83"/>
      <c r="D12" s="83"/>
      <c r="E12" s="84">
        <f t="shared" si="0"/>
        <v>0</v>
      </c>
      <c r="F12" s="83"/>
      <c r="G12" s="85">
        <f t="shared" si="1"/>
        <v>0</v>
      </c>
      <c r="H12" s="102"/>
      <c r="I12" s="74"/>
      <c r="J12" s="86"/>
      <c r="K12" s="81">
        <f t="shared" si="3"/>
        <v>0</v>
      </c>
      <c r="L12" s="82" t="str">
        <f t="shared" si="4"/>
        <v/>
      </c>
      <c r="N12" s="94"/>
    </row>
    <row r="13" spans="2:14" s="43" customFormat="1" x14ac:dyDescent="0.3">
      <c r="B13" s="93">
        <f t="shared" si="2"/>
        <v>43073</v>
      </c>
      <c r="C13" s="84"/>
      <c r="D13" s="84"/>
      <c r="E13" s="84">
        <f t="shared" si="0"/>
        <v>0</v>
      </c>
      <c r="F13" s="84"/>
      <c r="G13" s="85">
        <f t="shared" si="1"/>
        <v>0</v>
      </c>
      <c r="H13" s="102"/>
      <c r="I13" s="74"/>
      <c r="J13" s="86"/>
      <c r="K13" s="81">
        <f t="shared" si="3"/>
        <v>0</v>
      </c>
      <c r="L13" s="82" t="str">
        <f t="shared" si="4"/>
        <v/>
      </c>
    </row>
    <row r="14" spans="2:14" s="43" customFormat="1" x14ac:dyDescent="0.3">
      <c r="B14" s="93">
        <f t="shared" si="2"/>
        <v>43074</v>
      </c>
      <c r="C14" s="84"/>
      <c r="D14" s="84"/>
      <c r="E14" s="84">
        <f t="shared" si="0"/>
        <v>0</v>
      </c>
      <c r="F14" s="84"/>
      <c r="G14" s="85">
        <f t="shared" si="1"/>
        <v>0</v>
      </c>
      <c r="H14" s="102"/>
      <c r="I14" s="74"/>
      <c r="J14" s="86"/>
      <c r="K14" s="81">
        <f t="shared" si="3"/>
        <v>0</v>
      </c>
      <c r="L14" s="82" t="str">
        <f t="shared" si="4"/>
        <v/>
      </c>
    </row>
    <row r="15" spans="2:14" s="43" customFormat="1" x14ac:dyDescent="0.3">
      <c r="B15" s="93">
        <f t="shared" si="2"/>
        <v>43075</v>
      </c>
      <c r="C15" s="84"/>
      <c r="D15" s="84"/>
      <c r="E15" s="84">
        <f t="shared" si="0"/>
        <v>0</v>
      </c>
      <c r="F15" s="84"/>
      <c r="G15" s="85">
        <f t="shared" si="1"/>
        <v>0</v>
      </c>
      <c r="H15" s="102"/>
      <c r="I15" s="74"/>
      <c r="J15" s="86">
        <v>0.33333333333333331</v>
      </c>
      <c r="K15" s="81">
        <f t="shared" si="3"/>
        <v>0</v>
      </c>
      <c r="L15" s="82" t="str">
        <f t="shared" si="4"/>
        <v>-08:00</v>
      </c>
      <c r="M15" s="87"/>
    </row>
    <row r="16" spans="2:14" s="43" customFormat="1" x14ac:dyDescent="0.3">
      <c r="B16" s="93">
        <f t="shared" si="2"/>
        <v>43076</v>
      </c>
      <c r="C16" s="84"/>
      <c r="D16" s="84"/>
      <c r="E16" s="84">
        <f t="shared" si="0"/>
        <v>0</v>
      </c>
      <c r="F16" s="84"/>
      <c r="G16" s="85">
        <f t="shared" si="1"/>
        <v>0</v>
      </c>
      <c r="H16" s="102"/>
      <c r="I16" s="74"/>
      <c r="J16" s="86">
        <v>0.33333333333333331</v>
      </c>
      <c r="K16" s="81">
        <f t="shared" si="3"/>
        <v>0</v>
      </c>
      <c r="L16" s="82" t="str">
        <f t="shared" si="4"/>
        <v>-08:00</v>
      </c>
      <c r="M16" s="87"/>
    </row>
    <row r="17" spans="2:14" s="43" customFormat="1" x14ac:dyDescent="0.3">
      <c r="B17" s="93">
        <f t="shared" si="2"/>
        <v>43077</v>
      </c>
      <c r="C17" s="84"/>
      <c r="D17" s="84"/>
      <c r="E17" s="84">
        <f t="shared" si="0"/>
        <v>0</v>
      </c>
      <c r="F17" s="84"/>
      <c r="G17" s="85">
        <f t="shared" si="1"/>
        <v>0</v>
      </c>
      <c r="H17" s="102"/>
      <c r="I17" s="74"/>
      <c r="J17" s="86"/>
      <c r="K17" s="81">
        <f t="shared" si="3"/>
        <v>0</v>
      </c>
      <c r="L17" s="82" t="str">
        <f t="shared" si="4"/>
        <v/>
      </c>
      <c r="M17" s="87"/>
    </row>
    <row r="18" spans="2:14" s="43" customFormat="1" x14ac:dyDescent="0.3">
      <c r="B18" s="93">
        <f t="shared" si="2"/>
        <v>43078</v>
      </c>
      <c r="C18" s="84"/>
      <c r="D18" s="84"/>
      <c r="E18" s="84">
        <f t="shared" si="0"/>
        <v>0</v>
      </c>
      <c r="F18" s="84"/>
      <c r="G18" s="85">
        <f t="shared" si="1"/>
        <v>0</v>
      </c>
      <c r="H18" s="102"/>
      <c r="I18" s="74"/>
      <c r="J18" s="86"/>
      <c r="K18" s="81">
        <f t="shared" si="3"/>
        <v>0</v>
      </c>
      <c r="L18" s="82" t="str">
        <f t="shared" si="4"/>
        <v/>
      </c>
      <c r="M18" s="87"/>
    </row>
    <row r="19" spans="2:14" s="43" customFormat="1" x14ac:dyDescent="0.3">
      <c r="B19" s="93">
        <f t="shared" si="2"/>
        <v>43079</v>
      </c>
      <c r="C19" s="84"/>
      <c r="D19" s="84"/>
      <c r="E19" s="84">
        <f t="shared" si="0"/>
        <v>0</v>
      </c>
      <c r="F19" s="84"/>
      <c r="G19" s="85">
        <f t="shared" si="1"/>
        <v>0</v>
      </c>
      <c r="H19" s="102"/>
      <c r="I19" s="74"/>
      <c r="J19" s="86"/>
      <c r="K19" s="81">
        <f t="shared" si="3"/>
        <v>0</v>
      </c>
      <c r="L19" s="82" t="str">
        <f t="shared" si="4"/>
        <v/>
      </c>
      <c r="M19" s="87"/>
    </row>
    <row r="20" spans="2:14" s="43" customFormat="1" x14ac:dyDescent="0.3">
      <c r="B20" s="93">
        <f t="shared" si="2"/>
        <v>43080</v>
      </c>
      <c r="C20" s="84"/>
      <c r="D20" s="84"/>
      <c r="E20" s="84">
        <f t="shared" si="0"/>
        <v>0</v>
      </c>
      <c r="F20" s="84"/>
      <c r="G20" s="85">
        <f t="shared" si="1"/>
        <v>0</v>
      </c>
      <c r="H20" s="102"/>
      <c r="I20" s="74"/>
      <c r="J20" s="86"/>
      <c r="K20" s="81">
        <f t="shared" si="3"/>
        <v>0</v>
      </c>
      <c r="L20" s="82" t="str">
        <f t="shared" si="4"/>
        <v/>
      </c>
      <c r="M20" s="87"/>
    </row>
    <row r="21" spans="2:14" s="43" customFormat="1" x14ac:dyDescent="0.3">
      <c r="B21" s="93">
        <f t="shared" si="2"/>
        <v>43081</v>
      </c>
      <c r="C21" s="84"/>
      <c r="D21" s="84"/>
      <c r="E21" s="84">
        <f t="shared" si="0"/>
        <v>0</v>
      </c>
      <c r="F21" s="84"/>
      <c r="G21" s="85">
        <f t="shared" si="1"/>
        <v>0</v>
      </c>
      <c r="H21" s="102"/>
      <c r="I21" s="74"/>
      <c r="J21" s="86"/>
      <c r="K21" s="81">
        <f t="shared" si="3"/>
        <v>0</v>
      </c>
      <c r="L21" s="82" t="str">
        <f t="shared" si="4"/>
        <v/>
      </c>
      <c r="M21" s="87"/>
    </row>
    <row r="22" spans="2:14" s="43" customFormat="1" x14ac:dyDescent="0.3">
      <c r="B22" s="93">
        <f t="shared" si="2"/>
        <v>43082</v>
      </c>
      <c r="C22" s="84"/>
      <c r="D22" s="84"/>
      <c r="E22" s="84">
        <f t="shared" si="0"/>
        <v>0</v>
      </c>
      <c r="F22" s="84"/>
      <c r="G22" s="85">
        <f t="shared" si="1"/>
        <v>0</v>
      </c>
      <c r="H22" s="102"/>
      <c r="I22" s="74"/>
      <c r="J22" s="86">
        <v>0.33333333333333331</v>
      </c>
      <c r="K22" s="81">
        <f t="shared" si="3"/>
        <v>0</v>
      </c>
      <c r="L22" s="82" t="str">
        <f t="shared" si="4"/>
        <v>-08:00</v>
      </c>
      <c r="M22" s="87"/>
      <c r="N22" s="88"/>
    </row>
    <row r="23" spans="2:14" s="43" customFormat="1" x14ac:dyDescent="0.3">
      <c r="B23" s="93">
        <f t="shared" si="2"/>
        <v>43083</v>
      </c>
      <c r="C23" s="84"/>
      <c r="D23" s="84"/>
      <c r="E23" s="84">
        <f t="shared" si="0"/>
        <v>0</v>
      </c>
      <c r="F23" s="84"/>
      <c r="G23" s="85">
        <f t="shared" si="1"/>
        <v>0</v>
      </c>
      <c r="H23" s="102"/>
      <c r="I23" s="74"/>
      <c r="J23" s="86">
        <v>0.33333333333333331</v>
      </c>
      <c r="K23" s="81">
        <f t="shared" si="3"/>
        <v>0</v>
      </c>
      <c r="L23" s="82" t="str">
        <f t="shared" si="4"/>
        <v>-08:00</v>
      </c>
      <c r="M23" s="87"/>
      <c r="N23" s="88"/>
    </row>
    <row r="24" spans="2:14" s="43" customFormat="1" x14ac:dyDescent="0.3">
      <c r="B24" s="93">
        <f t="shared" si="2"/>
        <v>43084</v>
      </c>
      <c r="C24" s="84"/>
      <c r="D24" s="84"/>
      <c r="E24" s="84">
        <f t="shared" si="0"/>
        <v>0</v>
      </c>
      <c r="F24" s="84"/>
      <c r="G24" s="85">
        <f t="shared" si="1"/>
        <v>0</v>
      </c>
      <c r="H24" s="102"/>
      <c r="I24" s="74"/>
      <c r="J24" s="86">
        <v>0.33333333333333331</v>
      </c>
      <c r="K24" s="81">
        <f t="shared" si="3"/>
        <v>0</v>
      </c>
      <c r="L24" s="82" t="str">
        <f t="shared" si="4"/>
        <v>-08:00</v>
      </c>
      <c r="M24" s="87"/>
      <c r="N24" s="88"/>
    </row>
    <row r="25" spans="2:14" s="43" customFormat="1" x14ac:dyDescent="0.3">
      <c r="B25" s="93">
        <f t="shared" si="2"/>
        <v>43085</v>
      </c>
      <c r="C25" s="84"/>
      <c r="D25" s="84"/>
      <c r="E25" s="84">
        <f t="shared" si="0"/>
        <v>0</v>
      </c>
      <c r="F25" s="84"/>
      <c r="G25" s="85">
        <f t="shared" si="1"/>
        <v>0</v>
      </c>
      <c r="H25" s="102"/>
      <c r="I25" s="74"/>
      <c r="J25" s="86">
        <v>0.33333333333333331</v>
      </c>
      <c r="K25" s="81">
        <f t="shared" si="3"/>
        <v>0</v>
      </c>
      <c r="L25" s="82" t="str">
        <f t="shared" si="4"/>
        <v>-08:00</v>
      </c>
      <c r="M25" s="87"/>
      <c r="N25" s="88"/>
    </row>
    <row r="26" spans="2:14" s="43" customFormat="1" x14ac:dyDescent="0.3">
      <c r="B26" s="93">
        <f t="shared" si="2"/>
        <v>43086</v>
      </c>
      <c r="C26" s="84"/>
      <c r="D26" s="84"/>
      <c r="E26" s="84">
        <f t="shared" si="0"/>
        <v>0</v>
      </c>
      <c r="F26" s="84"/>
      <c r="G26" s="85">
        <f t="shared" si="1"/>
        <v>0</v>
      </c>
      <c r="H26" s="102"/>
      <c r="I26" s="74"/>
      <c r="J26" s="86"/>
      <c r="K26" s="81">
        <f t="shared" si="3"/>
        <v>0</v>
      </c>
      <c r="L26" s="82" t="str">
        <f t="shared" si="4"/>
        <v/>
      </c>
      <c r="M26" s="87"/>
      <c r="N26" s="88"/>
    </row>
    <row r="27" spans="2:14" s="43" customFormat="1" x14ac:dyDescent="0.3">
      <c r="B27" s="93">
        <f t="shared" si="2"/>
        <v>43087</v>
      </c>
      <c r="C27" s="84"/>
      <c r="D27" s="84"/>
      <c r="E27" s="84">
        <f t="shared" si="0"/>
        <v>0</v>
      </c>
      <c r="F27" s="84"/>
      <c r="G27" s="85">
        <f>E27-F27</f>
        <v>0</v>
      </c>
      <c r="H27" s="102"/>
      <c r="I27" s="74"/>
      <c r="J27" s="86"/>
      <c r="K27" s="81">
        <f t="shared" si="3"/>
        <v>0</v>
      </c>
      <c r="L27" s="82" t="str">
        <f t="shared" si="4"/>
        <v/>
      </c>
      <c r="M27" s="87"/>
      <c r="N27" s="88"/>
    </row>
    <row r="28" spans="2:14" s="43" customFormat="1" x14ac:dyDescent="0.3">
      <c r="B28" s="93">
        <f t="shared" si="2"/>
        <v>43088</v>
      </c>
      <c r="C28" s="84"/>
      <c r="D28" s="84"/>
      <c r="E28" s="84">
        <f>D28-C28</f>
        <v>0</v>
      </c>
      <c r="F28" s="84"/>
      <c r="G28" s="85">
        <f>E28-F28</f>
        <v>0</v>
      </c>
      <c r="H28" s="102"/>
      <c r="I28" s="74"/>
      <c r="J28" s="86"/>
      <c r="K28" s="81">
        <f t="shared" si="3"/>
        <v>0</v>
      </c>
      <c r="L28" s="82" t="str">
        <f t="shared" si="4"/>
        <v/>
      </c>
      <c r="M28" s="87"/>
      <c r="N28" s="88"/>
    </row>
    <row r="29" spans="2:14" s="43" customFormat="1" x14ac:dyDescent="0.3">
      <c r="B29" s="93">
        <f t="shared" si="2"/>
        <v>43089</v>
      </c>
      <c r="C29" s="84"/>
      <c r="D29" s="84"/>
      <c r="E29" s="84">
        <f t="shared" ref="E29:E40" si="5">D29-C29</f>
        <v>0</v>
      </c>
      <c r="F29" s="84"/>
      <c r="G29" s="85">
        <f t="shared" ref="G29:G40" si="6">E29-F29</f>
        <v>0</v>
      </c>
      <c r="H29" s="102"/>
      <c r="I29" s="74"/>
      <c r="J29" s="86">
        <v>0.33333333333333331</v>
      </c>
      <c r="K29" s="81">
        <f t="shared" si="3"/>
        <v>0</v>
      </c>
      <c r="L29" s="82" t="str">
        <f t="shared" si="4"/>
        <v>-08:00</v>
      </c>
      <c r="M29" s="87"/>
      <c r="N29" s="88"/>
    </row>
    <row r="30" spans="2:14" s="43" customFormat="1" x14ac:dyDescent="0.3">
      <c r="B30" s="93">
        <f t="shared" si="2"/>
        <v>43090</v>
      </c>
      <c r="C30" s="84"/>
      <c r="D30" s="84"/>
      <c r="E30" s="84">
        <f t="shared" si="5"/>
        <v>0</v>
      </c>
      <c r="F30" s="84"/>
      <c r="G30" s="85">
        <f t="shared" si="6"/>
        <v>0</v>
      </c>
      <c r="H30" s="102"/>
      <c r="I30" s="74"/>
      <c r="J30" s="86">
        <v>0.33333333333333331</v>
      </c>
      <c r="K30" s="81">
        <f t="shared" si="3"/>
        <v>0</v>
      </c>
      <c r="L30" s="82" t="str">
        <f t="shared" si="4"/>
        <v>-08:00</v>
      </c>
      <c r="M30" s="87"/>
      <c r="N30" s="88"/>
    </row>
    <row r="31" spans="2:14" s="43" customFormat="1" x14ac:dyDescent="0.3">
      <c r="B31" s="93">
        <f t="shared" si="2"/>
        <v>43091</v>
      </c>
      <c r="C31" s="84"/>
      <c r="D31" s="84"/>
      <c r="E31" s="84">
        <f t="shared" si="5"/>
        <v>0</v>
      </c>
      <c r="F31" s="84"/>
      <c r="G31" s="85">
        <f t="shared" si="6"/>
        <v>0</v>
      </c>
      <c r="H31" s="102"/>
      <c r="I31" s="74"/>
      <c r="J31" s="86">
        <v>0.33333333333333331</v>
      </c>
      <c r="K31" s="81">
        <f t="shared" si="3"/>
        <v>0</v>
      </c>
      <c r="L31" s="82" t="str">
        <f t="shared" si="4"/>
        <v>-08:00</v>
      </c>
      <c r="M31" s="87"/>
    </row>
    <row r="32" spans="2:14" s="43" customFormat="1" x14ac:dyDescent="0.3">
      <c r="B32" s="93">
        <f t="shared" si="2"/>
        <v>43092</v>
      </c>
      <c r="C32" s="84"/>
      <c r="D32" s="84"/>
      <c r="E32" s="84">
        <f t="shared" si="5"/>
        <v>0</v>
      </c>
      <c r="F32" s="84"/>
      <c r="G32" s="85">
        <f t="shared" si="6"/>
        <v>0</v>
      </c>
      <c r="H32" s="102"/>
      <c r="I32" s="74"/>
      <c r="J32" s="86">
        <v>0.33333333333333331</v>
      </c>
      <c r="K32" s="81">
        <f t="shared" si="3"/>
        <v>0</v>
      </c>
      <c r="L32" s="82" t="str">
        <f t="shared" si="4"/>
        <v>-08:00</v>
      </c>
      <c r="M32" s="87"/>
    </row>
    <row r="33" spans="2:13" s="43" customFormat="1" x14ac:dyDescent="0.3">
      <c r="B33" s="93">
        <f t="shared" si="2"/>
        <v>43093</v>
      </c>
      <c r="C33" s="84"/>
      <c r="D33" s="84"/>
      <c r="E33" s="84">
        <f t="shared" si="5"/>
        <v>0</v>
      </c>
      <c r="F33" s="84"/>
      <c r="G33" s="85">
        <f t="shared" si="6"/>
        <v>0</v>
      </c>
      <c r="H33" s="102"/>
      <c r="I33" s="74"/>
      <c r="J33" s="86">
        <v>0</v>
      </c>
      <c r="K33" s="81">
        <f t="shared" si="3"/>
        <v>0</v>
      </c>
      <c r="L33" s="82" t="str">
        <f t="shared" si="4"/>
        <v/>
      </c>
      <c r="M33" s="87"/>
    </row>
    <row r="34" spans="2:13" s="43" customFormat="1" x14ac:dyDescent="0.3">
      <c r="B34" s="93">
        <f t="shared" si="2"/>
        <v>43094</v>
      </c>
      <c r="C34" s="84"/>
      <c r="D34" s="84"/>
      <c r="E34" s="84">
        <f t="shared" si="5"/>
        <v>0</v>
      </c>
      <c r="F34" s="84"/>
      <c r="G34" s="85">
        <f t="shared" si="6"/>
        <v>0</v>
      </c>
      <c r="H34" s="102"/>
      <c r="I34" s="74"/>
      <c r="J34" s="86"/>
      <c r="K34" s="81">
        <f t="shared" si="3"/>
        <v>0</v>
      </c>
      <c r="L34" s="82" t="str">
        <f t="shared" si="4"/>
        <v/>
      </c>
      <c r="M34" s="87"/>
    </row>
    <row r="35" spans="2:13" s="43" customFormat="1" x14ac:dyDescent="0.3">
      <c r="B35" s="93">
        <f t="shared" si="2"/>
        <v>43095</v>
      </c>
      <c r="C35" s="84"/>
      <c r="D35" s="84"/>
      <c r="E35" s="84">
        <f t="shared" si="5"/>
        <v>0</v>
      </c>
      <c r="F35" s="84"/>
      <c r="G35" s="85">
        <f t="shared" si="6"/>
        <v>0</v>
      </c>
      <c r="H35" s="102"/>
      <c r="I35" s="74"/>
      <c r="J35" s="86"/>
      <c r="K35" s="81">
        <f t="shared" si="3"/>
        <v>0</v>
      </c>
      <c r="L35" s="82" t="str">
        <f t="shared" si="4"/>
        <v/>
      </c>
      <c r="M35" s="87"/>
    </row>
    <row r="36" spans="2:13" s="43" customFormat="1" x14ac:dyDescent="0.3">
      <c r="B36" s="93">
        <f t="shared" si="2"/>
        <v>43096</v>
      </c>
      <c r="C36" s="84"/>
      <c r="D36" s="84"/>
      <c r="E36" s="84">
        <f t="shared" si="5"/>
        <v>0</v>
      </c>
      <c r="F36" s="84"/>
      <c r="G36" s="85">
        <f t="shared" si="6"/>
        <v>0</v>
      </c>
      <c r="H36" s="102"/>
      <c r="I36" s="74"/>
      <c r="J36" s="86">
        <v>0.33333333333333331</v>
      </c>
      <c r="K36" s="81">
        <f t="shared" si="3"/>
        <v>0</v>
      </c>
      <c r="L36" s="82" t="str">
        <f t="shared" si="4"/>
        <v>-08:00</v>
      </c>
      <c r="M36" s="87"/>
    </row>
    <row r="37" spans="2:13" s="43" customFormat="1" x14ac:dyDescent="0.3">
      <c r="B37" s="93">
        <f t="shared" si="2"/>
        <v>43097</v>
      </c>
      <c r="C37" s="84"/>
      <c r="D37" s="84"/>
      <c r="E37" s="84">
        <f t="shared" si="5"/>
        <v>0</v>
      </c>
      <c r="F37" s="84"/>
      <c r="G37" s="85">
        <f t="shared" si="6"/>
        <v>0</v>
      </c>
      <c r="H37" s="102"/>
      <c r="I37" s="74"/>
      <c r="J37" s="86">
        <v>0.33333333333333331</v>
      </c>
      <c r="K37" s="81">
        <f t="shared" si="3"/>
        <v>0</v>
      </c>
      <c r="L37" s="82" t="str">
        <f t="shared" si="4"/>
        <v>-08:00</v>
      </c>
      <c r="M37" s="87"/>
    </row>
    <row r="38" spans="2:13" s="43" customFormat="1" x14ac:dyDescent="0.3">
      <c r="B38" s="93">
        <f t="shared" si="2"/>
        <v>43098</v>
      </c>
      <c r="C38" s="84"/>
      <c r="D38" s="84"/>
      <c r="E38" s="84">
        <f t="shared" si="5"/>
        <v>0</v>
      </c>
      <c r="F38" s="84"/>
      <c r="G38" s="85">
        <f t="shared" si="6"/>
        <v>0</v>
      </c>
      <c r="H38" s="102"/>
      <c r="I38" s="74"/>
      <c r="J38" s="86">
        <v>0.33333333333333331</v>
      </c>
      <c r="K38" s="81">
        <f t="shared" si="3"/>
        <v>0</v>
      </c>
      <c r="L38" s="82" t="str">
        <f t="shared" si="4"/>
        <v>-08:00</v>
      </c>
      <c r="M38" s="87"/>
    </row>
    <row r="39" spans="2:13" s="43" customFormat="1" x14ac:dyDescent="0.3">
      <c r="B39" s="93">
        <f t="shared" si="2"/>
        <v>43099</v>
      </c>
      <c r="C39" s="84"/>
      <c r="D39" s="84"/>
      <c r="E39" s="84">
        <f t="shared" si="5"/>
        <v>0</v>
      </c>
      <c r="F39" s="84"/>
      <c r="G39" s="85">
        <f t="shared" si="6"/>
        <v>0</v>
      </c>
      <c r="H39" s="105"/>
      <c r="I39" s="74"/>
      <c r="J39" s="86">
        <v>0.33333333333333331</v>
      </c>
      <c r="K39" s="81">
        <f t="shared" si="3"/>
        <v>0</v>
      </c>
      <c r="L39" s="82" t="str">
        <f t="shared" si="4"/>
        <v>-08:00</v>
      </c>
      <c r="M39" s="87"/>
    </row>
    <row r="40" spans="2:13" s="43" customFormat="1" ht="15" thickBot="1" x14ac:dyDescent="0.35">
      <c r="B40" s="93">
        <f t="shared" si="2"/>
        <v>43100</v>
      </c>
      <c r="C40" s="84"/>
      <c r="D40" s="84"/>
      <c r="E40" s="84">
        <f t="shared" si="5"/>
        <v>0</v>
      </c>
      <c r="F40" s="84"/>
      <c r="G40" s="85">
        <f t="shared" si="6"/>
        <v>0</v>
      </c>
      <c r="H40" s="105"/>
      <c r="I40" s="74"/>
      <c r="J40" s="86">
        <v>0.33333333333333331</v>
      </c>
      <c r="K40" s="81">
        <f t="shared" si="3"/>
        <v>0</v>
      </c>
      <c r="L40" s="82" t="str">
        <f t="shared" si="4"/>
        <v>-08:00</v>
      </c>
      <c r="M40" s="87"/>
    </row>
    <row r="41" spans="2:13" s="29" customFormat="1" ht="18.600000000000001" thickBot="1" x14ac:dyDescent="0.35">
      <c r="B41" s="76" t="s">
        <v>2</v>
      </c>
      <c r="C41" s="72"/>
      <c r="D41" s="72"/>
      <c r="E41" s="77"/>
      <c r="F41" s="78"/>
      <c r="G41" s="77">
        <f>SUM(G10:G40)</f>
        <v>0</v>
      </c>
      <c r="H41" s="103"/>
      <c r="I41" s="74"/>
      <c r="J41" s="75">
        <f>SUM(J10:J40)</f>
        <v>4.9999999999999991</v>
      </c>
      <c r="K41" s="75">
        <f>SUM(K10:K40)</f>
        <v>0</v>
      </c>
      <c r="L41" s="75" t="str">
        <f>IF(K41&lt;J41,TEXT((ABS(K41-J41)),"-[h]:mm"),IF(K41=J41,"",K41-J41))</f>
        <v>-120:00</v>
      </c>
    </row>
    <row r="42" spans="2:13" ht="15" thickBot="1" x14ac:dyDescent="0.35">
      <c r="J42" s="19"/>
    </row>
    <row r="43" spans="2:13" x14ac:dyDescent="0.3">
      <c r="G43" s="116" t="s">
        <v>48</v>
      </c>
      <c r="H43" s="117"/>
    </row>
    <row r="44" spans="2:13" ht="15" thickBot="1" x14ac:dyDescent="0.35">
      <c r="G44" s="118"/>
      <c r="H44" s="119"/>
    </row>
    <row r="45" spans="2:13" ht="64.95" customHeight="1" thickBot="1" x14ac:dyDescent="0.35">
      <c r="G45" s="109" t="s">
        <v>49</v>
      </c>
      <c r="H45" s="104"/>
    </row>
    <row r="46" spans="2:13" s="90" customFormat="1" ht="15" thickBot="1" x14ac:dyDescent="0.35">
      <c r="G46" s="89" t="s">
        <v>43</v>
      </c>
      <c r="H46" s="100" t="s">
        <v>44</v>
      </c>
      <c r="I46" s="91"/>
      <c r="J46" s="91"/>
      <c r="K46" s="91"/>
      <c r="L46" s="91"/>
    </row>
  </sheetData>
  <mergeCells count="8">
    <mergeCell ref="L7:L9"/>
    <mergeCell ref="G43:H44"/>
    <mergeCell ref="B2:G2"/>
    <mergeCell ref="B4:B5"/>
    <mergeCell ref="C4:D5"/>
    <mergeCell ref="B6:B7"/>
    <mergeCell ref="J7:J9"/>
    <mergeCell ref="K7:K9"/>
  </mergeCells>
  <pageMargins left="0.25" right="0.25" top="0.75" bottom="0.75" header="0.3" footer="0.3"/>
  <pageSetup paperSize="9" scale="62" fitToHeight="0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14</vt:i4>
      </vt:variant>
    </vt:vector>
  </HeadingPairs>
  <TitlesOfParts>
    <vt:vector size="14" baseType="lpstr">
      <vt:lpstr>Consolidado</vt:lpstr>
      <vt:lpstr>DEZ-16</vt:lpstr>
      <vt:lpstr>JAN-17</vt:lpstr>
      <vt:lpstr>FEV-17</vt:lpstr>
      <vt:lpstr>MAR-17</vt:lpstr>
      <vt:lpstr>ABR-17</vt:lpstr>
      <vt:lpstr>MAI-17</vt:lpstr>
      <vt:lpstr>JUN-17</vt:lpstr>
      <vt:lpstr>JUL-17</vt:lpstr>
      <vt:lpstr>AGO-17</vt:lpstr>
      <vt:lpstr>SET-17</vt:lpstr>
      <vt:lpstr>OUT-17</vt:lpstr>
      <vt:lpstr>NOV-17</vt:lpstr>
      <vt:lpstr>DEZ-17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Maluf</dc:creator>
  <cp:lastModifiedBy>Chacon</cp:lastModifiedBy>
  <cp:lastPrinted>2016-09-28T20:04:16Z</cp:lastPrinted>
  <dcterms:created xsi:type="dcterms:W3CDTF">2011-04-20T21:15:05Z</dcterms:created>
  <dcterms:modified xsi:type="dcterms:W3CDTF">2017-01-10T18:06:09Z</dcterms:modified>
</cp:coreProperties>
</file>