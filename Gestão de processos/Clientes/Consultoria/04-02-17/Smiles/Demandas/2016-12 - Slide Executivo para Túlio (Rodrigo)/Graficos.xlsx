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Projetos\Smiles\Demandas\2016-12 - Slide Executivo para Túlio (Rodrigo)\"/>
    </mc:Choice>
  </mc:AlternateContent>
  <bookViews>
    <workbookView xWindow="0" yWindow="0" windowWidth="20490" windowHeight="882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1" l="1"/>
  <c r="E75" i="1"/>
  <c r="E74" i="1"/>
  <c r="E73" i="1"/>
  <c r="F76" i="1"/>
  <c r="F75" i="1"/>
  <c r="F74" i="1"/>
  <c r="F73" i="1"/>
</calcChain>
</file>

<file path=xl/sharedStrings.xml><?xml version="1.0" encoding="utf-8"?>
<sst xmlns="http://schemas.openxmlformats.org/spreadsheetml/2006/main" count="91" uniqueCount="23">
  <si>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</si>
  <si>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</si>
  <si>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</si>
  <si>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</si>
  <si>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</si>
  <si>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</si>
  <si>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</si>
  <si>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</si>
  <si>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</si>
  <si>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</si>
  <si>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</si>
  <si>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</si>
  <si>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backlog bruto</t>
  </si>
  <si>
    <t>backlog liquido</t>
  </si>
  <si>
    <t xml:space="preserve">SLA Resolução </t>
  </si>
  <si>
    <t>Volume chamados acumulados</t>
  </si>
  <si>
    <t>Q1</t>
  </si>
  <si>
    <t>Q2</t>
  </si>
  <si>
    <t>Q3</t>
  </si>
  <si>
    <t>Q4</t>
  </si>
  <si>
    <t>Resolvidos</t>
  </si>
  <si>
    <t>Reclamações</t>
  </si>
  <si>
    <t>Bugs Pendentes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</si>
</sst>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6600"/>
              </a:solidFill>
              <a:ln w="9525">
                <a:solidFill>
                  <a:srgbClr val="FF66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Planilha1!$A$1:$A$12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Planilha1!$B$1:$B$12</c:f>
              <c:numCache>
                <c:formatCode>General</c:formatCode>
                <c:ptCount val="12"/>
                <c:pt idx="0">
                  <c:v>464</c:v>
                </c:pt>
                <c:pt idx="1">
                  <c:v>911</c:v>
                </c:pt>
                <c:pt idx="2">
                  <c:v>1213</c:v>
                </c:pt>
                <c:pt idx="3">
                  <c:v>1520</c:v>
                </c:pt>
                <c:pt idx="4">
                  <c:v>1791</c:v>
                </c:pt>
                <c:pt idx="5">
                  <c:v>2073</c:v>
                </c:pt>
                <c:pt idx="6">
                  <c:v>2391</c:v>
                </c:pt>
                <c:pt idx="7">
                  <c:v>2651</c:v>
                </c:pt>
                <c:pt idx="8">
                  <c:v>2958</c:v>
                </c:pt>
                <c:pt idx="9">
                  <c:v>3261</c:v>
                </c:pt>
                <c:pt idx="10">
                  <c:v>3606</c:v>
                </c:pt>
                <c:pt idx="11">
                  <c:v>3836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6-49AA-91AD-2AE7387014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2279584"/>
        <c:axId val="332279912"/>
      </c:lineChart>
      <c:catAx>
        <c:axId val="3322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912"/>
        <c:crosses val="autoZero"/>
        <c:auto val="1"/>
        <c:lblAlgn val="ctr"/>
        <c:lblOffset val="100"/>
        <c:noMultiLvlLbl val="0"/>
      </c:catAx>
      <c:valAx>
        <c:axId val="33227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6600"/>
              </a:solidFill>
              <a:ln w="9525">
                <a:solidFill>
                  <a:srgbClr val="FF66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Planilha1!$A$15:$A$26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Planilha1!$B$15:$B$26</c:f>
              <c:numCache>
                <c:formatCode>0.00%</c:formatCode>
                <c:ptCount val="12"/>
                <c:pt idx="0">
                  <c:v>0.9012</c:v>
                </c:pt>
                <c:pt idx="1">
                  <c:v>0.85750000000000004</c:v>
                </c:pt>
                <c:pt idx="2">
                  <c:v>0.86119999999999997</c:v>
                </c:pt>
                <c:pt idx="3">
                  <c:v>0.86780000000000002</c:v>
                </c:pt>
                <c:pt idx="4">
                  <c:v>0.82950000000000002</c:v>
                </c:pt>
                <c:pt idx="5">
                  <c:v>0.92930000000000001</c:v>
                </c:pt>
                <c:pt idx="6">
                  <c:v>0.87460000000000004</c:v>
                </c:pt>
                <c:pt idx="7">
                  <c:v>0.89190000000000003</c:v>
                </c:pt>
                <c:pt idx="8">
                  <c:v>0.90549999999999997</c:v>
                </c:pt>
                <c:pt idx="9">
                  <c:v>0.95050000000000001</c:v>
                </c:pt>
                <c:pt idx="10">
                  <c:v>0.9597</c:v>
                </c:pt>
                <c:pt idx="11">
                  <c:v>0.95220000000000005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6-49AA-91AD-2AE7387014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2279584"/>
        <c:axId val="332279912"/>
      </c:lineChart>
      <c:catAx>
        <c:axId val="3322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912"/>
        <c:crosses val="autoZero"/>
        <c:auto val="1"/>
        <c:lblAlgn val="ctr"/>
        <c:lblOffset val="100"/>
        <c:noMultiLvlLbl val="0"/>
      </c:catAx>
      <c:valAx>
        <c:axId val="33227991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6600"/>
              </a:solidFill>
              <a:ln w="9525">
                <a:solidFill>
                  <a:srgbClr val="FF66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Planilha1!$A$30:$A$41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Planilha1!$B$30:$B$41</c:f>
              <c:numCache>
                <c:formatCode>General</c:formatCode>
                <c:ptCount val="12"/>
                <c:pt idx="0">
                  <c:v>85</c:v>
                </c:pt>
                <c:pt idx="1">
                  <c:v>72</c:v>
                </c:pt>
                <c:pt idx="2">
                  <c:v>54</c:v>
                </c:pt>
                <c:pt idx="3">
                  <c:v>55</c:v>
                </c:pt>
                <c:pt idx="4">
                  <c:v>59</c:v>
                </c:pt>
                <c:pt idx="5">
                  <c:v>64</c:v>
                </c:pt>
                <c:pt idx="6">
                  <c:v>75</c:v>
                </c:pt>
                <c:pt idx="7">
                  <c:v>56</c:v>
                </c:pt>
                <c:pt idx="8">
                  <c:v>64</c:v>
                </c:pt>
                <c:pt idx="9">
                  <c:v>56</c:v>
                </c:pt>
                <c:pt idx="10">
                  <c:v>35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6-49AA-91AD-2AE7387014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2279584"/>
        <c:axId val="332279912"/>
      </c:lineChart>
      <c:catAx>
        <c:axId val="3322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912"/>
        <c:crosses val="autoZero"/>
        <c:auto val="1"/>
        <c:lblAlgn val="ctr"/>
        <c:lblOffset val="100"/>
        <c:noMultiLvlLbl val="0"/>
      </c:catAx>
      <c:valAx>
        <c:axId val="33227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6600"/>
              </a:solidFill>
              <a:ln w="9525">
                <a:solidFill>
                  <a:srgbClr val="FF66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Planilha1!$A$45:$A$56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Planilha1!$B$45:$B$56</c:f>
              <c:numCache>
                <c:formatCode>General</c:formatCode>
                <c:ptCount val="12"/>
                <c:pt idx="0">
                  <c:v>100</c:v>
                </c:pt>
                <c:pt idx="1">
                  <c:v>102</c:v>
                </c:pt>
                <c:pt idx="2">
                  <c:v>87</c:v>
                </c:pt>
                <c:pt idx="3">
                  <c:v>66</c:v>
                </c:pt>
                <c:pt idx="4">
                  <c:v>73</c:v>
                </c:pt>
                <c:pt idx="5">
                  <c:v>86</c:v>
                </c:pt>
                <c:pt idx="6">
                  <c:v>98</c:v>
                </c:pt>
                <c:pt idx="7">
                  <c:v>86</c:v>
                </c:pt>
                <c:pt idx="8">
                  <c:v>94</c:v>
                </c:pt>
                <c:pt idx="9">
                  <c:v>102</c:v>
                </c:pt>
                <c:pt idx="10">
                  <c:v>101</c:v>
                </c:pt>
                <c:pt idx="11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6-49AA-91AD-2AE7387014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2279584"/>
        <c:axId val="332279912"/>
      </c:lineChart>
      <c:catAx>
        <c:axId val="3322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912"/>
        <c:crosses val="autoZero"/>
        <c:auto val="1"/>
        <c:lblAlgn val="ctr"/>
        <c:lblOffset val="100"/>
        <c:noMultiLvlLbl val="0"/>
      </c:catAx>
      <c:valAx>
        <c:axId val="33227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6600"/>
              </a:solidFill>
              <a:ln w="9525">
                <a:solidFill>
                  <a:srgbClr val="FF66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Planilha1!$A$59:$A$70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Planilha1!$B$59:$B$70</c:f>
              <c:numCache>
                <c:formatCode>General</c:formatCode>
                <c:ptCount val="12"/>
                <c:pt idx="0">
                  <c:v>46</c:v>
                </c:pt>
                <c:pt idx="1">
                  <c:v>77</c:v>
                </c:pt>
                <c:pt idx="2">
                  <c:v>97</c:v>
                </c:pt>
                <c:pt idx="3">
                  <c:v>134</c:v>
                </c:pt>
                <c:pt idx="4">
                  <c:v>151</c:v>
                </c:pt>
                <c:pt idx="5">
                  <c:v>197</c:v>
                </c:pt>
                <c:pt idx="6">
                  <c:v>221</c:v>
                </c:pt>
                <c:pt idx="7">
                  <c:v>254</c:v>
                </c:pt>
                <c:pt idx="8">
                  <c:v>290</c:v>
                </c:pt>
                <c:pt idx="9">
                  <c:v>308</c:v>
                </c:pt>
                <c:pt idx="10">
                  <c:v>339</c:v>
                </c:pt>
                <c:pt idx="11">
                  <c:v>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6-49AA-91AD-2AE7387014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2279584"/>
        <c:axId val="332279912"/>
      </c:lineChart>
      <c:catAx>
        <c:axId val="3322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912"/>
        <c:crosses val="autoZero"/>
        <c:auto val="1"/>
        <c:lblAlgn val="ctr"/>
        <c:lblOffset val="100"/>
        <c:noMultiLvlLbl val="0"/>
      </c:catAx>
      <c:valAx>
        <c:axId val="33227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Planilha1!$D$73:$D$76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Planilha1!$E$73:$E$76</c:f>
              <c:numCache>
                <c:formatCode>General</c:formatCode>
                <c:ptCount val="4"/>
                <c:pt idx="0">
                  <c:v>97</c:v>
                </c:pt>
                <c:pt idx="1">
                  <c:v>100</c:v>
                </c:pt>
                <c:pt idx="2">
                  <c:v>93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6-49AA-91AD-2AE7387014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56567992"/>
        <c:axId val="55656569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Planilha1!$D$73:$D$76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Planilha1!$F$73:$F$76</c:f>
              <c:numCache>
                <c:formatCode>General</c:formatCode>
                <c:ptCount val="4"/>
                <c:pt idx="0">
                  <c:v>16909</c:v>
                </c:pt>
                <c:pt idx="1">
                  <c:v>13990</c:v>
                </c:pt>
                <c:pt idx="2">
                  <c:v>12321</c:v>
                </c:pt>
                <c:pt idx="3">
                  <c:v>13893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F6-47A7-9960-2C64CB94D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279584"/>
        <c:axId val="332279912"/>
      </c:lineChart>
      <c:catAx>
        <c:axId val="3322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912"/>
        <c:crosses val="autoZero"/>
        <c:auto val="1"/>
        <c:lblAlgn val="ctr"/>
        <c:lblOffset val="100"/>
        <c:noMultiLvlLbl val="0"/>
      </c:catAx>
      <c:valAx>
        <c:axId val="332279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584"/>
        <c:crosses val="autoZero"/>
        <c:crossBetween val="between"/>
      </c:valAx>
      <c:valAx>
        <c:axId val="556565696"/>
        <c:scaling>
          <c:orientation val="minMax"/>
          <c:max val="2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567992"/>
        <c:crosses val="max"/>
        <c:crossBetween val="between"/>
      </c:valAx>
      <c:catAx>
        <c:axId val="556567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65656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Planilha1!$D$81:$D$84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Planilha1!$E$81:$E$84</c:f>
              <c:numCache>
                <c:formatCode>General</c:formatCode>
                <c:ptCount val="4"/>
                <c:pt idx="0">
                  <c:v>51</c:v>
                </c:pt>
                <c:pt idx="1">
                  <c:v>38</c:v>
                </c:pt>
                <c:pt idx="2">
                  <c:v>21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6-49AA-91AD-2AE7387014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56567992"/>
        <c:axId val="55656569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Planilha1!$D$81:$D$84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Planilha1!$F$81:$F$84</c:f>
              <c:numCache>
                <c:formatCode>General</c:formatCode>
                <c:ptCount val="4"/>
                <c:pt idx="0">
                  <c:v>16909</c:v>
                </c:pt>
                <c:pt idx="1">
                  <c:v>13990</c:v>
                </c:pt>
                <c:pt idx="2">
                  <c:v>12321</c:v>
                </c:pt>
                <c:pt idx="3">
                  <c:v>13893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F6-47A7-9960-2C64CB94D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279584"/>
        <c:axId val="332279912"/>
      </c:lineChart>
      <c:catAx>
        <c:axId val="3322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912"/>
        <c:crosses val="autoZero"/>
        <c:auto val="1"/>
        <c:lblAlgn val="ctr"/>
        <c:lblOffset val="100"/>
        <c:noMultiLvlLbl val="0"/>
      </c:catAx>
      <c:valAx>
        <c:axId val="332279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279584"/>
        <c:crosses val="autoZero"/>
        <c:crossBetween val="between"/>
      </c:valAx>
      <c:valAx>
        <c:axId val="556565696"/>
        <c:scaling>
          <c:orientation val="minMax"/>
          <c:max val="2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567992"/>
        <c:crosses val="max"/>
        <c:crossBetween val="between"/>
      </c:valAx>
      <c:catAx>
        <c:axId val="556567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6565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28573</xdr:rowOff>
    </xdr:from>
    <xdr:to>
      <xdr:col>11</xdr:col>
      <xdr:colOff>201300</xdr:colOff>
      <xdr:row>10</xdr:row>
      <xdr:rowOff>114073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741545-E543-407F-AD8F-E735DEDE9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66674</xdr:colOff>
      <xdr:row>14</xdr:row>
      <xdr:rowOff>47625</xdr:rowOff>
    </xdr:from>
    <xdr:to>
      <xdr:col>11</xdr:col>
      <xdr:colOff>409874</xdr:colOff>
      <xdr:row>23</xdr:row>
      <xdr:rowOff>133125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77998FC-B484-4E65-BB07-C33CE15E4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</xdr:colOff>
      <xdr:row>29</xdr:row>
      <xdr:rowOff>38100</xdr:rowOff>
    </xdr:from>
    <xdr:to>
      <xdr:col>11</xdr:col>
      <xdr:colOff>381300</xdr:colOff>
      <xdr:row>38</xdr:row>
      <xdr:rowOff>123600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7742862-A742-4B85-9B4C-DC0566D47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38100</xdr:colOff>
      <xdr:row>44</xdr:row>
      <xdr:rowOff>76200</xdr:rowOff>
    </xdr:from>
    <xdr:to>
      <xdr:col>11</xdr:col>
      <xdr:colOff>381300</xdr:colOff>
      <xdr:row>53</xdr:row>
      <xdr:rowOff>161700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14F530-EF64-4494-BECC-042457279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95250</xdr:colOff>
      <xdr:row>58</xdr:row>
      <xdr:rowOff>66675</xdr:rowOff>
    </xdr:from>
    <xdr:to>
      <xdr:col>11</xdr:col>
      <xdr:colOff>438450</xdr:colOff>
      <xdr:row>67</xdr:row>
      <xdr:rowOff>152175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82C54F5-C066-4072-832D-6EC70C9DC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28575</xdr:colOff>
      <xdr:row>69</xdr:row>
      <xdr:rowOff>47625</xdr:rowOff>
    </xdr:from>
    <xdr:to>
      <xdr:col>15</xdr:col>
      <xdr:colOff>371775</xdr:colOff>
      <xdr:row>78</xdr:row>
      <xdr:rowOff>133125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FD332BE-0327-42C0-8420-B8A26C991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28575</xdr:colOff>
      <xdr:row>79</xdr:row>
      <xdr:rowOff>66675</xdr:rowOff>
    </xdr:from>
    <xdr:to>
      <xdr:col>15</xdr:col>
      <xdr:colOff>371775</xdr:colOff>
      <xdr:row>88</xdr:row>
      <xdr:rowOff>152175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F9F905F-AACE-4BB8-9DD1-02415176D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tabSelected="1" topLeftCell="A67" workbookViewId="0">
      <selection activeCell="E86" sqref="E86"/>
    </sheetView>
  </sheetViews>
  <sheetFormatPr defaultRowHeight="15" x14ac:dyDescent="0.25"/>
  <sheetData>
    <row r="1" spans="1:15" x14ac:dyDescent="0.25">
      <c r="A1" t="s">
        <v>0</v>
      </c>
      <c r="B1">
        <v>464</v>
      </c>
      <c r="D1" t="s">
        <v>15</v>
      </c>
    </row>
    <row r="2" spans="1:15" x14ac:dyDescent="0.25">
      <c r="A2" t="s">
        <v>1</v>
      </c>
      <c r="B2">
        <v>911</v>
      </c>
    </row>
    <row r="3" spans="1:15" x14ac:dyDescent="0.25">
      <c r="A3" t="s">
        <v>2</v>
      </c>
      <c r="B3">
        <v>1213</v>
      </c>
    </row>
    <row r="4" spans="1:15" x14ac:dyDescent="0.25">
      <c r="A4" t="s">
        <v>3</v>
      </c>
      <c r="B4">
        <v>1520</v>
      </c>
    </row>
    <row r="5" spans="1:15" x14ac:dyDescent="0.25">
      <c r="A5" t="s">
        <v>4</v>
      </c>
      <c r="B5">
        <v>1791</v>
      </c>
    </row>
    <row r="6" spans="1:15" x14ac:dyDescent="0.25">
      <c r="A6" t="s">
        <v>5</v>
      </c>
      <c r="B6">
        <v>2073</v>
      </c>
    </row>
    <row r="7" spans="1:15" x14ac:dyDescent="0.25">
      <c r="A7" t="s">
        <v>6</v>
      </c>
      <c r="B7">
        <v>2391</v>
      </c>
      <c r="O7" s="2"/>
    </row>
    <row r="8" spans="1:15" x14ac:dyDescent="0.25">
      <c r="A8" t="s">
        <v>7</v>
      </c>
      <c r="B8">
        <v>2651</v>
      </c>
    </row>
    <row r="9" spans="1:15" x14ac:dyDescent="0.25">
      <c r="A9" t="s">
        <v>8</v>
      </c>
      <c r="B9">
        <v>2958</v>
      </c>
    </row>
    <row r="10" spans="1:15" x14ac:dyDescent="0.25">
      <c r="A10" t="s">
        <v>9</v>
      </c>
      <c r="B10">
        <v>3261</v>
      </c>
      <c r="O10" s="2"/>
    </row>
    <row r="11" spans="1:15" x14ac:dyDescent="0.25">
      <c r="A11" t="s">
        <v>10</v>
      </c>
      <c r="B11">
        <v>3606</v>
      </c>
      <c r="O11" s="2"/>
    </row>
    <row r="12" spans="1:15" x14ac:dyDescent="0.25">
      <c r="A12" t="s">
        <v>11</v>
      </c>
      <c r="B12">
        <v>3836</v>
      </c>
    </row>
    <row r="14" spans="1:15" x14ac:dyDescent="0.25">
      <c r="D14" t="s">
        <v>14</v>
      </c>
    </row>
    <row r="15" spans="1:15" x14ac:dyDescent="0.25">
      <c r="A15" t="s">
        <v>0</v>
      </c>
      <c r="B15" s="1">
        <v>0.9012</v>
      </c>
      <c r="O15" s="2"/>
    </row>
    <row r="16" spans="1:15" x14ac:dyDescent="0.25">
      <c r="A16" t="s">
        <v>1</v>
      </c>
      <c r="B16" s="1">
        <v>0.85750000000000004</v>
      </c>
    </row>
    <row r="17" spans="1:4" x14ac:dyDescent="0.25">
      <c r="A17" t="s">
        <v>2</v>
      </c>
      <c r="B17" s="1">
        <v>0.86119999999999997</v>
      </c>
    </row>
    <row r="18" spans="1:4" x14ac:dyDescent="0.25">
      <c r="A18" t="s">
        <v>3</v>
      </c>
      <c r="B18" s="1">
        <v>0.86780000000000002</v>
      </c>
    </row>
    <row r="19" spans="1:4" x14ac:dyDescent="0.25">
      <c r="A19" t="s">
        <v>4</v>
      </c>
      <c r="B19" s="1">
        <v>0.82950000000000002</v>
      </c>
    </row>
    <row r="20" spans="1:4" x14ac:dyDescent="0.25">
      <c r="A20" t="s">
        <v>5</v>
      </c>
      <c r="B20" s="1">
        <v>0.92930000000000001</v>
      </c>
    </row>
    <row r="21" spans="1:4" x14ac:dyDescent="0.25">
      <c r="A21" t="s">
        <v>6</v>
      </c>
      <c r="B21" s="1">
        <v>0.87460000000000004</v>
      </c>
    </row>
    <row r="22" spans="1:4" x14ac:dyDescent="0.25">
      <c r="A22" t="s">
        <v>7</v>
      </c>
      <c r="B22" s="1">
        <v>0.89190000000000003</v>
      </c>
    </row>
    <row r="23" spans="1:4" x14ac:dyDescent="0.25">
      <c r="A23" t="s">
        <v>8</v>
      </c>
      <c r="B23" s="1">
        <v>0.90549999999999997</v>
      </c>
    </row>
    <row r="24" spans="1:4" x14ac:dyDescent="0.25">
      <c r="A24" t="s">
        <v>9</v>
      </c>
      <c r="B24" s="1">
        <v>0.95050000000000001</v>
      </c>
    </row>
    <row r="25" spans="1:4" x14ac:dyDescent="0.25">
      <c r="A25" t="s">
        <v>10</v>
      </c>
      <c r="B25" s="1">
        <v>0.9597</v>
      </c>
    </row>
    <row r="26" spans="1:4" x14ac:dyDescent="0.25">
      <c r="A26" t="s">
        <v>11</v>
      </c>
      <c r="B26" s="1">
        <v>0.95220000000000005</v>
      </c>
    </row>
    <row r="29" spans="1:4" x14ac:dyDescent="0.25">
      <c r="D29" t="s">
        <v>13</v>
      </c>
    </row>
    <row r="30" spans="1:4" x14ac:dyDescent="0.25">
      <c r="A30" t="s">
        <v>0</v>
      </c>
      <c r="B30">
        <v>85</v>
      </c>
    </row>
    <row r="31" spans="1:4" x14ac:dyDescent="0.25">
      <c r="A31" t="s">
        <v>1</v>
      </c>
      <c r="B31">
        <v>72</v>
      </c>
    </row>
    <row r="32" spans="1:4" x14ac:dyDescent="0.25">
      <c r="A32" t="s">
        <v>2</v>
      </c>
      <c r="B32">
        <v>54</v>
      </c>
    </row>
    <row r="33" spans="1:4" x14ac:dyDescent="0.25">
      <c r="A33" t="s">
        <v>3</v>
      </c>
      <c r="B33">
        <v>55</v>
      </c>
    </row>
    <row r="34" spans="1:4" x14ac:dyDescent="0.25">
      <c r="A34" t="s">
        <v>4</v>
      </c>
      <c r="B34">
        <v>59</v>
      </c>
    </row>
    <row r="35" spans="1:4" x14ac:dyDescent="0.25">
      <c r="A35" t="s">
        <v>5</v>
      </c>
      <c r="B35">
        <v>64</v>
      </c>
    </row>
    <row r="36" spans="1:4" x14ac:dyDescent="0.25">
      <c r="A36" t="s">
        <v>6</v>
      </c>
      <c r="B36">
        <v>75</v>
      </c>
    </row>
    <row r="37" spans="1:4" x14ac:dyDescent="0.25">
      <c r="A37" t="s">
        <v>7</v>
      </c>
      <c r="B37">
        <v>56</v>
      </c>
    </row>
    <row r="38" spans="1:4" x14ac:dyDescent="0.25">
      <c r="A38" t="s">
        <v>8</v>
      </c>
      <c r="B38">
        <v>64</v>
      </c>
    </row>
    <row r="39" spans="1:4" x14ac:dyDescent="0.25">
      <c r="A39" t="s">
        <v>9</v>
      </c>
      <c r="B39">
        <v>56</v>
      </c>
    </row>
    <row r="40" spans="1:4" x14ac:dyDescent="0.25">
      <c r="A40" t="s">
        <v>10</v>
      </c>
      <c r="B40">
        <v>35</v>
      </c>
    </row>
    <row r="41" spans="1:4" x14ac:dyDescent="0.25">
      <c r="A41" t="s">
        <v>11</v>
      </c>
      <c r="B41">
        <v>31</v>
      </c>
    </row>
    <row r="44" spans="1:4" x14ac:dyDescent="0.25">
      <c r="D44" t="s">
        <v>12</v>
      </c>
    </row>
    <row r="45" spans="1:4" x14ac:dyDescent="0.25">
      <c r="A45" t="s">
        <v>0</v>
      </c>
      <c r="B45">
        <v>100</v>
      </c>
    </row>
    <row r="46" spans="1:4" x14ac:dyDescent="0.25">
      <c r="A46" t="s">
        <v>1</v>
      </c>
      <c r="B46">
        <v>102</v>
      </c>
    </row>
    <row r="47" spans="1:4" x14ac:dyDescent="0.25">
      <c r="A47" t="s">
        <v>2</v>
      </c>
      <c r="B47">
        <v>87</v>
      </c>
    </row>
    <row r="48" spans="1:4" x14ac:dyDescent="0.25">
      <c r="A48" t="s">
        <v>3</v>
      </c>
      <c r="B48">
        <v>66</v>
      </c>
    </row>
    <row r="49" spans="1:4" x14ac:dyDescent="0.25">
      <c r="A49" t="s">
        <v>4</v>
      </c>
      <c r="B49">
        <v>73</v>
      </c>
    </row>
    <row r="50" spans="1:4" x14ac:dyDescent="0.25">
      <c r="A50" t="s">
        <v>5</v>
      </c>
      <c r="B50">
        <v>86</v>
      </c>
    </row>
    <row r="51" spans="1:4" x14ac:dyDescent="0.25">
      <c r="A51" t="s">
        <v>6</v>
      </c>
      <c r="B51">
        <v>98</v>
      </c>
    </row>
    <row r="52" spans="1:4" x14ac:dyDescent="0.25">
      <c r="A52" t="s">
        <v>7</v>
      </c>
      <c r="B52">
        <v>86</v>
      </c>
    </row>
    <row r="53" spans="1:4" x14ac:dyDescent="0.25">
      <c r="A53" t="s">
        <v>8</v>
      </c>
      <c r="B53">
        <v>94</v>
      </c>
    </row>
    <row r="54" spans="1:4" x14ac:dyDescent="0.25">
      <c r="A54" t="s">
        <v>9</v>
      </c>
      <c r="B54">
        <v>102</v>
      </c>
    </row>
    <row r="55" spans="1:4" x14ac:dyDescent="0.25">
      <c r="A55" t="s">
        <v>10</v>
      </c>
      <c r="B55">
        <v>101</v>
      </c>
    </row>
    <row r="56" spans="1:4" x14ac:dyDescent="0.25">
      <c r="A56" t="s">
        <v>11</v>
      </c>
      <c r="B56">
        <v>122</v>
      </c>
    </row>
    <row r="58" spans="1:4" x14ac:dyDescent="0.25">
      <c r="D58" t="s">
        <v>12</v>
      </c>
    </row>
    <row r="59" spans="1:4" x14ac:dyDescent="0.25">
      <c r="A59" t="s">
        <v>0</v>
      </c>
      <c r="B59">
        <v>46</v>
      </c>
    </row>
    <row r="60" spans="1:4" x14ac:dyDescent="0.25">
      <c r="A60" t="s">
        <v>1</v>
      </c>
      <c r="B60">
        <v>77</v>
      </c>
    </row>
    <row r="61" spans="1:4" x14ac:dyDescent="0.25">
      <c r="A61" t="s">
        <v>2</v>
      </c>
      <c r="B61">
        <v>97</v>
      </c>
    </row>
    <row r="62" spans="1:4" x14ac:dyDescent="0.25">
      <c r="A62" t="s">
        <v>3</v>
      </c>
      <c r="B62">
        <v>134</v>
      </c>
    </row>
    <row r="63" spans="1:4" x14ac:dyDescent="0.25">
      <c r="A63" t="s">
        <v>4</v>
      </c>
      <c r="B63">
        <v>151</v>
      </c>
    </row>
    <row r="64" spans="1:4" x14ac:dyDescent="0.25">
      <c r="A64" t="s">
        <v>5</v>
      </c>
      <c r="B64">
        <v>197</v>
      </c>
    </row>
    <row r="65" spans="1:6" x14ac:dyDescent="0.25">
      <c r="A65" t="s">
        <v>6</v>
      </c>
      <c r="B65">
        <v>221</v>
      </c>
    </row>
    <row r="66" spans="1:6" x14ac:dyDescent="0.25">
      <c r="A66" t="s">
        <v>7</v>
      </c>
      <c r="B66">
        <v>254</v>
      </c>
    </row>
    <row r="67" spans="1:6" x14ac:dyDescent="0.25">
      <c r="A67" t="s">
        <v>8</v>
      </c>
      <c r="B67">
        <v>290</v>
      </c>
    </row>
    <row r="68" spans="1:6" x14ac:dyDescent="0.25">
      <c r="A68" t="s">
        <v>9</v>
      </c>
      <c r="B68">
        <v>308</v>
      </c>
    </row>
    <row r="69" spans="1:6" x14ac:dyDescent="0.25">
      <c r="A69" t="s">
        <v>10</v>
      </c>
      <c r="B69">
        <v>339</v>
      </c>
    </row>
    <row r="70" spans="1:6" x14ac:dyDescent="0.25">
      <c r="A70" t="s">
        <v>11</v>
      </c>
      <c r="B70">
        <v>367</v>
      </c>
    </row>
    <row r="72" spans="1:6" x14ac:dyDescent="0.25">
      <c r="B72" s="4" t="s">
        <v>20</v>
      </c>
      <c r="C72" s="4" t="s">
        <v>21</v>
      </c>
      <c r="E72" s="4" t="s">
        <v>20</v>
      </c>
      <c r="F72" s="4" t="s">
        <v>21</v>
      </c>
    </row>
    <row r="73" spans="1:6" x14ac:dyDescent="0.25">
      <c r="A73" t="s">
        <v>0</v>
      </c>
      <c r="B73">
        <v>46</v>
      </c>
      <c r="C73">
        <v>6115</v>
      </c>
      <c r="D73" s="3" t="s">
        <v>16</v>
      </c>
      <c r="E73">
        <f>SUM(B73:B75)</f>
        <v>97</v>
      </c>
      <c r="F73">
        <f>SUM($C$73:$C$75)</f>
        <v>16909</v>
      </c>
    </row>
    <row r="74" spans="1:6" x14ac:dyDescent="0.25">
      <c r="A74" t="s">
        <v>1</v>
      </c>
      <c r="B74">
        <v>31</v>
      </c>
      <c r="C74">
        <v>5192</v>
      </c>
      <c r="D74" s="3" t="s">
        <v>17</v>
      </c>
      <c r="E74">
        <f>SUM(B76:B78)</f>
        <v>100</v>
      </c>
      <c r="F74">
        <f>SUM($C$76:$C$78)</f>
        <v>13990</v>
      </c>
    </row>
    <row r="75" spans="1:6" x14ac:dyDescent="0.25">
      <c r="A75" t="s">
        <v>2</v>
      </c>
      <c r="B75">
        <v>20</v>
      </c>
      <c r="C75">
        <v>5602</v>
      </c>
      <c r="D75" s="3" t="s">
        <v>18</v>
      </c>
      <c r="E75">
        <f>SUM(B79:B81)</f>
        <v>93</v>
      </c>
      <c r="F75">
        <f>SUM($C$79:$C$81)</f>
        <v>12321</v>
      </c>
    </row>
    <row r="76" spans="1:6" x14ac:dyDescent="0.25">
      <c r="A76" t="s">
        <v>3</v>
      </c>
      <c r="B76">
        <v>37</v>
      </c>
      <c r="C76">
        <v>4945</v>
      </c>
      <c r="D76" s="3" t="s">
        <v>19</v>
      </c>
      <c r="E76">
        <f>SUM(B82:B84)</f>
        <v>77</v>
      </c>
      <c r="F76">
        <f>SUM($C$82:$C$84)</f>
        <v>13893</v>
      </c>
    </row>
    <row r="77" spans="1:6" x14ac:dyDescent="0.25">
      <c r="A77" t="s">
        <v>4</v>
      </c>
      <c r="B77">
        <v>17</v>
      </c>
      <c r="C77">
        <v>4291</v>
      </c>
    </row>
    <row r="78" spans="1:6" x14ac:dyDescent="0.25">
      <c r="A78" t="s">
        <v>5</v>
      </c>
      <c r="B78">
        <v>46</v>
      </c>
      <c r="C78">
        <v>4754</v>
      </c>
    </row>
    <row r="79" spans="1:6" x14ac:dyDescent="0.25">
      <c r="A79" t="s">
        <v>6</v>
      </c>
      <c r="B79">
        <v>24</v>
      </c>
      <c r="C79">
        <v>4569</v>
      </c>
    </row>
    <row r="80" spans="1:6" x14ac:dyDescent="0.25">
      <c r="A80" t="s">
        <v>7</v>
      </c>
      <c r="B80">
        <v>33</v>
      </c>
      <c r="C80">
        <v>3661</v>
      </c>
      <c r="E80" s="4" t="s">
        <v>22</v>
      </c>
      <c r="F80" s="4" t="s">
        <v>21</v>
      </c>
    </row>
    <row r="81" spans="1:6" x14ac:dyDescent="0.25">
      <c r="A81" t="s">
        <v>8</v>
      </c>
      <c r="B81">
        <v>36</v>
      </c>
      <c r="C81">
        <v>4091</v>
      </c>
      <c r="D81" s="3" t="s">
        <v>16</v>
      </c>
      <c r="E81">
        <v>51</v>
      </c>
      <c r="F81">
        <v>16909</v>
      </c>
    </row>
    <row r="82" spans="1:6" x14ac:dyDescent="0.25">
      <c r="A82" t="s">
        <v>9</v>
      </c>
      <c r="B82">
        <v>18</v>
      </c>
      <c r="C82">
        <v>4498</v>
      </c>
      <c r="D82" s="3" t="s">
        <v>17</v>
      </c>
      <c r="E82">
        <v>38</v>
      </c>
      <c r="F82">
        <v>13990</v>
      </c>
    </row>
    <row r="83" spans="1:6" x14ac:dyDescent="0.25">
      <c r="A83" t="s">
        <v>10</v>
      </c>
      <c r="B83">
        <v>31</v>
      </c>
      <c r="C83">
        <v>4725</v>
      </c>
      <c r="D83" s="3" t="s">
        <v>18</v>
      </c>
      <c r="E83">
        <v>21</v>
      </c>
      <c r="F83">
        <v>12321</v>
      </c>
    </row>
    <row r="84" spans="1:6" x14ac:dyDescent="0.25">
      <c r="A84" t="s">
        <v>11</v>
      </c>
      <c r="B84">
        <v>28</v>
      </c>
      <c r="C84">
        <v>4670</v>
      </c>
      <c r="D84" s="3" t="s">
        <v>19</v>
      </c>
      <c r="E84">
        <v>30</v>
      </c>
      <c r="F84">
        <v>13893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2016-12-21T11:24:20Z</dcterms:created>
  <dcterms:modified xsi:type="dcterms:W3CDTF">2016-12-21T19:41:59Z</dcterms:modified>
</cp:coreProperties>
</file>