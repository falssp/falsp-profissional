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oogle Drive\Projetos\Smiles-ABU\"/>
    </mc:Choice>
  </mc:AlternateContent>
  <bookViews>
    <workbookView xWindow="0" yWindow="0" windowWidth="20490" windowHeight="9045" tabRatio="842" activeTab="6"/>
  </bookViews>
  <sheets>
    <sheet name="Informações Básicas" sheetId="2" r:id="rId1"/>
    <sheet name="Catálogo Negócio" sheetId="1" r:id="rId2"/>
    <sheet name="Catálogo Escritório" sheetId="6" r:id="rId3"/>
    <sheet name="Catálogo TIpTI" sheetId="7" r:id="rId4"/>
    <sheet name="Protótipo" sheetId="3" r:id="rId5"/>
    <sheet name="Escopo" sheetId="4" r:id="rId6"/>
    <sheet name="Catálogo Atendimento" sheetId="8" r:id="rId7"/>
  </sheets>
  <calcPr calcId="162913"/>
  <pivotCaches>
    <pivotCache cacheId="9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8" i="7" l="1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6" i="6" l="1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68" i="6"/>
  <c r="E67" i="6"/>
  <c r="E7" i="6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 l="1"/>
</calcChain>
</file>

<file path=xl/comments1.xml><?xml version="1.0" encoding="utf-8"?>
<comments xmlns="http://schemas.openxmlformats.org/spreadsheetml/2006/main">
  <authors>
    <author>Jorge Filho</author>
  </authors>
  <commentList>
    <comment ref="A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Agrupamento principal. Em qual portal Jira está contigo o catálogo?</t>
        </r>
      </text>
    </comment>
    <comment ref="B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agrupamento de determinados Itens de Catálogos comuns a determinado assunto ou tema. Sugere-se que seja agrupado por "Produto" (ex.: Compra de Milhas) ou por outro tipo de agrupamento de entendimento fácil e imediato pelos usuários. 
No Jira: Request Group</t>
        </r>
      </text>
    </comment>
    <comment ref="C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a verbalização do usuário para solicitação de uma requisição ou abertura de um Incidente ou bug. Deve estar descrita em "linguagem de negócio", de forma fácil para o usuário encontrar o que deseja.
No Jira: Request Type</t>
        </r>
      </text>
    </comment>
    <comment ref="D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tipo de fluxo e tratativa que serão dados ao Item de Catálogo especificado. 
Pode ser um Incidente ou uma Requisição.
No Jira: Issue Type</t>
        </r>
      </text>
    </comment>
  </commentList>
</comments>
</file>

<file path=xl/comments2.xml><?xml version="1.0" encoding="utf-8"?>
<comments xmlns="http://schemas.openxmlformats.org/spreadsheetml/2006/main">
  <authors>
    <author>Jorge Filho</author>
  </authors>
  <commentList>
    <comment ref="A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É o agrupamento principal (primeira página que o usuário tem acesso). 
No Jira: Portal</t>
        </r>
      </text>
    </comment>
    <comment ref="B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agrupamento de determinados Itens de Catálogos comuns a determinado assunto ou tema. Sugere-se que seja agrupado por "Produto" (ex.: Compra de Milhas) ou por outro tipo de agrupamento de entendimento fácil e imediato pelos usuários. 
No Jira: Request Group</t>
        </r>
      </text>
    </comment>
    <comment ref="C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a verbalização do usuário para solicitação de uma requisição ou abertura de um Incidente ou bug. Deve estar descrita em "linguagem de negócio", de forma fácil para o usuário encontrar o que deseja.
No Jira: Request Type</t>
        </r>
      </text>
    </comment>
    <comment ref="F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tipo de fluxo e tratativa que serão dados ao Item de Catálogo especificado. 
Pode ser um Incidente ou uma Requisição.
No Jira: Issue Type</t>
        </r>
      </text>
    </comment>
  </commentList>
</comments>
</file>

<file path=xl/comments3.xml><?xml version="1.0" encoding="utf-8"?>
<comments xmlns="http://schemas.openxmlformats.org/spreadsheetml/2006/main">
  <authors>
    <author>Jorge Filho</author>
  </authors>
  <commentList>
    <comment ref="A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É o agrupamento principal (primeira página que o usuário tem acesso). 
No Jira: Portal</t>
        </r>
      </text>
    </comment>
    <comment ref="B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agrupamento de determinados Itens de Catálogos comuns a determinado assunto ou tema. Sugere-se que seja agrupado por "Produto" (ex.: Compra de Milhas) ou por outro tipo de agrupamento de entendimento fácil e imediato pelos usuários. 
No Jira: Request Group</t>
        </r>
      </text>
    </comment>
    <comment ref="C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a verbalização do usuário para solicitação de uma requisição ou abertura de um Incidente ou bug. Deve estar descrita em "linguagem de negócio", de forma fácil para o usuário encontrar o que deseja.
No Jira: Request Type</t>
        </r>
      </text>
    </comment>
    <comment ref="F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tipo de fluxo e tratativa que serão dados ao Item de Catálogo especificado. 
Pode ser um Incidente ou uma Requisição.
No Jira: Issue Type</t>
        </r>
      </text>
    </comment>
  </commentList>
</comments>
</file>

<file path=xl/comments4.xml><?xml version="1.0" encoding="utf-8"?>
<comments xmlns="http://schemas.openxmlformats.org/spreadsheetml/2006/main">
  <authors>
    <author>Jorge Filho</author>
  </authors>
  <commentList>
    <comment ref="A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É o agrupamento principal (primeira página que o usuário tem acesso). 
No Jira: Portal</t>
        </r>
      </text>
    </comment>
    <comment ref="B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agrupamento de determinados Itens de Catálogos comuns a determinado assunto ou tema. Sugere-se que seja agrupado por "Produto" (ex.: Compra de Milhas) ou por outro tipo de agrupamento de entendimento fácil e imediato pelos usuários. 
No Jira: Request Group</t>
        </r>
      </text>
    </comment>
    <comment ref="C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a verbalização do usuário para solicitação de uma requisição ou abertura de um Incidente ou bug. Deve estar descrita em "linguagem de negócio", de forma fácil para o usuário encontrar o que deseja.
No Jira: Request Type</t>
        </r>
      </text>
    </comment>
    <comment ref="F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tipo de fluxo e tratativa que serão dados ao Item de Catálogo especificado. 
Pode ser um Incidente ou uma Requisição.
No Jira: Issue Type</t>
        </r>
      </text>
    </comment>
  </commentList>
</comments>
</file>

<file path=xl/comments5.xml><?xml version="1.0" encoding="utf-8"?>
<comments xmlns="http://schemas.openxmlformats.org/spreadsheetml/2006/main">
  <authors>
    <author>Jorge Filho</author>
  </authors>
  <commentList>
    <comment ref="A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É o agrupamento principal (primeira página que o usuário tem acesso). 
No Jira: Portal</t>
        </r>
      </text>
    </comment>
    <comment ref="B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agrupamento de determinados Itens de Catálogos comuns a determinado assunto ou tema. Sugere-se que seja agrupado por "Produto" (ex.: Compra de Milhas) ou por outro tipo de agrupamento de entendimento fácil e imediato pelos usuários. 
No Jira: Request Group</t>
        </r>
      </text>
    </comment>
    <comment ref="C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a verbalização do usuário para solicitação de uma requisição ou abertura de um Incidente ou bug. Deve estar descrita em "linguagem de negócio", de forma fácil para o usuário encontrar o que deseja.
No Jira: Request Type</t>
        </r>
      </text>
    </comment>
    <comment ref="F6" authorId="0" shapeId="0">
      <text>
        <r>
          <rPr>
            <b/>
            <sz val="9"/>
            <color indexed="81"/>
            <rFont val="Segoe UI"/>
            <family val="2"/>
          </rPr>
          <t>Jorge Filho:</t>
        </r>
        <r>
          <rPr>
            <sz val="9"/>
            <color indexed="81"/>
            <rFont val="Segoe UI"/>
            <family val="2"/>
          </rPr>
          <t xml:space="preserve">
O que é?
Indica o tipo de fluxo e tratativa que serão dados ao Item de Catálogo especificado. 
Pode ser um Incidente ou uma Requisição.
No Jira: Issue Type</t>
        </r>
      </text>
    </comment>
  </commentList>
</comments>
</file>

<file path=xl/sharedStrings.xml><?xml version="1.0" encoding="utf-8"?>
<sst xmlns="http://schemas.openxmlformats.org/spreadsheetml/2006/main" count="567" uniqueCount="173">
  <si>
    <t>Catálogo de Serviços de TI</t>
  </si>
  <si>
    <t>Central de Serviços de TI</t>
  </si>
  <si>
    <t>elaborado por ABU Consultoria</t>
  </si>
  <si>
    <t>Item de Catálogo</t>
  </si>
  <si>
    <t xml:space="preserve">Portal </t>
  </si>
  <si>
    <t>Produto ou Grupo</t>
  </si>
  <si>
    <t>Tipo de Chamado</t>
  </si>
  <si>
    <t>Informações Básicas para o Catálogo de Serviços</t>
  </si>
  <si>
    <t>Compra de Milhas</t>
  </si>
  <si>
    <t>Prioridade</t>
  </si>
  <si>
    <t>SLA de Resposta</t>
  </si>
  <si>
    <t>SLA de Resolução</t>
  </si>
  <si>
    <t>Grupo Solucionador</t>
  </si>
  <si>
    <t>Envio de 
Feedback</t>
  </si>
  <si>
    <t>Atributos mínimos 
para atendimento</t>
  </si>
  <si>
    <t>Sim</t>
  </si>
  <si>
    <t>Anexo?</t>
  </si>
  <si>
    <t>Total Geral</t>
  </si>
  <si>
    <t>Solicitação</t>
  </si>
  <si>
    <t>Não</t>
  </si>
  <si>
    <t>Promoções</t>
  </si>
  <si>
    <t>Prorrogar Promoção</t>
  </si>
  <si>
    <t>Protótipo de Navegação no Catálogo de Serviços</t>
  </si>
  <si>
    <t>Transferência de Milhas</t>
  </si>
  <si>
    <t>Siebel Loyalty</t>
  </si>
  <si>
    <t>Site Smiles</t>
  </si>
  <si>
    <t>Fraude/Perda Financeira</t>
  </si>
  <si>
    <t>URA</t>
  </si>
  <si>
    <t>Reativação de Milhas</t>
  </si>
  <si>
    <t>Clube Smiles</t>
  </si>
  <si>
    <t>Smiles Shopping</t>
  </si>
  <si>
    <t>Crédito de Vôo</t>
  </si>
  <si>
    <t>Smiles Pay</t>
  </si>
  <si>
    <t xml:space="preserve">Emissão </t>
  </si>
  <si>
    <t>Portal Parceiros</t>
  </si>
  <si>
    <t>Gateway de Pagamento</t>
  </si>
  <si>
    <t>Cadastrar novo Parceiro</t>
  </si>
  <si>
    <t>Cliente não consegue resgatar</t>
  </si>
  <si>
    <t>Subtítulo</t>
  </si>
  <si>
    <t>Erro no Arquivo Financeiro</t>
  </si>
  <si>
    <t xml:space="preserve">Erro no Arquivo Contábil </t>
  </si>
  <si>
    <t>Erro no Arquivo de Vendas</t>
  </si>
  <si>
    <t xml:space="preserve">Execução pontual do Arquivo Contábil </t>
  </si>
  <si>
    <t>Execução pontual do Arquivo Financeiro</t>
  </si>
  <si>
    <t>Execução pontual do Arquivo de Vendas</t>
  </si>
  <si>
    <t>Atraso ou Erro no Arquivo EDI - Parceiros Críticos</t>
  </si>
  <si>
    <t>Atraso ou Erro no Arquivo EDI - Outros</t>
  </si>
  <si>
    <t>EDI</t>
  </si>
  <si>
    <t>Relatórios / Arquivos</t>
  </si>
  <si>
    <t>Página não abre / não carrega</t>
  </si>
  <si>
    <t>Shopping Smiles</t>
  </si>
  <si>
    <t>Incidente</t>
  </si>
  <si>
    <t>Outras solicitações (Shopping Smiles)</t>
  </si>
  <si>
    <t>Cadastrar novo parceiro no Shopping Smiles.</t>
  </si>
  <si>
    <t>Shopping Smiles não carrega, Erros na página do Shopping Smiles.</t>
  </si>
  <si>
    <t>Cliente não consegue resgatar no Shopping Smiles.</t>
  </si>
  <si>
    <t>Outras solicitações (EDI)</t>
  </si>
  <si>
    <t>Informar parceiro(s) afetados(s) e a falha que está sendo percebida.</t>
  </si>
  <si>
    <t>Reportar atraso ou erro no envio de arquivos EDI de OUTROS parceiros.</t>
  </si>
  <si>
    <t>Em caso de inconsistência de informações, detalhar os dados divergentes para que possamos avaliar e indentificar onde se encontra(m) o(s) erro(s).</t>
  </si>
  <si>
    <t>Reportar a necessidade de execução pontual do Arquivo Contábil, além da frequência pré-estabelecida (diária, mensal, etc.).</t>
  </si>
  <si>
    <t>Reportar a necessidade de execução pontual do Arquivo Financeiro, além da frequência pré-estabelecida (diária, mensal, etc.).</t>
  </si>
  <si>
    <t>Reportar a necessidade de execução pontual do Arquivo de Vendas, além da frequência pré-estabelecida (diária, mensal, etc.).</t>
  </si>
  <si>
    <t>Informar a data de execução pontual do Arquivo Contábil e os parâmetros necessários para sua geração.</t>
  </si>
  <si>
    <t>Informar a data de execução pontual do Arquivo Financeiro e os parâmetros necessários para sua geração.</t>
  </si>
  <si>
    <t>Informar a data de execução pontual do Arquivo de Vendas e os parâmetros necessários para sua geração.</t>
  </si>
  <si>
    <t>Informar o ambiente Siebel onde o parceiro será cadastrato (Produção e/ou Teste); o Nome do Parceiro e o Código do Parceiro.</t>
  </si>
  <si>
    <t>Em caso de mensagem de erro, informar a mensagem e anexar o "print da tela" do erro.</t>
  </si>
  <si>
    <t>Informar detalhadamente sua necessidade ou falha identificada, para que possamos compreendê-la e prover a adequada tratativa. Caso possua algum documento ou "print de tela" que nos ajude no entendimento, favor anexar ao chamado.</t>
  </si>
  <si>
    <t>Informar o "CPF" do Cliente, o "Código de Participante" do Cliente e também data da transação, "print da tela" do erro (caso aplicável).</t>
  </si>
  <si>
    <t>Outras solicitações (Relatórios / Arquivos)</t>
  </si>
  <si>
    <t>Incidente Crítico</t>
  </si>
  <si>
    <t>CSTI - Negócio / Produtos</t>
  </si>
  <si>
    <t>Caso não tenha encontrado a opção adequada, utilizar esta categoria para abrir seu chamado.</t>
  </si>
  <si>
    <t>Itaú (ISP), Bradesco (BBR), HSBC (HSB), Caixa Econômica (CE2), Santander (SAB), Banco do Brasil (BDB).</t>
  </si>
  <si>
    <t>Falha de abertura do arquivo ou inconsistência de informações.</t>
  </si>
  <si>
    <t>Cadastrar Novo Produto</t>
  </si>
  <si>
    <t>Alteração de Produto</t>
  </si>
  <si>
    <t xml:space="preserve">Promoção com erro </t>
  </si>
  <si>
    <t>Alterar datas de vigência, promoção deve voltar em, promoção deverá voltar em</t>
  </si>
  <si>
    <t xml:space="preserve">Manutenção de Promoção </t>
  </si>
  <si>
    <t>Cadastrar Nova Promoção</t>
  </si>
  <si>
    <t>Criar Promoção, Incluir Promoção, Nova Promoção</t>
  </si>
  <si>
    <t>Erro de Promoção, Promoção não bonificou Cliente</t>
  </si>
  <si>
    <t>Criar Produto, Incluir Produto, Novo Produto</t>
  </si>
  <si>
    <t>Manutenção de Produto</t>
  </si>
  <si>
    <t>Cadastrar Novo Parceiro (Aéreo)</t>
  </si>
  <si>
    <t>Criar Novo Parceiro (Aéreo)</t>
  </si>
  <si>
    <t>Alteração de Parceiro (Não Aéreo)</t>
  </si>
  <si>
    <t>Cadastrar Novo Parceiro (Não Aéreo)</t>
  </si>
  <si>
    <t>Criar Novo Parceiro (Não Aéreo)</t>
  </si>
  <si>
    <t>Informar o ambiente Siebel onde o parceiro será cadastrado (Produção e/ou Teste), "Alias", Nome do Parceiro e os Produtos do Parceiro.</t>
  </si>
  <si>
    <t>Informar os itens ou parâmetros que necessitam ser alterados, o ambiente Siebel onde o Produto está cadastrado (Produção e/ou Teste) e também o Nome do Produto.</t>
  </si>
  <si>
    <t>Informar os itens ou parâmetros que necessitam ser alterados, o ambiente Siebel onde o parceiro está cadastrado (Produção e/ou Teste) e também o "Alias" e o Nome do Parceiro.</t>
  </si>
  <si>
    <t>Carac</t>
  </si>
  <si>
    <t>BackOffice</t>
  </si>
  <si>
    <t>Negócio</t>
  </si>
  <si>
    <t>Incidente Siebel</t>
  </si>
  <si>
    <t>Manutenção de Parceiro</t>
  </si>
  <si>
    <t>Informar o "Alias", Nome do Parceiro e os Produtos do Parceiro.</t>
  </si>
  <si>
    <t>Cadastros</t>
  </si>
  <si>
    <t>Informar o ambiente Siebel onde o Produto será cadastrado (Produção e/ou Teste) e em qual Parceiro estará vinculado e o número da peça caso aplicável.</t>
  </si>
  <si>
    <t>Alteração de Promoção, Reativação de Promoção, Encerrar Promoção</t>
  </si>
  <si>
    <t>Anexar Formulário de Criação de Promoção. (Obs: Campo Anexo Obrigatório)</t>
  </si>
  <si>
    <t>Informar os itens ou parâmetros que necessitam ser alterados, o ambiente Siebel onde a Promoção está cadastrada (Produção e/ou Teste) e também o ID da Promoção.</t>
  </si>
  <si>
    <t>Informar qual o erro, ID da Promoção com erro, caso aplicável anexar evidência do erro. (ID da Transação, Print de Tela do erro).</t>
  </si>
  <si>
    <t>Informar o ID da Promoção a ser prorrogada e a nova data de vigência.</t>
  </si>
  <si>
    <t>Escritório (Micro-Informática)</t>
  </si>
  <si>
    <t>Impressão</t>
  </si>
  <si>
    <t>Vídeo Conferência</t>
  </si>
  <si>
    <t>Telefonia</t>
  </si>
  <si>
    <t>Laptop e Periféricos</t>
  </si>
  <si>
    <t>Internet</t>
  </si>
  <si>
    <t>VPN</t>
  </si>
  <si>
    <t>Ramal não loga, não efetua chamadas internas (ramal para ramal), não efetua chamadas externas.</t>
  </si>
  <si>
    <t>Solicitar ramal para o usuário (funcionário ou terceiro).</t>
  </si>
  <si>
    <t>Trocar ramal, configurar ramal, alterar nome no ramal, etc.</t>
  </si>
  <si>
    <t>Configurar impressora para o usuário (funcionário ou terceiros).</t>
  </si>
  <si>
    <t>Não consegue imprimir, impressora com erro, falha de Tonner, Tonner baixo, papel preso, etc.</t>
  </si>
  <si>
    <t>Testar a vídeo conferência antes de uma reunião.</t>
  </si>
  <si>
    <t>Vídeo Conferência não funciona.</t>
  </si>
  <si>
    <t>Falhas com HDMI, televisões, mouses, projetores ou outros equipamentos das salas de reunião.</t>
  </si>
  <si>
    <t>Salas de Reunião</t>
  </si>
  <si>
    <t>Internet não funciona.</t>
  </si>
  <si>
    <t>Lentidão ou Indisponibilidade no acesso à Internet.</t>
  </si>
  <si>
    <t>Não navega em um site específico.</t>
  </si>
  <si>
    <t>Usuário não consegue navegar em um site específico.</t>
  </si>
  <si>
    <t>Instalação / Configuração de Client VPN.</t>
  </si>
  <si>
    <t>Erro de conexão VPN.</t>
  </si>
  <si>
    <t>VPN não conecta, Erro de VPN.</t>
  </si>
  <si>
    <t>Anexar e-mail com aprovação do acesso VPN ou informar JIRA que autorizou o acesso.</t>
  </si>
  <si>
    <t>Periféricos com mau funcionamento.</t>
  </si>
  <si>
    <t>Usuário com problemas com mouse, teclado, headset, etc.</t>
  </si>
  <si>
    <t>Configuração e Manutenção de Laptop.</t>
  </si>
  <si>
    <t>Perda e Roubo de Laptop.</t>
  </si>
  <si>
    <t>Aquisição de Laptop e/ou Periféricos.</t>
  </si>
  <si>
    <t>Solicitação de Laptop e/ou Periféricos (mouse, teclado, headset, etc.)</t>
  </si>
  <si>
    <t>Laptop lento, Laptop com problemas, Configuração de Laptop, etc.</t>
  </si>
  <si>
    <t>Rede</t>
  </si>
  <si>
    <t>Mapeamento de diretório ou pasta de rede.</t>
  </si>
  <si>
    <t>Lentidão ou Indisponibilidade no acesso à rede.</t>
  </si>
  <si>
    <t>Software</t>
  </si>
  <si>
    <t>Solicitação de Ramal.</t>
  </si>
  <si>
    <t>Configuração e Manutenção de Ramal.</t>
  </si>
  <si>
    <t>Problemas com ramal ou ligações.</t>
  </si>
  <si>
    <t>Configuração de Impressora.</t>
  </si>
  <si>
    <t>Erro ou Falha de Impressão.</t>
  </si>
  <si>
    <t>Verificação da Vídeo Conferência para uso.</t>
  </si>
  <si>
    <t>Erro ou Falha da Vídeo Conferência.</t>
  </si>
  <si>
    <t>Erros ou Falhas em equipamentos das Salas de Reunião.</t>
  </si>
  <si>
    <t>Instalação e Configuração de Software (básico).</t>
  </si>
  <si>
    <t>Instalação ou configuração de softwares básicos (Internet Explorer, Chrome, MS Office, Project, Visio, etc.).</t>
  </si>
  <si>
    <t>TI pra TI (Infra)</t>
  </si>
  <si>
    <t>MIDDLEWARE</t>
  </si>
  <si>
    <t>Lentidão ou Indisponibilidade</t>
  </si>
  <si>
    <t>Deploy</t>
  </si>
  <si>
    <t>Atualização de Configuração de Aplicação</t>
  </si>
  <si>
    <t>Erro ou Falha em Componentes</t>
  </si>
  <si>
    <t>Central de Atendimento</t>
  </si>
  <si>
    <t>Voucher</t>
  </si>
  <si>
    <t>Revalidação</t>
  </si>
  <si>
    <t>Emissão</t>
  </si>
  <si>
    <t>Transferência</t>
  </si>
  <si>
    <t>Não entrou a quantidade de milhas esperada na conta do cliente
Cliente comprou e a quantindade de milhas cretidata estava errada</t>
  </si>
  <si>
    <t>Falha na bonificação do cliente.</t>
  </si>
  <si>
    <t>Voucher com desconto incorreto
Voucher com data de expiração incorreta</t>
  </si>
  <si>
    <t>Não estão aparecendo as milhas para o cliente revalidar.</t>
  </si>
  <si>
    <t>Falha na bonificação relacionada a emissões.</t>
  </si>
  <si>
    <t>Falha na bonificação de transferências.</t>
  </si>
  <si>
    <t>Falha na bonificação de crédito retroativo.</t>
  </si>
  <si>
    <t>Erros de Promoção / Bonificação</t>
  </si>
  <si>
    <t>Crédito Retroativo</t>
  </si>
  <si>
    <t>Anexar a planilha padrão de chamados de promoção.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</si>
</sst>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0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 tint="-4.9989318521683403E-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68E1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0" fontId="0" fillId="4" borderId="1" xfId="0" applyFill="1" applyBorder="1"/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0" fontId="7" fillId="3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4" fillId="2" borderId="0" xfId="0" applyNumberFormat="1" applyFont="1" applyFill="1" applyAlignment="1">
      <alignment horizontal="right"/>
    </xf>
    <xf numFmtId="0" fontId="0" fillId="5" borderId="0" xfId="0" applyFill="1"/>
    <xf numFmtId="0" fontId="1" fillId="5" borderId="0" xfId="0" applyFont="1" applyFill="1" applyAlignment="1">
      <alignment horizontal="left"/>
    </xf>
    <xf numFmtId="0" fontId="2" fillId="5" borderId="0" xfId="0" applyFont="1" applyFill="1" applyAlignment="1">
      <alignment horizontal="left" vertical="center"/>
    </xf>
    <xf numFmtId="0" fontId="10" fillId="5" borderId="0" xfId="0" applyFont="1" applyFill="1" applyAlignment="1">
      <alignment horizontal="right"/>
    </xf>
    <xf numFmtId="14" fontId="10" fillId="5" borderId="0" xfId="0" applyNumberFormat="1" applyFont="1" applyFill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vertical="center" wrapText="1"/>
    </xf>
    <xf numFmtId="0" fontId="4" fillId="2" borderId="0" xfId="0" applyFont="1" applyFill="1" applyAlignment="1">
      <alignment horizontal="right" vertical="center" wrapText="1"/>
    </xf>
    <xf numFmtId="14" fontId="4" fillId="2" borderId="0" xfId="0" applyNumberFormat="1" applyFont="1" applyFill="1" applyAlignment="1">
      <alignment horizontal="right" vertical="center" wrapText="1"/>
    </xf>
    <xf numFmtId="0" fontId="0" fillId="0" borderId="0" xfId="0" applyAlignment="1">
      <alignment vertical="center" wrapText="1"/>
    </xf>
    <xf numFmtId="0" fontId="8" fillId="2" borderId="0" xfId="0" applyFont="1" applyFill="1" applyAlignment="1">
      <alignment vertical="center"/>
    </xf>
    <xf numFmtId="0" fontId="0" fillId="0" borderId="0" xfId="0" applyAlignment="1">
      <alignment horizontal="left" indent="1"/>
    </xf>
    <xf numFmtId="0" fontId="3" fillId="4" borderId="1" xfId="0" quotePrefix="1" applyFont="1" applyFill="1" applyBorder="1" applyAlignment="1">
      <alignment vertical="center"/>
    </xf>
    <xf numFmtId="0" fontId="0" fillId="2" borderId="0" xfId="0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3" fillId="6" borderId="1" xfId="0" applyFont="1" applyFill="1" applyBorder="1" applyAlignment="1">
      <alignment horizontal="left" vertical="center" indent="1"/>
    </xf>
    <xf numFmtId="0" fontId="3" fillId="7" borderId="1" xfId="0" applyFont="1" applyFill="1" applyBorder="1" applyAlignment="1">
      <alignment vertical="center"/>
    </xf>
    <xf numFmtId="0" fontId="11" fillId="2" borderId="0" xfId="0" applyFont="1" applyFill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" fillId="8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quotePrefix="1" applyFont="1" applyFill="1" applyBorder="1" applyAlignment="1">
      <alignment vertical="center" wrapText="1"/>
    </xf>
    <xf numFmtId="20" fontId="3" fillId="4" borderId="1" xfId="0" applyNumberFormat="1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9" fillId="5" borderId="0" xfId="0" applyFont="1" applyFill="1" applyAlignment="1">
      <alignment horizontal="left"/>
    </xf>
    <xf numFmtId="0" fontId="8" fillId="5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/>
    </xf>
  </cellXfs>
  <cellStyles count="1">
    <cellStyle name="Normal" xfId="0" builtinId="0"/>
  </cellStyles>
  <dxfs count="8">
    <dxf>
      <fill>
        <gradientFill type="path" left="0.5" right="0.5" top="0.5" bottom="0.5">
          <stop position="0">
            <color theme="0"/>
          </stop>
          <stop position="1">
            <color rgb="FFC0000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C0000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C0000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C0000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C0000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C0000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C0000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C00000"/>
          </stop>
        </gradientFill>
      </fill>
    </dxf>
  </dxfs>
  <tableStyles count="0" defaultTableStyle="TableStyleMedium2" defaultPivotStyle="PivotStyleLight16"/>
  <colors>
    <mruColors>
      <color rgb="FFF68E1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123825</xdr:rowOff>
    </xdr:from>
    <xdr:to>
      <xdr:col>1</xdr:col>
      <xdr:colOff>852940</xdr:colOff>
      <xdr:row>4</xdr:row>
      <xdr:rowOff>98425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clrChange>
            <a:clrFrom>
              <a:srgbClr val="F68E1E"/>
            </a:clrFrom>
            <a:clrTo>
              <a:srgbClr val="F68E1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t="19747" b="20253"/>
        <a:stretch/>
      </xdr:blipFill>
      <xdr:spPr>
        <a:xfrm>
          <a:off x="0" y="123825"/>
          <a:ext cx="1773690" cy="752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123825</xdr:rowOff>
    </xdr:from>
    <xdr:to>
      <xdr:col>0</xdr:col>
      <xdr:colOff>1773690</xdr:colOff>
      <xdr:row>4</xdr:row>
      <xdr:rowOff>57150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9747" b="20253"/>
        <a:stretch/>
      </xdr:blipFill>
      <xdr:spPr>
        <a:xfrm>
          <a:off x="0" y="123825"/>
          <a:ext cx="1773690" cy="752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123825</xdr:rowOff>
    </xdr:from>
    <xdr:to>
      <xdr:col>0</xdr:col>
      <xdr:colOff>1773690</xdr:colOff>
      <xdr:row>4</xdr:row>
      <xdr:rowOff>57150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9747" b="20253"/>
        <a:stretch/>
      </xdr:blipFill>
      <xdr:spPr>
        <a:xfrm>
          <a:off x="0" y="123825"/>
          <a:ext cx="1773690" cy="7524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123825</xdr:rowOff>
    </xdr:from>
    <xdr:to>
      <xdr:col>0</xdr:col>
      <xdr:colOff>1773690</xdr:colOff>
      <xdr:row>4</xdr:row>
      <xdr:rowOff>57150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9747" b="20253"/>
        <a:stretch/>
      </xdr:blipFill>
      <xdr:spPr>
        <a:xfrm>
          <a:off x="0" y="123825"/>
          <a:ext cx="1773690" cy="7524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123825</xdr:rowOff>
    </xdr:from>
    <xdr:to>
      <xdr:col>0</xdr:col>
      <xdr:colOff>1773690</xdr:colOff>
      <xdr:row>4</xdr:row>
      <xdr:rowOff>104775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9747" b="20253"/>
        <a:stretch/>
      </xdr:blipFill>
      <xdr:spPr>
        <a:xfrm>
          <a:off x="0" y="123825"/>
          <a:ext cx="1773690" cy="7524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123825</xdr:rowOff>
    </xdr:from>
    <xdr:to>
      <xdr:col>0</xdr:col>
      <xdr:colOff>1773690</xdr:colOff>
      <xdr:row>4</xdr:row>
      <xdr:rowOff>57150</xdr:rowOff>
    </xdr:to>
    <xdr:pic>
      <xdr:nvPicPr>
        <xdr:cNvPr id="2" name="Imagem 1"/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9747" b="20253"/>
        <a:stretch/>
      </xdr:blipFill>
      <xdr:spPr>
        <a:xfrm>
          <a:off x="0" y="123825"/>
          <a:ext cx="1773690" cy="75247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rge Filho" refreshedDate="42340.613202314817" createdVersion="6" refreshedVersion="6" minRefreshableVersion="3" recordCount="64">
  <cacheSource type="worksheet">
    <worksheetSource ref="A6:M338" sheet="Catálogo Negócio"/>
  </cacheSource>
  <cacheFields count="13">
    <cacheField name="Portal " numFmtId="0">
      <sharedItems containsBlank="1" count="2">
        <s v="CSTI - Negócio / Produtos"/>
        <m/>
      </sharedItems>
    </cacheField>
    <cacheField name="Produto ou Grupo" numFmtId="0">
      <sharedItems containsBlank="1" count="17">
        <s v="EDI"/>
        <s v="Relatórios / Arquivos"/>
        <s v="Shopping Smiles"/>
        <s v="Promoções"/>
        <s v="Compra de Milhas"/>
        <s v="Crédito de Vôo"/>
        <s v="Emissão "/>
        <s v="Fraude/Perda Financeira"/>
        <s v="Portal Parceiros"/>
        <s v="Reativação de Milhas"/>
        <s v="Siebel Loyalty"/>
        <s v="Site Smiles"/>
        <s v="Smiles Pay"/>
        <s v="Transferência de Milhas"/>
        <s v="URA"/>
        <s v="Clube Smiles"/>
        <m/>
      </sharedItems>
    </cacheField>
    <cacheField name="Item de Catálogo" numFmtId="0">
      <sharedItems containsBlank="1" count="36">
        <s v="Atraso ou Erro no Arquivo EDI - Parceiros Críticos"/>
        <s v="Atraso ou Erro no Arquivo EDI - Outros"/>
        <s v="Outras solicitações (EDI)"/>
        <s v="Erro no Arquivo Contábil "/>
        <s v="Erro no Arquivo Financeiro"/>
        <s v="Erro no Arquivo de Vendas"/>
        <s v="Execução pontual do Arquivo Contábil "/>
        <s v="Execução pontual do Arquivo Financeiro"/>
        <s v="Execução pontual do Arquivo de Vendas"/>
        <s v="Outras solicitações (Relatórios / Arquivos)"/>
        <s v="Cadastrar novo Parceiro"/>
        <s v="Página não abre / não carrega"/>
        <s v="Cliente não consegue resgatar"/>
        <s v="Outras solicitações (Shopping Smiles)"/>
        <s v="Cadastrar Novo Produto"/>
        <s v="Manutenção de Produto"/>
        <s v="Excluir Produto"/>
        <s v="Cadastrar Novo Parceiro (Aéreo)"/>
        <s v="Manutenção de Parceiro (Aéreo)"/>
        <s v="Excluir Parceiro (Aéreo)"/>
        <s v="Cadastrar Novo Parceiro (Não Aéreo)"/>
        <s v="Manutenção de Parceiro (Não Aéreo)"/>
        <s v="Excluir Parceiro (Não Aéreo)"/>
        <s v="Cadastrar Nova Promoção"/>
        <s v="Encerrar Promoção"/>
        <s v="Manutenção de Promoção "/>
        <s v="Promoção com erro "/>
        <s v="Prorrogar Promoção"/>
        <s v="Reativar Promoção"/>
        <s v="Bonificação Manual"/>
        <s v="Criar Voucher"/>
        <s v="Conceder Voucher "/>
        <s v="Prorrogar Voucher "/>
        <s v="Regularizar Voucher"/>
        <s v="Excluir Voucher"/>
        <m/>
      </sharedItems>
    </cacheField>
    <cacheField name="Subtítulo" numFmtId="0">
      <sharedItems containsBlank="1"/>
    </cacheField>
    <cacheField name="Carac" numFmtId="0">
      <sharedItems containsString="0" containsBlank="1" containsNumber="1" containsInteger="1" minValue="0" maxValue="125"/>
    </cacheField>
    <cacheField name="Tipo de Chamado" numFmtId="0">
      <sharedItems containsBlank="1"/>
    </cacheField>
    <cacheField name="Grupo Solucionador" numFmtId="0">
      <sharedItems containsNonDate="0" containsString="0" containsBlank="1"/>
    </cacheField>
    <cacheField name="Prioridade" numFmtId="0">
      <sharedItems containsNonDate="0" containsString="0" containsBlank="1"/>
    </cacheField>
    <cacheField name="SLA de Resposta" numFmtId="0">
      <sharedItems containsNonDate="0" containsString="0" containsBlank="1"/>
    </cacheField>
    <cacheField name="SLA de Resolução" numFmtId="0">
      <sharedItems containsNonDate="0" containsString="0" containsBlank="1"/>
    </cacheField>
    <cacheField name="Envio de _x000a_Feedback" numFmtId="0">
      <sharedItems containsBlank="1"/>
    </cacheField>
    <cacheField name="Anexo?" numFmtId="0">
      <sharedItems containsBlank="1"/>
    </cacheField>
    <cacheField name="Atributos mínimos _x000a_para atendiment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4">
  <r>
    <x v="0"/>
    <x v="0"/>
    <x v="0"/>
    <s v="Itaú (ISP), Bradesco (BBR), HSBC (HSB), Caixa Econômica (CE2), Santander (SAB), Banco do Brasil (BDB)."/>
    <n v="102"/>
    <s v="Incidente Crítico"/>
    <m/>
    <m/>
    <m/>
    <m/>
    <s v="Sim"/>
    <s v="Não"/>
    <s v="Informar parceiro(s) afetados(s) e a falha que está sendo percebida."/>
  </r>
  <r>
    <x v="0"/>
    <x v="0"/>
    <x v="1"/>
    <s v="Reportar atraso ou erro no envio de arquivos EDI de OUTROS parceiros."/>
    <n v="69"/>
    <s v="Incidente"/>
    <m/>
    <m/>
    <m/>
    <m/>
    <s v="Sim"/>
    <s v="Não"/>
    <s v="Informar parceiro(s) afetados(s) e a falha que está sendo percebida."/>
  </r>
  <r>
    <x v="0"/>
    <x v="0"/>
    <x v="2"/>
    <s v="Caso não tenha encontrado a opção adequada, utilizar esta categoria para abrir seu chamado."/>
    <n v="91"/>
    <s v="Solicitação"/>
    <m/>
    <m/>
    <m/>
    <m/>
    <s v="Sim"/>
    <s v="Sim"/>
    <s v="Informar detalhadamente sua necessidade ou falha identificada, para que possamos compreendê-la e prover a adequada tratativa. Caso possua algum documento ou &quot;print de tela&quot; que nos ajude no entendimento, favor anexar ao chamado."/>
  </r>
  <r>
    <x v="0"/>
    <x v="1"/>
    <x v="3"/>
    <s v="Falha de abertura do arquivo ou inconsistência de informações."/>
    <n v="62"/>
    <s v="Incidente"/>
    <m/>
    <m/>
    <m/>
    <m/>
    <s v="Sim"/>
    <s v="Não"/>
    <s v="Em caso de inconsistência de informações, detalhar os dados divergentes para que possamos avaliar e indentificar onde se encontra(m) o(s) erro(s)."/>
  </r>
  <r>
    <x v="0"/>
    <x v="1"/>
    <x v="4"/>
    <s v="Falha de abertura do arquivo ou inconsistência de informações."/>
    <n v="62"/>
    <s v="Incidente"/>
    <m/>
    <m/>
    <m/>
    <m/>
    <s v="Sim"/>
    <s v="Não"/>
    <s v="Em caso de inconsistência de informações, detalhar os dados divergentes para que possamos avaliar e indentificar onde se encontra(m) o(s) erro(s)."/>
  </r>
  <r>
    <x v="0"/>
    <x v="1"/>
    <x v="5"/>
    <s v="Falha de abertura do arquivo ou inconsistência de informações."/>
    <n v="62"/>
    <s v="Incidente"/>
    <m/>
    <m/>
    <m/>
    <m/>
    <s v="Sim"/>
    <s v="Não"/>
    <s v="Em caso de inconsistência de informações, detalhar os dados divergentes para que possamos avaliar e indentificar onde se encontra(m) o(s) erro(s)."/>
  </r>
  <r>
    <x v="0"/>
    <x v="1"/>
    <x v="6"/>
    <s v="Reportar a necessidade de execução pontual do Arquivo Contábil, além da frequência pré-estabelecida (diária, mensal, etc.)."/>
    <n v="123"/>
    <s v="Solicitação"/>
    <m/>
    <m/>
    <m/>
    <m/>
    <s v="Sim"/>
    <s v="Sim"/>
    <s v="Informar a data de execução pontual do Arquivo Contábil e os parâmetros necessários para sua geração."/>
  </r>
  <r>
    <x v="0"/>
    <x v="1"/>
    <x v="7"/>
    <s v="Reportar a necessidade de execução pontual do Arquivo Financeiro, além da frequência pré-estabelecida (diária, mensal, etc.)."/>
    <n v="125"/>
    <s v="Solicitação"/>
    <m/>
    <m/>
    <m/>
    <m/>
    <s v="Sim"/>
    <s v="Sim"/>
    <s v="Informar a data de execução pontual do Arquivo Financeiro e os parâmetros necessários para sua geração."/>
  </r>
  <r>
    <x v="0"/>
    <x v="1"/>
    <x v="8"/>
    <s v="Reportar a necessidade de execução pontual do Arquivo de Vendas, além da frequência pré-estabelecida (diária, mensal, etc.)."/>
    <n v="124"/>
    <s v="Solicitação"/>
    <m/>
    <m/>
    <m/>
    <m/>
    <s v="Sim"/>
    <s v="Sim"/>
    <s v="Informar a data de execução pontual do Arquivo de Vendas e os parâmetros necessários para sua geração."/>
  </r>
  <r>
    <x v="0"/>
    <x v="1"/>
    <x v="9"/>
    <s v="Caso não tenha encontrado a opção adequada, utilizar esta categoria para abrir seu chamado."/>
    <n v="91"/>
    <s v="Solicitação"/>
    <m/>
    <m/>
    <m/>
    <m/>
    <s v="Sim"/>
    <s v="Sim"/>
    <s v="Informar detalhadamente sua necessidade ou falha identificada, para que possamos compreendê-la e prover a adequada tratativa. Caso possua algum documento ou &quot;print de tela&quot; que nos ajude no entendimento, favor anexar ao chamado."/>
  </r>
  <r>
    <x v="0"/>
    <x v="2"/>
    <x v="10"/>
    <s v="Cadastrar novo parceiro no Shopping Smiles."/>
    <n v="43"/>
    <s v="Solicitação"/>
    <m/>
    <m/>
    <m/>
    <m/>
    <s v="Sim"/>
    <s v="Não"/>
    <s v="Informar o ambiente Siebel onde o parceiro será cadastrato (Produção e/ou Teste); o Nome do Parceiro e o Código do Parceiro."/>
  </r>
  <r>
    <x v="0"/>
    <x v="2"/>
    <x v="11"/>
    <s v="Shopping Smiles não carrega, Erros na página do Shopping Smiles."/>
    <n v="64"/>
    <s v="Incidente Crítico"/>
    <m/>
    <m/>
    <m/>
    <m/>
    <s v="Sim"/>
    <s v="Sim"/>
    <s v="Em caso de mensagem de erro, informar a mensagem e anexar o &quot;print da tela&quot; do erro."/>
  </r>
  <r>
    <x v="0"/>
    <x v="2"/>
    <x v="12"/>
    <s v="Cliente não consegue resgatar no Shopping Smiles."/>
    <n v="49"/>
    <s v="Incidente"/>
    <m/>
    <m/>
    <m/>
    <m/>
    <s v="Sim"/>
    <s v="Sim"/>
    <s v="Informar o &quot;CPF&quot; do Cliente, o &quot;Código de Participante&quot; do Cliente e também data da transação, &quot;print da tela&quot; do erro (caso aplicável)."/>
  </r>
  <r>
    <x v="0"/>
    <x v="2"/>
    <x v="13"/>
    <s v="Caso não tenha encontrado a opção adequada, utilizar esta categoria para abrir seu chamado."/>
    <n v="91"/>
    <s v="Solicitação"/>
    <m/>
    <m/>
    <m/>
    <m/>
    <s v="Sim"/>
    <s v="Sim"/>
    <s v="Informar detalhadamente sua necessidade ou falha identificada, para que possamos compreendê-la e prover a adequada tratativa. Caso possua algum documento ou &quot;print de tela&quot; que nos ajude no entendimento, favor anexar ao chamado."/>
  </r>
  <r>
    <x v="0"/>
    <x v="3"/>
    <x v="14"/>
    <s v="Criar Produto, Incluir Produto, Novo Produto"/>
    <n v="44"/>
    <s v="Solicitação"/>
    <m/>
    <m/>
    <m/>
    <m/>
    <s v="Sim"/>
    <s v="Não"/>
    <s v="Informar o ambiente Siebel onde o Produto será cadastrado (Produção e/ou Teste) e em qual Parceiro estará vinculado."/>
  </r>
  <r>
    <x v="0"/>
    <x v="3"/>
    <x v="15"/>
    <s v="Alteração de Produto"/>
    <n v="20"/>
    <s v="Solicitação"/>
    <m/>
    <m/>
    <m/>
    <m/>
    <s v="Sim"/>
    <s v="Não"/>
    <s v="Informar os itens ou parâmetros que necessitam ser alterados, o ambiente Siebel onde o Produto está cadastrado (Produção e/ou Teste) e também o Nome do Produto."/>
  </r>
  <r>
    <x v="0"/>
    <x v="3"/>
    <x v="16"/>
    <s v="Descadastrar Produto"/>
    <n v="20"/>
    <s v="Solicitação"/>
    <m/>
    <m/>
    <m/>
    <m/>
    <s v="Sim"/>
    <s v="Não"/>
    <s v="Informar o ambiente Siebel onde o produto está cadastrado (Produção e/ou Teste), o &quot;Alias&quot; e Nome do Parceiro a ser excluído."/>
  </r>
  <r>
    <x v="0"/>
    <x v="3"/>
    <x v="17"/>
    <s v="Criar Novo Parceiro (Aéreo)"/>
    <n v="27"/>
    <s v="Solicitação"/>
    <m/>
    <m/>
    <m/>
    <m/>
    <s v="Sim"/>
    <s v="Não"/>
    <s v="Informar o ambiente Siebel onde o parceiro será cadastrado (Produção e/ou Teste), &quot;Alias&quot;, Nome do Parceiro e os Produtos do Parceiro."/>
  </r>
  <r>
    <x v="0"/>
    <x v="3"/>
    <x v="18"/>
    <s v="Alteração de Parceiro (Aéreo)"/>
    <n v="29"/>
    <s v="Solicitação"/>
    <m/>
    <m/>
    <m/>
    <m/>
    <s v="Sim"/>
    <s v="Não"/>
    <s v="Informar os itens ou parâmetros que necessitam ser alterados, o ambiente Siebel onde o parceiro está cadastrado (Produção e/ou Teste) e também o &quot;Alias&quot; e o Nome do Parceiro."/>
  </r>
  <r>
    <x v="0"/>
    <x v="3"/>
    <x v="19"/>
    <s v="Descadastrar Parceiro (Aéreo)"/>
    <n v="29"/>
    <s v="Solicitação"/>
    <m/>
    <m/>
    <m/>
    <m/>
    <s v="Sim"/>
    <s v="Não"/>
    <s v="Informar o ambiente Siebel onde o parceiro está cadastrado (Produção e/ou Teste), o &quot;Alias&quot; e Nome do Parceiro a ser excluído."/>
  </r>
  <r>
    <x v="0"/>
    <x v="3"/>
    <x v="20"/>
    <s v="Criar Novo Parceiro (Não Aéreo)"/>
    <m/>
    <s v="Solicitação"/>
    <m/>
    <m/>
    <m/>
    <m/>
    <s v="Sim"/>
    <s v="Não"/>
    <s v="Informar o ambiente Siebel onde o parceiro será cadastrado (Produção e/ou Teste), &quot;Alias&quot;, Nome do Parceiro e os Produtos do Parceiro."/>
  </r>
  <r>
    <x v="0"/>
    <x v="3"/>
    <x v="21"/>
    <s v="Alteração de Parceiro (Não Aéreo)"/>
    <m/>
    <s v="Solicitação"/>
    <m/>
    <m/>
    <m/>
    <m/>
    <s v="Sim"/>
    <s v="Não"/>
    <s v="Informar os itens ou parâmetros que necessitam ser alterados, o ambiente Siebel onde o parceiro está cadastrado (Produção e/ou Teste) e também o &quot;Alias&quot; e o Nome do Parceiro."/>
  </r>
  <r>
    <x v="0"/>
    <x v="3"/>
    <x v="22"/>
    <s v="Descadastrar Parceiro (Não Aéreo)"/>
    <m/>
    <s v="Solicitação"/>
    <m/>
    <m/>
    <m/>
    <m/>
    <s v="Sim"/>
    <s v="Não"/>
    <s v="Informar o ambiente Siebel onde o parceiro está cadastrado (Produção e/ou Teste), o &quot;Alias&quot; e Nome do Parceiro a ser excluído."/>
  </r>
  <r>
    <x v="0"/>
    <x v="3"/>
    <x v="23"/>
    <s v="Criar Promoção, Incluir Promoção, Nova Promoção"/>
    <n v="47"/>
    <s v="Solicitação"/>
    <m/>
    <m/>
    <m/>
    <m/>
    <s v="Sim"/>
    <s v="Sim"/>
    <m/>
  </r>
  <r>
    <x v="0"/>
    <x v="3"/>
    <x v="24"/>
    <s v="Cancelar Promoção"/>
    <n v="17"/>
    <s v="Solicitação"/>
    <m/>
    <m/>
    <m/>
    <m/>
    <s v="Sim"/>
    <m/>
    <m/>
  </r>
  <r>
    <x v="0"/>
    <x v="3"/>
    <x v="25"/>
    <s v="Alteração de Promoção"/>
    <n v="21"/>
    <s v="Solicitação"/>
    <m/>
    <m/>
    <m/>
    <m/>
    <s v="Sim"/>
    <m/>
    <m/>
  </r>
  <r>
    <x v="0"/>
    <x v="3"/>
    <x v="26"/>
    <s v="Erro de Promoção, Promoção não bonificou Cliente"/>
    <n v="48"/>
    <s v="Incidente"/>
    <m/>
    <m/>
    <m/>
    <m/>
    <s v="Sim"/>
    <m/>
    <m/>
  </r>
  <r>
    <x v="0"/>
    <x v="3"/>
    <x v="27"/>
    <s v="Alterar datas de vigência, promoção deve voltar em, promoção deverá voltar em"/>
    <n v="77"/>
    <s v="Solicitação"/>
    <m/>
    <m/>
    <m/>
    <m/>
    <s v="Sim"/>
    <m/>
    <m/>
  </r>
  <r>
    <x v="0"/>
    <x v="3"/>
    <x v="28"/>
    <s v="Reativar Campanha"/>
    <n v="17"/>
    <s v="Solicitação"/>
    <m/>
    <m/>
    <m/>
    <m/>
    <s v="Sim"/>
    <m/>
    <m/>
  </r>
  <r>
    <x v="0"/>
    <x v="3"/>
    <x v="29"/>
    <s v="Realizar Bonificação, Bonificar"/>
    <n v="31"/>
    <s v="Solicitação"/>
    <m/>
    <m/>
    <m/>
    <m/>
    <s v="Sim"/>
    <m/>
    <m/>
  </r>
  <r>
    <x v="0"/>
    <x v="3"/>
    <x v="30"/>
    <s v="Cadastrar Novo Voucher"/>
    <n v="22"/>
    <s v="Solicitação"/>
    <m/>
    <m/>
    <m/>
    <m/>
    <s v="Sim"/>
    <m/>
    <m/>
  </r>
  <r>
    <x v="0"/>
    <x v="3"/>
    <x v="31"/>
    <s v="Disponibilizar ou Atribuir Voucher"/>
    <n v="34"/>
    <s v="Solicitação"/>
    <m/>
    <m/>
    <m/>
    <m/>
    <s v="Sim"/>
    <m/>
    <m/>
  </r>
  <r>
    <x v="0"/>
    <x v="3"/>
    <x v="32"/>
    <s v="Alterar datas de vigência ou expiração do Voucher"/>
    <n v="49"/>
    <s v="Solicitação"/>
    <m/>
    <m/>
    <m/>
    <m/>
    <s v="Sim"/>
    <m/>
    <m/>
  </r>
  <r>
    <x v="0"/>
    <x v="3"/>
    <x v="33"/>
    <s v="Regularizar Voucher"/>
    <n v="19"/>
    <s v="Solicitação"/>
    <m/>
    <m/>
    <m/>
    <m/>
    <s v="Sim"/>
    <m/>
    <m/>
  </r>
  <r>
    <x v="0"/>
    <x v="3"/>
    <x v="34"/>
    <s v="Cancelar Voucher"/>
    <n v="16"/>
    <s v="Solicitação"/>
    <m/>
    <m/>
    <m/>
    <m/>
    <s v="Sim"/>
    <m/>
    <m/>
  </r>
  <r>
    <x v="0"/>
    <x v="4"/>
    <x v="35"/>
    <m/>
    <n v="0"/>
    <m/>
    <m/>
    <m/>
    <m/>
    <m/>
    <s v="Sim"/>
    <m/>
    <m/>
  </r>
  <r>
    <x v="0"/>
    <x v="5"/>
    <x v="35"/>
    <m/>
    <n v="0"/>
    <m/>
    <m/>
    <m/>
    <m/>
    <m/>
    <s v="Sim"/>
    <m/>
    <m/>
  </r>
  <r>
    <x v="0"/>
    <x v="6"/>
    <x v="35"/>
    <m/>
    <n v="0"/>
    <m/>
    <m/>
    <m/>
    <m/>
    <m/>
    <s v="Sim"/>
    <m/>
    <m/>
  </r>
  <r>
    <x v="0"/>
    <x v="7"/>
    <x v="35"/>
    <m/>
    <n v="0"/>
    <m/>
    <m/>
    <m/>
    <m/>
    <m/>
    <s v="Sim"/>
    <m/>
    <m/>
  </r>
  <r>
    <x v="0"/>
    <x v="8"/>
    <x v="35"/>
    <m/>
    <n v="0"/>
    <m/>
    <m/>
    <m/>
    <m/>
    <m/>
    <s v="Sim"/>
    <m/>
    <m/>
  </r>
  <r>
    <x v="0"/>
    <x v="9"/>
    <x v="35"/>
    <m/>
    <n v="0"/>
    <m/>
    <m/>
    <m/>
    <m/>
    <m/>
    <s v="Sim"/>
    <m/>
    <m/>
  </r>
  <r>
    <x v="0"/>
    <x v="10"/>
    <x v="35"/>
    <m/>
    <n v="0"/>
    <m/>
    <m/>
    <m/>
    <m/>
    <m/>
    <s v="Sim"/>
    <m/>
    <m/>
  </r>
  <r>
    <x v="0"/>
    <x v="11"/>
    <x v="35"/>
    <m/>
    <n v="0"/>
    <m/>
    <m/>
    <m/>
    <m/>
    <m/>
    <s v="Sim"/>
    <m/>
    <m/>
  </r>
  <r>
    <x v="0"/>
    <x v="12"/>
    <x v="35"/>
    <m/>
    <n v="0"/>
    <m/>
    <m/>
    <m/>
    <m/>
    <m/>
    <s v="Sim"/>
    <m/>
    <m/>
  </r>
  <r>
    <x v="0"/>
    <x v="13"/>
    <x v="35"/>
    <m/>
    <n v="0"/>
    <m/>
    <m/>
    <m/>
    <m/>
    <m/>
    <s v="Sim"/>
    <m/>
    <m/>
  </r>
  <r>
    <x v="0"/>
    <x v="14"/>
    <x v="35"/>
    <m/>
    <n v="0"/>
    <m/>
    <m/>
    <m/>
    <m/>
    <m/>
    <s v="Sim"/>
    <m/>
    <m/>
  </r>
  <r>
    <x v="0"/>
    <x v="15"/>
    <x v="35"/>
    <m/>
    <n v="0"/>
    <m/>
    <m/>
    <m/>
    <m/>
    <m/>
    <s v="Sim"/>
    <m/>
    <m/>
  </r>
  <r>
    <x v="0"/>
    <x v="15"/>
    <x v="35"/>
    <m/>
    <n v="0"/>
    <m/>
    <m/>
    <m/>
    <m/>
    <m/>
    <s v="Sim"/>
    <m/>
    <m/>
  </r>
  <r>
    <x v="0"/>
    <x v="15"/>
    <x v="35"/>
    <m/>
    <n v="0"/>
    <m/>
    <m/>
    <m/>
    <m/>
    <m/>
    <s v="Sim"/>
    <m/>
    <m/>
  </r>
  <r>
    <x v="0"/>
    <x v="15"/>
    <x v="35"/>
    <m/>
    <n v="0"/>
    <m/>
    <m/>
    <m/>
    <m/>
    <m/>
    <s v="Sim"/>
    <m/>
    <m/>
  </r>
  <r>
    <x v="0"/>
    <x v="15"/>
    <x v="35"/>
    <m/>
    <n v="0"/>
    <m/>
    <m/>
    <m/>
    <m/>
    <m/>
    <s v="Sim"/>
    <m/>
    <m/>
  </r>
  <r>
    <x v="0"/>
    <x v="15"/>
    <x v="35"/>
    <m/>
    <n v="0"/>
    <m/>
    <m/>
    <m/>
    <m/>
    <m/>
    <s v="Sim"/>
    <m/>
    <m/>
  </r>
  <r>
    <x v="0"/>
    <x v="15"/>
    <x v="35"/>
    <m/>
    <n v="0"/>
    <m/>
    <m/>
    <m/>
    <m/>
    <m/>
    <s v="Sim"/>
    <m/>
    <m/>
  </r>
  <r>
    <x v="0"/>
    <x v="15"/>
    <x v="35"/>
    <m/>
    <n v="0"/>
    <m/>
    <m/>
    <m/>
    <m/>
    <m/>
    <s v="Sim"/>
    <m/>
    <m/>
  </r>
  <r>
    <x v="0"/>
    <x v="15"/>
    <x v="35"/>
    <m/>
    <n v="0"/>
    <m/>
    <m/>
    <m/>
    <m/>
    <m/>
    <s v="Sim"/>
    <m/>
    <m/>
  </r>
  <r>
    <x v="0"/>
    <x v="15"/>
    <x v="35"/>
    <m/>
    <n v="0"/>
    <m/>
    <m/>
    <m/>
    <m/>
    <m/>
    <s v="Sim"/>
    <m/>
    <m/>
  </r>
  <r>
    <x v="0"/>
    <x v="15"/>
    <x v="35"/>
    <m/>
    <n v="0"/>
    <m/>
    <m/>
    <m/>
    <m/>
    <m/>
    <s v="Sim"/>
    <m/>
    <m/>
  </r>
  <r>
    <x v="0"/>
    <x v="15"/>
    <x v="35"/>
    <m/>
    <n v="0"/>
    <m/>
    <m/>
    <m/>
    <m/>
    <m/>
    <s v="Sim"/>
    <m/>
    <m/>
  </r>
  <r>
    <x v="0"/>
    <x v="15"/>
    <x v="35"/>
    <m/>
    <n v="0"/>
    <m/>
    <m/>
    <m/>
    <m/>
    <m/>
    <s v="Sim"/>
    <m/>
    <m/>
  </r>
  <r>
    <x v="1"/>
    <x v="16"/>
    <x v="35"/>
    <m/>
    <n v="0"/>
    <m/>
    <m/>
    <m/>
    <m/>
    <m/>
    <s v="Sim"/>
    <m/>
    <m/>
  </r>
  <r>
    <x v="1"/>
    <x v="16"/>
    <x v="35"/>
    <m/>
    <n v="0"/>
    <m/>
    <m/>
    <m/>
    <m/>
    <m/>
    <s v="Sim"/>
    <m/>
    <m/>
  </r>
  <r>
    <x v="1"/>
    <x v="16"/>
    <x v="35"/>
    <m/>
    <n v="0"/>
    <m/>
    <m/>
    <m/>
    <m/>
    <m/>
    <s v="Sim"/>
    <m/>
    <m/>
  </r>
  <r>
    <x v="1"/>
    <x v="16"/>
    <x v="35"/>
    <m/>
    <m/>
    <m/>
    <m/>
    <m/>
    <m/>
    <m/>
    <s v="Sim"/>
    <m/>
    <m/>
  </r>
  <r>
    <x v="1"/>
    <x v="16"/>
    <x v="35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5" indent="0" showHeaders="0" outline="1" outlineData="1" multipleFieldFilters="0">
  <location ref="A7:A24" firstHeaderRow="0" firstDataRow="0" firstDataCol="1"/>
  <pivotFields count="13">
    <pivotField axis="axisRow" showAll="0">
      <items count="3">
        <item h="1" x="1"/>
        <item x="0"/>
        <item t="default" sd="0"/>
      </items>
    </pivotField>
    <pivotField axis="axisRow" showAll="0">
      <items count="18">
        <item sd="0" x="16"/>
        <item sd="0" x="4"/>
        <item sd="0" x="3"/>
        <item sd="0" x="13"/>
        <item sd="0" x="0"/>
        <item sd="0" x="1"/>
        <item sd="0" x="2"/>
        <item sd="0" x="5"/>
        <item sd="0" x="6"/>
        <item sd="0" x="7"/>
        <item sd="0" x="8"/>
        <item sd="0" x="9"/>
        <item sd="0" x="10"/>
        <item sd="0" x="11"/>
        <item sd="0" x="12"/>
        <item sd="0" x="14"/>
        <item sd="0" x="15"/>
        <item t="default" sd="0"/>
      </items>
    </pivotField>
    <pivotField axis="axisRow" showAll="0">
      <items count="37">
        <item x="35"/>
        <item x="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1"/>
        <item x="32"/>
        <item x="33"/>
        <item x="34"/>
        <item t="default"/>
      </items>
    </pivotField>
    <pivotField showAll="0" defaultSubtotal="0"/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0"/>
    <field x="1"/>
    <field x="2"/>
  </rowFields>
  <rowItems count="18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grand">
      <x/>
    </i>
  </rowItems>
  <colItems count="1">
    <i/>
  </colItem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L17"/>
  <sheetViews>
    <sheetView showGridLines="0" zoomScaleNormal="100" workbookViewId="0">
      <selection activeCell="D14" sqref="D14"/>
    </sheetView>
  </sheetViews>
  <sheetFormatPr defaultRowHeight="15" x14ac:dyDescent="0.25"/>
  <cols>
    <col min="1" max="1" width="13.7109375" customWidth="1"/>
    <col min="2" max="2" width="16.85546875" bestFit="1" customWidth="1"/>
    <col min="3" max="3" width="16.140625" customWidth="1"/>
    <col min="4" max="4" width="16.42578125" bestFit="1" customWidth="1"/>
    <col min="5" max="12" width="13.7109375" customWidth="1"/>
  </cols>
  <sheetData>
    <row r="1" spans="1:12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 ht="15.75" x14ac:dyDescent="0.25">
      <c r="A2" s="8"/>
      <c r="B2" s="8"/>
      <c r="C2" s="47" t="s">
        <v>1</v>
      </c>
      <c r="D2" s="47"/>
      <c r="E2" s="47"/>
      <c r="F2" s="47"/>
      <c r="G2" s="47"/>
      <c r="H2" s="9"/>
      <c r="I2" s="8"/>
      <c r="J2" s="8"/>
      <c r="K2" s="8"/>
      <c r="L2" s="8"/>
    </row>
    <row r="3" spans="1:12" ht="15" customHeight="1" x14ac:dyDescent="0.25">
      <c r="A3" s="8"/>
      <c r="B3" s="8"/>
      <c r="C3" s="48" t="s">
        <v>7</v>
      </c>
      <c r="D3" s="48"/>
      <c r="E3" s="48"/>
      <c r="F3" s="48"/>
      <c r="G3" s="48"/>
      <c r="H3" s="10"/>
      <c r="I3" s="8"/>
      <c r="J3" s="8"/>
      <c r="K3" s="8"/>
      <c r="L3" s="8"/>
    </row>
    <row r="4" spans="1:12" ht="15" customHeight="1" x14ac:dyDescent="0.25">
      <c r="A4" s="8"/>
      <c r="B4" s="8"/>
      <c r="C4" s="48"/>
      <c r="D4" s="48"/>
      <c r="E4" s="48"/>
      <c r="F4" s="48"/>
      <c r="G4" s="48"/>
      <c r="H4" s="10"/>
      <c r="I4" s="8"/>
      <c r="J4" s="8"/>
      <c r="K4" s="8"/>
      <c r="L4" s="11" t="s">
        <v>2</v>
      </c>
    </row>
    <row r="5" spans="1:12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12">
        <v>42339</v>
      </c>
    </row>
    <row r="6" spans="1:12" s="6" customFormat="1" ht="12.75" x14ac:dyDescent="0.2">
      <c r="A6" s="5" t="s">
        <v>4</v>
      </c>
      <c r="B6" s="5" t="s">
        <v>5</v>
      </c>
      <c r="C6" s="5" t="s">
        <v>3</v>
      </c>
      <c r="D6" s="5" t="s">
        <v>6</v>
      </c>
      <c r="E6" s="5"/>
      <c r="F6" s="5"/>
      <c r="G6" s="5"/>
      <c r="H6" s="5"/>
      <c r="I6" s="5"/>
      <c r="J6" s="5"/>
      <c r="K6" s="5"/>
      <c r="L6" s="5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</sheetData>
  <mergeCells count="2">
    <mergeCell ref="C2:G2"/>
    <mergeCell ref="C3:G4"/>
  </mergeCells>
  <pageMargins left="0.511811024" right="0.511811024" top="0.78740157499999996" bottom="0.78740157499999996" header="0.31496062000000002" footer="0.31496062000000002"/>
  <pageSetup paperSize="9" scale="53" orientation="portrait" verticalDpi="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68E1E"/>
  </sheetPr>
  <dimension ref="A1:M57"/>
  <sheetViews>
    <sheetView showGridLines="0" zoomScaleNormal="100" workbookViewId="0">
      <pane xSplit="3" ySplit="6" topLeftCell="K28" activePane="bottomRight" state="frozen"/>
      <selection pane="topRight" activeCell="D1" sqref="D1"/>
      <selection pane="bottomLeft" activeCell="A7" sqref="A7"/>
      <selection pane="bottomRight" activeCell="M27" sqref="M27"/>
    </sheetView>
  </sheetViews>
  <sheetFormatPr defaultRowHeight="18.75" x14ac:dyDescent="0.25"/>
  <cols>
    <col min="1" max="1" width="27.85546875" style="36" customWidth="1"/>
    <col min="2" max="2" width="22.28515625" style="36" bestFit="1" customWidth="1"/>
    <col min="3" max="3" width="40.7109375" style="19" bestFit="1" customWidth="1"/>
    <col min="4" max="4" width="55.140625" style="30" customWidth="1"/>
    <col min="5" max="5" width="5.5703125" style="41" bestFit="1" customWidth="1"/>
    <col min="6" max="6" width="16.42578125" style="19" bestFit="1" customWidth="1"/>
    <col min="7" max="7" width="18.42578125" style="19" customWidth="1"/>
    <col min="8" max="8" width="13.7109375" style="19" customWidth="1"/>
    <col min="9" max="9" width="13.85546875" style="19" bestFit="1" customWidth="1"/>
    <col min="10" max="10" width="14.5703125" style="19" bestFit="1" customWidth="1"/>
    <col min="11" max="12" width="13.7109375" style="26" customWidth="1"/>
    <col min="13" max="13" width="60.7109375" style="30" customWidth="1"/>
    <col min="14" max="16384" width="9.140625" style="19"/>
  </cols>
  <sheetData>
    <row r="1" spans="1:13" x14ac:dyDescent="0.25">
      <c r="A1" s="34"/>
      <c r="B1" s="34"/>
      <c r="C1" s="17"/>
      <c r="D1" s="27"/>
      <c r="E1" s="39"/>
      <c r="F1" s="17"/>
      <c r="G1" s="17"/>
      <c r="H1" s="17"/>
      <c r="I1" s="17"/>
      <c r="J1" s="17"/>
      <c r="K1" s="18"/>
      <c r="L1" s="18"/>
      <c r="M1" s="27"/>
    </row>
    <row r="2" spans="1:13" ht="15.75" x14ac:dyDescent="0.25">
      <c r="A2" s="34"/>
      <c r="B2" s="34"/>
      <c r="C2" s="50" t="s">
        <v>1</v>
      </c>
      <c r="D2" s="50"/>
      <c r="E2" s="50"/>
      <c r="F2" s="50"/>
      <c r="G2" s="50"/>
      <c r="H2" s="50"/>
      <c r="I2" s="50"/>
      <c r="J2" s="50"/>
      <c r="K2" s="20"/>
      <c r="L2" s="20"/>
      <c r="M2" s="27"/>
    </row>
    <row r="3" spans="1:13" ht="15" customHeight="1" x14ac:dyDescent="0.25">
      <c r="A3" s="34"/>
      <c r="B3" s="34"/>
      <c r="C3" s="49" t="s">
        <v>0</v>
      </c>
      <c r="D3" s="49"/>
      <c r="E3" s="49"/>
      <c r="F3" s="49"/>
      <c r="G3" s="49"/>
      <c r="H3" s="49"/>
      <c r="I3" s="49"/>
      <c r="J3" s="49"/>
      <c r="K3" s="3"/>
      <c r="L3" s="3"/>
      <c r="M3" s="27"/>
    </row>
    <row r="4" spans="1:13" ht="15" customHeight="1" x14ac:dyDescent="0.25">
      <c r="A4" s="34"/>
      <c r="B4" s="34"/>
      <c r="C4" s="49"/>
      <c r="D4" s="49"/>
      <c r="E4" s="49"/>
      <c r="F4" s="49"/>
      <c r="G4" s="49"/>
      <c r="H4" s="49"/>
      <c r="I4" s="49"/>
      <c r="J4" s="49"/>
      <c r="K4" s="3"/>
      <c r="L4" s="3"/>
      <c r="M4" s="28" t="s">
        <v>2</v>
      </c>
    </row>
    <row r="5" spans="1:13" x14ac:dyDescent="0.25">
      <c r="A5" s="34"/>
      <c r="B5" s="34"/>
      <c r="C5" s="17"/>
      <c r="D5" s="27"/>
      <c r="E5" s="39"/>
      <c r="F5" s="17"/>
      <c r="G5" s="17"/>
      <c r="H5" s="17"/>
      <c r="I5" s="17"/>
      <c r="J5" s="17"/>
      <c r="K5" s="18"/>
      <c r="L5" s="18"/>
      <c r="M5" s="29">
        <v>42340</v>
      </c>
    </row>
    <row r="6" spans="1:13" s="14" customFormat="1" ht="27" customHeight="1" x14ac:dyDescent="0.25">
      <c r="A6" s="13" t="s">
        <v>4</v>
      </c>
      <c r="B6" s="13" t="s">
        <v>5</v>
      </c>
      <c r="C6" s="13" t="s">
        <v>3</v>
      </c>
      <c r="D6" s="15" t="s">
        <v>38</v>
      </c>
      <c r="E6" s="15" t="s">
        <v>94</v>
      </c>
      <c r="F6" s="13" t="s">
        <v>6</v>
      </c>
      <c r="G6" s="13" t="s">
        <v>12</v>
      </c>
      <c r="H6" s="13" t="s">
        <v>9</v>
      </c>
      <c r="I6" s="13" t="s">
        <v>10</v>
      </c>
      <c r="J6" s="13" t="s">
        <v>11</v>
      </c>
      <c r="K6" s="15" t="s">
        <v>13</v>
      </c>
      <c r="L6" s="15" t="s">
        <v>16</v>
      </c>
      <c r="M6" s="15" t="s">
        <v>14</v>
      </c>
    </row>
    <row r="7" spans="1:13" s="25" customFormat="1" ht="51" customHeight="1" x14ac:dyDescent="0.25">
      <c r="A7" s="35" t="s">
        <v>72</v>
      </c>
      <c r="B7" s="37" t="s">
        <v>47</v>
      </c>
      <c r="C7" s="21" t="s">
        <v>45</v>
      </c>
      <c r="D7" s="24" t="s">
        <v>74</v>
      </c>
      <c r="E7" s="40">
        <f>LEN(D7)</f>
        <v>102</v>
      </c>
      <c r="F7" s="38" t="s">
        <v>71</v>
      </c>
      <c r="G7" s="21"/>
      <c r="H7" s="21"/>
      <c r="I7" s="22"/>
      <c r="J7" s="22"/>
      <c r="K7" s="23" t="s">
        <v>15</v>
      </c>
      <c r="L7" s="23" t="s">
        <v>19</v>
      </c>
      <c r="M7" s="24" t="s">
        <v>57</v>
      </c>
    </row>
    <row r="8" spans="1:13" s="25" customFormat="1" ht="51" customHeight="1" x14ac:dyDescent="0.25">
      <c r="A8" s="35" t="s">
        <v>72</v>
      </c>
      <c r="B8" s="37" t="s">
        <v>47</v>
      </c>
      <c r="C8" s="21" t="s">
        <v>46</v>
      </c>
      <c r="D8" s="24" t="s">
        <v>58</v>
      </c>
      <c r="E8" s="40">
        <f t="shared" ref="E8:E56" si="0">LEN(D8)</f>
        <v>69</v>
      </c>
      <c r="F8" s="33" t="s">
        <v>51</v>
      </c>
      <c r="G8" s="21"/>
      <c r="H8" s="21"/>
      <c r="I8" s="22"/>
      <c r="J8" s="22"/>
      <c r="K8" s="23" t="s">
        <v>15</v>
      </c>
      <c r="L8" s="23" t="s">
        <v>19</v>
      </c>
      <c r="M8" s="24" t="s">
        <v>57</v>
      </c>
    </row>
    <row r="9" spans="1:13" s="25" customFormat="1" ht="51" customHeight="1" x14ac:dyDescent="0.25">
      <c r="A9" s="35" t="s">
        <v>72</v>
      </c>
      <c r="B9" s="37" t="s">
        <v>47</v>
      </c>
      <c r="C9" s="21" t="s">
        <v>56</v>
      </c>
      <c r="D9" s="24" t="s">
        <v>73</v>
      </c>
      <c r="E9" s="40">
        <f t="shared" si="0"/>
        <v>91</v>
      </c>
      <c r="F9" s="21" t="s">
        <v>18</v>
      </c>
      <c r="G9" s="21"/>
      <c r="H9" s="21"/>
      <c r="I9" s="21"/>
      <c r="J9" s="21"/>
      <c r="K9" s="23" t="s">
        <v>15</v>
      </c>
      <c r="L9" s="23" t="s">
        <v>15</v>
      </c>
      <c r="M9" s="24" t="s">
        <v>68</v>
      </c>
    </row>
    <row r="10" spans="1:13" s="25" customFormat="1" ht="51" customHeight="1" x14ac:dyDescent="0.25">
      <c r="A10" s="35" t="s">
        <v>72</v>
      </c>
      <c r="B10" s="37" t="s">
        <v>48</v>
      </c>
      <c r="C10" s="21" t="s">
        <v>40</v>
      </c>
      <c r="D10" s="24" t="s">
        <v>75</v>
      </c>
      <c r="E10" s="40">
        <f t="shared" si="0"/>
        <v>62</v>
      </c>
      <c r="F10" s="33" t="s">
        <v>51</v>
      </c>
      <c r="G10" s="21"/>
      <c r="H10" s="21"/>
      <c r="I10" s="22"/>
      <c r="J10" s="22"/>
      <c r="K10" s="23" t="s">
        <v>15</v>
      </c>
      <c r="L10" s="23" t="s">
        <v>19</v>
      </c>
      <c r="M10" s="24" t="s">
        <v>59</v>
      </c>
    </row>
    <row r="11" spans="1:13" s="25" customFormat="1" ht="51" customHeight="1" x14ac:dyDescent="0.25">
      <c r="A11" s="35" t="s">
        <v>72</v>
      </c>
      <c r="B11" s="37" t="s">
        <v>48</v>
      </c>
      <c r="C11" s="21" t="s">
        <v>39</v>
      </c>
      <c r="D11" s="24" t="s">
        <v>75</v>
      </c>
      <c r="E11" s="40">
        <f t="shared" si="0"/>
        <v>62</v>
      </c>
      <c r="F11" s="33" t="s">
        <v>51</v>
      </c>
      <c r="G11" s="21"/>
      <c r="H11" s="21"/>
      <c r="I11" s="22"/>
      <c r="J11" s="22"/>
      <c r="K11" s="23" t="s">
        <v>15</v>
      </c>
      <c r="L11" s="23" t="s">
        <v>19</v>
      </c>
      <c r="M11" s="24" t="s">
        <v>59</v>
      </c>
    </row>
    <row r="12" spans="1:13" s="25" customFormat="1" ht="51" customHeight="1" x14ac:dyDescent="0.25">
      <c r="A12" s="35" t="s">
        <v>72</v>
      </c>
      <c r="B12" s="37" t="s">
        <v>48</v>
      </c>
      <c r="C12" s="21" t="s">
        <v>41</v>
      </c>
      <c r="D12" s="24" t="s">
        <v>75</v>
      </c>
      <c r="E12" s="40">
        <f t="shared" si="0"/>
        <v>62</v>
      </c>
      <c r="F12" s="33" t="s">
        <v>51</v>
      </c>
      <c r="G12" s="21"/>
      <c r="H12" s="21"/>
      <c r="I12" s="22"/>
      <c r="J12" s="22"/>
      <c r="K12" s="23" t="s">
        <v>15</v>
      </c>
      <c r="L12" s="23" t="s">
        <v>19</v>
      </c>
      <c r="M12" s="24" t="s">
        <v>59</v>
      </c>
    </row>
    <row r="13" spans="1:13" s="25" customFormat="1" ht="51" customHeight="1" x14ac:dyDescent="0.25">
      <c r="A13" s="35" t="s">
        <v>72</v>
      </c>
      <c r="B13" s="37" t="s">
        <v>48</v>
      </c>
      <c r="C13" s="21" t="s">
        <v>42</v>
      </c>
      <c r="D13" s="24" t="s">
        <v>60</v>
      </c>
      <c r="E13" s="40">
        <f t="shared" si="0"/>
        <v>123</v>
      </c>
      <c r="F13" s="33" t="s">
        <v>18</v>
      </c>
      <c r="G13" s="21"/>
      <c r="H13" s="21"/>
      <c r="I13" s="22"/>
      <c r="J13" s="22"/>
      <c r="K13" s="23" t="s">
        <v>15</v>
      </c>
      <c r="L13" s="23" t="s">
        <v>15</v>
      </c>
      <c r="M13" s="24" t="s">
        <v>63</v>
      </c>
    </row>
    <row r="14" spans="1:13" s="25" customFormat="1" ht="51" customHeight="1" x14ac:dyDescent="0.25">
      <c r="A14" s="35" t="s">
        <v>72</v>
      </c>
      <c r="B14" s="37" t="s">
        <v>48</v>
      </c>
      <c r="C14" s="21" t="s">
        <v>43</v>
      </c>
      <c r="D14" s="24" t="s">
        <v>61</v>
      </c>
      <c r="E14" s="40">
        <f t="shared" si="0"/>
        <v>125</v>
      </c>
      <c r="F14" s="33" t="s">
        <v>18</v>
      </c>
      <c r="G14" s="21"/>
      <c r="H14" s="21"/>
      <c r="I14" s="22"/>
      <c r="J14" s="22"/>
      <c r="K14" s="23" t="s">
        <v>15</v>
      </c>
      <c r="L14" s="23" t="s">
        <v>15</v>
      </c>
      <c r="M14" s="24" t="s">
        <v>64</v>
      </c>
    </row>
    <row r="15" spans="1:13" s="25" customFormat="1" ht="51" customHeight="1" x14ac:dyDescent="0.25">
      <c r="A15" s="35" t="s">
        <v>72</v>
      </c>
      <c r="B15" s="37" t="s">
        <v>48</v>
      </c>
      <c r="C15" s="21" t="s">
        <v>44</v>
      </c>
      <c r="D15" s="24" t="s">
        <v>62</v>
      </c>
      <c r="E15" s="40">
        <f t="shared" si="0"/>
        <v>124</v>
      </c>
      <c r="F15" s="33" t="s">
        <v>18</v>
      </c>
      <c r="G15" s="21"/>
      <c r="H15" s="21"/>
      <c r="I15" s="22"/>
      <c r="J15" s="22"/>
      <c r="K15" s="23" t="s">
        <v>15</v>
      </c>
      <c r="L15" s="23" t="s">
        <v>15</v>
      </c>
      <c r="M15" s="24" t="s">
        <v>65</v>
      </c>
    </row>
    <row r="16" spans="1:13" s="25" customFormat="1" ht="51" customHeight="1" x14ac:dyDescent="0.25">
      <c r="A16" s="35" t="s">
        <v>72</v>
      </c>
      <c r="B16" s="37" t="s">
        <v>48</v>
      </c>
      <c r="C16" s="21" t="s">
        <v>70</v>
      </c>
      <c r="D16" s="24" t="s">
        <v>73</v>
      </c>
      <c r="E16" s="40">
        <f t="shared" si="0"/>
        <v>91</v>
      </c>
      <c r="F16" s="21" t="s">
        <v>18</v>
      </c>
      <c r="G16" s="21"/>
      <c r="H16" s="21"/>
      <c r="I16" s="21"/>
      <c r="J16" s="21"/>
      <c r="K16" s="23" t="s">
        <v>15</v>
      </c>
      <c r="L16" s="23" t="s">
        <v>15</v>
      </c>
      <c r="M16" s="24" t="s">
        <v>68</v>
      </c>
    </row>
    <row r="17" spans="1:13" s="25" customFormat="1" ht="51" customHeight="1" x14ac:dyDescent="0.25">
      <c r="A17" s="35" t="s">
        <v>72</v>
      </c>
      <c r="B17" s="37" t="s">
        <v>50</v>
      </c>
      <c r="C17" s="21" t="s">
        <v>36</v>
      </c>
      <c r="D17" s="24" t="s">
        <v>53</v>
      </c>
      <c r="E17" s="40">
        <f t="shared" si="0"/>
        <v>43</v>
      </c>
      <c r="F17" s="21" t="s">
        <v>18</v>
      </c>
      <c r="G17" s="21"/>
      <c r="H17" s="21"/>
      <c r="I17" s="21"/>
      <c r="J17" s="21"/>
      <c r="K17" s="23" t="s">
        <v>15</v>
      </c>
      <c r="L17" s="23" t="s">
        <v>19</v>
      </c>
      <c r="M17" s="24" t="s">
        <v>66</v>
      </c>
    </row>
    <row r="18" spans="1:13" s="25" customFormat="1" ht="51" customHeight="1" x14ac:dyDescent="0.25">
      <c r="A18" s="35" t="s">
        <v>72</v>
      </c>
      <c r="B18" s="37" t="s">
        <v>50</v>
      </c>
      <c r="C18" s="21" t="s">
        <v>49</v>
      </c>
      <c r="D18" s="24" t="s">
        <v>54</v>
      </c>
      <c r="E18" s="40">
        <f t="shared" si="0"/>
        <v>64</v>
      </c>
      <c r="F18" s="38" t="s">
        <v>71</v>
      </c>
      <c r="G18" s="21"/>
      <c r="H18" s="21"/>
      <c r="I18" s="21"/>
      <c r="J18" s="21"/>
      <c r="K18" s="23" t="s">
        <v>15</v>
      </c>
      <c r="L18" s="23" t="s">
        <v>15</v>
      </c>
      <c r="M18" s="24" t="s">
        <v>67</v>
      </c>
    </row>
    <row r="19" spans="1:13" s="25" customFormat="1" ht="51" customHeight="1" x14ac:dyDescent="0.25">
      <c r="A19" s="35" t="s">
        <v>72</v>
      </c>
      <c r="B19" s="37" t="s">
        <v>50</v>
      </c>
      <c r="C19" s="21" t="s">
        <v>37</v>
      </c>
      <c r="D19" s="24" t="s">
        <v>55</v>
      </c>
      <c r="E19" s="40">
        <f t="shared" si="0"/>
        <v>49</v>
      </c>
      <c r="F19" s="21" t="s">
        <v>51</v>
      </c>
      <c r="G19" s="21"/>
      <c r="H19" s="21"/>
      <c r="I19" s="21"/>
      <c r="J19" s="21"/>
      <c r="K19" s="23" t="s">
        <v>15</v>
      </c>
      <c r="L19" s="23" t="s">
        <v>15</v>
      </c>
      <c r="M19" s="24" t="s">
        <v>69</v>
      </c>
    </row>
    <row r="20" spans="1:13" s="25" customFormat="1" ht="51" customHeight="1" x14ac:dyDescent="0.25">
      <c r="A20" s="35" t="s">
        <v>72</v>
      </c>
      <c r="B20" s="37" t="s">
        <v>50</v>
      </c>
      <c r="C20" s="21" t="s">
        <v>52</v>
      </c>
      <c r="D20" s="24" t="s">
        <v>73</v>
      </c>
      <c r="E20" s="40">
        <f t="shared" si="0"/>
        <v>91</v>
      </c>
      <c r="F20" s="21" t="s">
        <v>18</v>
      </c>
      <c r="G20" s="21"/>
      <c r="H20" s="21"/>
      <c r="I20" s="21"/>
      <c r="J20" s="21"/>
      <c r="K20" s="23" t="s">
        <v>15</v>
      </c>
      <c r="L20" s="23" t="s">
        <v>15</v>
      </c>
      <c r="M20" s="24" t="s">
        <v>68</v>
      </c>
    </row>
    <row r="21" spans="1:13" s="25" customFormat="1" ht="51" customHeight="1" x14ac:dyDescent="0.25">
      <c r="A21" s="35" t="s">
        <v>72</v>
      </c>
      <c r="B21" s="37" t="s">
        <v>100</v>
      </c>
      <c r="C21" s="21" t="s">
        <v>76</v>
      </c>
      <c r="D21" s="24" t="s">
        <v>84</v>
      </c>
      <c r="E21" s="40">
        <f t="shared" si="0"/>
        <v>44</v>
      </c>
      <c r="F21" s="21" t="s">
        <v>18</v>
      </c>
      <c r="G21" s="21"/>
      <c r="H21" s="21"/>
      <c r="I21" s="21"/>
      <c r="J21" s="21"/>
      <c r="K21" s="23" t="s">
        <v>15</v>
      </c>
      <c r="L21" s="23" t="s">
        <v>19</v>
      </c>
      <c r="M21" s="24" t="s">
        <v>101</v>
      </c>
    </row>
    <row r="22" spans="1:13" s="25" customFormat="1" ht="51" customHeight="1" x14ac:dyDescent="0.25">
      <c r="A22" s="35" t="s">
        <v>72</v>
      </c>
      <c r="B22" s="37" t="s">
        <v>100</v>
      </c>
      <c r="C22" s="21" t="s">
        <v>85</v>
      </c>
      <c r="D22" s="24" t="s">
        <v>77</v>
      </c>
      <c r="E22" s="40">
        <f t="shared" si="0"/>
        <v>20</v>
      </c>
      <c r="F22" s="21" t="s">
        <v>18</v>
      </c>
      <c r="G22" s="21"/>
      <c r="H22" s="21"/>
      <c r="I22" s="21"/>
      <c r="J22" s="21"/>
      <c r="K22" s="23" t="s">
        <v>15</v>
      </c>
      <c r="L22" s="23" t="s">
        <v>19</v>
      </c>
      <c r="M22" s="24" t="s">
        <v>92</v>
      </c>
    </row>
    <row r="23" spans="1:13" s="25" customFormat="1" ht="51" customHeight="1" x14ac:dyDescent="0.25">
      <c r="A23" s="35" t="s">
        <v>72</v>
      </c>
      <c r="B23" s="37" t="s">
        <v>100</v>
      </c>
      <c r="C23" s="21" t="s">
        <v>86</v>
      </c>
      <c r="D23" s="24" t="s">
        <v>87</v>
      </c>
      <c r="E23" s="40">
        <f t="shared" si="0"/>
        <v>27</v>
      </c>
      <c r="F23" s="21" t="s">
        <v>18</v>
      </c>
      <c r="G23" s="21"/>
      <c r="H23" s="21"/>
      <c r="I23" s="21"/>
      <c r="J23" s="21"/>
      <c r="K23" s="23" t="s">
        <v>15</v>
      </c>
      <c r="L23" s="23" t="s">
        <v>19</v>
      </c>
      <c r="M23" s="24" t="s">
        <v>91</v>
      </c>
    </row>
    <row r="24" spans="1:13" s="25" customFormat="1" ht="51" customHeight="1" x14ac:dyDescent="0.25">
      <c r="A24" s="35" t="s">
        <v>72</v>
      </c>
      <c r="B24" s="37" t="s">
        <v>100</v>
      </c>
      <c r="C24" s="21" t="s">
        <v>89</v>
      </c>
      <c r="D24" s="24" t="s">
        <v>90</v>
      </c>
      <c r="E24" s="40">
        <f t="shared" si="0"/>
        <v>31</v>
      </c>
      <c r="F24" s="21" t="s">
        <v>18</v>
      </c>
      <c r="G24" s="21"/>
      <c r="H24" s="21"/>
      <c r="I24" s="21"/>
      <c r="J24" s="21"/>
      <c r="K24" s="23" t="s">
        <v>15</v>
      </c>
      <c r="L24" s="23" t="s">
        <v>19</v>
      </c>
      <c r="M24" s="24" t="s">
        <v>99</v>
      </c>
    </row>
    <row r="25" spans="1:13" s="25" customFormat="1" ht="51" customHeight="1" x14ac:dyDescent="0.25">
      <c r="A25" s="35" t="s">
        <v>72</v>
      </c>
      <c r="B25" s="37" t="s">
        <v>100</v>
      </c>
      <c r="C25" s="21" t="s">
        <v>98</v>
      </c>
      <c r="D25" s="24" t="s">
        <v>88</v>
      </c>
      <c r="E25" s="40">
        <f t="shared" si="0"/>
        <v>33</v>
      </c>
      <c r="F25" s="21" t="s">
        <v>18</v>
      </c>
      <c r="G25" s="21"/>
      <c r="H25" s="21"/>
      <c r="I25" s="21"/>
      <c r="J25" s="21"/>
      <c r="K25" s="23" t="s">
        <v>15</v>
      </c>
      <c r="L25" s="23" t="s">
        <v>19</v>
      </c>
      <c r="M25" s="24" t="s">
        <v>93</v>
      </c>
    </row>
    <row r="26" spans="1:13" s="25" customFormat="1" ht="51" customHeight="1" x14ac:dyDescent="0.25">
      <c r="A26" s="35" t="s">
        <v>72</v>
      </c>
      <c r="B26" s="37" t="s">
        <v>20</v>
      </c>
      <c r="C26" s="21" t="s">
        <v>81</v>
      </c>
      <c r="D26" s="24" t="s">
        <v>82</v>
      </c>
      <c r="E26" s="40">
        <f t="shared" si="0"/>
        <v>47</v>
      </c>
      <c r="F26" s="21" t="s">
        <v>18</v>
      </c>
      <c r="G26" s="21"/>
      <c r="H26" s="21"/>
      <c r="I26" s="21"/>
      <c r="J26" s="21"/>
      <c r="K26" s="23" t="s">
        <v>15</v>
      </c>
      <c r="L26" s="23" t="s">
        <v>15</v>
      </c>
      <c r="M26" s="24" t="s">
        <v>103</v>
      </c>
    </row>
    <row r="27" spans="1:13" s="25" customFormat="1" ht="51" customHeight="1" x14ac:dyDescent="0.25">
      <c r="A27" s="35" t="s">
        <v>72</v>
      </c>
      <c r="B27" s="37" t="s">
        <v>20</v>
      </c>
      <c r="C27" s="21" t="s">
        <v>80</v>
      </c>
      <c r="D27" s="24" t="s">
        <v>102</v>
      </c>
      <c r="E27" s="40">
        <f t="shared" si="0"/>
        <v>64</v>
      </c>
      <c r="F27" s="21" t="s">
        <v>18</v>
      </c>
      <c r="G27" s="21"/>
      <c r="H27" s="21"/>
      <c r="I27" s="21"/>
      <c r="J27" s="21"/>
      <c r="K27" s="23" t="s">
        <v>15</v>
      </c>
      <c r="L27" s="23" t="s">
        <v>19</v>
      </c>
      <c r="M27" s="24" t="s">
        <v>104</v>
      </c>
    </row>
    <row r="28" spans="1:13" s="25" customFormat="1" ht="51" customHeight="1" x14ac:dyDescent="0.25">
      <c r="A28" s="35" t="s">
        <v>72</v>
      </c>
      <c r="B28" s="37" t="s">
        <v>20</v>
      </c>
      <c r="C28" s="21" t="s">
        <v>78</v>
      </c>
      <c r="D28" s="24" t="s">
        <v>83</v>
      </c>
      <c r="E28" s="40">
        <f t="shared" si="0"/>
        <v>48</v>
      </c>
      <c r="F28" s="21" t="s">
        <v>51</v>
      </c>
      <c r="G28" s="21"/>
      <c r="H28" s="21"/>
      <c r="I28" s="21"/>
      <c r="J28" s="21"/>
      <c r="K28" s="23" t="s">
        <v>15</v>
      </c>
      <c r="L28" s="23" t="s">
        <v>15</v>
      </c>
      <c r="M28" s="24" t="s">
        <v>105</v>
      </c>
    </row>
    <row r="29" spans="1:13" s="25" customFormat="1" ht="51" customHeight="1" x14ac:dyDescent="0.25">
      <c r="A29" s="35" t="s">
        <v>72</v>
      </c>
      <c r="B29" s="37" t="s">
        <v>20</v>
      </c>
      <c r="C29" s="21" t="s">
        <v>21</v>
      </c>
      <c r="D29" s="24" t="s">
        <v>79</v>
      </c>
      <c r="E29" s="40">
        <f t="shared" si="0"/>
        <v>77</v>
      </c>
      <c r="F29" s="21" t="s">
        <v>18</v>
      </c>
      <c r="G29" s="21"/>
      <c r="H29" s="21"/>
      <c r="I29" s="21"/>
      <c r="J29" s="21"/>
      <c r="K29" s="23" t="s">
        <v>15</v>
      </c>
      <c r="L29" s="23" t="s">
        <v>19</v>
      </c>
      <c r="M29" s="24" t="s">
        <v>106</v>
      </c>
    </row>
    <row r="30" spans="1:13" s="25" customFormat="1" x14ac:dyDescent="0.25">
      <c r="A30" s="35" t="s">
        <v>72</v>
      </c>
      <c r="B30" s="35" t="s">
        <v>8</v>
      </c>
      <c r="C30" s="21"/>
      <c r="D30" s="24"/>
      <c r="E30" s="40">
        <f t="shared" si="0"/>
        <v>0</v>
      </c>
      <c r="F30" s="21"/>
      <c r="G30" s="21"/>
      <c r="H30" s="21"/>
      <c r="I30" s="22"/>
      <c r="J30" s="22"/>
      <c r="K30" s="23" t="s">
        <v>15</v>
      </c>
      <c r="L30" s="23"/>
      <c r="M30" s="24"/>
    </row>
    <row r="31" spans="1:13" s="25" customFormat="1" x14ac:dyDescent="0.25">
      <c r="A31" s="35" t="s">
        <v>72</v>
      </c>
      <c r="B31" s="35" t="s">
        <v>31</v>
      </c>
      <c r="C31" s="21"/>
      <c r="D31" s="24"/>
      <c r="E31" s="40">
        <f t="shared" si="0"/>
        <v>0</v>
      </c>
      <c r="F31" s="21"/>
      <c r="G31" s="21"/>
      <c r="H31" s="21"/>
      <c r="I31" s="22"/>
      <c r="J31" s="22"/>
      <c r="K31" s="23" t="s">
        <v>15</v>
      </c>
      <c r="L31" s="23"/>
      <c r="M31" s="24"/>
    </row>
    <row r="32" spans="1:13" s="25" customFormat="1" x14ac:dyDescent="0.25">
      <c r="A32" s="35" t="s">
        <v>72</v>
      </c>
      <c r="B32" s="35" t="s">
        <v>33</v>
      </c>
      <c r="C32" s="21"/>
      <c r="D32" s="24"/>
      <c r="E32" s="40">
        <f t="shared" si="0"/>
        <v>0</v>
      </c>
      <c r="F32" s="21"/>
      <c r="G32" s="21"/>
      <c r="H32" s="21"/>
      <c r="I32" s="22"/>
      <c r="J32" s="22"/>
      <c r="K32" s="23" t="s">
        <v>15</v>
      </c>
      <c r="L32" s="23"/>
      <c r="M32" s="24"/>
    </row>
    <row r="33" spans="1:13" s="25" customFormat="1" x14ac:dyDescent="0.25">
      <c r="A33" s="35" t="s">
        <v>72</v>
      </c>
      <c r="B33" s="35" t="s">
        <v>26</v>
      </c>
      <c r="C33" s="21"/>
      <c r="D33" s="24"/>
      <c r="E33" s="40">
        <f t="shared" si="0"/>
        <v>0</v>
      </c>
      <c r="F33" s="21"/>
      <c r="G33" s="21"/>
      <c r="H33" s="21"/>
      <c r="I33" s="22"/>
      <c r="J33" s="22"/>
      <c r="K33" s="23" t="s">
        <v>15</v>
      </c>
      <c r="L33" s="23"/>
      <c r="M33" s="24"/>
    </row>
    <row r="34" spans="1:13" s="25" customFormat="1" x14ac:dyDescent="0.25">
      <c r="A34" s="35" t="s">
        <v>72</v>
      </c>
      <c r="B34" s="35" t="s">
        <v>34</v>
      </c>
      <c r="C34" s="21"/>
      <c r="D34" s="24"/>
      <c r="E34" s="40">
        <f t="shared" si="0"/>
        <v>0</v>
      </c>
      <c r="F34" s="21"/>
      <c r="G34" s="21"/>
      <c r="H34" s="21"/>
      <c r="I34" s="22"/>
      <c r="J34" s="22"/>
      <c r="K34" s="23" t="s">
        <v>15</v>
      </c>
      <c r="L34" s="23"/>
      <c r="M34" s="24"/>
    </row>
    <row r="35" spans="1:13" s="25" customFormat="1" x14ac:dyDescent="0.25">
      <c r="A35" s="35" t="s">
        <v>72</v>
      </c>
      <c r="B35" s="35" t="s">
        <v>28</v>
      </c>
      <c r="C35" s="21"/>
      <c r="D35" s="24"/>
      <c r="E35" s="40">
        <f t="shared" si="0"/>
        <v>0</v>
      </c>
      <c r="F35" s="21"/>
      <c r="G35" s="21"/>
      <c r="H35" s="21"/>
      <c r="I35" s="21"/>
      <c r="J35" s="21"/>
      <c r="K35" s="23" t="s">
        <v>15</v>
      </c>
      <c r="L35" s="23"/>
      <c r="M35" s="24"/>
    </row>
    <row r="36" spans="1:13" s="25" customFormat="1" x14ac:dyDescent="0.25">
      <c r="A36" s="35" t="s">
        <v>72</v>
      </c>
      <c r="B36" s="35" t="s">
        <v>24</v>
      </c>
      <c r="C36" s="21"/>
      <c r="D36" s="24"/>
      <c r="E36" s="40">
        <f t="shared" si="0"/>
        <v>0</v>
      </c>
      <c r="F36" s="21"/>
      <c r="G36" s="21"/>
      <c r="H36" s="21"/>
      <c r="I36" s="21"/>
      <c r="J36" s="21"/>
      <c r="K36" s="23" t="s">
        <v>15</v>
      </c>
      <c r="L36" s="23"/>
      <c r="M36" s="24"/>
    </row>
    <row r="37" spans="1:13" s="25" customFormat="1" x14ac:dyDescent="0.25">
      <c r="A37" s="35" t="s">
        <v>72</v>
      </c>
      <c r="B37" s="35" t="s">
        <v>25</v>
      </c>
      <c r="C37" s="21"/>
      <c r="D37" s="24"/>
      <c r="E37" s="40">
        <f t="shared" si="0"/>
        <v>0</v>
      </c>
      <c r="F37" s="21"/>
      <c r="G37" s="21"/>
      <c r="H37" s="21"/>
      <c r="I37" s="21"/>
      <c r="J37" s="21"/>
      <c r="K37" s="23" t="s">
        <v>15</v>
      </c>
      <c r="L37" s="23"/>
      <c r="M37" s="24"/>
    </row>
    <row r="38" spans="1:13" s="25" customFormat="1" x14ac:dyDescent="0.25">
      <c r="A38" s="35" t="s">
        <v>72</v>
      </c>
      <c r="B38" s="35" t="s">
        <v>32</v>
      </c>
      <c r="C38" s="21"/>
      <c r="D38" s="24"/>
      <c r="E38" s="40">
        <f t="shared" si="0"/>
        <v>0</v>
      </c>
      <c r="F38" s="21"/>
      <c r="G38" s="21"/>
      <c r="H38" s="21"/>
      <c r="I38" s="21"/>
      <c r="J38" s="21"/>
      <c r="K38" s="23" t="s">
        <v>15</v>
      </c>
      <c r="L38" s="23"/>
      <c r="M38" s="24"/>
    </row>
    <row r="39" spans="1:13" s="25" customFormat="1" x14ac:dyDescent="0.25">
      <c r="A39" s="35" t="s">
        <v>72</v>
      </c>
      <c r="B39" s="35" t="s">
        <v>23</v>
      </c>
      <c r="C39" s="21"/>
      <c r="D39" s="24"/>
      <c r="E39" s="40">
        <f t="shared" si="0"/>
        <v>0</v>
      </c>
      <c r="F39" s="21"/>
      <c r="G39" s="21"/>
      <c r="H39" s="21"/>
      <c r="I39" s="21"/>
      <c r="J39" s="21"/>
      <c r="K39" s="23" t="s">
        <v>15</v>
      </c>
      <c r="L39" s="23"/>
      <c r="M39" s="24"/>
    </row>
    <row r="40" spans="1:13" s="25" customFormat="1" x14ac:dyDescent="0.25">
      <c r="A40" s="35" t="s">
        <v>72</v>
      </c>
      <c r="B40" s="35" t="s">
        <v>27</v>
      </c>
      <c r="C40" s="21"/>
      <c r="D40" s="24"/>
      <c r="E40" s="40">
        <f t="shared" si="0"/>
        <v>0</v>
      </c>
      <c r="F40" s="21"/>
      <c r="G40" s="21"/>
      <c r="H40" s="21"/>
      <c r="I40" s="21"/>
      <c r="J40" s="21"/>
      <c r="K40" s="23" t="s">
        <v>15</v>
      </c>
      <c r="L40" s="23"/>
      <c r="M40" s="24"/>
    </row>
    <row r="41" spans="1:13" s="25" customFormat="1" x14ac:dyDescent="0.25">
      <c r="A41" s="35" t="s">
        <v>72</v>
      </c>
      <c r="B41" s="35" t="s">
        <v>29</v>
      </c>
      <c r="C41" s="21"/>
      <c r="D41" s="24"/>
      <c r="E41" s="40">
        <f t="shared" si="0"/>
        <v>0</v>
      </c>
      <c r="F41" s="21"/>
      <c r="G41" s="21"/>
      <c r="H41" s="21"/>
      <c r="I41" s="21"/>
      <c r="J41" s="21"/>
      <c r="K41" s="23" t="s">
        <v>15</v>
      </c>
      <c r="L41" s="23"/>
      <c r="M41" s="24"/>
    </row>
    <row r="42" spans="1:13" s="25" customFormat="1" x14ac:dyDescent="0.25">
      <c r="A42" s="35" t="s">
        <v>72</v>
      </c>
      <c r="B42" s="35" t="s">
        <v>29</v>
      </c>
      <c r="C42" s="21"/>
      <c r="D42" s="24"/>
      <c r="E42" s="40">
        <f t="shared" si="0"/>
        <v>0</v>
      </c>
      <c r="F42" s="21"/>
      <c r="G42" s="21"/>
      <c r="H42" s="21"/>
      <c r="I42" s="21"/>
      <c r="J42" s="21"/>
      <c r="K42" s="23" t="s">
        <v>15</v>
      </c>
      <c r="L42" s="23"/>
      <c r="M42" s="24"/>
    </row>
    <row r="43" spans="1:13" s="25" customFormat="1" x14ac:dyDescent="0.25">
      <c r="A43" s="35" t="s">
        <v>72</v>
      </c>
      <c r="B43" s="35" t="s">
        <v>29</v>
      </c>
      <c r="C43" s="21"/>
      <c r="D43" s="24"/>
      <c r="E43" s="40">
        <f t="shared" si="0"/>
        <v>0</v>
      </c>
      <c r="F43" s="21"/>
      <c r="G43" s="21"/>
      <c r="H43" s="21"/>
      <c r="I43" s="21"/>
      <c r="J43" s="21"/>
      <c r="K43" s="23" t="s">
        <v>15</v>
      </c>
      <c r="L43" s="23"/>
      <c r="M43" s="24"/>
    </row>
    <row r="44" spans="1:13" s="25" customFormat="1" x14ac:dyDescent="0.25">
      <c r="A44" s="35" t="s">
        <v>72</v>
      </c>
      <c r="B44" s="35" t="s">
        <v>29</v>
      </c>
      <c r="C44" s="21"/>
      <c r="D44" s="24"/>
      <c r="E44" s="40">
        <f t="shared" si="0"/>
        <v>0</v>
      </c>
      <c r="F44" s="21"/>
      <c r="G44" s="21"/>
      <c r="H44" s="21"/>
      <c r="I44" s="21"/>
      <c r="J44" s="21"/>
      <c r="K44" s="23" t="s">
        <v>15</v>
      </c>
      <c r="L44" s="23"/>
      <c r="M44" s="24"/>
    </row>
    <row r="45" spans="1:13" s="25" customFormat="1" x14ac:dyDescent="0.25">
      <c r="A45" s="35" t="s">
        <v>72</v>
      </c>
      <c r="B45" s="35" t="s">
        <v>29</v>
      </c>
      <c r="C45" s="21"/>
      <c r="D45" s="24"/>
      <c r="E45" s="40">
        <f t="shared" si="0"/>
        <v>0</v>
      </c>
      <c r="F45" s="21"/>
      <c r="G45" s="21"/>
      <c r="H45" s="21"/>
      <c r="I45" s="21"/>
      <c r="J45" s="21"/>
      <c r="K45" s="23" t="s">
        <v>15</v>
      </c>
      <c r="L45" s="23"/>
      <c r="M45" s="24"/>
    </row>
    <row r="46" spans="1:13" s="25" customFormat="1" x14ac:dyDescent="0.25">
      <c r="A46" s="35" t="s">
        <v>72</v>
      </c>
      <c r="B46" s="35" t="s">
        <v>29</v>
      </c>
      <c r="C46" s="21"/>
      <c r="D46" s="24"/>
      <c r="E46" s="40">
        <f t="shared" si="0"/>
        <v>0</v>
      </c>
      <c r="F46" s="21"/>
      <c r="G46" s="21"/>
      <c r="H46" s="21"/>
      <c r="I46" s="21"/>
      <c r="J46" s="21"/>
      <c r="K46" s="23" t="s">
        <v>15</v>
      </c>
      <c r="L46" s="23"/>
      <c r="M46" s="24"/>
    </row>
    <row r="47" spans="1:13" s="25" customFormat="1" x14ac:dyDescent="0.25">
      <c r="A47" s="35" t="s">
        <v>72</v>
      </c>
      <c r="B47" s="35" t="s">
        <v>29</v>
      </c>
      <c r="C47" s="21"/>
      <c r="D47" s="24"/>
      <c r="E47" s="40">
        <f t="shared" si="0"/>
        <v>0</v>
      </c>
      <c r="F47" s="21"/>
      <c r="G47" s="21"/>
      <c r="H47" s="21"/>
      <c r="I47" s="21"/>
      <c r="J47" s="21"/>
      <c r="K47" s="23" t="s">
        <v>15</v>
      </c>
      <c r="L47" s="23"/>
      <c r="M47" s="24"/>
    </row>
    <row r="48" spans="1:13" s="25" customFormat="1" x14ac:dyDescent="0.25">
      <c r="A48" s="35" t="s">
        <v>72</v>
      </c>
      <c r="B48" s="35" t="s">
        <v>29</v>
      </c>
      <c r="C48" s="21"/>
      <c r="D48" s="24"/>
      <c r="E48" s="40">
        <f t="shared" si="0"/>
        <v>0</v>
      </c>
      <c r="F48" s="21"/>
      <c r="G48" s="21"/>
      <c r="H48" s="21"/>
      <c r="I48" s="21"/>
      <c r="J48" s="21"/>
      <c r="K48" s="23" t="s">
        <v>15</v>
      </c>
      <c r="L48" s="23"/>
      <c r="M48" s="24"/>
    </row>
    <row r="49" spans="1:13" s="25" customFormat="1" x14ac:dyDescent="0.25">
      <c r="A49" s="35" t="s">
        <v>72</v>
      </c>
      <c r="B49" s="35" t="s">
        <v>29</v>
      </c>
      <c r="C49" s="21"/>
      <c r="D49" s="24"/>
      <c r="E49" s="40">
        <f t="shared" si="0"/>
        <v>0</v>
      </c>
      <c r="F49" s="21"/>
      <c r="G49" s="21"/>
      <c r="H49" s="21"/>
      <c r="I49" s="21"/>
      <c r="J49" s="21"/>
      <c r="K49" s="23" t="s">
        <v>15</v>
      </c>
      <c r="L49" s="23"/>
      <c r="M49" s="24"/>
    </row>
    <row r="50" spans="1:13" s="25" customFormat="1" x14ac:dyDescent="0.25">
      <c r="A50" s="35" t="s">
        <v>72</v>
      </c>
      <c r="B50" s="35" t="s">
        <v>29</v>
      </c>
      <c r="C50" s="21"/>
      <c r="D50" s="24"/>
      <c r="E50" s="40">
        <f t="shared" si="0"/>
        <v>0</v>
      </c>
      <c r="F50" s="21"/>
      <c r="G50" s="21"/>
      <c r="H50" s="21"/>
      <c r="I50" s="21"/>
      <c r="J50" s="21"/>
      <c r="K50" s="23" t="s">
        <v>15</v>
      </c>
      <c r="L50" s="23"/>
      <c r="M50" s="24"/>
    </row>
    <row r="51" spans="1:13" s="25" customFormat="1" x14ac:dyDescent="0.25">
      <c r="A51" s="35" t="s">
        <v>72</v>
      </c>
      <c r="B51" s="35" t="s">
        <v>29</v>
      </c>
      <c r="C51" s="21"/>
      <c r="D51" s="24"/>
      <c r="E51" s="40">
        <f t="shared" si="0"/>
        <v>0</v>
      </c>
      <c r="F51" s="21"/>
      <c r="G51" s="21"/>
      <c r="H51" s="21"/>
      <c r="I51" s="21"/>
      <c r="J51" s="21"/>
      <c r="K51" s="23" t="s">
        <v>15</v>
      </c>
      <c r="L51" s="23"/>
      <c r="M51" s="24"/>
    </row>
    <row r="52" spans="1:13" s="25" customFormat="1" x14ac:dyDescent="0.25">
      <c r="A52" s="35" t="s">
        <v>72</v>
      </c>
      <c r="B52" s="35" t="s">
        <v>29</v>
      </c>
      <c r="C52" s="21"/>
      <c r="D52" s="24"/>
      <c r="E52" s="40">
        <f t="shared" si="0"/>
        <v>0</v>
      </c>
      <c r="F52" s="21"/>
      <c r="G52" s="21"/>
      <c r="H52" s="21"/>
      <c r="I52" s="21"/>
      <c r="J52" s="21"/>
      <c r="K52" s="23" t="s">
        <v>15</v>
      </c>
      <c r="L52" s="23"/>
      <c r="M52" s="24"/>
    </row>
    <row r="53" spans="1:13" s="25" customFormat="1" x14ac:dyDescent="0.25">
      <c r="A53" s="35" t="s">
        <v>72</v>
      </c>
      <c r="B53" s="35" t="s">
        <v>29</v>
      </c>
      <c r="C53" s="21"/>
      <c r="D53" s="24"/>
      <c r="E53" s="40">
        <f t="shared" si="0"/>
        <v>0</v>
      </c>
      <c r="F53" s="21"/>
      <c r="G53" s="21"/>
      <c r="H53" s="21"/>
      <c r="I53" s="21"/>
      <c r="J53" s="21"/>
      <c r="K53" s="23" t="s">
        <v>15</v>
      </c>
      <c r="L53" s="23"/>
      <c r="M53" s="24"/>
    </row>
    <row r="54" spans="1:13" s="25" customFormat="1" x14ac:dyDescent="0.25">
      <c r="A54" s="35"/>
      <c r="B54" s="35"/>
      <c r="C54" s="21"/>
      <c r="D54" s="24"/>
      <c r="E54" s="40">
        <f t="shared" si="0"/>
        <v>0</v>
      </c>
      <c r="F54" s="21"/>
      <c r="G54" s="21"/>
      <c r="H54" s="21"/>
      <c r="I54" s="21"/>
      <c r="J54" s="21"/>
      <c r="K54" s="23" t="s">
        <v>15</v>
      </c>
      <c r="L54" s="23"/>
      <c r="M54" s="24"/>
    </row>
    <row r="55" spans="1:13" s="25" customFormat="1" x14ac:dyDescent="0.25">
      <c r="A55" s="35"/>
      <c r="B55" s="35"/>
      <c r="C55" s="21"/>
      <c r="D55" s="24"/>
      <c r="E55" s="40">
        <f t="shared" si="0"/>
        <v>0</v>
      </c>
      <c r="F55" s="21"/>
      <c r="G55" s="21"/>
      <c r="H55" s="21"/>
      <c r="I55" s="21"/>
      <c r="J55" s="21"/>
      <c r="K55" s="23" t="s">
        <v>15</v>
      </c>
      <c r="L55" s="23"/>
      <c r="M55" s="24"/>
    </row>
    <row r="56" spans="1:13" s="25" customFormat="1" x14ac:dyDescent="0.25">
      <c r="A56" s="35"/>
      <c r="B56" s="35"/>
      <c r="C56" s="21"/>
      <c r="D56" s="24"/>
      <c r="E56" s="40">
        <f t="shared" si="0"/>
        <v>0</v>
      </c>
      <c r="F56" s="21"/>
      <c r="G56" s="21"/>
      <c r="H56" s="21"/>
      <c r="I56" s="21"/>
      <c r="J56" s="21"/>
      <c r="K56" s="23" t="s">
        <v>15</v>
      </c>
      <c r="L56" s="23"/>
      <c r="M56" s="24"/>
    </row>
    <row r="57" spans="1:13" x14ac:dyDescent="0.25">
      <c r="K57" s="23" t="s">
        <v>15</v>
      </c>
    </row>
  </sheetData>
  <sortState ref="A42:D47">
    <sortCondition ref="C42:C47"/>
  </sortState>
  <mergeCells count="2">
    <mergeCell ref="C3:J4"/>
    <mergeCell ref="C2:J2"/>
  </mergeCells>
  <conditionalFormatting sqref="E7:E56">
    <cfRule type="cellIs" dxfId="7" priority="3" operator="greaterThan">
      <formula>104</formula>
    </cfRule>
  </conditionalFormatting>
  <dataValidations count="1">
    <dataValidation type="list" allowBlank="1" showInputMessage="1" showErrorMessage="1" sqref="L41:L56 K41:K57 K7:L40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68E1E"/>
  </sheetPr>
  <dimension ref="A1:M69"/>
  <sheetViews>
    <sheetView showGridLines="0" zoomScaleNormal="100" workbookViewId="0">
      <pane xSplit="3" ySplit="6" topLeftCell="D23" activePane="bottomRight" state="frozen"/>
      <selection pane="topRight" activeCell="D1" sqref="D1"/>
      <selection pane="bottomLeft" activeCell="A7" sqref="A7"/>
      <selection pane="bottomRight" activeCell="A26" sqref="A26"/>
    </sheetView>
  </sheetViews>
  <sheetFormatPr defaultRowHeight="18.75" x14ac:dyDescent="0.25"/>
  <cols>
    <col min="1" max="1" width="27.85546875" style="36" customWidth="1"/>
    <col min="2" max="2" width="22.28515625" style="36" bestFit="1" customWidth="1"/>
    <col min="3" max="3" width="42.5703125" style="19" bestFit="1" customWidth="1"/>
    <col min="4" max="4" width="55.140625" style="30" customWidth="1"/>
    <col min="5" max="5" width="5.5703125" style="41" bestFit="1" customWidth="1"/>
    <col min="6" max="6" width="16.42578125" style="19" bestFit="1" customWidth="1"/>
    <col min="7" max="7" width="18.42578125" style="19" customWidth="1"/>
    <col min="8" max="8" width="13.7109375" style="19" customWidth="1"/>
    <col min="9" max="9" width="13.85546875" style="19" bestFit="1" customWidth="1"/>
    <col min="10" max="10" width="14.5703125" style="19" bestFit="1" customWidth="1"/>
    <col min="11" max="12" width="13.7109375" style="26" customWidth="1"/>
    <col min="13" max="13" width="60.7109375" style="30" customWidth="1"/>
    <col min="14" max="16384" width="9.140625" style="19"/>
  </cols>
  <sheetData>
    <row r="1" spans="1:13" x14ac:dyDescent="0.25">
      <c r="A1" s="34"/>
      <c r="B1" s="34"/>
      <c r="C1" s="17"/>
      <c r="D1" s="27"/>
      <c r="E1" s="39"/>
      <c r="F1" s="17"/>
      <c r="G1" s="17"/>
      <c r="H1" s="17"/>
      <c r="I1" s="17"/>
      <c r="J1" s="17"/>
      <c r="K1" s="18"/>
      <c r="L1" s="18"/>
      <c r="M1" s="27"/>
    </row>
    <row r="2" spans="1:13" ht="15.75" x14ac:dyDescent="0.25">
      <c r="A2" s="34"/>
      <c r="B2" s="34"/>
      <c r="C2" s="50" t="s">
        <v>1</v>
      </c>
      <c r="D2" s="50"/>
      <c r="E2" s="50"/>
      <c r="F2" s="50"/>
      <c r="G2" s="50"/>
      <c r="H2" s="50"/>
      <c r="I2" s="50"/>
      <c r="J2" s="50"/>
      <c r="K2" s="20"/>
      <c r="L2" s="20"/>
      <c r="M2" s="27"/>
    </row>
    <row r="3" spans="1:13" ht="15" customHeight="1" x14ac:dyDescent="0.25">
      <c r="A3" s="34"/>
      <c r="B3" s="34"/>
      <c r="C3" s="49" t="s">
        <v>0</v>
      </c>
      <c r="D3" s="49"/>
      <c r="E3" s="49"/>
      <c r="F3" s="49"/>
      <c r="G3" s="49"/>
      <c r="H3" s="49"/>
      <c r="I3" s="49"/>
      <c r="J3" s="49"/>
      <c r="K3" s="3"/>
      <c r="L3" s="3"/>
      <c r="M3" s="27"/>
    </row>
    <row r="4" spans="1:13" ht="15" customHeight="1" x14ac:dyDescent="0.25">
      <c r="A4" s="34"/>
      <c r="B4" s="34"/>
      <c r="C4" s="49"/>
      <c r="D4" s="49"/>
      <c r="E4" s="49"/>
      <c r="F4" s="49"/>
      <c r="G4" s="49"/>
      <c r="H4" s="49"/>
      <c r="I4" s="49"/>
      <c r="J4" s="49"/>
      <c r="K4" s="3"/>
      <c r="L4" s="3"/>
      <c r="M4" s="28" t="s">
        <v>2</v>
      </c>
    </row>
    <row r="5" spans="1:13" x14ac:dyDescent="0.25">
      <c r="A5" s="34"/>
      <c r="B5" s="34"/>
      <c r="C5" s="17"/>
      <c r="D5" s="27"/>
      <c r="E5" s="39"/>
      <c r="F5" s="17"/>
      <c r="G5" s="17"/>
      <c r="H5" s="17"/>
      <c r="I5" s="17"/>
      <c r="J5" s="17"/>
      <c r="K5" s="18"/>
      <c r="L5" s="18"/>
      <c r="M5" s="29">
        <v>42340</v>
      </c>
    </row>
    <row r="6" spans="1:13" s="14" customFormat="1" ht="27" customHeight="1" x14ac:dyDescent="0.25">
      <c r="A6" s="13" t="s">
        <v>4</v>
      </c>
      <c r="B6" s="13" t="s">
        <v>5</v>
      </c>
      <c r="C6" s="13" t="s">
        <v>3</v>
      </c>
      <c r="D6" s="15" t="s">
        <v>38</v>
      </c>
      <c r="E6" s="15" t="s">
        <v>94</v>
      </c>
      <c r="F6" s="13" t="s">
        <v>6</v>
      </c>
      <c r="G6" s="13" t="s">
        <v>12</v>
      </c>
      <c r="H6" s="13" t="s">
        <v>9</v>
      </c>
      <c r="I6" s="13" t="s">
        <v>10</v>
      </c>
      <c r="J6" s="13" t="s">
        <v>11</v>
      </c>
      <c r="K6" s="15" t="s">
        <v>13</v>
      </c>
      <c r="L6" s="15" t="s">
        <v>16</v>
      </c>
      <c r="M6" s="15" t="s">
        <v>14</v>
      </c>
    </row>
    <row r="7" spans="1:13" s="25" customFormat="1" ht="51" customHeight="1" x14ac:dyDescent="0.25">
      <c r="A7" s="43" t="s">
        <v>107</v>
      </c>
      <c r="B7" s="43" t="s">
        <v>110</v>
      </c>
      <c r="C7" s="24" t="s">
        <v>142</v>
      </c>
      <c r="D7" s="24" t="s">
        <v>115</v>
      </c>
      <c r="E7" s="40">
        <f>LEN(D7)</f>
        <v>57</v>
      </c>
      <c r="F7" s="44" t="s">
        <v>18</v>
      </c>
      <c r="G7" s="24"/>
      <c r="H7" s="24"/>
      <c r="I7" s="45"/>
      <c r="J7" s="45"/>
      <c r="K7" s="46"/>
      <c r="L7" s="46"/>
      <c r="M7" s="24"/>
    </row>
    <row r="8" spans="1:13" s="25" customFormat="1" ht="51" customHeight="1" x14ac:dyDescent="0.25">
      <c r="A8" s="43" t="s">
        <v>107</v>
      </c>
      <c r="B8" s="43" t="s">
        <v>110</v>
      </c>
      <c r="C8" s="24" t="s">
        <v>143</v>
      </c>
      <c r="D8" s="24" t="s">
        <v>116</v>
      </c>
      <c r="E8" s="40">
        <f t="shared" ref="E8:E66" si="0">LEN(D8)</f>
        <v>59</v>
      </c>
      <c r="F8" s="44" t="s">
        <v>18</v>
      </c>
      <c r="G8" s="24"/>
      <c r="H8" s="24"/>
      <c r="I8" s="45"/>
      <c r="J8" s="45"/>
      <c r="K8" s="46"/>
      <c r="L8" s="46"/>
      <c r="M8" s="24"/>
    </row>
    <row r="9" spans="1:13" s="25" customFormat="1" ht="51" customHeight="1" x14ac:dyDescent="0.25">
      <c r="A9" s="43" t="s">
        <v>107</v>
      </c>
      <c r="B9" s="43" t="s">
        <v>110</v>
      </c>
      <c r="C9" s="24" t="s">
        <v>144</v>
      </c>
      <c r="D9" s="24" t="s">
        <v>114</v>
      </c>
      <c r="E9" s="40">
        <f t="shared" si="0"/>
        <v>94</v>
      </c>
      <c r="F9" s="24" t="s">
        <v>51</v>
      </c>
      <c r="G9" s="24"/>
      <c r="H9" s="24"/>
      <c r="I9" s="24"/>
      <c r="J9" s="24"/>
      <c r="K9" s="46"/>
      <c r="L9" s="46"/>
      <c r="M9" s="24"/>
    </row>
    <row r="10" spans="1:13" s="25" customFormat="1" ht="51" customHeight="1" x14ac:dyDescent="0.25">
      <c r="A10" s="43" t="s">
        <v>107</v>
      </c>
      <c r="B10" s="43" t="s">
        <v>108</v>
      </c>
      <c r="C10" s="24" t="s">
        <v>145</v>
      </c>
      <c r="D10" s="24" t="s">
        <v>117</v>
      </c>
      <c r="E10" s="40">
        <f t="shared" si="0"/>
        <v>64</v>
      </c>
      <c r="F10" s="44" t="s">
        <v>18</v>
      </c>
      <c r="G10" s="24"/>
      <c r="H10" s="24"/>
      <c r="I10" s="45"/>
      <c r="J10" s="45"/>
      <c r="K10" s="46"/>
      <c r="L10" s="46"/>
      <c r="M10" s="24"/>
    </row>
    <row r="11" spans="1:13" s="25" customFormat="1" ht="51" customHeight="1" x14ac:dyDescent="0.25">
      <c r="A11" s="43" t="s">
        <v>107</v>
      </c>
      <c r="B11" s="43" t="s">
        <v>108</v>
      </c>
      <c r="C11" s="24" t="s">
        <v>146</v>
      </c>
      <c r="D11" s="24" t="s">
        <v>118</v>
      </c>
      <c r="E11" s="40">
        <f t="shared" si="0"/>
        <v>92</v>
      </c>
      <c r="F11" s="44" t="s">
        <v>51</v>
      </c>
      <c r="G11" s="24"/>
      <c r="H11" s="24"/>
      <c r="I11" s="45"/>
      <c r="J11" s="45"/>
      <c r="K11" s="46"/>
      <c r="L11" s="46"/>
      <c r="M11" s="24"/>
    </row>
    <row r="12" spans="1:13" s="25" customFormat="1" ht="51" customHeight="1" x14ac:dyDescent="0.25">
      <c r="A12" s="43" t="s">
        <v>107</v>
      </c>
      <c r="B12" s="43" t="s">
        <v>109</v>
      </c>
      <c r="C12" s="24" t="s">
        <v>147</v>
      </c>
      <c r="D12" s="24" t="s">
        <v>119</v>
      </c>
      <c r="E12" s="40">
        <f t="shared" si="0"/>
        <v>48</v>
      </c>
      <c r="F12" s="44" t="s">
        <v>18</v>
      </c>
      <c r="G12" s="24"/>
      <c r="H12" s="24"/>
      <c r="I12" s="45"/>
      <c r="J12" s="45"/>
      <c r="K12" s="46"/>
      <c r="L12" s="46"/>
      <c r="M12" s="24"/>
    </row>
    <row r="13" spans="1:13" s="25" customFormat="1" ht="51" customHeight="1" x14ac:dyDescent="0.25">
      <c r="A13" s="43" t="s">
        <v>107</v>
      </c>
      <c r="B13" s="43" t="s">
        <v>109</v>
      </c>
      <c r="C13" s="24" t="s">
        <v>148</v>
      </c>
      <c r="D13" s="24" t="s">
        <v>120</v>
      </c>
      <c r="E13" s="40">
        <f t="shared" si="0"/>
        <v>31</v>
      </c>
      <c r="F13" s="44" t="s">
        <v>51</v>
      </c>
      <c r="G13" s="24"/>
      <c r="H13" s="24"/>
      <c r="I13" s="45"/>
      <c r="J13" s="45"/>
      <c r="K13" s="46"/>
      <c r="L13" s="46"/>
      <c r="M13" s="24"/>
    </row>
    <row r="14" spans="1:13" s="25" customFormat="1" ht="51" customHeight="1" x14ac:dyDescent="0.25">
      <c r="A14" s="43" t="s">
        <v>107</v>
      </c>
      <c r="B14" s="43" t="s">
        <v>122</v>
      </c>
      <c r="C14" s="24" t="s">
        <v>149</v>
      </c>
      <c r="D14" s="24" t="s">
        <v>121</v>
      </c>
      <c r="E14" s="40">
        <f t="shared" si="0"/>
        <v>92</v>
      </c>
      <c r="F14" s="44" t="s">
        <v>51</v>
      </c>
      <c r="G14" s="24"/>
      <c r="H14" s="24"/>
      <c r="I14" s="45"/>
      <c r="J14" s="45"/>
      <c r="K14" s="46"/>
      <c r="L14" s="46"/>
      <c r="M14" s="24"/>
    </row>
    <row r="15" spans="1:13" s="25" customFormat="1" ht="51" customHeight="1" x14ac:dyDescent="0.25">
      <c r="A15" s="43" t="s">
        <v>107</v>
      </c>
      <c r="B15" s="43" t="s">
        <v>112</v>
      </c>
      <c r="C15" s="24" t="s">
        <v>124</v>
      </c>
      <c r="D15" s="24" t="s">
        <v>123</v>
      </c>
      <c r="E15" s="40">
        <f t="shared" si="0"/>
        <v>22</v>
      </c>
      <c r="F15" s="44" t="s">
        <v>51</v>
      </c>
      <c r="G15" s="24"/>
      <c r="H15" s="24"/>
      <c r="I15" s="45"/>
      <c r="J15" s="45"/>
      <c r="K15" s="46"/>
      <c r="L15" s="46"/>
      <c r="M15" s="24"/>
    </row>
    <row r="16" spans="1:13" s="25" customFormat="1" ht="51" customHeight="1" x14ac:dyDescent="0.25">
      <c r="A16" s="43" t="s">
        <v>107</v>
      </c>
      <c r="B16" s="43" t="s">
        <v>112</v>
      </c>
      <c r="C16" s="24" t="s">
        <v>125</v>
      </c>
      <c r="D16" s="24" t="s">
        <v>126</v>
      </c>
      <c r="E16" s="40">
        <f t="shared" si="0"/>
        <v>51</v>
      </c>
      <c r="F16" s="24" t="s">
        <v>51</v>
      </c>
      <c r="G16" s="24"/>
      <c r="H16" s="24"/>
      <c r="I16" s="24"/>
      <c r="J16" s="24"/>
      <c r="K16" s="46"/>
      <c r="L16" s="46"/>
      <c r="M16" s="24"/>
    </row>
    <row r="17" spans="1:13" s="25" customFormat="1" ht="51" customHeight="1" x14ac:dyDescent="0.25">
      <c r="A17" s="43" t="s">
        <v>107</v>
      </c>
      <c r="B17" s="43" t="s">
        <v>113</v>
      </c>
      <c r="C17" s="24" t="s">
        <v>127</v>
      </c>
      <c r="D17" s="24" t="s">
        <v>127</v>
      </c>
      <c r="E17" s="40">
        <f t="shared" si="0"/>
        <v>40</v>
      </c>
      <c r="F17" s="24" t="s">
        <v>18</v>
      </c>
      <c r="G17" s="24"/>
      <c r="H17" s="24"/>
      <c r="I17" s="24"/>
      <c r="J17" s="24"/>
      <c r="K17" s="46"/>
      <c r="L17" s="46"/>
      <c r="M17" s="24" t="s">
        <v>130</v>
      </c>
    </row>
    <row r="18" spans="1:13" s="25" customFormat="1" ht="51" customHeight="1" x14ac:dyDescent="0.25">
      <c r="A18" s="43" t="s">
        <v>107</v>
      </c>
      <c r="B18" s="43" t="s">
        <v>113</v>
      </c>
      <c r="C18" s="24" t="s">
        <v>128</v>
      </c>
      <c r="D18" s="24" t="s">
        <v>129</v>
      </c>
      <c r="E18" s="40">
        <f t="shared" si="0"/>
        <v>29</v>
      </c>
      <c r="F18" s="24" t="s">
        <v>51</v>
      </c>
      <c r="G18" s="24"/>
      <c r="H18" s="24"/>
      <c r="I18" s="24"/>
      <c r="J18" s="24"/>
      <c r="K18" s="46"/>
      <c r="L18" s="46"/>
      <c r="M18" s="24"/>
    </row>
    <row r="19" spans="1:13" s="25" customFormat="1" ht="51" customHeight="1" x14ac:dyDescent="0.25">
      <c r="A19" s="43" t="s">
        <v>107</v>
      </c>
      <c r="B19" s="43" t="s">
        <v>111</v>
      </c>
      <c r="C19" s="24" t="s">
        <v>131</v>
      </c>
      <c r="D19" s="24" t="s">
        <v>132</v>
      </c>
      <c r="E19" s="40">
        <f t="shared" si="0"/>
        <v>55</v>
      </c>
      <c r="F19" s="24" t="s">
        <v>51</v>
      </c>
      <c r="G19" s="24"/>
      <c r="H19" s="24"/>
      <c r="I19" s="24"/>
      <c r="J19" s="24"/>
      <c r="K19" s="46"/>
      <c r="L19" s="46"/>
      <c r="M19" s="24"/>
    </row>
    <row r="20" spans="1:13" s="25" customFormat="1" ht="51" customHeight="1" x14ac:dyDescent="0.25">
      <c r="A20" s="43" t="s">
        <v>107</v>
      </c>
      <c r="B20" s="43" t="s">
        <v>111</v>
      </c>
      <c r="C20" s="24" t="s">
        <v>133</v>
      </c>
      <c r="D20" s="24" t="s">
        <v>137</v>
      </c>
      <c r="E20" s="40">
        <f t="shared" si="0"/>
        <v>64</v>
      </c>
      <c r="F20" s="24" t="s">
        <v>51</v>
      </c>
      <c r="G20" s="24"/>
      <c r="H20" s="24"/>
      <c r="I20" s="24"/>
      <c r="J20" s="24"/>
      <c r="K20" s="46"/>
      <c r="L20" s="46"/>
      <c r="M20" s="24"/>
    </row>
    <row r="21" spans="1:13" s="25" customFormat="1" ht="51" customHeight="1" x14ac:dyDescent="0.25">
      <c r="A21" s="43" t="s">
        <v>107</v>
      </c>
      <c r="B21" s="43" t="s">
        <v>111</v>
      </c>
      <c r="C21" s="24" t="s">
        <v>135</v>
      </c>
      <c r="D21" s="24" t="s">
        <v>136</v>
      </c>
      <c r="E21" s="40">
        <f t="shared" si="0"/>
        <v>70</v>
      </c>
      <c r="F21" s="24" t="s">
        <v>18</v>
      </c>
      <c r="G21" s="24"/>
      <c r="H21" s="24"/>
      <c r="I21" s="24"/>
      <c r="J21" s="24"/>
      <c r="K21" s="46"/>
      <c r="L21" s="46"/>
      <c r="M21" s="24"/>
    </row>
    <row r="22" spans="1:13" s="25" customFormat="1" ht="51" customHeight="1" x14ac:dyDescent="0.25">
      <c r="A22" s="43" t="s">
        <v>107</v>
      </c>
      <c r="B22" s="43" t="s">
        <v>111</v>
      </c>
      <c r="C22" s="24" t="s">
        <v>134</v>
      </c>
      <c r="D22" s="24" t="s">
        <v>134</v>
      </c>
      <c r="E22" s="40">
        <f t="shared" si="0"/>
        <v>24</v>
      </c>
      <c r="F22" s="24" t="s">
        <v>51</v>
      </c>
      <c r="G22" s="24"/>
      <c r="H22" s="24"/>
      <c r="I22" s="24"/>
      <c r="J22" s="24"/>
      <c r="K22" s="46"/>
      <c r="L22" s="46"/>
      <c r="M22" s="24"/>
    </row>
    <row r="23" spans="1:13" s="25" customFormat="1" ht="51" customHeight="1" x14ac:dyDescent="0.25">
      <c r="A23" s="43" t="s">
        <v>107</v>
      </c>
      <c r="B23" s="43" t="s">
        <v>138</v>
      </c>
      <c r="C23" s="24" t="s">
        <v>139</v>
      </c>
      <c r="D23" s="24" t="s">
        <v>139</v>
      </c>
      <c r="E23" s="40">
        <f t="shared" si="0"/>
        <v>41</v>
      </c>
      <c r="F23" s="24" t="s">
        <v>18</v>
      </c>
      <c r="G23" s="24"/>
      <c r="H23" s="24"/>
      <c r="I23" s="24"/>
      <c r="J23" s="24"/>
      <c r="K23" s="46"/>
      <c r="L23" s="46"/>
      <c r="M23" s="24"/>
    </row>
    <row r="24" spans="1:13" s="25" customFormat="1" ht="51" customHeight="1" x14ac:dyDescent="0.25">
      <c r="A24" s="43" t="s">
        <v>107</v>
      </c>
      <c r="B24" s="43" t="s">
        <v>138</v>
      </c>
      <c r="C24" s="24" t="s">
        <v>140</v>
      </c>
      <c r="D24" s="24" t="s">
        <v>140</v>
      </c>
      <c r="E24" s="40">
        <f t="shared" si="0"/>
        <v>47</v>
      </c>
      <c r="F24" s="24" t="s">
        <v>51</v>
      </c>
      <c r="G24" s="24"/>
      <c r="H24" s="24"/>
      <c r="I24" s="24"/>
      <c r="J24" s="24"/>
      <c r="K24" s="46"/>
      <c r="L24" s="46"/>
      <c r="M24" s="24"/>
    </row>
    <row r="25" spans="1:13" s="25" customFormat="1" ht="51" customHeight="1" x14ac:dyDescent="0.25">
      <c r="A25" s="43" t="s">
        <v>107</v>
      </c>
      <c r="B25" s="43" t="s">
        <v>141</v>
      </c>
      <c r="C25" s="24" t="s">
        <v>150</v>
      </c>
      <c r="D25" s="24" t="s">
        <v>151</v>
      </c>
      <c r="E25" s="40">
        <f t="shared" si="0"/>
        <v>109</v>
      </c>
      <c r="F25" s="24" t="s">
        <v>18</v>
      </c>
      <c r="G25" s="24"/>
      <c r="H25" s="24"/>
      <c r="I25" s="24"/>
      <c r="J25" s="24"/>
      <c r="K25" s="46"/>
      <c r="L25" s="46"/>
      <c r="M25" s="24"/>
    </row>
    <row r="26" spans="1:13" s="25" customFormat="1" ht="51" customHeight="1" x14ac:dyDescent="0.25">
      <c r="A26" s="35"/>
      <c r="B26" s="35"/>
      <c r="C26" s="21"/>
      <c r="D26" s="21"/>
      <c r="E26" s="40">
        <f t="shared" si="0"/>
        <v>0</v>
      </c>
      <c r="F26" s="21"/>
      <c r="G26" s="21"/>
      <c r="H26" s="21"/>
      <c r="I26" s="21"/>
      <c r="J26" s="21"/>
      <c r="K26" s="23"/>
      <c r="L26" s="23"/>
      <c r="M26" s="24"/>
    </row>
    <row r="27" spans="1:13" s="25" customFormat="1" ht="51" customHeight="1" x14ac:dyDescent="0.25">
      <c r="A27" s="35"/>
      <c r="B27" s="35"/>
      <c r="C27" s="21"/>
      <c r="D27" s="24"/>
      <c r="E27" s="40">
        <f t="shared" si="0"/>
        <v>0</v>
      </c>
      <c r="F27" s="21"/>
      <c r="G27" s="21"/>
      <c r="H27" s="21"/>
      <c r="I27" s="21"/>
      <c r="J27" s="21"/>
      <c r="K27" s="23"/>
      <c r="L27" s="23"/>
      <c r="M27" s="24"/>
    </row>
    <row r="28" spans="1:13" s="25" customFormat="1" ht="51" customHeight="1" x14ac:dyDescent="0.25">
      <c r="A28" s="35"/>
      <c r="B28" s="35"/>
      <c r="C28" s="21"/>
      <c r="D28" s="24"/>
      <c r="E28" s="40">
        <f t="shared" si="0"/>
        <v>0</v>
      </c>
      <c r="F28" s="21"/>
      <c r="G28" s="21"/>
      <c r="H28" s="21"/>
      <c r="I28" s="21"/>
      <c r="J28" s="21"/>
      <c r="K28" s="23"/>
      <c r="L28" s="23"/>
      <c r="M28" s="24"/>
    </row>
    <row r="29" spans="1:13" s="25" customFormat="1" ht="51" customHeight="1" x14ac:dyDescent="0.25">
      <c r="A29" s="35"/>
      <c r="B29" s="35"/>
      <c r="C29" s="21"/>
      <c r="D29" s="21"/>
      <c r="E29" s="40">
        <f t="shared" si="0"/>
        <v>0</v>
      </c>
      <c r="F29" s="21"/>
      <c r="G29" s="21"/>
      <c r="H29" s="21"/>
      <c r="I29" s="21"/>
      <c r="J29" s="21"/>
      <c r="K29" s="23"/>
      <c r="L29" s="23"/>
      <c r="M29" s="24"/>
    </row>
    <row r="30" spans="1:13" s="25" customFormat="1" ht="51" customHeight="1" x14ac:dyDescent="0.25">
      <c r="A30" s="35"/>
      <c r="B30" s="35"/>
      <c r="C30" s="21"/>
      <c r="D30" s="24"/>
      <c r="E30" s="40">
        <f t="shared" si="0"/>
        <v>0</v>
      </c>
      <c r="F30" s="21"/>
      <c r="G30" s="21"/>
      <c r="H30" s="21"/>
      <c r="I30" s="21"/>
      <c r="J30" s="21"/>
      <c r="K30" s="23"/>
      <c r="L30" s="23"/>
      <c r="M30" s="24"/>
    </row>
    <row r="31" spans="1:13" s="25" customFormat="1" ht="51" customHeight="1" x14ac:dyDescent="0.25">
      <c r="A31" s="35"/>
      <c r="B31" s="35"/>
      <c r="C31" s="21"/>
      <c r="D31" s="24"/>
      <c r="E31" s="40">
        <f t="shared" si="0"/>
        <v>0</v>
      </c>
      <c r="F31" s="21"/>
      <c r="G31" s="21"/>
      <c r="H31" s="21"/>
      <c r="I31" s="21"/>
      <c r="J31" s="21"/>
      <c r="K31" s="23"/>
      <c r="L31" s="23"/>
      <c r="M31" s="24"/>
    </row>
    <row r="32" spans="1:13" s="25" customFormat="1" ht="51" customHeight="1" x14ac:dyDescent="0.25">
      <c r="A32" s="35"/>
      <c r="B32" s="35"/>
      <c r="C32" s="21"/>
      <c r="D32" s="24"/>
      <c r="E32" s="40">
        <f t="shared" si="0"/>
        <v>0</v>
      </c>
      <c r="F32" s="21"/>
      <c r="G32" s="21"/>
      <c r="H32" s="21"/>
      <c r="I32" s="21"/>
      <c r="J32" s="21"/>
      <c r="K32" s="23"/>
      <c r="L32" s="23"/>
      <c r="M32" s="24"/>
    </row>
    <row r="33" spans="1:13" s="25" customFormat="1" ht="51" customHeight="1" x14ac:dyDescent="0.25">
      <c r="A33" s="35"/>
      <c r="B33" s="35"/>
      <c r="C33" s="21"/>
      <c r="D33" s="24"/>
      <c r="E33" s="40">
        <f t="shared" si="0"/>
        <v>0</v>
      </c>
      <c r="F33" s="21"/>
      <c r="G33" s="21"/>
      <c r="H33" s="21"/>
      <c r="I33" s="21"/>
      <c r="J33" s="21"/>
      <c r="K33" s="23"/>
      <c r="L33" s="23"/>
      <c r="M33" s="24"/>
    </row>
    <row r="34" spans="1:13" s="25" customFormat="1" ht="51" customHeight="1" x14ac:dyDescent="0.25">
      <c r="A34" s="35"/>
      <c r="B34" s="35"/>
      <c r="C34" s="21"/>
      <c r="D34" s="24"/>
      <c r="E34" s="40">
        <f t="shared" si="0"/>
        <v>0</v>
      </c>
      <c r="F34" s="21"/>
      <c r="G34" s="21"/>
      <c r="H34" s="21"/>
      <c r="I34" s="21"/>
      <c r="J34" s="21"/>
      <c r="K34" s="23"/>
      <c r="L34" s="23"/>
      <c r="M34" s="24"/>
    </row>
    <row r="35" spans="1:13" s="25" customFormat="1" ht="51" customHeight="1" x14ac:dyDescent="0.25">
      <c r="A35" s="35"/>
      <c r="B35" s="35"/>
      <c r="C35" s="21"/>
      <c r="D35" s="24"/>
      <c r="E35" s="40">
        <f t="shared" si="0"/>
        <v>0</v>
      </c>
      <c r="F35" s="21"/>
      <c r="G35" s="21"/>
      <c r="H35" s="21"/>
      <c r="I35" s="21"/>
      <c r="J35" s="21"/>
      <c r="K35" s="23"/>
      <c r="L35" s="23"/>
      <c r="M35" s="24"/>
    </row>
    <row r="36" spans="1:13" s="25" customFormat="1" ht="51" customHeight="1" x14ac:dyDescent="0.25">
      <c r="A36" s="35"/>
      <c r="B36" s="35"/>
      <c r="C36" s="21"/>
      <c r="D36" s="24"/>
      <c r="E36" s="40">
        <f t="shared" si="0"/>
        <v>0</v>
      </c>
      <c r="F36" s="21"/>
      <c r="G36" s="21"/>
      <c r="H36" s="21"/>
      <c r="I36" s="21"/>
      <c r="J36" s="21"/>
      <c r="K36" s="23"/>
      <c r="L36" s="23"/>
      <c r="M36" s="24"/>
    </row>
    <row r="37" spans="1:13" s="25" customFormat="1" ht="51" customHeight="1" x14ac:dyDescent="0.25">
      <c r="A37" s="35"/>
      <c r="B37" s="35"/>
      <c r="C37" s="21"/>
      <c r="D37" s="24"/>
      <c r="E37" s="40">
        <f t="shared" si="0"/>
        <v>0</v>
      </c>
      <c r="F37" s="21"/>
      <c r="G37" s="21"/>
      <c r="H37" s="21"/>
      <c r="I37" s="21"/>
      <c r="J37" s="21"/>
      <c r="K37" s="23"/>
      <c r="L37" s="23"/>
      <c r="M37" s="24"/>
    </row>
    <row r="38" spans="1:13" s="25" customFormat="1" ht="51" customHeight="1" x14ac:dyDescent="0.25">
      <c r="A38" s="35"/>
      <c r="B38" s="35"/>
      <c r="C38" s="21"/>
      <c r="D38" s="24"/>
      <c r="E38" s="40">
        <f t="shared" si="0"/>
        <v>0</v>
      </c>
      <c r="F38" s="21"/>
      <c r="G38" s="21"/>
      <c r="H38" s="21"/>
      <c r="I38" s="21"/>
      <c r="J38" s="21"/>
      <c r="K38" s="23"/>
      <c r="L38" s="23"/>
      <c r="M38" s="24"/>
    </row>
    <row r="39" spans="1:13" s="25" customFormat="1" ht="51" customHeight="1" x14ac:dyDescent="0.25">
      <c r="A39" s="35"/>
      <c r="B39" s="35"/>
      <c r="C39" s="21"/>
      <c r="D39" s="24"/>
      <c r="E39" s="40">
        <f t="shared" si="0"/>
        <v>0</v>
      </c>
      <c r="F39" s="21"/>
      <c r="G39" s="21"/>
      <c r="H39" s="21"/>
      <c r="I39" s="21"/>
      <c r="J39" s="21"/>
      <c r="K39" s="23"/>
      <c r="L39" s="23"/>
      <c r="M39" s="24"/>
    </row>
    <row r="40" spans="1:13" s="25" customFormat="1" ht="51" customHeight="1" x14ac:dyDescent="0.25">
      <c r="A40" s="35"/>
      <c r="B40" s="35"/>
      <c r="C40" s="21"/>
      <c r="D40" s="24"/>
      <c r="E40" s="40">
        <f t="shared" si="0"/>
        <v>0</v>
      </c>
      <c r="F40" s="21"/>
      <c r="G40" s="21"/>
      <c r="H40" s="21"/>
      <c r="I40" s="21"/>
      <c r="J40" s="21"/>
      <c r="K40" s="23"/>
      <c r="L40" s="23"/>
      <c r="M40" s="24"/>
    </row>
    <row r="41" spans="1:13" s="25" customFormat="1" ht="51" customHeight="1" x14ac:dyDescent="0.25">
      <c r="A41" s="35"/>
      <c r="B41" s="35"/>
      <c r="C41" s="24"/>
      <c r="D41" s="24"/>
      <c r="E41" s="40">
        <f t="shared" si="0"/>
        <v>0</v>
      </c>
      <c r="F41" s="21"/>
      <c r="G41" s="21"/>
      <c r="H41" s="21"/>
      <c r="I41" s="21"/>
      <c r="J41" s="21"/>
      <c r="K41" s="23"/>
      <c r="L41" s="23"/>
      <c r="M41" s="24"/>
    </row>
    <row r="42" spans="1:13" s="25" customFormat="1" x14ac:dyDescent="0.25">
      <c r="A42" s="35"/>
      <c r="B42" s="35"/>
      <c r="C42" s="21"/>
      <c r="D42" s="24"/>
      <c r="E42" s="40">
        <f t="shared" si="0"/>
        <v>0</v>
      </c>
      <c r="F42" s="21"/>
      <c r="G42" s="21"/>
      <c r="H42" s="21"/>
      <c r="I42" s="22"/>
      <c r="J42" s="22"/>
      <c r="K42" s="23"/>
      <c r="L42" s="23"/>
      <c r="M42" s="24"/>
    </row>
    <row r="43" spans="1:13" s="25" customFormat="1" x14ac:dyDescent="0.25">
      <c r="A43" s="35"/>
      <c r="B43" s="35"/>
      <c r="C43" s="21"/>
      <c r="D43" s="24"/>
      <c r="E43" s="40">
        <f t="shared" si="0"/>
        <v>0</v>
      </c>
      <c r="F43" s="21"/>
      <c r="G43" s="21"/>
      <c r="H43" s="21"/>
      <c r="I43" s="22"/>
      <c r="J43" s="22"/>
      <c r="K43" s="23"/>
      <c r="L43" s="23"/>
      <c r="M43" s="24"/>
    </row>
    <row r="44" spans="1:13" s="25" customFormat="1" x14ac:dyDescent="0.25">
      <c r="A44" s="35"/>
      <c r="B44" s="35"/>
      <c r="C44" s="21"/>
      <c r="D44" s="24"/>
      <c r="E44" s="40">
        <f t="shared" si="0"/>
        <v>0</v>
      </c>
      <c r="F44" s="21"/>
      <c r="G44" s="21"/>
      <c r="H44" s="21"/>
      <c r="I44" s="22"/>
      <c r="J44" s="22"/>
      <c r="K44" s="23"/>
      <c r="L44" s="23"/>
      <c r="M44" s="24"/>
    </row>
    <row r="45" spans="1:13" s="25" customFormat="1" x14ac:dyDescent="0.25">
      <c r="A45" s="35"/>
      <c r="B45" s="35"/>
      <c r="C45" s="21"/>
      <c r="D45" s="24"/>
      <c r="E45" s="40">
        <f t="shared" si="0"/>
        <v>0</v>
      </c>
      <c r="F45" s="21"/>
      <c r="G45" s="21"/>
      <c r="H45" s="21"/>
      <c r="I45" s="22"/>
      <c r="J45" s="22"/>
      <c r="K45" s="23"/>
      <c r="L45" s="23"/>
      <c r="M45" s="24"/>
    </row>
    <row r="46" spans="1:13" s="25" customFormat="1" x14ac:dyDescent="0.25">
      <c r="A46" s="35"/>
      <c r="B46" s="35"/>
      <c r="C46" s="21"/>
      <c r="D46" s="24"/>
      <c r="E46" s="40">
        <f t="shared" si="0"/>
        <v>0</v>
      </c>
      <c r="F46" s="21"/>
      <c r="G46" s="21"/>
      <c r="H46" s="21"/>
      <c r="I46" s="22"/>
      <c r="J46" s="22"/>
      <c r="K46" s="23"/>
      <c r="L46" s="23"/>
      <c r="M46" s="24"/>
    </row>
    <row r="47" spans="1:13" s="25" customFormat="1" x14ac:dyDescent="0.25">
      <c r="A47" s="35"/>
      <c r="B47" s="35"/>
      <c r="C47" s="21"/>
      <c r="D47" s="24"/>
      <c r="E47" s="40">
        <f t="shared" si="0"/>
        <v>0</v>
      </c>
      <c r="F47" s="21"/>
      <c r="G47" s="21"/>
      <c r="H47" s="21"/>
      <c r="I47" s="21"/>
      <c r="J47" s="21"/>
      <c r="K47" s="23"/>
      <c r="L47" s="23"/>
      <c r="M47" s="24"/>
    </row>
    <row r="48" spans="1:13" s="25" customFormat="1" x14ac:dyDescent="0.25">
      <c r="A48" s="35"/>
      <c r="B48" s="35"/>
      <c r="C48" s="21"/>
      <c r="D48" s="24"/>
      <c r="E48" s="40">
        <f t="shared" si="0"/>
        <v>0</v>
      </c>
      <c r="F48" s="21"/>
      <c r="G48" s="21"/>
      <c r="H48" s="21"/>
      <c r="I48" s="21"/>
      <c r="J48" s="21"/>
      <c r="K48" s="23"/>
      <c r="L48" s="23"/>
      <c r="M48" s="24"/>
    </row>
    <row r="49" spans="1:13" s="25" customFormat="1" x14ac:dyDescent="0.25">
      <c r="A49" s="35"/>
      <c r="B49" s="35"/>
      <c r="C49" s="21"/>
      <c r="D49" s="24"/>
      <c r="E49" s="40">
        <f t="shared" si="0"/>
        <v>0</v>
      </c>
      <c r="F49" s="21"/>
      <c r="G49" s="21"/>
      <c r="H49" s="21"/>
      <c r="I49" s="21"/>
      <c r="J49" s="21"/>
      <c r="K49" s="23"/>
      <c r="L49" s="23"/>
      <c r="M49" s="24"/>
    </row>
    <row r="50" spans="1:13" s="25" customFormat="1" x14ac:dyDescent="0.25">
      <c r="A50" s="35"/>
      <c r="B50" s="35"/>
      <c r="C50" s="21"/>
      <c r="D50" s="24"/>
      <c r="E50" s="40">
        <f t="shared" si="0"/>
        <v>0</v>
      </c>
      <c r="F50" s="21"/>
      <c r="G50" s="21"/>
      <c r="H50" s="21"/>
      <c r="I50" s="21"/>
      <c r="J50" s="21"/>
      <c r="K50" s="23"/>
      <c r="L50" s="23"/>
      <c r="M50" s="24"/>
    </row>
    <row r="51" spans="1:13" s="25" customFormat="1" x14ac:dyDescent="0.25">
      <c r="A51" s="35"/>
      <c r="B51" s="35"/>
      <c r="C51" s="21"/>
      <c r="D51" s="24"/>
      <c r="E51" s="40">
        <f t="shared" si="0"/>
        <v>0</v>
      </c>
      <c r="F51" s="21"/>
      <c r="G51" s="21"/>
      <c r="H51" s="21"/>
      <c r="I51" s="21"/>
      <c r="J51" s="21"/>
      <c r="K51" s="23"/>
      <c r="L51" s="23"/>
      <c r="M51" s="24"/>
    </row>
    <row r="52" spans="1:13" s="25" customFormat="1" x14ac:dyDescent="0.25">
      <c r="A52" s="35"/>
      <c r="B52" s="35"/>
      <c r="C52" s="21"/>
      <c r="D52" s="24"/>
      <c r="E52" s="40">
        <f t="shared" si="0"/>
        <v>0</v>
      </c>
      <c r="F52" s="21"/>
      <c r="G52" s="21"/>
      <c r="H52" s="21"/>
      <c r="I52" s="21"/>
      <c r="J52" s="21"/>
      <c r="K52" s="23"/>
      <c r="L52" s="23"/>
      <c r="M52" s="24"/>
    </row>
    <row r="53" spans="1:13" s="25" customFormat="1" x14ac:dyDescent="0.25">
      <c r="A53" s="35"/>
      <c r="B53" s="35"/>
      <c r="C53" s="21"/>
      <c r="D53" s="24"/>
      <c r="E53" s="40">
        <f t="shared" si="0"/>
        <v>0</v>
      </c>
      <c r="F53" s="21"/>
      <c r="G53" s="21"/>
      <c r="H53" s="21"/>
      <c r="I53" s="21"/>
      <c r="J53" s="21"/>
      <c r="K53" s="23"/>
      <c r="L53" s="23"/>
      <c r="M53" s="24"/>
    </row>
    <row r="54" spans="1:13" s="25" customFormat="1" x14ac:dyDescent="0.25">
      <c r="A54" s="35"/>
      <c r="B54" s="35"/>
      <c r="C54" s="21"/>
      <c r="D54" s="24"/>
      <c r="E54" s="40">
        <f t="shared" si="0"/>
        <v>0</v>
      </c>
      <c r="F54" s="21"/>
      <c r="G54" s="21"/>
      <c r="H54" s="21"/>
      <c r="I54" s="21"/>
      <c r="J54" s="21"/>
      <c r="K54" s="23"/>
      <c r="L54" s="23"/>
      <c r="M54" s="24"/>
    </row>
    <row r="55" spans="1:13" s="25" customFormat="1" x14ac:dyDescent="0.25">
      <c r="A55" s="35"/>
      <c r="B55" s="35"/>
      <c r="C55" s="21"/>
      <c r="D55" s="24"/>
      <c r="E55" s="40">
        <f t="shared" si="0"/>
        <v>0</v>
      </c>
      <c r="F55" s="21"/>
      <c r="G55" s="21"/>
      <c r="H55" s="21"/>
      <c r="I55" s="21"/>
      <c r="J55" s="21"/>
      <c r="K55" s="23"/>
      <c r="L55" s="23"/>
      <c r="M55" s="24"/>
    </row>
    <row r="56" spans="1:13" s="25" customFormat="1" x14ac:dyDescent="0.25">
      <c r="A56" s="35"/>
      <c r="B56" s="35"/>
      <c r="C56" s="21"/>
      <c r="D56" s="24"/>
      <c r="E56" s="40">
        <f t="shared" si="0"/>
        <v>0</v>
      </c>
      <c r="F56" s="21"/>
      <c r="G56" s="21"/>
      <c r="H56" s="21"/>
      <c r="I56" s="21"/>
      <c r="J56" s="21"/>
      <c r="K56" s="23"/>
      <c r="L56" s="23"/>
      <c r="M56" s="24"/>
    </row>
    <row r="57" spans="1:13" s="25" customFormat="1" x14ac:dyDescent="0.25">
      <c r="A57" s="35"/>
      <c r="B57" s="35"/>
      <c r="C57" s="21"/>
      <c r="D57" s="24"/>
      <c r="E57" s="40">
        <f t="shared" si="0"/>
        <v>0</v>
      </c>
      <c r="F57" s="21"/>
      <c r="G57" s="21"/>
      <c r="H57" s="21"/>
      <c r="I57" s="21"/>
      <c r="J57" s="21"/>
      <c r="K57" s="23"/>
      <c r="L57" s="23"/>
      <c r="M57" s="24"/>
    </row>
    <row r="58" spans="1:13" s="25" customFormat="1" x14ac:dyDescent="0.25">
      <c r="A58" s="35"/>
      <c r="B58" s="35"/>
      <c r="C58" s="21"/>
      <c r="D58" s="24"/>
      <c r="E58" s="40">
        <f t="shared" si="0"/>
        <v>0</v>
      </c>
      <c r="F58" s="21"/>
      <c r="G58" s="21"/>
      <c r="H58" s="21"/>
      <c r="I58" s="21"/>
      <c r="J58" s="21"/>
      <c r="K58" s="23"/>
      <c r="L58" s="23"/>
      <c r="M58" s="24"/>
    </row>
    <row r="59" spans="1:13" s="25" customFormat="1" x14ac:dyDescent="0.25">
      <c r="A59" s="35"/>
      <c r="B59" s="35"/>
      <c r="C59" s="21"/>
      <c r="D59" s="24"/>
      <c r="E59" s="40">
        <f t="shared" si="0"/>
        <v>0</v>
      </c>
      <c r="F59" s="21"/>
      <c r="G59" s="21"/>
      <c r="H59" s="21"/>
      <c r="I59" s="21"/>
      <c r="J59" s="21"/>
      <c r="K59" s="23"/>
      <c r="L59" s="23"/>
      <c r="M59" s="24"/>
    </row>
    <row r="60" spans="1:13" s="25" customFormat="1" x14ac:dyDescent="0.25">
      <c r="A60" s="35"/>
      <c r="B60" s="35"/>
      <c r="C60" s="21"/>
      <c r="D60" s="24"/>
      <c r="E60" s="40">
        <f t="shared" si="0"/>
        <v>0</v>
      </c>
      <c r="F60" s="21"/>
      <c r="G60" s="21"/>
      <c r="H60" s="21"/>
      <c r="I60" s="21"/>
      <c r="J60" s="21"/>
      <c r="K60" s="23"/>
      <c r="L60" s="23"/>
      <c r="M60" s="24"/>
    </row>
    <row r="61" spans="1:13" s="25" customFormat="1" x14ac:dyDescent="0.25">
      <c r="A61" s="35"/>
      <c r="B61" s="35"/>
      <c r="C61" s="21"/>
      <c r="D61" s="24"/>
      <c r="E61" s="40">
        <f t="shared" si="0"/>
        <v>0</v>
      </c>
      <c r="F61" s="21"/>
      <c r="G61" s="21"/>
      <c r="H61" s="21"/>
      <c r="I61" s="21"/>
      <c r="J61" s="21"/>
      <c r="K61" s="23"/>
      <c r="L61" s="23"/>
      <c r="M61" s="24"/>
    </row>
    <row r="62" spans="1:13" s="25" customFormat="1" x14ac:dyDescent="0.25">
      <c r="A62" s="35"/>
      <c r="B62" s="35"/>
      <c r="C62" s="21"/>
      <c r="D62" s="24"/>
      <c r="E62" s="40">
        <f t="shared" si="0"/>
        <v>0</v>
      </c>
      <c r="F62" s="21"/>
      <c r="G62" s="21"/>
      <c r="H62" s="21"/>
      <c r="I62" s="21"/>
      <c r="J62" s="21"/>
      <c r="K62" s="23"/>
      <c r="L62" s="23"/>
      <c r="M62" s="24"/>
    </row>
    <row r="63" spans="1:13" s="25" customFormat="1" x14ac:dyDescent="0.25">
      <c r="A63" s="35"/>
      <c r="B63" s="35"/>
      <c r="C63" s="21"/>
      <c r="D63" s="24"/>
      <c r="E63" s="40">
        <f t="shared" si="0"/>
        <v>0</v>
      </c>
      <c r="F63" s="21"/>
      <c r="G63" s="21"/>
      <c r="H63" s="21"/>
      <c r="I63" s="21"/>
      <c r="J63" s="21"/>
      <c r="K63" s="23"/>
      <c r="L63" s="23"/>
      <c r="M63" s="24"/>
    </row>
    <row r="64" spans="1:13" s="25" customFormat="1" x14ac:dyDescent="0.25">
      <c r="A64" s="35"/>
      <c r="B64" s="35"/>
      <c r="C64" s="21"/>
      <c r="D64" s="24"/>
      <c r="E64" s="40">
        <f t="shared" si="0"/>
        <v>0</v>
      </c>
      <c r="F64" s="21"/>
      <c r="G64" s="21"/>
      <c r="H64" s="21"/>
      <c r="I64" s="21"/>
      <c r="J64" s="21"/>
      <c r="K64" s="23"/>
      <c r="L64" s="23"/>
      <c r="M64" s="24"/>
    </row>
    <row r="65" spans="1:13" s="25" customFormat="1" x14ac:dyDescent="0.25">
      <c r="A65" s="35"/>
      <c r="B65" s="35"/>
      <c r="C65" s="21"/>
      <c r="D65" s="24"/>
      <c r="E65" s="40">
        <f t="shared" si="0"/>
        <v>0</v>
      </c>
      <c r="F65" s="21"/>
      <c r="G65" s="21"/>
      <c r="H65" s="21"/>
      <c r="I65" s="21"/>
      <c r="J65" s="21"/>
      <c r="K65" s="23"/>
      <c r="L65" s="23"/>
      <c r="M65" s="24"/>
    </row>
    <row r="66" spans="1:13" s="25" customFormat="1" x14ac:dyDescent="0.25">
      <c r="A66" s="35"/>
      <c r="B66" s="35"/>
      <c r="C66" s="21"/>
      <c r="D66" s="24"/>
      <c r="E66" s="40">
        <f t="shared" si="0"/>
        <v>0</v>
      </c>
      <c r="F66" s="21"/>
      <c r="G66" s="21"/>
      <c r="H66" s="21"/>
      <c r="I66" s="21"/>
      <c r="J66" s="21"/>
      <c r="K66" s="23" t="s">
        <v>15</v>
      </c>
      <c r="L66" s="23"/>
      <c r="M66" s="24"/>
    </row>
    <row r="67" spans="1:13" s="25" customFormat="1" x14ac:dyDescent="0.25">
      <c r="A67" s="35"/>
      <c r="B67" s="35"/>
      <c r="C67" s="21"/>
      <c r="D67" s="24"/>
      <c r="E67" s="40">
        <f t="shared" ref="E67:E68" si="1">LEN(D67)</f>
        <v>0</v>
      </c>
      <c r="F67" s="21"/>
      <c r="G67" s="21"/>
      <c r="H67" s="21"/>
      <c r="I67" s="21"/>
      <c r="J67" s="21"/>
      <c r="K67" s="23" t="s">
        <v>15</v>
      </c>
      <c r="L67" s="23"/>
      <c r="M67" s="24"/>
    </row>
    <row r="68" spans="1:13" s="25" customFormat="1" x14ac:dyDescent="0.25">
      <c r="A68" s="35"/>
      <c r="B68" s="35"/>
      <c r="C68" s="21"/>
      <c r="D68" s="24"/>
      <c r="E68" s="40">
        <f t="shared" si="1"/>
        <v>0</v>
      </c>
      <c r="F68" s="21"/>
      <c r="G68" s="21"/>
      <c r="H68" s="21"/>
      <c r="I68" s="21"/>
      <c r="J68" s="21"/>
      <c r="K68" s="23" t="s">
        <v>15</v>
      </c>
      <c r="L68" s="23"/>
      <c r="M68" s="24"/>
    </row>
    <row r="69" spans="1:13" x14ac:dyDescent="0.25">
      <c r="K69" s="23" t="s">
        <v>15</v>
      </c>
    </row>
  </sheetData>
  <mergeCells count="2">
    <mergeCell ref="C2:J2"/>
    <mergeCell ref="C3:J4"/>
  </mergeCells>
  <conditionalFormatting sqref="E7">
    <cfRule type="cellIs" dxfId="6" priority="3" operator="greaterThan">
      <formula>104</formula>
    </cfRule>
  </conditionalFormatting>
  <conditionalFormatting sqref="E67:E68">
    <cfRule type="cellIs" dxfId="5" priority="2" operator="greaterThan">
      <formula>104</formula>
    </cfRule>
  </conditionalFormatting>
  <conditionalFormatting sqref="E8:E66">
    <cfRule type="cellIs" dxfId="4" priority="1" operator="greaterThan">
      <formula>104</formula>
    </cfRule>
  </conditionalFormatting>
  <dataValidations count="1">
    <dataValidation type="list" allowBlank="1" showInputMessage="1" showErrorMessage="1" sqref="L53:L68 K53:K69 K7:L52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68E1E"/>
  </sheetPr>
  <dimension ref="A1:M69"/>
  <sheetViews>
    <sheetView showGridLines="0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D10" sqref="D10"/>
    </sheetView>
  </sheetViews>
  <sheetFormatPr defaultRowHeight="18.75" x14ac:dyDescent="0.25"/>
  <cols>
    <col min="1" max="1" width="27.85546875" style="36" customWidth="1"/>
    <col min="2" max="2" width="22.28515625" style="36" bestFit="1" customWidth="1"/>
    <col min="3" max="3" width="42.5703125" style="19" bestFit="1" customWidth="1"/>
    <col min="4" max="4" width="55.140625" style="30" customWidth="1"/>
    <col min="5" max="5" width="5.5703125" style="41" bestFit="1" customWidth="1"/>
    <col min="6" max="6" width="16.42578125" style="19" bestFit="1" customWidth="1"/>
    <col min="7" max="7" width="18.42578125" style="19" customWidth="1"/>
    <col min="8" max="8" width="13.7109375" style="19" customWidth="1"/>
    <col min="9" max="9" width="13.85546875" style="19" bestFit="1" customWidth="1"/>
    <col min="10" max="10" width="14.5703125" style="19" bestFit="1" customWidth="1"/>
    <col min="11" max="12" width="13.7109375" style="26" customWidth="1"/>
    <col min="13" max="13" width="60.7109375" style="30" customWidth="1"/>
    <col min="14" max="16384" width="9.140625" style="19"/>
  </cols>
  <sheetData>
    <row r="1" spans="1:13" x14ac:dyDescent="0.25">
      <c r="A1" s="34"/>
      <c r="B1" s="34"/>
      <c r="C1" s="17"/>
      <c r="D1" s="27"/>
      <c r="E1" s="39"/>
      <c r="F1" s="17"/>
      <c r="G1" s="17"/>
      <c r="H1" s="17"/>
      <c r="I1" s="17"/>
      <c r="J1" s="17"/>
      <c r="K1" s="18"/>
      <c r="L1" s="18"/>
      <c r="M1" s="27"/>
    </row>
    <row r="2" spans="1:13" ht="15.75" x14ac:dyDescent="0.25">
      <c r="A2" s="34"/>
      <c r="B2" s="34"/>
      <c r="C2" s="50" t="s">
        <v>1</v>
      </c>
      <c r="D2" s="50"/>
      <c r="E2" s="50"/>
      <c r="F2" s="50"/>
      <c r="G2" s="50"/>
      <c r="H2" s="50"/>
      <c r="I2" s="50"/>
      <c r="J2" s="50"/>
      <c r="K2" s="20"/>
      <c r="L2" s="20"/>
      <c r="M2" s="27"/>
    </row>
    <row r="3" spans="1:13" ht="15" customHeight="1" x14ac:dyDescent="0.25">
      <c r="A3" s="34"/>
      <c r="B3" s="34"/>
      <c r="C3" s="49" t="s">
        <v>0</v>
      </c>
      <c r="D3" s="49"/>
      <c r="E3" s="49"/>
      <c r="F3" s="49"/>
      <c r="G3" s="49"/>
      <c r="H3" s="49"/>
      <c r="I3" s="49"/>
      <c r="J3" s="49"/>
      <c r="K3" s="3"/>
      <c r="L3" s="3"/>
      <c r="M3" s="27"/>
    </row>
    <row r="4" spans="1:13" ht="15" customHeight="1" x14ac:dyDescent="0.25">
      <c r="A4" s="34"/>
      <c r="B4" s="34"/>
      <c r="C4" s="49"/>
      <c r="D4" s="49"/>
      <c r="E4" s="49"/>
      <c r="F4" s="49"/>
      <c r="G4" s="49"/>
      <c r="H4" s="49"/>
      <c r="I4" s="49"/>
      <c r="J4" s="49"/>
      <c r="K4" s="3"/>
      <c r="L4" s="3"/>
      <c r="M4" s="28" t="s">
        <v>2</v>
      </c>
    </row>
    <row r="5" spans="1:13" x14ac:dyDescent="0.25">
      <c r="A5" s="34"/>
      <c r="B5" s="34"/>
      <c r="C5" s="17"/>
      <c r="D5" s="27"/>
      <c r="E5" s="39"/>
      <c r="F5" s="17"/>
      <c r="G5" s="17"/>
      <c r="H5" s="17"/>
      <c r="I5" s="17"/>
      <c r="J5" s="17"/>
      <c r="K5" s="18"/>
      <c r="L5" s="18"/>
      <c r="M5" s="29">
        <v>42340</v>
      </c>
    </row>
    <row r="6" spans="1:13" s="14" customFormat="1" ht="27" customHeight="1" x14ac:dyDescent="0.25">
      <c r="A6" s="13" t="s">
        <v>4</v>
      </c>
      <c r="B6" s="13" t="s">
        <v>5</v>
      </c>
      <c r="C6" s="13" t="s">
        <v>3</v>
      </c>
      <c r="D6" s="15" t="s">
        <v>38</v>
      </c>
      <c r="E6" s="15" t="s">
        <v>94</v>
      </c>
      <c r="F6" s="13" t="s">
        <v>6</v>
      </c>
      <c r="G6" s="13" t="s">
        <v>12</v>
      </c>
      <c r="H6" s="13" t="s">
        <v>9</v>
      </c>
      <c r="I6" s="13" t="s">
        <v>10</v>
      </c>
      <c r="J6" s="13" t="s">
        <v>11</v>
      </c>
      <c r="K6" s="15" t="s">
        <v>13</v>
      </c>
      <c r="L6" s="15" t="s">
        <v>16</v>
      </c>
      <c r="M6" s="15" t="s">
        <v>14</v>
      </c>
    </row>
    <row r="7" spans="1:13" s="25" customFormat="1" ht="51" customHeight="1" x14ac:dyDescent="0.25">
      <c r="A7" s="35" t="s">
        <v>152</v>
      </c>
      <c r="B7" s="35" t="s">
        <v>153</v>
      </c>
      <c r="C7" s="21" t="s">
        <v>154</v>
      </c>
      <c r="D7" s="24"/>
      <c r="E7" s="40">
        <f>LEN(D7)</f>
        <v>0</v>
      </c>
      <c r="F7" s="44"/>
      <c r="G7" s="24"/>
      <c r="H7" s="24"/>
      <c r="I7" s="45"/>
      <c r="J7" s="45"/>
      <c r="K7" s="46"/>
      <c r="L7" s="46"/>
      <c r="M7" s="24"/>
    </row>
    <row r="8" spans="1:13" s="25" customFormat="1" ht="51" customHeight="1" x14ac:dyDescent="0.25">
      <c r="A8" s="35" t="s">
        <v>152</v>
      </c>
      <c r="B8" s="35" t="s">
        <v>153</v>
      </c>
      <c r="C8" s="21" t="s">
        <v>155</v>
      </c>
      <c r="D8" s="24"/>
      <c r="E8" s="40">
        <f t="shared" ref="E8:E68" si="0">LEN(D8)</f>
        <v>0</v>
      </c>
      <c r="F8" s="44"/>
      <c r="G8" s="24"/>
      <c r="H8" s="24"/>
      <c r="I8" s="45"/>
      <c r="J8" s="45"/>
      <c r="K8" s="46"/>
      <c r="L8" s="46"/>
      <c r="M8" s="24"/>
    </row>
    <row r="9" spans="1:13" s="25" customFormat="1" ht="51" customHeight="1" x14ac:dyDescent="0.25">
      <c r="A9" s="35" t="s">
        <v>152</v>
      </c>
      <c r="B9" s="35" t="s">
        <v>153</v>
      </c>
      <c r="C9" s="21" t="s">
        <v>156</v>
      </c>
      <c r="D9" s="24"/>
      <c r="E9" s="40">
        <f t="shared" si="0"/>
        <v>0</v>
      </c>
      <c r="F9" s="24"/>
      <c r="G9" s="24"/>
      <c r="H9" s="24"/>
      <c r="I9" s="24"/>
      <c r="J9" s="24"/>
      <c r="K9" s="46"/>
      <c r="L9" s="46"/>
      <c r="M9" s="24"/>
    </row>
    <row r="10" spans="1:13" s="25" customFormat="1" ht="51" customHeight="1" x14ac:dyDescent="0.25">
      <c r="A10" s="35" t="s">
        <v>152</v>
      </c>
      <c r="B10" s="35" t="s">
        <v>153</v>
      </c>
      <c r="C10" s="21" t="s">
        <v>157</v>
      </c>
      <c r="D10" s="24"/>
      <c r="E10" s="40">
        <f t="shared" si="0"/>
        <v>0</v>
      </c>
      <c r="F10" s="44"/>
      <c r="G10" s="24"/>
      <c r="H10" s="24"/>
      <c r="I10" s="45"/>
      <c r="J10" s="45"/>
      <c r="K10" s="46"/>
      <c r="L10" s="46"/>
      <c r="M10" s="24"/>
    </row>
    <row r="11" spans="1:13" s="25" customFormat="1" ht="51" customHeight="1" x14ac:dyDescent="0.25">
      <c r="A11" s="35" t="s">
        <v>152</v>
      </c>
      <c r="B11" s="35" t="s">
        <v>153</v>
      </c>
      <c r="C11" s="21"/>
      <c r="D11" s="24"/>
      <c r="E11" s="40">
        <f t="shared" si="0"/>
        <v>0</v>
      </c>
      <c r="F11" s="44"/>
      <c r="G11" s="24"/>
      <c r="H11" s="24"/>
      <c r="I11" s="45"/>
      <c r="J11" s="45"/>
      <c r="K11" s="46"/>
      <c r="L11" s="46"/>
      <c r="M11" s="24"/>
    </row>
    <row r="12" spans="1:13" s="25" customFormat="1" ht="51" customHeight="1" x14ac:dyDescent="0.25">
      <c r="A12" s="35" t="s">
        <v>152</v>
      </c>
      <c r="B12" s="35" t="s">
        <v>153</v>
      </c>
      <c r="C12" s="21"/>
      <c r="D12" s="24"/>
      <c r="E12" s="40">
        <f t="shared" si="0"/>
        <v>0</v>
      </c>
      <c r="F12" s="44"/>
      <c r="G12" s="24"/>
      <c r="H12" s="24"/>
      <c r="I12" s="45"/>
      <c r="J12" s="45"/>
      <c r="K12" s="46"/>
      <c r="L12" s="46"/>
      <c r="M12" s="24"/>
    </row>
    <row r="13" spans="1:13" s="25" customFormat="1" ht="51" customHeight="1" x14ac:dyDescent="0.25">
      <c r="A13" s="35" t="s">
        <v>152</v>
      </c>
      <c r="B13" s="35" t="s">
        <v>153</v>
      </c>
      <c r="C13" s="21"/>
      <c r="D13" s="24"/>
      <c r="E13" s="40">
        <f t="shared" si="0"/>
        <v>0</v>
      </c>
      <c r="F13" s="44"/>
      <c r="G13" s="24"/>
      <c r="H13" s="24"/>
      <c r="I13" s="45"/>
      <c r="J13" s="45"/>
      <c r="K13" s="46"/>
      <c r="L13" s="46"/>
      <c r="M13" s="24"/>
    </row>
    <row r="14" spans="1:13" s="25" customFormat="1" ht="51" customHeight="1" x14ac:dyDescent="0.25">
      <c r="A14" s="35" t="s">
        <v>152</v>
      </c>
      <c r="B14" s="35" t="s">
        <v>153</v>
      </c>
      <c r="C14" s="21"/>
      <c r="D14" s="24"/>
      <c r="E14" s="40">
        <f t="shared" si="0"/>
        <v>0</v>
      </c>
      <c r="F14" s="44"/>
      <c r="G14" s="24"/>
      <c r="H14" s="24"/>
      <c r="I14" s="45"/>
      <c r="J14" s="45"/>
      <c r="K14" s="46"/>
      <c r="L14" s="46"/>
      <c r="M14" s="24"/>
    </row>
    <row r="15" spans="1:13" s="25" customFormat="1" ht="51" customHeight="1" x14ac:dyDescent="0.25">
      <c r="A15" s="35" t="s">
        <v>152</v>
      </c>
      <c r="B15" s="35" t="s">
        <v>153</v>
      </c>
      <c r="C15" s="21"/>
      <c r="D15" s="24"/>
      <c r="E15" s="40">
        <f t="shared" si="0"/>
        <v>0</v>
      </c>
      <c r="F15" s="44"/>
      <c r="G15" s="24"/>
      <c r="H15" s="24"/>
      <c r="I15" s="45"/>
      <c r="J15" s="45"/>
      <c r="K15" s="46"/>
      <c r="L15" s="46"/>
      <c r="M15" s="24"/>
    </row>
    <row r="16" spans="1:13" s="25" customFormat="1" ht="51" customHeight="1" x14ac:dyDescent="0.25">
      <c r="A16" s="35" t="s">
        <v>152</v>
      </c>
      <c r="B16" s="35" t="s">
        <v>153</v>
      </c>
      <c r="C16" s="21"/>
      <c r="D16" s="24"/>
      <c r="E16" s="40">
        <f t="shared" si="0"/>
        <v>0</v>
      </c>
      <c r="F16" s="24"/>
      <c r="G16" s="24"/>
      <c r="H16" s="24"/>
      <c r="I16" s="24"/>
      <c r="J16" s="24"/>
      <c r="K16" s="46"/>
      <c r="L16" s="46"/>
      <c r="M16" s="24"/>
    </row>
    <row r="17" spans="1:13" s="25" customFormat="1" ht="51" customHeight="1" x14ac:dyDescent="0.25">
      <c r="A17" s="35" t="s">
        <v>152</v>
      </c>
      <c r="B17" s="35" t="s">
        <v>153</v>
      </c>
      <c r="C17" s="21"/>
      <c r="D17" s="24"/>
      <c r="E17" s="40">
        <f t="shared" si="0"/>
        <v>0</v>
      </c>
      <c r="F17" s="24"/>
      <c r="G17" s="24"/>
      <c r="H17" s="24"/>
      <c r="I17" s="24"/>
      <c r="J17" s="24"/>
      <c r="K17" s="46"/>
      <c r="L17" s="46"/>
      <c r="M17" s="24" t="s">
        <v>130</v>
      </c>
    </row>
    <row r="18" spans="1:13" s="25" customFormat="1" ht="51" customHeight="1" x14ac:dyDescent="0.25">
      <c r="A18" s="35" t="s">
        <v>152</v>
      </c>
      <c r="B18" s="35" t="s">
        <v>153</v>
      </c>
      <c r="C18" s="21"/>
      <c r="D18" s="24"/>
      <c r="E18" s="40">
        <f t="shared" si="0"/>
        <v>0</v>
      </c>
      <c r="F18" s="24"/>
      <c r="G18" s="24"/>
      <c r="H18" s="24"/>
      <c r="I18" s="24"/>
      <c r="J18" s="24"/>
      <c r="K18" s="46"/>
      <c r="L18" s="46"/>
      <c r="M18" s="24"/>
    </row>
    <row r="19" spans="1:13" s="25" customFormat="1" ht="51" customHeight="1" x14ac:dyDescent="0.25">
      <c r="A19" s="35"/>
      <c r="B19" s="35"/>
      <c r="C19" s="21"/>
      <c r="D19" s="24"/>
      <c r="E19" s="40">
        <f t="shared" si="0"/>
        <v>0</v>
      </c>
      <c r="F19" s="24"/>
      <c r="G19" s="24"/>
      <c r="H19" s="24"/>
      <c r="I19" s="24"/>
      <c r="J19" s="24"/>
      <c r="K19" s="46"/>
      <c r="L19" s="46"/>
      <c r="M19" s="24"/>
    </row>
    <row r="20" spans="1:13" s="25" customFormat="1" ht="51" customHeight="1" x14ac:dyDescent="0.25">
      <c r="A20" s="35"/>
      <c r="B20" s="35"/>
      <c r="C20" s="21"/>
      <c r="D20" s="24"/>
      <c r="E20" s="40">
        <f t="shared" si="0"/>
        <v>0</v>
      </c>
      <c r="F20" s="24"/>
      <c r="G20" s="24"/>
      <c r="H20" s="24"/>
      <c r="I20" s="24"/>
      <c r="J20" s="24"/>
      <c r="K20" s="46"/>
      <c r="L20" s="46"/>
      <c r="M20" s="24"/>
    </row>
    <row r="21" spans="1:13" s="25" customFormat="1" ht="51" customHeight="1" x14ac:dyDescent="0.25">
      <c r="A21" s="35"/>
      <c r="B21" s="35"/>
      <c r="C21" s="21"/>
      <c r="D21" s="24"/>
      <c r="E21" s="40">
        <f t="shared" si="0"/>
        <v>0</v>
      </c>
      <c r="F21" s="24"/>
      <c r="G21" s="24"/>
      <c r="H21" s="24"/>
      <c r="I21" s="24"/>
      <c r="J21" s="24"/>
      <c r="K21" s="46"/>
      <c r="L21" s="46"/>
      <c r="M21" s="24"/>
    </row>
    <row r="22" spans="1:13" s="25" customFormat="1" ht="51" customHeight="1" x14ac:dyDescent="0.25">
      <c r="A22" s="35"/>
      <c r="B22" s="35"/>
      <c r="C22" s="21"/>
      <c r="D22" s="24"/>
      <c r="E22" s="40">
        <f t="shared" si="0"/>
        <v>0</v>
      </c>
      <c r="F22" s="24"/>
      <c r="G22" s="24"/>
      <c r="H22" s="24"/>
      <c r="I22" s="24"/>
      <c r="J22" s="24"/>
      <c r="K22" s="46"/>
      <c r="L22" s="46"/>
      <c r="M22" s="24"/>
    </row>
    <row r="23" spans="1:13" s="25" customFormat="1" ht="51" customHeight="1" x14ac:dyDescent="0.25">
      <c r="A23" s="35"/>
      <c r="B23" s="35"/>
      <c r="C23" s="21"/>
      <c r="D23" s="24"/>
      <c r="E23" s="40">
        <f t="shared" si="0"/>
        <v>0</v>
      </c>
      <c r="F23" s="24"/>
      <c r="G23" s="24"/>
      <c r="H23" s="24"/>
      <c r="I23" s="24"/>
      <c r="J23" s="24"/>
      <c r="K23" s="46"/>
      <c r="L23" s="46"/>
      <c r="M23" s="24"/>
    </row>
    <row r="24" spans="1:13" s="25" customFormat="1" ht="51" customHeight="1" x14ac:dyDescent="0.25">
      <c r="A24" s="35"/>
      <c r="B24" s="35"/>
      <c r="C24" s="21"/>
      <c r="D24" s="24"/>
      <c r="E24" s="40">
        <f t="shared" si="0"/>
        <v>0</v>
      </c>
      <c r="F24" s="24"/>
      <c r="G24" s="24"/>
      <c r="H24" s="24"/>
      <c r="I24" s="24"/>
      <c r="J24" s="24"/>
      <c r="K24" s="46"/>
      <c r="L24" s="46"/>
      <c r="M24" s="24"/>
    </row>
    <row r="25" spans="1:13" s="25" customFormat="1" ht="51" customHeight="1" x14ac:dyDescent="0.25">
      <c r="A25" s="35"/>
      <c r="B25" s="35"/>
      <c r="C25" s="21"/>
      <c r="D25" s="24"/>
      <c r="E25" s="40">
        <f t="shared" si="0"/>
        <v>0</v>
      </c>
      <c r="F25" s="24"/>
      <c r="G25" s="24"/>
      <c r="H25" s="24"/>
      <c r="I25" s="24"/>
      <c r="J25" s="24"/>
      <c r="K25" s="46"/>
      <c r="L25" s="46"/>
      <c r="M25" s="24"/>
    </row>
    <row r="26" spans="1:13" s="25" customFormat="1" ht="51" customHeight="1" x14ac:dyDescent="0.25">
      <c r="A26" s="35"/>
      <c r="B26" s="35"/>
      <c r="C26" s="21"/>
      <c r="D26" s="24"/>
      <c r="E26" s="40">
        <f t="shared" si="0"/>
        <v>0</v>
      </c>
      <c r="F26" s="21"/>
      <c r="G26" s="21"/>
      <c r="H26" s="21"/>
      <c r="I26" s="21"/>
      <c r="J26" s="21"/>
      <c r="K26" s="23"/>
      <c r="L26" s="23"/>
      <c r="M26" s="24"/>
    </row>
    <row r="27" spans="1:13" s="25" customFormat="1" ht="51" customHeight="1" x14ac:dyDescent="0.25">
      <c r="A27" s="35"/>
      <c r="B27" s="35"/>
      <c r="C27" s="21"/>
      <c r="D27" s="24"/>
      <c r="E27" s="40">
        <f t="shared" si="0"/>
        <v>0</v>
      </c>
      <c r="F27" s="21"/>
      <c r="G27" s="21"/>
      <c r="H27" s="21"/>
      <c r="I27" s="21"/>
      <c r="J27" s="21"/>
      <c r="K27" s="23"/>
      <c r="L27" s="23"/>
      <c r="M27" s="24"/>
    </row>
    <row r="28" spans="1:13" s="25" customFormat="1" ht="51" customHeight="1" x14ac:dyDescent="0.25">
      <c r="A28" s="35"/>
      <c r="B28" s="35"/>
      <c r="C28" s="21"/>
      <c r="D28" s="24"/>
      <c r="E28" s="40">
        <f t="shared" si="0"/>
        <v>0</v>
      </c>
      <c r="F28" s="21"/>
      <c r="G28" s="21"/>
      <c r="H28" s="21"/>
      <c r="I28" s="21"/>
      <c r="J28" s="21"/>
      <c r="K28" s="23"/>
      <c r="L28" s="23"/>
      <c r="M28" s="24"/>
    </row>
    <row r="29" spans="1:13" s="25" customFormat="1" ht="51" customHeight="1" x14ac:dyDescent="0.25">
      <c r="A29" s="35"/>
      <c r="B29" s="35"/>
      <c r="C29" s="21"/>
      <c r="D29" s="24"/>
      <c r="E29" s="40">
        <f t="shared" si="0"/>
        <v>0</v>
      </c>
      <c r="F29" s="21"/>
      <c r="G29" s="21"/>
      <c r="H29" s="21"/>
      <c r="I29" s="21"/>
      <c r="J29" s="21"/>
      <c r="K29" s="23"/>
      <c r="L29" s="23"/>
      <c r="M29" s="24"/>
    </row>
    <row r="30" spans="1:13" s="25" customFormat="1" ht="51" customHeight="1" x14ac:dyDescent="0.25">
      <c r="A30" s="35"/>
      <c r="B30" s="35"/>
      <c r="C30" s="21"/>
      <c r="D30" s="24"/>
      <c r="E30" s="40">
        <f t="shared" si="0"/>
        <v>0</v>
      </c>
      <c r="F30" s="21"/>
      <c r="G30" s="21"/>
      <c r="H30" s="21"/>
      <c r="I30" s="21"/>
      <c r="J30" s="21"/>
      <c r="K30" s="23"/>
      <c r="L30" s="23"/>
      <c r="M30" s="24"/>
    </row>
    <row r="31" spans="1:13" s="25" customFormat="1" ht="51" customHeight="1" x14ac:dyDescent="0.25">
      <c r="A31" s="35"/>
      <c r="B31" s="35"/>
      <c r="C31" s="21"/>
      <c r="D31" s="24"/>
      <c r="E31" s="40">
        <f t="shared" si="0"/>
        <v>0</v>
      </c>
      <c r="F31" s="21"/>
      <c r="G31" s="21"/>
      <c r="H31" s="21"/>
      <c r="I31" s="21"/>
      <c r="J31" s="21"/>
      <c r="K31" s="23"/>
      <c r="L31" s="23"/>
      <c r="M31" s="24"/>
    </row>
    <row r="32" spans="1:13" s="25" customFormat="1" ht="51" customHeight="1" x14ac:dyDescent="0.25">
      <c r="A32" s="35"/>
      <c r="B32" s="35"/>
      <c r="C32" s="21"/>
      <c r="D32" s="24"/>
      <c r="E32" s="40">
        <f t="shared" si="0"/>
        <v>0</v>
      </c>
      <c r="F32" s="21"/>
      <c r="G32" s="21"/>
      <c r="H32" s="21"/>
      <c r="I32" s="21"/>
      <c r="J32" s="21"/>
      <c r="K32" s="23"/>
      <c r="L32" s="23"/>
      <c r="M32" s="24"/>
    </row>
    <row r="33" spans="1:13" s="25" customFormat="1" ht="51" customHeight="1" x14ac:dyDescent="0.25">
      <c r="A33" s="35"/>
      <c r="B33" s="35"/>
      <c r="C33" s="21"/>
      <c r="D33" s="24"/>
      <c r="E33" s="40">
        <f t="shared" si="0"/>
        <v>0</v>
      </c>
      <c r="F33" s="21"/>
      <c r="G33" s="21"/>
      <c r="H33" s="21"/>
      <c r="I33" s="21"/>
      <c r="J33" s="21"/>
      <c r="K33" s="23"/>
      <c r="L33" s="23"/>
      <c r="M33" s="24"/>
    </row>
    <row r="34" spans="1:13" s="25" customFormat="1" ht="51" customHeight="1" x14ac:dyDescent="0.25">
      <c r="A34" s="35"/>
      <c r="B34" s="35"/>
      <c r="C34" s="21"/>
      <c r="D34" s="24"/>
      <c r="E34" s="40">
        <f t="shared" si="0"/>
        <v>0</v>
      </c>
      <c r="F34" s="21"/>
      <c r="G34" s="21"/>
      <c r="H34" s="21"/>
      <c r="I34" s="21"/>
      <c r="J34" s="21"/>
      <c r="K34" s="23"/>
      <c r="L34" s="23"/>
      <c r="M34" s="24"/>
    </row>
    <row r="35" spans="1:13" s="25" customFormat="1" ht="51" customHeight="1" x14ac:dyDescent="0.25">
      <c r="A35" s="35"/>
      <c r="B35" s="35"/>
      <c r="C35" s="21"/>
      <c r="D35" s="24"/>
      <c r="E35" s="40">
        <f t="shared" si="0"/>
        <v>0</v>
      </c>
      <c r="F35" s="21"/>
      <c r="G35" s="21"/>
      <c r="H35" s="21"/>
      <c r="I35" s="21"/>
      <c r="J35" s="21"/>
      <c r="K35" s="23"/>
      <c r="L35" s="23"/>
      <c r="M35" s="24"/>
    </row>
    <row r="36" spans="1:13" s="25" customFormat="1" ht="51" customHeight="1" x14ac:dyDescent="0.25">
      <c r="A36" s="35"/>
      <c r="B36" s="35"/>
      <c r="C36" s="21"/>
      <c r="D36" s="24"/>
      <c r="E36" s="40">
        <f t="shared" si="0"/>
        <v>0</v>
      </c>
      <c r="F36" s="21"/>
      <c r="G36" s="21"/>
      <c r="H36" s="21"/>
      <c r="I36" s="21"/>
      <c r="J36" s="21"/>
      <c r="K36" s="23"/>
      <c r="L36" s="23"/>
      <c r="M36" s="24"/>
    </row>
    <row r="37" spans="1:13" s="25" customFormat="1" ht="51" customHeight="1" x14ac:dyDescent="0.25">
      <c r="A37" s="35"/>
      <c r="B37" s="35"/>
      <c r="C37" s="21"/>
      <c r="D37" s="24"/>
      <c r="E37" s="40">
        <f t="shared" si="0"/>
        <v>0</v>
      </c>
      <c r="F37" s="21"/>
      <c r="G37" s="21"/>
      <c r="H37" s="21"/>
      <c r="I37" s="21"/>
      <c r="J37" s="21"/>
      <c r="K37" s="23"/>
      <c r="L37" s="23"/>
      <c r="M37" s="24"/>
    </row>
    <row r="38" spans="1:13" s="25" customFormat="1" ht="51" customHeight="1" x14ac:dyDescent="0.25">
      <c r="A38" s="35"/>
      <c r="B38" s="35"/>
      <c r="C38" s="21"/>
      <c r="D38" s="24"/>
      <c r="E38" s="40">
        <f t="shared" si="0"/>
        <v>0</v>
      </c>
      <c r="F38" s="21"/>
      <c r="G38" s="21"/>
      <c r="H38" s="21"/>
      <c r="I38" s="21"/>
      <c r="J38" s="21"/>
      <c r="K38" s="23"/>
      <c r="L38" s="23"/>
      <c r="M38" s="24"/>
    </row>
    <row r="39" spans="1:13" s="25" customFormat="1" ht="51" customHeight="1" x14ac:dyDescent="0.25">
      <c r="A39" s="35"/>
      <c r="B39" s="35"/>
      <c r="C39" s="21"/>
      <c r="D39" s="24"/>
      <c r="E39" s="40">
        <f t="shared" si="0"/>
        <v>0</v>
      </c>
      <c r="F39" s="21"/>
      <c r="G39" s="21"/>
      <c r="H39" s="21"/>
      <c r="I39" s="21"/>
      <c r="J39" s="21"/>
      <c r="K39" s="23"/>
      <c r="L39" s="23"/>
      <c r="M39" s="24"/>
    </row>
    <row r="40" spans="1:13" s="25" customFormat="1" ht="51" customHeight="1" x14ac:dyDescent="0.25">
      <c r="A40" s="35"/>
      <c r="B40" s="35"/>
      <c r="C40" s="21"/>
      <c r="D40" s="24"/>
      <c r="E40" s="40">
        <f t="shared" si="0"/>
        <v>0</v>
      </c>
      <c r="F40" s="21"/>
      <c r="G40" s="21"/>
      <c r="H40" s="21"/>
      <c r="I40" s="21"/>
      <c r="J40" s="21"/>
      <c r="K40" s="23"/>
      <c r="L40" s="23"/>
      <c r="M40" s="24"/>
    </row>
    <row r="41" spans="1:13" s="25" customFormat="1" ht="51" customHeight="1" x14ac:dyDescent="0.25">
      <c r="A41" s="35"/>
      <c r="B41" s="35"/>
      <c r="C41" s="21"/>
      <c r="D41" s="24"/>
      <c r="E41" s="40">
        <f t="shared" si="0"/>
        <v>0</v>
      </c>
      <c r="F41" s="21"/>
      <c r="G41" s="21"/>
      <c r="H41" s="21"/>
      <c r="I41" s="21"/>
      <c r="J41" s="21"/>
      <c r="K41" s="23"/>
      <c r="L41" s="23"/>
      <c r="M41" s="24"/>
    </row>
    <row r="42" spans="1:13" s="25" customFormat="1" x14ac:dyDescent="0.25">
      <c r="A42" s="35"/>
      <c r="B42" s="35"/>
      <c r="C42" s="21"/>
      <c r="D42" s="24"/>
      <c r="E42" s="40">
        <f t="shared" si="0"/>
        <v>0</v>
      </c>
      <c r="F42" s="21"/>
      <c r="G42" s="21"/>
      <c r="H42" s="21"/>
      <c r="I42" s="22"/>
      <c r="J42" s="22"/>
      <c r="K42" s="23"/>
      <c r="L42" s="23"/>
      <c r="M42" s="24"/>
    </row>
    <row r="43" spans="1:13" s="25" customFormat="1" x14ac:dyDescent="0.25">
      <c r="A43" s="35"/>
      <c r="B43" s="35"/>
      <c r="C43" s="21"/>
      <c r="D43" s="24"/>
      <c r="E43" s="40">
        <f t="shared" si="0"/>
        <v>0</v>
      </c>
      <c r="F43" s="21"/>
      <c r="G43" s="21"/>
      <c r="H43" s="21"/>
      <c r="I43" s="22"/>
      <c r="J43" s="22"/>
      <c r="K43" s="23"/>
      <c r="L43" s="23"/>
      <c r="M43" s="24"/>
    </row>
    <row r="44" spans="1:13" s="25" customFormat="1" x14ac:dyDescent="0.25">
      <c r="A44" s="35"/>
      <c r="B44" s="35"/>
      <c r="C44" s="21"/>
      <c r="D44" s="24"/>
      <c r="E44" s="40">
        <f t="shared" si="0"/>
        <v>0</v>
      </c>
      <c r="F44" s="21"/>
      <c r="G44" s="21"/>
      <c r="H44" s="21"/>
      <c r="I44" s="22"/>
      <c r="J44" s="22"/>
      <c r="K44" s="23"/>
      <c r="L44" s="23"/>
      <c r="M44" s="24"/>
    </row>
    <row r="45" spans="1:13" s="25" customFormat="1" x14ac:dyDescent="0.25">
      <c r="A45" s="35"/>
      <c r="B45" s="35"/>
      <c r="C45" s="21"/>
      <c r="D45" s="24"/>
      <c r="E45" s="40">
        <f t="shared" si="0"/>
        <v>0</v>
      </c>
      <c r="F45" s="21"/>
      <c r="G45" s="21"/>
      <c r="H45" s="21"/>
      <c r="I45" s="22"/>
      <c r="J45" s="22"/>
      <c r="K45" s="23"/>
      <c r="L45" s="23"/>
      <c r="M45" s="24"/>
    </row>
    <row r="46" spans="1:13" s="25" customFormat="1" x14ac:dyDescent="0.25">
      <c r="A46" s="35"/>
      <c r="B46" s="35"/>
      <c r="C46" s="21"/>
      <c r="D46" s="24"/>
      <c r="E46" s="40">
        <f t="shared" si="0"/>
        <v>0</v>
      </c>
      <c r="F46" s="21"/>
      <c r="G46" s="21"/>
      <c r="H46" s="21"/>
      <c r="I46" s="22"/>
      <c r="J46" s="22"/>
      <c r="K46" s="23"/>
      <c r="L46" s="23"/>
      <c r="M46" s="24"/>
    </row>
    <row r="47" spans="1:13" s="25" customFormat="1" x14ac:dyDescent="0.25">
      <c r="A47" s="35"/>
      <c r="B47" s="35"/>
      <c r="C47" s="21"/>
      <c r="D47" s="24"/>
      <c r="E47" s="40">
        <f t="shared" si="0"/>
        <v>0</v>
      </c>
      <c r="F47" s="21"/>
      <c r="G47" s="21"/>
      <c r="H47" s="21"/>
      <c r="I47" s="21"/>
      <c r="J47" s="21"/>
      <c r="K47" s="23"/>
      <c r="L47" s="23"/>
      <c r="M47" s="24"/>
    </row>
    <row r="48" spans="1:13" s="25" customFormat="1" x14ac:dyDescent="0.25">
      <c r="A48" s="35"/>
      <c r="B48" s="35"/>
      <c r="C48" s="21"/>
      <c r="D48" s="24"/>
      <c r="E48" s="40">
        <f t="shared" si="0"/>
        <v>0</v>
      </c>
      <c r="F48" s="21"/>
      <c r="G48" s="21"/>
      <c r="H48" s="21"/>
      <c r="I48" s="21"/>
      <c r="J48" s="21"/>
      <c r="K48" s="23"/>
      <c r="L48" s="23"/>
      <c r="M48" s="24"/>
    </row>
    <row r="49" spans="1:13" s="25" customFormat="1" x14ac:dyDescent="0.25">
      <c r="A49" s="35"/>
      <c r="B49" s="35"/>
      <c r="C49" s="21"/>
      <c r="D49" s="24"/>
      <c r="E49" s="40">
        <f t="shared" si="0"/>
        <v>0</v>
      </c>
      <c r="F49" s="21"/>
      <c r="G49" s="21"/>
      <c r="H49" s="21"/>
      <c r="I49" s="21"/>
      <c r="J49" s="21"/>
      <c r="K49" s="23"/>
      <c r="L49" s="23"/>
      <c r="M49" s="24"/>
    </row>
    <row r="50" spans="1:13" s="25" customFormat="1" x14ac:dyDescent="0.25">
      <c r="A50" s="35"/>
      <c r="B50" s="35"/>
      <c r="C50" s="21"/>
      <c r="D50" s="24"/>
      <c r="E50" s="40">
        <f t="shared" si="0"/>
        <v>0</v>
      </c>
      <c r="F50" s="21"/>
      <c r="G50" s="21"/>
      <c r="H50" s="21"/>
      <c r="I50" s="21"/>
      <c r="J50" s="21"/>
      <c r="K50" s="23"/>
      <c r="L50" s="23"/>
      <c r="M50" s="24"/>
    </row>
    <row r="51" spans="1:13" s="25" customFormat="1" x14ac:dyDescent="0.25">
      <c r="A51" s="35"/>
      <c r="B51" s="35"/>
      <c r="C51" s="21"/>
      <c r="D51" s="24"/>
      <c r="E51" s="40">
        <f t="shared" si="0"/>
        <v>0</v>
      </c>
      <c r="F51" s="21"/>
      <c r="G51" s="21"/>
      <c r="H51" s="21"/>
      <c r="I51" s="21"/>
      <c r="J51" s="21"/>
      <c r="K51" s="23"/>
      <c r="L51" s="23"/>
      <c r="M51" s="24"/>
    </row>
    <row r="52" spans="1:13" s="25" customFormat="1" x14ac:dyDescent="0.25">
      <c r="A52" s="35"/>
      <c r="B52" s="35"/>
      <c r="C52" s="21"/>
      <c r="D52" s="24"/>
      <c r="E52" s="40">
        <f t="shared" si="0"/>
        <v>0</v>
      </c>
      <c r="F52" s="21"/>
      <c r="G52" s="21"/>
      <c r="H52" s="21"/>
      <c r="I52" s="21"/>
      <c r="J52" s="21"/>
      <c r="K52" s="23"/>
      <c r="L52" s="23"/>
      <c r="M52" s="24"/>
    </row>
    <row r="53" spans="1:13" s="25" customFormat="1" x14ac:dyDescent="0.25">
      <c r="A53" s="35"/>
      <c r="B53" s="35"/>
      <c r="C53" s="21"/>
      <c r="D53" s="24"/>
      <c r="E53" s="40">
        <f t="shared" si="0"/>
        <v>0</v>
      </c>
      <c r="F53" s="21"/>
      <c r="G53" s="21"/>
      <c r="H53" s="21"/>
      <c r="I53" s="21"/>
      <c r="J53" s="21"/>
      <c r="K53" s="23"/>
      <c r="L53" s="23"/>
      <c r="M53" s="24"/>
    </row>
    <row r="54" spans="1:13" s="25" customFormat="1" x14ac:dyDescent="0.25">
      <c r="A54" s="35"/>
      <c r="B54" s="35"/>
      <c r="C54" s="21"/>
      <c r="D54" s="24"/>
      <c r="E54" s="40">
        <f t="shared" si="0"/>
        <v>0</v>
      </c>
      <c r="F54" s="21"/>
      <c r="G54" s="21"/>
      <c r="H54" s="21"/>
      <c r="I54" s="21"/>
      <c r="J54" s="21"/>
      <c r="K54" s="23"/>
      <c r="L54" s="23"/>
      <c r="M54" s="24"/>
    </row>
    <row r="55" spans="1:13" s="25" customFormat="1" x14ac:dyDescent="0.25">
      <c r="A55" s="35"/>
      <c r="B55" s="35"/>
      <c r="C55" s="21"/>
      <c r="D55" s="24"/>
      <c r="E55" s="40">
        <f t="shared" si="0"/>
        <v>0</v>
      </c>
      <c r="F55" s="21"/>
      <c r="G55" s="21"/>
      <c r="H55" s="21"/>
      <c r="I55" s="21"/>
      <c r="J55" s="21"/>
      <c r="K55" s="23"/>
      <c r="L55" s="23"/>
      <c r="M55" s="24"/>
    </row>
    <row r="56" spans="1:13" s="25" customFormat="1" x14ac:dyDescent="0.25">
      <c r="A56" s="35"/>
      <c r="B56" s="35"/>
      <c r="C56" s="21"/>
      <c r="D56" s="24"/>
      <c r="E56" s="40">
        <f t="shared" si="0"/>
        <v>0</v>
      </c>
      <c r="F56" s="21"/>
      <c r="G56" s="21"/>
      <c r="H56" s="21"/>
      <c r="I56" s="21"/>
      <c r="J56" s="21"/>
      <c r="K56" s="23"/>
      <c r="L56" s="23"/>
      <c r="M56" s="24"/>
    </row>
    <row r="57" spans="1:13" s="25" customFormat="1" x14ac:dyDescent="0.25">
      <c r="A57" s="35"/>
      <c r="B57" s="35"/>
      <c r="C57" s="21"/>
      <c r="D57" s="24"/>
      <c r="E57" s="40">
        <f t="shared" si="0"/>
        <v>0</v>
      </c>
      <c r="F57" s="21"/>
      <c r="G57" s="21"/>
      <c r="H57" s="21"/>
      <c r="I57" s="21"/>
      <c r="J57" s="21"/>
      <c r="K57" s="23"/>
      <c r="L57" s="23"/>
      <c r="M57" s="24"/>
    </row>
    <row r="58" spans="1:13" s="25" customFormat="1" x14ac:dyDescent="0.25">
      <c r="A58" s="35"/>
      <c r="B58" s="35"/>
      <c r="C58" s="21"/>
      <c r="D58" s="24"/>
      <c r="E58" s="40">
        <f t="shared" si="0"/>
        <v>0</v>
      </c>
      <c r="F58" s="21"/>
      <c r="G58" s="21"/>
      <c r="H58" s="21"/>
      <c r="I58" s="21"/>
      <c r="J58" s="21"/>
      <c r="K58" s="23"/>
      <c r="L58" s="23"/>
      <c r="M58" s="24"/>
    </row>
    <row r="59" spans="1:13" s="25" customFormat="1" x14ac:dyDescent="0.25">
      <c r="A59" s="35"/>
      <c r="B59" s="35"/>
      <c r="C59" s="21"/>
      <c r="D59" s="24"/>
      <c r="E59" s="40">
        <f t="shared" si="0"/>
        <v>0</v>
      </c>
      <c r="F59" s="21"/>
      <c r="G59" s="21"/>
      <c r="H59" s="21"/>
      <c r="I59" s="21"/>
      <c r="J59" s="21"/>
      <c r="K59" s="23"/>
      <c r="L59" s="23"/>
      <c r="M59" s="24"/>
    </row>
    <row r="60" spans="1:13" s="25" customFormat="1" x14ac:dyDescent="0.25">
      <c r="A60" s="35"/>
      <c r="B60" s="35"/>
      <c r="C60" s="21"/>
      <c r="D60" s="24"/>
      <c r="E60" s="40">
        <f t="shared" si="0"/>
        <v>0</v>
      </c>
      <c r="F60" s="21"/>
      <c r="G60" s="21"/>
      <c r="H60" s="21"/>
      <c r="I60" s="21"/>
      <c r="J60" s="21"/>
      <c r="K60" s="23"/>
      <c r="L60" s="23"/>
      <c r="M60" s="24"/>
    </row>
    <row r="61" spans="1:13" s="25" customFormat="1" x14ac:dyDescent="0.25">
      <c r="A61" s="35"/>
      <c r="B61" s="35"/>
      <c r="C61" s="21"/>
      <c r="D61" s="24"/>
      <c r="E61" s="40">
        <f t="shared" si="0"/>
        <v>0</v>
      </c>
      <c r="F61" s="21"/>
      <c r="G61" s="21"/>
      <c r="H61" s="21"/>
      <c r="I61" s="21"/>
      <c r="J61" s="21"/>
      <c r="K61" s="23"/>
      <c r="L61" s="23"/>
      <c r="M61" s="24"/>
    </row>
    <row r="62" spans="1:13" s="25" customFormat="1" x14ac:dyDescent="0.25">
      <c r="A62" s="35"/>
      <c r="B62" s="35"/>
      <c r="C62" s="21"/>
      <c r="D62" s="24"/>
      <c r="E62" s="40">
        <f t="shared" si="0"/>
        <v>0</v>
      </c>
      <c r="F62" s="21"/>
      <c r="G62" s="21"/>
      <c r="H62" s="21"/>
      <c r="I62" s="21"/>
      <c r="J62" s="21"/>
      <c r="K62" s="23"/>
      <c r="L62" s="23"/>
      <c r="M62" s="24"/>
    </row>
    <row r="63" spans="1:13" s="25" customFormat="1" x14ac:dyDescent="0.25">
      <c r="A63" s="35"/>
      <c r="B63" s="35"/>
      <c r="C63" s="21"/>
      <c r="D63" s="24"/>
      <c r="E63" s="40">
        <f t="shared" si="0"/>
        <v>0</v>
      </c>
      <c r="F63" s="21"/>
      <c r="G63" s="21"/>
      <c r="H63" s="21"/>
      <c r="I63" s="21"/>
      <c r="J63" s="21"/>
      <c r="K63" s="23"/>
      <c r="L63" s="23"/>
      <c r="M63" s="24"/>
    </row>
    <row r="64" spans="1:13" s="25" customFormat="1" x14ac:dyDescent="0.25">
      <c r="A64" s="35"/>
      <c r="B64" s="35"/>
      <c r="C64" s="21"/>
      <c r="D64" s="24"/>
      <c r="E64" s="40">
        <f t="shared" si="0"/>
        <v>0</v>
      </c>
      <c r="F64" s="21"/>
      <c r="G64" s="21"/>
      <c r="H64" s="21"/>
      <c r="I64" s="21"/>
      <c r="J64" s="21"/>
      <c r="K64" s="23"/>
      <c r="L64" s="23"/>
      <c r="M64" s="24"/>
    </row>
    <row r="65" spans="1:13" s="25" customFormat="1" x14ac:dyDescent="0.25">
      <c r="A65" s="35"/>
      <c r="B65" s="35"/>
      <c r="C65" s="21"/>
      <c r="D65" s="24"/>
      <c r="E65" s="40">
        <f t="shared" si="0"/>
        <v>0</v>
      </c>
      <c r="F65" s="21"/>
      <c r="G65" s="21"/>
      <c r="H65" s="21"/>
      <c r="I65" s="21"/>
      <c r="J65" s="21"/>
      <c r="K65" s="23"/>
      <c r="L65" s="23"/>
      <c r="M65" s="24"/>
    </row>
    <row r="66" spans="1:13" s="25" customFormat="1" x14ac:dyDescent="0.25">
      <c r="A66" s="35"/>
      <c r="B66" s="35"/>
      <c r="C66" s="21"/>
      <c r="D66" s="24"/>
      <c r="E66" s="40">
        <f t="shared" si="0"/>
        <v>0</v>
      </c>
      <c r="F66" s="21"/>
      <c r="G66" s="21"/>
      <c r="H66" s="21"/>
      <c r="I66" s="21"/>
      <c r="J66" s="21"/>
      <c r="K66" s="23" t="s">
        <v>15</v>
      </c>
      <c r="L66" s="23"/>
      <c r="M66" s="24"/>
    </row>
    <row r="67" spans="1:13" s="25" customFormat="1" x14ac:dyDescent="0.25">
      <c r="A67" s="35"/>
      <c r="B67" s="35"/>
      <c r="C67" s="21"/>
      <c r="D67" s="24"/>
      <c r="E67" s="40">
        <f t="shared" si="0"/>
        <v>0</v>
      </c>
      <c r="F67" s="21"/>
      <c r="G67" s="21"/>
      <c r="H67" s="21"/>
      <c r="I67" s="21"/>
      <c r="J67" s="21"/>
      <c r="K67" s="23" t="s">
        <v>15</v>
      </c>
      <c r="L67" s="23"/>
      <c r="M67" s="24"/>
    </row>
    <row r="68" spans="1:13" s="25" customFormat="1" x14ac:dyDescent="0.25">
      <c r="A68" s="35"/>
      <c r="B68" s="35"/>
      <c r="C68" s="21"/>
      <c r="D68" s="24"/>
      <c r="E68" s="40">
        <f t="shared" si="0"/>
        <v>0</v>
      </c>
      <c r="F68" s="21"/>
      <c r="G68" s="21"/>
      <c r="H68" s="21"/>
      <c r="I68" s="21"/>
      <c r="J68" s="21"/>
      <c r="K68" s="23" t="s">
        <v>15</v>
      </c>
      <c r="L68" s="23"/>
      <c r="M68" s="24"/>
    </row>
    <row r="69" spans="1:13" x14ac:dyDescent="0.25">
      <c r="K69" s="23" t="s">
        <v>15</v>
      </c>
    </row>
  </sheetData>
  <mergeCells count="2">
    <mergeCell ref="C2:J2"/>
    <mergeCell ref="C3:J4"/>
  </mergeCells>
  <conditionalFormatting sqref="E7">
    <cfRule type="cellIs" dxfId="3" priority="3" operator="greaterThan">
      <formula>104</formula>
    </cfRule>
  </conditionalFormatting>
  <conditionalFormatting sqref="E67:E68">
    <cfRule type="cellIs" dxfId="2" priority="2" operator="greaterThan">
      <formula>104</formula>
    </cfRule>
  </conditionalFormatting>
  <conditionalFormatting sqref="E8:E66">
    <cfRule type="cellIs" dxfId="1" priority="1" operator="greaterThan">
      <formula>104</formula>
    </cfRule>
  </conditionalFormatting>
  <dataValidations count="1">
    <dataValidation type="list" allowBlank="1" showInputMessage="1" showErrorMessage="1" sqref="L53:L68 K53:K69 K7:L52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68E1E"/>
  </sheetPr>
  <dimension ref="A1:G24"/>
  <sheetViews>
    <sheetView showGridLines="0" workbookViewId="0">
      <selection activeCell="A11" sqref="A11"/>
    </sheetView>
  </sheetViews>
  <sheetFormatPr defaultRowHeight="15" x14ac:dyDescent="0.25"/>
  <cols>
    <col min="1" max="1" width="26.85546875" customWidth="1"/>
    <col min="2" max="7" width="17.42578125" customWidth="1"/>
    <col min="8" max="8" width="10.7109375" bestFit="1" customWidth="1"/>
  </cols>
  <sheetData>
    <row r="1" spans="1:7" x14ac:dyDescent="0.25">
      <c r="A1" s="1"/>
      <c r="B1" s="1"/>
      <c r="C1" s="1"/>
      <c r="D1" s="1"/>
      <c r="E1" s="1"/>
      <c r="F1" s="1"/>
      <c r="G1" s="1"/>
    </row>
    <row r="2" spans="1:7" ht="15.75" x14ac:dyDescent="0.25">
      <c r="A2" s="1"/>
      <c r="B2" s="51" t="s">
        <v>1</v>
      </c>
      <c r="C2" s="51"/>
      <c r="D2" s="51"/>
      <c r="E2" s="51"/>
      <c r="F2" s="51"/>
      <c r="G2" s="1"/>
    </row>
    <row r="3" spans="1:7" ht="15" customHeight="1" x14ac:dyDescent="0.25">
      <c r="A3" s="1"/>
      <c r="B3" s="49" t="s">
        <v>22</v>
      </c>
      <c r="C3" s="49"/>
      <c r="D3" s="49"/>
      <c r="E3" s="49"/>
      <c r="F3" s="31"/>
      <c r="G3" s="1"/>
    </row>
    <row r="4" spans="1:7" ht="15" customHeight="1" x14ac:dyDescent="0.25">
      <c r="A4" s="1"/>
      <c r="B4" s="49"/>
      <c r="C4" s="49"/>
      <c r="D4" s="49"/>
      <c r="E4" s="49"/>
      <c r="F4" s="31"/>
      <c r="G4" s="4" t="s">
        <v>2</v>
      </c>
    </row>
    <row r="5" spans="1:7" x14ac:dyDescent="0.25">
      <c r="A5" s="1"/>
      <c r="B5" s="1"/>
      <c r="C5" s="1"/>
      <c r="D5" s="1"/>
      <c r="E5" s="1"/>
      <c r="F5" s="1"/>
      <c r="G5" s="7">
        <v>42339</v>
      </c>
    </row>
    <row r="7" spans="1:7" x14ac:dyDescent="0.25">
      <c r="A7" s="16" t="s">
        <v>72</v>
      </c>
    </row>
    <row r="8" spans="1:7" x14ac:dyDescent="0.25">
      <c r="A8" s="32" t="s">
        <v>8</v>
      </c>
    </row>
    <row r="9" spans="1:7" x14ac:dyDescent="0.25">
      <c r="A9" s="32" t="s">
        <v>20</v>
      </c>
    </row>
    <row r="10" spans="1:7" x14ac:dyDescent="0.25">
      <c r="A10" s="32" t="s">
        <v>23</v>
      </c>
    </row>
    <row r="11" spans="1:7" x14ac:dyDescent="0.25">
      <c r="A11" s="32" t="s">
        <v>47</v>
      </c>
    </row>
    <row r="12" spans="1:7" x14ac:dyDescent="0.25">
      <c r="A12" s="32" t="s">
        <v>48</v>
      </c>
    </row>
    <row r="13" spans="1:7" x14ac:dyDescent="0.25">
      <c r="A13" s="32" t="s">
        <v>50</v>
      </c>
    </row>
    <row r="14" spans="1:7" x14ac:dyDescent="0.25">
      <c r="A14" s="32" t="s">
        <v>31</v>
      </c>
    </row>
    <row r="15" spans="1:7" x14ac:dyDescent="0.25">
      <c r="A15" s="32" t="s">
        <v>33</v>
      </c>
    </row>
    <row r="16" spans="1:7" x14ac:dyDescent="0.25">
      <c r="A16" s="32" t="s">
        <v>26</v>
      </c>
    </row>
    <row r="17" spans="1:1" x14ac:dyDescent="0.25">
      <c r="A17" s="32" t="s">
        <v>34</v>
      </c>
    </row>
    <row r="18" spans="1:1" x14ac:dyDescent="0.25">
      <c r="A18" s="32" t="s">
        <v>28</v>
      </c>
    </row>
    <row r="19" spans="1:1" x14ac:dyDescent="0.25">
      <c r="A19" s="32" t="s">
        <v>24</v>
      </c>
    </row>
    <row r="20" spans="1:1" x14ac:dyDescent="0.25">
      <c r="A20" s="32" t="s">
        <v>25</v>
      </c>
    </row>
    <row r="21" spans="1:1" x14ac:dyDescent="0.25">
      <c r="A21" s="32" t="s">
        <v>32</v>
      </c>
    </row>
    <row r="22" spans="1:1" x14ac:dyDescent="0.25">
      <c r="A22" s="32" t="s">
        <v>27</v>
      </c>
    </row>
    <row r="23" spans="1:1" x14ac:dyDescent="0.25">
      <c r="A23" s="32" t="s">
        <v>29</v>
      </c>
    </row>
    <row r="24" spans="1:1" x14ac:dyDescent="0.25">
      <c r="A24" s="16" t="s">
        <v>17</v>
      </c>
    </row>
  </sheetData>
  <mergeCells count="2">
    <mergeCell ref="B2:F2"/>
    <mergeCell ref="B3:E4"/>
  </mergeCells>
  <pageMargins left="0.511811024" right="0.511811024" top="0.78740157499999996" bottom="0.78740157499999996" header="0.31496062000000002" footer="0.31496062000000002"/>
  <pageSetup paperSize="9" orientation="portrait" verticalDpi="0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68E1E"/>
  </sheetPr>
  <dimension ref="A1:C17"/>
  <sheetViews>
    <sheetView zoomScale="160" zoomScaleNormal="160" workbookViewId="0">
      <selection activeCell="A16" sqref="A16:A17"/>
    </sheetView>
  </sheetViews>
  <sheetFormatPr defaultRowHeight="15" x14ac:dyDescent="0.25"/>
  <cols>
    <col min="1" max="1" width="20.85546875" bestFit="1" customWidth="1"/>
    <col min="2" max="2" width="10.42578125" bestFit="1" customWidth="1"/>
    <col min="3" max="3" width="19.42578125" bestFit="1" customWidth="1"/>
  </cols>
  <sheetData>
    <row r="1" spans="1:3" x14ac:dyDescent="0.25">
      <c r="A1" s="21" t="s">
        <v>29</v>
      </c>
      <c r="B1" t="s">
        <v>95</v>
      </c>
    </row>
    <row r="2" spans="1:3" x14ac:dyDescent="0.25">
      <c r="A2" s="21" t="s">
        <v>8</v>
      </c>
      <c r="B2" t="s">
        <v>95</v>
      </c>
    </row>
    <row r="3" spans="1:3" x14ac:dyDescent="0.25">
      <c r="A3" s="21" t="s">
        <v>31</v>
      </c>
      <c r="B3" t="s">
        <v>95</v>
      </c>
    </row>
    <row r="4" spans="1:3" x14ac:dyDescent="0.25">
      <c r="A4" s="42" t="s">
        <v>47</v>
      </c>
      <c r="B4" t="s">
        <v>96</v>
      </c>
    </row>
    <row r="5" spans="1:3" x14ac:dyDescent="0.25">
      <c r="A5" s="21" t="s">
        <v>33</v>
      </c>
      <c r="B5" t="s">
        <v>95</v>
      </c>
    </row>
    <row r="6" spans="1:3" x14ac:dyDescent="0.25">
      <c r="A6" s="21" t="s">
        <v>26</v>
      </c>
      <c r="B6" t="s">
        <v>96</v>
      </c>
    </row>
    <row r="7" spans="1:3" x14ac:dyDescent="0.25">
      <c r="A7" s="21" t="s">
        <v>34</v>
      </c>
      <c r="B7" t="s">
        <v>96</v>
      </c>
      <c r="C7" s="21" t="s">
        <v>35</v>
      </c>
    </row>
    <row r="8" spans="1:3" x14ac:dyDescent="0.25">
      <c r="A8" s="21" t="s">
        <v>20</v>
      </c>
      <c r="B8" t="s">
        <v>96</v>
      </c>
    </row>
    <row r="9" spans="1:3" x14ac:dyDescent="0.25">
      <c r="A9" s="21" t="s">
        <v>28</v>
      </c>
      <c r="B9" t="s">
        <v>95</v>
      </c>
    </row>
    <row r="10" spans="1:3" x14ac:dyDescent="0.25">
      <c r="A10" s="42" t="s">
        <v>48</v>
      </c>
      <c r="B10" t="s">
        <v>96</v>
      </c>
    </row>
    <row r="11" spans="1:3" x14ac:dyDescent="0.25">
      <c r="A11" s="21" t="s">
        <v>24</v>
      </c>
      <c r="B11" t="s">
        <v>96</v>
      </c>
    </row>
    <row r="12" spans="1:3" x14ac:dyDescent="0.25">
      <c r="A12" s="21" t="s">
        <v>97</v>
      </c>
      <c r="B12" t="s">
        <v>95</v>
      </c>
    </row>
    <row r="13" spans="1:3" x14ac:dyDescent="0.25">
      <c r="A13" s="21" t="s">
        <v>25</v>
      </c>
      <c r="B13" t="s">
        <v>95</v>
      </c>
    </row>
    <row r="14" spans="1:3" x14ac:dyDescent="0.25">
      <c r="A14" s="21" t="s">
        <v>32</v>
      </c>
      <c r="B14" t="s">
        <v>95</v>
      </c>
    </row>
    <row r="15" spans="1:3" x14ac:dyDescent="0.25">
      <c r="A15" s="42" t="s">
        <v>30</v>
      </c>
      <c r="B15" t="s">
        <v>96</v>
      </c>
    </row>
    <row r="16" spans="1:3" x14ac:dyDescent="0.25">
      <c r="A16" s="21" t="s">
        <v>23</v>
      </c>
      <c r="B16" t="s">
        <v>95</v>
      </c>
    </row>
    <row r="17" spans="1:2" x14ac:dyDescent="0.25">
      <c r="A17" s="21" t="s">
        <v>27</v>
      </c>
      <c r="B17" t="s">
        <v>95</v>
      </c>
    </row>
  </sheetData>
  <sortState ref="A1:A30">
    <sortCondition ref="A1:A30"/>
  </sortState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68E1E"/>
  </sheetPr>
  <dimension ref="A1:M57"/>
  <sheetViews>
    <sheetView showGridLines="0" tabSelected="1" zoomScaleNormal="100" workbookViewId="0">
      <pane xSplit="3" ySplit="6" topLeftCell="D11" activePane="bottomRight" state="frozen"/>
      <selection pane="topRight" activeCell="D1" sqref="D1"/>
      <selection pane="bottomLeft" activeCell="A7" sqref="A7"/>
      <selection pane="bottomRight" activeCell="B14" sqref="B14"/>
    </sheetView>
  </sheetViews>
  <sheetFormatPr defaultRowHeight="18.75" x14ac:dyDescent="0.25"/>
  <cols>
    <col min="1" max="1" width="27.85546875" style="36" customWidth="1"/>
    <col min="2" max="2" width="31.28515625" style="36" customWidth="1"/>
    <col min="3" max="3" width="40.7109375" style="19" bestFit="1" customWidth="1"/>
    <col min="4" max="4" width="55.140625" style="30" customWidth="1"/>
    <col min="5" max="5" width="5.5703125" style="41" bestFit="1" customWidth="1"/>
    <col min="6" max="6" width="16.42578125" style="19" bestFit="1" customWidth="1"/>
    <col min="7" max="7" width="18.42578125" style="19" customWidth="1"/>
    <col min="8" max="8" width="13.7109375" style="19" customWidth="1"/>
    <col min="9" max="9" width="13.85546875" style="19" bestFit="1" customWidth="1"/>
    <col min="10" max="10" width="14.5703125" style="19" bestFit="1" customWidth="1"/>
    <col min="11" max="12" width="13.7109375" style="26" customWidth="1"/>
    <col min="13" max="13" width="60.7109375" style="30" customWidth="1"/>
    <col min="14" max="16384" width="9.140625" style="19"/>
  </cols>
  <sheetData>
    <row r="1" spans="1:13" x14ac:dyDescent="0.25">
      <c r="A1" s="34"/>
      <c r="B1" s="34"/>
      <c r="C1" s="17"/>
      <c r="D1" s="27"/>
      <c r="E1" s="39"/>
      <c r="F1" s="17"/>
      <c r="G1" s="17"/>
      <c r="H1" s="17"/>
      <c r="I1" s="17"/>
      <c r="J1" s="17"/>
      <c r="K1" s="18"/>
      <c r="L1" s="18"/>
      <c r="M1" s="27"/>
    </row>
    <row r="2" spans="1:13" ht="15.75" x14ac:dyDescent="0.25">
      <c r="A2" s="34"/>
      <c r="B2" s="34"/>
      <c r="C2" s="50" t="s">
        <v>1</v>
      </c>
      <c r="D2" s="50"/>
      <c r="E2" s="50"/>
      <c r="F2" s="50"/>
      <c r="G2" s="50"/>
      <c r="H2" s="50"/>
      <c r="I2" s="50"/>
      <c r="J2" s="50"/>
      <c r="K2" s="20"/>
      <c r="L2" s="20"/>
      <c r="M2" s="27"/>
    </row>
    <row r="3" spans="1:13" ht="15" customHeight="1" x14ac:dyDescent="0.25">
      <c r="A3" s="34"/>
      <c r="B3" s="34"/>
      <c r="C3" s="49" t="s">
        <v>0</v>
      </c>
      <c r="D3" s="49"/>
      <c r="E3" s="49"/>
      <c r="F3" s="49"/>
      <c r="G3" s="49"/>
      <c r="H3" s="49"/>
      <c r="I3" s="49"/>
      <c r="J3" s="49"/>
      <c r="K3" s="3"/>
      <c r="L3" s="3"/>
      <c r="M3" s="27"/>
    </row>
    <row r="4" spans="1:13" ht="15" customHeight="1" x14ac:dyDescent="0.25">
      <c r="A4" s="34"/>
      <c r="B4" s="34"/>
      <c r="C4" s="49"/>
      <c r="D4" s="49"/>
      <c r="E4" s="49"/>
      <c r="F4" s="49"/>
      <c r="G4" s="49"/>
      <c r="H4" s="49"/>
      <c r="I4" s="49"/>
      <c r="J4" s="49"/>
      <c r="K4" s="3"/>
      <c r="L4" s="3"/>
      <c r="M4" s="28" t="s">
        <v>2</v>
      </c>
    </row>
    <row r="5" spans="1:13" x14ac:dyDescent="0.25">
      <c r="A5" s="34"/>
      <c r="B5" s="34"/>
      <c r="C5" s="17"/>
      <c r="D5" s="27"/>
      <c r="E5" s="39"/>
      <c r="F5" s="17"/>
      <c r="G5" s="17"/>
      <c r="H5" s="17"/>
      <c r="I5" s="17"/>
      <c r="J5" s="17"/>
      <c r="K5" s="18"/>
      <c r="L5" s="18"/>
      <c r="M5" s="29">
        <v>42340</v>
      </c>
    </row>
    <row r="6" spans="1:13" s="14" customFormat="1" ht="27" customHeight="1" x14ac:dyDescent="0.25">
      <c r="A6" s="13" t="s">
        <v>4</v>
      </c>
      <c r="B6" s="13" t="s">
        <v>5</v>
      </c>
      <c r="C6" s="13" t="s">
        <v>3</v>
      </c>
      <c r="D6" s="15" t="s">
        <v>38</v>
      </c>
      <c r="E6" s="15" t="s">
        <v>94</v>
      </c>
      <c r="F6" s="13" t="s">
        <v>6</v>
      </c>
      <c r="G6" s="13" t="s">
        <v>12</v>
      </c>
      <c r="H6" s="13" t="s">
        <v>9</v>
      </c>
      <c r="I6" s="13" t="s">
        <v>10</v>
      </c>
      <c r="J6" s="13" t="s">
        <v>11</v>
      </c>
      <c r="K6" s="15" t="s">
        <v>13</v>
      </c>
      <c r="L6" s="15" t="s">
        <v>16</v>
      </c>
      <c r="M6" s="15" t="s">
        <v>14</v>
      </c>
    </row>
    <row r="7" spans="1:13" s="25" customFormat="1" ht="51" customHeight="1" x14ac:dyDescent="0.25">
      <c r="A7" s="35" t="s">
        <v>158</v>
      </c>
      <c r="B7" s="37" t="s">
        <v>170</v>
      </c>
      <c r="C7" s="21" t="s">
        <v>8</v>
      </c>
      <c r="D7" s="24" t="s">
        <v>163</v>
      </c>
      <c r="E7" s="40"/>
      <c r="F7" s="33" t="s">
        <v>51</v>
      </c>
      <c r="G7" s="21"/>
      <c r="H7" s="21"/>
      <c r="I7" s="22"/>
      <c r="J7" s="22"/>
      <c r="K7" s="23"/>
      <c r="L7" s="23"/>
      <c r="M7" s="24" t="s">
        <v>172</v>
      </c>
    </row>
    <row r="8" spans="1:13" s="25" customFormat="1" ht="51" customHeight="1" x14ac:dyDescent="0.25">
      <c r="A8" s="35" t="s">
        <v>158</v>
      </c>
      <c r="B8" s="37" t="s">
        <v>170</v>
      </c>
      <c r="C8" s="21" t="s">
        <v>29</v>
      </c>
      <c r="D8" s="24" t="s">
        <v>164</v>
      </c>
      <c r="E8" s="40"/>
      <c r="F8" s="33" t="s">
        <v>51</v>
      </c>
      <c r="G8" s="21"/>
      <c r="H8" s="21"/>
      <c r="I8" s="22"/>
      <c r="J8" s="22"/>
      <c r="K8" s="23"/>
      <c r="L8" s="23"/>
      <c r="M8" s="24" t="s">
        <v>172</v>
      </c>
    </row>
    <row r="9" spans="1:13" s="25" customFormat="1" ht="51" customHeight="1" x14ac:dyDescent="0.25">
      <c r="A9" s="35" t="s">
        <v>158</v>
      </c>
      <c r="B9" s="37" t="s">
        <v>170</v>
      </c>
      <c r="C9" s="21" t="s">
        <v>159</v>
      </c>
      <c r="D9" s="24" t="s">
        <v>165</v>
      </c>
      <c r="E9" s="40"/>
      <c r="F9" s="33" t="s">
        <v>51</v>
      </c>
      <c r="G9" s="21"/>
      <c r="H9" s="21"/>
      <c r="I9" s="21"/>
      <c r="J9" s="21"/>
      <c r="K9" s="23"/>
      <c r="L9" s="23"/>
      <c r="M9" s="24" t="s">
        <v>172</v>
      </c>
    </row>
    <row r="10" spans="1:13" s="25" customFormat="1" ht="51" customHeight="1" x14ac:dyDescent="0.25">
      <c r="A10" s="35" t="s">
        <v>158</v>
      </c>
      <c r="B10" s="37" t="s">
        <v>170</v>
      </c>
      <c r="C10" s="21" t="s">
        <v>160</v>
      </c>
      <c r="D10" s="24" t="s">
        <v>166</v>
      </c>
      <c r="E10" s="40"/>
      <c r="F10" s="33" t="s">
        <v>51</v>
      </c>
      <c r="G10" s="21"/>
      <c r="H10" s="21"/>
      <c r="I10" s="22"/>
      <c r="J10" s="22"/>
      <c r="K10" s="23"/>
      <c r="L10" s="23"/>
      <c r="M10" s="24" t="s">
        <v>172</v>
      </c>
    </row>
    <row r="11" spans="1:13" s="25" customFormat="1" ht="51" customHeight="1" x14ac:dyDescent="0.25">
      <c r="A11" s="35" t="s">
        <v>158</v>
      </c>
      <c r="B11" s="37" t="s">
        <v>170</v>
      </c>
      <c r="C11" s="21" t="s">
        <v>161</v>
      </c>
      <c r="D11" s="24" t="s">
        <v>167</v>
      </c>
      <c r="E11" s="40"/>
      <c r="F11" s="33" t="s">
        <v>51</v>
      </c>
      <c r="G11" s="21"/>
      <c r="H11" s="21"/>
      <c r="I11" s="22"/>
      <c r="J11" s="22"/>
      <c r="K11" s="23"/>
      <c r="L11" s="23"/>
      <c r="M11" s="24" t="s">
        <v>172</v>
      </c>
    </row>
    <row r="12" spans="1:13" s="25" customFormat="1" ht="51" customHeight="1" x14ac:dyDescent="0.25">
      <c r="A12" s="35" t="s">
        <v>158</v>
      </c>
      <c r="B12" s="37" t="s">
        <v>170</v>
      </c>
      <c r="C12" s="21" t="s">
        <v>162</v>
      </c>
      <c r="D12" s="24" t="s">
        <v>168</v>
      </c>
      <c r="E12" s="40"/>
      <c r="F12" s="33" t="s">
        <v>51</v>
      </c>
      <c r="G12" s="21"/>
      <c r="H12" s="21"/>
      <c r="I12" s="22"/>
      <c r="J12" s="22"/>
      <c r="K12" s="23"/>
      <c r="L12" s="23"/>
      <c r="M12" s="24" t="s">
        <v>172</v>
      </c>
    </row>
    <row r="13" spans="1:13" s="25" customFormat="1" ht="51" customHeight="1" x14ac:dyDescent="0.25">
      <c r="A13" s="35" t="s">
        <v>158</v>
      </c>
      <c r="B13" s="37" t="s">
        <v>170</v>
      </c>
      <c r="C13" s="21" t="s">
        <v>171</v>
      </c>
      <c r="D13" s="24" t="s">
        <v>169</v>
      </c>
      <c r="E13" s="40"/>
      <c r="F13" s="33" t="s">
        <v>51</v>
      </c>
      <c r="G13" s="21"/>
      <c r="H13" s="21"/>
      <c r="I13" s="22"/>
      <c r="J13" s="22"/>
      <c r="K13" s="23"/>
      <c r="L13" s="23"/>
      <c r="M13" s="24" t="s">
        <v>172</v>
      </c>
    </row>
    <row r="14" spans="1:13" s="25" customFormat="1" ht="51" customHeight="1" x14ac:dyDescent="0.25">
      <c r="A14" s="35" t="s">
        <v>158</v>
      </c>
      <c r="B14" s="37"/>
      <c r="C14" s="21"/>
      <c r="D14" s="24"/>
      <c r="E14" s="40"/>
      <c r="F14" s="33"/>
      <c r="G14" s="21"/>
      <c r="H14" s="21"/>
      <c r="I14" s="22"/>
      <c r="J14" s="22"/>
      <c r="K14" s="23"/>
      <c r="L14" s="23"/>
      <c r="M14" s="24"/>
    </row>
    <row r="15" spans="1:13" s="25" customFormat="1" ht="51" customHeight="1" x14ac:dyDescent="0.25">
      <c r="A15" s="35" t="s">
        <v>158</v>
      </c>
      <c r="B15" s="37"/>
      <c r="C15" s="21"/>
      <c r="D15" s="24"/>
      <c r="E15" s="40"/>
      <c r="F15" s="33"/>
      <c r="G15" s="21"/>
      <c r="H15" s="21"/>
      <c r="I15" s="22"/>
      <c r="J15" s="22"/>
      <c r="K15" s="23"/>
      <c r="L15" s="23"/>
      <c r="M15" s="24"/>
    </row>
    <row r="16" spans="1:13" s="25" customFormat="1" ht="51" customHeight="1" x14ac:dyDescent="0.25">
      <c r="A16" s="35" t="s">
        <v>158</v>
      </c>
      <c r="B16" s="37"/>
      <c r="C16" s="21"/>
      <c r="D16" s="24"/>
      <c r="E16" s="40"/>
      <c r="F16" s="21"/>
      <c r="G16" s="21"/>
      <c r="H16" s="21"/>
      <c r="I16" s="21"/>
      <c r="J16" s="21"/>
      <c r="K16" s="23"/>
      <c r="L16" s="23"/>
      <c r="M16" s="24"/>
    </row>
    <row r="17" spans="1:13" s="25" customFormat="1" ht="51" customHeight="1" x14ac:dyDescent="0.25">
      <c r="A17" s="35" t="s">
        <v>158</v>
      </c>
      <c r="B17" s="37"/>
      <c r="C17" s="21"/>
      <c r="D17" s="24"/>
      <c r="E17" s="40"/>
      <c r="F17" s="21"/>
      <c r="G17" s="21"/>
      <c r="H17" s="21"/>
      <c r="I17" s="21"/>
      <c r="J17" s="21"/>
      <c r="K17" s="23"/>
      <c r="L17" s="23"/>
      <c r="M17" s="24"/>
    </row>
    <row r="18" spans="1:13" s="25" customFormat="1" ht="51" customHeight="1" x14ac:dyDescent="0.25">
      <c r="A18" s="35"/>
      <c r="B18" s="37"/>
      <c r="C18" s="21"/>
      <c r="D18" s="24"/>
      <c r="E18" s="40"/>
      <c r="F18" s="38"/>
      <c r="G18" s="21"/>
      <c r="H18" s="21"/>
      <c r="I18" s="21"/>
      <c r="J18" s="21"/>
      <c r="K18" s="23"/>
      <c r="L18" s="23"/>
      <c r="M18" s="24"/>
    </row>
    <row r="19" spans="1:13" s="25" customFormat="1" ht="51" customHeight="1" x14ac:dyDescent="0.25">
      <c r="A19" s="35"/>
      <c r="B19" s="37"/>
      <c r="C19" s="21"/>
      <c r="D19" s="24"/>
      <c r="E19" s="40"/>
      <c r="F19" s="21"/>
      <c r="G19" s="21"/>
      <c r="H19" s="21"/>
      <c r="I19" s="21"/>
      <c r="J19" s="21"/>
      <c r="K19" s="23"/>
      <c r="L19" s="23"/>
      <c r="M19" s="24"/>
    </row>
    <row r="20" spans="1:13" s="25" customFormat="1" ht="51" customHeight="1" x14ac:dyDescent="0.25">
      <c r="A20" s="35"/>
      <c r="B20" s="37"/>
      <c r="C20" s="21"/>
      <c r="D20" s="24"/>
      <c r="E20" s="40"/>
      <c r="F20" s="21"/>
      <c r="G20" s="21"/>
      <c r="H20" s="21"/>
      <c r="I20" s="21"/>
      <c r="J20" s="21"/>
      <c r="K20" s="23"/>
      <c r="L20" s="23"/>
      <c r="M20" s="24"/>
    </row>
    <row r="21" spans="1:13" s="25" customFormat="1" ht="51" customHeight="1" x14ac:dyDescent="0.25">
      <c r="A21" s="35"/>
      <c r="B21" s="37"/>
      <c r="C21" s="21"/>
      <c r="D21" s="24"/>
      <c r="E21" s="40"/>
      <c r="F21" s="21"/>
      <c r="G21" s="21"/>
      <c r="H21" s="21"/>
      <c r="I21" s="21"/>
      <c r="J21" s="21"/>
      <c r="K21" s="23"/>
      <c r="L21" s="23"/>
      <c r="M21" s="24"/>
    </row>
    <row r="22" spans="1:13" s="25" customFormat="1" ht="51" customHeight="1" x14ac:dyDescent="0.25">
      <c r="A22" s="35"/>
      <c r="B22" s="37"/>
      <c r="C22" s="21"/>
      <c r="D22" s="24"/>
      <c r="E22" s="40"/>
      <c r="F22" s="21"/>
      <c r="G22" s="21"/>
      <c r="H22" s="21"/>
      <c r="I22" s="21"/>
      <c r="J22" s="21"/>
      <c r="K22" s="23"/>
      <c r="L22" s="23"/>
      <c r="M22" s="24"/>
    </row>
    <row r="23" spans="1:13" s="25" customFormat="1" ht="51" customHeight="1" x14ac:dyDescent="0.25">
      <c r="A23" s="35"/>
      <c r="B23" s="37"/>
      <c r="C23" s="21"/>
      <c r="D23" s="24"/>
      <c r="E23" s="40"/>
      <c r="F23" s="21"/>
      <c r="G23" s="21"/>
      <c r="H23" s="21"/>
      <c r="I23" s="21"/>
      <c r="J23" s="21"/>
      <c r="K23" s="23"/>
      <c r="L23" s="23"/>
      <c r="M23" s="24"/>
    </row>
    <row r="24" spans="1:13" s="25" customFormat="1" ht="51" customHeight="1" x14ac:dyDescent="0.25">
      <c r="A24" s="35"/>
      <c r="B24" s="37"/>
      <c r="C24" s="21"/>
      <c r="D24" s="24"/>
      <c r="E24" s="40"/>
      <c r="F24" s="21"/>
      <c r="G24" s="21"/>
      <c r="H24" s="21"/>
      <c r="I24" s="21"/>
      <c r="J24" s="21"/>
      <c r="K24" s="23"/>
      <c r="L24" s="23"/>
      <c r="M24" s="24"/>
    </row>
    <row r="25" spans="1:13" s="25" customFormat="1" ht="51" customHeight="1" x14ac:dyDescent="0.25">
      <c r="A25" s="35"/>
      <c r="B25" s="37"/>
      <c r="C25" s="21"/>
      <c r="D25" s="24"/>
      <c r="E25" s="40"/>
      <c r="F25" s="21"/>
      <c r="G25" s="21"/>
      <c r="H25" s="21"/>
      <c r="I25" s="21"/>
      <c r="J25" s="21"/>
      <c r="K25" s="23"/>
      <c r="L25" s="23"/>
      <c r="M25" s="24"/>
    </row>
    <row r="26" spans="1:13" s="25" customFormat="1" ht="51" customHeight="1" x14ac:dyDescent="0.25">
      <c r="A26" s="35"/>
      <c r="B26" s="37"/>
      <c r="C26" s="21"/>
      <c r="D26" s="24"/>
      <c r="E26" s="40"/>
      <c r="F26" s="21"/>
      <c r="G26" s="21"/>
      <c r="H26" s="21"/>
      <c r="I26" s="21"/>
      <c r="J26" s="21"/>
      <c r="K26" s="23"/>
      <c r="L26" s="23"/>
      <c r="M26" s="24"/>
    </row>
    <row r="27" spans="1:13" s="25" customFormat="1" ht="51" customHeight="1" x14ac:dyDescent="0.25">
      <c r="A27" s="35"/>
      <c r="B27" s="37"/>
      <c r="C27" s="21"/>
      <c r="D27" s="24"/>
      <c r="E27" s="40"/>
      <c r="F27" s="21"/>
      <c r="G27" s="21"/>
      <c r="H27" s="21"/>
      <c r="I27" s="21"/>
      <c r="J27" s="21"/>
      <c r="K27" s="23"/>
      <c r="L27" s="23"/>
      <c r="M27" s="24"/>
    </row>
    <row r="28" spans="1:13" s="25" customFormat="1" ht="51" customHeight="1" x14ac:dyDescent="0.25">
      <c r="A28" s="35"/>
      <c r="B28" s="37"/>
      <c r="C28" s="21"/>
      <c r="D28" s="24"/>
      <c r="E28" s="40"/>
      <c r="F28" s="21"/>
      <c r="G28" s="21"/>
      <c r="H28" s="21"/>
      <c r="I28" s="21"/>
      <c r="J28" s="21"/>
      <c r="K28" s="23"/>
      <c r="L28" s="23"/>
      <c r="M28" s="24"/>
    </row>
    <row r="29" spans="1:13" s="25" customFormat="1" ht="51" customHeight="1" x14ac:dyDescent="0.25">
      <c r="A29" s="35"/>
      <c r="B29" s="37"/>
      <c r="C29" s="21"/>
      <c r="D29" s="24"/>
      <c r="E29" s="40"/>
      <c r="F29" s="21"/>
      <c r="G29" s="21"/>
      <c r="H29" s="21"/>
      <c r="I29" s="21"/>
      <c r="J29" s="21"/>
      <c r="K29" s="23"/>
      <c r="L29" s="23"/>
      <c r="M29" s="24"/>
    </row>
    <row r="30" spans="1:13" s="25" customFormat="1" x14ac:dyDescent="0.25">
      <c r="A30" s="35"/>
      <c r="B30" s="35"/>
      <c r="C30" s="21"/>
      <c r="D30" s="24"/>
      <c r="E30" s="40"/>
      <c r="F30" s="21"/>
      <c r="G30" s="21"/>
      <c r="H30" s="21"/>
      <c r="I30" s="22"/>
      <c r="J30" s="22"/>
      <c r="K30" s="23"/>
      <c r="L30" s="23"/>
      <c r="M30" s="24"/>
    </row>
    <row r="31" spans="1:13" s="25" customFormat="1" x14ac:dyDescent="0.25">
      <c r="A31" s="35"/>
      <c r="B31" s="35"/>
      <c r="C31" s="21"/>
      <c r="D31" s="24"/>
      <c r="E31" s="40"/>
      <c r="F31" s="21"/>
      <c r="G31" s="21"/>
      <c r="H31" s="21"/>
      <c r="I31" s="22"/>
      <c r="J31" s="22"/>
      <c r="K31" s="23"/>
      <c r="L31" s="23"/>
      <c r="M31" s="24"/>
    </row>
    <row r="32" spans="1:13" s="25" customFormat="1" x14ac:dyDescent="0.25">
      <c r="A32" s="35"/>
      <c r="B32" s="35"/>
      <c r="C32" s="21"/>
      <c r="D32" s="24"/>
      <c r="E32" s="40"/>
      <c r="F32" s="21"/>
      <c r="G32" s="21"/>
      <c r="H32" s="21"/>
      <c r="I32" s="22"/>
      <c r="J32" s="22"/>
      <c r="K32" s="23"/>
      <c r="L32" s="23"/>
      <c r="M32" s="24"/>
    </row>
    <row r="33" spans="1:13" s="25" customFormat="1" x14ac:dyDescent="0.25">
      <c r="A33" s="35"/>
      <c r="B33" s="35"/>
      <c r="C33" s="21"/>
      <c r="D33" s="24"/>
      <c r="E33" s="40"/>
      <c r="F33" s="21"/>
      <c r="G33" s="21"/>
      <c r="H33" s="21"/>
      <c r="I33" s="22"/>
      <c r="J33" s="22"/>
      <c r="K33" s="23"/>
      <c r="L33" s="23"/>
      <c r="M33" s="24"/>
    </row>
    <row r="34" spans="1:13" s="25" customFormat="1" x14ac:dyDescent="0.25">
      <c r="A34" s="35"/>
      <c r="B34" s="35"/>
      <c r="C34" s="21"/>
      <c r="D34" s="24"/>
      <c r="E34" s="40"/>
      <c r="F34" s="21"/>
      <c r="G34" s="21"/>
      <c r="H34" s="21"/>
      <c r="I34" s="22"/>
      <c r="J34" s="22"/>
      <c r="K34" s="23"/>
      <c r="L34" s="23"/>
      <c r="M34" s="24"/>
    </row>
    <row r="35" spans="1:13" s="25" customFormat="1" x14ac:dyDescent="0.25">
      <c r="A35" s="35"/>
      <c r="B35" s="35"/>
      <c r="C35" s="21"/>
      <c r="D35" s="24"/>
      <c r="E35" s="40"/>
      <c r="F35" s="21"/>
      <c r="G35" s="21"/>
      <c r="H35" s="21"/>
      <c r="I35" s="21"/>
      <c r="J35" s="21"/>
      <c r="K35" s="23"/>
      <c r="L35" s="23"/>
      <c r="M35" s="24"/>
    </row>
    <row r="36" spans="1:13" s="25" customFormat="1" x14ac:dyDescent="0.25">
      <c r="A36" s="35"/>
      <c r="B36" s="35"/>
      <c r="C36" s="21"/>
      <c r="D36" s="24"/>
      <c r="E36" s="40"/>
      <c r="F36" s="21"/>
      <c r="G36" s="21"/>
      <c r="H36" s="21"/>
      <c r="I36" s="21"/>
      <c r="J36" s="21"/>
      <c r="K36" s="23"/>
      <c r="L36" s="23"/>
      <c r="M36" s="24"/>
    </row>
    <row r="37" spans="1:13" s="25" customFormat="1" x14ac:dyDescent="0.25">
      <c r="A37" s="35"/>
      <c r="B37" s="35"/>
      <c r="C37" s="21"/>
      <c r="D37" s="24"/>
      <c r="E37" s="40"/>
      <c r="F37" s="21"/>
      <c r="G37" s="21"/>
      <c r="H37" s="21"/>
      <c r="I37" s="21"/>
      <c r="J37" s="21"/>
      <c r="K37" s="23"/>
      <c r="L37" s="23"/>
      <c r="M37" s="24"/>
    </row>
    <row r="38" spans="1:13" s="25" customFormat="1" x14ac:dyDescent="0.25">
      <c r="A38" s="35"/>
      <c r="B38" s="35"/>
      <c r="C38" s="21"/>
      <c r="D38" s="24"/>
      <c r="E38" s="40"/>
      <c r="F38" s="21"/>
      <c r="G38" s="21"/>
      <c r="H38" s="21"/>
      <c r="I38" s="21"/>
      <c r="J38" s="21"/>
      <c r="K38" s="23"/>
      <c r="L38" s="23"/>
      <c r="M38" s="24"/>
    </row>
    <row r="39" spans="1:13" s="25" customFormat="1" x14ac:dyDescent="0.25">
      <c r="A39" s="35"/>
      <c r="B39" s="35"/>
      <c r="C39" s="21"/>
      <c r="D39" s="24"/>
      <c r="E39" s="40"/>
      <c r="F39" s="21"/>
      <c r="G39" s="21"/>
      <c r="H39" s="21"/>
      <c r="I39" s="21"/>
      <c r="J39" s="21"/>
      <c r="K39" s="23"/>
      <c r="L39" s="23"/>
      <c r="M39" s="24"/>
    </row>
    <row r="40" spans="1:13" s="25" customFormat="1" x14ac:dyDescent="0.25">
      <c r="A40" s="35"/>
      <c r="B40" s="35"/>
      <c r="C40" s="21"/>
      <c r="D40" s="24"/>
      <c r="E40" s="40"/>
      <c r="F40" s="21"/>
      <c r="G40" s="21"/>
      <c r="H40" s="21"/>
      <c r="I40" s="21"/>
      <c r="J40" s="21"/>
      <c r="K40" s="23"/>
      <c r="L40" s="23"/>
      <c r="M40" s="24"/>
    </row>
    <row r="41" spans="1:13" s="25" customFormat="1" x14ac:dyDescent="0.25">
      <c r="A41" s="35"/>
      <c r="B41" s="35"/>
      <c r="C41" s="21"/>
      <c r="D41" s="24"/>
      <c r="E41" s="40"/>
      <c r="F41" s="21"/>
      <c r="G41" s="21"/>
      <c r="H41" s="21"/>
      <c r="I41" s="21"/>
      <c r="J41" s="21"/>
      <c r="K41" s="23"/>
      <c r="L41" s="23"/>
      <c r="M41" s="24"/>
    </row>
    <row r="42" spans="1:13" s="25" customFormat="1" x14ac:dyDescent="0.25">
      <c r="A42" s="35"/>
      <c r="B42" s="35"/>
      <c r="C42" s="21"/>
      <c r="D42" s="24"/>
      <c r="E42" s="40"/>
      <c r="F42" s="21"/>
      <c r="G42" s="21"/>
      <c r="H42" s="21"/>
      <c r="I42" s="21"/>
      <c r="J42" s="21"/>
      <c r="K42" s="23"/>
      <c r="L42" s="23"/>
      <c r="M42" s="24"/>
    </row>
    <row r="43" spans="1:13" s="25" customFormat="1" x14ac:dyDescent="0.25">
      <c r="A43" s="35"/>
      <c r="B43" s="35"/>
      <c r="C43" s="21"/>
      <c r="D43" s="24"/>
      <c r="E43" s="40"/>
      <c r="F43" s="21"/>
      <c r="G43" s="21"/>
      <c r="H43" s="21"/>
      <c r="I43" s="21"/>
      <c r="J43" s="21"/>
      <c r="K43" s="23"/>
      <c r="L43" s="23"/>
      <c r="M43" s="24"/>
    </row>
    <row r="44" spans="1:13" s="25" customFormat="1" x14ac:dyDescent="0.25">
      <c r="A44" s="35"/>
      <c r="B44" s="35"/>
      <c r="C44" s="21"/>
      <c r="D44" s="24"/>
      <c r="E44" s="40"/>
      <c r="F44" s="21"/>
      <c r="G44" s="21"/>
      <c r="H44" s="21"/>
      <c r="I44" s="21"/>
      <c r="J44" s="21"/>
      <c r="K44" s="23"/>
      <c r="L44" s="23"/>
      <c r="M44" s="24"/>
    </row>
    <row r="45" spans="1:13" s="25" customFormat="1" x14ac:dyDescent="0.25">
      <c r="A45" s="35"/>
      <c r="B45" s="35"/>
      <c r="C45" s="21"/>
      <c r="D45" s="24"/>
      <c r="E45" s="40"/>
      <c r="F45" s="21"/>
      <c r="G45" s="21"/>
      <c r="H45" s="21"/>
      <c r="I45" s="21"/>
      <c r="J45" s="21"/>
      <c r="K45" s="23"/>
      <c r="L45" s="23"/>
      <c r="M45" s="24"/>
    </row>
    <row r="46" spans="1:13" s="25" customFormat="1" x14ac:dyDescent="0.25">
      <c r="A46" s="35"/>
      <c r="B46" s="35"/>
      <c r="C46" s="21"/>
      <c r="D46" s="24"/>
      <c r="E46" s="40"/>
      <c r="F46" s="21"/>
      <c r="G46" s="21"/>
      <c r="H46" s="21"/>
      <c r="I46" s="21"/>
      <c r="J46" s="21"/>
      <c r="K46" s="23"/>
      <c r="L46" s="23"/>
      <c r="M46" s="24"/>
    </row>
    <row r="47" spans="1:13" s="25" customFormat="1" x14ac:dyDescent="0.25">
      <c r="A47" s="35"/>
      <c r="B47" s="35"/>
      <c r="C47" s="21"/>
      <c r="D47" s="24"/>
      <c r="E47" s="40"/>
      <c r="F47" s="21"/>
      <c r="G47" s="21"/>
      <c r="H47" s="21"/>
      <c r="I47" s="21"/>
      <c r="J47" s="21"/>
      <c r="K47" s="23"/>
      <c r="L47" s="23"/>
      <c r="M47" s="24"/>
    </row>
    <row r="48" spans="1:13" s="25" customFormat="1" x14ac:dyDescent="0.25">
      <c r="A48" s="35"/>
      <c r="B48" s="35"/>
      <c r="C48" s="21"/>
      <c r="D48" s="24"/>
      <c r="E48" s="40"/>
      <c r="F48" s="21"/>
      <c r="G48" s="21"/>
      <c r="H48" s="21"/>
      <c r="I48" s="21"/>
      <c r="J48" s="21"/>
      <c r="K48" s="23"/>
      <c r="L48" s="23"/>
      <c r="M48" s="24"/>
    </row>
    <row r="49" spans="1:13" s="25" customFormat="1" x14ac:dyDescent="0.25">
      <c r="A49" s="35"/>
      <c r="B49" s="35"/>
      <c r="C49" s="21"/>
      <c r="D49" s="24"/>
      <c r="E49" s="40"/>
      <c r="F49" s="21"/>
      <c r="G49" s="21"/>
      <c r="H49" s="21"/>
      <c r="I49" s="21"/>
      <c r="J49" s="21"/>
      <c r="K49" s="23"/>
      <c r="L49" s="23"/>
      <c r="M49" s="24"/>
    </row>
    <row r="50" spans="1:13" s="25" customFormat="1" x14ac:dyDescent="0.25">
      <c r="A50" s="35"/>
      <c r="B50" s="35"/>
      <c r="C50" s="21"/>
      <c r="D50" s="24"/>
      <c r="E50" s="40"/>
      <c r="F50" s="21"/>
      <c r="G50" s="21"/>
      <c r="H50" s="21"/>
      <c r="I50" s="21"/>
      <c r="J50" s="21"/>
      <c r="K50" s="23"/>
      <c r="L50" s="23"/>
      <c r="M50" s="24"/>
    </row>
    <row r="51" spans="1:13" s="25" customFormat="1" x14ac:dyDescent="0.25">
      <c r="A51" s="35"/>
      <c r="B51" s="35"/>
      <c r="C51" s="21"/>
      <c r="D51" s="24"/>
      <c r="E51" s="40"/>
      <c r="F51" s="21"/>
      <c r="G51" s="21"/>
      <c r="H51" s="21"/>
      <c r="I51" s="21"/>
      <c r="J51" s="21"/>
      <c r="K51" s="23"/>
      <c r="L51" s="23"/>
      <c r="M51" s="24"/>
    </row>
    <row r="52" spans="1:13" s="25" customFormat="1" x14ac:dyDescent="0.25">
      <c r="A52" s="35"/>
      <c r="B52" s="35"/>
      <c r="C52" s="21"/>
      <c r="D52" s="24"/>
      <c r="E52" s="40"/>
      <c r="F52" s="21"/>
      <c r="G52" s="21"/>
      <c r="H52" s="21"/>
      <c r="I52" s="21"/>
      <c r="J52" s="21"/>
      <c r="K52" s="23"/>
      <c r="L52" s="23"/>
      <c r="M52" s="24"/>
    </row>
    <row r="53" spans="1:13" s="25" customFormat="1" x14ac:dyDescent="0.25">
      <c r="A53" s="35"/>
      <c r="B53" s="35"/>
      <c r="C53" s="21"/>
      <c r="D53" s="24"/>
      <c r="E53" s="40"/>
      <c r="F53" s="21"/>
      <c r="G53" s="21"/>
      <c r="H53" s="21"/>
      <c r="I53" s="21"/>
      <c r="J53" s="21"/>
      <c r="K53" s="23"/>
      <c r="L53" s="23"/>
      <c r="M53" s="24"/>
    </row>
    <row r="54" spans="1:13" s="25" customFormat="1" x14ac:dyDescent="0.25">
      <c r="A54" s="35"/>
      <c r="B54" s="35"/>
      <c r="C54" s="21"/>
      <c r="D54" s="24"/>
      <c r="E54" s="40"/>
      <c r="F54" s="21"/>
      <c r="G54" s="21"/>
      <c r="H54" s="21"/>
      <c r="I54" s="21"/>
      <c r="J54" s="21"/>
      <c r="K54" s="23"/>
      <c r="L54" s="23"/>
      <c r="M54" s="24"/>
    </row>
    <row r="55" spans="1:13" s="25" customFormat="1" x14ac:dyDescent="0.25">
      <c r="A55" s="35"/>
      <c r="B55" s="35"/>
      <c r="C55" s="21"/>
      <c r="D55" s="24"/>
      <c r="E55" s="40"/>
      <c r="F55" s="21"/>
      <c r="G55" s="21"/>
      <c r="H55" s="21"/>
      <c r="I55" s="21"/>
      <c r="J55" s="21"/>
      <c r="K55" s="23"/>
      <c r="L55" s="23"/>
      <c r="M55" s="24"/>
    </row>
    <row r="56" spans="1:13" s="25" customFormat="1" x14ac:dyDescent="0.25">
      <c r="A56" s="35"/>
      <c r="B56" s="35"/>
      <c r="C56" s="21"/>
      <c r="D56" s="24"/>
      <c r="E56" s="40"/>
      <c r="F56" s="21"/>
      <c r="G56" s="21"/>
      <c r="H56" s="21"/>
      <c r="I56" s="21"/>
      <c r="J56" s="21"/>
      <c r="K56" s="23"/>
      <c r="L56" s="23"/>
      <c r="M56" s="24"/>
    </row>
    <row r="57" spans="1:13" x14ac:dyDescent="0.25">
      <c r="K57" s="23" t="s">
        <v>15</v>
      </c>
    </row>
  </sheetData>
  <mergeCells count="2">
    <mergeCell ref="C2:J2"/>
    <mergeCell ref="C3:J4"/>
  </mergeCells>
  <conditionalFormatting sqref="E7:E56">
    <cfRule type="cellIs" dxfId="0" priority="1" operator="greaterThan">
      <formula>104</formula>
    </cfRule>
  </conditionalFormatting>
  <dataValidations count="1">
    <dataValidation type="list" allowBlank="1" showInputMessage="1" showErrorMessage="1" sqref="L41:L56 K41:K57 K7:L40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Informações Básicas</vt:lpstr>
      <vt:lpstr>Catálogo Negócio</vt:lpstr>
      <vt:lpstr>Catálogo Escritório</vt:lpstr>
      <vt:lpstr>Catálogo TIpTI</vt:lpstr>
      <vt:lpstr>Protótipo</vt:lpstr>
      <vt:lpstr>Escopo</vt:lpstr>
      <vt:lpstr>Catálogo Atendimento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Filho</dc:creator>
  <cp:lastModifiedBy>Jorge Filho</cp:lastModifiedBy>
  <cp:lastPrinted>2015-12-01T15:28:32Z</cp:lastPrinted>
  <dcterms:created xsi:type="dcterms:W3CDTF">2015-12-01T15:08:57Z</dcterms:created>
  <dcterms:modified xsi:type="dcterms:W3CDTF">2015-12-02T20:50:18Z</dcterms:modified>
</cp:coreProperties>
</file>