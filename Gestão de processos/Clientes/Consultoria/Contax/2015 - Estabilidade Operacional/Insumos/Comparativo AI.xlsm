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activeTab="2"/>
  </bookViews>
  <sheets>
    <sheet name="Indicadores" sheetId="1" r:id="rId1"/>
    <sheet name="Dados - Gráficos" sheetId="7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J28" i="1" l="1"/>
  <c r="D22" i="7" s="1"/>
  <c r="F22" i="7" s="1"/>
  <c r="AK18" i="7"/>
  <c r="AJ18" i="7"/>
  <c r="AK17" i="7"/>
  <c r="AJ17" i="7"/>
  <c r="AK16" i="7"/>
  <c r="AJ16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D23" i="7"/>
  <c r="C21" i="7"/>
  <c r="D21" i="7"/>
  <c r="E21" i="7"/>
  <c r="F21" i="7" s="1"/>
  <c r="G21" i="7"/>
  <c r="C22" i="7"/>
  <c r="G22" i="7" l="1"/>
  <c r="E7" i="4"/>
  <c r="E6" i="4"/>
  <c r="E24" i="7"/>
  <c r="E23" i="7"/>
  <c r="D6" i="7"/>
  <c r="D5" i="7"/>
  <c r="D4" i="7"/>
  <c r="E8" i="4" l="1"/>
  <c r="E9" i="4"/>
  <c r="D3" i="7"/>
  <c r="D9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H3" i="7"/>
  <c r="AH9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AI29" i="1" l="1"/>
  <c r="AJ29" i="1" s="1"/>
  <c r="G23" i="7" s="1"/>
  <c r="G8" i="4" s="1"/>
  <c r="C23" i="7"/>
  <c r="C8" i="4" s="1"/>
  <c r="AI30" i="1"/>
  <c r="AJ30" i="1" s="1"/>
  <c r="D24" i="7" s="1"/>
  <c r="G24" i="7" s="1"/>
  <c r="G9" i="4" s="1"/>
  <c r="C24" i="7"/>
  <c r="C9" i="4" s="1"/>
  <c r="AI28" i="1"/>
  <c r="G7" i="4" s="1"/>
  <c r="C7" i="4"/>
  <c r="AH27" i="1"/>
  <c r="C6" i="4" s="1"/>
  <c r="D9" i="4" l="1"/>
  <c r="D7" i="4"/>
  <c r="F7" i="4"/>
  <c r="D8" i="4"/>
  <c r="AI27" i="1"/>
  <c r="AJ27" i="1" s="1"/>
  <c r="G6" i="4" s="1"/>
  <c r="D6" i="4" l="1"/>
  <c r="F6" i="4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E9" i="7"/>
  <c r="L25" i="7" l="1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AJ6" i="7"/>
  <c r="AJ12" i="7" s="1"/>
  <c r="AJ23" i="1"/>
  <c r="AJ5" i="7"/>
  <c r="AJ11" i="7" s="1"/>
  <c r="AJ22" i="1"/>
  <c r="AJ4" i="7"/>
  <c r="AJ10" i="7" s="1"/>
  <c r="AI21" i="1"/>
  <c r="AI3" i="7"/>
  <c r="AI9" i="7" s="1"/>
  <c r="AH6" i="1"/>
  <c r="AH5" i="1"/>
  <c r="AH4" i="1"/>
  <c r="K9" i="4" s="1"/>
  <c r="N26" i="7" l="1"/>
  <c r="I6" i="4"/>
  <c r="AK6" i="7"/>
  <c r="AK12" i="7" s="1"/>
  <c r="AK5" i="7"/>
  <c r="AK11" i="7" s="1"/>
  <c r="AJ21" i="1"/>
  <c r="AJ3" i="7"/>
  <c r="AJ9" i="7" s="1"/>
  <c r="AK4" i="7"/>
  <c r="AK10" i="7" s="1"/>
  <c r="K11" i="4"/>
  <c r="I11" i="4"/>
  <c r="AK3" i="7" l="1"/>
  <c r="AK9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F24" i="7" s="1"/>
  <c r="F9" i="4" s="1"/>
  <c r="AI16" i="1" l="1"/>
  <c r="AJ17" i="1"/>
  <c r="AJ18" i="1"/>
  <c r="AH15" i="1"/>
  <c r="F23" i="7" s="1"/>
  <c r="F8" i="4" s="1"/>
  <c r="AH10" i="1"/>
  <c r="J6" i="4" s="1"/>
  <c r="J11" i="4" s="1"/>
  <c r="AI15" i="1" l="1"/>
  <c r="AJ16" i="1"/>
  <c r="AH9" i="1"/>
  <c r="AI10" i="1"/>
  <c r="AJ10" i="1" s="1"/>
  <c r="AJ15" i="1" l="1"/>
  <c r="AI9" i="1"/>
  <c r="AJ9" i="1" s="1"/>
  <c r="AH3" i="1" l="1"/>
  <c r="AI3" i="1" s="1"/>
  <c r="AJ3" i="1" s="1"/>
  <c r="AI4" i="1"/>
  <c r="AJ4" i="1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<sst xmlns="http://schemas.openxmlformats.org/spreadsheetml/2006/main" count="345" uniqueCount="37">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</sst>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  <numFmt numFmtId="167" formatCode="0.0"/>
    <numFmt numFmtId="168" formatCode="#,##0.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24" fillId="0" borderId="4" xfId="0" applyNumberFormat="1" applyFont="1" applyBorder="1" applyAlignment="1">
      <alignment horizontal="center" vertical="center"/>
    </xf>
    <xf numFmtId="3" fontId="24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167" fontId="0" fillId="0" borderId="6" xfId="0" applyNumberForma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26" fillId="15" borderId="2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7" fillId="1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164" fontId="11" fillId="0" borderId="12" xfId="2" applyNumberFormat="1" applyFont="1" applyFill="1" applyBorder="1" applyAlignment="1">
      <alignment horizontal="center" vertical="center"/>
    </xf>
    <xf numFmtId="164" fontId="11" fillId="11" borderId="12" xfId="2" applyNumberFormat="1" applyFont="1" applyFill="1" applyBorder="1" applyAlignment="1">
      <alignment horizontal="center" vertical="center"/>
    </xf>
    <xf numFmtId="164" fontId="27" fillId="13" borderId="12" xfId="0" applyNumberFormat="1" applyFont="1" applyFill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4" fontId="0" fillId="3" borderId="16" xfId="0" applyNumberFormat="1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164" fontId="22" fillId="11" borderId="12" xfId="2" applyNumberFormat="1" applyFont="1" applyFill="1" applyBorder="1" applyAlignment="1">
      <alignment horizontal="center" vertical="center"/>
    </xf>
    <xf numFmtId="165" fontId="0" fillId="2" borderId="12" xfId="1" applyNumberFormat="1" applyFont="1" applyFill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164" fontId="22" fillId="11" borderId="18" xfId="2" applyNumberFormat="1" applyFont="1" applyFill="1" applyBorder="1" applyAlignment="1">
      <alignment horizontal="center" vertical="center"/>
    </xf>
    <xf numFmtId="164" fontId="27" fillId="13" borderId="18" xfId="0" applyNumberFormat="1" applyFont="1" applyFill="1" applyBorder="1" applyAlignment="1">
      <alignment horizontal="center" vertical="center"/>
    </xf>
    <xf numFmtId="165" fontId="0" fillId="2" borderId="18" xfId="1" applyNumberFormat="1" applyFont="1" applyFill="1" applyBorder="1" applyAlignment="1">
      <alignment horizontal="center" vertical="center"/>
    </xf>
    <xf numFmtId="164" fontId="0" fillId="3" borderId="19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37041408"/>
        <c:axId val="1240104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#.##00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 formatCode="#,##0.00">
                  <c:v>9.5448686503137665</c:v>
                </c:pt>
                <c:pt idx="4" formatCode="#,##0.00">
                  <c:v>4.9200353867596736</c:v>
                </c:pt>
                <c:pt idx="5" formatCode="#,##0.00">
                  <c:v>2.4108173395122403</c:v>
                </c:pt>
                <c:pt idx="6" formatCode="#,##0.00">
                  <c:v>10.374848953068486</c:v>
                </c:pt>
                <c:pt idx="7">
                  <c:v>9.8152097979237141</c:v>
                </c:pt>
                <c:pt idx="8" formatCode="#,##0.00">
                  <c:v>11.321930600236563</c:v>
                </c:pt>
                <c:pt idx="9" formatCode="#,##0.00">
                  <c:v>11.192783102895463</c:v>
                </c:pt>
                <c:pt idx="10" formatCode="#,##0.00">
                  <c:v>8.3515381613912307</c:v>
                </c:pt>
                <c:pt idx="11" formatCode="#,##0.00">
                  <c:v>4.3049165780367167</c:v>
                </c:pt>
                <c:pt idx="12" formatCode="#,##0.00">
                  <c:v>2.1094091232379912</c:v>
                </c:pt>
                <c:pt idx="13" formatCode="#,##0.00">
                  <c:v>9.1658760349339445</c:v>
                </c:pt>
                <c:pt idx="14">
                  <c:v>8.6714511865765118</c:v>
                </c:pt>
                <c:pt idx="15" formatCode="#,##0.00">
                  <c:v>10.002595009077289</c:v>
                </c:pt>
                <c:pt idx="16" formatCode="#,##0.00">
                  <c:v>9.8884969671486527</c:v>
                </c:pt>
                <c:pt idx="17" formatCode="#,##0.00">
                  <c:v>7.3783400447186107</c:v>
                </c:pt>
                <c:pt idx="18" formatCode="#,##0.00">
                  <c:v>3.8032680642879435</c:v>
                </c:pt>
                <c:pt idx="19" formatCode="#,##0.00">
                  <c:v>1.8636013515010923</c:v>
                </c:pt>
                <c:pt idx="20" formatCode="#,##0.00">
                  <c:v>9.1230922432305341</c:v>
                </c:pt>
                <c:pt idx="21">
                  <c:v>8.6309752342595925</c:v>
                </c:pt>
                <c:pt idx="22" formatCode="#,##0.00">
                  <c:v>9.9559056430275099</c:v>
                </c:pt>
                <c:pt idx="23" formatCode="#,##0.00">
                  <c:v>9.8423401794188319</c:v>
                </c:pt>
                <c:pt idx="24" formatCode="#,##0.00">
                  <c:v>7.3438999800278983</c:v>
                </c:pt>
                <c:pt idx="25" formatCode="#,##0.00">
                  <c:v>3.7855154536226281</c:v>
                </c:pt>
                <c:pt idx="26" formatCode="#,##0.00">
                  <c:v>1.8549025722750878</c:v>
                </c:pt>
                <c:pt idx="27" formatCode="#,##0.00">
                  <c:v>9.1230922432305341</c:v>
                </c:pt>
                <c:pt idx="28">
                  <c:v>8.6309752342595925</c:v>
                </c:pt>
                <c:pt idx="29" formatCode="#,##0.00">
                  <c:v>9.9559056430275099</c:v>
                </c:pt>
                <c:pt idx="30" formatCode="#,##0.0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041408"/>
        <c:axId val="124010496"/>
      </c:lineChart>
      <c:dateAx>
        <c:axId val="13704140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010496"/>
        <c:crosses val="autoZero"/>
        <c:auto val="1"/>
        <c:lblOffset val="100"/>
        <c:baseTimeUnit val="days"/>
      </c:dateAx>
      <c:valAx>
        <c:axId val="1240104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704140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36279552"/>
        <c:axId val="1240133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 formatCode="#,##0.00">
                  <c:v>419.07537199262049</c:v>
                </c:pt>
                <c:pt idx="30" formatCode="#,##0.0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79552"/>
        <c:axId val="124013376"/>
      </c:lineChart>
      <c:dateAx>
        <c:axId val="13627955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013376"/>
        <c:crosses val="autoZero"/>
        <c:auto val="1"/>
        <c:lblOffset val="100"/>
        <c:baseTimeUnit val="days"/>
      </c:dateAx>
      <c:valAx>
        <c:axId val="1240133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627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36278016"/>
        <c:axId val="124016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 formatCode="#,##0.00">
                  <c:v>255.10252492818739</c:v>
                </c:pt>
                <c:pt idx="30" formatCode="#,##0.0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78016"/>
        <c:axId val="124016256"/>
      </c:lineChart>
      <c:dateAx>
        <c:axId val="1362780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016256"/>
        <c:crosses val="autoZero"/>
        <c:auto val="1"/>
        <c:lblOffset val="100"/>
        <c:baseTimeUnit val="days"/>
      </c:dateAx>
      <c:valAx>
        <c:axId val="124016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6278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70" workbookViewId="0"/>
  </sheetViews>
  <sheetProtection algorithmName="SHA-512" hashValue="h8kBcZCxDReuHnjWmxhu4aSPOxGau6J6YxVxRZWt6CKdNPuNdDD/kl67hTsByJ6f6DDkNQs9gOOB+NC7C+4VcA==" saltValue="ctKnST4sut07Yc+PrUfjj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CG6rBw6Fqj46jb5L/LT8tVZmUfsQFEy8KDEHlCqJyZNGHbSfpe/4E5BmHVdtalFgRRHjfKEPuVB0EeyvI3WYAw==" saltValue="gInTeQAJyLmU1aoXrZl2M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/Qdu7kIaFJLbHDlXmopr8/j0LH+ogmqpzqqH9rxTxqqOA5TFPWC5nes857niXPmF15/ySydP4W71wAIlLIOJcg==" saltValue="7kb9AGFZOV7NRBEK+7tKC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847726</xdr:colOff>
      <xdr:row>0</xdr:row>
      <xdr:rowOff>190500</xdr:rowOff>
    </xdr:from>
    <xdr:to>
      <xdr:col>6</xdr:col>
      <xdr:colOff>1047751</xdr:colOff>
      <xdr:row>2</xdr:row>
      <xdr:rowOff>54429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176" y="190500"/>
          <a:ext cx="1238250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0" zoomScale="130" zoomScaleNormal="130" workbookViewId="0">
      <selection activeCell="D28" sqref="D28"/>
    </sheetView>
  </sheetViews>
  <sheetFormatPr defaultColWidth="9.140625" defaultRowHeight="15" x14ac:dyDescent="0.25"/>
  <cols>
    <col min="1" max="1" width="1.28515625" style="15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5" bestFit="1" customWidth="1"/>
    <col min="36" max="36" width="10.42578125" style="35" customWidth="1"/>
    <col min="37" max="39" width="7.85546875" style="159" bestFit="1" customWidth="1"/>
    <col min="40" max="16384" width="9.140625" style="159"/>
  </cols>
  <sheetData>
    <row r="1" spans="2:36" ht="15.75" thickBot="1" x14ac:dyDescent="0.3"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60" t="s">
        <v>7</v>
      </c>
      <c r="AI2" s="67" t="s">
        <v>17</v>
      </c>
      <c r="AJ2" s="66" t="s">
        <v>18</v>
      </c>
    </row>
    <row r="3" spans="2:36" x14ac:dyDescent="0.25">
      <c r="B3" s="50" t="s">
        <v>22</v>
      </c>
      <c r="C3" s="51">
        <v>42309</v>
      </c>
      <c r="D3" s="51">
        <v>42310</v>
      </c>
      <c r="E3" s="51">
        <v>42311</v>
      </c>
      <c r="F3" s="51">
        <v>42312</v>
      </c>
      <c r="G3" s="51">
        <v>42313</v>
      </c>
      <c r="H3" s="51">
        <v>42314</v>
      </c>
      <c r="I3" s="51">
        <v>42315</v>
      </c>
      <c r="J3" s="51">
        <v>42316</v>
      </c>
      <c r="K3" s="51">
        <v>42317</v>
      </c>
      <c r="L3" s="51">
        <v>42318</v>
      </c>
      <c r="M3" s="51">
        <v>42319</v>
      </c>
      <c r="N3" s="51">
        <v>42320</v>
      </c>
      <c r="O3" s="51">
        <v>42321</v>
      </c>
      <c r="P3" s="51">
        <v>42322</v>
      </c>
      <c r="Q3" s="51">
        <v>42323</v>
      </c>
      <c r="R3" s="51">
        <v>42324</v>
      </c>
      <c r="S3" s="51">
        <v>42325</v>
      </c>
      <c r="T3" s="51">
        <v>42326</v>
      </c>
      <c r="U3" s="51">
        <v>42327</v>
      </c>
      <c r="V3" s="51">
        <v>42328</v>
      </c>
      <c r="W3" s="51">
        <v>42329</v>
      </c>
      <c r="X3" s="51">
        <v>42330</v>
      </c>
      <c r="Y3" s="51">
        <v>42331</v>
      </c>
      <c r="Z3" s="51">
        <v>42332</v>
      </c>
      <c r="AA3" s="51">
        <v>42333</v>
      </c>
      <c r="AB3" s="51">
        <v>42334</v>
      </c>
      <c r="AC3" s="51">
        <v>42335</v>
      </c>
      <c r="AD3" s="51">
        <v>42336</v>
      </c>
      <c r="AE3" s="51">
        <v>42337</v>
      </c>
      <c r="AF3" s="51">
        <v>42338</v>
      </c>
      <c r="AG3" s="51"/>
      <c r="AH3" s="54">
        <f>SUM(AH4:AH6)</f>
        <v>24028</v>
      </c>
      <c r="AI3" s="68">
        <f>AH3/30</f>
        <v>800.93333333333328</v>
      </c>
      <c r="AJ3" s="57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61">
        <f>SUM(C4:AG4)</f>
        <v>415</v>
      </c>
      <c r="AI4" s="69">
        <f>AH4/30</f>
        <v>13.833333333333334</v>
      </c>
      <c r="AJ4" s="58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61">
        <f>SUM(C5:AG5)</f>
        <v>15164</v>
      </c>
      <c r="AI5" s="69">
        <f>AH5/30</f>
        <v>505.46666666666664</v>
      </c>
      <c r="AJ5" s="58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2">
        <f>SUM(C6:AG6)</f>
        <v>8449</v>
      </c>
      <c r="AI6" s="70">
        <f>AH6/30</f>
        <v>281.63333333333333</v>
      </c>
      <c r="AJ6" s="59">
        <f>AI6*31</f>
        <v>8730.6333333333332</v>
      </c>
    </row>
    <row r="7" spans="2:36" ht="9.75" customHeight="1" thickBot="1" x14ac:dyDescent="0.3"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3" t="s">
        <v>7</v>
      </c>
      <c r="AI8" s="71" t="s">
        <v>17</v>
      </c>
      <c r="AJ8" s="66" t="s">
        <v>18</v>
      </c>
    </row>
    <row r="9" spans="2:36" x14ac:dyDescent="0.25">
      <c r="B9" s="50" t="s">
        <v>22</v>
      </c>
      <c r="C9" s="51">
        <v>42339</v>
      </c>
      <c r="D9" s="51">
        <v>42340</v>
      </c>
      <c r="E9" s="51">
        <v>42341</v>
      </c>
      <c r="F9" s="51">
        <v>42342</v>
      </c>
      <c r="G9" s="51">
        <v>42343</v>
      </c>
      <c r="H9" s="51">
        <v>42344</v>
      </c>
      <c r="I9" s="51">
        <v>42345</v>
      </c>
      <c r="J9" s="51">
        <v>42346</v>
      </c>
      <c r="K9" s="51">
        <v>42347</v>
      </c>
      <c r="L9" s="51">
        <v>42348</v>
      </c>
      <c r="M9" s="51">
        <v>42349</v>
      </c>
      <c r="N9" s="51">
        <v>42350</v>
      </c>
      <c r="O9" s="51">
        <v>42351</v>
      </c>
      <c r="P9" s="51">
        <v>42352</v>
      </c>
      <c r="Q9" s="51">
        <v>42353</v>
      </c>
      <c r="R9" s="51">
        <v>42354</v>
      </c>
      <c r="S9" s="51">
        <v>42355</v>
      </c>
      <c r="T9" s="51">
        <v>42356</v>
      </c>
      <c r="U9" s="51">
        <v>42357</v>
      </c>
      <c r="V9" s="51">
        <v>42358</v>
      </c>
      <c r="W9" s="51">
        <v>42359</v>
      </c>
      <c r="X9" s="51">
        <v>42360</v>
      </c>
      <c r="Y9" s="51">
        <v>42361</v>
      </c>
      <c r="Z9" s="51">
        <v>42362</v>
      </c>
      <c r="AA9" s="51">
        <v>42363</v>
      </c>
      <c r="AB9" s="51">
        <v>42364</v>
      </c>
      <c r="AC9" s="51">
        <v>42365</v>
      </c>
      <c r="AD9" s="51">
        <v>42366</v>
      </c>
      <c r="AE9" s="51">
        <v>42367</v>
      </c>
      <c r="AF9" s="51">
        <v>42368</v>
      </c>
      <c r="AG9" s="51">
        <v>42369</v>
      </c>
      <c r="AH9" s="54">
        <f>SUM(AH10:AH12)</f>
        <v>19386</v>
      </c>
      <c r="AI9" s="68">
        <f>AH9/31</f>
        <v>625.35483870967744</v>
      </c>
      <c r="AJ9" s="57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5">
        <f>SUM(C10:AG10)</f>
        <v>294</v>
      </c>
      <c r="AI10" s="41">
        <f>AH10/31</f>
        <v>9.4838709677419359</v>
      </c>
      <c r="AJ10" s="58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5">
        <f>SUM(C11:AG11)</f>
        <v>11274</v>
      </c>
      <c r="AI11" s="41">
        <f>AH11/31</f>
        <v>363.67741935483872</v>
      </c>
      <c r="AJ11" s="58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6">
        <f>SUM(C12:AG12)</f>
        <v>7818</v>
      </c>
      <c r="AI12" s="42">
        <f>AH12/31</f>
        <v>252.19354838709677</v>
      </c>
      <c r="AJ12" s="59">
        <f>AI12*31</f>
        <v>7818</v>
      </c>
    </row>
    <row r="13" spans="2:36" ht="9" customHeight="1" thickBot="1" x14ac:dyDescent="0.3"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4" t="s">
        <v>7</v>
      </c>
      <c r="AI14" s="72" t="s">
        <v>17</v>
      </c>
      <c r="AJ14" s="66" t="s">
        <v>18</v>
      </c>
    </row>
    <row r="15" spans="2:36" x14ac:dyDescent="0.25">
      <c r="B15" s="50" t="s">
        <v>22</v>
      </c>
      <c r="C15" s="51">
        <v>42370</v>
      </c>
      <c r="D15" s="51">
        <v>42371</v>
      </c>
      <c r="E15" s="51">
        <v>42372</v>
      </c>
      <c r="F15" s="51">
        <v>42373</v>
      </c>
      <c r="G15" s="51">
        <v>42374</v>
      </c>
      <c r="H15" s="51">
        <v>42375</v>
      </c>
      <c r="I15" s="51">
        <v>42376</v>
      </c>
      <c r="J15" s="51">
        <v>42377</v>
      </c>
      <c r="K15" s="51">
        <v>42378</v>
      </c>
      <c r="L15" s="51">
        <v>42379</v>
      </c>
      <c r="M15" s="51">
        <v>42380</v>
      </c>
      <c r="N15" s="51">
        <v>42381</v>
      </c>
      <c r="O15" s="51">
        <v>42382</v>
      </c>
      <c r="P15" s="51">
        <v>42383</v>
      </c>
      <c r="Q15" s="51">
        <v>42384</v>
      </c>
      <c r="R15" s="51">
        <v>42385</v>
      </c>
      <c r="S15" s="51">
        <v>42386</v>
      </c>
      <c r="T15" s="51">
        <v>42387</v>
      </c>
      <c r="U15" s="51">
        <v>42388</v>
      </c>
      <c r="V15" s="51">
        <v>42389</v>
      </c>
      <c r="W15" s="51">
        <v>42390</v>
      </c>
      <c r="X15" s="51">
        <v>42391</v>
      </c>
      <c r="Y15" s="51">
        <v>42392</v>
      </c>
      <c r="Z15" s="51">
        <v>42393</v>
      </c>
      <c r="AA15" s="51">
        <v>42394</v>
      </c>
      <c r="AB15" s="51">
        <v>42395</v>
      </c>
      <c r="AC15" s="51">
        <v>42396</v>
      </c>
      <c r="AD15" s="51">
        <v>42397</v>
      </c>
      <c r="AE15" s="51">
        <v>42398</v>
      </c>
      <c r="AF15" s="51">
        <v>42399</v>
      </c>
      <c r="AG15" s="51">
        <v>42400</v>
      </c>
      <c r="AH15" s="54">
        <f>SUM(AH16:AH18)</f>
        <v>21648</v>
      </c>
      <c r="AI15" s="73">
        <f>AH15/COUNTA(C16:AG16)</f>
        <v>698.32258064516134</v>
      </c>
      <c r="AJ15" s="57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5">
        <f>SUM(C16:AG16)</f>
        <v>210</v>
      </c>
      <c r="AI16" s="38">
        <f>AH16/COUNTA(C16:AG16)</f>
        <v>6.774193548387097</v>
      </c>
      <c r="AJ16" s="58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5">
        <f>SUM(C17:AG17)</f>
        <v>12791</v>
      </c>
      <c r="AI17" s="38">
        <f>AH17/COUNTA(C17:AG17)</f>
        <v>412.61290322580646</v>
      </c>
      <c r="AJ17" s="58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6">
        <f>SUM(C18:AG18)</f>
        <v>8647</v>
      </c>
      <c r="AI18" s="37">
        <f>AH18/COUNTA(C18:AG18)</f>
        <v>278.93548387096774</v>
      </c>
      <c r="AJ18" s="59">
        <f>AI18*31</f>
        <v>8647</v>
      </c>
    </row>
    <row r="19" spans="2:36" ht="9" customHeight="1" thickBot="1" x14ac:dyDescent="0.3">
      <c r="B19" s="161"/>
      <c r="C19" s="161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5" t="s">
        <v>7</v>
      </c>
      <c r="AI20" s="74" t="s">
        <v>17</v>
      </c>
      <c r="AJ20" s="66" t="s">
        <v>18</v>
      </c>
    </row>
    <row r="21" spans="2:36" x14ac:dyDescent="0.25">
      <c r="B21" s="50" t="s">
        <v>22</v>
      </c>
      <c r="C21" s="51">
        <v>42401</v>
      </c>
      <c r="D21" s="51">
        <v>42402</v>
      </c>
      <c r="E21" s="51">
        <v>42403</v>
      </c>
      <c r="F21" s="51">
        <v>42404</v>
      </c>
      <c r="G21" s="51">
        <v>42405</v>
      </c>
      <c r="H21" s="51">
        <v>42406</v>
      </c>
      <c r="I21" s="51">
        <v>42407</v>
      </c>
      <c r="J21" s="51">
        <v>42408</v>
      </c>
      <c r="K21" s="51">
        <v>42409</v>
      </c>
      <c r="L21" s="51">
        <v>42410</v>
      </c>
      <c r="M21" s="51">
        <v>42411</v>
      </c>
      <c r="N21" s="51">
        <v>42412</v>
      </c>
      <c r="O21" s="51">
        <v>42413</v>
      </c>
      <c r="P21" s="51">
        <v>42414</v>
      </c>
      <c r="Q21" s="51">
        <v>42415</v>
      </c>
      <c r="R21" s="51">
        <v>42416</v>
      </c>
      <c r="S21" s="51">
        <v>42417</v>
      </c>
      <c r="T21" s="51">
        <v>42418</v>
      </c>
      <c r="U21" s="51">
        <v>42419</v>
      </c>
      <c r="V21" s="51">
        <v>42420</v>
      </c>
      <c r="W21" s="51">
        <v>42421</v>
      </c>
      <c r="X21" s="51">
        <v>42422</v>
      </c>
      <c r="Y21" s="51">
        <v>42423</v>
      </c>
      <c r="Z21" s="51">
        <v>42424</v>
      </c>
      <c r="AA21" s="51">
        <v>42425</v>
      </c>
      <c r="AB21" s="51">
        <v>42426</v>
      </c>
      <c r="AC21" s="51">
        <v>42427</v>
      </c>
      <c r="AD21" s="51">
        <v>42428</v>
      </c>
      <c r="AE21" s="51">
        <v>42429</v>
      </c>
      <c r="AF21" s="51"/>
      <c r="AG21" s="51"/>
      <c r="AH21" s="54">
        <f>SUM(AH22:AH24)</f>
        <v>19903</v>
      </c>
      <c r="AI21" s="73">
        <f>AH21/COUNTA(C22:AG22)</f>
        <v>686.31034482758616</v>
      </c>
      <c r="AJ21" s="57">
        <f>AI21*29</f>
        <v>19903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7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14</v>
      </c>
      <c r="AF22" s="24"/>
      <c r="AG22" s="24"/>
      <c r="AH22" s="55">
        <f>SUM(C22:AG22)</f>
        <v>207</v>
      </c>
      <c r="AI22" s="38">
        <f>AH22/COUNTA(C22:AG22)</f>
        <v>7.1379310344827589</v>
      </c>
      <c r="AJ22" s="58">
        <f>AI22*29</f>
        <v>207</v>
      </c>
    </row>
    <row r="23" spans="2:36" x14ac:dyDescent="0.25">
      <c r="B23" s="2" t="s">
        <v>20</v>
      </c>
      <c r="C23" s="24">
        <v>824</v>
      </c>
      <c r="D23" s="24">
        <v>638</v>
      </c>
      <c r="E23" s="24">
        <v>579</v>
      </c>
      <c r="F23" s="24">
        <v>518</v>
      </c>
      <c r="G23" s="24">
        <v>466</v>
      </c>
      <c r="H23" s="24">
        <v>97</v>
      </c>
      <c r="I23" s="24">
        <v>41</v>
      </c>
      <c r="J23" s="24">
        <v>163</v>
      </c>
      <c r="K23" s="24">
        <v>125</v>
      </c>
      <c r="L23" s="24">
        <v>556</v>
      </c>
      <c r="M23" s="24">
        <v>580</v>
      </c>
      <c r="N23" s="24">
        <v>552</v>
      </c>
      <c r="O23" s="24">
        <v>130</v>
      </c>
      <c r="P23" s="24">
        <v>33</v>
      </c>
      <c r="Q23" s="24">
        <v>617</v>
      </c>
      <c r="R23" s="24">
        <v>541</v>
      </c>
      <c r="S23" s="24">
        <v>445</v>
      </c>
      <c r="T23" s="24">
        <v>538</v>
      </c>
      <c r="U23" s="24">
        <v>463</v>
      </c>
      <c r="V23" s="24">
        <v>129</v>
      </c>
      <c r="W23" s="24">
        <v>48</v>
      </c>
      <c r="X23" s="24">
        <v>719</v>
      </c>
      <c r="Y23" s="24">
        <v>628</v>
      </c>
      <c r="Z23" s="24">
        <v>600</v>
      </c>
      <c r="AA23" s="24">
        <v>581</v>
      </c>
      <c r="AB23" s="24">
        <v>420</v>
      </c>
      <c r="AC23" s="24">
        <v>209</v>
      </c>
      <c r="AD23" s="24">
        <v>50</v>
      </c>
      <c r="AE23" s="24">
        <v>893</v>
      </c>
      <c r="AF23" s="24"/>
      <c r="AG23" s="24"/>
      <c r="AH23" s="55">
        <f>SUM(C23:AG23)</f>
        <v>12183</v>
      </c>
      <c r="AI23" s="38">
        <f>AH23/COUNTA(C23:AG23)</f>
        <v>420.10344827586209</v>
      </c>
      <c r="AJ23" s="58">
        <f>AI23*29</f>
        <v>12183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330</v>
      </c>
      <c r="M24" s="25">
        <v>345</v>
      </c>
      <c r="N24" s="25">
        <v>314</v>
      </c>
      <c r="O24" s="25">
        <v>78</v>
      </c>
      <c r="P24" s="25">
        <v>45</v>
      </c>
      <c r="Q24" s="25">
        <v>398</v>
      </c>
      <c r="R24" s="25">
        <v>311</v>
      </c>
      <c r="S24" s="25">
        <v>271</v>
      </c>
      <c r="T24" s="25">
        <v>322</v>
      </c>
      <c r="U24" s="25">
        <v>269</v>
      </c>
      <c r="V24" s="25">
        <v>118</v>
      </c>
      <c r="W24" s="25">
        <v>46</v>
      </c>
      <c r="X24" s="25">
        <v>395</v>
      </c>
      <c r="Y24" s="25">
        <v>320</v>
      </c>
      <c r="Z24" s="25">
        <v>341</v>
      </c>
      <c r="AA24" s="25">
        <v>389</v>
      </c>
      <c r="AB24" s="25">
        <v>322</v>
      </c>
      <c r="AC24" s="25">
        <v>125</v>
      </c>
      <c r="AD24" s="25">
        <v>52</v>
      </c>
      <c r="AE24" s="25">
        <v>449</v>
      </c>
      <c r="AF24" s="25"/>
      <c r="AG24" s="25"/>
      <c r="AH24" s="56">
        <f>SUM(C24:AG24)</f>
        <v>7513</v>
      </c>
      <c r="AI24" s="37">
        <f>AH24/COUNTA(C24:AG24)</f>
        <v>259.06896551724139</v>
      </c>
      <c r="AJ24" s="59">
        <f>AI24*29</f>
        <v>7513</v>
      </c>
    </row>
    <row r="25" spans="2:36" ht="15.75" thickBot="1" x14ac:dyDescent="0.3">
      <c r="AE25" s="11"/>
      <c r="AF25" s="11"/>
    </row>
    <row r="26" spans="2:36" ht="11.25" customHeight="1" x14ac:dyDescent="0.25">
      <c r="B26" s="125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" t="s">
        <v>4</v>
      </c>
      <c r="AH26" s="126" t="s">
        <v>7</v>
      </c>
      <c r="AI26" s="127" t="s">
        <v>17</v>
      </c>
      <c r="AJ26" s="66" t="s">
        <v>18</v>
      </c>
    </row>
    <row r="27" spans="2:36" x14ac:dyDescent="0.25">
      <c r="B27" s="122" t="s">
        <v>22</v>
      </c>
      <c r="C27" s="51">
        <v>42430</v>
      </c>
      <c r="D27" s="51">
        <v>42431</v>
      </c>
      <c r="E27" s="51">
        <v>42432</v>
      </c>
      <c r="F27" s="51">
        <v>42433</v>
      </c>
      <c r="G27" s="51">
        <v>42434</v>
      </c>
      <c r="H27" s="51">
        <v>42435</v>
      </c>
      <c r="I27" s="51">
        <v>42436</v>
      </c>
      <c r="J27" s="51">
        <v>42437</v>
      </c>
      <c r="K27" s="51">
        <v>42438</v>
      </c>
      <c r="L27" s="51">
        <v>42439</v>
      </c>
      <c r="M27" s="51">
        <v>42440</v>
      </c>
      <c r="N27" s="51">
        <v>42441</v>
      </c>
      <c r="O27" s="51">
        <v>42442</v>
      </c>
      <c r="P27" s="51">
        <v>42443</v>
      </c>
      <c r="Q27" s="51">
        <v>42444</v>
      </c>
      <c r="R27" s="51">
        <v>42445</v>
      </c>
      <c r="S27" s="51">
        <v>42446</v>
      </c>
      <c r="T27" s="51">
        <v>42447</v>
      </c>
      <c r="U27" s="51">
        <v>42448</v>
      </c>
      <c r="V27" s="51">
        <v>42449</v>
      </c>
      <c r="W27" s="51">
        <v>42450</v>
      </c>
      <c r="X27" s="51">
        <v>42451</v>
      </c>
      <c r="Y27" s="51">
        <v>42452</v>
      </c>
      <c r="Z27" s="51">
        <v>42453</v>
      </c>
      <c r="AA27" s="51">
        <v>42454</v>
      </c>
      <c r="AB27" s="51">
        <v>42455</v>
      </c>
      <c r="AC27" s="51">
        <v>42456</v>
      </c>
      <c r="AD27" s="51">
        <v>42457</v>
      </c>
      <c r="AE27" s="51">
        <v>42458</v>
      </c>
      <c r="AF27" s="51">
        <v>42459</v>
      </c>
      <c r="AG27" s="51">
        <v>42460</v>
      </c>
      <c r="AH27" s="54">
        <f>SUM(AH28:AH30)</f>
        <v>1433</v>
      </c>
      <c r="AI27" s="73">
        <f>AH27/COUNTA(C28:AG28)</f>
        <v>1433</v>
      </c>
      <c r="AJ27" s="57">
        <f>AI27*31</f>
        <v>44423</v>
      </c>
    </row>
    <row r="28" spans="2:36" x14ac:dyDescent="0.25">
      <c r="B28" s="123" t="s">
        <v>19</v>
      </c>
      <c r="C28" s="24">
        <v>7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55">
        <f>SUM(C28:AG28)</f>
        <v>7</v>
      </c>
      <c r="AI28" s="38">
        <f>AH28/COUNTA(C28:AG28)</f>
        <v>7</v>
      </c>
      <c r="AJ28" s="58">
        <f>AI28*31</f>
        <v>217</v>
      </c>
    </row>
    <row r="29" spans="2:36" x14ac:dyDescent="0.25">
      <c r="B29" s="123" t="s">
        <v>20</v>
      </c>
      <c r="C29" s="24">
        <v>871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55">
        <f>SUM(C29:AG29)</f>
        <v>871</v>
      </c>
      <c r="AI29" s="38">
        <f>AH29/COUNTA(C29:AG29)</f>
        <v>871</v>
      </c>
      <c r="AJ29" s="58">
        <f>AI29*31</f>
        <v>27001</v>
      </c>
    </row>
    <row r="30" spans="2:36" ht="15.75" thickBot="1" x14ac:dyDescent="0.3">
      <c r="B30" s="124" t="s">
        <v>21</v>
      </c>
      <c r="C30" s="25">
        <v>555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56">
        <f>SUM(C30:AG30)</f>
        <v>555</v>
      </c>
      <c r="AI30" s="37">
        <f>AH30/COUNTA(C30:AG30)</f>
        <v>555</v>
      </c>
      <c r="AJ30" s="59">
        <f>AI30*31</f>
        <v>17205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D6" zoomScaleNormal="100" workbookViewId="0">
      <selection activeCell="AI16" sqref="AI16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" style="29" bestFit="1" customWidth="1"/>
    <col min="35" max="35" width="8" style="34" bestFit="1" customWidth="1"/>
    <col min="36" max="36" width="10.42578125" style="53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59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</row>
    <row r="2" spans="1:16384" ht="15" customHeight="1" x14ac:dyDescent="0.25">
      <c r="B2" s="196" t="s">
        <v>36</v>
      </c>
      <c r="C2" s="197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26" t="s">
        <v>7</v>
      </c>
      <c r="AJ2" s="127" t="s">
        <v>17</v>
      </c>
      <c r="AK2" s="66" t="s">
        <v>18</v>
      </c>
    </row>
    <row r="3" spans="1:16384" s="52" customFormat="1" x14ac:dyDescent="0.25">
      <c r="A3" s="10"/>
      <c r="B3" s="198" t="s">
        <v>22</v>
      </c>
      <c r="C3" s="199"/>
      <c r="D3" s="51">
        <f>Indicadores!C27</f>
        <v>42430</v>
      </c>
      <c r="E3" s="51">
        <f>Indicadores!D27</f>
        <v>42431</v>
      </c>
      <c r="F3" s="51">
        <f>Indicadores!E27</f>
        <v>42432</v>
      </c>
      <c r="G3" s="51">
        <f>Indicadores!F27</f>
        <v>42433</v>
      </c>
      <c r="H3" s="51">
        <f>Indicadores!G27</f>
        <v>42434</v>
      </c>
      <c r="I3" s="51">
        <f>Indicadores!H27</f>
        <v>42435</v>
      </c>
      <c r="J3" s="51">
        <f>Indicadores!I27</f>
        <v>42436</v>
      </c>
      <c r="K3" s="51">
        <f>Indicadores!J27</f>
        <v>42437</v>
      </c>
      <c r="L3" s="51">
        <f>Indicadores!K27</f>
        <v>42438</v>
      </c>
      <c r="M3" s="51">
        <f>Indicadores!L27</f>
        <v>42439</v>
      </c>
      <c r="N3" s="51">
        <f>Indicadores!M27</f>
        <v>42440</v>
      </c>
      <c r="O3" s="51">
        <f>Indicadores!N27</f>
        <v>42441</v>
      </c>
      <c r="P3" s="51">
        <f>Indicadores!O27</f>
        <v>42442</v>
      </c>
      <c r="Q3" s="51">
        <f>Indicadores!P27</f>
        <v>42443</v>
      </c>
      <c r="R3" s="51">
        <f>Indicadores!Q27</f>
        <v>42444</v>
      </c>
      <c r="S3" s="51">
        <f>Indicadores!R27</f>
        <v>42445</v>
      </c>
      <c r="T3" s="51">
        <f>Indicadores!S27</f>
        <v>42446</v>
      </c>
      <c r="U3" s="51">
        <f>Indicadores!T27</f>
        <v>42447</v>
      </c>
      <c r="V3" s="51">
        <f>Indicadores!U27</f>
        <v>42448</v>
      </c>
      <c r="W3" s="51">
        <f>Indicadores!V27</f>
        <v>42449</v>
      </c>
      <c r="X3" s="51">
        <f>Indicadores!W27</f>
        <v>42450</v>
      </c>
      <c r="Y3" s="51">
        <f>Indicadores!X27</f>
        <v>42451</v>
      </c>
      <c r="Z3" s="51">
        <f>Indicadores!Y27</f>
        <v>42452</v>
      </c>
      <c r="AA3" s="51">
        <f>Indicadores!Z27</f>
        <v>42453</v>
      </c>
      <c r="AB3" s="51">
        <f>Indicadores!AA27</f>
        <v>42454</v>
      </c>
      <c r="AC3" s="51">
        <f>Indicadores!AB27</f>
        <v>42455</v>
      </c>
      <c r="AD3" s="51">
        <f>Indicadores!AC27</f>
        <v>42456</v>
      </c>
      <c r="AE3" s="51">
        <f>Indicadores!AD27</f>
        <v>42457</v>
      </c>
      <c r="AF3" s="51">
        <f>Indicadores!AE27</f>
        <v>42458</v>
      </c>
      <c r="AG3" s="51">
        <f>Indicadores!AF27</f>
        <v>42459</v>
      </c>
      <c r="AH3" s="51">
        <f>Indicadores!AG27</f>
        <v>42460</v>
      </c>
      <c r="AI3" s="54">
        <f>Indicadores!AH21</f>
        <v>19903</v>
      </c>
      <c r="AJ3" s="68">
        <f>Indicadores!AI21</f>
        <v>686.31034482758616</v>
      </c>
      <c r="AK3" s="57">
        <f>Indicadores!AJ21</f>
        <v>19903</v>
      </c>
    </row>
    <row r="4" spans="1:16384" x14ac:dyDescent="0.25">
      <c r="B4" s="200" t="s">
        <v>19</v>
      </c>
      <c r="C4" s="201"/>
      <c r="D4" s="39">
        <f>Indicadores!C28</f>
        <v>7</v>
      </c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48"/>
      <c r="AI4" s="55">
        <f>Indicadores!AH22</f>
        <v>207</v>
      </c>
      <c r="AJ4" s="77">
        <f>Indicadores!AI22</f>
        <v>7.1379310344827589</v>
      </c>
      <c r="AK4" s="58">
        <f>Indicadores!AJ22</f>
        <v>207</v>
      </c>
    </row>
    <row r="5" spans="1:16384" x14ac:dyDescent="0.25">
      <c r="B5" s="200" t="s">
        <v>20</v>
      </c>
      <c r="C5" s="201"/>
      <c r="D5" s="39">
        <f>Indicadores!C29</f>
        <v>871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48"/>
      <c r="AI5" s="55">
        <f>Indicadores!AH23</f>
        <v>12183</v>
      </c>
      <c r="AJ5" s="77">
        <f>Indicadores!AI23</f>
        <v>420.10344827586209</v>
      </c>
      <c r="AK5" s="58">
        <f>Indicadores!AJ23</f>
        <v>12183</v>
      </c>
    </row>
    <row r="6" spans="1:16384" ht="15.75" thickBot="1" x14ac:dyDescent="0.3">
      <c r="B6" s="202" t="s">
        <v>21</v>
      </c>
      <c r="C6" s="203"/>
      <c r="D6" s="40">
        <f>Indicadores!C30</f>
        <v>555</v>
      </c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9"/>
      <c r="AI6" s="56">
        <f>Indicadores!AH24</f>
        <v>7513</v>
      </c>
      <c r="AJ6" s="42">
        <f>Indicadores!AI24</f>
        <v>259.06896551724139</v>
      </c>
      <c r="AK6" s="58">
        <f>Indicadores!AJ24</f>
        <v>7513</v>
      </c>
    </row>
    <row r="7" spans="1:16384" ht="15.75" thickBot="1" x14ac:dyDescent="0.3">
      <c r="C7" s="176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8"/>
      <c r="AJ7" s="178"/>
      <c r="AK7" s="178"/>
    </row>
    <row r="8" spans="1:16384" ht="15" customHeight="1" x14ac:dyDescent="0.25">
      <c r="B8" s="196" t="s">
        <v>36</v>
      </c>
      <c r="C8" s="197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26" t="s">
        <v>7</v>
      </c>
      <c r="AJ8" s="127" t="s">
        <v>17</v>
      </c>
      <c r="AK8" s="66" t="s">
        <v>18</v>
      </c>
    </row>
    <row r="9" spans="1:16384" s="52" customFormat="1" x14ac:dyDescent="0.25">
      <c r="A9" s="10"/>
      <c r="B9" s="198" t="s">
        <v>27</v>
      </c>
      <c r="C9" s="199"/>
      <c r="D9" s="51">
        <f>D3</f>
        <v>42430</v>
      </c>
      <c r="E9" s="51">
        <f>E3</f>
        <v>42431</v>
      </c>
      <c r="F9" s="51">
        <f t="shared" ref="F9:AH9" si="0">F3</f>
        <v>42432</v>
      </c>
      <c r="G9" s="51">
        <f t="shared" si="0"/>
        <v>42433</v>
      </c>
      <c r="H9" s="51">
        <f t="shared" si="0"/>
        <v>42434</v>
      </c>
      <c r="I9" s="51">
        <f t="shared" si="0"/>
        <v>42435</v>
      </c>
      <c r="J9" s="51">
        <f t="shared" si="0"/>
        <v>42436</v>
      </c>
      <c r="K9" s="51">
        <f t="shared" si="0"/>
        <v>42437</v>
      </c>
      <c r="L9" s="51">
        <f t="shared" si="0"/>
        <v>42438</v>
      </c>
      <c r="M9" s="51">
        <f t="shared" si="0"/>
        <v>42439</v>
      </c>
      <c r="N9" s="51">
        <f t="shared" si="0"/>
        <v>42440</v>
      </c>
      <c r="O9" s="51">
        <f t="shared" si="0"/>
        <v>42441</v>
      </c>
      <c r="P9" s="51">
        <f t="shared" si="0"/>
        <v>42442</v>
      </c>
      <c r="Q9" s="51">
        <f t="shared" si="0"/>
        <v>42443</v>
      </c>
      <c r="R9" s="51">
        <f t="shared" si="0"/>
        <v>42444</v>
      </c>
      <c r="S9" s="51">
        <f t="shared" si="0"/>
        <v>42445</v>
      </c>
      <c r="T9" s="51">
        <f t="shared" si="0"/>
        <v>42446</v>
      </c>
      <c r="U9" s="51">
        <f t="shared" si="0"/>
        <v>42447</v>
      </c>
      <c r="V9" s="51">
        <f t="shared" si="0"/>
        <v>42448</v>
      </c>
      <c r="W9" s="51">
        <f t="shared" si="0"/>
        <v>42449</v>
      </c>
      <c r="X9" s="51">
        <f t="shared" si="0"/>
        <v>42450</v>
      </c>
      <c r="Y9" s="51">
        <f t="shared" si="0"/>
        <v>42451</v>
      </c>
      <c r="Z9" s="51">
        <f t="shared" si="0"/>
        <v>42452</v>
      </c>
      <c r="AA9" s="51">
        <f t="shared" si="0"/>
        <v>42453</v>
      </c>
      <c r="AB9" s="51">
        <f t="shared" si="0"/>
        <v>42454</v>
      </c>
      <c r="AC9" s="51">
        <f t="shared" si="0"/>
        <v>42455</v>
      </c>
      <c r="AD9" s="51">
        <f t="shared" si="0"/>
        <v>42456</v>
      </c>
      <c r="AE9" s="51">
        <f t="shared" si="0"/>
        <v>42457</v>
      </c>
      <c r="AF9" s="51">
        <f t="shared" si="0"/>
        <v>42458</v>
      </c>
      <c r="AG9" s="51">
        <f t="shared" si="0"/>
        <v>42459</v>
      </c>
      <c r="AH9" s="51">
        <f t="shared" si="0"/>
        <v>42460</v>
      </c>
      <c r="AI9" s="54">
        <f t="shared" ref="AI9:AK10" si="1">AI3</f>
        <v>19903</v>
      </c>
      <c r="AJ9" s="68">
        <f t="shared" si="1"/>
        <v>686.31034482758616</v>
      </c>
      <c r="AK9" s="57">
        <f t="shared" si="1"/>
        <v>19903</v>
      </c>
    </row>
    <row r="10" spans="1:16384" x14ac:dyDescent="0.25">
      <c r="B10" s="111" t="s">
        <v>19</v>
      </c>
      <c r="C10" s="113" t="s">
        <v>35</v>
      </c>
      <c r="D10" s="152">
        <v>11.217680681812055</v>
      </c>
      <c r="E10" s="152">
        <v>12.93969306717794</v>
      </c>
      <c r="F10" s="152">
        <v>12.792092005575151</v>
      </c>
      <c r="G10" s="53">
        <v>9.5448686503137665</v>
      </c>
      <c r="H10" s="53">
        <v>4.9200353867596736</v>
      </c>
      <c r="I10" s="53">
        <v>2.4108173395122403</v>
      </c>
      <c r="J10" s="53">
        <v>10.374848953068486</v>
      </c>
      <c r="K10" s="152">
        <v>9.8152097979237141</v>
      </c>
      <c r="L10" s="53">
        <v>11.321930600236563</v>
      </c>
      <c r="M10" s="53">
        <v>11.192783102895463</v>
      </c>
      <c r="N10" s="53">
        <v>8.3515381613912307</v>
      </c>
      <c r="O10" s="53">
        <v>4.3049165780367167</v>
      </c>
      <c r="P10" s="53">
        <v>2.1094091232379912</v>
      </c>
      <c r="Q10" s="53">
        <v>9.1658760349339445</v>
      </c>
      <c r="R10" s="152">
        <v>8.6714511865765118</v>
      </c>
      <c r="S10" s="53">
        <v>10.002595009077289</v>
      </c>
      <c r="T10" s="53">
        <v>9.8884969671486527</v>
      </c>
      <c r="U10" s="53">
        <v>7.3783400447186107</v>
      </c>
      <c r="V10" s="53">
        <v>3.8032680642879435</v>
      </c>
      <c r="W10" s="53">
        <v>1.8636013515010923</v>
      </c>
      <c r="X10" s="53">
        <v>9.1230922432305341</v>
      </c>
      <c r="Y10" s="152">
        <v>8.6309752342595925</v>
      </c>
      <c r="Z10" s="53">
        <v>9.9559056430275099</v>
      </c>
      <c r="AA10" s="53">
        <v>9.8423401794188319</v>
      </c>
      <c r="AB10" s="53">
        <v>7.3438999800278983</v>
      </c>
      <c r="AC10" s="53">
        <v>3.7855154536226281</v>
      </c>
      <c r="AD10" s="53">
        <v>1.8549025722750878</v>
      </c>
      <c r="AE10" s="53">
        <v>9.1230922432305341</v>
      </c>
      <c r="AF10" s="152">
        <v>8.6309752342595925</v>
      </c>
      <c r="AG10" s="43">
        <v>9.9559056430275099</v>
      </c>
      <c r="AH10" s="44">
        <v>9.8423401794188319</v>
      </c>
      <c r="AI10" s="115">
        <v>250.15839671198356</v>
      </c>
      <c r="AJ10" s="116">
        <f t="shared" si="1"/>
        <v>7.1379310344827589</v>
      </c>
      <c r="AK10" s="117">
        <f t="shared" si="1"/>
        <v>207</v>
      </c>
    </row>
    <row r="11" spans="1:16384" x14ac:dyDescent="0.25">
      <c r="B11" s="111" t="s">
        <v>20</v>
      </c>
      <c r="C11" s="113" t="s">
        <v>35</v>
      </c>
      <c r="D11" s="110">
        <v>609.1711955461559</v>
      </c>
      <c r="E11" s="110">
        <v>607.60365288144885</v>
      </c>
      <c r="F11" s="110">
        <v>563.59187806467389</v>
      </c>
      <c r="G11" s="110">
        <v>476.8344205833875</v>
      </c>
      <c r="H11" s="110">
        <v>147.52988078992908</v>
      </c>
      <c r="I11" s="110">
        <v>56.069795314521464</v>
      </c>
      <c r="J11" s="110">
        <v>609.17119554615579</v>
      </c>
      <c r="K11" s="110">
        <v>536.76338709325535</v>
      </c>
      <c r="L11" s="110">
        <v>535.38216697603207</v>
      </c>
      <c r="M11" s="110">
        <v>496.60175599245355</v>
      </c>
      <c r="N11" s="110">
        <v>420.15653488920793</v>
      </c>
      <c r="O11" s="110">
        <v>129.99406257098136</v>
      </c>
      <c r="P11" s="110">
        <v>49.405181116065656</v>
      </c>
      <c r="Q11" s="110">
        <v>563.59187806467378</v>
      </c>
      <c r="R11" s="110">
        <v>496.60175599245355</v>
      </c>
      <c r="S11" s="110">
        <v>495.32388132343101</v>
      </c>
      <c r="T11" s="110">
        <v>459.44509253933649</v>
      </c>
      <c r="U11" s="110">
        <v>388.71964451151183</v>
      </c>
      <c r="V11" s="110">
        <v>120.26766596531411</v>
      </c>
      <c r="W11" s="110">
        <v>45.708593930421785</v>
      </c>
      <c r="X11" s="110">
        <v>563.59187806467378</v>
      </c>
      <c r="Y11" s="110">
        <v>496.60175599245355</v>
      </c>
      <c r="Z11" s="110">
        <v>495.32388132343101</v>
      </c>
      <c r="AA11" s="110">
        <v>459.44509253933649</v>
      </c>
      <c r="AB11" s="110">
        <v>388.71964451151183</v>
      </c>
      <c r="AC11" s="110">
        <v>120.26766596531411</v>
      </c>
      <c r="AD11" s="110">
        <v>45.708593930421785</v>
      </c>
      <c r="AE11" s="110">
        <v>476.83442058338744</v>
      </c>
      <c r="AF11" s="110">
        <v>420.15653488920793</v>
      </c>
      <c r="AG11" s="43">
        <v>419.07537199262049</v>
      </c>
      <c r="AH11" s="44">
        <v>388.71964451151183</v>
      </c>
      <c r="AI11" s="115">
        <v>12082.378103995277</v>
      </c>
      <c r="AJ11" s="116">
        <f t="shared" ref="AJ11:AK12" si="2">AJ5</f>
        <v>420.10344827586209</v>
      </c>
      <c r="AK11" s="117">
        <f t="shared" si="2"/>
        <v>12183</v>
      </c>
    </row>
    <row r="12" spans="1:16384" ht="15.75" thickBot="1" x14ac:dyDescent="0.3">
      <c r="B12" s="112" t="s">
        <v>21</v>
      </c>
      <c r="C12" s="114" t="s">
        <v>35</v>
      </c>
      <c r="D12" s="121">
        <v>407.30605968415819</v>
      </c>
      <c r="E12" s="121">
        <v>390.79192858550493</v>
      </c>
      <c r="F12" s="121">
        <v>370.83469679446841</v>
      </c>
      <c r="G12" s="121">
        <v>302.80157755793164</v>
      </c>
      <c r="H12" s="121">
        <v>112.66590598965367</v>
      </c>
      <c r="I12" s="121">
        <v>51.391465890017457</v>
      </c>
      <c r="J12" s="121">
        <v>407.30605968415824</v>
      </c>
      <c r="K12" s="121">
        <v>357.64551330067394</v>
      </c>
      <c r="L12" s="121">
        <v>343.14485770504547</v>
      </c>
      <c r="M12" s="121">
        <v>325.62089939835937</v>
      </c>
      <c r="N12" s="121">
        <v>265.88267731134948</v>
      </c>
      <c r="O12" s="121">
        <v>98.929183156275968</v>
      </c>
      <c r="P12" s="121">
        <v>45.125592316897809</v>
      </c>
      <c r="Q12" s="121">
        <v>390.79192858550493</v>
      </c>
      <c r="R12" s="121">
        <v>343.14485770504547</v>
      </c>
      <c r="S12" s="121">
        <v>329.23212787636561</v>
      </c>
      <c r="T12" s="121">
        <v>312.41867445406143</v>
      </c>
      <c r="U12" s="121">
        <v>255.10252492818736</v>
      </c>
      <c r="V12" s="121">
        <v>94.918122035819565</v>
      </c>
      <c r="W12" s="121">
        <v>43.295985490022957</v>
      </c>
      <c r="X12" s="121">
        <v>370.83469679446847</v>
      </c>
      <c r="Y12" s="121">
        <v>325.62089939835937</v>
      </c>
      <c r="Z12" s="121">
        <v>312.41867445406149</v>
      </c>
      <c r="AA12" s="121">
        <v>296.46386206963967</v>
      </c>
      <c r="AB12" s="121">
        <v>242.07477320645097</v>
      </c>
      <c r="AC12" s="121">
        <v>90.070777901831732</v>
      </c>
      <c r="AD12" s="121">
        <v>41.084916235923245</v>
      </c>
      <c r="AE12" s="121">
        <v>302.80157755793169</v>
      </c>
      <c r="AF12" s="121">
        <v>265.88267731134948</v>
      </c>
      <c r="AG12" s="45">
        <v>255.10252492818739</v>
      </c>
      <c r="AH12" s="46">
        <v>242.07477320645097</v>
      </c>
      <c r="AI12" s="118">
        <v>7992.7807915141566</v>
      </c>
      <c r="AJ12" s="119">
        <f t="shared" si="2"/>
        <v>259.06896551724139</v>
      </c>
      <c r="AK12" s="120">
        <f t="shared" si="2"/>
        <v>7513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8"/>
      <c r="AK13" s="26"/>
    </row>
    <row r="14" spans="1:16384" s="153" customFormat="1" ht="15.75" x14ac:dyDescent="0.25">
      <c r="A14" s="10"/>
      <c r="B14" s="196" t="s">
        <v>36</v>
      </c>
      <c r="C14" s="197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26" t="s">
        <v>7</v>
      </c>
      <c r="AJ14" s="127" t="s">
        <v>17</v>
      </c>
      <c r="AK14" s="66" t="s">
        <v>18</v>
      </c>
    </row>
    <row r="15" spans="1:16384" s="153" customFormat="1" x14ac:dyDescent="0.25">
      <c r="A15" s="10"/>
      <c r="B15" s="198" t="s">
        <v>27</v>
      </c>
      <c r="C15" s="199"/>
      <c r="D15" s="51">
        <f>D9</f>
        <v>42430</v>
      </c>
      <c r="E15" s="51">
        <f>E9</f>
        <v>42431</v>
      </c>
      <c r="F15" s="51">
        <f t="shared" ref="F15:AK15" si="3">F9</f>
        <v>42432</v>
      </c>
      <c r="G15" s="51">
        <f t="shared" si="3"/>
        <v>42433</v>
      </c>
      <c r="H15" s="51">
        <f t="shared" si="3"/>
        <v>42434</v>
      </c>
      <c r="I15" s="51">
        <f t="shared" si="3"/>
        <v>42435</v>
      </c>
      <c r="J15" s="51">
        <f t="shared" si="3"/>
        <v>42436</v>
      </c>
      <c r="K15" s="51">
        <f t="shared" si="3"/>
        <v>42437</v>
      </c>
      <c r="L15" s="51">
        <f t="shared" si="3"/>
        <v>42438</v>
      </c>
      <c r="M15" s="51">
        <f t="shared" si="3"/>
        <v>42439</v>
      </c>
      <c r="N15" s="51">
        <f t="shared" si="3"/>
        <v>42440</v>
      </c>
      <c r="O15" s="51">
        <f t="shared" si="3"/>
        <v>42441</v>
      </c>
      <c r="P15" s="51">
        <f t="shared" si="3"/>
        <v>42442</v>
      </c>
      <c r="Q15" s="51">
        <f t="shared" si="3"/>
        <v>42443</v>
      </c>
      <c r="R15" s="51">
        <f t="shared" si="3"/>
        <v>42444</v>
      </c>
      <c r="S15" s="51">
        <f t="shared" si="3"/>
        <v>42445</v>
      </c>
      <c r="T15" s="51">
        <f t="shared" si="3"/>
        <v>42446</v>
      </c>
      <c r="U15" s="51">
        <f t="shared" si="3"/>
        <v>42447</v>
      </c>
      <c r="V15" s="51">
        <f t="shared" si="3"/>
        <v>42448</v>
      </c>
      <c r="W15" s="51">
        <f t="shared" si="3"/>
        <v>42449</v>
      </c>
      <c r="X15" s="51">
        <f t="shared" si="3"/>
        <v>42450</v>
      </c>
      <c r="Y15" s="51">
        <f t="shared" si="3"/>
        <v>42451</v>
      </c>
      <c r="Z15" s="51">
        <f t="shared" si="3"/>
        <v>42452</v>
      </c>
      <c r="AA15" s="51">
        <f t="shared" si="3"/>
        <v>42453</v>
      </c>
      <c r="AB15" s="51">
        <f t="shared" si="3"/>
        <v>42454</v>
      </c>
      <c r="AC15" s="51">
        <f t="shared" si="3"/>
        <v>42455</v>
      </c>
      <c r="AD15" s="51">
        <f t="shared" si="3"/>
        <v>42456</v>
      </c>
      <c r="AE15" s="51">
        <f t="shared" si="3"/>
        <v>42457</v>
      </c>
      <c r="AF15" s="51">
        <f t="shared" si="3"/>
        <v>42458</v>
      </c>
      <c r="AG15" s="51">
        <f t="shared" si="3"/>
        <v>42459</v>
      </c>
      <c r="AH15" s="51">
        <f t="shared" si="3"/>
        <v>42460</v>
      </c>
      <c r="AI15" s="54">
        <f t="shared" si="3"/>
        <v>19903</v>
      </c>
      <c r="AJ15" s="68">
        <f t="shared" si="3"/>
        <v>686.31034482758616</v>
      </c>
      <c r="AK15" s="57">
        <f t="shared" si="3"/>
        <v>19903</v>
      </c>
    </row>
    <row r="16" spans="1:16384" s="153" customFormat="1" x14ac:dyDescent="0.25">
      <c r="A16" s="10"/>
      <c r="B16" s="154" t="s">
        <v>19</v>
      </c>
      <c r="C16" s="155" t="s">
        <v>35</v>
      </c>
      <c r="D16" s="152">
        <v>11.217680681812055</v>
      </c>
      <c r="E16" s="152">
        <v>12.93969306717794</v>
      </c>
      <c r="F16" s="152">
        <v>12.792092005575151</v>
      </c>
      <c r="G16" s="53">
        <v>9.5448686503137665</v>
      </c>
      <c r="H16" s="53">
        <v>4.9200353867596736</v>
      </c>
      <c r="I16" s="53">
        <v>2.4108173395122403</v>
      </c>
      <c r="J16" s="53">
        <v>10.374848953068486</v>
      </c>
      <c r="K16" s="152">
        <v>9.8152097979237141</v>
      </c>
      <c r="L16" s="53">
        <v>11.321930600236563</v>
      </c>
      <c r="M16" s="53">
        <v>11.192783102895463</v>
      </c>
      <c r="N16" s="53">
        <v>8.3515381613912307</v>
      </c>
      <c r="O16" s="53">
        <v>4.3049165780367167</v>
      </c>
      <c r="P16" s="53">
        <v>2.1094091232379912</v>
      </c>
      <c r="Q16" s="53">
        <v>9.1658760349339445</v>
      </c>
      <c r="R16" s="152">
        <v>8.6714511865765118</v>
      </c>
      <c r="S16" s="53">
        <v>10.002595009077289</v>
      </c>
      <c r="T16" s="53">
        <v>9.8884969671486527</v>
      </c>
      <c r="U16" s="53">
        <v>7.3783400447186107</v>
      </c>
      <c r="V16" s="53">
        <v>3.8032680642879435</v>
      </c>
      <c r="W16" s="53">
        <v>1.8636013515010923</v>
      </c>
      <c r="X16" s="53">
        <v>9.1230922432305341</v>
      </c>
      <c r="Y16" s="152">
        <v>8.6309752342595925</v>
      </c>
      <c r="Z16" s="53">
        <v>9.9559056430275099</v>
      </c>
      <c r="AA16" s="53">
        <v>9.8423401794188319</v>
      </c>
      <c r="AB16" s="53">
        <v>7.3438999800278983</v>
      </c>
      <c r="AC16" s="53">
        <v>3.7855154536226281</v>
      </c>
      <c r="AD16" s="53">
        <v>1.8549025722750878</v>
      </c>
      <c r="AE16" s="53">
        <v>9.1230922432305341</v>
      </c>
      <c r="AF16" s="152">
        <v>8.6309752342595925</v>
      </c>
      <c r="AG16" s="43">
        <v>9.9559056430275099</v>
      </c>
      <c r="AH16" s="44">
        <v>9.8423401794188319</v>
      </c>
      <c r="AI16" s="115">
        <v>250.15839671198356</v>
      </c>
      <c r="AJ16" s="116">
        <f t="shared" ref="AJ16:AK16" si="4">AJ10</f>
        <v>7.1379310344827589</v>
      </c>
      <c r="AK16" s="117">
        <f t="shared" si="4"/>
        <v>207</v>
      </c>
    </row>
    <row r="17" spans="1:38" s="153" customFormat="1" x14ac:dyDescent="0.25">
      <c r="A17" s="10"/>
      <c r="B17" s="154" t="s">
        <v>20</v>
      </c>
      <c r="C17" s="155" t="s">
        <v>35</v>
      </c>
      <c r="D17" s="110">
        <v>609.1711955461559</v>
      </c>
      <c r="E17" s="110">
        <v>607.60365288144885</v>
      </c>
      <c r="F17" s="110">
        <v>563.59187806467389</v>
      </c>
      <c r="G17" s="110">
        <v>476.8344205833875</v>
      </c>
      <c r="H17" s="110">
        <v>147.52988078992908</v>
      </c>
      <c r="I17" s="110">
        <v>56.069795314521464</v>
      </c>
      <c r="J17" s="110">
        <v>609.17119554615579</v>
      </c>
      <c r="K17" s="110">
        <v>536.76338709325535</v>
      </c>
      <c r="L17" s="110">
        <v>535.38216697603207</v>
      </c>
      <c r="M17" s="110">
        <v>496.60175599245355</v>
      </c>
      <c r="N17" s="110">
        <v>420.15653488920793</v>
      </c>
      <c r="O17" s="110">
        <v>129.99406257098136</v>
      </c>
      <c r="P17" s="110">
        <v>49.405181116065656</v>
      </c>
      <c r="Q17" s="110">
        <v>563.59187806467378</v>
      </c>
      <c r="R17" s="110">
        <v>496.60175599245355</v>
      </c>
      <c r="S17" s="110">
        <v>495.32388132343101</v>
      </c>
      <c r="T17" s="110">
        <v>459.44509253933649</v>
      </c>
      <c r="U17" s="110">
        <v>388.71964451151183</v>
      </c>
      <c r="V17" s="110">
        <v>120.26766596531411</v>
      </c>
      <c r="W17" s="110">
        <v>45.708593930421785</v>
      </c>
      <c r="X17" s="110">
        <v>563.59187806467378</v>
      </c>
      <c r="Y17" s="110">
        <v>496.60175599245355</v>
      </c>
      <c r="Z17" s="110">
        <v>495.32388132343101</v>
      </c>
      <c r="AA17" s="110">
        <v>459.44509253933649</v>
      </c>
      <c r="AB17" s="110">
        <v>388.71964451151183</v>
      </c>
      <c r="AC17" s="110">
        <v>120.26766596531411</v>
      </c>
      <c r="AD17" s="110">
        <v>45.708593930421785</v>
      </c>
      <c r="AE17" s="110">
        <v>476.83442058338744</v>
      </c>
      <c r="AF17" s="110">
        <v>420.15653488920793</v>
      </c>
      <c r="AG17" s="43">
        <v>419.07537199262049</v>
      </c>
      <c r="AH17" s="44">
        <v>388.71964451151183</v>
      </c>
      <c r="AI17" s="115">
        <v>12082.378103995277</v>
      </c>
      <c r="AJ17" s="116">
        <f t="shared" ref="AJ17:AK17" si="5">AJ11</f>
        <v>420.10344827586209</v>
      </c>
      <c r="AK17" s="117">
        <f t="shared" si="5"/>
        <v>12183</v>
      </c>
    </row>
    <row r="18" spans="1:38" s="153" customFormat="1" ht="15.75" thickBot="1" x14ac:dyDescent="0.3">
      <c r="A18" s="10"/>
      <c r="B18" s="156" t="s">
        <v>21</v>
      </c>
      <c r="C18" s="157" t="s">
        <v>35</v>
      </c>
      <c r="D18" s="121">
        <v>407.30605968415819</v>
      </c>
      <c r="E18" s="121">
        <v>390.79192858550493</v>
      </c>
      <c r="F18" s="121">
        <v>370.83469679446841</v>
      </c>
      <c r="G18" s="121">
        <v>302.80157755793164</v>
      </c>
      <c r="H18" s="121">
        <v>112.66590598965367</v>
      </c>
      <c r="I18" s="121">
        <v>51.391465890017457</v>
      </c>
      <c r="J18" s="121">
        <v>407.30605968415824</v>
      </c>
      <c r="K18" s="121">
        <v>357.64551330067394</v>
      </c>
      <c r="L18" s="121">
        <v>343.14485770504547</v>
      </c>
      <c r="M18" s="121">
        <v>325.62089939835937</v>
      </c>
      <c r="N18" s="121">
        <v>265.88267731134948</v>
      </c>
      <c r="O18" s="121">
        <v>98.929183156275968</v>
      </c>
      <c r="P18" s="121">
        <v>45.125592316897809</v>
      </c>
      <c r="Q18" s="121">
        <v>390.79192858550493</v>
      </c>
      <c r="R18" s="121">
        <v>343.14485770504547</v>
      </c>
      <c r="S18" s="121">
        <v>329.23212787636561</v>
      </c>
      <c r="T18" s="121">
        <v>312.41867445406143</v>
      </c>
      <c r="U18" s="121">
        <v>255.10252492818736</v>
      </c>
      <c r="V18" s="121">
        <v>94.918122035819565</v>
      </c>
      <c r="W18" s="121">
        <v>43.295985490022957</v>
      </c>
      <c r="X18" s="121">
        <v>370.83469679446847</v>
      </c>
      <c r="Y18" s="121">
        <v>325.62089939835937</v>
      </c>
      <c r="Z18" s="121">
        <v>312.41867445406149</v>
      </c>
      <c r="AA18" s="121">
        <v>296.46386206963967</v>
      </c>
      <c r="AB18" s="121">
        <v>242.07477320645097</v>
      </c>
      <c r="AC18" s="121">
        <v>90.070777901831732</v>
      </c>
      <c r="AD18" s="121">
        <v>41.084916235923245</v>
      </c>
      <c r="AE18" s="121">
        <v>302.80157755793169</v>
      </c>
      <c r="AF18" s="121">
        <v>265.88267731134948</v>
      </c>
      <c r="AG18" s="45">
        <v>255.10252492818739</v>
      </c>
      <c r="AH18" s="46">
        <v>242.07477320645097</v>
      </c>
      <c r="AI18" s="118">
        <v>7992.7807915141566</v>
      </c>
      <c r="AJ18" s="119">
        <f t="shared" ref="AJ18:AK18" si="6">AJ12</f>
        <v>259.06896551724139</v>
      </c>
      <c r="AK18" s="120">
        <f t="shared" si="6"/>
        <v>7513</v>
      </c>
    </row>
    <row r="19" spans="1:38" ht="17.25" thickBot="1" x14ac:dyDescent="0.3">
      <c r="B19" s="153"/>
      <c r="C19" s="158"/>
      <c r="D19" s="31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158"/>
      <c r="AC19" s="158"/>
      <c r="AD19" s="158"/>
      <c r="AE19" s="158"/>
      <c r="AF19" s="30"/>
      <c r="AG19" s="30"/>
      <c r="AH19" s="158"/>
      <c r="AI19" s="76"/>
      <c r="AJ19" s="43"/>
      <c r="AK19" s="76"/>
    </row>
    <row r="20" spans="1:38" ht="26.25" x14ac:dyDescent="0.25">
      <c r="B20" s="129" t="s">
        <v>36</v>
      </c>
      <c r="C20" s="130" t="s">
        <v>34</v>
      </c>
      <c r="D20" s="131" t="s">
        <v>18</v>
      </c>
      <c r="E20" s="132" t="s">
        <v>23</v>
      </c>
      <c r="F20" s="133" t="s">
        <v>24</v>
      </c>
      <c r="G20" s="134" t="s">
        <v>25</v>
      </c>
      <c r="H20" s="153"/>
      <c r="I20" s="32"/>
      <c r="J20" s="179" t="s">
        <v>30</v>
      </c>
      <c r="K20" s="180"/>
      <c r="L20" s="170" t="s">
        <v>32</v>
      </c>
      <c r="M20" s="170"/>
      <c r="N20" s="184" t="s">
        <v>32</v>
      </c>
      <c r="O20" s="185"/>
      <c r="P20" s="158"/>
      <c r="Q20" s="158"/>
      <c r="R20" s="158"/>
      <c r="S20" s="153"/>
      <c r="T20" s="158"/>
      <c r="U20" s="158"/>
      <c r="V20" s="158"/>
      <c r="W20" s="158"/>
      <c r="X20" s="158"/>
      <c r="Y20" s="158"/>
      <c r="Z20" s="158"/>
      <c r="AA20" s="158"/>
      <c r="AB20" s="158"/>
      <c r="AC20" s="158"/>
      <c r="AD20" s="158"/>
      <c r="AE20" s="158"/>
      <c r="AF20" s="158"/>
      <c r="AG20" s="158"/>
      <c r="AH20" s="158"/>
      <c r="AI20" s="158"/>
      <c r="AJ20" s="34"/>
      <c r="AK20" s="53"/>
      <c r="AL20" s="34"/>
    </row>
    <row r="21" spans="1:38" ht="26.25" x14ac:dyDescent="0.25">
      <c r="B21" s="135" t="s">
        <v>7</v>
      </c>
      <c r="C21" s="136">
        <f>Indicadores!AH27</f>
        <v>1433</v>
      </c>
      <c r="D21" s="137">
        <f>Indicadores!AJ27</f>
        <v>44423</v>
      </c>
      <c r="E21" s="138">
        <f>AVERAGE(Indicadores!AJ9,Indicadores!AJ15,Indicadores!AJ21)-5%</f>
        <v>20312.283333333333</v>
      </c>
      <c r="F21" s="139">
        <f>(D21/E21)-1</f>
        <v>1.1870017895575504</v>
      </c>
      <c r="G21" s="140">
        <f>D21</f>
        <v>44423</v>
      </c>
      <c r="H21" s="153"/>
      <c r="I21" s="32"/>
      <c r="J21" s="164">
        <v>7.22</v>
      </c>
      <c r="K21" s="165"/>
      <c r="L21" s="171">
        <v>207</v>
      </c>
      <c r="M21" s="171"/>
      <c r="N21" s="186">
        <v>15639</v>
      </c>
      <c r="O21" s="187"/>
      <c r="P21" s="158"/>
      <c r="Q21" s="158"/>
      <c r="R21" s="158"/>
      <c r="S21" s="153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34"/>
      <c r="AK21" s="53"/>
      <c r="AL21" s="34"/>
    </row>
    <row r="22" spans="1:38" ht="26.25" x14ac:dyDescent="0.25">
      <c r="B22" s="141" t="s">
        <v>19</v>
      </c>
      <c r="C22" s="142">
        <f>Indicadores!AH28</f>
        <v>7</v>
      </c>
      <c r="D22" s="143">
        <f>Indicadores!AJ28</f>
        <v>217</v>
      </c>
      <c r="E22" s="138">
        <v>250</v>
      </c>
      <c r="F22" s="144">
        <f>(D22/E22)-1</f>
        <v>-0.13200000000000001</v>
      </c>
      <c r="G22" s="140">
        <f>D22</f>
        <v>217</v>
      </c>
      <c r="H22" s="153"/>
      <c r="I22" s="32"/>
      <c r="J22" s="181" t="s">
        <v>13</v>
      </c>
      <c r="K22" s="182"/>
      <c r="L22" s="172" t="s">
        <v>13</v>
      </c>
      <c r="M22" s="172"/>
      <c r="N22" s="188" t="s">
        <v>15</v>
      </c>
      <c r="O22" s="189"/>
      <c r="P22" s="158"/>
      <c r="Q22" s="158"/>
      <c r="R22" s="158"/>
      <c r="S22" s="153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34"/>
      <c r="AK22" s="53"/>
      <c r="AL22" s="34"/>
    </row>
    <row r="23" spans="1:38" ht="26.25" x14ac:dyDescent="0.25">
      <c r="B23" s="141" t="s">
        <v>20</v>
      </c>
      <c r="C23" s="142">
        <f>Indicadores!AH29</f>
        <v>871</v>
      </c>
      <c r="D23" s="143">
        <f>Indicadores!AJ29</f>
        <v>27001</v>
      </c>
      <c r="E23" s="138">
        <f>AVERAGE(Indicadores!AJ11,Indicadores!AJ17,Indicadores!AJ23)-5%</f>
        <v>12082.616666666667</v>
      </c>
      <c r="F23" s="144">
        <f>(D23/E23)-1</f>
        <v>1.2346980579537821</v>
      </c>
      <c r="G23" s="140">
        <f>D23</f>
        <v>27001</v>
      </c>
      <c r="H23" s="151"/>
      <c r="I23" s="32"/>
      <c r="J23" s="162" t="s">
        <v>31</v>
      </c>
      <c r="K23" s="163"/>
      <c r="L23" s="173" t="s">
        <v>33</v>
      </c>
      <c r="M23" s="173"/>
      <c r="N23" s="190" t="s">
        <v>33</v>
      </c>
      <c r="O23" s="191"/>
      <c r="AI23" s="29"/>
      <c r="AJ23" s="34"/>
      <c r="AK23" s="53"/>
      <c r="AL23" s="34"/>
    </row>
    <row r="24" spans="1:38" ht="27" thickBot="1" x14ac:dyDescent="0.3">
      <c r="B24" s="145" t="s">
        <v>21</v>
      </c>
      <c r="C24" s="146">
        <f>Indicadores!AH30</f>
        <v>555</v>
      </c>
      <c r="D24" s="147">
        <f>Indicadores!AJ30</f>
        <v>17205</v>
      </c>
      <c r="E24" s="148">
        <f>AVERAGE(Indicadores!AJ12,Indicadores!AJ18,Indicadores!AJ24)-5%</f>
        <v>7992.6166666666668</v>
      </c>
      <c r="F24" s="149">
        <f>(D24/E24)-1</f>
        <v>1.1526116811974383</v>
      </c>
      <c r="G24" s="150">
        <f>D24</f>
        <v>17205</v>
      </c>
      <c r="H24" s="151"/>
      <c r="I24" s="32"/>
      <c r="J24" s="164">
        <v>6.77</v>
      </c>
      <c r="K24" s="165"/>
      <c r="L24" s="171">
        <v>210</v>
      </c>
      <c r="M24" s="171"/>
      <c r="N24" s="186">
        <v>21648</v>
      </c>
      <c r="O24" s="187"/>
      <c r="AI24" s="29"/>
      <c r="AJ24" s="34"/>
      <c r="AK24" s="53"/>
      <c r="AL24" s="34"/>
    </row>
    <row r="25" spans="1:38" ht="26.25" x14ac:dyDescent="0.25">
      <c r="H25" s="151"/>
      <c r="I25" s="32"/>
      <c r="J25" s="166" t="s">
        <v>26</v>
      </c>
      <c r="K25" s="167"/>
      <c r="L25" s="174" t="str">
        <f>J25</f>
        <v>Redução</v>
      </c>
      <c r="M25" s="174"/>
      <c r="N25" s="192" t="str">
        <f>L25</f>
        <v>Redução</v>
      </c>
      <c r="O25" s="193"/>
      <c r="AI25" s="29"/>
      <c r="AJ25" s="34"/>
      <c r="AK25" s="53"/>
      <c r="AL25" s="34"/>
    </row>
    <row r="26" spans="1:38" ht="27" thickBot="1" x14ac:dyDescent="0.3">
      <c r="G26" s="12"/>
      <c r="I26" s="33"/>
      <c r="J26" s="168">
        <f>(J21/J24)-1</f>
        <v>6.6469719350073841E-2</v>
      </c>
      <c r="K26" s="169"/>
      <c r="L26" s="183">
        <f>(L21/L24)-1</f>
        <v>-1.4285714285714235E-2</v>
      </c>
      <c r="M26" s="183"/>
      <c r="N26" s="194">
        <f>(N21/N24)-1</f>
        <v>-0.27757760532150777</v>
      </c>
      <c r="O26" s="195"/>
      <c r="AI26" s="29"/>
      <c r="AJ26" s="34"/>
      <c r="AK26" s="53"/>
      <c r="AL26" s="34"/>
    </row>
    <row r="27" spans="1:38" x14ac:dyDescent="0.25">
      <c r="G27" s="12"/>
      <c r="AI27" s="29"/>
      <c r="AJ27" s="34"/>
      <c r="AK27" s="53"/>
      <c r="AL27" s="34"/>
    </row>
    <row r="28" spans="1:38" x14ac:dyDescent="0.25">
      <c r="G28" s="12"/>
      <c r="AI28" s="29"/>
      <c r="AJ28" s="34"/>
      <c r="AK28" s="53"/>
      <c r="AL28" s="34"/>
    </row>
    <row r="29" spans="1:38" x14ac:dyDescent="0.25">
      <c r="G29" s="12"/>
      <c r="AI29" s="29"/>
      <c r="AJ29" s="34"/>
      <c r="AK29" s="53"/>
      <c r="AL29" s="34"/>
    </row>
    <row r="30" spans="1:38" x14ac:dyDescent="0.25">
      <c r="AI30" s="29"/>
      <c r="AJ30" s="34"/>
      <c r="AK30" s="53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J23:K23"/>
    <mergeCell ref="J24:K24"/>
    <mergeCell ref="J25:K25"/>
    <mergeCell ref="J26:K26"/>
    <mergeCell ref="L20:M20"/>
    <mergeCell ref="L21:M21"/>
    <mergeCell ref="L22:M22"/>
    <mergeCell ref="L23:M23"/>
    <mergeCell ref="L24:M24"/>
    <mergeCell ref="L25:M25"/>
    <mergeCell ref="L26:M26"/>
  </mergeCells>
  <conditionalFormatting sqref="G22">
    <cfRule type="iconSet" priority="23">
      <iconSet showValue="0">
        <cfvo type="percent" val="0"/>
        <cfvo type="num" val="294"/>
        <cfvo type="num" val="294" gte="0"/>
      </iconSet>
    </cfRule>
  </conditionalFormatting>
  <conditionalFormatting sqref="G21">
    <cfRule type="iconSet" priority="20">
      <iconSet showValue="0">
        <cfvo type="percent" val="0"/>
        <cfvo type="num" val="294"/>
        <cfvo type="num" val="294" gte="0"/>
      </iconSet>
    </cfRule>
  </conditionalFormatting>
  <conditionalFormatting sqref="G23">
    <cfRule type="iconSet" priority="19">
      <iconSet showValue="0">
        <cfvo type="percent" val="0"/>
        <cfvo type="num" val="294"/>
        <cfvo type="num" val="294" gte="0"/>
      </iconSet>
    </cfRule>
  </conditionalFormatting>
  <conditionalFormatting sqref="G24">
    <cfRule type="iconSet" priority="18">
      <iconSet showValue="0">
        <cfvo type="percent" val="0"/>
        <cfvo type="num" val="294"/>
        <cfvo type="num" val="294" gte="0"/>
      </iconSet>
    </cfRule>
  </conditionalFormatting>
  <conditionalFormatting sqref="G21:G24">
    <cfRule type="iconSet" priority="17">
      <iconSet>
        <cfvo type="percent" val="0"/>
        <cfvo type="percent" val="33"/>
        <cfvo type="percent" val="67"/>
      </iconSet>
    </cfRule>
  </conditionalFormatting>
  <conditionalFormatting sqref="G26">
    <cfRule type="iconSet" priority="9">
      <iconSet>
        <cfvo type="percent" val="0"/>
        <cfvo type="percent" val="33"/>
        <cfvo type="percent" val="67"/>
      </iconSet>
    </cfRule>
  </conditionalFormatting>
  <conditionalFormatting sqref="G27">
    <cfRule type="iconSet" priority="8">
      <iconSet>
        <cfvo type="percent" val="0"/>
        <cfvo type="percent" val="33"/>
        <cfvo type="percent" val="67"/>
      </iconSet>
    </cfRule>
  </conditionalFormatting>
  <conditionalFormatting sqref="G28">
    <cfRule type="iconSet" priority="7">
      <iconSet>
        <cfvo type="percent" val="0"/>
        <cfvo type="percent" val="33"/>
        <cfvo type="percent" val="67"/>
      </iconSet>
    </cfRule>
  </conditionalFormatting>
  <conditionalFormatting sqref="G29">
    <cfRule type="iconSet" priority="6">
      <iconSet>
        <cfvo type="percent" val="0"/>
        <cfvo type="percent" val="33"/>
        <cfvo type="percent" val="67"/>
      </iconSet>
    </cfRule>
  </conditionalFormatting>
  <conditionalFormatting sqref="G22">
    <cfRule type="iconSet" priority="5">
      <iconSet showValue="0">
        <cfvo type="percent" val="0"/>
        <cfvo type="num" val="294"/>
        <cfvo type="num" val="294" gte="0"/>
      </iconSet>
    </cfRule>
  </conditionalFormatting>
  <conditionalFormatting sqref="G23">
    <cfRule type="iconSet" priority="4">
      <iconSet showValue="0">
        <cfvo type="percent" val="0"/>
        <cfvo type="num" val="294"/>
        <cfvo type="num" val="294" gte="0"/>
      </iconSet>
    </cfRule>
  </conditionalFormatting>
  <conditionalFormatting sqref="G24">
    <cfRule type="iconSet" priority="3">
      <iconSet showValue="0">
        <cfvo type="percent" val="0"/>
        <cfvo type="num" val="294"/>
        <cfvo type="num" val="294" gte="0"/>
      </iconSet>
    </cfRule>
  </conditionalFormatting>
  <conditionalFormatting sqref="G21">
    <cfRule type="iconSet" priority="2">
      <iconSet showValue="0">
        <cfvo type="percent" val="0"/>
        <cfvo type="num" val="294"/>
        <cfvo type="num" val="294" gte="0"/>
      </iconSet>
    </cfRule>
  </conditionalFormatting>
  <conditionalFormatting sqref="G21">
    <cfRule type="iconSet" priority="1">
      <iconSet showValue="0">
        <cfvo type="percent" val="0"/>
        <cfvo type="num" val="294"/>
        <cfvo type="num" val="294" gte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Normal="10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107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28" t="str">
        <f>'Dados - Gráficos'!B20</f>
        <v>Mar - 31 dias</v>
      </c>
      <c r="C5" s="79" t="str">
        <f>'Dados - Gráficos'!C20</f>
        <v>Real</v>
      </c>
      <c r="D5" s="13" t="str">
        <f>'Dados - Gráficos'!D20</f>
        <v>Projeção</v>
      </c>
      <c r="E5" s="94" t="str">
        <f>'Dados - Gráficos'!E20</f>
        <v>Meta</v>
      </c>
      <c r="F5" s="95" t="str">
        <f>'Dados - Gráficos'!F20</f>
        <v>Desvio</v>
      </c>
      <c r="G5" s="96" t="str">
        <f>'Dados - Gráficos'!G20</f>
        <v>Farol</v>
      </c>
      <c r="H5" s="32"/>
      <c r="I5" s="81" t="s">
        <v>11</v>
      </c>
      <c r="J5" s="84" t="s">
        <v>14</v>
      </c>
      <c r="K5" s="89" t="s">
        <v>28</v>
      </c>
    </row>
    <row r="6" spans="2:11" x14ac:dyDescent="0.25">
      <c r="B6" s="14" t="str">
        <f>'Dados - Gráficos'!B21</f>
        <v>Total</v>
      </c>
      <c r="C6" s="80">
        <f>'Dados - Gráficos'!C21</f>
        <v>1433</v>
      </c>
      <c r="D6" s="7">
        <f>'Dados - Gráficos'!D21</f>
        <v>44423</v>
      </c>
      <c r="E6" s="97">
        <f>'Dados - Gráficos'!E21</f>
        <v>20312.283333333333</v>
      </c>
      <c r="F6" s="98">
        <f>'Dados - Gráficos'!F21</f>
        <v>1.1870017895575504</v>
      </c>
      <c r="G6" s="99">
        <f>'Dados - Gráficos'!G21</f>
        <v>44423</v>
      </c>
      <c r="H6" s="32"/>
      <c r="I6" s="19">
        <f>K9</f>
        <v>415</v>
      </c>
      <c r="J6" s="85">
        <f>Indicadores!AH10</f>
        <v>294</v>
      </c>
      <c r="K6" s="90">
        <f>E7</f>
        <v>250</v>
      </c>
    </row>
    <row r="7" spans="2:11" x14ac:dyDescent="0.25">
      <c r="B7" s="15" t="str">
        <f>'Dados - Gráficos'!B22</f>
        <v>Alto</v>
      </c>
      <c r="C7" s="108">
        <f>'Dados - Gráficos'!C22</f>
        <v>7</v>
      </c>
      <c r="D7" s="8">
        <f>'Dados - Gráficos'!D22</f>
        <v>217</v>
      </c>
      <c r="E7" s="97">
        <f>'Dados - Gráficos'!E22</f>
        <v>250</v>
      </c>
      <c r="F7" s="100">
        <f>'Dados - Gráficos'!F22</f>
        <v>-0.13200000000000001</v>
      </c>
      <c r="G7" s="99">
        <f>'Dados - Gráficos'!G22</f>
        <v>217</v>
      </c>
      <c r="H7" s="32"/>
      <c r="I7" s="82" t="s">
        <v>13</v>
      </c>
      <c r="J7" s="86" t="s">
        <v>13</v>
      </c>
      <c r="K7" s="91" t="s">
        <v>15</v>
      </c>
    </row>
    <row r="8" spans="2:11" x14ac:dyDescent="0.25">
      <c r="B8" s="15" t="str">
        <f>'Dados - Gráficos'!B23</f>
        <v>Médio</v>
      </c>
      <c r="C8" s="108">
        <f>'Dados - Gráficos'!C23</f>
        <v>871</v>
      </c>
      <c r="D8" s="8">
        <f>'Dados - Gráficos'!D23</f>
        <v>27001</v>
      </c>
      <c r="E8" s="97">
        <f>'Dados - Gráficos'!E23</f>
        <v>12082.616666666667</v>
      </c>
      <c r="F8" s="100">
        <f>'Dados - Gráficos'!F23</f>
        <v>1.2346980579537821</v>
      </c>
      <c r="G8" s="99">
        <f>'Dados - Gráficos'!G23</f>
        <v>27001</v>
      </c>
      <c r="H8" s="32"/>
      <c r="I8" s="83" t="s">
        <v>12</v>
      </c>
      <c r="J8" s="87" t="s">
        <v>12</v>
      </c>
      <c r="K8" s="92" t="s">
        <v>11</v>
      </c>
    </row>
    <row r="9" spans="2:11" ht="27" thickBot="1" x14ac:dyDescent="0.3">
      <c r="B9" s="16" t="str">
        <f>'Dados - Gráficos'!B24</f>
        <v>Baixo</v>
      </c>
      <c r="C9" s="109">
        <f>'Dados - Gráficos'!C24</f>
        <v>555</v>
      </c>
      <c r="D9" s="17">
        <f>'Dados - Gráficos'!D24</f>
        <v>17205</v>
      </c>
      <c r="E9" s="101">
        <f>'Dados - Gráficos'!E24</f>
        <v>7992.6166666666668</v>
      </c>
      <c r="F9" s="102">
        <f>'Dados - Gráficos'!F24</f>
        <v>1.1526116811974383</v>
      </c>
      <c r="G9" s="103">
        <f>'Dados - Gráficos'!G24</f>
        <v>17205</v>
      </c>
      <c r="H9" s="32"/>
      <c r="I9" s="19">
        <v>1494</v>
      </c>
      <c r="J9" s="85">
        <f>I9</f>
        <v>1494</v>
      </c>
      <c r="K9" s="90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8">
        <f>(J6/J9)-1</f>
        <v>-0.80321285140562249</v>
      </c>
      <c r="K11" s="93">
        <f>(K6/K9)-1</f>
        <v>-0.39759036144578308</v>
      </c>
    </row>
    <row r="16" spans="2:11" x14ac:dyDescent="0.25">
      <c r="I16" s="104"/>
      <c r="J16" s="105"/>
      <c r="K16" s="104"/>
    </row>
    <row r="19" spans="9:11" x14ac:dyDescent="0.25">
      <c r="I19" s="106"/>
      <c r="J19" s="106"/>
      <c r="K19" s="106"/>
    </row>
    <row r="20" spans="9:11" x14ac:dyDescent="0.25">
      <c r="I20" s="106"/>
      <c r="J20" s="106"/>
      <c r="K20" s="106"/>
    </row>
  </sheetData>
  <conditionalFormatting sqref="G8">
    <cfRule type="iconSet" priority="10">
      <iconSet showValue="0">
        <cfvo type="percent" val="0"/>
        <cfvo type="num" val="294"/>
        <cfvo type="num" val="294" gte="0"/>
      </iconSet>
    </cfRule>
  </conditionalFormatting>
  <conditionalFormatting sqref="G9">
    <cfRule type="iconSet" priority="9">
      <iconSet showValue="0">
        <cfvo type="percent" val="0"/>
        <cfvo type="num" val="294"/>
        <cfvo type="num" val="294" gte="0"/>
      </iconSet>
    </cfRule>
  </conditionalFormatting>
  <conditionalFormatting sqref="G6">
    <cfRule type="iconSet" priority="7">
      <iconSet showValue="0">
        <cfvo type="percent" val="0"/>
        <cfvo type="num" val="294"/>
        <cfvo type="num" val="294" gte="0"/>
      </iconSet>
    </cfRule>
  </conditionalFormatting>
  <conditionalFormatting sqref="G6:G9">
    <cfRule type="iconSet" priority="6">
      <iconSet>
        <cfvo type="percent" val="0"/>
        <cfvo type="percent" val="33"/>
        <cfvo type="percent" val="67"/>
      </iconSet>
    </cfRule>
  </conditionalFormatting>
  <conditionalFormatting sqref="G7">
    <cfRule type="iconSet" priority="5">
      <iconSet showValue="0">
        <cfvo type="percent" val="0"/>
        <cfvo type="num" val="294"/>
        <cfvo type="num" val="294" gte="0"/>
      </iconSet>
    </cfRule>
  </conditionalFormatting>
  <conditionalFormatting sqref="G8">
    <cfRule type="iconSet" priority="4">
      <iconSet showValue="0">
        <cfvo type="percent" val="0"/>
        <cfvo type="num" val="294"/>
        <cfvo type="num" val="294" gte="0"/>
      </iconSet>
    </cfRule>
  </conditionalFormatting>
  <conditionalFormatting sqref="G9">
    <cfRule type="iconSet" priority="3">
      <iconSet showValue="0">
        <cfvo type="percent" val="0"/>
        <cfvo type="num" val="294"/>
        <cfvo type="num" val="294" gte="0"/>
      </iconSet>
    </cfRule>
  </conditionalFormatting>
  <conditionalFormatting sqref="G6">
    <cfRule type="iconSet" priority="1">
      <iconSet showValue="0">
        <cfvo type="percent" val="0"/>
        <cfvo type="num" val="294"/>
        <cfvo type="num" val="294" gte="0"/>
      </iconSe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" id="{27CD8350-FC0D-45CA-A564-270D2047597C}">
            <x14:iconSet showValue="0" custom="1">
              <x14:cfvo type="percent">
                <xm:f>0</xm:f>
              </x14:cfvo>
              <x14:cfvo type="num">
                <xm:f>294</xm:f>
              </x14:cfvo>
              <x14:cfvo type="num" gte="0">
                <xm:f>294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G7</xm:sqref>
        </x14:conditionalFormatting>
        <x14:conditionalFormatting xmlns:xm="http://schemas.microsoft.com/office/excel/2006/main">
          <x14:cfRule type="iconSet" priority="2" id="{23C5F513-9A1E-4F8B-AE79-769B12E52389}">
            <x14:iconSet showValue="0" custom="1">
              <x14:cfvo type="percent">
                <xm:f>0</xm:f>
              </x14:cfvo>
              <x14:cfvo type="num">
                <xm:f>294</xm:f>
              </x14:cfvo>
              <x14:cfvo type="num" gte="0">
                <xm:f>294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G6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2016-03-02T20:20:14Z</dcterms:modified>
</cp:coreProperties>
</file>