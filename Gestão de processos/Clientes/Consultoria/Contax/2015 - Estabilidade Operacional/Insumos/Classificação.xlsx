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lipe\Desktop\"/>
    </mc:Choice>
  </mc:AlternateContent>
  <bookViews>
    <workbookView xWindow="0" yWindow="0" windowWidth="20490" windowHeight="7530"/>
  </bookViews>
  <sheets>
    <sheet name="Classificação" sheetId="1" r:id="rId1"/>
  </sheets>
  <externalReferences>
    <externalReference r:id="rId2"/>
  </externalReferences>
  <definedNames>
    <definedName name="_xlnm._FilterDatabase" localSheetId="0" hidden="1">Classificação!$B$1:$J$177</definedName>
    <definedName name="BACKLOG">Classificação!$F$1:$F$153</definedName>
    <definedName name="Ind_Reg">'[1]Regional x Site'!$J$5</definedName>
    <definedName name="Ind_Reg_Baixo">'[1]Regional x Site'!$J$11</definedName>
    <definedName name="Ind_Reg_MB">'[1]Regional x Site'!$J$8</definedName>
    <definedName name="Ind_Site">'[1]Regional x Site'!$J$6</definedName>
    <definedName name="Ind_Site_Baixo">'[1]Regional x Site'!$J$12</definedName>
    <definedName name="Ind_Site_MB">'[1]Regional x Site'!$J$9</definedName>
    <definedName name="PRIORIDADE">Classificação!#REF!</definedName>
    <definedName name="REF_ACUMULADO">[1]Capa!$C$1</definedName>
    <definedName name="Ref_Reg">'[1]Regional x Site'!$K$5</definedName>
    <definedName name="Ref_Reg_Baixo">'[1]Regional x Site'!$K$11</definedName>
    <definedName name="Ref_Reg_Baixo_Teste">'[1]Regional x Site'!$L$11</definedName>
    <definedName name="Ref_Reg_MB">'[1]Regional x Site'!$K$8</definedName>
    <definedName name="Ref_Reg_MB_Teste">'[1]Regional x Site'!$L$8</definedName>
    <definedName name="Ref_Reg_Teste">'[1]Regional x Site'!$L$5</definedName>
    <definedName name="Ref_Site">'[1]Regional x Site'!$K$6</definedName>
    <definedName name="Ref_Site_Baixo">'[1]Regional x Site'!$K$12</definedName>
    <definedName name="Ref_Site_MB">'[1]Regional x Site'!$K$9</definedName>
    <definedName name="Reg_list">'[1]Regional x Site'!$H$1:$H$8</definedName>
    <definedName name="REGIONAL">Classificação!#REF!</definedName>
    <definedName name="Site">Classificação!$B$1:$B$153</definedName>
    <definedName name="SLA2h">Classificação!#REF!</definedName>
    <definedName name="SLA3h">Classificação!#REF!</definedName>
    <definedName name="STATUS">Classificação!#REF!</definedName>
    <definedName name="VER_MÊS">Classificação!#REF!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7" i="1" l="1"/>
  <c r="B137" i="1"/>
  <c r="F136" i="1"/>
  <c r="B136" i="1"/>
  <c r="F130" i="1"/>
  <c r="B130" i="1"/>
  <c r="F124" i="1"/>
  <c r="B124" i="1"/>
  <c r="F110" i="1"/>
  <c r="B110" i="1"/>
  <c r="F106" i="1"/>
  <c r="B106" i="1"/>
  <c r="F105" i="1"/>
  <c r="B105" i="1"/>
  <c r="F104" i="1"/>
  <c r="B104" i="1"/>
  <c r="F82" i="1"/>
  <c r="B82" i="1"/>
  <c r="F72" i="1"/>
  <c r="B72" i="1"/>
  <c r="F70" i="1"/>
  <c r="B70" i="1"/>
  <c r="F67" i="1"/>
  <c r="B67" i="1"/>
  <c r="F63" i="1"/>
  <c r="B63" i="1"/>
  <c r="F62" i="1"/>
  <c r="B62" i="1"/>
  <c r="F60" i="1"/>
  <c r="B60" i="1"/>
  <c r="F58" i="1"/>
  <c r="B58" i="1"/>
  <c r="F57" i="1"/>
  <c r="B57" i="1"/>
  <c r="F54" i="1"/>
  <c r="B54" i="1"/>
  <c r="F48" i="1"/>
  <c r="B48" i="1"/>
  <c r="F39" i="1"/>
  <c r="B39" i="1"/>
  <c r="F38" i="1"/>
  <c r="B38" i="1"/>
  <c r="F34" i="1"/>
  <c r="B34" i="1"/>
  <c r="F31" i="1"/>
  <c r="B31" i="1"/>
  <c r="F25" i="1"/>
  <c r="B25" i="1"/>
  <c r="F24" i="1"/>
  <c r="B24" i="1"/>
  <c r="F21" i="1"/>
  <c r="B21" i="1"/>
  <c r="F18" i="1"/>
  <c r="B18" i="1"/>
  <c r="F13" i="1"/>
  <c r="B13" i="1"/>
  <c r="F10" i="1"/>
  <c r="B10" i="1"/>
  <c r="F9" i="1"/>
  <c r="B9" i="1"/>
  <c r="F4" i="1"/>
  <c r="B4" i="1"/>
  <c r="F147" i="1"/>
  <c r="B147" i="1"/>
  <c r="F121" i="1"/>
  <c r="B121" i="1"/>
  <c r="F102" i="1"/>
  <c r="B102" i="1"/>
  <c r="F96" i="1"/>
  <c r="B96" i="1"/>
  <c r="F85" i="1"/>
  <c r="B85" i="1"/>
  <c r="F69" i="1"/>
  <c r="B69" i="1"/>
  <c r="F64" i="1"/>
  <c r="B64" i="1"/>
  <c r="F43" i="1"/>
  <c r="B43" i="1"/>
  <c r="F15" i="1"/>
  <c r="B15" i="1"/>
  <c r="F119" i="1"/>
  <c r="B119" i="1"/>
  <c r="F86" i="1"/>
  <c r="B86" i="1"/>
  <c r="F49" i="1"/>
  <c r="B49" i="1"/>
  <c r="F32" i="1"/>
  <c r="B32" i="1"/>
  <c r="F26" i="1"/>
  <c r="B26" i="1"/>
  <c r="F128" i="1"/>
  <c r="B128" i="1"/>
  <c r="F95" i="1"/>
  <c r="B95" i="1"/>
  <c r="F78" i="1"/>
  <c r="B78" i="1"/>
  <c r="F76" i="1"/>
  <c r="B76" i="1"/>
  <c r="F30" i="1"/>
  <c r="B30" i="1"/>
  <c r="F12" i="1"/>
  <c r="B12" i="1"/>
  <c r="F11" i="1"/>
  <c r="B11" i="1"/>
  <c r="F27" i="1"/>
  <c r="B27" i="1"/>
  <c r="F120" i="1"/>
  <c r="B120" i="1"/>
  <c r="F116" i="1"/>
  <c r="B116" i="1"/>
  <c r="F107" i="1"/>
  <c r="B107" i="1"/>
  <c r="F101" i="1"/>
  <c r="B101" i="1"/>
  <c r="F90" i="1"/>
  <c r="B90" i="1"/>
  <c r="F153" i="1"/>
  <c r="B153" i="1"/>
  <c r="F143" i="1"/>
  <c r="B143" i="1"/>
  <c r="F142" i="1"/>
  <c r="B142" i="1"/>
  <c r="F131" i="1"/>
  <c r="B131" i="1"/>
  <c r="F115" i="1"/>
  <c r="B115" i="1"/>
  <c r="F113" i="1"/>
  <c r="B113" i="1"/>
  <c r="F14" i="1"/>
  <c r="B14" i="1"/>
  <c r="F149" i="1"/>
  <c r="B149" i="1"/>
  <c r="F87" i="1"/>
  <c r="B87" i="1"/>
  <c r="F68" i="1"/>
  <c r="B68" i="1"/>
  <c r="F36" i="1"/>
  <c r="B36" i="1"/>
  <c r="F122" i="1"/>
  <c r="B122" i="1"/>
  <c r="F71" i="1"/>
  <c r="B71" i="1"/>
  <c r="F52" i="1"/>
  <c r="B52" i="1"/>
  <c r="F151" i="1"/>
  <c r="B151" i="1"/>
  <c r="F146" i="1"/>
  <c r="B146" i="1"/>
  <c r="F135" i="1"/>
  <c r="B135" i="1"/>
  <c r="F109" i="1"/>
  <c r="B109" i="1"/>
  <c r="F108" i="1"/>
  <c r="B108" i="1"/>
  <c r="F44" i="1"/>
  <c r="B44" i="1"/>
  <c r="F16" i="1"/>
  <c r="B16" i="1"/>
  <c r="F83" i="1"/>
  <c r="B83" i="1"/>
  <c r="F66" i="1"/>
  <c r="B66" i="1"/>
  <c r="F42" i="1"/>
  <c r="B42" i="1"/>
  <c r="F37" i="1"/>
  <c r="B37" i="1"/>
  <c r="F94" i="1"/>
  <c r="B94" i="1"/>
  <c r="F55" i="1"/>
  <c r="B55" i="1"/>
  <c r="F91" i="1"/>
  <c r="B91" i="1"/>
  <c r="F81" i="1"/>
  <c r="B81" i="1"/>
  <c r="F141" i="1"/>
  <c r="B141" i="1"/>
  <c r="F111" i="1"/>
  <c r="B111" i="1"/>
  <c r="F8" i="1"/>
  <c r="B8" i="1"/>
  <c r="F152" i="1"/>
  <c r="B152" i="1"/>
  <c r="F77" i="1"/>
  <c r="B77" i="1"/>
  <c r="F29" i="1"/>
  <c r="B29" i="1"/>
  <c r="F74" i="1"/>
  <c r="B74" i="1"/>
  <c r="F145" i="1"/>
  <c r="B145" i="1"/>
  <c r="F144" i="1"/>
  <c r="B144" i="1"/>
  <c r="F139" i="1"/>
  <c r="B139" i="1"/>
  <c r="F134" i="1"/>
  <c r="B134" i="1"/>
  <c r="F75" i="1"/>
  <c r="B75" i="1"/>
  <c r="F23" i="1"/>
  <c r="B23" i="1"/>
  <c r="F148" i="1"/>
  <c r="B148" i="1"/>
  <c r="F140" i="1"/>
  <c r="B140" i="1"/>
  <c r="F138" i="1"/>
  <c r="B138" i="1"/>
  <c r="F133" i="1"/>
  <c r="B133" i="1"/>
  <c r="F123" i="1"/>
  <c r="B123" i="1"/>
  <c r="F117" i="1"/>
  <c r="B117" i="1"/>
  <c r="F92" i="1"/>
  <c r="B92" i="1"/>
  <c r="F73" i="1"/>
  <c r="B73" i="1"/>
  <c r="F56" i="1"/>
  <c r="B56" i="1"/>
  <c r="F51" i="1"/>
  <c r="B51" i="1"/>
  <c r="F40" i="1"/>
  <c r="B40" i="1"/>
  <c r="F22" i="1"/>
  <c r="B22" i="1"/>
  <c r="F7" i="1"/>
  <c r="B7" i="1"/>
  <c r="F132" i="1"/>
  <c r="B132" i="1"/>
  <c r="F127" i="1"/>
  <c r="B127" i="1"/>
  <c r="F114" i="1"/>
  <c r="B114" i="1"/>
  <c r="F100" i="1"/>
  <c r="B100" i="1"/>
  <c r="F98" i="1"/>
  <c r="B98" i="1"/>
  <c r="F97" i="1"/>
  <c r="B97" i="1"/>
  <c r="F93" i="1"/>
  <c r="B93" i="1"/>
  <c r="F88" i="1"/>
  <c r="B88" i="1"/>
  <c r="F84" i="1"/>
  <c r="B84" i="1"/>
  <c r="F79" i="1"/>
  <c r="B79" i="1"/>
  <c r="F65" i="1"/>
  <c r="B65" i="1"/>
  <c r="F61" i="1"/>
  <c r="B61" i="1"/>
  <c r="F47" i="1"/>
  <c r="B47" i="1"/>
  <c r="F46" i="1"/>
  <c r="B46" i="1"/>
  <c r="F35" i="1"/>
  <c r="B35" i="1"/>
  <c r="F33" i="1"/>
  <c r="B33" i="1"/>
  <c r="F6" i="1"/>
  <c r="B6" i="1"/>
  <c r="F5" i="1"/>
  <c r="B5" i="1"/>
  <c r="F3" i="1"/>
  <c r="B3" i="1"/>
  <c r="F2" i="1"/>
  <c r="B2" i="1"/>
  <c r="F150" i="1"/>
  <c r="B150" i="1"/>
  <c r="F129" i="1"/>
  <c r="B129" i="1"/>
  <c r="F126" i="1"/>
  <c r="B126" i="1"/>
  <c r="F125" i="1"/>
  <c r="B125" i="1"/>
  <c r="F118" i="1"/>
  <c r="B118" i="1"/>
  <c r="F112" i="1"/>
  <c r="B112" i="1"/>
  <c r="F103" i="1"/>
  <c r="B103" i="1"/>
  <c r="F99" i="1"/>
  <c r="B99" i="1"/>
  <c r="F89" i="1"/>
  <c r="B89" i="1"/>
  <c r="F59" i="1"/>
  <c r="B59" i="1"/>
  <c r="F53" i="1"/>
  <c r="B53" i="1"/>
  <c r="F50" i="1"/>
  <c r="B50" i="1"/>
  <c r="F45" i="1"/>
  <c r="B45" i="1"/>
  <c r="F41" i="1"/>
  <c r="B41" i="1"/>
  <c r="F28" i="1"/>
  <c r="B28" i="1"/>
  <c r="F20" i="1"/>
  <c r="B20" i="1"/>
  <c r="F19" i="1"/>
  <c r="B19" i="1"/>
  <c r="F17" i="1"/>
  <c r="B17" i="1"/>
  <c r="F80" i="1"/>
  <c r="B80" i="1"/>
</calcChain>
</file>

<file path=xl/sharedStrings.xml><?xml version="1.0" encoding="utf-8"?>
<sst xmlns="http://schemas.openxmlformats.org/spreadsheetml/2006/main" count="1108" uniqueCount="464">
  <si>
    <t>Site</t>
  </si>
  <si>
    <t>Chamado</t>
  </si>
  <si>
    <t>Cliente - Operação</t>
  </si>
  <si>
    <t>Criado</t>
  </si>
  <si>
    <t>Dia</t>
  </si>
  <si>
    <t>Resolução</t>
  </si>
  <si>
    <t>Data_resolução</t>
  </si>
  <si>
    <t>Resolvedor</t>
  </si>
  <si>
    <t>CTXMTZPB-1263</t>
  </si>
  <si>
    <t>Contax - NOC</t>
  </si>
  <si>
    <t>11/02/2016 08:58:31</t>
  </si>
  <si>
    <t>Solução Permanente</t>
  </si>
  <si>
    <t>TI Contax</t>
  </si>
  <si>
    <t>Claro - SAC Pré-Pago</t>
  </si>
  <si>
    <t>NÃO RESOLVIDO</t>
  </si>
  <si>
    <t>Fornecedor Contax</t>
  </si>
  <si>
    <t>Suporte Cliente</t>
  </si>
  <si>
    <t>Solução de Contorno</t>
  </si>
  <si>
    <t>Oi - Oi Movél</t>
  </si>
  <si>
    <t>Contax - Outro</t>
  </si>
  <si>
    <t>CTXSPOAS-5556</t>
  </si>
  <si>
    <t>Contax - Ger Finanças de TI</t>
  </si>
  <si>
    <t>02/02/2016 09:45:07</t>
  </si>
  <si>
    <t>Contax - Dir. Oi</t>
  </si>
  <si>
    <t>BV Financeira - CDC Multiskill</t>
  </si>
  <si>
    <t>Contax - Ger Planejamento Outbound</t>
  </si>
  <si>
    <t>Bradesco - Bradesco Seguros</t>
  </si>
  <si>
    <t>Cielo - ARV</t>
  </si>
  <si>
    <t>TAM - Multiplus</t>
  </si>
  <si>
    <t>CTXSPOAL-105588</t>
  </si>
  <si>
    <t>Cielo - Fidelidade</t>
  </si>
  <si>
    <t>02/02/2016 10:53:45</t>
  </si>
  <si>
    <t>CTXSPOAL-105591</t>
  </si>
  <si>
    <t>TAM - TAM Cargo</t>
  </si>
  <si>
    <t>02/02/2016 11:08:01</t>
  </si>
  <si>
    <t>CTXSPOAL-105743</t>
  </si>
  <si>
    <t>Contax - Retrieval</t>
  </si>
  <si>
    <t>03/02/2016 14:11:15</t>
  </si>
  <si>
    <t>Oi - Outras Atividades</t>
  </si>
  <si>
    <t>CTXSPOAL-105886</t>
  </si>
  <si>
    <t>04/02/2016 15:21:24</t>
  </si>
  <si>
    <t>CTXSPOAL-105981</t>
  </si>
  <si>
    <t>04/02/2016 22:48:11</t>
  </si>
  <si>
    <t>CTXSPOAL-106025</t>
  </si>
  <si>
    <t>05/02/2016 11:21:51</t>
  </si>
  <si>
    <t>CTXSPOAL-106058</t>
  </si>
  <si>
    <t>05/02/2016 14:56:21</t>
  </si>
  <si>
    <t>CTXSPOAL-106127</t>
  </si>
  <si>
    <t>07/02/2016 10:44:17</t>
  </si>
  <si>
    <t>CTXSPOAL-106588</t>
  </si>
  <si>
    <t>12/02/2016 09:08:16</t>
  </si>
  <si>
    <t>Oi - Velox</t>
  </si>
  <si>
    <t>CTXSPOAL-106732</t>
  </si>
  <si>
    <t>14/02/2016 17:15:27</t>
  </si>
  <si>
    <t>CTXSPOAL-106773</t>
  </si>
  <si>
    <t>15/02/2016 11:09:12</t>
  </si>
  <si>
    <t>CTXSPOAL-106902</t>
  </si>
  <si>
    <t>15/02/2016 20:42:01</t>
  </si>
  <si>
    <t>Contax - Ger Qualidade</t>
  </si>
  <si>
    <t>CTXSPOAL-106970</t>
  </si>
  <si>
    <t>16/02/2016 11:27:59</t>
  </si>
  <si>
    <t>CTXSPOAL-107057</t>
  </si>
  <si>
    <t>16/02/2016 16:53:55</t>
  </si>
  <si>
    <t>CTXSPOAL-107060</t>
  </si>
  <si>
    <t>Oi - Oi Vendas</t>
  </si>
  <si>
    <t>16/02/2016 17:04:56</t>
  </si>
  <si>
    <t>CTXSPOAL-107100</t>
  </si>
  <si>
    <t>17/02/2016 04:49:14</t>
  </si>
  <si>
    <t>CTXSPOAL-107529</t>
  </si>
  <si>
    <t>20/02/2016 11:34:24</t>
  </si>
  <si>
    <t>CTXSPOBF-135382</t>
  </si>
  <si>
    <t>Vivo - Vivo</t>
  </si>
  <si>
    <t>01/02/2016 07:00:06</t>
  </si>
  <si>
    <t>CTXSPOBF-135409</t>
  </si>
  <si>
    <t>01/02/2016 08:50:14</t>
  </si>
  <si>
    <t>CTXSPOBF-135414</t>
  </si>
  <si>
    <t>01/02/2016 09:16:58</t>
  </si>
  <si>
    <t>CTXSPOBF-135459</t>
  </si>
  <si>
    <t>01/02/2016 11:09:12</t>
  </si>
  <si>
    <t>Bradesco - Finasa CAC Receptivo</t>
  </si>
  <si>
    <t>Santander - CR + Parceiros</t>
  </si>
  <si>
    <t>CTXSPOBF-135957</t>
  </si>
  <si>
    <t>04/02/2016 08:46:35</t>
  </si>
  <si>
    <t>CTXSPOBF-135965</t>
  </si>
  <si>
    <t>04/02/2016 09:36:15</t>
  </si>
  <si>
    <t>CTXSPOBF-136105</t>
  </si>
  <si>
    <t>05/02/2016 08:01:04</t>
  </si>
  <si>
    <t>CTXSPOBF-136107</t>
  </si>
  <si>
    <t>05/02/2016 08:34:28</t>
  </si>
  <si>
    <t>CTXSPOBF-136254</t>
  </si>
  <si>
    <t>08/02/2016 08:56:54</t>
  </si>
  <si>
    <t>CTXSPOBF-136329</t>
  </si>
  <si>
    <t>09/02/2016 07:48:17</t>
  </si>
  <si>
    <t>10/02/2016 16:47:35</t>
  </si>
  <si>
    <t>CTXSPOBF-136528</t>
  </si>
  <si>
    <t>11/02/2016 08:53:03</t>
  </si>
  <si>
    <t>CTXSPOBF-136661</t>
  </si>
  <si>
    <t>11/02/2016 16:45:10</t>
  </si>
  <si>
    <t>CTXSPOBF-136697</t>
  </si>
  <si>
    <t>12/02/2016 07:01:27</t>
  </si>
  <si>
    <t>CTXSPOBF-136763</t>
  </si>
  <si>
    <t>12/02/2016 12:17:05</t>
  </si>
  <si>
    <t>CTXSPOBF-136856</t>
  </si>
  <si>
    <t>13/02/2016 18:48:23</t>
  </si>
  <si>
    <t>CTXSPOBF-136865</t>
  </si>
  <si>
    <t>14/02/2016 12:10:25</t>
  </si>
  <si>
    <t>CTXSPOBF-136877</t>
  </si>
  <si>
    <t>15/02/2016 08:22:27</t>
  </si>
  <si>
    <t>CTXSPOBF-137006</t>
  </si>
  <si>
    <t>16/02/2016 08:29:23</t>
  </si>
  <si>
    <t>CTXSPOBF-137136</t>
  </si>
  <si>
    <t>16/02/2016 22:57:26</t>
  </si>
  <si>
    <t>CTXSPOBF-137144</t>
  </si>
  <si>
    <t>17/02/2016 08:27:15</t>
  </si>
  <si>
    <t>Net - Multifuncional N1</t>
  </si>
  <si>
    <t>Net - Transbordo</t>
  </si>
  <si>
    <t>Contax - Ger Planejamento SAC</t>
  </si>
  <si>
    <t>Oi - OCT</t>
  </si>
  <si>
    <t>Oi - SAC OI TV</t>
  </si>
  <si>
    <t>Oi - NID</t>
  </si>
  <si>
    <t>Oi - Televendas Oi</t>
  </si>
  <si>
    <t>Oi - OI TV</t>
  </si>
  <si>
    <t>Oi - Rentabilização</t>
  </si>
  <si>
    <t>Oi - Televendas</t>
  </si>
  <si>
    <t>CTXSALPB-55289</t>
  </si>
  <si>
    <t>01/02/2016 11:25:49</t>
  </si>
  <si>
    <t>Oi - Suporte Técnico</t>
  </si>
  <si>
    <t>CTXSALPB-55639</t>
  </si>
  <si>
    <t>02/02/2016 16:51:31</t>
  </si>
  <si>
    <t>CTXSALPB-55981</t>
  </si>
  <si>
    <t>Oi - Back Office Empresarial</t>
  </si>
  <si>
    <t>04/02/2016 14:29:56</t>
  </si>
  <si>
    <t>CTXSALPB-56074</t>
  </si>
  <si>
    <t>05/02/2016 12:38:34</t>
  </si>
  <si>
    <t>CTXSALPB-56163</t>
  </si>
  <si>
    <t>06/02/2016 11:10:55</t>
  </si>
  <si>
    <t>CTXSALPB-56381</t>
  </si>
  <si>
    <t>10/02/2016 16:08:42</t>
  </si>
  <si>
    <t>CTXSALPB-56738</t>
  </si>
  <si>
    <t>12/02/2016 12:07:49</t>
  </si>
  <si>
    <t>CTXSALPB-57112</t>
  </si>
  <si>
    <t>16/02/2016 10:27:03</t>
  </si>
  <si>
    <t>CTXSALPB-57170</t>
  </si>
  <si>
    <t>16/02/2016 13:35:27</t>
  </si>
  <si>
    <t>CTXSALPB-57352</t>
  </si>
  <si>
    <t>17/02/2016 15:35:00</t>
  </si>
  <si>
    <t>CTXSALPB-57484</t>
  </si>
  <si>
    <t>18/02/2016 16:03:30</t>
  </si>
  <si>
    <t>CTXSALPB-57485</t>
  </si>
  <si>
    <t>18/02/2016 16:04:56</t>
  </si>
  <si>
    <t>CTXSALPB-57636</t>
  </si>
  <si>
    <t>19/02/2016 17:20:37</t>
  </si>
  <si>
    <t>Itaú - CAC Não Correntista</t>
  </si>
  <si>
    <t>Oi - Back Office</t>
  </si>
  <si>
    <t>Oi - Oi Internet SAC</t>
  </si>
  <si>
    <t>Itaú - Retention FIC FAI</t>
  </si>
  <si>
    <t>CTXSALSM-87584</t>
  </si>
  <si>
    <t>03/02/2016 07:42:52</t>
  </si>
  <si>
    <t>Credicard Itaú - Credicard Brasil Itaú</t>
  </si>
  <si>
    <t>Itaú Card - Clássicos Itaú</t>
  </si>
  <si>
    <t>CTXSALSM-87887</t>
  </si>
  <si>
    <t>10/02/2016 18:02:13</t>
  </si>
  <si>
    <t>CTXSALSM-88232</t>
  </si>
  <si>
    <t>18/02/2016 07:51:39</t>
  </si>
  <si>
    <t>CTXSALSM-88266</t>
  </si>
  <si>
    <t>18/02/2016 16:04:03</t>
  </si>
  <si>
    <t>CTXSALSM-88282</t>
  </si>
  <si>
    <t>19/02/2016 08:11:56</t>
  </si>
  <si>
    <t>CTXSALSM-88310</t>
  </si>
  <si>
    <t>19/02/2016 13:32:07</t>
  </si>
  <si>
    <t>Citibank - Consignado</t>
  </si>
  <si>
    <t>CTXSALLM-120617</t>
  </si>
  <si>
    <t>TAM - Fale com o Presidente</t>
  </si>
  <si>
    <t>CTXCTCRA-19895</t>
  </si>
  <si>
    <t>03/02/2016 17:40:37</t>
  </si>
  <si>
    <t>TAM - Atendimento Internacional</t>
  </si>
  <si>
    <t>CTXCTCRA-19968</t>
  </si>
  <si>
    <t>11/02/2016 07:25:50</t>
  </si>
  <si>
    <t>CTXCTCRA-20105</t>
  </si>
  <si>
    <t>20/02/2016 15:58:20</t>
  </si>
  <si>
    <t>CTXCASEH-19276</t>
  </si>
  <si>
    <t>01/02/2016 12:28:20</t>
  </si>
  <si>
    <t>CTXCASEH-19461</t>
  </si>
  <si>
    <t>15/02/2016 18:52:44</t>
  </si>
  <si>
    <t>CTXCASEH-19537</t>
  </si>
  <si>
    <t>18/02/2016 16:44:41</t>
  </si>
  <si>
    <t>Oi - Dados</t>
  </si>
  <si>
    <t>Telemar - Ouvidoria Decreto</t>
  </si>
  <si>
    <t>CTXRJOED-59296</t>
  </si>
  <si>
    <t>11/02/2016 10:41:55</t>
  </si>
  <si>
    <t>CTXRJOED-59334</t>
  </si>
  <si>
    <t>12/02/2016 10:54:44</t>
  </si>
  <si>
    <t>15/02/2016 10:06:43</t>
  </si>
  <si>
    <t>CTXSALAS-163480</t>
  </si>
  <si>
    <t>06/02/2016 10:24:06</t>
  </si>
  <si>
    <t>CTXSALAS-163505</t>
  </si>
  <si>
    <t>Telemar - CIC 102</t>
  </si>
  <si>
    <t>12/02/2016 16:01:20</t>
  </si>
  <si>
    <t>Oi - Retenção</t>
  </si>
  <si>
    <t>Oi - Suporte Rede Voz Avançada</t>
  </si>
  <si>
    <t>Oi - Hot Line</t>
  </si>
  <si>
    <t>CTXFORBM-354860</t>
  </si>
  <si>
    <t>04/02/2016 11:06:22</t>
  </si>
  <si>
    <t>CTXFORBM-355021</t>
  </si>
  <si>
    <t>04/02/2016 16:11:31</t>
  </si>
  <si>
    <t>CTXFORBM-355880</t>
  </si>
  <si>
    <t>09/02/2016 14:45:13</t>
  </si>
  <si>
    <t>CTXFORBM-356398</t>
  </si>
  <si>
    <t>Oi - Retenção Hot line</t>
  </si>
  <si>
    <t>11/02/2016 13:01:03</t>
  </si>
  <si>
    <t>Oi - Cobrança</t>
  </si>
  <si>
    <t>CTXJPASA-5617</t>
  </si>
  <si>
    <t>02/02/2016 07:22:38</t>
  </si>
  <si>
    <t>CTXJPASA-5710</t>
  </si>
  <si>
    <t>04/02/2016 16:15:06</t>
  </si>
  <si>
    <t>CTXJPASA-5906</t>
  </si>
  <si>
    <t>15/02/2016 15:49:50</t>
  </si>
  <si>
    <t>CTXJPASA-5907</t>
  </si>
  <si>
    <t>15/02/2016 16:08:11</t>
  </si>
  <si>
    <t>CTXJPASA-5963</t>
  </si>
  <si>
    <t>18/02/2016 09:06:38</t>
  </si>
  <si>
    <t>CTXJPASA-6008</t>
  </si>
  <si>
    <t>19/02/2016 15:36:35</t>
  </si>
  <si>
    <t>CTXJPASA-6022</t>
  </si>
  <si>
    <t>20/02/2016 12:33:01</t>
  </si>
  <si>
    <t>CTXSPOLP-117253</t>
  </si>
  <si>
    <t>05/02/2016 13:02:48</t>
  </si>
  <si>
    <t>CTXSPOLP-117273</t>
  </si>
  <si>
    <t>10/02/2016 15:51:28</t>
  </si>
  <si>
    <t>CTXSPOLP-117313</t>
  </si>
  <si>
    <t>16/02/2016 12:02:44</t>
  </si>
  <si>
    <t>CTXLONLA-31440</t>
  </si>
  <si>
    <t>04/02/2016 10:30:48</t>
  </si>
  <si>
    <t>CTXLONLA-31571</t>
  </si>
  <si>
    <t>09/02/2016 22:23:53</t>
  </si>
  <si>
    <t>CTXLONLA-31718</t>
  </si>
  <si>
    <t>11/02/2016 23:11:28</t>
  </si>
  <si>
    <t>CTXLONLA-32044</t>
  </si>
  <si>
    <t>19/02/2016 20:55:27</t>
  </si>
  <si>
    <t>CTXRJOMK-132726</t>
  </si>
  <si>
    <t>02/02/2016 06:12:15</t>
  </si>
  <si>
    <t>CTXRJOMK-133894</t>
  </si>
  <si>
    <t>16/02/2016 07:31:55</t>
  </si>
  <si>
    <t>CTXRJOMK-133905</t>
  </si>
  <si>
    <t>16/02/2016 08:34:38</t>
  </si>
  <si>
    <t>CTXRJOMK-134031</t>
  </si>
  <si>
    <t>17/02/2016 07:51:41</t>
  </si>
  <si>
    <t>CTXRJOMK-134239</t>
  </si>
  <si>
    <t>18/02/2016 17:47:32</t>
  </si>
  <si>
    <t>CTXRJOMK-134270</t>
  </si>
  <si>
    <t>19/02/2016 08:00:07</t>
  </si>
  <si>
    <t>CTXRJOMK-134409</t>
  </si>
  <si>
    <t>21/02/2016 06:21:19</t>
  </si>
  <si>
    <t>Oi - Off Line</t>
  </si>
  <si>
    <t>Rede Globo - SAC</t>
  </si>
  <si>
    <t>Fundação Atlântico Seg Social - Fundação Atlântico Relacionamento</t>
  </si>
  <si>
    <t>CTXRJOMA-78066</t>
  </si>
  <si>
    <t>12/02/2016 10:44:37</t>
  </si>
  <si>
    <t>CTXRJOMA-78132</t>
  </si>
  <si>
    <t>15/02/2016 10:03:43</t>
  </si>
  <si>
    <t>CTXRJOMA-78144</t>
  </si>
  <si>
    <t>15/02/2016 13:47:03</t>
  </si>
  <si>
    <t>CTXRJOMA-78187</t>
  </si>
  <si>
    <t>16/02/2016 10:13:24</t>
  </si>
  <si>
    <t>CTXRJOMA-78190</t>
  </si>
  <si>
    <t>16/02/2016 11:42:11</t>
  </si>
  <si>
    <t>Leader Magazine - URC Leader</t>
  </si>
  <si>
    <t>CTXFORNA-27930</t>
  </si>
  <si>
    <t>03/02/2016 11:53:55</t>
  </si>
  <si>
    <t>CTXPOARB-101437</t>
  </si>
  <si>
    <t>01/02/2016 18:53:16</t>
  </si>
  <si>
    <t>CTXPOARB-101444</t>
  </si>
  <si>
    <t>01/02/2016 21:17:22</t>
  </si>
  <si>
    <t>Net - MTF POA</t>
  </si>
  <si>
    <t>CTXPOARB-101563</t>
  </si>
  <si>
    <t>03/02/2016 19:22:49</t>
  </si>
  <si>
    <t>Souza Cruz - Souza Cruz</t>
  </si>
  <si>
    <t>CTXPOARB-101842</t>
  </si>
  <si>
    <t>11/02/2016 00:30:49</t>
  </si>
  <si>
    <t>CTXPOARB-101853</t>
  </si>
  <si>
    <t>11/02/2016 08:11:27</t>
  </si>
  <si>
    <t>CTXPOARB-102150</t>
  </si>
  <si>
    <t>12/02/2016 20:15:47</t>
  </si>
  <si>
    <t>CTXPOARB-102382</t>
  </si>
  <si>
    <t>17/02/2016 00:40:08</t>
  </si>
  <si>
    <t>Oi - Dealer</t>
  </si>
  <si>
    <t>Oi - Retenção Empresarial</t>
  </si>
  <si>
    <t>CTXNITSP-177749</t>
  </si>
  <si>
    <t>03/02/2016 10:38:08</t>
  </si>
  <si>
    <t>Oi - Atendimento</t>
  </si>
  <si>
    <t>CTXNITSP-177858</t>
  </si>
  <si>
    <t>04/02/2016 08:02:24</t>
  </si>
  <si>
    <t>CTXNITSP-177947</t>
  </si>
  <si>
    <t>05/02/2016 10:37:40</t>
  </si>
  <si>
    <t>Oi - Suporte Técnico OI Móvel</t>
  </si>
  <si>
    <t>CTXNITSP-178134</t>
  </si>
  <si>
    <t>11/02/2016 16:53:42</t>
  </si>
  <si>
    <t>CTXNITSP-178363</t>
  </si>
  <si>
    <t>16/02/2016 11:36:00</t>
  </si>
  <si>
    <t>Oi - Apuração</t>
  </si>
  <si>
    <t>Telemar - UTC</t>
  </si>
  <si>
    <t>CTXBHZRI-97787</t>
  </si>
  <si>
    <t>02/02/2016 07:15:10</t>
  </si>
  <si>
    <t>CTXBHZRI-97907</t>
  </si>
  <si>
    <t>04/02/2016 16:13:52</t>
  </si>
  <si>
    <t>CTXBHZRI-97992</t>
  </si>
  <si>
    <t>08/02/2016 14:10:57</t>
  </si>
  <si>
    <t>CTXBHZRI-98019</t>
  </si>
  <si>
    <t>10/02/2016 10:27:58</t>
  </si>
  <si>
    <t>CTXBHZRI-98096</t>
  </si>
  <si>
    <t>11/02/2016 16:46:11</t>
  </si>
  <si>
    <t>CTXBHZRI-98155</t>
  </si>
  <si>
    <t>13/02/2016 11:10:14</t>
  </si>
  <si>
    <t>CTXBHZRI-98192</t>
  </si>
  <si>
    <t>CTXBHZRI-98274</t>
  </si>
  <si>
    <t>16/02/2016 11:53:56</t>
  </si>
  <si>
    <t>CTXBHZRI-98439</t>
  </si>
  <si>
    <t>19/02/2016 17:17:10</t>
  </si>
  <si>
    <t>Itaú - Hiper GAE+CAE</t>
  </si>
  <si>
    <t>CTXRECSA-458404</t>
  </si>
  <si>
    <t>Itaú - Venda de Cartões</t>
  </si>
  <si>
    <t>01/02/2016 09:14:45</t>
  </si>
  <si>
    <t>Oi - Suporte rede Velox</t>
  </si>
  <si>
    <t>Oi - Super Back Office Amazonas Celular</t>
  </si>
  <si>
    <t>CTXRECSA-458695</t>
  </si>
  <si>
    <t>01/02/2016 13:46:22</t>
  </si>
  <si>
    <t>CTXRECSA-458901</t>
  </si>
  <si>
    <t>01/02/2016 17:17:43</t>
  </si>
  <si>
    <t>CTXRECSA-458998</t>
  </si>
  <si>
    <t>02/02/2016 00:39:10</t>
  </si>
  <si>
    <t>CTXRECSA-459131</t>
  </si>
  <si>
    <t>02/02/2016 10:47:29</t>
  </si>
  <si>
    <t>CTXRECSA-459289</t>
  </si>
  <si>
    <t>02/02/2016 15:57:29</t>
  </si>
  <si>
    <t>CTXRECSA-459444</t>
  </si>
  <si>
    <t>03/02/2016 08:14:41</t>
  </si>
  <si>
    <t>CTXRECSA-459461</t>
  </si>
  <si>
    <t>03/02/2016 08:42:57</t>
  </si>
  <si>
    <t>CTXRECSA-459821</t>
  </si>
  <si>
    <t>03/02/2016 19:38:59</t>
  </si>
  <si>
    <t>CTXRECSA-459901</t>
  </si>
  <si>
    <t>04/02/2016 09:12:13</t>
  </si>
  <si>
    <t>CTXRECSA-460012</t>
  </si>
  <si>
    <t>04/02/2016 11:53:04</t>
  </si>
  <si>
    <t>CTXRECSA-460018</t>
  </si>
  <si>
    <t>04/02/2016 12:04:12</t>
  </si>
  <si>
    <t>CTXRECSA-460322</t>
  </si>
  <si>
    <t>05/02/2016 09:11:31</t>
  </si>
  <si>
    <t>CTXRECSA-460521</t>
  </si>
  <si>
    <t>05/02/2016 17:20:45</t>
  </si>
  <si>
    <t>Oi - Centro de Soluções</t>
  </si>
  <si>
    <t>CTXRECSA-460649</t>
  </si>
  <si>
    <t>06/02/2016 12:07:10</t>
  </si>
  <si>
    <t>CTXRECSA-460697</t>
  </si>
  <si>
    <t>06/02/2016 21:59:08</t>
  </si>
  <si>
    <t>CTXRECSA-460754</t>
  </si>
  <si>
    <t>07/02/2016 17:24:40</t>
  </si>
  <si>
    <t>CTXRECSA-460839</t>
  </si>
  <si>
    <t>08/02/2016 11:21:53</t>
  </si>
  <si>
    <t>CTXRECSA-460842</t>
  </si>
  <si>
    <t>08/02/2016 11:38:28</t>
  </si>
  <si>
    <t>CTXRECSA-460956</t>
  </si>
  <si>
    <t>09/02/2016 14:50:57</t>
  </si>
  <si>
    <t>CTXRECSA-461135</t>
  </si>
  <si>
    <t>Unibanco HiperCard - Hipercard Vendas</t>
  </si>
  <si>
    <t>10/02/2016 10:57:36</t>
  </si>
  <si>
    <t>CTXRECSA-461338</t>
  </si>
  <si>
    <t>10/02/2016 16:05:13</t>
  </si>
  <si>
    <t>CTXRECSA-461548</t>
  </si>
  <si>
    <t>11/02/2016 11:32:31</t>
  </si>
  <si>
    <t>CTXRECSA-462475</t>
  </si>
  <si>
    <t>15/02/2016 11:22:25</t>
  </si>
  <si>
    <t>CTXRECSA-462488</t>
  </si>
  <si>
    <t>15/02/2016 11:46:26</t>
  </si>
  <si>
    <t>CTXRECSA-462495</t>
  </si>
  <si>
    <t>15/02/2016 12:07:13</t>
  </si>
  <si>
    <t>CTXRECSA-462622</t>
  </si>
  <si>
    <t>15/02/2016 16:36:13</t>
  </si>
  <si>
    <t>CTXRECSA-463012</t>
  </si>
  <si>
    <t>16/02/2016 16:24:09</t>
  </si>
  <si>
    <t>CTXRECSA-463096</t>
  </si>
  <si>
    <t>17/02/2016 07:07:23</t>
  </si>
  <si>
    <t>CTXRECSA-463452</t>
  </si>
  <si>
    <t>18/02/2016 09:11:51</t>
  </si>
  <si>
    <t>CTXRECSA-463545</t>
  </si>
  <si>
    <t>18/02/2016 11:19:14</t>
  </si>
  <si>
    <t>Classificação</t>
  </si>
  <si>
    <t>Cliente</t>
  </si>
  <si>
    <t>Processo</t>
  </si>
  <si>
    <t>Hardware</t>
  </si>
  <si>
    <t>GMUD</t>
  </si>
  <si>
    <t>Software</t>
  </si>
  <si>
    <t>Fornecedor</t>
  </si>
  <si>
    <t>Indevido</t>
  </si>
  <si>
    <t>Operacional</t>
  </si>
  <si>
    <t>GMUD cliente</t>
  </si>
  <si>
    <t>Rede</t>
  </si>
  <si>
    <t>Fornecedor cliente</t>
  </si>
  <si>
    <t>Verificar</t>
  </si>
  <si>
    <t>CTX – Alegria – SPOAL</t>
  </si>
  <si>
    <t>CTXSPOAL-107729</t>
  </si>
  <si>
    <t>CTXSPOAL-107734</t>
  </si>
  <si>
    <t>CTXSPOAL-107904</t>
  </si>
  <si>
    <t>CTX – Antártica – SPOBF</t>
  </si>
  <si>
    <t>CTXSPOBF-137516</t>
  </si>
  <si>
    <t>CTXSPOBF-137579</t>
  </si>
  <si>
    <t>CTXSPOBF-137582</t>
  </si>
  <si>
    <t>CTXSPOBF-137653</t>
  </si>
  <si>
    <t>CTXSPOBF-137711</t>
  </si>
  <si>
    <t>CTXSPOBF-137800</t>
  </si>
  <si>
    <t>CTXSPOBF-137845</t>
  </si>
  <si>
    <t>CTX – Boa Viagem – SALPB</t>
  </si>
  <si>
    <t>CTXSALPB-57751</t>
  </si>
  <si>
    <t>CTXSALPB-57859</t>
  </si>
  <si>
    <t>CTX – Lapa – SPOLP</t>
  </si>
  <si>
    <t>CTXSPOLP-117327</t>
  </si>
  <si>
    <t>CTXSPOLP-117329</t>
  </si>
  <si>
    <t>CTX – Luigi Amorese – LONLA</t>
  </si>
  <si>
    <t>CTXLONLA-32099</t>
  </si>
  <si>
    <t>CTX – Navegantes – POARB</t>
  </si>
  <si>
    <t>CTXPOARB-102797</t>
  </si>
  <si>
    <t>CTXPOARB-102869</t>
  </si>
  <si>
    <t>CTX – Prado2 – BHZRI</t>
  </si>
  <si>
    <t>CTXBHZRI-98510</t>
  </si>
  <si>
    <t>CTXBHZRI-98561</t>
  </si>
  <si>
    <t>CTXBHZRI-98566</t>
  </si>
  <si>
    <t>CTX – Santo Amaro – RECSA</t>
  </si>
  <si>
    <t>CTXRECSA-464848</t>
  </si>
  <si>
    <t>CTXRECSA-464883</t>
  </si>
  <si>
    <t>CTXRECSA-465385</t>
  </si>
  <si>
    <t>CTXRECSA-465393</t>
  </si>
  <si>
    <t>TAM - Reservas</t>
  </si>
  <si>
    <t>Santander - Ciclo de vida</t>
  </si>
  <si>
    <t>Ticket Serviços S/A - Usuários/Autorizações</t>
  </si>
  <si>
    <t>Oi - Pré Pago + Controle</t>
  </si>
  <si>
    <t>Bradesco - Outros Assuntos</t>
  </si>
  <si>
    <t>Brasil Telecom - Brasil Telecom</t>
  </si>
  <si>
    <t>23/02/2016 08:42:35</t>
  </si>
  <si>
    <t>23/02/2016 09:14:29</t>
  </si>
  <si>
    <t>23/02/2016 19:06:55</t>
  </si>
  <si>
    <t>22/02/2016 08:48:08</t>
  </si>
  <si>
    <t>22/02/2016 11:47:50</t>
  </si>
  <si>
    <t>22/02/2016 11:53:07</t>
  </si>
  <si>
    <t>22/02/2016 17:23:19</t>
  </si>
  <si>
    <t>23/02/2016 08:39:38</t>
  </si>
  <si>
    <t>23/02/2016 13:43:10</t>
  </si>
  <si>
    <t>23/02/2016 19:53:09</t>
  </si>
  <si>
    <t>22/02/2016 08:48:13</t>
  </si>
  <si>
    <t>22/02/2016 16:16:16</t>
  </si>
  <si>
    <t>22/02/2016 08:12:23</t>
  </si>
  <si>
    <t>22/02/2016 08:37:36</t>
  </si>
  <si>
    <t>22/02/2016 23:13:45</t>
  </si>
  <si>
    <t>23/02/2016 00:27:34</t>
  </si>
  <si>
    <t>23/02/2016 15:41:16</t>
  </si>
  <si>
    <t>22/02/2016 10:50:00</t>
  </si>
  <si>
    <t>23/02/2016 09:49:07</t>
  </si>
  <si>
    <t>23/02/2016 09:59:27</t>
  </si>
  <si>
    <t>22/02/2016 15:53:20</t>
  </si>
  <si>
    <t>22/02/2016 17:10:54</t>
  </si>
  <si>
    <t>23/02/2016 19:41:47</t>
  </si>
  <si>
    <t>23/02/2016 21:03:01</t>
  </si>
  <si>
    <t>22/02</t>
  </si>
  <si>
    <t>23/02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</si>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</sst>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\ h:mm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164" fontId="0" fillId="0" borderId="0" xfId="0" applyNumberFormat="1" applyBorder="1" applyAlignmen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/>
    <xf numFmtId="164" fontId="0" fillId="0" borderId="1" xfId="0" applyNumberFormat="1" applyBorder="1" applyAlignme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lat&#243;rio%20SLA%20Di&#225;rio%20-%2001%20&#224;%2022%20de%20Fevereir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Alto Impacto"/>
      <sheetName val="Medio Impacto"/>
      <sheetName val="Baixo Impacto"/>
      <sheetName val="BASE"/>
      <sheetName val="BASE - Mes Ant"/>
      <sheetName val="Informações do Relatório"/>
      <sheetName val="Regional x Site"/>
      <sheetName val="Filtro - Regional Alta"/>
      <sheetName val="Filtro - Regional Medio"/>
      <sheetName val="Filtro - Regional Baixa"/>
      <sheetName val="Qualidade"/>
      <sheetName val="Plan1"/>
      <sheetName val="Grafico Email"/>
      <sheetName val="Plan2"/>
    </sheetNames>
    <sheetDataSet>
      <sheetData sheetId="0">
        <row r="1">
          <cell r="C1">
            <v>22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1">
          <cell r="H1" t="str">
            <v>Tudo</v>
          </cell>
        </row>
        <row r="2">
          <cell r="C2" t="str">
            <v>CTXSALPB</v>
          </cell>
          <cell r="D2" t="str">
            <v>CTX – Boa Viagem – SALPB</v>
          </cell>
          <cell r="H2" t="str">
            <v>Regional Bahia</v>
          </cell>
        </row>
        <row r="3">
          <cell r="C3" t="str">
            <v>CTXSALSM</v>
          </cell>
          <cell r="D3" t="str">
            <v>CTX – Cabula – SALSM</v>
          </cell>
          <cell r="H3" t="str">
            <v>Regional Rio de Janeiro</v>
          </cell>
        </row>
        <row r="4">
          <cell r="C4" t="str">
            <v>CTXSALLM</v>
          </cell>
          <cell r="D4" t="str">
            <v>CTX – Comércio – SALLM</v>
          </cell>
          <cell r="H4" t="str">
            <v>Regional Minas Gerais</v>
          </cell>
        </row>
        <row r="5">
          <cell r="C5" t="str">
            <v>CTXSALAS</v>
          </cell>
          <cell r="D5" t="str">
            <v>CTX – Fonte Nova – SALAS</v>
          </cell>
          <cell r="H5" t="str">
            <v>Regional Pernambuco</v>
          </cell>
          <cell r="J5">
            <v>1</v>
          </cell>
          <cell r="K5" t="str">
            <v/>
          </cell>
          <cell r="L5" t="str">
            <v>&lt;&gt;N3</v>
          </cell>
        </row>
        <row r="6">
          <cell r="C6" t="str">
            <v>CTXSALTN</v>
          </cell>
          <cell r="D6" t="str">
            <v>CTX – Tancredo Neves – SALTN</v>
          </cell>
          <cell r="H6" t="str">
            <v>Regional Ceara</v>
          </cell>
          <cell r="J6">
            <v>1</v>
          </cell>
          <cell r="K6" t="str">
            <v/>
          </cell>
        </row>
        <row r="7">
          <cell r="C7" t="str">
            <v>CTXFORBM</v>
          </cell>
          <cell r="D7" t="str">
            <v>CTX – Fortaleza – FORBM</v>
          </cell>
          <cell r="H7" t="str">
            <v>Regional Sul</v>
          </cell>
        </row>
        <row r="8">
          <cell r="C8" t="str">
            <v>CTXFORNA</v>
          </cell>
          <cell r="D8" t="str">
            <v>CTX – Nascente – FORNA</v>
          </cell>
          <cell r="H8" t="str">
            <v>Regional São Paulo</v>
          </cell>
          <cell r="J8">
            <v>1</v>
          </cell>
          <cell r="K8" t="str">
            <v/>
          </cell>
          <cell r="L8" t="str">
            <v>&lt;&gt;N3</v>
          </cell>
        </row>
        <row r="9">
          <cell r="C9" t="str">
            <v>CTXFORRP</v>
          </cell>
          <cell r="D9" t="str">
            <v>CTX – Rangel Pestana – FORRP</v>
          </cell>
          <cell r="J9">
            <v>1</v>
          </cell>
          <cell r="K9" t="str">
            <v/>
          </cell>
        </row>
        <row r="10">
          <cell r="C10" t="str">
            <v>CTXFORRB</v>
          </cell>
          <cell r="D10" t="str">
            <v>CTX – Visconde do Rio Branco – FORRB</v>
          </cell>
        </row>
        <row r="11">
          <cell r="C11" t="str">
            <v>CTXBHZRP</v>
          </cell>
          <cell r="D11" t="str">
            <v>CTX – Prado – BHZRP</v>
          </cell>
          <cell r="J11">
            <v>1</v>
          </cell>
          <cell r="K11" t="str">
            <v/>
          </cell>
          <cell r="L11" t="str">
            <v>&lt;&gt;N3</v>
          </cell>
        </row>
        <row r="12">
          <cell r="C12" t="str">
            <v>CTXBHZRI</v>
          </cell>
          <cell r="D12" t="str">
            <v>CTX – Prado2 – BHZRI</v>
          </cell>
          <cell r="J12">
            <v>1</v>
          </cell>
          <cell r="K12" t="str">
            <v/>
          </cell>
        </row>
        <row r="13">
          <cell r="C13" t="str">
            <v>CTXRECAU</v>
          </cell>
          <cell r="D13" t="str">
            <v>CTX – Aurora – RECAU</v>
          </cell>
        </row>
        <row r="14">
          <cell r="C14" t="str">
            <v>CTXRECAM</v>
          </cell>
          <cell r="D14" t="str">
            <v>CTX – Conquista – RECAM</v>
          </cell>
        </row>
        <row r="15">
          <cell r="C15" t="str">
            <v>CTXRECPR</v>
          </cell>
          <cell r="D15" t="str">
            <v>CTX – Príncipe – RECPR</v>
          </cell>
        </row>
        <row r="16">
          <cell r="C16" t="str">
            <v>CTXRECSA</v>
          </cell>
          <cell r="D16" t="str">
            <v>CTX – Santo Amaro – RECSA</v>
          </cell>
        </row>
        <row r="17">
          <cell r="C17" t="str">
            <v>CTXRJORB</v>
          </cell>
          <cell r="D17" t="str">
            <v>CTX – Beneditinos – RJORB</v>
          </cell>
        </row>
        <row r="18">
          <cell r="C18" t="str">
            <v>CTXRJOED</v>
          </cell>
          <cell r="D18" t="str">
            <v>CTX – Engenho de Dentro – RJOED</v>
          </cell>
        </row>
        <row r="19">
          <cell r="C19" t="str">
            <v>CTXRJOMK</v>
          </cell>
          <cell r="D19" t="str">
            <v>CTX – Mackenzie – RJOMK</v>
          </cell>
        </row>
        <row r="20">
          <cell r="C20" t="str">
            <v>CTXRJOMA</v>
          </cell>
          <cell r="D20" t="str">
            <v>CTX – Mauá – RJOMA</v>
          </cell>
        </row>
        <row r="21">
          <cell r="C21" t="str">
            <v>CTXNITSP</v>
          </cell>
          <cell r="D21" t="str">
            <v>CTX – Niterói – NITSP</v>
          </cell>
        </row>
        <row r="22">
          <cell r="C22" t="str">
            <v>CTXRJOPV</v>
          </cell>
          <cell r="D22" t="str">
            <v>CTX – Pres. Vargas – RJOPV</v>
          </cell>
        </row>
        <row r="23">
          <cell r="C23" t="str">
            <v>CTXRJOPF</v>
          </cell>
          <cell r="D23" t="str">
            <v>CTX – Rio Comprido – RJOPF</v>
          </cell>
        </row>
        <row r="24">
          <cell r="C24" t="str">
            <v>CTXRJOSC</v>
          </cell>
          <cell r="D24" t="str">
            <v>CTX – São Cristovão – RJOSC</v>
          </cell>
        </row>
        <row r="25">
          <cell r="C25" t="str">
            <v>CTXSPOAL</v>
          </cell>
          <cell r="D25" t="str">
            <v>CTX – Alegria – SPOAL</v>
          </cell>
        </row>
        <row r="26">
          <cell r="C26" t="str">
            <v>CTXSPOBF</v>
          </cell>
          <cell r="D26" t="str">
            <v>CTX – Antártica – SPOBF</v>
          </cell>
        </row>
        <row r="27">
          <cell r="C27" t="str">
            <v>CTXCTCRA</v>
          </cell>
          <cell r="D27" t="str">
            <v>CTX – CTC Augusta – CTCRA</v>
          </cell>
        </row>
        <row r="28">
          <cell r="C28" t="str">
            <v>CTXSPODP</v>
          </cell>
          <cell r="D28" t="str">
            <v>CTX – Dom Pedro – SPODP</v>
          </cell>
        </row>
        <row r="29">
          <cell r="C29" t="str">
            <v>CTXSPOLP</v>
          </cell>
          <cell r="D29" t="str">
            <v>CTX – Lapa – SPOLP</v>
          </cell>
        </row>
        <row r="30">
          <cell r="C30" t="str">
            <v>CTXCASQC</v>
          </cell>
          <cell r="D30" t="str">
            <v>CTX – 550 Romualdo Andreazzi – CASQC</v>
          </cell>
        </row>
        <row r="31">
          <cell r="C31" t="str">
            <v>CTXCASEH</v>
          </cell>
          <cell r="D31" t="str">
            <v>CTX – Edifício Hichan – CASEH</v>
          </cell>
        </row>
        <row r="32">
          <cell r="C32" t="str">
            <v>CTXCASEK</v>
          </cell>
          <cell r="D32" t="str">
            <v>CTX – Elektro – CASEK</v>
          </cell>
        </row>
        <row r="33">
          <cell r="C33" t="str">
            <v>CTXLONHG</v>
          </cell>
          <cell r="D33" t="str">
            <v>CTX – Higienópolis – LONHG</v>
          </cell>
        </row>
        <row r="34">
          <cell r="C34" t="str">
            <v>CTXJOINP</v>
          </cell>
          <cell r="D34" t="str">
            <v>CTX – Joinville – JOINP</v>
          </cell>
        </row>
        <row r="35">
          <cell r="C35" t="str">
            <v>CTXLONLA</v>
          </cell>
          <cell r="D35" t="str">
            <v>CTX – Luigi Amorese – LONLA</v>
          </cell>
        </row>
        <row r="36">
          <cell r="C36" t="str">
            <v>CTXPOARB</v>
          </cell>
          <cell r="D36" t="str">
            <v>CTX – Navegantes – POARB</v>
          </cell>
        </row>
        <row r="37">
          <cell r="C37" t="str">
            <v>CTXSPOAS</v>
          </cell>
          <cell r="D37" t="str">
            <v>CTX – Alameda Santos – SPOAS</v>
          </cell>
        </row>
        <row r="38">
          <cell r="C38" t="str">
            <v>CTXSPOAP407</v>
          </cell>
          <cell r="D38" t="str">
            <v>CTX – Paulista 407 – SPOAP407</v>
          </cell>
        </row>
        <row r="39">
          <cell r="C39" t="str">
            <v>CTXMTZRP</v>
          </cell>
          <cell r="D39" t="str">
            <v>CTX – Matriz – MTZRP</v>
          </cell>
        </row>
        <row r="40">
          <cell r="C40" t="str">
            <v>CTXMTZPB</v>
          </cell>
          <cell r="D40" t="str">
            <v>CTX - Praia Botafogo - MTZPB</v>
          </cell>
        </row>
        <row r="41">
          <cell r="C41" t="str">
            <v>CTXSPOJU</v>
          </cell>
          <cell r="D41" t="str">
            <v>CTX - Jurubatuba - SPOJU</v>
          </cell>
        </row>
        <row r="42">
          <cell r="C42" t="str">
            <v>CTXSPOAR</v>
          </cell>
          <cell r="D42" t="str">
            <v>CTX – Alphaville – SPOALR</v>
          </cell>
        </row>
        <row r="43">
          <cell r="C43" t="str">
            <v>CTXJPASA</v>
          </cell>
          <cell r="D43" t="str">
            <v>CTX – João Pessoa - JPASA</v>
          </cell>
        </row>
        <row r="44">
          <cell r="C44" t="str">
            <v>CTXRBRSA</v>
          </cell>
          <cell r="D44" t="str">
            <v>CTX - Rio Branco - RBRSA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Q177"/>
  <sheetViews>
    <sheetView showGridLines="0" tabSelected="1" zoomScale="85" zoomScaleNormal="85" workbookViewId="0">
      <selection activeCell="E1" sqref="A1:XFD1048576"/>
    </sheetView>
  </sheetViews>
  <sheetFormatPr defaultRowHeight="15" x14ac:dyDescent="0.25"/>
  <cols>
    <col min="1" max="1" width="5.7109375" customWidth="1"/>
    <col min="2" max="2" width="32.140625" style="1" bestFit="1" customWidth="1"/>
    <col min="3" max="3" width="17.7109375" style="1" bestFit="1" customWidth="1"/>
    <col min="4" max="4" width="65.7109375" style="1" bestFit="1" customWidth="1"/>
    <col min="5" max="5" width="18.85546875" style="1" bestFit="1" customWidth="1"/>
    <col min="6" max="6" width="6" style="1" bestFit="1" customWidth="1"/>
    <col min="7" max="7" width="18.5703125" style="1" customWidth="1"/>
    <col min="8" max="8" width="20.28515625" bestFit="1" customWidth="1"/>
    <col min="9" max="9" width="14.7109375" bestFit="1" customWidth="1"/>
    <col min="10" max="10" width="18.28515625" bestFit="1" customWidth="1"/>
    <col min="16" max="16" width="25" customWidth="1"/>
    <col min="17" max="17" width="2.140625" bestFit="1" customWidth="1"/>
  </cols>
  <sheetData>
    <row r="1" spans="1:17" x14ac:dyDescent="0.2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386</v>
      </c>
      <c r="H1" s="8" t="s">
        <v>5</v>
      </c>
      <c r="I1" s="8" t="s">
        <v>6</v>
      </c>
      <c r="J1" s="8" t="s">
        <v>7</v>
      </c>
      <c r="P1" s="9"/>
      <c r="Q1" s="10">
        <v>2</v>
      </c>
    </row>
    <row r="2" spans="1:17" x14ac:dyDescent="0.25">
      <c r="A2" s="2"/>
      <c r="B2" s="3" t="str">
        <f>VLOOKUP(MID(C2,1,(SEARCH("-",C2)-1)),'[1]Regional x Site'!$C$2:$D$128,2,0)</f>
        <v>CTX – Antártica – SPOBF</v>
      </c>
      <c r="C2" s="3" t="s">
        <v>70</v>
      </c>
      <c r="D2" s="3" t="s">
        <v>71</v>
      </c>
      <c r="E2" s="4" t="s">
        <v>72</v>
      </c>
      <c r="F2" s="3" t="str">
        <f>IF(OR(MONTH(E2)&lt;&gt;$Q$1,YEAR(E2)&lt;&gt;2016),"Meses Ant",TEXT(E2,"dd/mm"))</f>
        <v>01/02</v>
      </c>
      <c r="G2" s="3" t="s">
        <v>387</v>
      </c>
      <c r="H2" s="4" t="s">
        <v>11</v>
      </c>
      <c r="I2" s="4">
        <v>42401.571527777778</v>
      </c>
      <c r="J2" s="4" t="s">
        <v>16</v>
      </c>
    </row>
    <row r="3" spans="1:17" x14ac:dyDescent="0.25">
      <c r="A3" s="2"/>
      <c r="B3" s="3" t="str">
        <f>VLOOKUP(MID(C3,1,(SEARCH("-",C3)-1)),'[1]Regional x Site'!$C$2:$D$128,2,0)</f>
        <v>CTX – Antártica – SPOBF</v>
      </c>
      <c r="C3" s="3" t="s">
        <v>73</v>
      </c>
      <c r="D3" s="3" t="s">
        <v>71</v>
      </c>
      <c r="E3" s="4" t="s">
        <v>74</v>
      </c>
      <c r="F3" s="3" t="str">
        <f>IF(OR(MONTH(E3)&lt;&gt;$Q$1,YEAR(E3)&lt;&gt;2016),"Meses Ant",TEXT(E3,"dd/mm"))</f>
        <v>01/02</v>
      </c>
      <c r="G3" s="3" t="s">
        <v>387</v>
      </c>
      <c r="H3" s="4" t="s">
        <v>11</v>
      </c>
      <c r="I3" s="4">
        <v>42403.197222222225</v>
      </c>
      <c r="J3" s="4" t="s">
        <v>16</v>
      </c>
    </row>
    <row r="4" spans="1:17" x14ac:dyDescent="0.25">
      <c r="A4" s="2"/>
      <c r="B4" s="3" t="str">
        <f>VLOOKUP(MID(C4,1,(SEARCH("-",C4)-1)),'[1]Regional x Site'!$C$2:$D$128,2,0)</f>
        <v>CTX – Santo Amaro – RECSA</v>
      </c>
      <c r="C4" s="3" t="s">
        <v>319</v>
      </c>
      <c r="D4" s="3" t="s">
        <v>320</v>
      </c>
      <c r="E4" s="4" t="s">
        <v>321</v>
      </c>
      <c r="F4" s="3" t="str">
        <f>IF(OR(MONTH(E4)&lt;&gt;$Q$1,YEAR(E4)&lt;&gt;2016),"Meses Ant",TEXT(E4,"dd/mm"))</f>
        <v>01/02</v>
      </c>
      <c r="G4" s="3" t="s">
        <v>387</v>
      </c>
      <c r="H4" s="4" t="s">
        <v>11</v>
      </c>
      <c r="I4" s="4">
        <v>42401.503472222219</v>
      </c>
      <c r="J4" s="4" t="s">
        <v>12</v>
      </c>
    </row>
    <row r="5" spans="1:17" x14ac:dyDescent="0.25">
      <c r="A5" s="2"/>
      <c r="B5" s="3" t="str">
        <f>VLOOKUP(MID(C5,1,(SEARCH("-",C5)-1)),'[1]Regional x Site'!$C$2:$D$128,2,0)</f>
        <v>CTX – Antártica – SPOBF</v>
      </c>
      <c r="C5" s="3" t="s">
        <v>75</v>
      </c>
      <c r="D5" s="3" t="s">
        <v>25</v>
      </c>
      <c r="E5" s="4" t="s">
        <v>76</v>
      </c>
      <c r="F5" s="3" t="str">
        <f>IF(OR(MONTH(E5)&lt;&gt;$Q$1,YEAR(E5)&lt;&gt;2016),"Meses Ant",TEXT(E5,"dd/mm"))</f>
        <v>01/02</v>
      </c>
      <c r="G5" s="3" t="s">
        <v>388</v>
      </c>
      <c r="H5" s="4" t="s">
        <v>11</v>
      </c>
      <c r="I5" s="4">
        <v>42401.415972222225</v>
      </c>
      <c r="J5" s="4" t="s">
        <v>12</v>
      </c>
    </row>
    <row r="6" spans="1:17" x14ac:dyDescent="0.25">
      <c r="A6" s="2"/>
      <c r="B6" s="3" t="str">
        <f>VLOOKUP(MID(C6,1,(SEARCH("-",C6)-1)),'[1]Regional x Site'!$C$2:$D$128,2,0)</f>
        <v>CTX – Antártica – SPOBF</v>
      </c>
      <c r="C6" s="3" t="s">
        <v>77</v>
      </c>
      <c r="D6" s="3" t="s">
        <v>19</v>
      </c>
      <c r="E6" s="4" t="s">
        <v>78</v>
      </c>
      <c r="F6" s="3" t="str">
        <f>IF(OR(MONTH(E6)&lt;&gt;$Q$1,YEAR(E6)&lt;&gt;2016),"Meses Ant",TEXT(E6,"dd/mm"))</f>
        <v>01/02</v>
      </c>
      <c r="G6" s="3" t="s">
        <v>389</v>
      </c>
      <c r="H6" s="4" t="s">
        <v>17</v>
      </c>
      <c r="I6" s="4">
        <v>42401.540277777778</v>
      </c>
      <c r="J6" s="4" t="s">
        <v>12</v>
      </c>
    </row>
    <row r="7" spans="1:17" x14ac:dyDescent="0.25">
      <c r="A7" s="2"/>
      <c r="B7" s="3" t="str">
        <f>VLOOKUP(MID(C7,1,(SEARCH("-",C7)-1)),'[1]Regional x Site'!$C$2:$D$128,2,0)</f>
        <v>CTX – Boa Viagem – SALPB</v>
      </c>
      <c r="C7" s="3" t="s">
        <v>124</v>
      </c>
      <c r="D7" s="3" t="s">
        <v>121</v>
      </c>
      <c r="E7" s="4" t="s">
        <v>125</v>
      </c>
      <c r="F7" s="3" t="str">
        <f>IF(OR(MONTH(E7)&lt;&gt;$Q$1,YEAR(E7)&lt;&gt;2016),"Meses Ant",TEXT(E7,"dd/mm"))</f>
        <v>01/02</v>
      </c>
      <c r="G7" s="3" t="s">
        <v>387</v>
      </c>
      <c r="H7" s="4" t="s">
        <v>11</v>
      </c>
      <c r="I7" s="4">
        <v>42403.697222222225</v>
      </c>
      <c r="J7" s="4" t="s">
        <v>16</v>
      </c>
    </row>
    <row r="8" spans="1:17" x14ac:dyDescent="0.25">
      <c r="A8" s="2"/>
      <c r="B8" s="3" t="str">
        <f>VLOOKUP(MID(C8,1,(SEARCH("-",C8)-1)),'[1]Regional x Site'!$C$2:$D$128,2,0)</f>
        <v>CTX – Edifício Hichan – CASEH</v>
      </c>
      <c r="C8" s="3" t="s">
        <v>180</v>
      </c>
      <c r="D8" s="3" t="s">
        <v>71</v>
      </c>
      <c r="E8" s="4" t="s">
        <v>181</v>
      </c>
      <c r="F8" s="3" t="str">
        <f>IF(OR(MONTH(E8)&lt;&gt;$Q$1,YEAR(E8)&lt;&gt;2016),"Meses Ant",TEXT(E8,"dd/mm"))</f>
        <v>01/02</v>
      </c>
      <c r="G8" s="3" t="s">
        <v>387</v>
      </c>
      <c r="H8" s="4" t="s">
        <v>11</v>
      </c>
      <c r="I8" s="4">
        <v>42403.508333333331</v>
      </c>
      <c r="J8" s="4" t="s">
        <v>16</v>
      </c>
    </row>
    <row r="9" spans="1:17" x14ac:dyDescent="0.25">
      <c r="A9" s="2"/>
      <c r="B9" s="3" t="str">
        <f>VLOOKUP(MID(C9,1,(SEARCH("-",C9)-1)),'[1]Regional x Site'!$C$2:$D$128,2,0)</f>
        <v>CTX – Santo Amaro – RECSA</v>
      </c>
      <c r="C9" s="3" t="s">
        <v>324</v>
      </c>
      <c r="D9" s="3" t="s">
        <v>199</v>
      </c>
      <c r="E9" s="4" t="s">
        <v>325</v>
      </c>
      <c r="F9" s="3" t="str">
        <f>IF(OR(MONTH(E9)&lt;&gt;$Q$1,YEAR(E9)&lt;&gt;2016),"Meses Ant",TEXT(E9,"dd/mm"))</f>
        <v>01/02</v>
      </c>
      <c r="G9" s="3" t="s">
        <v>389</v>
      </c>
      <c r="H9" s="4" t="s">
        <v>17</v>
      </c>
      <c r="I9" s="4">
        <v>42401.743750000001</v>
      </c>
      <c r="J9" s="4" t="s">
        <v>12</v>
      </c>
    </row>
    <row r="10" spans="1:17" x14ac:dyDescent="0.25">
      <c r="A10" s="2"/>
      <c r="B10" s="3" t="str">
        <f>VLOOKUP(MID(C10,1,(SEARCH("-",C10)-1)),'[1]Regional x Site'!$C$2:$D$128,2,0)</f>
        <v>CTX – Santo Amaro – RECSA</v>
      </c>
      <c r="C10" s="3" t="s">
        <v>326</v>
      </c>
      <c r="D10" s="3" t="s">
        <v>51</v>
      </c>
      <c r="E10" s="4" t="s">
        <v>327</v>
      </c>
      <c r="F10" s="3" t="str">
        <f>IF(OR(MONTH(E10)&lt;&gt;$Q$1,YEAR(E10)&lt;&gt;2016),"Meses Ant",TEXT(E10,"dd/mm"))</f>
        <v>01/02</v>
      </c>
      <c r="G10" s="3" t="s">
        <v>387</v>
      </c>
      <c r="H10" s="4" t="s">
        <v>11</v>
      </c>
      <c r="I10" s="4">
        <v>42403.197916666664</v>
      </c>
      <c r="J10" s="4" t="s">
        <v>16</v>
      </c>
    </row>
    <row r="11" spans="1:17" x14ac:dyDescent="0.25">
      <c r="A11" s="2"/>
      <c r="B11" s="3" t="str">
        <f>VLOOKUP(MID(C11,1,(SEARCH("-",C11)-1)),'[1]Regional x Site'!$C$2:$D$128,2,0)</f>
        <v>CTX – Navegantes – POARB</v>
      </c>
      <c r="C11" s="3" t="s">
        <v>269</v>
      </c>
      <c r="D11" s="3" t="s">
        <v>116</v>
      </c>
      <c r="E11" s="4" t="s">
        <v>270</v>
      </c>
      <c r="F11" s="3" t="str">
        <f>IF(OR(MONTH(E11)&lt;&gt;$Q$1,YEAR(E11)&lt;&gt;2016),"Meses Ant",TEXT(E11,"dd/mm"))</f>
        <v>01/02</v>
      </c>
      <c r="G11" s="3" t="s">
        <v>387</v>
      </c>
      <c r="H11" s="4" t="s">
        <v>11</v>
      </c>
      <c r="I11" s="4">
        <v>42404.464583333334</v>
      </c>
      <c r="J11" s="4" t="s">
        <v>16</v>
      </c>
    </row>
    <row r="12" spans="1:17" x14ac:dyDescent="0.25">
      <c r="A12" s="2"/>
      <c r="B12" s="3" t="str">
        <f>VLOOKUP(MID(C12,1,(SEARCH("-",C12)-1)),'[1]Regional x Site'!$C$2:$D$128,2,0)</f>
        <v>CTX – Navegantes – POARB</v>
      </c>
      <c r="C12" s="3" t="s">
        <v>271</v>
      </c>
      <c r="D12" s="3" t="s">
        <v>116</v>
      </c>
      <c r="E12" s="4" t="s">
        <v>272</v>
      </c>
      <c r="F12" s="3" t="str">
        <f>IF(OR(MONTH(E12)&lt;&gt;$Q$1,YEAR(E12)&lt;&gt;2016),"Meses Ant",TEXT(E12,"dd/mm"))</f>
        <v>01/02</v>
      </c>
      <c r="G12" s="3" t="s">
        <v>387</v>
      </c>
      <c r="H12" s="4" t="s">
        <v>11</v>
      </c>
      <c r="I12" s="4">
        <v>42402.680555555555</v>
      </c>
      <c r="J12" s="4" t="s">
        <v>16</v>
      </c>
    </row>
    <row r="13" spans="1:17" x14ac:dyDescent="0.25">
      <c r="A13" s="2"/>
      <c r="B13" s="3" t="str">
        <f>VLOOKUP(MID(C13,1,(SEARCH("-",C13)-1)),'[1]Regional x Site'!$C$2:$D$128,2,0)</f>
        <v>CTX – Santo Amaro – RECSA</v>
      </c>
      <c r="C13" s="3" t="s">
        <v>328</v>
      </c>
      <c r="D13" s="3" t="s">
        <v>115</v>
      </c>
      <c r="E13" s="4" t="s">
        <v>329</v>
      </c>
      <c r="F13" s="3" t="str">
        <f>IF(OR(MONTH(E13)&lt;&gt;$Q$1,YEAR(E13)&lt;&gt;2016),"Meses Ant",TEXT(E13,"dd/mm"))</f>
        <v>02/02</v>
      </c>
      <c r="G13" s="3" t="s">
        <v>388</v>
      </c>
      <c r="H13" s="4" t="s">
        <v>11</v>
      </c>
      <c r="I13" s="4">
        <v>42402.368750000001</v>
      </c>
      <c r="J13" s="4" t="s">
        <v>12</v>
      </c>
    </row>
    <row r="14" spans="1:17" x14ac:dyDescent="0.25">
      <c r="B14" s="3" t="str">
        <f>VLOOKUP(MID(C14,1,(SEARCH("-",C14)-1)),'[1]Regional x Site'!$C$2:$D$128,2,0)</f>
        <v>CTX – Mackenzie – RJOMK</v>
      </c>
      <c r="C14" s="3" t="s">
        <v>239</v>
      </c>
      <c r="D14" s="3" t="s">
        <v>186</v>
      </c>
      <c r="E14" s="4" t="s">
        <v>240</v>
      </c>
      <c r="F14" s="3" t="str">
        <f>IF(OR(MONTH(E14)&lt;&gt;$Q$1,YEAR(E14)&lt;&gt;2016),"Meses Ant",TEXT(E14,"dd/mm"))</f>
        <v>02/02</v>
      </c>
      <c r="G14" s="3" t="s">
        <v>389</v>
      </c>
      <c r="H14" s="4" t="s">
        <v>17</v>
      </c>
      <c r="I14" s="4">
        <v>42402.338194444441</v>
      </c>
      <c r="J14" s="4" t="s">
        <v>12</v>
      </c>
    </row>
    <row r="15" spans="1:17" x14ac:dyDescent="0.25">
      <c r="B15" s="3" t="str">
        <f>VLOOKUP(MID(C15,1,(SEARCH("-",C15)-1)),'[1]Regional x Site'!$C$2:$D$128,2,0)</f>
        <v>CTX – Prado2 – BHZRI</v>
      </c>
      <c r="C15" s="3" t="s">
        <v>301</v>
      </c>
      <c r="D15" s="3" t="s">
        <v>200</v>
      </c>
      <c r="E15" s="4" t="s">
        <v>302</v>
      </c>
      <c r="F15" s="3" t="str">
        <f>IF(OR(MONTH(E15)&lt;&gt;$Q$1,YEAR(E15)&lt;&gt;2016),"Meses Ant",TEXT(E15,"dd/mm"))</f>
        <v>02/02</v>
      </c>
      <c r="G15" s="3" t="s">
        <v>393</v>
      </c>
      <c r="H15" s="4" t="s">
        <v>17</v>
      </c>
      <c r="I15" s="4">
        <v>42402.354166666664</v>
      </c>
      <c r="J15" s="4" t="s">
        <v>12</v>
      </c>
    </row>
    <row r="16" spans="1:17" x14ac:dyDescent="0.25">
      <c r="B16" s="3" t="str">
        <f>VLOOKUP(MID(C16,1,(SEARCH("-",C16)-1)),'[1]Regional x Site'!$C$2:$D$128,2,0)</f>
        <v>CTX – João Pessoa - JPASA</v>
      </c>
      <c r="C16" s="3" t="s">
        <v>211</v>
      </c>
      <c r="D16" s="3" t="s">
        <v>71</v>
      </c>
      <c r="E16" s="4" t="s">
        <v>212</v>
      </c>
      <c r="F16" s="3" t="str">
        <f>IF(OR(MONTH(E16)&lt;&gt;$Q$1,YEAR(E16)&lt;&gt;2016),"Meses Ant",TEXT(E16,"dd/mm"))</f>
        <v>02/02</v>
      </c>
      <c r="G16" s="3" t="s">
        <v>392</v>
      </c>
      <c r="H16" s="4" t="s">
        <v>11</v>
      </c>
      <c r="I16" s="4">
        <v>42403.199305555558</v>
      </c>
      <c r="J16" s="4" t="s">
        <v>15</v>
      </c>
    </row>
    <row r="17" spans="2:10" x14ac:dyDescent="0.25">
      <c r="B17" s="3" t="str">
        <f>VLOOKUP(MID(C17,1,(SEARCH("-",C17)-1)),'[1]Regional x Site'!$C$2:$D$128,2,0)</f>
        <v>CTX – Alameda Santos – SPOAS</v>
      </c>
      <c r="C17" s="3" t="s">
        <v>20</v>
      </c>
      <c r="D17" s="3" t="s">
        <v>21</v>
      </c>
      <c r="E17" s="4" t="s">
        <v>22</v>
      </c>
      <c r="F17" s="3" t="str">
        <f>IF(OR(MONTH(E17)&lt;&gt;$Q$1,YEAR(E17)&lt;&gt;2016),"Meses Ant",TEXT(E17,"dd/mm"))</f>
        <v>02/02</v>
      </c>
      <c r="G17" s="3" t="s">
        <v>390</v>
      </c>
      <c r="H17" s="4" t="s">
        <v>11</v>
      </c>
      <c r="I17" s="4">
        <v>42403.507638888892</v>
      </c>
      <c r="J17" s="4" t="s">
        <v>12</v>
      </c>
    </row>
    <row r="18" spans="2:10" x14ac:dyDescent="0.25">
      <c r="B18" s="3" t="str">
        <f>VLOOKUP(MID(C18,1,(SEARCH("-",C18)-1)),'[1]Regional x Site'!$C$2:$D$128,2,0)</f>
        <v>CTX – Santo Amaro – RECSA</v>
      </c>
      <c r="C18" s="3" t="s">
        <v>330</v>
      </c>
      <c r="D18" s="3" t="s">
        <v>323</v>
      </c>
      <c r="E18" s="4" t="s">
        <v>331</v>
      </c>
      <c r="F18" s="3" t="str">
        <f>IF(OR(MONTH(E18)&lt;&gt;$Q$1,YEAR(E18)&lt;&gt;2016),"Meses Ant",TEXT(E18,"dd/mm"))</f>
        <v>02/02</v>
      </c>
      <c r="G18" s="3" t="s">
        <v>387</v>
      </c>
      <c r="H18" s="4" t="s">
        <v>11</v>
      </c>
      <c r="I18" s="4">
        <v>42403.659722222219</v>
      </c>
      <c r="J18" s="4" t="s">
        <v>16</v>
      </c>
    </row>
    <row r="19" spans="2:10" x14ac:dyDescent="0.25">
      <c r="B19" s="3" t="str">
        <f>VLOOKUP(MID(C19,1,(SEARCH("-",C19)-1)),'[1]Regional x Site'!$C$2:$D$128,2,0)</f>
        <v>CTX – Alegria – SPOAL</v>
      </c>
      <c r="C19" s="3" t="s">
        <v>29</v>
      </c>
      <c r="D19" s="3" t="s">
        <v>30</v>
      </c>
      <c r="E19" s="4" t="s">
        <v>31</v>
      </c>
      <c r="F19" s="3" t="str">
        <f>IF(OR(MONTH(E19)&lt;&gt;$Q$1,YEAR(E19)&lt;&gt;2016),"Meses Ant",TEXT(E19,"dd/mm"))</f>
        <v>02/02</v>
      </c>
      <c r="G19" s="3" t="s">
        <v>391</v>
      </c>
      <c r="H19" s="4" t="s">
        <v>11</v>
      </c>
      <c r="I19" s="4">
        <v>42410.402083333334</v>
      </c>
      <c r="J19" s="4" t="s">
        <v>12</v>
      </c>
    </row>
    <row r="20" spans="2:10" x14ac:dyDescent="0.25">
      <c r="B20" s="3" t="str">
        <f>VLOOKUP(MID(C20,1,(SEARCH("-",C20)-1)),'[1]Regional x Site'!$C$2:$D$128,2,0)</f>
        <v>CTX – Alegria – SPOAL</v>
      </c>
      <c r="C20" s="3" t="s">
        <v>32</v>
      </c>
      <c r="D20" s="3" t="s">
        <v>33</v>
      </c>
      <c r="E20" s="4" t="s">
        <v>34</v>
      </c>
      <c r="F20" s="3" t="str">
        <f>IF(OR(MONTH(E20)&lt;&gt;$Q$1,YEAR(E20)&lt;&gt;2016),"Meses Ant",TEXT(E20,"dd/mm"))</f>
        <v>02/02</v>
      </c>
      <c r="G20" s="3" t="s">
        <v>392</v>
      </c>
      <c r="H20" s="4" t="s">
        <v>11</v>
      </c>
      <c r="I20" s="4">
        <v>42402.542361111111</v>
      </c>
      <c r="J20" s="4" t="s">
        <v>15</v>
      </c>
    </row>
    <row r="21" spans="2:10" x14ac:dyDescent="0.25">
      <c r="B21" s="3" t="str">
        <f>VLOOKUP(MID(C21,1,(SEARCH("-",C21)-1)),'[1]Regional x Site'!$C$2:$D$128,2,0)</f>
        <v>CTX – Santo Amaro – RECSA</v>
      </c>
      <c r="C21" s="3" t="s">
        <v>332</v>
      </c>
      <c r="D21" s="3" t="s">
        <v>51</v>
      </c>
      <c r="E21" s="4" t="s">
        <v>333</v>
      </c>
      <c r="F21" s="3" t="str">
        <f>IF(OR(MONTH(E21)&lt;&gt;$Q$1,YEAR(E21)&lt;&gt;2016),"Meses Ant",TEXT(E21,"dd/mm"))</f>
        <v>02/02</v>
      </c>
      <c r="G21" s="3" t="s">
        <v>387</v>
      </c>
      <c r="H21" s="4" t="s">
        <v>11</v>
      </c>
      <c r="I21" s="4">
        <v>42402.762499999997</v>
      </c>
      <c r="J21" s="4" t="s">
        <v>16</v>
      </c>
    </row>
    <row r="22" spans="2:10" x14ac:dyDescent="0.25">
      <c r="B22" s="3" t="str">
        <f>VLOOKUP(MID(C22,1,(SEARCH("-",C22)-1)),'[1]Regional x Site'!$C$2:$D$128,2,0)</f>
        <v>CTX – Boa Viagem – SALPB</v>
      </c>
      <c r="C22" s="3" t="s">
        <v>127</v>
      </c>
      <c r="D22" s="3" t="s">
        <v>120</v>
      </c>
      <c r="E22" s="4" t="s">
        <v>128</v>
      </c>
      <c r="F22" s="3" t="str">
        <f>IF(OR(MONTH(E22)&lt;&gt;$Q$1,YEAR(E22)&lt;&gt;2016),"Meses Ant",TEXT(E22,"dd/mm"))</f>
        <v>02/02</v>
      </c>
      <c r="G22" s="3" t="s">
        <v>387</v>
      </c>
      <c r="H22" s="4" t="s">
        <v>17</v>
      </c>
      <c r="I22" s="4">
        <v>42403.454861111109</v>
      </c>
      <c r="J22" s="4" t="s">
        <v>16</v>
      </c>
    </row>
    <row r="23" spans="2:10" x14ac:dyDescent="0.25">
      <c r="B23" s="3" t="str">
        <f>VLOOKUP(MID(C23,1,(SEARCH("-",C23)-1)),'[1]Regional x Site'!$C$2:$D$128,2,0)</f>
        <v>CTX – Cabula – SALSM</v>
      </c>
      <c r="C23" s="3" t="s">
        <v>156</v>
      </c>
      <c r="D23" s="3" t="s">
        <v>153</v>
      </c>
      <c r="E23" s="4" t="s">
        <v>157</v>
      </c>
      <c r="F23" s="3" t="str">
        <f>IF(OR(MONTH(E23)&lt;&gt;$Q$1,YEAR(E23)&lt;&gt;2016),"Meses Ant",TEXT(E23,"dd/mm"))</f>
        <v>03/02</v>
      </c>
      <c r="G23" s="3" t="s">
        <v>387</v>
      </c>
      <c r="H23" s="4" t="s">
        <v>11</v>
      </c>
      <c r="I23" s="4">
        <v>42403.711111111108</v>
      </c>
      <c r="J23" s="4" t="s">
        <v>16</v>
      </c>
    </row>
    <row r="24" spans="2:10" x14ac:dyDescent="0.25">
      <c r="B24" s="3" t="str">
        <f>VLOOKUP(MID(C24,1,(SEARCH("-",C24)-1)),'[1]Regional x Site'!$C$2:$D$128,2,0)</f>
        <v>CTX – Santo Amaro – RECSA</v>
      </c>
      <c r="C24" s="3" t="s">
        <v>334</v>
      </c>
      <c r="D24" s="3" t="s">
        <v>322</v>
      </c>
      <c r="E24" s="4" t="s">
        <v>335</v>
      </c>
      <c r="F24" s="3" t="str">
        <f>IF(OR(MONTH(E24)&lt;&gt;$Q$1,YEAR(E24)&lt;&gt;2016),"Meses Ant",TEXT(E24,"dd/mm"))</f>
        <v>03/02</v>
      </c>
      <c r="G24" s="3" t="s">
        <v>387</v>
      </c>
      <c r="H24" s="4" t="s">
        <v>11</v>
      </c>
      <c r="I24" s="4">
        <v>42403.675694444442</v>
      </c>
      <c r="J24" s="4" t="s">
        <v>16</v>
      </c>
    </row>
    <row r="25" spans="2:10" x14ac:dyDescent="0.25">
      <c r="B25" s="3" t="str">
        <f>VLOOKUP(MID(C25,1,(SEARCH("-",C25)-1)),'[1]Regional x Site'!$C$2:$D$128,2,0)</f>
        <v>CTX – Santo Amaro – RECSA</v>
      </c>
      <c r="C25" s="3" t="s">
        <v>336</v>
      </c>
      <c r="D25" s="3" t="s">
        <v>119</v>
      </c>
      <c r="E25" s="4" t="s">
        <v>337</v>
      </c>
      <c r="F25" s="3" t="str">
        <f>IF(OR(MONTH(E25)&lt;&gt;$Q$1,YEAR(E25)&lt;&gt;2016),"Meses Ant",TEXT(E25,"dd/mm"))</f>
        <v>03/02</v>
      </c>
      <c r="G25" s="3" t="s">
        <v>387</v>
      </c>
      <c r="H25" s="4" t="s">
        <v>17</v>
      </c>
      <c r="I25" s="4">
        <v>42404.472222222219</v>
      </c>
      <c r="J25" s="4" t="s">
        <v>16</v>
      </c>
    </row>
    <row r="26" spans="2:10" x14ac:dyDescent="0.25">
      <c r="B26" s="3" t="str">
        <f>VLOOKUP(MID(C26,1,(SEARCH("-",C26)-1)),'[1]Regional x Site'!$C$2:$D$128,2,0)</f>
        <v>CTX – Niterói – NITSP</v>
      </c>
      <c r="C26" s="3" t="s">
        <v>287</v>
      </c>
      <c r="D26" s="3" t="s">
        <v>285</v>
      </c>
      <c r="E26" s="4" t="s">
        <v>288</v>
      </c>
      <c r="F26" s="3" t="str">
        <f>IF(OR(MONTH(E26)&lt;&gt;$Q$1,YEAR(E26)&lt;&gt;2016),"Meses Ant",TEXT(E26,"dd/mm"))</f>
        <v>03/02</v>
      </c>
      <c r="G26" s="3" t="s">
        <v>387</v>
      </c>
      <c r="H26" s="4" t="s">
        <v>11</v>
      </c>
      <c r="I26" s="4">
        <v>42403.478472222225</v>
      </c>
      <c r="J26" s="4" t="s">
        <v>12</v>
      </c>
    </row>
    <row r="27" spans="2:10" x14ac:dyDescent="0.25">
      <c r="B27" s="3" t="str">
        <f>VLOOKUP(MID(C27,1,(SEARCH("-",C27)-1)),'[1]Regional x Site'!$C$2:$D$128,2,0)</f>
        <v>CTX – Nascente – FORNA</v>
      </c>
      <c r="C27" s="3" t="s">
        <v>267</v>
      </c>
      <c r="D27" s="3" t="s">
        <v>266</v>
      </c>
      <c r="E27" s="4" t="s">
        <v>268</v>
      </c>
      <c r="F27" s="3" t="str">
        <f>IF(OR(MONTH(E27)&lt;&gt;$Q$1,YEAR(E27)&lt;&gt;2016),"Meses Ant",TEXT(E27,"dd/mm"))</f>
        <v>03/02</v>
      </c>
      <c r="G27" s="3" t="s">
        <v>398</v>
      </c>
      <c r="H27" s="4" t="s">
        <v>17</v>
      </c>
      <c r="I27" s="4">
        <v>42403.529861111114</v>
      </c>
      <c r="J27" s="4" t="s">
        <v>12</v>
      </c>
    </row>
    <row r="28" spans="2:10" x14ac:dyDescent="0.25">
      <c r="B28" s="3" t="str">
        <f>VLOOKUP(MID(C28,1,(SEARCH("-",C28)-1)),'[1]Regional x Site'!$C$2:$D$128,2,0)</f>
        <v>CTX – Alegria – SPOAL</v>
      </c>
      <c r="C28" s="3" t="s">
        <v>35</v>
      </c>
      <c r="D28" s="3" t="s">
        <v>36</v>
      </c>
      <c r="E28" s="4" t="s">
        <v>37</v>
      </c>
      <c r="F28" s="3" t="str">
        <f>IF(OR(MONTH(E28)&lt;&gt;$Q$1,YEAR(E28)&lt;&gt;2016),"Meses Ant",TEXT(E28,"dd/mm"))</f>
        <v>03/02</v>
      </c>
      <c r="G28" s="3" t="s">
        <v>389</v>
      </c>
      <c r="H28" s="4" t="s">
        <v>11</v>
      </c>
      <c r="I28" s="4">
        <v>42403.616666666669</v>
      </c>
      <c r="J28" s="4" t="s">
        <v>12</v>
      </c>
    </row>
    <row r="29" spans="2:10" x14ac:dyDescent="0.25">
      <c r="B29" s="3" t="str">
        <f>VLOOKUP(MID(C29,1,(SEARCH("-",C29)-1)),'[1]Regional x Site'!$C$2:$D$128,2,0)</f>
        <v>CTX – CTC Augusta – CTCRA</v>
      </c>
      <c r="C29" s="3" t="s">
        <v>173</v>
      </c>
      <c r="D29" s="3" t="s">
        <v>172</v>
      </c>
      <c r="E29" s="4" t="s">
        <v>174</v>
      </c>
      <c r="F29" s="3" t="str">
        <f>IF(OR(MONTH(E29)&lt;&gt;$Q$1,YEAR(E29)&lt;&gt;2016),"Meses Ant",TEXT(E29,"dd/mm"))</f>
        <v>03/02</v>
      </c>
      <c r="G29" s="3" t="s">
        <v>391</v>
      </c>
      <c r="H29" s="4" t="s">
        <v>17</v>
      </c>
      <c r="I29" s="4">
        <v>42404.529166666667</v>
      </c>
      <c r="J29" s="4" t="s">
        <v>15</v>
      </c>
    </row>
    <row r="30" spans="2:10" x14ac:dyDescent="0.25">
      <c r="B30" s="3" t="str">
        <f>VLOOKUP(MID(C30,1,(SEARCH("-",C30)-1)),'[1]Regional x Site'!$C$2:$D$128,2,0)</f>
        <v>CTX – Navegantes – POARB</v>
      </c>
      <c r="C30" s="3" t="s">
        <v>274</v>
      </c>
      <c r="D30" s="3" t="s">
        <v>116</v>
      </c>
      <c r="E30" s="4" t="s">
        <v>275</v>
      </c>
      <c r="F30" s="3" t="str">
        <f>IF(OR(MONTH(E30)&lt;&gt;$Q$1,YEAR(E30)&lt;&gt;2016),"Meses Ant",TEXT(E30,"dd/mm"))</f>
        <v>03/02</v>
      </c>
      <c r="G30" s="3" t="s">
        <v>387</v>
      </c>
      <c r="H30" s="4" t="s">
        <v>17</v>
      </c>
      <c r="I30" s="4">
        <v>42404.419444444444</v>
      </c>
      <c r="J30" s="4" t="s">
        <v>16</v>
      </c>
    </row>
    <row r="31" spans="2:10" x14ac:dyDescent="0.25">
      <c r="B31" s="3" t="str">
        <f>VLOOKUP(MID(C31,1,(SEARCH("-",C31)-1)),'[1]Regional x Site'!$C$2:$D$128,2,0)</f>
        <v>CTX – Santo Amaro – RECSA</v>
      </c>
      <c r="C31" s="3" t="s">
        <v>338</v>
      </c>
      <c r="D31" s="3" t="s">
        <v>51</v>
      </c>
      <c r="E31" s="4" t="s">
        <v>339</v>
      </c>
      <c r="F31" s="3" t="str">
        <f>IF(OR(MONTH(E31)&lt;&gt;$Q$1,YEAR(E31)&lt;&gt;2016),"Meses Ant",TEXT(E31,"dd/mm"))</f>
        <v>03/02</v>
      </c>
      <c r="G31" s="3" t="s">
        <v>387</v>
      </c>
      <c r="H31" s="4" t="s">
        <v>17</v>
      </c>
      <c r="I31" s="4">
        <v>42404.660416666666</v>
      </c>
      <c r="J31" s="4" t="s">
        <v>16</v>
      </c>
    </row>
    <row r="32" spans="2:10" x14ac:dyDescent="0.25">
      <c r="B32" s="3" t="str">
        <f>VLOOKUP(MID(C32,1,(SEARCH("-",C32)-1)),'[1]Regional x Site'!$C$2:$D$128,2,0)</f>
        <v>CTX – Niterói – NITSP</v>
      </c>
      <c r="C32" s="3" t="s">
        <v>290</v>
      </c>
      <c r="D32" s="3" t="s">
        <v>153</v>
      </c>
      <c r="E32" s="4" t="s">
        <v>291</v>
      </c>
      <c r="F32" s="3" t="str">
        <f>IF(OR(MONTH(E32)&lt;&gt;$Q$1,YEAR(E32)&lt;&gt;2016),"Meses Ant",TEXT(E32,"dd/mm"))</f>
        <v>04/02</v>
      </c>
      <c r="G32" s="3" t="s">
        <v>391</v>
      </c>
      <c r="H32" s="4" t="s">
        <v>17</v>
      </c>
      <c r="I32" s="4">
        <v>42404.407638888886</v>
      </c>
      <c r="J32" s="4" t="s">
        <v>12</v>
      </c>
    </row>
    <row r="33" spans="2:10" x14ac:dyDescent="0.25">
      <c r="B33" s="3" t="str">
        <f>VLOOKUP(MID(C33,1,(SEARCH("-",C33)-1)),'[1]Regional x Site'!$C$2:$D$128,2,0)</f>
        <v>CTX – Antártica – SPOBF</v>
      </c>
      <c r="C33" s="3" t="s">
        <v>81</v>
      </c>
      <c r="D33" s="3" t="s">
        <v>19</v>
      </c>
      <c r="E33" s="4" t="s">
        <v>82</v>
      </c>
      <c r="F33" s="3" t="str">
        <f>IF(OR(MONTH(E33)&lt;&gt;$Q$1,YEAR(E33)&lt;&gt;2016),"Meses Ant",TEXT(E33,"dd/mm"))</f>
        <v>04/02</v>
      </c>
      <c r="G33" s="3" t="s">
        <v>391</v>
      </c>
      <c r="H33" s="4" t="s">
        <v>11</v>
      </c>
      <c r="I33" s="4">
        <v>42405.723611111112</v>
      </c>
      <c r="J33" s="4" t="s">
        <v>12</v>
      </c>
    </row>
    <row r="34" spans="2:10" x14ac:dyDescent="0.25">
      <c r="B34" s="3" t="str">
        <f>VLOOKUP(MID(C34,1,(SEARCH("-",C34)-1)),'[1]Regional x Site'!$C$2:$D$128,2,0)</f>
        <v>CTX – Santo Amaro – RECSA</v>
      </c>
      <c r="C34" s="3" t="s">
        <v>340</v>
      </c>
      <c r="D34" s="3" t="s">
        <v>320</v>
      </c>
      <c r="E34" s="4" t="s">
        <v>341</v>
      </c>
      <c r="F34" s="3" t="str">
        <f>IF(OR(MONTH(E34)&lt;&gt;$Q$1,YEAR(E34)&lt;&gt;2016),"Meses Ant",TEXT(E34,"dd/mm"))</f>
        <v>04/02</v>
      </c>
      <c r="G34" s="3" t="s">
        <v>391</v>
      </c>
      <c r="H34" s="4" t="s">
        <v>17</v>
      </c>
      <c r="I34" s="4">
        <v>42404.488888888889</v>
      </c>
      <c r="J34" s="4" t="s">
        <v>15</v>
      </c>
    </row>
    <row r="35" spans="2:10" x14ac:dyDescent="0.25">
      <c r="B35" s="3" t="str">
        <f>VLOOKUP(MID(C35,1,(SEARCH("-",C35)-1)),'[1]Regional x Site'!$C$2:$D$128,2,0)</f>
        <v>CTX – Antártica – SPOBF</v>
      </c>
      <c r="C35" s="3" t="s">
        <v>83</v>
      </c>
      <c r="D35" s="3" t="s">
        <v>13</v>
      </c>
      <c r="E35" s="4" t="s">
        <v>84</v>
      </c>
      <c r="F35" s="3" t="str">
        <f>IF(OR(MONTH(E35)&lt;&gt;$Q$1,YEAR(E35)&lt;&gt;2016),"Meses Ant",TEXT(E35,"dd/mm"))</f>
        <v>04/02</v>
      </c>
      <c r="G35" s="3" t="s">
        <v>398</v>
      </c>
      <c r="H35" s="4" t="s">
        <v>17</v>
      </c>
      <c r="I35" s="4">
        <v>42404.468055555553</v>
      </c>
      <c r="J35" s="4" t="s">
        <v>12</v>
      </c>
    </row>
    <row r="36" spans="2:10" x14ac:dyDescent="0.25">
      <c r="B36" s="3" t="str">
        <f>VLOOKUP(MID(C36,1,(SEARCH("-",C36)-1)),'[1]Regional x Site'!$C$2:$D$128,2,0)</f>
        <v>CTX – Luigi Amorese – LONLA</v>
      </c>
      <c r="C36" s="3" t="s">
        <v>231</v>
      </c>
      <c r="D36" s="3" t="s">
        <v>71</v>
      </c>
      <c r="E36" s="4" t="s">
        <v>232</v>
      </c>
      <c r="F36" s="3" t="str">
        <f>IF(OR(MONTH(E36)&lt;&gt;$Q$1,YEAR(E36)&lt;&gt;2016),"Meses Ant",TEXT(E36,"dd/mm"))</f>
        <v>04/02</v>
      </c>
      <c r="G36" s="3" t="s">
        <v>391</v>
      </c>
      <c r="H36" s="4" t="s">
        <v>11</v>
      </c>
      <c r="I36" s="4">
        <v>42404.496527777781</v>
      </c>
      <c r="J36" s="4" t="s">
        <v>12</v>
      </c>
    </row>
    <row r="37" spans="2:10" x14ac:dyDescent="0.25">
      <c r="B37" s="3" t="str">
        <f>VLOOKUP(MID(C37,1,(SEARCH("-",C37)-1)),'[1]Regional x Site'!$C$2:$D$128,2,0)</f>
        <v>CTX – Fortaleza – FORBM</v>
      </c>
      <c r="C37" s="3" t="s">
        <v>201</v>
      </c>
      <c r="D37" s="3" t="s">
        <v>198</v>
      </c>
      <c r="E37" s="4" t="s">
        <v>202</v>
      </c>
      <c r="F37" s="3" t="str">
        <f>IF(OR(MONTH(E37)&lt;&gt;$Q$1,YEAR(E37)&lt;&gt;2016),"Meses Ant",TEXT(E37,"dd/mm"))</f>
        <v>04/02</v>
      </c>
      <c r="G37" s="3" t="s">
        <v>395</v>
      </c>
      <c r="H37" s="4" t="s">
        <v>11</v>
      </c>
      <c r="I37" s="4">
        <v>42404.604166666664</v>
      </c>
      <c r="J37" s="4" t="s">
        <v>16</v>
      </c>
    </row>
    <row r="38" spans="2:10" x14ac:dyDescent="0.25">
      <c r="B38" s="3" t="str">
        <f>VLOOKUP(MID(C38,1,(SEARCH("-",C38)-1)),'[1]Regional x Site'!$C$2:$D$128,2,0)</f>
        <v>CTX – Santo Amaro – RECSA</v>
      </c>
      <c r="C38" s="3" t="s">
        <v>342</v>
      </c>
      <c r="D38" s="3" t="s">
        <v>318</v>
      </c>
      <c r="E38" s="4" t="s">
        <v>343</v>
      </c>
      <c r="F38" s="3" t="str">
        <f>IF(OR(MONTH(E38)&lt;&gt;$Q$1,YEAR(E38)&lt;&gt;2016),"Meses Ant",TEXT(E38,"dd/mm"))</f>
        <v>04/02</v>
      </c>
      <c r="G38" s="3" t="s">
        <v>387</v>
      </c>
      <c r="H38" s="4" t="s">
        <v>17</v>
      </c>
      <c r="I38" s="4">
        <v>42406.411805555559</v>
      </c>
      <c r="J38" s="4" t="s">
        <v>16</v>
      </c>
    </row>
    <row r="39" spans="2:10" x14ac:dyDescent="0.25">
      <c r="B39" s="3" t="str">
        <f>VLOOKUP(MID(C39,1,(SEARCH("-",C39)-1)),'[1]Regional x Site'!$C$2:$D$128,2,0)</f>
        <v>CTX – Santo Amaro – RECSA</v>
      </c>
      <c r="C39" s="3" t="s">
        <v>344</v>
      </c>
      <c r="D39" s="3" t="s">
        <v>152</v>
      </c>
      <c r="E39" s="4" t="s">
        <v>345</v>
      </c>
      <c r="F39" s="3" t="str">
        <f>IF(OR(MONTH(E39)&lt;&gt;$Q$1,YEAR(E39)&lt;&gt;2016),"Meses Ant",TEXT(E39,"dd/mm"))</f>
        <v>04/02</v>
      </c>
      <c r="G39" s="3" t="s">
        <v>387</v>
      </c>
      <c r="H39" s="4" t="s">
        <v>17</v>
      </c>
      <c r="I39" s="4">
        <v>42404.65</v>
      </c>
      <c r="J39" s="4" t="s">
        <v>16</v>
      </c>
    </row>
    <row r="40" spans="2:10" x14ac:dyDescent="0.25">
      <c r="B40" s="3" t="str">
        <f>VLOOKUP(MID(C40,1,(SEARCH("-",C40)-1)),'[1]Regional x Site'!$C$2:$D$128,2,0)</f>
        <v>CTX – Boa Viagem – SALPB</v>
      </c>
      <c r="C40" s="3" t="s">
        <v>129</v>
      </c>
      <c r="D40" s="3" t="s">
        <v>130</v>
      </c>
      <c r="E40" s="4" t="s">
        <v>131</v>
      </c>
      <c r="F40" s="3" t="str">
        <f>IF(OR(MONTH(E40)&lt;&gt;$Q$1,YEAR(E40)&lt;&gt;2016),"Meses Ant",TEXT(E40,"dd/mm"))</f>
        <v>04/02</v>
      </c>
      <c r="G40" s="3" t="s">
        <v>387</v>
      </c>
      <c r="H40" s="4" t="s">
        <v>17</v>
      </c>
      <c r="I40" s="4">
        <v>42404.643750000003</v>
      </c>
      <c r="J40" s="4" t="s">
        <v>16</v>
      </c>
    </row>
    <row r="41" spans="2:10" x14ac:dyDescent="0.25">
      <c r="B41" s="3" t="str">
        <f>VLOOKUP(MID(C41,1,(SEARCH("-",C41)-1)),'[1]Regional x Site'!$C$2:$D$128,2,0)</f>
        <v>CTX – Alegria – SPOAL</v>
      </c>
      <c r="C41" s="3" t="s">
        <v>39</v>
      </c>
      <c r="D41" s="3" t="s">
        <v>26</v>
      </c>
      <c r="E41" s="4" t="s">
        <v>40</v>
      </c>
      <c r="F41" s="3" t="str">
        <f>IF(OR(MONTH(E41)&lt;&gt;$Q$1,YEAR(E41)&lt;&gt;2016),"Meses Ant",TEXT(E41,"dd/mm"))</f>
        <v>04/02</v>
      </c>
      <c r="G41" s="3" t="s">
        <v>387</v>
      </c>
      <c r="H41" s="4" t="s">
        <v>11</v>
      </c>
      <c r="I41" s="4">
        <v>42405.451388888891</v>
      </c>
      <c r="J41" s="4" t="s">
        <v>16</v>
      </c>
    </row>
    <row r="42" spans="2:10" x14ac:dyDescent="0.25">
      <c r="B42" s="3" t="str">
        <f>VLOOKUP(MID(C42,1,(SEARCH("-",C42)-1)),'[1]Regional x Site'!$C$2:$D$128,2,0)</f>
        <v>CTX – Fortaleza – FORBM</v>
      </c>
      <c r="C42" s="3" t="s">
        <v>203</v>
      </c>
      <c r="D42" s="3" t="s">
        <v>126</v>
      </c>
      <c r="E42" s="4" t="s">
        <v>204</v>
      </c>
      <c r="F42" s="3" t="str">
        <f>IF(OR(MONTH(E42)&lt;&gt;$Q$1,YEAR(E42)&lt;&gt;2016),"Meses Ant",TEXT(E42,"dd/mm"))</f>
        <v>04/02</v>
      </c>
      <c r="G42" s="3" t="s">
        <v>387</v>
      </c>
      <c r="H42" s="4" t="s">
        <v>17</v>
      </c>
      <c r="I42" s="4">
        <v>42408.697916666664</v>
      </c>
      <c r="J42" s="4" t="s">
        <v>16</v>
      </c>
    </row>
    <row r="43" spans="2:10" x14ac:dyDescent="0.25">
      <c r="B43" s="3" t="str">
        <f>VLOOKUP(MID(C43,1,(SEARCH("-",C43)-1)),'[1]Regional x Site'!$C$2:$D$128,2,0)</f>
        <v>CTX – Prado2 – BHZRI</v>
      </c>
      <c r="C43" s="3" t="s">
        <v>303</v>
      </c>
      <c r="D43" s="3" t="s">
        <v>300</v>
      </c>
      <c r="E43" s="4" t="s">
        <v>304</v>
      </c>
      <c r="F43" s="3" t="str">
        <f>IF(OR(MONTH(E43)&lt;&gt;$Q$1,YEAR(E43)&lt;&gt;2016),"Meses Ant",TEXT(E43,"dd/mm"))</f>
        <v>04/02</v>
      </c>
      <c r="G43" s="3" t="s">
        <v>391</v>
      </c>
      <c r="H43" s="4" t="s">
        <v>17</v>
      </c>
      <c r="I43" s="4">
        <v>42404.724305555559</v>
      </c>
      <c r="J43" s="4" t="s">
        <v>12</v>
      </c>
    </row>
    <row r="44" spans="2:10" x14ac:dyDescent="0.25">
      <c r="B44" s="3" t="str">
        <f>VLOOKUP(MID(C44,1,(SEARCH("-",C44)-1)),'[1]Regional x Site'!$C$2:$D$128,2,0)</f>
        <v>CTX – João Pessoa - JPASA</v>
      </c>
      <c r="C44" s="3" t="s">
        <v>213</v>
      </c>
      <c r="D44" s="3" t="s">
        <v>71</v>
      </c>
      <c r="E44" s="4" t="s">
        <v>214</v>
      </c>
      <c r="F44" s="3" t="str">
        <f>IF(OR(MONTH(E44)&lt;&gt;$Q$1,YEAR(E44)&lt;&gt;2016),"Meses Ant",TEXT(E44,"dd/mm"))</f>
        <v>04/02</v>
      </c>
      <c r="G44" s="3" t="s">
        <v>387</v>
      </c>
      <c r="H44" s="4" t="s">
        <v>11</v>
      </c>
      <c r="I44" s="4">
        <v>42404.704861111109</v>
      </c>
      <c r="J44" s="4" t="s">
        <v>12</v>
      </c>
    </row>
    <row r="45" spans="2:10" x14ac:dyDescent="0.25">
      <c r="B45" s="3" t="str">
        <f>VLOOKUP(MID(C45,1,(SEARCH("-",C45)-1)),'[1]Regional x Site'!$C$2:$D$128,2,0)</f>
        <v>CTX – Alegria – SPOAL</v>
      </c>
      <c r="C45" s="3" t="s">
        <v>41</v>
      </c>
      <c r="D45" s="3" t="s">
        <v>19</v>
      </c>
      <c r="E45" s="4" t="s">
        <v>42</v>
      </c>
      <c r="F45" s="3" t="str">
        <f>IF(OR(MONTH(E45)&lt;&gt;$Q$1,YEAR(E45)&lt;&gt;2016),"Meses Ant",TEXT(E45,"dd/mm"))</f>
        <v>04/02</v>
      </c>
      <c r="G45" s="3" t="s">
        <v>394</v>
      </c>
      <c r="H45" s="4" t="s">
        <v>17</v>
      </c>
      <c r="I45" s="4">
        <v>42405.248611111114</v>
      </c>
      <c r="J45" s="4" t="s">
        <v>12</v>
      </c>
    </row>
    <row r="46" spans="2:10" x14ac:dyDescent="0.25">
      <c r="B46" s="3" t="str">
        <f>VLOOKUP(MID(C46,1,(SEARCH("-",C46)-1)),'[1]Regional x Site'!$C$2:$D$128,2,0)</f>
        <v>CTX – Antártica – SPOBF</v>
      </c>
      <c r="C46" s="3" t="s">
        <v>85</v>
      </c>
      <c r="D46" s="3" t="s">
        <v>71</v>
      </c>
      <c r="E46" s="4" t="s">
        <v>86</v>
      </c>
      <c r="F46" s="3" t="str">
        <f>IF(OR(MONTH(E46)&lt;&gt;$Q$1,YEAR(E46)&lt;&gt;2016),"Meses Ant",TEXT(E46,"dd/mm"))</f>
        <v>05/02</v>
      </c>
      <c r="G46" s="3" t="s">
        <v>387</v>
      </c>
      <c r="H46" s="4" t="s">
        <v>17</v>
      </c>
      <c r="I46" s="4">
        <v>42405.354861111111</v>
      </c>
      <c r="J46" s="4" t="s">
        <v>16</v>
      </c>
    </row>
    <row r="47" spans="2:10" x14ac:dyDescent="0.25">
      <c r="B47" s="3" t="str">
        <f>VLOOKUP(MID(C47,1,(SEARCH("-",C47)-1)),'[1]Regional x Site'!$C$2:$D$128,2,0)</f>
        <v>CTX – Antártica – SPOBF</v>
      </c>
      <c r="C47" s="3" t="s">
        <v>87</v>
      </c>
      <c r="D47" s="3" t="s">
        <v>71</v>
      </c>
      <c r="E47" s="4" t="s">
        <v>88</v>
      </c>
      <c r="F47" s="3" t="str">
        <f>IF(OR(MONTH(E47)&lt;&gt;$Q$1,YEAR(E47)&lt;&gt;2016),"Meses Ant",TEXT(E47,"dd/mm"))</f>
        <v>05/02</v>
      </c>
      <c r="G47" s="3" t="s">
        <v>387</v>
      </c>
      <c r="H47" s="4" t="s">
        <v>17</v>
      </c>
      <c r="I47" s="4">
        <v>42408.557638888888</v>
      </c>
      <c r="J47" s="4" t="s">
        <v>16</v>
      </c>
    </row>
    <row r="48" spans="2:10" x14ac:dyDescent="0.25">
      <c r="B48" s="3" t="str">
        <f>VLOOKUP(MID(C48,1,(SEARCH("-",C48)-1)),'[1]Regional x Site'!$C$2:$D$128,2,0)</f>
        <v>CTX – Santo Amaro – RECSA</v>
      </c>
      <c r="C48" s="3" t="s">
        <v>346</v>
      </c>
      <c r="D48" s="3" t="s">
        <v>119</v>
      </c>
      <c r="E48" s="4" t="s">
        <v>347</v>
      </c>
      <c r="F48" s="3" t="str">
        <f>IF(OR(MONTH(E48)&lt;&gt;$Q$1,YEAR(E48)&lt;&gt;2016),"Meses Ant",TEXT(E48,"dd/mm"))</f>
        <v>05/02</v>
      </c>
      <c r="G48" s="3" t="s">
        <v>387</v>
      </c>
      <c r="H48" s="4" t="s">
        <v>17</v>
      </c>
      <c r="I48" s="4">
        <v>42409.70208333333</v>
      </c>
      <c r="J48" s="4" t="s">
        <v>16</v>
      </c>
    </row>
    <row r="49" spans="2:10" x14ac:dyDescent="0.25">
      <c r="B49" s="3" t="str">
        <f>VLOOKUP(MID(C49,1,(SEARCH("-",C49)-1)),'[1]Regional x Site'!$C$2:$D$128,2,0)</f>
        <v>CTX – Niterói – NITSP</v>
      </c>
      <c r="C49" s="3" t="s">
        <v>292</v>
      </c>
      <c r="D49" s="3" t="s">
        <v>285</v>
      </c>
      <c r="E49" s="4" t="s">
        <v>293</v>
      </c>
      <c r="F49" s="3" t="str">
        <f>IF(OR(MONTH(E49)&lt;&gt;$Q$1,YEAR(E49)&lt;&gt;2016),"Meses Ant",TEXT(E49,"dd/mm"))</f>
        <v>05/02</v>
      </c>
      <c r="G49" s="3" t="s">
        <v>396</v>
      </c>
      <c r="H49" s="4" t="s">
        <v>11</v>
      </c>
      <c r="I49" s="4">
        <v>42405.473611111112</v>
      </c>
      <c r="J49" s="4" t="s">
        <v>12</v>
      </c>
    </row>
    <row r="50" spans="2:10" x14ac:dyDescent="0.25">
      <c r="B50" s="3" t="str">
        <f>VLOOKUP(MID(C50,1,(SEARCH("-",C50)-1)),'[1]Regional x Site'!$C$2:$D$128,2,0)</f>
        <v>CTX – Alegria – SPOAL</v>
      </c>
      <c r="C50" s="3" t="s">
        <v>43</v>
      </c>
      <c r="D50" s="3" t="s">
        <v>24</v>
      </c>
      <c r="E50" s="4" t="s">
        <v>44</v>
      </c>
      <c r="F50" s="3" t="str">
        <f>IF(OR(MONTH(E50)&lt;&gt;$Q$1,YEAR(E50)&lt;&gt;2016),"Meses Ant",TEXT(E50,"dd/mm"))</f>
        <v>05/02</v>
      </c>
      <c r="G50" s="3" t="s">
        <v>391</v>
      </c>
      <c r="H50" s="4" t="s">
        <v>17</v>
      </c>
      <c r="I50" s="4">
        <v>42405.515277777777</v>
      </c>
      <c r="J50" s="4" t="s">
        <v>12</v>
      </c>
    </row>
    <row r="51" spans="2:10" x14ac:dyDescent="0.25">
      <c r="B51" s="3" t="str">
        <f>VLOOKUP(MID(C51,1,(SEARCH("-",C51)-1)),'[1]Regional x Site'!$C$2:$D$128,2,0)</f>
        <v>CTX – Boa Viagem – SALPB</v>
      </c>
      <c r="C51" s="3" t="s">
        <v>132</v>
      </c>
      <c r="D51" s="3" t="s">
        <v>123</v>
      </c>
      <c r="E51" s="4" t="s">
        <v>133</v>
      </c>
      <c r="F51" s="3" t="str">
        <f>IF(OR(MONTH(E51)&lt;&gt;$Q$1,YEAR(E51)&lt;&gt;2016),"Meses Ant",TEXT(E51,"dd/mm"))</f>
        <v>05/02</v>
      </c>
      <c r="G51" s="3" t="s">
        <v>388</v>
      </c>
      <c r="H51" s="4" t="s">
        <v>11</v>
      </c>
      <c r="I51" s="4">
        <v>42405.609027777777</v>
      </c>
      <c r="J51" s="4" t="s">
        <v>12</v>
      </c>
    </row>
    <row r="52" spans="2:10" x14ac:dyDescent="0.25">
      <c r="B52" s="3" t="str">
        <f>VLOOKUP(MID(C52,1,(SEARCH("-",C52)-1)),'[1]Regional x Site'!$C$2:$D$128,2,0)</f>
        <v>CTX – Lapa – SPOLP</v>
      </c>
      <c r="C52" s="3" t="s">
        <v>225</v>
      </c>
      <c r="D52" s="3" t="s">
        <v>19</v>
      </c>
      <c r="E52" s="4" t="s">
        <v>226</v>
      </c>
      <c r="F52" s="3" t="str">
        <f>IF(OR(MONTH(E52)&lt;&gt;$Q$1,YEAR(E52)&lt;&gt;2016),"Meses Ant",TEXT(E52,"dd/mm"))</f>
        <v>05/02</v>
      </c>
      <c r="G52" s="3" t="s">
        <v>391</v>
      </c>
      <c r="H52" s="4" t="s">
        <v>11</v>
      </c>
      <c r="I52" s="4">
        <v>42405.572916666664</v>
      </c>
      <c r="J52" s="4" t="s">
        <v>12</v>
      </c>
    </row>
    <row r="53" spans="2:10" x14ac:dyDescent="0.25">
      <c r="B53" s="3" t="str">
        <f>VLOOKUP(MID(C53,1,(SEARCH("-",C53)-1)),'[1]Regional x Site'!$C$2:$D$128,2,0)</f>
        <v>CTX – Alegria – SPOAL</v>
      </c>
      <c r="C53" s="3" t="s">
        <v>45</v>
      </c>
      <c r="D53" s="3" t="s">
        <v>24</v>
      </c>
      <c r="E53" s="4" t="s">
        <v>46</v>
      </c>
      <c r="F53" s="3" t="str">
        <f>IF(OR(MONTH(E53)&lt;&gt;$Q$1,YEAR(E53)&lt;&gt;2016),"Meses Ant",TEXT(E53,"dd/mm"))</f>
        <v>05/02</v>
      </c>
      <c r="G53" s="3" t="s">
        <v>391</v>
      </c>
      <c r="H53" s="4" t="s">
        <v>17</v>
      </c>
      <c r="I53" s="4">
        <v>42405.704861111109</v>
      </c>
      <c r="J53" s="4" t="s">
        <v>16</v>
      </c>
    </row>
    <row r="54" spans="2:10" x14ac:dyDescent="0.25">
      <c r="B54" s="3" t="str">
        <f>VLOOKUP(MID(C54,1,(SEARCH("-",C54)-1)),'[1]Regional x Site'!$C$2:$D$128,2,0)</f>
        <v>CTX – Santo Amaro – RECSA</v>
      </c>
      <c r="C54" s="3" t="s">
        <v>348</v>
      </c>
      <c r="D54" s="3" t="s">
        <v>322</v>
      </c>
      <c r="E54" s="4" t="s">
        <v>349</v>
      </c>
      <c r="F54" s="3" t="str">
        <f>IF(OR(MONTH(E54)&lt;&gt;$Q$1,YEAR(E54)&lt;&gt;2016),"Meses Ant",TEXT(E54,"dd/mm"))</f>
        <v>05/02</v>
      </c>
      <c r="G54" s="3" t="s">
        <v>387</v>
      </c>
      <c r="H54" s="4" t="s">
        <v>17</v>
      </c>
      <c r="I54" s="4">
        <v>42405.78125</v>
      </c>
      <c r="J54" s="4" t="s">
        <v>16</v>
      </c>
    </row>
    <row r="55" spans="2:10" x14ac:dyDescent="0.25">
      <c r="B55" s="3" t="str">
        <f>VLOOKUP(MID(C55,1,(SEARCH("-",C55)-1)),'[1]Regional x Site'!$C$2:$D$128,2,0)</f>
        <v>CTX – Fonte Nova – SALAS</v>
      </c>
      <c r="C55" s="3" t="s">
        <v>193</v>
      </c>
      <c r="D55" s="3" t="s">
        <v>25</v>
      </c>
      <c r="E55" s="4" t="s">
        <v>194</v>
      </c>
      <c r="F55" s="3" t="str">
        <f>IF(OR(MONTH(E55)&lt;&gt;$Q$1,YEAR(E55)&lt;&gt;2016),"Meses Ant",TEXT(E55,"dd/mm"))</f>
        <v>06/02</v>
      </c>
      <c r="G55" s="3" t="s">
        <v>392</v>
      </c>
      <c r="H55" s="4" t="s">
        <v>17</v>
      </c>
      <c r="I55" s="4">
        <v>42406.527777777781</v>
      </c>
      <c r="J55" s="4" t="s">
        <v>15</v>
      </c>
    </row>
    <row r="56" spans="2:10" x14ac:dyDescent="0.25">
      <c r="B56" s="3" t="str">
        <f>VLOOKUP(MID(C56,1,(SEARCH("-",C56)-1)),'[1]Regional x Site'!$C$2:$D$128,2,0)</f>
        <v>CTX – Boa Viagem – SALPB</v>
      </c>
      <c r="C56" s="3" t="s">
        <v>134</v>
      </c>
      <c r="D56" s="3" t="s">
        <v>118</v>
      </c>
      <c r="E56" s="4" t="s">
        <v>135</v>
      </c>
      <c r="F56" s="3" t="str">
        <f>IF(OR(MONTH(E56)&lt;&gt;$Q$1,YEAR(E56)&lt;&gt;2016),"Meses Ant",TEXT(E56,"dd/mm"))</f>
        <v>06/02</v>
      </c>
      <c r="G56" s="3" t="s">
        <v>391</v>
      </c>
      <c r="H56" s="4" t="s">
        <v>11</v>
      </c>
      <c r="I56" s="4">
        <v>42407.422222222223</v>
      </c>
      <c r="J56" s="4" t="s">
        <v>12</v>
      </c>
    </row>
    <row r="57" spans="2:10" x14ac:dyDescent="0.25">
      <c r="B57" s="3" t="str">
        <f>VLOOKUP(MID(C57,1,(SEARCH("-",C57)-1)),'[1]Regional x Site'!$C$2:$D$128,2,0)</f>
        <v>CTX – Santo Amaro – RECSA</v>
      </c>
      <c r="C57" s="3" t="s">
        <v>351</v>
      </c>
      <c r="D57" s="3" t="s">
        <v>117</v>
      </c>
      <c r="E57" s="4" t="s">
        <v>352</v>
      </c>
      <c r="F57" s="3" t="str">
        <f>IF(OR(MONTH(E57)&lt;&gt;$Q$1,YEAR(E57)&lt;&gt;2016),"Meses Ant",TEXT(E57,"dd/mm"))</f>
        <v>06/02</v>
      </c>
      <c r="G57" s="3" t="s">
        <v>387</v>
      </c>
      <c r="H57" s="4" t="s">
        <v>17</v>
      </c>
      <c r="I57" s="4">
        <v>42406.570833333331</v>
      </c>
      <c r="J57" s="4" t="s">
        <v>16</v>
      </c>
    </row>
    <row r="58" spans="2:10" x14ac:dyDescent="0.25">
      <c r="B58" s="3" t="str">
        <f>VLOOKUP(MID(C58,1,(SEARCH("-",C58)-1)),'[1]Regional x Site'!$C$2:$D$128,2,0)</f>
        <v>CTX – Santo Amaro – RECSA</v>
      </c>
      <c r="C58" s="3" t="s">
        <v>353</v>
      </c>
      <c r="D58" s="3" t="s">
        <v>350</v>
      </c>
      <c r="E58" s="4" t="s">
        <v>354</v>
      </c>
      <c r="F58" s="3" t="str">
        <f>IF(OR(MONTH(E58)&lt;&gt;$Q$1,YEAR(E58)&lt;&gt;2016),"Meses Ant",TEXT(E58,"dd/mm"))</f>
        <v>06/02</v>
      </c>
      <c r="G58" s="3" t="s">
        <v>387</v>
      </c>
      <c r="H58" s="4" t="s">
        <v>11</v>
      </c>
      <c r="I58" s="4">
        <v>42408.659722222219</v>
      </c>
      <c r="J58" s="4" t="s">
        <v>16</v>
      </c>
    </row>
    <row r="59" spans="2:10" x14ac:dyDescent="0.25">
      <c r="B59" s="3" t="str">
        <f>VLOOKUP(MID(C59,1,(SEARCH("-",C59)-1)),'[1]Regional x Site'!$C$2:$D$128,2,0)</f>
        <v>CTX – Alegria – SPOAL</v>
      </c>
      <c r="C59" s="3" t="s">
        <v>47</v>
      </c>
      <c r="D59" s="3" t="s">
        <v>19</v>
      </c>
      <c r="E59" s="4" t="s">
        <v>48</v>
      </c>
      <c r="F59" s="3" t="str">
        <f>IF(OR(MONTH(E59)&lt;&gt;$Q$1,YEAR(E59)&lt;&gt;2016),"Meses Ant",TEXT(E59,"dd/mm"))</f>
        <v>07/02</v>
      </c>
      <c r="G59" s="3" t="s">
        <v>388</v>
      </c>
      <c r="H59" s="4" t="s">
        <v>11</v>
      </c>
      <c r="I59" s="4">
        <v>42407.469444444447</v>
      </c>
      <c r="J59" s="4" t="s">
        <v>12</v>
      </c>
    </row>
    <row r="60" spans="2:10" x14ac:dyDescent="0.25">
      <c r="B60" s="3" t="str">
        <f>VLOOKUP(MID(C60,1,(SEARCH("-",C60)-1)),'[1]Regional x Site'!$C$2:$D$128,2,0)</f>
        <v>CTX – Santo Amaro – RECSA</v>
      </c>
      <c r="C60" s="3" t="s">
        <v>355</v>
      </c>
      <c r="D60" s="3" t="s">
        <v>294</v>
      </c>
      <c r="E60" s="4" t="s">
        <v>356</v>
      </c>
      <c r="F60" s="3" t="str">
        <f>IF(OR(MONTH(E60)&lt;&gt;$Q$1,YEAR(E60)&lt;&gt;2016),"Meses Ant",TEXT(E60,"dd/mm"))</f>
        <v>07/02</v>
      </c>
      <c r="G60" s="3" t="s">
        <v>387</v>
      </c>
      <c r="H60" s="4" t="s">
        <v>17</v>
      </c>
      <c r="I60" s="4">
        <v>42409.700694444444</v>
      </c>
      <c r="J60" s="4" t="s">
        <v>16</v>
      </c>
    </row>
    <row r="61" spans="2:10" x14ac:dyDescent="0.25">
      <c r="B61" s="3" t="str">
        <f>VLOOKUP(MID(C61,1,(SEARCH("-",C61)-1)),'[1]Regional x Site'!$C$2:$D$128,2,0)</f>
        <v>CTX – Antártica – SPOBF</v>
      </c>
      <c r="C61" s="3" t="s">
        <v>89</v>
      </c>
      <c r="D61" s="3" t="s">
        <v>71</v>
      </c>
      <c r="E61" s="4" t="s">
        <v>90</v>
      </c>
      <c r="F61" s="3" t="str">
        <f>IF(OR(MONTH(E61)&lt;&gt;$Q$1,YEAR(E61)&lt;&gt;2016),"Meses Ant",TEXT(E61,"dd/mm"))</f>
        <v>08/02</v>
      </c>
      <c r="G61" s="3" t="s">
        <v>387</v>
      </c>
      <c r="H61" s="4" t="s">
        <v>17</v>
      </c>
      <c r="I61" s="4">
        <v>42408.823611111111</v>
      </c>
      <c r="J61" s="4" t="s">
        <v>16</v>
      </c>
    </row>
    <row r="62" spans="2:10" x14ac:dyDescent="0.25">
      <c r="B62" s="3" t="str">
        <f>VLOOKUP(MID(C62,1,(SEARCH("-",C62)-1)),'[1]Regional x Site'!$C$2:$D$128,2,0)</f>
        <v>CTX – Santo Amaro – RECSA</v>
      </c>
      <c r="C62" s="3" t="s">
        <v>357</v>
      </c>
      <c r="D62" s="3" t="s">
        <v>18</v>
      </c>
      <c r="E62" s="4" t="s">
        <v>358</v>
      </c>
      <c r="F62" s="3" t="str">
        <f>IF(OR(MONTH(E62)&lt;&gt;$Q$1,YEAR(E62)&lt;&gt;2016),"Meses Ant",TEXT(E62,"dd/mm"))</f>
        <v>08/02</v>
      </c>
      <c r="G62" s="3" t="s">
        <v>389</v>
      </c>
      <c r="H62" s="4" t="s">
        <v>11</v>
      </c>
      <c r="I62" s="4">
        <v>42408.504166666666</v>
      </c>
      <c r="J62" s="4" t="s">
        <v>12</v>
      </c>
    </row>
    <row r="63" spans="2:10" x14ac:dyDescent="0.25">
      <c r="B63" s="3" t="str">
        <f>VLOOKUP(MID(C63,1,(SEARCH("-",C63)-1)),'[1]Regional x Site'!$C$2:$D$128,2,0)</f>
        <v>CTX – Santo Amaro – RECSA</v>
      </c>
      <c r="C63" s="3" t="s">
        <v>359</v>
      </c>
      <c r="D63" s="3" t="s">
        <v>19</v>
      </c>
      <c r="E63" s="4" t="s">
        <v>360</v>
      </c>
      <c r="F63" s="3" t="str">
        <f>IF(OR(MONTH(E63)&lt;&gt;$Q$1,YEAR(E63)&lt;&gt;2016),"Meses Ant",TEXT(E63,"dd/mm"))</f>
        <v>08/02</v>
      </c>
      <c r="G63" s="3" t="s">
        <v>391</v>
      </c>
      <c r="H63" s="4" t="s">
        <v>11</v>
      </c>
      <c r="I63" s="4">
        <v>42408.535416666666</v>
      </c>
      <c r="J63" s="4" t="s">
        <v>12</v>
      </c>
    </row>
    <row r="64" spans="2:10" x14ac:dyDescent="0.25">
      <c r="B64" s="3" t="str">
        <f>VLOOKUP(MID(C64,1,(SEARCH("-",C64)-1)),'[1]Regional x Site'!$C$2:$D$128,2,0)</f>
        <v>CTX – Prado2 – BHZRI</v>
      </c>
      <c r="C64" s="3" t="s">
        <v>305</v>
      </c>
      <c r="D64" s="3" t="s">
        <v>289</v>
      </c>
      <c r="E64" s="4" t="s">
        <v>306</v>
      </c>
      <c r="F64" s="3" t="str">
        <f>IF(OR(MONTH(E64)&lt;&gt;$Q$1,YEAR(E64)&lt;&gt;2016),"Meses Ant",TEXT(E64,"dd/mm"))</f>
        <v>08/02</v>
      </c>
      <c r="G64" s="3" t="s">
        <v>387</v>
      </c>
      <c r="H64" s="4" t="s">
        <v>17</v>
      </c>
      <c r="I64" s="4">
        <v>42410.496527777781</v>
      </c>
      <c r="J64" s="4" t="s">
        <v>16</v>
      </c>
    </row>
    <row r="65" spans="2:10" x14ac:dyDescent="0.25">
      <c r="B65" s="3" t="str">
        <f>VLOOKUP(MID(C65,1,(SEARCH("-",C65)-1)),'[1]Regional x Site'!$C$2:$D$128,2,0)</f>
        <v>CTX – Antártica – SPOBF</v>
      </c>
      <c r="C65" s="3" t="s">
        <v>91</v>
      </c>
      <c r="D65" s="3" t="s">
        <v>19</v>
      </c>
      <c r="E65" s="4" t="s">
        <v>92</v>
      </c>
      <c r="F65" s="3" t="str">
        <f>IF(OR(MONTH(E65)&lt;&gt;$Q$1,YEAR(E65)&lt;&gt;2016),"Meses Ant",TEXT(E65,"dd/mm"))</f>
        <v>09/02</v>
      </c>
      <c r="G65" s="3" t="s">
        <v>388</v>
      </c>
      <c r="H65" s="4" t="s">
        <v>11</v>
      </c>
      <c r="I65" s="4">
        <v>42412.547222222223</v>
      </c>
      <c r="J65" s="4" t="s">
        <v>12</v>
      </c>
    </row>
    <row r="66" spans="2:10" x14ac:dyDescent="0.25">
      <c r="B66" s="3" t="str">
        <f>VLOOKUP(MID(C66,1,(SEARCH("-",C66)-1)),'[1]Regional x Site'!$C$2:$D$128,2,0)</f>
        <v>CTX – Fortaleza – FORBM</v>
      </c>
      <c r="C66" s="3" t="s">
        <v>205</v>
      </c>
      <c r="D66" s="3" t="s">
        <v>199</v>
      </c>
      <c r="E66" s="4" t="s">
        <v>206</v>
      </c>
      <c r="F66" s="3" t="str">
        <f>IF(OR(MONTH(E66)&lt;&gt;$Q$1,YEAR(E66)&lt;&gt;2016),"Meses Ant",TEXT(E66,"dd/mm"))</f>
        <v>09/02</v>
      </c>
      <c r="G66" s="3" t="s">
        <v>388</v>
      </c>
      <c r="H66" s="4" t="s">
        <v>17</v>
      </c>
      <c r="I66" s="4">
        <v>42409.773611111108</v>
      </c>
      <c r="J66" s="4" t="s">
        <v>12</v>
      </c>
    </row>
    <row r="67" spans="2:10" x14ac:dyDescent="0.25">
      <c r="B67" s="3" t="str">
        <f>VLOOKUP(MID(C67,1,(SEARCH("-",C67)-1)),'[1]Regional x Site'!$C$2:$D$128,2,0)</f>
        <v>CTX – Santo Amaro – RECSA</v>
      </c>
      <c r="C67" s="3" t="s">
        <v>361</v>
      </c>
      <c r="D67" s="3" t="s">
        <v>153</v>
      </c>
      <c r="E67" s="4" t="s">
        <v>362</v>
      </c>
      <c r="F67" s="3" t="str">
        <f>IF(OR(MONTH(E67)&lt;&gt;$Q$1,YEAR(E67)&lt;&gt;2016),"Meses Ant",TEXT(E67,"dd/mm"))</f>
        <v>09/02</v>
      </c>
      <c r="G67" s="3" t="s">
        <v>388</v>
      </c>
      <c r="H67" s="4" t="s">
        <v>11</v>
      </c>
      <c r="I67" s="4">
        <v>42409.692361111112</v>
      </c>
      <c r="J67" s="4" t="s">
        <v>12</v>
      </c>
    </row>
    <row r="68" spans="2:10" x14ac:dyDescent="0.25">
      <c r="B68" s="3" t="str">
        <f>VLOOKUP(MID(C68,1,(SEARCH("-",C68)-1)),'[1]Regional x Site'!$C$2:$D$128,2,0)</f>
        <v>CTX – Luigi Amorese – LONLA</v>
      </c>
      <c r="C68" s="3" t="s">
        <v>233</v>
      </c>
      <c r="D68" s="3" t="s">
        <v>71</v>
      </c>
      <c r="E68" s="4" t="s">
        <v>234</v>
      </c>
      <c r="F68" s="3" t="str">
        <f>IF(OR(MONTH(E68)&lt;&gt;$Q$1,YEAR(E68)&lt;&gt;2016),"Meses Ant",TEXT(E68,"dd/mm"))</f>
        <v>09/02</v>
      </c>
      <c r="G68" s="3" t="s">
        <v>387</v>
      </c>
      <c r="H68" s="4" t="s">
        <v>11</v>
      </c>
      <c r="I68" s="4">
        <v>42410.004166666666</v>
      </c>
      <c r="J68" s="4" t="s">
        <v>16</v>
      </c>
    </row>
    <row r="69" spans="2:10" x14ac:dyDescent="0.25">
      <c r="B69" s="3" t="str">
        <f>VLOOKUP(MID(C69,1,(SEARCH("-",C69)-1)),'[1]Regional x Site'!$C$2:$D$128,2,0)</f>
        <v>CTX – Prado2 – BHZRI</v>
      </c>
      <c r="C69" s="3" t="s">
        <v>307</v>
      </c>
      <c r="D69" s="3" t="s">
        <v>210</v>
      </c>
      <c r="E69" s="4" t="s">
        <v>308</v>
      </c>
      <c r="F69" s="3" t="str">
        <f>IF(OR(MONTH(E69)&lt;&gt;$Q$1,YEAR(E69)&lt;&gt;2016),"Meses Ant",TEXT(E69,"dd/mm"))</f>
        <v>10/02</v>
      </c>
      <c r="G69" s="3" t="s">
        <v>389</v>
      </c>
      <c r="H69" s="4" t="s">
        <v>11</v>
      </c>
      <c r="I69" s="4">
        <v>42410.525694444441</v>
      </c>
      <c r="J69" s="4" t="s">
        <v>12</v>
      </c>
    </row>
    <row r="70" spans="2:10" x14ac:dyDescent="0.25">
      <c r="B70" s="3" t="str">
        <f>VLOOKUP(MID(C70,1,(SEARCH("-",C70)-1)),'[1]Regional x Site'!$C$2:$D$128,2,0)</f>
        <v>CTX – Santo Amaro – RECSA</v>
      </c>
      <c r="C70" s="3" t="s">
        <v>363</v>
      </c>
      <c r="D70" s="3" t="s">
        <v>364</v>
      </c>
      <c r="E70" s="4" t="s">
        <v>365</v>
      </c>
      <c r="F70" s="3" t="str">
        <f>IF(OR(MONTH(E70)&lt;&gt;$Q$1,YEAR(E70)&lt;&gt;2016),"Meses Ant",TEXT(E70,"dd/mm"))</f>
        <v>10/02</v>
      </c>
      <c r="G70" s="3" t="s">
        <v>387</v>
      </c>
      <c r="H70" s="4" t="s">
        <v>11</v>
      </c>
      <c r="I70" s="4">
        <v>42411.553472222222</v>
      </c>
      <c r="J70" s="4" t="s">
        <v>12</v>
      </c>
    </row>
    <row r="71" spans="2:10" x14ac:dyDescent="0.25">
      <c r="B71" s="3" t="str">
        <f>VLOOKUP(MID(C71,1,(SEARCH("-",C71)-1)),'[1]Regional x Site'!$C$2:$D$128,2,0)</f>
        <v>CTX – Lapa – SPOLP</v>
      </c>
      <c r="C71" s="3" t="s">
        <v>227</v>
      </c>
      <c r="D71" s="3" t="s">
        <v>19</v>
      </c>
      <c r="E71" s="4" t="s">
        <v>228</v>
      </c>
      <c r="F71" s="3" t="str">
        <f>IF(OR(MONTH(E71)&lt;&gt;$Q$1,YEAR(E71)&lt;&gt;2016),"Meses Ant",TEXT(E71,"dd/mm"))</f>
        <v>10/02</v>
      </c>
      <c r="G71" s="3" t="s">
        <v>391</v>
      </c>
      <c r="H71" s="4" t="s">
        <v>11</v>
      </c>
      <c r="I71" s="4">
        <v>42410.684027777781</v>
      </c>
      <c r="J71" s="4" t="s">
        <v>12</v>
      </c>
    </row>
    <row r="72" spans="2:10" x14ac:dyDescent="0.25">
      <c r="B72" s="3" t="str">
        <f>VLOOKUP(MID(C72,1,(SEARCH("-",C72)-1)),'[1]Regional x Site'!$C$2:$D$128,2,0)</f>
        <v>CTX – Santo Amaro – RECSA</v>
      </c>
      <c r="C72" s="3" t="s">
        <v>366</v>
      </c>
      <c r="D72" s="3" t="s">
        <v>38</v>
      </c>
      <c r="E72" s="4" t="s">
        <v>367</v>
      </c>
      <c r="F72" s="3" t="str">
        <f>IF(OR(MONTH(E72)&lt;&gt;$Q$1,YEAR(E72)&lt;&gt;2016),"Meses Ant",TEXT(E72,"dd/mm"))</f>
        <v>10/02</v>
      </c>
      <c r="G72" s="3" t="s">
        <v>391</v>
      </c>
      <c r="H72" s="4" t="s">
        <v>11</v>
      </c>
      <c r="I72" s="4">
        <v>42410.70208333333</v>
      </c>
      <c r="J72" s="4" t="s">
        <v>12</v>
      </c>
    </row>
    <row r="73" spans="2:10" x14ac:dyDescent="0.25">
      <c r="B73" s="3" t="str">
        <f>VLOOKUP(MID(C73,1,(SEARCH("-",C73)-1)),'[1]Regional x Site'!$C$2:$D$128,2,0)</f>
        <v>CTX – Boa Viagem – SALPB</v>
      </c>
      <c r="C73" s="3" t="s">
        <v>136</v>
      </c>
      <c r="D73" s="3" t="s">
        <v>123</v>
      </c>
      <c r="E73" s="4" t="s">
        <v>137</v>
      </c>
      <c r="F73" s="3" t="str">
        <f>IF(OR(MONTH(E73)&lt;&gt;$Q$1,YEAR(E73)&lt;&gt;2016),"Meses Ant",TEXT(E73,"dd/mm"))</f>
        <v>10/02</v>
      </c>
      <c r="G73" s="3" t="s">
        <v>392</v>
      </c>
      <c r="H73" s="4" t="s">
        <v>17</v>
      </c>
      <c r="I73" s="4">
        <v>42411.831250000003</v>
      </c>
      <c r="J73" s="4" t="s">
        <v>16</v>
      </c>
    </row>
    <row r="74" spans="2:10" x14ac:dyDescent="0.25">
      <c r="B74" s="3" t="str">
        <f>VLOOKUP(MID(C74,1,(SEARCH("-",C74)-1)),'[1]Regional x Site'!$C$2:$D$128,2,0)</f>
        <v>CTX – Comércio – SALLM</v>
      </c>
      <c r="C74" s="3" t="s">
        <v>171</v>
      </c>
      <c r="D74" s="3" t="s">
        <v>170</v>
      </c>
      <c r="E74" s="4" t="s">
        <v>93</v>
      </c>
      <c r="F74" s="3" t="str">
        <f>IF(OR(MONTH(E74)&lt;&gt;$Q$1,YEAR(E74)&lt;&gt;2016),"Meses Ant",TEXT(E74,"dd/mm"))</f>
        <v>10/02</v>
      </c>
      <c r="G74" s="3" t="s">
        <v>392</v>
      </c>
      <c r="H74" s="4" t="s">
        <v>11</v>
      </c>
      <c r="I74" s="4">
        <v>42411.76458333333</v>
      </c>
      <c r="J74" s="4" t="s">
        <v>16</v>
      </c>
    </row>
    <row r="75" spans="2:10" x14ac:dyDescent="0.25">
      <c r="B75" s="3" t="str">
        <f>VLOOKUP(MID(C75,1,(SEARCH("-",C75)-1)),'[1]Regional x Site'!$C$2:$D$128,2,0)</f>
        <v>CTX – Cabula – SALSM</v>
      </c>
      <c r="C75" s="3" t="s">
        <v>160</v>
      </c>
      <c r="D75" s="3" t="s">
        <v>154</v>
      </c>
      <c r="E75" s="4" t="s">
        <v>161</v>
      </c>
      <c r="F75" s="3" t="str">
        <f>IF(OR(MONTH(E75)&lt;&gt;$Q$1,YEAR(E75)&lt;&gt;2016),"Meses Ant",TEXT(E75,"dd/mm"))</f>
        <v>10/02</v>
      </c>
      <c r="G75" s="3" t="s">
        <v>397</v>
      </c>
      <c r="H75" s="4" t="s">
        <v>11</v>
      </c>
      <c r="I75" s="4">
        <v>42410.807638888888</v>
      </c>
      <c r="J75" s="4" t="s">
        <v>16</v>
      </c>
    </row>
    <row r="76" spans="2:10" x14ac:dyDescent="0.25">
      <c r="B76" s="3" t="str">
        <f>VLOOKUP(MID(C76,1,(SEARCH("-",C76)-1)),'[1]Regional x Site'!$C$2:$D$128,2,0)</f>
        <v>CTX – Navegantes – POARB</v>
      </c>
      <c r="C76" s="3" t="s">
        <v>277</v>
      </c>
      <c r="D76" s="3" t="s">
        <v>114</v>
      </c>
      <c r="E76" s="4" t="s">
        <v>278</v>
      </c>
      <c r="F76" s="3" t="str">
        <f>IF(OR(MONTH(E76)&lt;&gt;$Q$1,YEAR(E76)&lt;&gt;2016),"Meses Ant",TEXT(E76,"dd/mm"))</f>
        <v>11/02</v>
      </c>
      <c r="G76" s="3" t="s">
        <v>387</v>
      </c>
      <c r="H76" s="4" t="s">
        <v>11</v>
      </c>
      <c r="I76" s="4">
        <v>42411.240972222222</v>
      </c>
      <c r="J76" s="4" t="s">
        <v>16</v>
      </c>
    </row>
    <row r="77" spans="2:10" x14ac:dyDescent="0.25">
      <c r="B77" s="3" t="str">
        <f>VLOOKUP(MID(C77,1,(SEARCH("-",C77)-1)),'[1]Regional x Site'!$C$2:$D$128,2,0)</f>
        <v>CTX – CTC Augusta – CTCRA</v>
      </c>
      <c r="C77" s="3" t="s">
        <v>176</v>
      </c>
      <c r="D77" s="3" t="s">
        <v>172</v>
      </c>
      <c r="E77" s="4" t="s">
        <v>177</v>
      </c>
      <c r="F77" s="3" t="str">
        <f>IF(OR(MONTH(E77)&lt;&gt;$Q$1,YEAR(E77)&lt;&gt;2016),"Meses Ant",TEXT(E77,"dd/mm"))</f>
        <v>11/02</v>
      </c>
      <c r="G77" s="3" t="s">
        <v>396</v>
      </c>
      <c r="H77" s="4" t="s">
        <v>17</v>
      </c>
      <c r="I77" s="4">
        <v>42411.339583333334</v>
      </c>
      <c r="J77" s="4" t="s">
        <v>12</v>
      </c>
    </row>
    <row r="78" spans="2:10" x14ac:dyDescent="0.25">
      <c r="B78" s="3" t="str">
        <f>VLOOKUP(MID(C78,1,(SEARCH("-",C78)-1)),'[1]Regional x Site'!$C$2:$D$128,2,0)</f>
        <v>CTX – Navegantes – POARB</v>
      </c>
      <c r="C78" s="3" t="s">
        <v>279</v>
      </c>
      <c r="D78" s="3" t="s">
        <v>276</v>
      </c>
      <c r="E78" s="4" t="s">
        <v>280</v>
      </c>
      <c r="F78" s="3" t="str">
        <f>IF(OR(MONTH(E78)&lt;&gt;$Q$1,YEAR(E78)&lt;&gt;2016),"Meses Ant",TEXT(E78,"dd/mm"))</f>
        <v>11/02</v>
      </c>
      <c r="G78" s="3" t="s">
        <v>391</v>
      </c>
      <c r="H78" s="4" t="s">
        <v>11</v>
      </c>
      <c r="I78" s="4">
        <v>42411.62222222222</v>
      </c>
      <c r="J78" s="4" t="s">
        <v>12</v>
      </c>
    </row>
    <row r="79" spans="2:10" x14ac:dyDescent="0.25">
      <c r="B79" s="3" t="str">
        <f>VLOOKUP(MID(C79,1,(SEARCH("-",C79)-1)),'[1]Regional x Site'!$C$2:$D$128,2,0)</f>
        <v>CTX – Antártica – SPOBF</v>
      </c>
      <c r="C79" s="3" t="s">
        <v>94</v>
      </c>
      <c r="D79" s="3" t="s">
        <v>71</v>
      </c>
      <c r="E79" s="4" t="s">
        <v>95</v>
      </c>
      <c r="F79" s="3" t="str">
        <f>IF(OR(MONTH(E79)&lt;&gt;$Q$1,YEAR(E79)&lt;&gt;2016),"Meses Ant",TEXT(E79,"dd/mm"))</f>
        <v>11/02</v>
      </c>
      <c r="G79" s="3" t="s">
        <v>387</v>
      </c>
      <c r="H79" s="4" t="s">
        <v>17</v>
      </c>
      <c r="I79" s="4">
        <v>42413.566666666666</v>
      </c>
      <c r="J79" s="4" t="s">
        <v>16</v>
      </c>
    </row>
    <row r="80" spans="2:10" x14ac:dyDescent="0.25">
      <c r="B80" s="3" t="str">
        <f>VLOOKUP(MID(C80,1,(SEARCH("-",C80)-1)),'[1]Regional x Site'!$C$2:$D$128,2,0)</f>
        <v>CTX - Praia Botafogo - MTZPB</v>
      </c>
      <c r="C80" s="3" t="s">
        <v>8</v>
      </c>
      <c r="D80" s="3" t="s">
        <v>9</v>
      </c>
      <c r="E80" s="4" t="s">
        <v>10</v>
      </c>
      <c r="F80" s="3" t="str">
        <f>IF(OR(MONTH(E80)&lt;&gt;$Q$1,YEAR(E80)&lt;&gt;2016),"Meses Ant",TEXT(E80,"dd/mm"))</f>
        <v>11/02</v>
      </c>
      <c r="G80" s="3" t="s">
        <v>393</v>
      </c>
      <c r="H80" s="4" t="s">
        <v>11</v>
      </c>
      <c r="I80" s="4">
        <v>42411.695138888892</v>
      </c>
      <c r="J80" s="4" t="s">
        <v>12</v>
      </c>
    </row>
    <row r="81" spans="2:10" x14ac:dyDescent="0.25">
      <c r="B81" s="3" t="str">
        <f>VLOOKUP(MID(C81,1,(SEARCH("-",C81)-1)),'[1]Regional x Site'!$C$2:$D$128,2,0)</f>
        <v>CTX – Engenho de Dentro – RJOED</v>
      </c>
      <c r="C81" s="3" t="s">
        <v>188</v>
      </c>
      <c r="D81" s="3" t="s">
        <v>187</v>
      </c>
      <c r="E81" s="4" t="s">
        <v>189</v>
      </c>
      <c r="F81" s="3" t="str">
        <f>IF(OR(MONTH(E81)&lt;&gt;$Q$1,YEAR(E81)&lt;&gt;2016),"Meses Ant",TEXT(E81,"dd/mm"))</f>
        <v>11/02</v>
      </c>
      <c r="G81" s="3" t="s">
        <v>391</v>
      </c>
      <c r="H81" s="4" t="s">
        <v>11</v>
      </c>
      <c r="I81" s="4">
        <v>42411.497916666667</v>
      </c>
      <c r="J81" s="4" t="s">
        <v>12</v>
      </c>
    </row>
    <row r="82" spans="2:10" x14ac:dyDescent="0.25">
      <c r="B82" s="3" t="str">
        <f>VLOOKUP(MID(C82,1,(SEARCH("-",C82)-1)),'[1]Regional x Site'!$C$2:$D$128,2,0)</f>
        <v>CTX – Santo Amaro – RECSA</v>
      </c>
      <c r="C82" s="3" t="s">
        <v>368</v>
      </c>
      <c r="D82" s="3" t="s">
        <v>119</v>
      </c>
      <c r="E82" s="4" t="s">
        <v>369</v>
      </c>
      <c r="F82" s="3" t="str">
        <f>IF(OR(MONTH(E82)&lt;&gt;$Q$1,YEAR(E82)&lt;&gt;2016),"Meses Ant",TEXT(E82,"dd/mm"))</f>
        <v>11/02</v>
      </c>
      <c r="G82" s="3" t="s">
        <v>396</v>
      </c>
      <c r="H82" s="4" t="s">
        <v>17</v>
      </c>
      <c r="I82" s="4">
        <v>42412.691666666666</v>
      </c>
      <c r="J82" s="4" t="s">
        <v>15</v>
      </c>
    </row>
    <row r="83" spans="2:10" x14ac:dyDescent="0.25">
      <c r="B83" s="3" t="str">
        <f>VLOOKUP(MID(C83,1,(SEARCH("-",C83)-1)),'[1]Regional x Site'!$C$2:$D$128,2,0)</f>
        <v>CTX – Fortaleza – FORBM</v>
      </c>
      <c r="C83" s="3" t="s">
        <v>207</v>
      </c>
      <c r="D83" s="3" t="s">
        <v>208</v>
      </c>
      <c r="E83" s="4" t="s">
        <v>209</v>
      </c>
      <c r="F83" s="3" t="str">
        <f>IF(OR(MONTH(E83)&lt;&gt;$Q$1,YEAR(E83)&lt;&gt;2016),"Meses Ant",TEXT(E83,"dd/mm"))</f>
        <v>11/02</v>
      </c>
      <c r="G83" s="3" t="s">
        <v>398</v>
      </c>
      <c r="H83" s="4" t="s">
        <v>17</v>
      </c>
      <c r="I83" s="4">
        <v>42411.56527777778</v>
      </c>
      <c r="J83" s="4" t="s">
        <v>12</v>
      </c>
    </row>
    <row r="84" spans="2:10" x14ac:dyDescent="0.25">
      <c r="B84" s="3" t="str">
        <f>VLOOKUP(MID(C84,1,(SEARCH("-",C84)-1)),'[1]Regional x Site'!$C$2:$D$128,2,0)</f>
        <v>CTX – Antártica – SPOBF</v>
      </c>
      <c r="C84" s="3" t="s">
        <v>96</v>
      </c>
      <c r="D84" s="3" t="s">
        <v>80</v>
      </c>
      <c r="E84" s="4" t="s">
        <v>97</v>
      </c>
      <c r="F84" s="3" t="str">
        <f>IF(OR(MONTH(E84)&lt;&gt;$Q$1,YEAR(E84)&lt;&gt;2016),"Meses Ant",TEXT(E84,"dd/mm"))</f>
        <v>11/02</v>
      </c>
      <c r="G84" s="3" t="s">
        <v>387</v>
      </c>
      <c r="H84" s="4" t="s">
        <v>17</v>
      </c>
      <c r="I84" s="4">
        <v>42411.704861111109</v>
      </c>
      <c r="J84" s="4" t="s">
        <v>16</v>
      </c>
    </row>
    <row r="85" spans="2:10" x14ac:dyDescent="0.25">
      <c r="B85" s="3" t="str">
        <f>VLOOKUP(MID(C85,1,(SEARCH("-",C85)-1)),'[1]Regional x Site'!$C$2:$D$128,2,0)</f>
        <v>CTX – Prado2 – BHZRI</v>
      </c>
      <c r="C85" s="3" t="s">
        <v>309</v>
      </c>
      <c r="D85" s="3" t="s">
        <v>300</v>
      </c>
      <c r="E85" s="4" t="s">
        <v>310</v>
      </c>
      <c r="F85" s="3" t="str">
        <f>IF(OR(MONTH(E85)&lt;&gt;$Q$1,YEAR(E85)&lt;&gt;2016),"Meses Ant",TEXT(E85,"dd/mm"))</f>
        <v>11/02</v>
      </c>
      <c r="G85" s="3" t="s">
        <v>387</v>
      </c>
      <c r="H85" s="4" t="s">
        <v>17</v>
      </c>
      <c r="I85" s="4">
        <v>42412.690972222219</v>
      </c>
      <c r="J85" s="4" t="s">
        <v>12</v>
      </c>
    </row>
    <row r="86" spans="2:10" x14ac:dyDescent="0.25">
      <c r="B86" s="3" t="str">
        <f>VLOOKUP(MID(C86,1,(SEARCH("-",C86)-1)),'[1]Regional x Site'!$C$2:$D$128,2,0)</f>
        <v>CTX – Niterói – NITSP</v>
      </c>
      <c r="C86" s="3" t="s">
        <v>295</v>
      </c>
      <c r="D86" s="3" t="s">
        <v>285</v>
      </c>
      <c r="E86" s="4" t="s">
        <v>296</v>
      </c>
      <c r="F86" s="3" t="str">
        <f>IF(OR(MONTH(E86)&lt;&gt;$Q$1,YEAR(E86)&lt;&gt;2016),"Meses Ant",TEXT(E86,"dd/mm"))</f>
        <v>11/02</v>
      </c>
      <c r="G86" s="3" t="s">
        <v>388</v>
      </c>
      <c r="H86" s="4" t="s">
        <v>11</v>
      </c>
      <c r="I86" s="4">
        <v>42412.102777777778</v>
      </c>
      <c r="J86" s="4" t="s">
        <v>12</v>
      </c>
    </row>
    <row r="87" spans="2:10" x14ac:dyDescent="0.25">
      <c r="B87" s="3" t="str">
        <f>VLOOKUP(MID(C87,1,(SEARCH("-",C87)-1)),'[1]Regional x Site'!$C$2:$D$128,2,0)</f>
        <v>CTX – Luigi Amorese – LONLA</v>
      </c>
      <c r="C87" s="3" t="s">
        <v>235</v>
      </c>
      <c r="D87" s="3" t="s">
        <v>71</v>
      </c>
      <c r="E87" s="4" t="s">
        <v>236</v>
      </c>
      <c r="F87" s="3" t="str">
        <f>IF(OR(MONTH(E87)&lt;&gt;$Q$1,YEAR(E87)&lt;&gt;2016),"Meses Ant",TEXT(E87,"dd/mm"))</f>
        <v>11/02</v>
      </c>
      <c r="G87" s="3" t="s">
        <v>387</v>
      </c>
      <c r="H87" s="4" t="s">
        <v>11</v>
      </c>
      <c r="I87" s="4">
        <v>42412.361111111109</v>
      </c>
      <c r="J87" s="4" t="s">
        <v>16</v>
      </c>
    </row>
    <row r="88" spans="2:10" x14ac:dyDescent="0.25">
      <c r="B88" s="3" t="str">
        <f>VLOOKUP(MID(C88,1,(SEARCH("-",C88)-1)),'[1]Regional x Site'!$C$2:$D$128,2,0)</f>
        <v>CTX – Antártica – SPOBF</v>
      </c>
      <c r="C88" s="3" t="s">
        <v>98</v>
      </c>
      <c r="D88" s="3" t="s">
        <v>79</v>
      </c>
      <c r="E88" s="4" t="s">
        <v>99</v>
      </c>
      <c r="F88" s="3" t="str">
        <f>IF(OR(MONTH(E88)&lt;&gt;$Q$1,YEAR(E88)&lt;&gt;2016),"Meses Ant",TEXT(E88,"dd/mm"))</f>
        <v>12/02</v>
      </c>
      <c r="G88" s="3" t="s">
        <v>388</v>
      </c>
      <c r="H88" s="4" t="s">
        <v>11</v>
      </c>
      <c r="I88" s="4">
        <v>42412.338888888888</v>
      </c>
      <c r="J88" s="4" t="s">
        <v>12</v>
      </c>
    </row>
    <row r="89" spans="2:10" x14ac:dyDescent="0.25">
      <c r="B89" s="3" t="str">
        <f>VLOOKUP(MID(C89,1,(SEARCH("-",C89)-1)),'[1]Regional x Site'!$C$2:$D$128,2,0)</f>
        <v>CTX – Alegria – SPOAL</v>
      </c>
      <c r="C89" s="3" t="s">
        <v>49</v>
      </c>
      <c r="D89" s="3" t="s">
        <v>19</v>
      </c>
      <c r="E89" s="4" t="s">
        <v>50</v>
      </c>
      <c r="F89" s="3" t="str">
        <f>IF(OR(MONTH(E89)&lt;&gt;$Q$1,YEAR(E89)&lt;&gt;2016),"Meses Ant",TEXT(E89,"dd/mm"))</f>
        <v>12/02</v>
      </c>
      <c r="G89" s="3" t="s">
        <v>388</v>
      </c>
      <c r="H89" s="4" t="s">
        <v>11</v>
      </c>
      <c r="I89" s="4">
        <v>42412.407638888886</v>
      </c>
      <c r="J89" s="4" t="s">
        <v>12</v>
      </c>
    </row>
    <row r="90" spans="2:10" x14ac:dyDescent="0.25">
      <c r="B90" s="3" t="str">
        <f>VLOOKUP(MID(C90,1,(SEARCH("-",C90)-1)),'[1]Regional x Site'!$C$2:$D$128,2,0)</f>
        <v>CTX – Mauá – RJOMA</v>
      </c>
      <c r="C90" s="3" t="s">
        <v>256</v>
      </c>
      <c r="D90" s="3" t="s">
        <v>255</v>
      </c>
      <c r="E90" s="4" t="s">
        <v>257</v>
      </c>
      <c r="F90" s="3" t="str">
        <f>IF(OR(MONTH(E90)&lt;&gt;$Q$1,YEAR(E90)&lt;&gt;2016),"Meses Ant",TEXT(E90,"dd/mm"))</f>
        <v>12/02</v>
      </c>
      <c r="G90" s="3" t="s">
        <v>392</v>
      </c>
      <c r="H90" s="4" t="s">
        <v>11</v>
      </c>
      <c r="I90" s="4">
        <v>42416.439583333333</v>
      </c>
      <c r="J90" s="4" t="s">
        <v>15</v>
      </c>
    </row>
    <row r="91" spans="2:10" x14ac:dyDescent="0.25">
      <c r="B91" s="3" t="str">
        <f>VLOOKUP(MID(C91,1,(SEARCH("-",C91)-1)),'[1]Regional x Site'!$C$2:$D$128,2,0)</f>
        <v>CTX – Engenho de Dentro – RJOED</v>
      </c>
      <c r="C91" s="3" t="s">
        <v>190</v>
      </c>
      <c r="D91" s="3" t="s">
        <v>19</v>
      </c>
      <c r="E91" s="4" t="s">
        <v>191</v>
      </c>
      <c r="F91" s="3" t="str">
        <f>IF(OR(MONTH(E91)&lt;&gt;$Q$1,YEAR(E91)&lt;&gt;2016),"Meses Ant",TEXT(E91,"dd/mm"))</f>
        <v>12/02</v>
      </c>
      <c r="G91" s="3" t="s">
        <v>391</v>
      </c>
      <c r="H91" s="4" t="s">
        <v>11</v>
      </c>
      <c r="I91" s="4">
        <v>42412.515972222223</v>
      </c>
      <c r="J91" s="4" t="s">
        <v>12</v>
      </c>
    </row>
    <row r="92" spans="2:10" x14ac:dyDescent="0.25">
      <c r="B92" s="3" t="str">
        <f>VLOOKUP(MID(C92,1,(SEARCH("-",C92)-1)),'[1]Regional x Site'!$C$2:$D$128,2,0)</f>
        <v>CTX – Boa Viagem – SALPB</v>
      </c>
      <c r="C92" s="3" t="s">
        <v>138</v>
      </c>
      <c r="D92" s="3" t="s">
        <v>19</v>
      </c>
      <c r="E92" s="4" t="s">
        <v>139</v>
      </c>
      <c r="F92" s="3" t="str">
        <f>IF(OR(MONTH(E92)&lt;&gt;$Q$1,YEAR(E92)&lt;&gt;2016),"Meses Ant",TEXT(E92,"dd/mm"))</f>
        <v>12/02</v>
      </c>
      <c r="G92" s="3" t="s">
        <v>398</v>
      </c>
      <c r="H92" s="4" t="s">
        <v>17</v>
      </c>
      <c r="I92" s="4">
        <v>42412.65347222222</v>
      </c>
      <c r="J92" s="4" t="s">
        <v>12</v>
      </c>
    </row>
    <row r="93" spans="2:10" x14ac:dyDescent="0.25">
      <c r="B93" s="3" t="str">
        <f>VLOOKUP(MID(C93,1,(SEARCH("-",C93)-1)),'[1]Regional x Site'!$C$2:$D$128,2,0)</f>
        <v>CTX – Antártica – SPOBF</v>
      </c>
      <c r="C93" s="3" t="s">
        <v>100</v>
      </c>
      <c r="D93" s="3" t="s">
        <v>19</v>
      </c>
      <c r="E93" s="4" t="s">
        <v>101</v>
      </c>
      <c r="F93" s="3" t="str">
        <f>IF(OR(MONTH(E93)&lt;&gt;$Q$1,YEAR(E93)&lt;&gt;2016),"Meses Ant",TEXT(E93,"dd/mm"))</f>
        <v>12/02</v>
      </c>
      <c r="G93" s="3" t="s">
        <v>389</v>
      </c>
      <c r="H93" s="4" t="s">
        <v>11</v>
      </c>
      <c r="I93" s="4">
        <v>42412.529861111114</v>
      </c>
      <c r="J93" s="4" t="s">
        <v>12</v>
      </c>
    </row>
    <row r="94" spans="2:10" x14ac:dyDescent="0.25">
      <c r="B94" s="3" t="str">
        <f>VLOOKUP(MID(C94,1,(SEARCH("-",C94)-1)),'[1]Regional x Site'!$C$2:$D$128,2,0)</f>
        <v>CTX – Fonte Nova – SALAS</v>
      </c>
      <c r="C94" s="3" t="s">
        <v>195</v>
      </c>
      <c r="D94" s="3" t="s">
        <v>196</v>
      </c>
      <c r="E94" s="4" t="s">
        <v>197</v>
      </c>
      <c r="F94" s="3" t="str">
        <f>IF(OR(MONTH(E94)&lt;&gt;$Q$1,YEAR(E94)&lt;&gt;2016),"Meses Ant",TEXT(E94,"dd/mm"))</f>
        <v>12/02</v>
      </c>
      <c r="G94" s="3" t="s">
        <v>398</v>
      </c>
      <c r="H94" s="4" t="s">
        <v>17</v>
      </c>
      <c r="I94" s="4">
        <v>42412.706944444442</v>
      </c>
      <c r="J94" s="4" t="s">
        <v>12</v>
      </c>
    </row>
    <row r="95" spans="2:10" x14ac:dyDescent="0.25">
      <c r="B95" s="3" t="str">
        <f>VLOOKUP(MID(C95,1,(SEARCH("-",C95)-1)),'[1]Regional x Site'!$C$2:$D$128,2,0)</f>
        <v>CTX – Navegantes – POARB</v>
      </c>
      <c r="C95" s="3" t="s">
        <v>281</v>
      </c>
      <c r="D95" s="3" t="s">
        <v>273</v>
      </c>
      <c r="E95" s="4" t="s">
        <v>282</v>
      </c>
      <c r="F95" s="3" t="str">
        <f>IF(OR(MONTH(E95)&lt;&gt;$Q$1,YEAR(E95)&lt;&gt;2016),"Meses Ant",TEXT(E95,"dd/mm"))</f>
        <v>12/02</v>
      </c>
      <c r="G95" s="3" t="s">
        <v>387</v>
      </c>
      <c r="H95" s="4" t="s">
        <v>17</v>
      </c>
      <c r="I95" s="4">
        <v>42413.227777777778</v>
      </c>
      <c r="J95" s="4" t="s">
        <v>16</v>
      </c>
    </row>
    <row r="96" spans="2:10" x14ac:dyDescent="0.25">
      <c r="B96" s="3" t="str">
        <f>VLOOKUP(MID(C96,1,(SEARCH("-",C96)-1)),'[1]Regional x Site'!$C$2:$D$128,2,0)</f>
        <v>CTX – Prado2 – BHZRI</v>
      </c>
      <c r="C96" s="3" t="s">
        <v>311</v>
      </c>
      <c r="D96" s="3" t="s">
        <v>25</v>
      </c>
      <c r="E96" s="4" t="s">
        <v>312</v>
      </c>
      <c r="F96" s="3" t="str">
        <f>IF(OR(MONTH(E96)&lt;&gt;$Q$1,YEAR(E96)&lt;&gt;2016),"Meses Ant",TEXT(E96,"dd/mm"))</f>
        <v>13/02</v>
      </c>
      <c r="G96" s="3" t="s">
        <v>387</v>
      </c>
      <c r="H96" s="4" t="s">
        <v>11</v>
      </c>
      <c r="I96" s="4">
        <v>42415.898611111108</v>
      </c>
      <c r="J96" s="4" t="s">
        <v>16</v>
      </c>
    </row>
    <row r="97" spans="2:10" x14ac:dyDescent="0.25">
      <c r="B97" s="3" t="str">
        <f>VLOOKUP(MID(C97,1,(SEARCH("-",C97)-1)),'[1]Regional x Site'!$C$2:$D$128,2,0)</f>
        <v>CTX – Antártica – SPOBF</v>
      </c>
      <c r="C97" s="3" t="s">
        <v>102</v>
      </c>
      <c r="D97" s="3" t="s">
        <v>19</v>
      </c>
      <c r="E97" s="4" t="s">
        <v>103</v>
      </c>
      <c r="F97" s="3" t="str">
        <f>IF(OR(MONTH(E97)&lt;&gt;$Q$1,YEAR(E97)&lt;&gt;2016),"Meses Ant",TEXT(E97,"dd/mm"))</f>
        <v>13/02</v>
      </c>
      <c r="G97" s="3" t="s">
        <v>388</v>
      </c>
      <c r="H97" s="4" t="s">
        <v>11</v>
      </c>
      <c r="I97" s="4">
        <v>42413.81527777778</v>
      </c>
      <c r="J97" s="4" t="s">
        <v>12</v>
      </c>
    </row>
    <row r="98" spans="2:10" x14ac:dyDescent="0.25">
      <c r="B98" s="3" t="str">
        <f>VLOOKUP(MID(C98,1,(SEARCH("-",C98)-1)),'[1]Regional x Site'!$C$2:$D$128,2,0)</f>
        <v>CTX – Antártica – SPOBF</v>
      </c>
      <c r="C98" s="3" t="s">
        <v>104</v>
      </c>
      <c r="D98" s="3" t="s">
        <v>71</v>
      </c>
      <c r="E98" s="4" t="s">
        <v>105</v>
      </c>
      <c r="F98" s="3" t="str">
        <f>IF(OR(MONTH(E98)&lt;&gt;$Q$1,YEAR(E98)&lt;&gt;2016),"Meses Ant",TEXT(E98,"dd/mm"))</f>
        <v>14/02</v>
      </c>
      <c r="G98" s="3" t="s">
        <v>387</v>
      </c>
      <c r="H98" s="4" t="s">
        <v>17</v>
      </c>
      <c r="I98" s="4">
        <v>42415.772222222222</v>
      </c>
      <c r="J98" s="4" t="s">
        <v>16</v>
      </c>
    </row>
    <row r="99" spans="2:10" x14ac:dyDescent="0.25">
      <c r="B99" s="3" t="str">
        <f>VLOOKUP(MID(C99,1,(SEARCH("-",C99)-1)),'[1]Regional x Site'!$C$2:$D$128,2,0)</f>
        <v>CTX – Alegria – SPOAL</v>
      </c>
      <c r="C99" s="3" t="s">
        <v>52</v>
      </c>
      <c r="D99" s="3" t="s">
        <v>19</v>
      </c>
      <c r="E99" s="4" t="s">
        <v>53</v>
      </c>
      <c r="F99" s="3" t="str">
        <f>IF(OR(MONTH(E99)&lt;&gt;$Q$1,YEAR(E99)&lt;&gt;2016),"Meses Ant",TEXT(E99,"dd/mm"))</f>
        <v>14/02</v>
      </c>
      <c r="G99" s="3" t="s">
        <v>393</v>
      </c>
      <c r="H99" s="4" t="s">
        <v>11</v>
      </c>
      <c r="I99" s="4">
        <v>42414.893055555556</v>
      </c>
      <c r="J99" s="4" t="s">
        <v>12</v>
      </c>
    </row>
    <row r="100" spans="2:10" x14ac:dyDescent="0.25">
      <c r="B100" s="3" t="str">
        <f>VLOOKUP(MID(C100,1,(SEARCH("-",C100)-1)),'[1]Regional x Site'!$C$2:$D$128,2,0)</f>
        <v>CTX – Antártica – SPOBF</v>
      </c>
      <c r="C100" s="3" t="s">
        <v>106</v>
      </c>
      <c r="D100" s="3" t="s">
        <v>80</v>
      </c>
      <c r="E100" s="4" t="s">
        <v>107</v>
      </c>
      <c r="F100" s="3" t="str">
        <f>IF(OR(MONTH(E100)&lt;&gt;$Q$1,YEAR(E100)&lt;&gt;2016),"Meses Ant",TEXT(E100,"dd/mm"))</f>
        <v>15/02</v>
      </c>
      <c r="G100" s="3" t="s">
        <v>387</v>
      </c>
      <c r="H100" s="4" t="s">
        <v>17</v>
      </c>
      <c r="I100" s="4">
        <v>42415.818055555559</v>
      </c>
      <c r="J100" s="4" t="s">
        <v>16</v>
      </c>
    </row>
    <row r="101" spans="2:10" x14ac:dyDescent="0.25">
      <c r="B101" s="3" t="str">
        <f>VLOOKUP(MID(C101,1,(SEARCH("-",C101)-1)),'[1]Regional x Site'!$C$2:$D$128,2,0)</f>
        <v>CTX – Mauá – RJOMA</v>
      </c>
      <c r="C101" s="3" t="s">
        <v>258</v>
      </c>
      <c r="D101" s="3" t="s">
        <v>254</v>
      </c>
      <c r="E101" s="4" t="s">
        <v>259</v>
      </c>
      <c r="F101" s="3" t="str">
        <f>IF(OR(MONTH(E101)&lt;&gt;$Q$1,YEAR(E101)&lt;&gt;2016),"Meses Ant",TEXT(E101,"dd/mm"))</f>
        <v>15/02</v>
      </c>
      <c r="G101" s="3" t="s">
        <v>392</v>
      </c>
      <c r="H101" s="4" t="s">
        <v>17</v>
      </c>
      <c r="I101" s="4">
        <v>42416.727777777778</v>
      </c>
      <c r="J101" s="4" t="s">
        <v>15</v>
      </c>
    </row>
    <row r="102" spans="2:10" x14ac:dyDescent="0.25">
      <c r="B102" s="3" t="str">
        <f>VLOOKUP(MID(C102,1,(SEARCH("-",C102)-1)),'[1]Regional x Site'!$C$2:$D$128,2,0)</f>
        <v>CTX – Prado2 – BHZRI</v>
      </c>
      <c r="C102" s="3" t="s">
        <v>313</v>
      </c>
      <c r="D102" s="3" t="s">
        <v>299</v>
      </c>
      <c r="E102" s="4" t="s">
        <v>192</v>
      </c>
      <c r="F102" s="3" t="str">
        <f>IF(OR(MONTH(E102)&lt;&gt;$Q$1,YEAR(E102)&lt;&gt;2016),"Meses Ant",TEXT(E102,"dd/mm"))</f>
        <v>15/02</v>
      </c>
      <c r="G102" s="3" t="s">
        <v>387</v>
      </c>
      <c r="H102" s="4" t="s">
        <v>11</v>
      </c>
      <c r="I102" s="4">
        <v>42416.643750000003</v>
      </c>
      <c r="J102" s="4" t="s">
        <v>16</v>
      </c>
    </row>
    <row r="103" spans="2:10" x14ac:dyDescent="0.25">
      <c r="B103" s="3" t="str">
        <f>VLOOKUP(MID(C103,1,(SEARCH("-",C103)-1)),'[1]Regional x Site'!$C$2:$D$128,2,0)</f>
        <v>CTX – Alegria – SPOAL</v>
      </c>
      <c r="C103" s="3" t="s">
        <v>54</v>
      </c>
      <c r="D103" s="3" t="s">
        <v>19</v>
      </c>
      <c r="E103" s="4" t="s">
        <v>55</v>
      </c>
      <c r="F103" s="3" t="str">
        <f>IF(OR(MONTH(E103)&lt;&gt;$Q$1,YEAR(E103)&lt;&gt;2016),"Meses Ant",TEXT(E103,"dd/mm"))</f>
        <v>15/02</v>
      </c>
      <c r="G103" s="3" t="s">
        <v>391</v>
      </c>
      <c r="H103" s="4" t="s">
        <v>11</v>
      </c>
      <c r="I103" s="4">
        <v>42415.616666666669</v>
      </c>
      <c r="J103" s="4" t="s">
        <v>12</v>
      </c>
    </row>
    <row r="104" spans="2:10" x14ac:dyDescent="0.25">
      <c r="B104" s="3" t="str">
        <f>VLOOKUP(MID(C104,1,(SEARCH("-",C104)-1)),'[1]Regional x Site'!$C$2:$D$128,2,0)</f>
        <v>CTX – Santo Amaro – RECSA</v>
      </c>
      <c r="C104" s="3" t="s">
        <v>370</v>
      </c>
      <c r="D104" s="3" t="s">
        <v>18</v>
      </c>
      <c r="E104" s="4" t="s">
        <v>371</v>
      </c>
      <c r="F104" s="3" t="str">
        <f>IF(OR(MONTH(E104)&lt;&gt;$Q$1,YEAR(E104)&lt;&gt;2016),"Meses Ant",TEXT(E104,"dd/mm"))</f>
        <v>15/02</v>
      </c>
      <c r="G104" s="3" t="s">
        <v>398</v>
      </c>
      <c r="H104" s="4" t="s">
        <v>17</v>
      </c>
      <c r="I104" s="4">
        <v>42415.521527777775</v>
      </c>
      <c r="J104" s="4" t="s">
        <v>12</v>
      </c>
    </row>
    <row r="105" spans="2:10" x14ac:dyDescent="0.25">
      <c r="B105" s="3" t="str">
        <f>VLOOKUP(MID(C105,1,(SEARCH("-",C105)-1)),'[1]Regional x Site'!$C$2:$D$128,2,0)</f>
        <v>CTX – Santo Amaro – RECSA</v>
      </c>
      <c r="C105" s="3" t="s">
        <v>372</v>
      </c>
      <c r="D105" s="3" t="s">
        <v>320</v>
      </c>
      <c r="E105" s="4" t="s">
        <v>373</v>
      </c>
      <c r="F105" s="3" t="str">
        <f>IF(OR(MONTH(E105)&lt;&gt;$Q$1,YEAR(E105)&lt;&gt;2016),"Meses Ant",TEXT(E105,"dd/mm"))</f>
        <v>15/02</v>
      </c>
      <c r="G105" s="3" t="s">
        <v>391</v>
      </c>
      <c r="H105" s="4" t="s">
        <v>11</v>
      </c>
      <c r="I105" s="4">
        <v>42415.522222222222</v>
      </c>
      <c r="J105" s="4" t="s">
        <v>12</v>
      </c>
    </row>
    <row r="106" spans="2:10" x14ac:dyDescent="0.25">
      <c r="B106" s="3" t="str">
        <f>VLOOKUP(MID(C106,1,(SEARCH("-",C106)-1)),'[1]Regional x Site'!$C$2:$D$128,2,0)</f>
        <v>CTX – Santo Amaro – RECSA</v>
      </c>
      <c r="C106" s="3" t="s">
        <v>374</v>
      </c>
      <c r="D106" s="3" t="s">
        <v>51</v>
      </c>
      <c r="E106" s="4" t="s">
        <v>375</v>
      </c>
      <c r="F106" s="3" t="str">
        <f>IF(OR(MONTH(E106)&lt;&gt;$Q$1,YEAR(E106)&lt;&gt;2016),"Meses Ant",TEXT(E106,"dd/mm"))</f>
        <v>15/02</v>
      </c>
      <c r="G106" s="3" t="s">
        <v>398</v>
      </c>
      <c r="H106" s="4" t="s">
        <v>17</v>
      </c>
      <c r="I106" s="4">
        <v>42415.554861111108</v>
      </c>
      <c r="J106" s="4" t="s">
        <v>12</v>
      </c>
    </row>
    <row r="107" spans="2:10" x14ac:dyDescent="0.25">
      <c r="B107" s="3" t="str">
        <f>VLOOKUP(MID(C107,1,(SEARCH("-",C107)-1)),'[1]Regional x Site'!$C$2:$D$128,2,0)</f>
        <v>CTX – Mauá – RJOMA</v>
      </c>
      <c r="C107" s="3" t="s">
        <v>260</v>
      </c>
      <c r="D107" s="3" t="s">
        <v>9</v>
      </c>
      <c r="E107" s="4" t="s">
        <v>261</v>
      </c>
      <c r="F107" s="3" t="str">
        <f>IF(OR(MONTH(E107)&lt;&gt;$Q$1,YEAR(E107)&lt;&gt;2016),"Meses Ant",TEXT(E107,"dd/mm"))</f>
        <v>15/02</v>
      </c>
      <c r="G107" s="3" t="s">
        <v>396</v>
      </c>
      <c r="H107" s="4" t="s">
        <v>17</v>
      </c>
      <c r="I107" s="4">
        <v>42416.722916666666</v>
      </c>
      <c r="J107" s="4" t="s">
        <v>15</v>
      </c>
    </row>
    <row r="108" spans="2:10" x14ac:dyDescent="0.25">
      <c r="B108" s="3" t="str">
        <f>VLOOKUP(MID(C108,1,(SEARCH("-",C108)-1)),'[1]Regional x Site'!$C$2:$D$128,2,0)</f>
        <v>CTX – João Pessoa - JPASA</v>
      </c>
      <c r="C108" s="3" t="s">
        <v>215</v>
      </c>
      <c r="D108" s="3" t="s">
        <v>71</v>
      </c>
      <c r="E108" s="4" t="s">
        <v>216</v>
      </c>
      <c r="F108" s="3" t="str">
        <f>IF(OR(MONTH(E108)&lt;&gt;$Q$1,YEAR(E108)&lt;&gt;2016),"Meses Ant",TEXT(E108,"dd/mm"))</f>
        <v>15/02</v>
      </c>
      <c r="G108" s="3" t="s">
        <v>391</v>
      </c>
      <c r="H108" s="4" t="s">
        <v>11</v>
      </c>
      <c r="I108" s="4">
        <v>42415.697222222225</v>
      </c>
      <c r="J108" s="4" t="s">
        <v>12</v>
      </c>
    </row>
    <row r="109" spans="2:10" x14ac:dyDescent="0.25">
      <c r="B109" s="3" t="str">
        <f>VLOOKUP(MID(C109,1,(SEARCH("-",C109)-1)),'[1]Regional x Site'!$C$2:$D$128,2,0)</f>
        <v>CTX – João Pessoa - JPASA</v>
      </c>
      <c r="C109" s="3" t="s">
        <v>217</v>
      </c>
      <c r="D109" s="3" t="s">
        <v>71</v>
      </c>
      <c r="E109" s="4" t="s">
        <v>218</v>
      </c>
      <c r="F109" s="3" t="str">
        <f>IF(OR(MONTH(E109)&lt;&gt;$Q$1,YEAR(E109)&lt;&gt;2016),"Meses Ant",TEXT(E109,"dd/mm"))</f>
        <v>15/02</v>
      </c>
      <c r="G109" s="3" t="s">
        <v>387</v>
      </c>
      <c r="H109" s="4" t="s">
        <v>17</v>
      </c>
      <c r="I109" s="4">
        <v>42416.618750000001</v>
      </c>
      <c r="J109" s="4" t="s">
        <v>12</v>
      </c>
    </row>
    <row r="110" spans="2:10" x14ac:dyDescent="0.25">
      <c r="B110" s="3" t="str">
        <f>VLOOKUP(MID(C110,1,(SEARCH("-",C110)-1)),'[1]Regional x Site'!$C$2:$D$128,2,0)</f>
        <v>CTX – Santo Amaro – RECSA</v>
      </c>
      <c r="C110" s="3" t="s">
        <v>376</v>
      </c>
      <c r="D110" s="3" t="s">
        <v>51</v>
      </c>
      <c r="E110" s="4" t="s">
        <v>377</v>
      </c>
      <c r="F110" s="3" t="str">
        <f>IF(OR(MONTH(E110)&lt;&gt;$Q$1,YEAR(E110)&lt;&gt;2016),"Meses Ant",TEXT(E110,"dd/mm"))</f>
        <v>15/02</v>
      </c>
      <c r="G110" s="3" t="s">
        <v>387</v>
      </c>
      <c r="H110" s="4" t="s">
        <v>11</v>
      </c>
      <c r="I110" s="4">
        <v>42416.62222222222</v>
      </c>
      <c r="J110" s="4" t="s">
        <v>16</v>
      </c>
    </row>
    <row r="111" spans="2:10" x14ac:dyDescent="0.25">
      <c r="B111" s="3" t="str">
        <f>VLOOKUP(MID(C111,1,(SEARCH("-",C111)-1)),'[1]Regional x Site'!$C$2:$D$128,2,0)</f>
        <v>CTX – Edifício Hichan – CASEH</v>
      </c>
      <c r="C111" s="3" t="s">
        <v>182</v>
      </c>
      <c r="D111" s="3" t="s">
        <v>71</v>
      </c>
      <c r="E111" s="4" t="s">
        <v>183</v>
      </c>
      <c r="F111" s="3" t="str">
        <f>IF(OR(MONTH(E111)&lt;&gt;$Q$1,YEAR(E111)&lt;&gt;2016),"Meses Ant",TEXT(E111,"dd/mm"))</f>
        <v>15/02</v>
      </c>
      <c r="G111" s="3" t="s">
        <v>388</v>
      </c>
      <c r="H111" s="4" t="s">
        <v>17</v>
      </c>
      <c r="I111" s="4">
        <v>42416.788888888892</v>
      </c>
      <c r="J111" s="4" t="s">
        <v>12</v>
      </c>
    </row>
    <row r="112" spans="2:10" x14ac:dyDescent="0.25">
      <c r="B112" s="3" t="str">
        <f>VLOOKUP(MID(C112,1,(SEARCH("-",C112)-1)),'[1]Regional x Site'!$C$2:$D$128,2,0)</f>
        <v>CTX – Alegria – SPOAL</v>
      </c>
      <c r="C112" s="3" t="s">
        <v>56</v>
      </c>
      <c r="D112" s="3" t="s">
        <v>28</v>
      </c>
      <c r="E112" s="4" t="s">
        <v>57</v>
      </c>
      <c r="F112" s="3" t="str">
        <f>IF(OR(MONTH(E112)&lt;&gt;$Q$1,YEAR(E112)&lt;&gt;2016),"Meses Ant",TEXT(E112,"dd/mm"))</f>
        <v>15/02</v>
      </c>
      <c r="G112" s="3" t="s">
        <v>389</v>
      </c>
      <c r="H112" s="4" t="s">
        <v>17</v>
      </c>
      <c r="I112" s="4">
        <v>42416.703472222223</v>
      </c>
      <c r="J112" s="4" t="s">
        <v>15</v>
      </c>
    </row>
    <row r="113" spans="2:10" x14ac:dyDescent="0.25">
      <c r="B113" s="3" t="str">
        <f>VLOOKUP(MID(C113,1,(SEARCH("-",C113)-1)),'[1]Regional x Site'!$C$2:$D$128,2,0)</f>
        <v>CTX – Mackenzie – RJOMK</v>
      </c>
      <c r="C113" s="3" t="s">
        <v>241</v>
      </c>
      <c r="D113" s="3" t="s">
        <v>38</v>
      </c>
      <c r="E113" s="4" t="s">
        <v>242</v>
      </c>
      <c r="F113" s="3" t="str">
        <f>IF(OR(MONTH(E113)&lt;&gt;$Q$1,YEAR(E113)&lt;&gt;2016),"Meses Ant",TEXT(E113,"dd/mm"))</f>
        <v>16/02</v>
      </c>
      <c r="G113" s="3" t="s">
        <v>389</v>
      </c>
      <c r="H113" s="4" t="s">
        <v>11</v>
      </c>
      <c r="I113" s="4">
        <v>42416.407638888886</v>
      </c>
      <c r="J113" s="4" t="s">
        <v>12</v>
      </c>
    </row>
    <row r="114" spans="2:10" x14ac:dyDescent="0.25">
      <c r="B114" s="3" t="str">
        <f>VLOOKUP(MID(C114,1,(SEARCH("-",C114)-1)),'[1]Regional x Site'!$C$2:$D$128,2,0)</f>
        <v>CTX – Antártica – SPOBF</v>
      </c>
      <c r="C114" s="3" t="s">
        <v>108</v>
      </c>
      <c r="D114" s="3" t="s">
        <v>71</v>
      </c>
      <c r="E114" s="4" t="s">
        <v>109</v>
      </c>
      <c r="F114" s="3" t="str">
        <f>IF(OR(MONTH(E114)&lt;&gt;$Q$1,YEAR(E114)&lt;&gt;2016),"Meses Ant",TEXT(E114,"dd/mm"))</f>
        <v>16/02</v>
      </c>
      <c r="G114" s="3" t="s">
        <v>387</v>
      </c>
      <c r="H114" s="4" t="s">
        <v>17</v>
      </c>
      <c r="I114" s="4">
        <v>42418.479166666664</v>
      </c>
      <c r="J114" s="4" t="s">
        <v>16</v>
      </c>
    </row>
    <row r="115" spans="2:10" x14ac:dyDescent="0.25">
      <c r="B115" s="3" t="str">
        <f>VLOOKUP(MID(C115,1,(SEARCH("-",C115)-1)),'[1]Regional x Site'!$C$2:$D$128,2,0)</f>
        <v>CTX – Mackenzie – RJOMK</v>
      </c>
      <c r="C115" s="3" t="s">
        <v>243</v>
      </c>
      <c r="D115" s="3" t="s">
        <v>26</v>
      </c>
      <c r="E115" s="4" t="s">
        <v>244</v>
      </c>
      <c r="F115" s="3" t="str">
        <f>IF(OR(MONTH(E115)&lt;&gt;$Q$1,YEAR(E115)&lt;&gt;2016),"Meses Ant",TEXT(E115,"dd/mm"))</f>
        <v>16/02</v>
      </c>
      <c r="G115" s="3" t="s">
        <v>396</v>
      </c>
      <c r="H115" s="4" t="s">
        <v>11</v>
      </c>
      <c r="I115" s="4">
        <v>42416.423611111109</v>
      </c>
      <c r="J115" s="4" t="s">
        <v>12</v>
      </c>
    </row>
    <row r="116" spans="2:10" x14ac:dyDescent="0.25">
      <c r="B116" s="3" t="str">
        <f>VLOOKUP(MID(C116,1,(SEARCH("-",C116)-1)),'[1]Regional x Site'!$C$2:$D$128,2,0)</f>
        <v>CTX – Mauá – RJOMA</v>
      </c>
      <c r="C116" s="3" t="s">
        <v>262</v>
      </c>
      <c r="D116" s="3" t="s">
        <v>254</v>
      </c>
      <c r="E116" s="4" t="s">
        <v>263</v>
      </c>
      <c r="F116" s="3" t="str">
        <f>IF(OR(MONTH(E116)&lt;&gt;$Q$1,YEAR(E116)&lt;&gt;2016),"Meses Ant",TEXT(E116,"dd/mm"))</f>
        <v>16/02</v>
      </c>
      <c r="G116" s="3" t="s">
        <v>392</v>
      </c>
      <c r="H116" s="4" t="s">
        <v>17</v>
      </c>
      <c r="I116" s="4">
        <v>42418.48333333333</v>
      </c>
      <c r="J116" s="4" t="s">
        <v>15</v>
      </c>
    </row>
    <row r="117" spans="2:10" x14ac:dyDescent="0.25">
      <c r="B117" s="3" t="str">
        <f>VLOOKUP(MID(C117,1,(SEARCH("-",C117)-1)),'[1]Regional x Site'!$C$2:$D$128,2,0)</f>
        <v>CTX – Boa Viagem – SALPB</v>
      </c>
      <c r="C117" s="3" t="s">
        <v>140</v>
      </c>
      <c r="D117" s="3" t="s">
        <v>119</v>
      </c>
      <c r="E117" s="4" t="s">
        <v>141</v>
      </c>
      <c r="F117" s="3" t="str">
        <f>IF(OR(MONTH(E117)&lt;&gt;$Q$1,YEAR(E117)&lt;&gt;2016),"Meses Ant",TEXT(E117,"dd/mm"))</f>
        <v>16/02</v>
      </c>
      <c r="G117" s="3" t="s">
        <v>387</v>
      </c>
      <c r="H117" s="4" t="s">
        <v>11</v>
      </c>
      <c r="I117" s="4">
        <v>42418.634027777778</v>
      </c>
      <c r="J117" s="4" t="s">
        <v>16</v>
      </c>
    </row>
    <row r="118" spans="2:10" x14ac:dyDescent="0.25">
      <c r="B118" s="3" t="str">
        <f>VLOOKUP(MID(C118,1,(SEARCH("-",C118)-1)),'[1]Regional x Site'!$C$2:$D$128,2,0)</f>
        <v>CTX – Alegria – SPOAL</v>
      </c>
      <c r="C118" s="3" t="s">
        <v>59</v>
      </c>
      <c r="D118" s="3" t="s">
        <v>27</v>
      </c>
      <c r="E118" s="4" t="s">
        <v>60</v>
      </c>
      <c r="F118" s="3" t="str">
        <f>IF(OR(MONTH(E118)&lt;&gt;$Q$1,YEAR(E118)&lt;&gt;2016),"Meses Ant",TEXT(E118,"dd/mm"))</f>
        <v>16/02</v>
      </c>
      <c r="G118" s="3" t="s">
        <v>396</v>
      </c>
      <c r="H118" s="4" t="s">
        <v>17</v>
      </c>
      <c r="I118" s="4">
        <v>42416.669444444444</v>
      </c>
      <c r="J118" s="4" t="s">
        <v>12</v>
      </c>
    </row>
    <row r="119" spans="2:10" x14ac:dyDescent="0.25">
      <c r="B119" s="3" t="str">
        <f>VLOOKUP(MID(C119,1,(SEARCH("-",C119)-1)),'[1]Regional x Site'!$C$2:$D$128,2,0)</f>
        <v>CTX – Niterói – NITSP</v>
      </c>
      <c r="C119" s="3" t="s">
        <v>297</v>
      </c>
      <c r="D119" s="3" t="s">
        <v>286</v>
      </c>
      <c r="E119" s="4" t="s">
        <v>298</v>
      </c>
      <c r="F119" s="3" t="str">
        <f>IF(OR(MONTH(E119)&lt;&gt;$Q$1,YEAR(E119)&lt;&gt;2016),"Meses Ant",TEXT(E119,"dd/mm"))</f>
        <v>16/02</v>
      </c>
      <c r="G119" s="3" t="s">
        <v>387</v>
      </c>
      <c r="H119" s="4" t="s">
        <v>17</v>
      </c>
      <c r="I119" s="4">
        <v>42418.486111111109</v>
      </c>
      <c r="J119" s="4" t="s">
        <v>16</v>
      </c>
    </row>
    <row r="120" spans="2:10" x14ac:dyDescent="0.25">
      <c r="B120" s="3" t="str">
        <f>VLOOKUP(MID(C120,1,(SEARCH("-",C120)-1)),'[1]Regional x Site'!$C$2:$D$128,2,0)</f>
        <v>CTX – Mauá – RJOMA</v>
      </c>
      <c r="C120" s="3" t="s">
        <v>264</v>
      </c>
      <c r="D120" s="3" t="s">
        <v>253</v>
      </c>
      <c r="E120" s="4" t="s">
        <v>265</v>
      </c>
      <c r="F120" s="3" t="str">
        <f>IF(OR(MONTH(E120)&lt;&gt;$Q$1,YEAR(E120)&lt;&gt;2016),"Meses Ant",TEXT(E120,"dd/mm"))</f>
        <v>16/02</v>
      </c>
      <c r="G120" s="3" t="s">
        <v>398</v>
      </c>
      <c r="H120" s="4" t="s">
        <v>17</v>
      </c>
      <c r="I120" s="4">
        <v>42416.524305555555</v>
      </c>
      <c r="J120" s="4" t="s">
        <v>12</v>
      </c>
    </row>
    <row r="121" spans="2:10" x14ac:dyDescent="0.25">
      <c r="B121" s="3" t="str">
        <f>VLOOKUP(MID(C121,1,(SEARCH("-",C121)-1)),'[1]Regional x Site'!$C$2:$D$128,2,0)</f>
        <v>CTX – Prado2 – BHZRI</v>
      </c>
      <c r="C121" s="3" t="s">
        <v>314</v>
      </c>
      <c r="D121" s="3" t="s">
        <v>210</v>
      </c>
      <c r="E121" s="4" t="s">
        <v>315</v>
      </c>
      <c r="F121" s="3" t="str">
        <f>IF(OR(MONTH(E121)&lt;&gt;$Q$1,YEAR(E121)&lt;&gt;2016),"Meses Ant",TEXT(E121,"dd/mm"))</f>
        <v>16/02</v>
      </c>
      <c r="G121" s="3" t="s">
        <v>398</v>
      </c>
      <c r="H121" s="4" t="s">
        <v>11</v>
      </c>
      <c r="I121" s="4">
        <v>42416.533333333333</v>
      </c>
      <c r="J121" s="4" t="s">
        <v>16</v>
      </c>
    </row>
    <row r="122" spans="2:10" x14ac:dyDescent="0.25">
      <c r="B122" s="3" t="str">
        <f>VLOOKUP(MID(C122,1,(SEARCH("-",C122)-1)),'[1]Regional x Site'!$C$2:$D$128,2,0)</f>
        <v>CTX – Lapa – SPOLP</v>
      </c>
      <c r="C122" s="3" t="s">
        <v>229</v>
      </c>
      <c r="D122" s="3" t="s">
        <v>19</v>
      </c>
      <c r="E122" s="4" t="s">
        <v>230</v>
      </c>
      <c r="F122" s="3" t="str">
        <f>IF(OR(MONTH(E122)&lt;&gt;$Q$1,YEAR(E122)&lt;&gt;2016),"Meses Ant",TEXT(E122,"dd/mm"))</f>
        <v>16/02</v>
      </c>
      <c r="G122" s="3" t="s">
        <v>391</v>
      </c>
      <c r="H122" s="4" t="s">
        <v>11</v>
      </c>
      <c r="I122" s="4">
        <v>42416.527083333334</v>
      </c>
      <c r="J122" s="4" t="s">
        <v>12</v>
      </c>
    </row>
    <row r="123" spans="2:10" x14ac:dyDescent="0.25">
      <c r="B123" s="3" t="str">
        <f>VLOOKUP(MID(C123,1,(SEARCH("-",C123)-1)),'[1]Regional x Site'!$C$2:$D$128,2,0)</f>
        <v>CTX – Boa Viagem – SALPB</v>
      </c>
      <c r="C123" s="3" t="s">
        <v>142</v>
      </c>
      <c r="D123" s="3" t="s">
        <v>122</v>
      </c>
      <c r="E123" s="4" t="s">
        <v>143</v>
      </c>
      <c r="F123" s="3" t="str">
        <f>IF(OR(MONTH(E123)&lt;&gt;$Q$1,YEAR(E123)&lt;&gt;2016),"Meses Ant",TEXT(E123,"dd/mm"))</f>
        <v>16/02</v>
      </c>
      <c r="G123" s="3" t="s">
        <v>388</v>
      </c>
      <c r="H123" s="4" t="s">
        <v>14</v>
      </c>
      <c r="I123" s="4">
        <v>0</v>
      </c>
      <c r="J123" s="4">
        <v>0</v>
      </c>
    </row>
    <row r="124" spans="2:10" x14ac:dyDescent="0.25">
      <c r="B124" s="3" t="str">
        <f>VLOOKUP(MID(C124,1,(SEARCH("-",C124)-1)),'[1]Regional x Site'!$C$2:$D$128,2,0)</f>
        <v>CTX – Santo Amaro – RECSA</v>
      </c>
      <c r="C124" s="3" t="s">
        <v>378</v>
      </c>
      <c r="D124" s="3" t="s">
        <v>153</v>
      </c>
      <c r="E124" s="4" t="s">
        <v>379</v>
      </c>
      <c r="F124" s="3" t="str">
        <f>IF(OR(MONTH(E124)&lt;&gt;$Q$1,YEAR(E124)&lt;&gt;2016),"Meses Ant",TEXT(E124,"dd/mm"))</f>
        <v>16/02</v>
      </c>
      <c r="G124" s="3" t="s">
        <v>387</v>
      </c>
      <c r="H124" s="4" t="s">
        <v>17</v>
      </c>
      <c r="I124" s="4">
        <v>42417.502083333333</v>
      </c>
      <c r="J124" s="4" t="s">
        <v>16</v>
      </c>
    </row>
    <row r="125" spans="2:10" x14ac:dyDescent="0.25">
      <c r="B125" s="3" t="str">
        <f>VLOOKUP(MID(C125,1,(SEARCH("-",C125)-1)),'[1]Regional x Site'!$C$2:$D$128,2,0)</f>
        <v>CTX – Alegria – SPOAL</v>
      </c>
      <c r="C125" s="3" t="s">
        <v>61</v>
      </c>
      <c r="D125" s="3" t="s">
        <v>58</v>
      </c>
      <c r="E125" s="4" t="s">
        <v>62</v>
      </c>
      <c r="F125" s="3" t="str">
        <f>IF(OR(MONTH(E125)&lt;&gt;$Q$1,YEAR(E125)&lt;&gt;2016),"Meses Ant",TEXT(E125,"dd/mm"))</f>
        <v>16/02</v>
      </c>
      <c r="G125" s="3" t="s">
        <v>398</v>
      </c>
      <c r="H125" s="4" t="s">
        <v>11</v>
      </c>
      <c r="I125" s="4">
        <v>42416.754166666666</v>
      </c>
      <c r="J125" s="4" t="s">
        <v>12</v>
      </c>
    </row>
    <row r="126" spans="2:10" x14ac:dyDescent="0.25">
      <c r="B126" s="3" t="str">
        <f>VLOOKUP(MID(C126,1,(SEARCH("-",C126)-1)),'[1]Regional x Site'!$C$2:$D$128,2,0)</f>
        <v>CTX – Alegria – SPOAL</v>
      </c>
      <c r="C126" s="3" t="s">
        <v>63</v>
      </c>
      <c r="D126" s="3" t="s">
        <v>64</v>
      </c>
      <c r="E126" s="4" t="s">
        <v>65</v>
      </c>
      <c r="F126" s="3" t="str">
        <f>IF(OR(MONTH(E126)&lt;&gt;$Q$1,YEAR(E126)&lt;&gt;2016),"Meses Ant",TEXT(E126,"dd/mm"))</f>
        <v>16/02</v>
      </c>
      <c r="G126" s="3" t="s">
        <v>398</v>
      </c>
      <c r="H126" s="4" t="s">
        <v>11</v>
      </c>
      <c r="I126" s="4">
        <v>42416.761111111111</v>
      </c>
      <c r="J126" s="4" t="s">
        <v>12</v>
      </c>
    </row>
    <row r="127" spans="2:10" x14ac:dyDescent="0.25">
      <c r="B127" s="3" t="str">
        <f>VLOOKUP(MID(C127,1,(SEARCH("-",C127)-1)),'[1]Regional x Site'!$C$2:$D$128,2,0)</f>
        <v>CTX – Antártica – SPOBF</v>
      </c>
      <c r="C127" s="3" t="s">
        <v>110</v>
      </c>
      <c r="D127" s="3" t="s">
        <v>71</v>
      </c>
      <c r="E127" s="4" t="s">
        <v>111</v>
      </c>
      <c r="F127" s="3" t="str">
        <f>IF(OR(MONTH(E127)&lt;&gt;$Q$1,YEAR(E127)&lt;&gt;2016),"Meses Ant",TEXT(E127,"dd/mm"))</f>
        <v>16/02</v>
      </c>
      <c r="G127" s="3" t="s">
        <v>398</v>
      </c>
      <c r="H127" s="4" t="s">
        <v>17</v>
      </c>
      <c r="I127" s="4">
        <v>42417.118750000001</v>
      </c>
      <c r="J127" s="4" t="s">
        <v>12</v>
      </c>
    </row>
    <row r="128" spans="2:10" x14ac:dyDescent="0.25">
      <c r="B128" s="3" t="str">
        <f>VLOOKUP(MID(C128,1,(SEARCH("-",C128)-1)),'[1]Regional x Site'!$C$2:$D$128,2,0)</f>
        <v>CTX – Navegantes – POARB</v>
      </c>
      <c r="C128" s="3" t="s">
        <v>283</v>
      </c>
      <c r="D128" s="3" t="s">
        <v>114</v>
      </c>
      <c r="E128" s="4" t="s">
        <v>284</v>
      </c>
      <c r="F128" s="3" t="str">
        <f>IF(OR(MONTH(E128)&lt;&gt;$Q$1,YEAR(E128)&lt;&gt;2016),"Meses Ant",TEXT(E128,"dd/mm"))</f>
        <v>17/02</v>
      </c>
      <c r="G128" s="3" t="s">
        <v>393</v>
      </c>
      <c r="H128" s="4" t="s">
        <v>17</v>
      </c>
      <c r="I128" s="4">
        <v>42417.065972222219</v>
      </c>
      <c r="J128" s="4" t="s">
        <v>12</v>
      </c>
    </row>
    <row r="129" spans="2:10" x14ac:dyDescent="0.25">
      <c r="B129" s="3" t="str">
        <f>VLOOKUP(MID(C129,1,(SEARCH("-",C129)-1)),'[1]Regional x Site'!$C$2:$D$128,2,0)</f>
        <v>CTX – Alegria – SPOAL</v>
      </c>
      <c r="C129" s="3" t="s">
        <v>66</v>
      </c>
      <c r="D129" s="3" t="s">
        <v>19</v>
      </c>
      <c r="E129" s="4" t="s">
        <v>67</v>
      </c>
      <c r="F129" s="3" t="str">
        <f>IF(OR(MONTH(E129)&lt;&gt;$Q$1,YEAR(E129)&lt;&gt;2016),"Meses Ant",TEXT(E129,"dd/mm"))</f>
        <v>17/02</v>
      </c>
      <c r="G129" s="3" t="s">
        <v>391</v>
      </c>
      <c r="H129" s="4" t="s">
        <v>11</v>
      </c>
      <c r="I129" s="4">
        <v>42417.302083333336</v>
      </c>
      <c r="J129" s="4" t="s">
        <v>16</v>
      </c>
    </row>
    <row r="130" spans="2:10" x14ac:dyDescent="0.25">
      <c r="B130" s="3" t="str">
        <f>VLOOKUP(MID(C130,1,(SEARCH("-",C130)-1)),'[1]Regional x Site'!$C$2:$D$128,2,0)</f>
        <v>CTX – Santo Amaro – RECSA</v>
      </c>
      <c r="C130" s="3" t="s">
        <v>380</v>
      </c>
      <c r="D130" s="3" t="s">
        <v>51</v>
      </c>
      <c r="E130" s="4" t="s">
        <v>381</v>
      </c>
      <c r="F130" s="3" t="str">
        <f>IF(OR(MONTH(E130)&lt;&gt;$Q$1,YEAR(E130)&lt;&gt;2016),"Meses Ant",TEXT(E130,"dd/mm"))</f>
        <v>17/02</v>
      </c>
      <c r="G130" s="3" t="s">
        <v>398</v>
      </c>
      <c r="H130" s="4" t="s">
        <v>17</v>
      </c>
      <c r="I130" s="4">
        <v>42417.37222222222</v>
      </c>
      <c r="J130" s="4" t="s">
        <v>16</v>
      </c>
    </row>
    <row r="131" spans="2:10" x14ac:dyDescent="0.25">
      <c r="B131" s="3" t="str">
        <f>VLOOKUP(MID(C131,1,(SEARCH("-",C131)-1)),'[1]Regional x Site'!$C$2:$D$128,2,0)</f>
        <v>CTX – Mackenzie – RJOMK</v>
      </c>
      <c r="C131" s="3" t="s">
        <v>245</v>
      </c>
      <c r="D131" s="3" t="s">
        <v>26</v>
      </c>
      <c r="E131" s="4" t="s">
        <v>246</v>
      </c>
      <c r="F131" s="3" t="str">
        <f>IF(OR(MONTH(E131)&lt;&gt;$Q$1,YEAR(E131)&lt;&gt;2016),"Meses Ant",TEXT(E131,"dd/mm"))</f>
        <v>17/02</v>
      </c>
      <c r="G131" s="3" t="s">
        <v>391</v>
      </c>
      <c r="H131" s="4" t="s">
        <v>17</v>
      </c>
      <c r="I131" s="4">
        <v>42417.369444444441</v>
      </c>
      <c r="J131" s="4" t="s">
        <v>12</v>
      </c>
    </row>
    <row r="132" spans="2:10" x14ac:dyDescent="0.25">
      <c r="B132" s="3" t="str">
        <f>VLOOKUP(MID(C132,1,(SEARCH("-",C132)-1)),'[1]Regional x Site'!$C$2:$D$128,2,0)</f>
        <v>CTX – Antártica – SPOBF</v>
      </c>
      <c r="C132" s="3" t="s">
        <v>112</v>
      </c>
      <c r="D132" s="3" t="s">
        <v>19</v>
      </c>
      <c r="E132" s="4" t="s">
        <v>113</v>
      </c>
      <c r="F132" s="3" t="str">
        <f>IF(OR(MONTH(E132)&lt;&gt;$Q$1,YEAR(E132)&lt;&gt;2016),"Meses Ant",TEXT(E132,"dd/mm"))</f>
        <v>17/02</v>
      </c>
      <c r="G132" s="3" t="s">
        <v>391</v>
      </c>
      <c r="H132" s="4" t="s">
        <v>11</v>
      </c>
      <c r="I132" s="4">
        <v>42417.429166666669</v>
      </c>
      <c r="J132" s="4" t="s">
        <v>12</v>
      </c>
    </row>
    <row r="133" spans="2:10" x14ac:dyDescent="0.25">
      <c r="B133" s="3" t="str">
        <f>VLOOKUP(MID(C133,1,(SEARCH("-",C133)-1)),'[1]Regional x Site'!$C$2:$D$128,2,0)</f>
        <v>CTX – Boa Viagem – SALPB</v>
      </c>
      <c r="C133" s="3" t="s">
        <v>144</v>
      </c>
      <c r="D133" s="3" t="s">
        <v>120</v>
      </c>
      <c r="E133" s="4" t="s">
        <v>145</v>
      </c>
      <c r="F133" s="3" t="str">
        <f>IF(OR(MONTH(E133)&lt;&gt;$Q$1,YEAR(E133)&lt;&gt;2016),"Meses Ant",TEXT(E133,"dd/mm"))</f>
        <v>17/02</v>
      </c>
      <c r="G133" s="3" t="s">
        <v>387</v>
      </c>
      <c r="H133" s="4" t="s">
        <v>17</v>
      </c>
      <c r="I133" s="4">
        <v>42418.623611111114</v>
      </c>
      <c r="J133" s="4" t="s">
        <v>16</v>
      </c>
    </row>
    <row r="134" spans="2:10" x14ac:dyDescent="0.25">
      <c r="B134" s="3" t="str">
        <f>VLOOKUP(MID(C134,1,(SEARCH("-",C134)-1)),'[1]Regional x Site'!$C$2:$D$128,2,0)</f>
        <v>CTX – Cabula – SALSM</v>
      </c>
      <c r="C134" s="3" t="s">
        <v>162</v>
      </c>
      <c r="D134" s="3" t="s">
        <v>155</v>
      </c>
      <c r="E134" s="4" t="s">
        <v>163</v>
      </c>
      <c r="F134" s="3" t="str">
        <f>IF(OR(MONTH(E134)&lt;&gt;$Q$1,YEAR(E134)&lt;&gt;2016),"Meses Ant",TEXT(E134,"dd/mm"))</f>
        <v>18/02</v>
      </c>
      <c r="G134" s="3" t="s">
        <v>387</v>
      </c>
      <c r="H134" s="4" t="s">
        <v>11</v>
      </c>
      <c r="I134" s="4">
        <v>42418.648611111108</v>
      </c>
      <c r="J134" s="4" t="s">
        <v>16</v>
      </c>
    </row>
    <row r="135" spans="2:10" x14ac:dyDescent="0.25">
      <c r="B135" s="3" t="str">
        <f>VLOOKUP(MID(C135,1,(SEARCH("-",C135)-1)),'[1]Regional x Site'!$C$2:$D$128,2,0)</f>
        <v>CTX – João Pessoa - JPASA</v>
      </c>
      <c r="C135" s="3" t="s">
        <v>219</v>
      </c>
      <c r="D135" s="3" t="s">
        <v>71</v>
      </c>
      <c r="E135" s="4" t="s">
        <v>220</v>
      </c>
      <c r="F135" s="3" t="str">
        <f>IF(OR(MONTH(E135)&lt;&gt;$Q$1,YEAR(E135)&lt;&gt;2016),"Meses Ant",TEXT(E135,"dd/mm"))</f>
        <v>18/02</v>
      </c>
      <c r="G135" s="3" t="s">
        <v>388</v>
      </c>
      <c r="H135" s="4" t="s">
        <v>17</v>
      </c>
      <c r="I135" s="4">
        <v>42418.402083333334</v>
      </c>
      <c r="J135" s="4" t="s">
        <v>12</v>
      </c>
    </row>
    <row r="136" spans="2:10" x14ac:dyDescent="0.25">
      <c r="B136" s="3" t="str">
        <f>VLOOKUP(MID(C136,1,(SEARCH("-",C136)-1)),'[1]Regional x Site'!$C$2:$D$128,2,0)</f>
        <v>CTX – Santo Amaro – RECSA</v>
      </c>
      <c r="C136" s="3" t="s">
        <v>382</v>
      </c>
      <c r="D136" s="3" t="s">
        <v>25</v>
      </c>
      <c r="E136" s="4" t="s">
        <v>383</v>
      </c>
      <c r="F136" s="3" t="str">
        <f>IF(OR(MONTH(E136)&lt;&gt;$Q$1,YEAR(E136)&lt;&gt;2016),"Meses Ant",TEXT(E136,"dd/mm"))</f>
        <v>18/02</v>
      </c>
      <c r="G136" s="3" t="s">
        <v>391</v>
      </c>
      <c r="H136" s="4" t="s">
        <v>11</v>
      </c>
      <c r="I136" s="4">
        <v>42418.481944444444</v>
      </c>
      <c r="J136" s="4" t="s">
        <v>12</v>
      </c>
    </row>
    <row r="137" spans="2:10" x14ac:dyDescent="0.25">
      <c r="B137" s="3" t="str">
        <f>VLOOKUP(MID(C137,1,(SEARCH("-",C137)-1)),'[1]Regional x Site'!$C$2:$D$128,2,0)</f>
        <v>CTX – Santo Amaro – RECSA</v>
      </c>
      <c r="C137" s="3" t="s">
        <v>384</v>
      </c>
      <c r="D137" s="3" t="s">
        <v>322</v>
      </c>
      <c r="E137" s="4" t="s">
        <v>385</v>
      </c>
      <c r="F137" s="3" t="str">
        <f>IF(OR(MONTH(E137)&lt;&gt;$Q$1,YEAR(E137)&lt;&gt;2016),"Meses Ant",TEXT(E137,"dd/mm"))</f>
        <v>18/02</v>
      </c>
      <c r="G137" s="3" t="s">
        <v>398</v>
      </c>
      <c r="H137" s="4" t="s">
        <v>17</v>
      </c>
      <c r="I137" s="4">
        <v>42418.509027777778</v>
      </c>
      <c r="J137" s="4" t="s">
        <v>12</v>
      </c>
    </row>
    <row r="138" spans="2:10" x14ac:dyDescent="0.25">
      <c r="B138" s="3" t="str">
        <f>VLOOKUP(MID(C138,1,(SEARCH("-",C138)-1)),'[1]Regional x Site'!$C$2:$D$128,2,0)</f>
        <v>CTX – Boa Viagem – SALPB</v>
      </c>
      <c r="C138" s="3" t="s">
        <v>146</v>
      </c>
      <c r="D138" s="3" t="s">
        <v>19</v>
      </c>
      <c r="E138" s="4" t="s">
        <v>147</v>
      </c>
      <c r="F138" s="3" t="str">
        <f>IF(OR(MONTH(E138)&lt;&gt;$Q$1,YEAR(E138)&lt;&gt;2016),"Meses Ant",TEXT(E138,"dd/mm"))</f>
        <v>18/02</v>
      </c>
      <c r="G138" s="3" t="s">
        <v>394</v>
      </c>
      <c r="H138" s="4" t="s">
        <v>11</v>
      </c>
      <c r="I138" s="4">
        <v>42418.822222222225</v>
      </c>
      <c r="J138" s="4" t="s">
        <v>12</v>
      </c>
    </row>
    <row r="139" spans="2:10" x14ac:dyDescent="0.25">
      <c r="B139" s="3" t="str">
        <f>VLOOKUP(MID(C139,1,(SEARCH("-",C139)-1)),'[1]Regional x Site'!$C$2:$D$128,2,0)</f>
        <v>CTX – Cabula – SALSM</v>
      </c>
      <c r="C139" s="3" t="s">
        <v>164</v>
      </c>
      <c r="D139" s="3" t="s">
        <v>153</v>
      </c>
      <c r="E139" s="4" t="s">
        <v>165</v>
      </c>
      <c r="F139" s="3" t="str">
        <f>IF(OR(MONTH(E139)&lt;&gt;$Q$1,YEAR(E139)&lt;&gt;2016),"Meses Ant",TEXT(E139,"dd/mm"))</f>
        <v>18/02</v>
      </c>
      <c r="G139" s="3" t="s">
        <v>387</v>
      </c>
      <c r="H139" s="4" t="s">
        <v>17</v>
      </c>
      <c r="I139" s="4">
        <v>42418.734722222223</v>
      </c>
      <c r="J139" s="4" t="s">
        <v>16</v>
      </c>
    </row>
    <row r="140" spans="2:10" x14ac:dyDescent="0.25">
      <c r="B140" s="3" t="str">
        <f>VLOOKUP(MID(C140,1,(SEARCH("-",C140)-1)),'[1]Regional x Site'!$C$2:$D$128,2,0)</f>
        <v>CTX – Boa Viagem – SALPB</v>
      </c>
      <c r="C140" s="3" t="s">
        <v>148</v>
      </c>
      <c r="D140" s="3" t="s">
        <v>122</v>
      </c>
      <c r="E140" s="4" t="s">
        <v>149</v>
      </c>
      <c r="F140" s="3" t="str">
        <f>IF(OR(MONTH(E140)&lt;&gt;$Q$1,YEAR(E140)&lt;&gt;2016),"Meses Ant",TEXT(E140,"dd/mm"))</f>
        <v>18/02</v>
      </c>
      <c r="G140" s="3" t="s">
        <v>387</v>
      </c>
      <c r="H140" s="4" t="s">
        <v>17</v>
      </c>
      <c r="I140" s="4">
        <v>42418.736111111109</v>
      </c>
      <c r="J140" s="4" t="s">
        <v>16</v>
      </c>
    </row>
    <row r="141" spans="2:10" x14ac:dyDescent="0.25">
      <c r="B141" s="3" t="str">
        <f>VLOOKUP(MID(C141,1,(SEARCH("-",C141)-1)),'[1]Regional x Site'!$C$2:$D$128,2,0)</f>
        <v>CTX – Edifício Hichan – CASEH</v>
      </c>
      <c r="C141" s="3" t="s">
        <v>184</v>
      </c>
      <c r="D141" s="3" t="s">
        <v>71</v>
      </c>
      <c r="E141" s="4" t="s">
        <v>185</v>
      </c>
      <c r="F141" s="3" t="str">
        <f>IF(OR(MONTH(E141)&lt;&gt;$Q$1,YEAR(E141)&lt;&gt;2016),"Meses Ant",TEXT(E141,"dd/mm"))</f>
        <v>18/02</v>
      </c>
      <c r="G141" s="3" t="s">
        <v>387</v>
      </c>
      <c r="H141" s="4" t="s">
        <v>17</v>
      </c>
      <c r="I141" s="4">
        <v>42419.517361111109</v>
      </c>
      <c r="J141" s="4" t="s">
        <v>16</v>
      </c>
    </row>
    <row r="142" spans="2:10" x14ac:dyDescent="0.25">
      <c r="B142" s="3" t="str">
        <f>VLOOKUP(MID(C142,1,(SEARCH("-",C142)-1)),'[1]Regional x Site'!$C$2:$D$128,2,0)</f>
        <v>CTX – Mackenzie – RJOMK</v>
      </c>
      <c r="C142" s="3" t="s">
        <v>247</v>
      </c>
      <c r="D142" s="3" t="s">
        <v>51</v>
      </c>
      <c r="E142" s="4" t="s">
        <v>248</v>
      </c>
      <c r="F142" s="3" t="str">
        <f>IF(OR(MONTH(E142)&lt;&gt;$Q$1,YEAR(E142)&lt;&gt;2016),"Meses Ant",TEXT(E142,"dd/mm"))</f>
        <v>18/02</v>
      </c>
      <c r="G142" s="3" t="s">
        <v>391</v>
      </c>
      <c r="H142" s="4" t="s">
        <v>11</v>
      </c>
      <c r="I142" s="4">
        <v>42418.789583333331</v>
      </c>
      <c r="J142" s="4" t="s">
        <v>12</v>
      </c>
    </row>
    <row r="143" spans="2:10" x14ac:dyDescent="0.25">
      <c r="B143" s="3" t="str">
        <f>VLOOKUP(MID(C143,1,(SEARCH("-",C143)-1)),'[1]Regional x Site'!$C$2:$D$128,2,0)</f>
        <v>CTX – Mackenzie – RJOMK</v>
      </c>
      <c r="C143" s="3" t="s">
        <v>249</v>
      </c>
      <c r="D143" s="3" t="s">
        <v>26</v>
      </c>
      <c r="E143" s="4" t="s">
        <v>250</v>
      </c>
      <c r="F143" s="3" t="str">
        <f>IF(OR(MONTH(E143)&lt;&gt;$Q$1,YEAR(E143)&lt;&gt;2016),"Meses Ant",TEXT(E143,"dd/mm"))</f>
        <v>19/02</v>
      </c>
      <c r="G143" s="3" t="s">
        <v>387</v>
      </c>
      <c r="H143" s="4" t="s">
        <v>14</v>
      </c>
      <c r="I143" s="4">
        <v>0</v>
      </c>
      <c r="J143" s="4">
        <v>0</v>
      </c>
    </row>
    <row r="144" spans="2:10" x14ac:dyDescent="0.25">
      <c r="B144" s="3" t="str">
        <f>VLOOKUP(MID(C144,1,(SEARCH("-",C144)-1)),'[1]Regional x Site'!$C$2:$D$128,2,0)</f>
        <v>CTX – Cabula – SALSM</v>
      </c>
      <c r="C144" s="3" t="s">
        <v>166</v>
      </c>
      <c r="D144" s="3" t="s">
        <v>158</v>
      </c>
      <c r="E144" s="4" t="s">
        <v>167</v>
      </c>
      <c r="F144" s="3" t="str">
        <f>IF(OR(MONTH(E144)&lt;&gt;$Q$1,YEAR(E144)&lt;&gt;2016),"Meses Ant",TEXT(E144,"dd/mm"))</f>
        <v>19/02</v>
      </c>
      <c r="G144" s="3" t="s">
        <v>387</v>
      </c>
      <c r="H144" s="4" t="s">
        <v>17</v>
      </c>
      <c r="I144" s="4">
        <v>42420.48333333333</v>
      </c>
      <c r="J144" s="4" t="s">
        <v>16</v>
      </c>
    </row>
    <row r="145" spans="2:10" x14ac:dyDescent="0.25">
      <c r="B145" s="3" t="str">
        <f>VLOOKUP(MID(C145,1,(SEARCH("-",C145)-1)),'[1]Regional x Site'!$C$2:$D$128,2,0)</f>
        <v>CTX – Cabula – SALSM</v>
      </c>
      <c r="C145" s="3" t="s">
        <v>168</v>
      </c>
      <c r="D145" s="3" t="s">
        <v>159</v>
      </c>
      <c r="E145" s="4" t="s">
        <v>169</v>
      </c>
      <c r="F145" s="3" t="str">
        <f>IF(OR(MONTH(E145)&lt;&gt;$Q$1,YEAR(E145)&lt;&gt;2016),"Meses Ant",TEXT(E145,"dd/mm"))</f>
        <v>19/02</v>
      </c>
      <c r="G145" s="3" t="s">
        <v>387</v>
      </c>
      <c r="H145" s="4" t="s">
        <v>17</v>
      </c>
      <c r="I145" s="4">
        <v>42419.700694444444</v>
      </c>
      <c r="J145" s="4" t="s">
        <v>16</v>
      </c>
    </row>
    <row r="146" spans="2:10" x14ac:dyDescent="0.25">
      <c r="B146" s="3" t="str">
        <f>VLOOKUP(MID(C146,1,(SEARCH("-",C146)-1)),'[1]Regional x Site'!$C$2:$D$128,2,0)</f>
        <v>CTX – João Pessoa - JPASA</v>
      </c>
      <c r="C146" s="3" t="s">
        <v>221</v>
      </c>
      <c r="D146" s="3" t="s">
        <v>71</v>
      </c>
      <c r="E146" s="4" t="s">
        <v>222</v>
      </c>
      <c r="F146" s="3" t="str">
        <f>IF(OR(MONTH(E146)&lt;&gt;$Q$1,YEAR(E146)&lt;&gt;2016),"Meses Ant",TEXT(E146,"dd/mm"))</f>
        <v>19/02</v>
      </c>
      <c r="G146" s="3" t="s">
        <v>387</v>
      </c>
      <c r="H146" s="4" t="s">
        <v>17</v>
      </c>
      <c r="I146" s="4">
        <v>42419.690972222219</v>
      </c>
      <c r="J146" s="4" t="s">
        <v>12</v>
      </c>
    </row>
    <row r="147" spans="2:10" x14ac:dyDescent="0.25">
      <c r="B147" s="3" t="str">
        <f>VLOOKUP(MID(C147,1,(SEARCH("-",C147)-1)),'[1]Regional x Site'!$C$2:$D$128,2,0)</f>
        <v>CTX – Prado2 – BHZRI</v>
      </c>
      <c r="C147" s="3" t="s">
        <v>316</v>
      </c>
      <c r="D147" s="3" t="s">
        <v>210</v>
      </c>
      <c r="E147" s="4" t="s">
        <v>317</v>
      </c>
      <c r="F147" s="3" t="str">
        <f>IF(OR(MONTH(E147)&lt;&gt;$Q$1,YEAR(E147)&lt;&gt;2016),"Meses Ant",TEXT(E147,"dd/mm"))</f>
        <v>19/02</v>
      </c>
      <c r="G147" s="3" t="s">
        <v>389</v>
      </c>
      <c r="H147" s="4" t="s">
        <v>11</v>
      </c>
      <c r="I147" s="4">
        <v>42419.816666666666</v>
      </c>
      <c r="J147" s="4" t="s">
        <v>12</v>
      </c>
    </row>
    <row r="148" spans="2:10" x14ac:dyDescent="0.25">
      <c r="B148" s="3" t="str">
        <f>VLOOKUP(MID(C148,1,(SEARCH("-",C148)-1)),'[1]Regional x Site'!$C$2:$D$128,2,0)</f>
        <v>CTX – Boa Viagem – SALPB</v>
      </c>
      <c r="C148" s="3" t="s">
        <v>150</v>
      </c>
      <c r="D148" s="3" t="s">
        <v>23</v>
      </c>
      <c r="E148" s="4" t="s">
        <v>151</v>
      </c>
      <c r="F148" s="3" t="str">
        <f>IF(OR(MONTH(E148)&lt;&gt;$Q$1,YEAR(E148)&lt;&gt;2016),"Meses Ant",TEXT(E148,"dd/mm"))</f>
        <v>19/02</v>
      </c>
      <c r="G148" s="3" t="s">
        <v>392</v>
      </c>
      <c r="H148" s="4" t="s">
        <v>14</v>
      </c>
      <c r="I148" s="4">
        <v>0</v>
      </c>
      <c r="J148" s="4" t="s">
        <v>15</v>
      </c>
    </row>
    <row r="149" spans="2:10" x14ac:dyDescent="0.25">
      <c r="B149" s="3" t="str">
        <f>VLOOKUP(MID(C149,1,(SEARCH("-",C149)-1)),'[1]Regional x Site'!$C$2:$D$128,2,0)</f>
        <v>CTX – Luigi Amorese – LONLA</v>
      </c>
      <c r="C149" s="3" t="s">
        <v>237</v>
      </c>
      <c r="D149" s="3" t="s">
        <v>71</v>
      </c>
      <c r="E149" s="4" t="s">
        <v>238</v>
      </c>
      <c r="F149" s="3" t="str">
        <f>IF(OR(MONTH(E149)&lt;&gt;$Q$1,YEAR(E149)&lt;&gt;2016),"Meses Ant",TEXT(E149,"dd/mm"))</f>
        <v>19/02</v>
      </c>
      <c r="G149" s="3" t="s">
        <v>398</v>
      </c>
      <c r="H149" s="4" t="s">
        <v>11</v>
      </c>
      <c r="I149" s="4">
        <v>42419.909722222219</v>
      </c>
      <c r="J149" s="4" t="s">
        <v>16</v>
      </c>
    </row>
    <row r="150" spans="2:10" x14ac:dyDescent="0.25">
      <c r="B150" s="3" t="str">
        <f>VLOOKUP(MID(C150,1,(SEARCH("-",C150)-1)),'[1]Regional x Site'!$C$2:$D$128,2,0)</f>
        <v>CTX – Alegria – SPOAL</v>
      </c>
      <c r="C150" s="3" t="s">
        <v>68</v>
      </c>
      <c r="D150" s="3" t="s">
        <v>19</v>
      </c>
      <c r="E150" s="4" t="s">
        <v>69</v>
      </c>
      <c r="F150" s="3" t="str">
        <f>IF(OR(MONTH(E150)&lt;&gt;$Q$1,YEAR(E150)&lt;&gt;2016),"Meses Ant",TEXT(E150,"dd/mm"))</f>
        <v>20/02</v>
      </c>
      <c r="G150" s="3" t="s">
        <v>391</v>
      </c>
      <c r="H150" s="4" t="s">
        <v>11</v>
      </c>
      <c r="I150" s="4">
        <v>42420.515972222223</v>
      </c>
      <c r="J150" s="4" t="s">
        <v>12</v>
      </c>
    </row>
    <row r="151" spans="2:10" x14ac:dyDescent="0.25">
      <c r="B151" s="3" t="str">
        <f>VLOOKUP(MID(C151,1,(SEARCH("-",C151)-1)),'[1]Regional x Site'!$C$2:$D$128,2,0)</f>
        <v>CTX – João Pessoa - JPASA</v>
      </c>
      <c r="C151" s="3" t="s">
        <v>223</v>
      </c>
      <c r="D151" s="3" t="s">
        <v>71</v>
      </c>
      <c r="E151" s="4" t="s">
        <v>224</v>
      </c>
      <c r="F151" s="3" t="str">
        <f>IF(OR(MONTH(E151)&lt;&gt;$Q$1,YEAR(E151)&lt;&gt;2016),"Meses Ant",TEXT(E151,"dd/mm"))</f>
        <v>20/02</v>
      </c>
      <c r="G151" s="3" t="s">
        <v>387</v>
      </c>
      <c r="H151" s="4" t="s">
        <v>17</v>
      </c>
      <c r="I151" s="4">
        <v>42422.693749999999</v>
      </c>
      <c r="J151" s="4" t="s">
        <v>16</v>
      </c>
    </row>
    <row r="152" spans="2:10" x14ac:dyDescent="0.25">
      <c r="B152" s="3" t="str">
        <f>VLOOKUP(MID(C152,1,(SEARCH("-",C152)-1)),'[1]Regional x Site'!$C$2:$D$128,2,0)</f>
        <v>CTX – CTC Augusta – CTCRA</v>
      </c>
      <c r="C152" s="3" t="s">
        <v>178</v>
      </c>
      <c r="D152" s="3" t="s">
        <v>175</v>
      </c>
      <c r="E152" s="4" t="s">
        <v>179</v>
      </c>
      <c r="F152" s="3" t="str">
        <f>IF(OR(MONTH(E152)&lt;&gt;$Q$1,YEAR(E152)&lt;&gt;2016),"Meses Ant",TEXT(E152,"dd/mm"))</f>
        <v>20/02</v>
      </c>
      <c r="G152" s="3" t="s">
        <v>398</v>
      </c>
      <c r="H152" s="4" t="s">
        <v>11</v>
      </c>
      <c r="I152" s="4">
        <v>42420.70416666667</v>
      </c>
      <c r="J152" s="4" t="s">
        <v>12</v>
      </c>
    </row>
    <row r="153" spans="2:10" x14ac:dyDescent="0.25">
      <c r="B153" s="3" t="str">
        <f>VLOOKUP(MID(C153,1,(SEARCH("-",C153)-1)),'[1]Regional x Site'!$C$2:$D$128,2,0)</f>
        <v>CTX – Mackenzie – RJOMK</v>
      </c>
      <c r="C153" s="3" t="s">
        <v>251</v>
      </c>
      <c r="D153" s="3" t="s">
        <v>51</v>
      </c>
      <c r="E153" s="4" t="s">
        <v>252</v>
      </c>
      <c r="F153" s="3" t="str">
        <f>IF(OR(MONTH(E153)&lt;&gt;$Q$1,YEAR(E153)&lt;&gt;2016),"Meses Ant",TEXT(E153,"dd/mm"))</f>
        <v>21/02</v>
      </c>
      <c r="G153" s="3" t="s">
        <v>391</v>
      </c>
      <c r="H153" s="4" t="s">
        <v>11</v>
      </c>
      <c r="I153" s="4">
        <v>42421.336805555555</v>
      </c>
      <c r="J153" s="4" t="s">
        <v>12</v>
      </c>
    </row>
    <row r="154" spans="2:10" x14ac:dyDescent="0.25">
      <c r="B154" s="5" t="s">
        <v>414</v>
      </c>
      <c r="C154" s="5" t="s">
        <v>415</v>
      </c>
      <c r="D154" s="5" t="s">
        <v>435</v>
      </c>
      <c r="E154" s="6" t="s">
        <v>449</v>
      </c>
      <c r="F154" s="5" t="s">
        <v>461</v>
      </c>
      <c r="G154" s="5" t="s">
        <v>398</v>
      </c>
      <c r="H154" s="6" t="s">
        <v>11</v>
      </c>
      <c r="I154" s="6">
        <v>42422.363194444442</v>
      </c>
      <c r="J154" s="6" t="s">
        <v>12</v>
      </c>
    </row>
    <row r="155" spans="2:10" x14ac:dyDescent="0.25">
      <c r="B155" s="5" t="s">
        <v>414</v>
      </c>
      <c r="C155" s="5" t="s">
        <v>416</v>
      </c>
      <c r="D155" s="5" t="s">
        <v>19</v>
      </c>
      <c r="E155" s="6" t="s">
        <v>450</v>
      </c>
      <c r="F155" s="5" t="s">
        <v>461</v>
      </c>
      <c r="G155" s="5" t="s">
        <v>388</v>
      </c>
      <c r="H155" s="6" t="s">
        <v>11</v>
      </c>
      <c r="I155" s="6">
        <v>42422.459027777775</v>
      </c>
      <c r="J155" s="6" t="s">
        <v>12</v>
      </c>
    </row>
    <row r="156" spans="2:10" x14ac:dyDescent="0.25">
      <c r="B156" s="5" t="s">
        <v>403</v>
      </c>
      <c r="C156" s="5" t="s">
        <v>404</v>
      </c>
      <c r="D156" s="5" t="s">
        <v>432</v>
      </c>
      <c r="E156" s="6" t="s">
        <v>440</v>
      </c>
      <c r="F156" s="5" t="s">
        <v>461</v>
      </c>
      <c r="G156" s="5" t="s">
        <v>391</v>
      </c>
      <c r="H156" s="6" t="s">
        <v>11</v>
      </c>
      <c r="I156" s="6">
        <v>42422.431944444441</v>
      </c>
      <c r="J156" s="6" t="s">
        <v>12</v>
      </c>
    </row>
    <row r="157" spans="2:10" x14ac:dyDescent="0.25">
      <c r="B157" s="5" t="s">
        <v>411</v>
      </c>
      <c r="C157" s="5" t="s">
        <v>412</v>
      </c>
      <c r="D157" s="5" t="s">
        <v>434</v>
      </c>
      <c r="E157" s="6" t="s">
        <v>447</v>
      </c>
      <c r="F157" s="5" t="s">
        <v>461</v>
      </c>
      <c r="G157" s="5" t="s">
        <v>463</v>
      </c>
      <c r="H157" s="6" t="s">
        <v>11</v>
      </c>
      <c r="I157" s="6">
        <v>42422.417361111111</v>
      </c>
      <c r="J157" s="6" t="s">
        <v>12</v>
      </c>
    </row>
    <row r="158" spans="2:10" x14ac:dyDescent="0.25">
      <c r="B158" s="5" t="s">
        <v>422</v>
      </c>
      <c r="C158" s="5" t="s">
        <v>423</v>
      </c>
      <c r="D158" s="5" t="s">
        <v>210</v>
      </c>
      <c r="E158" s="6" t="s">
        <v>454</v>
      </c>
      <c r="F158" s="5" t="s">
        <v>461</v>
      </c>
      <c r="G158" s="5" t="s">
        <v>392</v>
      </c>
      <c r="H158" s="6" t="s">
        <v>14</v>
      </c>
      <c r="I158" s="6">
        <v>0</v>
      </c>
      <c r="J158" s="6">
        <v>0</v>
      </c>
    </row>
    <row r="159" spans="2:10" x14ac:dyDescent="0.25">
      <c r="B159" s="5" t="s">
        <v>403</v>
      </c>
      <c r="C159" s="5" t="s">
        <v>405</v>
      </c>
      <c r="D159" s="5" t="s">
        <v>71</v>
      </c>
      <c r="E159" s="6" t="s">
        <v>441</v>
      </c>
      <c r="F159" s="5" t="s">
        <v>461</v>
      </c>
      <c r="G159" s="5" t="s">
        <v>387</v>
      </c>
      <c r="H159" s="6" t="s">
        <v>14</v>
      </c>
      <c r="I159" s="6">
        <v>0</v>
      </c>
      <c r="J159" s="6" t="s">
        <v>16</v>
      </c>
    </row>
    <row r="160" spans="2:10" x14ac:dyDescent="0.25">
      <c r="B160" s="5" t="s">
        <v>403</v>
      </c>
      <c r="C160" s="5" t="s">
        <v>406</v>
      </c>
      <c r="D160" s="5" t="s">
        <v>71</v>
      </c>
      <c r="E160" s="6" t="s">
        <v>442</v>
      </c>
      <c r="F160" s="5" t="s">
        <v>461</v>
      </c>
      <c r="G160" s="5" t="s">
        <v>387</v>
      </c>
      <c r="H160" s="6" t="s">
        <v>17</v>
      </c>
      <c r="I160" s="6">
        <v>42422.547222222223</v>
      </c>
      <c r="J160" s="6" t="s">
        <v>16</v>
      </c>
    </row>
    <row r="161" spans="2:10" x14ac:dyDescent="0.25">
      <c r="B161" s="5" t="s">
        <v>426</v>
      </c>
      <c r="C161" s="5" t="s">
        <v>427</v>
      </c>
      <c r="D161" s="5" t="s">
        <v>51</v>
      </c>
      <c r="E161" s="6" t="s">
        <v>457</v>
      </c>
      <c r="F161" s="5" t="s">
        <v>461</v>
      </c>
      <c r="G161" s="5" t="s">
        <v>463</v>
      </c>
      <c r="H161" s="5" t="s">
        <v>11</v>
      </c>
      <c r="I161" s="6">
        <v>42422.690972222219</v>
      </c>
      <c r="J161" s="5" t="s">
        <v>12</v>
      </c>
    </row>
    <row r="162" spans="2:10" x14ac:dyDescent="0.25">
      <c r="B162" s="5" t="s">
        <v>411</v>
      </c>
      <c r="C162" s="5" t="s">
        <v>413</v>
      </c>
      <c r="D162" s="5" t="s">
        <v>18</v>
      </c>
      <c r="E162" s="6" t="s">
        <v>448</v>
      </c>
      <c r="F162" s="5" t="s">
        <v>461</v>
      </c>
      <c r="G162" s="5" t="s">
        <v>463</v>
      </c>
      <c r="H162" s="6" t="s">
        <v>11</v>
      </c>
      <c r="I162" s="6">
        <v>42422.693055555559</v>
      </c>
      <c r="J162" s="6" t="s">
        <v>12</v>
      </c>
    </row>
    <row r="163" spans="2:10" x14ac:dyDescent="0.25">
      <c r="B163" s="5" t="s">
        <v>426</v>
      </c>
      <c r="C163" s="5" t="s">
        <v>428</v>
      </c>
      <c r="D163" s="5" t="s">
        <v>51</v>
      </c>
      <c r="E163" s="6" t="s">
        <v>458</v>
      </c>
      <c r="F163" s="5" t="s">
        <v>461</v>
      </c>
      <c r="G163" s="5" t="s">
        <v>387</v>
      </c>
      <c r="H163" s="5" t="s">
        <v>17</v>
      </c>
      <c r="I163" s="6">
        <v>42422.768750000003</v>
      </c>
      <c r="J163" s="5" t="s">
        <v>16</v>
      </c>
    </row>
    <row r="164" spans="2:10" x14ac:dyDescent="0.25">
      <c r="B164" s="5" t="s">
        <v>403</v>
      </c>
      <c r="C164" s="5" t="s">
        <v>407</v>
      </c>
      <c r="D164" s="5" t="s">
        <v>71</v>
      </c>
      <c r="E164" s="6" t="s">
        <v>443</v>
      </c>
      <c r="F164" s="5" t="s">
        <v>461</v>
      </c>
      <c r="G164" s="5" t="s">
        <v>387</v>
      </c>
      <c r="H164" s="6" t="s">
        <v>14</v>
      </c>
      <c r="I164" s="6">
        <v>0</v>
      </c>
      <c r="J164" s="6" t="s">
        <v>16</v>
      </c>
    </row>
    <row r="165" spans="2:10" x14ac:dyDescent="0.25">
      <c r="B165" s="5" t="s">
        <v>417</v>
      </c>
      <c r="C165" s="5" t="s">
        <v>418</v>
      </c>
      <c r="D165" s="5" t="s">
        <v>71</v>
      </c>
      <c r="E165" s="6" t="s">
        <v>451</v>
      </c>
      <c r="F165" s="5" t="s">
        <v>461</v>
      </c>
      <c r="G165" s="5" t="s">
        <v>387</v>
      </c>
      <c r="H165" s="6" t="s">
        <v>14</v>
      </c>
      <c r="I165" s="6">
        <v>0</v>
      </c>
      <c r="J165" s="6" t="s">
        <v>16</v>
      </c>
    </row>
    <row r="166" spans="2:10" x14ac:dyDescent="0.25">
      <c r="B166" s="5" t="s">
        <v>419</v>
      </c>
      <c r="C166" s="5" t="s">
        <v>420</v>
      </c>
      <c r="D166" s="5" t="s">
        <v>114</v>
      </c>
      <c r="E166" s="6" t="s">
        <v>452</v>
      </c>
      <c r="F166" s="5" t="s">
        <v>462</v>
      </c>
      <c r="G166" s="5" t="s">
        <v>387</v>
      </c>
      <c r="H166" s="6" t="s">
        <v>11</v>
      </c>
      <c r="I166" s="6">
        <v>42423.021527777775</v>
      </c>
      <c r="J166" s="6" t="s">
        <v>16</v>
      </c>
    </row>
    <row r="167" spans="2:10" x14ac:dyDescent="0.25">
      <c r="B167" s="5" t="s">
        <v>403</v>
      </c>
      <c r="C167" s="5" t="s">
        <v>408</v>
      </c>
      <c r="D167" s="5" t="s">
        <v>19</v>
      </c>
      <c r="E167" s="6" t="s">
        <v>444</v>
      </c>
      <c r="F167" s="5" t="s">
        <v>462</v>
      </c>
      <c r="G167" s="5" t="s">
        <v>388</v>
      </c>
      <c r="H167" s="6" t="s">
        <v>11</v>
      </c>
      <c r="I167" s="6">
        <v>42423.810416666667</v>
      </c>
      <c r="J167" s="6" t="s">
        <v>12</v>
      </c>
    </row>
    <row r="168" spans="2:10" x14ac:dyDescent="0.25">
      <c r="B168" s="5" t="s">
        <v>399</v>
      </c>
      <c r="C168" s="5" t="s">
        <v>400</v>
      </c>
      <c r="D168" s="5" t="s">
        <v>51</v>
      </c>
      <c r="E168" s="6" t="s">
        <v>437</v>
      </c>
      <c r="F168" s="5" t="s">
        <v>462</v>
      </c>
      <c r="G168" s="5" t="s">
        <v>463</v>
      </c>
      <c r="H168" s="6" t="s">
        <v>11</v>
      </c>
      <c r="I168" s="6">
        <v>42423.54791666667</v>
      </c>
      <c r="J168" s="6" t="s">
        <v>12</v>
      </c>
    </row>
    <row r="169" spans="2:10" x14ac:dyDescent="0.25">
      <c r="B169" s="5" t="s">
        <v>399</v>
      </c>
      <c r="C169" s="5" t="s">
        <v>401</v>
      </c>
      <c r="D169" s="5" t="s">
        <v>27</v>
      </c>
      <c r="E169" s="6" t="s">
        <v>438</v>
      </c>
      <c r="F169" s="5" t="s">
        <v>462</v>
      </c>
      <c r="G169" s="5" t="s">
        <v>392</v>
      </c>
      <c r="H169" s="6" t="s">
        <v>14</v>
      </c>
      <c r="I169" s="6">
        <v>0</v>
      </c>
      <c r="J169" s="6">
        <v>0</v>
      </c>
    </row>
    <row r="170" spans="2:10" x14ac:dyDescent="0.25">
      <c r="B170" s="5" t="s">
        <v>422</v>
      </c>
      <c r="C170" s="5" t="s">
        <v>424</v>
      </c>
      <c r="D170" s="5" t="s">
        <v>436</v>
      </c>
      <c r="E170" s="6" t="s">
        <v>455</v>
      </c>
      <c r="F170" s="5" t="s">
        <v>462</v>
      </c>
      <c r="G170" s="5" t="s">
        <v>463</v>
      </c>
      <c r="H170" s="6" t="s">
        <v>11</v>
      </c>
      <c r="I170" s="6">
        <v>42423.429166666669</v>
      </c>
      <c r="J170" s="6" t="s">
        <v>12</v>
      </c>
    </row>
    <row r="171" spans="2:10" x14ac:dyDescent="0.25">
      <c r="B171" s="5" t="s">
        <v>422</v>
      </c>
      <c r="C171" s="5" t="s">
        <v>425</v>
      </c>
      <c r="D171" s="5" t="s">
        <v>436</v>
      </c>
      <c r="E171" s="6" t="s">
        <v>456</v>
      </c>
      <c r="F171" s="5" t="s">
        <v>462</v>
      </c>
      <c r="G171" s="5" t="s">
        <v>463</v>
      </c>
      <c r="H171" s="6" t="s">
        <v>11</v>
      </c>
      <c r="I171" s="6">
        <v>42423.428472222222</v>
      </c>
      <c r="J171" s="6" t="s">
        <v>12</v>
      </c>
    </row>
    <row r="172" spans="2:10" x14ac:dyDescent="0.25">
      <c r="B172" s="5" t="s">
        <v>403</v>
      </c>
      <c r="C172" s="5" t="s">
        <v>409</v>
      </c>
      <c r="D172" s="5" t="s">
        <v>71</v>
      </c>
      <c r="E172" s="6" t="s">
        <v>445</v>
      </c>
      <c r="F172" s="5" t="s">
        <v>462</v>
      </c>
      <c r="G172" s="5" t="s">
        <v>463</v>
      </c>
      <c r="H172" s="6" t="s">
        <v>17</v>
      </c>
      <c r="I172" s="6">
        <v>42423.604166666664</v>
      </c>
      <c r="J172" s="6" t="s">
        <v>12</v>
      </c>
    </row>
    <row r="173" spans="2:10" x14ac:dyDescent="0.25">
      <c r="B173" s="5" t="s">
        <v>419</v>
      </c>
      <c r="C173" s="5" t="s">
        <v>421</v>
      </c>
      <c r="D173" s="5" t="s">
        <v>273</v>
      </c>
      <c r="E173" s="6" t="s">
        <v>453</v>
      </c>
      <c r="F173" s="5" t="s">
        <v>462</v>
      </c>
      <c r="G173" s="5" t="s">
        <v>387</v>
      </c>
      <c r="H173" s="6" t="s">
        <v>11</v>
      </c>
      <c r="I173" s="6">
        <v>42424.213888888888</v>
      </c>
      <c r="J173" s="6" t="s">
        <v>16</v>
      </c>
    </row>
    <row r="174" spans="2:10" x14ac:dyDescent="0.25">
      <c r="B174" s="5" t="s">
        <v>399</v>
      </c>
      <c r="C174" s="5" t="s">
        <v>402</v>
      </c>
      <c r="D174" s="5" t="s">
        <v>431</v>
      </c>
      <c r="E174" s="6" t="s">
        <v>439</v>
      </c>
      <c r="F174" s="5" t="s">
        <v>462</v>
      </c>
      <c r="G174" s="5" t="s">
        <v>463</v>
      </c>
      <c r="H174" s="6" t="s">
        <v>11</v>
      </c>
      <c r="I174" s="6">
        <v>42423.824305555558</v>
      </c>
      <c r="J174" s="6" t="s">
        <v>12</v>
      </c>
    </row>
    <row r="175" spans="2:10" x14ac:dyDescent="0.25">
      <c r="B175" s="5" t="s">
        <v>426</v>
      </c>
      <c r="C175" s="5" t="s">
        <v>429</v>
      </c>
      <c r="D175" s="5" t="s">
        <v>199</v>
      </c>
      <c r="E175" s="6" t="s">
        <v>459</v>
      </c>
      <c r="F175" s="5" t="s">
        <v>462</v>
      </c>
      <c r="G175" s="5" t="s">
        <v>393</v>
      </c>
      <c r="H175" s="5" t="s">
        <v>14</v>
      </c>
      <c r="I175" s="6">
        <v>0</v>
      </c>
      <c r="J175" s="5">
        <v>0</v>
      </c>
    </row>
    <row r="176" spans="2:10" x14ac:dyDescent="0.25">
      <c r="B176" s="5" t="s">
        <v>403</v>
      </c>
      <c r="C176" s="5" t="s">
        <v>410</v>
      </c>
      <c r="D176" s="5" t="s">
        <v>433</v>
      </c>
      <c r="E176" s="6" t="s">
        <v>446</v>
      </c>
      <c r="F176" s="5" t="s">
        <v>462</v>
      </c>
      <c r="G176" s="5" t="s">
        <v>393</v>
      </c>
      <c r="H176" s="6" t="s">
        <v>11</v>
      </c>
      <c r="I176" s="6">
        <v>42423.882638888892</v>
      </c>
      <c r="J176" s="6" t="s">
        <v>12</v>
      </c>
    </row>
    <row r="177" spans="2:10" x14ac:dyDescent="0.25">
      <c r="B177" s="5" t="s">
        <v>426</v>
      </c>
      <c r="C177" s="5" t="s">
        <v>430</v>
      </c>
      <c r="D177" s="5" t="s">
        <v>153</v>
      </c>
      <c r="E177" s="6" t="s">
        <v>460</v>
      </c>
      <c r="F177" s="5" t="s">
        <v>462</v>
      </c>
      <c r="G177" s="5" t="s">
        <v>463</v>
      </c>
      <c r="H177" s="5" t="s">
        <v>11</v>
      </c>
      <c r="I177" s="6">
        <v>42423.94027777778</v>
      </c>
      <c r="J177" s="5" t="s">
        <v>12</v>
      </c>
    </row>
  </sheetData>
  <sortState ref="B2:J177">
    <sortCondition ref="E16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Classificação</vt:lpstr>
      <vt:lpstr>BACKLOG</vt:lpstr>
      <vt:lpstr>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Lima</dc:creator>
  <cp:lastModifiedBy>Felipe Lima</cp:lastModifiedBy>
  <dcterms:created xsi:type="dcterms:W3CDTF">2016-02-23T17:44:39Z</dcterms:created>
  <dcterms:modified xsi:type="dcterms:W3CDTF">2016-02-24T18:24:55Z</dcterms:modified>
</cp:coreProperties>
</file>