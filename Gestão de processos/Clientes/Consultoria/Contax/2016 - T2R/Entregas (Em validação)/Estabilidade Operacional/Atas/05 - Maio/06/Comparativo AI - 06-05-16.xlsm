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<sst xmlns="http://schemas.openxmlformats.org/spreadsheetml/2006/main" count="418" uniqueCount="39">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</sst>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4-4477-BD6A-5FB474E6F28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B4-4477-BD6A-5FB474E6F28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4-4477-BD6A-5FB474E6F28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4-4477-BD6A-5FB474E6F2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E4-4BF0-A644-C0330DD66C3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E4-4BF0-A644-C0330DD66C3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E4-4BF0-A644-C0330DD66C3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E4-4BF0-A644-C0330DD66C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31</c:v>
                </c:pt>
                <c:pt idx="1">
                  <c:v>725</c:v>
                </c:pt>
                <c:pt idx="2">
                  <c:v>726</c:v>
                </c:pt>
                <c:pt idx="3">
                  <c:v>641</c:v>
                </c:pt>
                <c:pt idx="4">
                  <c:v>605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8B-4686-B2A6-76008087528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8B-4686-B2A6-76008087528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8B-4686-B2A6-76008087528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B-4686-B2A6-76008087528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47</c:v>
                </c:pt>
                <c:pt idx="1">
                  <c:v>675</c:v>
                </c:pt>
                <c:pt idx="2">
                  <c:v>566</c:v>
                </c:pt>
                <c:pt idx="3">
                  <c:v>490</c:v>
                </c:pt>
                <c:pt idx="4">
                  <c:v>358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j4IKnvS4EhOenr9C8DKZBHo4Z/NtFmpcmZEkiPvOHK9g7LauYj0nvV/zy1cAg62wYwmjmjDCvS5Qt5BlsLhnvw==" saltValue="oDZFdA+1ovgQ+vlHQILYh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DNXj9yrlBn3fdgu63ij/H9o/47CheiPe7sU7SPF9KrR7sCeJVo2zoXTyNkF7svzanoZyIiGdkIHJrRksTTlVzg==" saltValue="mVxsdHD6BTzCkbr/vCgCi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GDGEz2CJBtKb8FS0uaSoscFWAZZf8Kwo7K/g3oNgxFOrnO/l8jQxBX6bGKYTrDl83MQTCj93BuFBw6gREzSDLg==" saltValue="s7O1OdjEDrhIrDFhRmzYY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G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4895</v>
      </c>
      <c r="AI39" s="71">
        <f>AH39/COUNTA(C40:AG40)</f>
        <v>979</v>
      </c>
      <c r="AJ39" s="55">
        <f>AI39*31</f>
        <v>30349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7</v>
      </c>
      <c r="H40" s="156"/>
      <c r="I40" s="156"/>
      <c r="J40" s="156"/>
      <c r="K40" s="156"/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31</v>
      </c>
      <c r="AI40" s="38">
        <f>AH40/COUNTA(C40:AG40)</f>
        <v>6.2</v>
      </c>
      <c r="AJ40" s="56">
        <f>AI40*31</f>
        <v>192.20000000000002</v>
      </c>
    </row>
    <row r="41" spans="2:36" x14ac:dyDescent="0.25">
      <c r="B41" s="168" t="s">
        <v>20</v>
      </c>
      <c r="C41" s="156">
        <v>31</v>
      </c>
      <c r="D41" s="156">
        <v>725</v>
      </c>
      <c r="E41" s="156">
        <v>726</v>
      </c>
      <c r="F41" s="156">
        <v>641</v>
      </c>
      <c r="G41" s="156">
        <v>605</v>
      </c>
      <c r="H41" s="156"/>
      <c r="I41" s="156"/>
      <c r="J41" s="156"/>
      <c r="K41" s="156"/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2728</v>
      </c>
      <c r="AI41" s="38">
        <f>AH41/COUNTA(C41:AG41)</f>
        <v>545.6</v>
      </c>
      <c r="AJ41" s="56">
        <f>AI41*31</f>
        <v>16913.600000000002</v>
      </c>
    </row>
    <row r="42" spans="2:36" ht="15.75" thickBot="1" x14ac:dyDescent="0.3">
      <c r="B42" s="169" t="s">
        <v>21</v>
      </c>
      <c r="C42" s="155">
        <v>47</v>
      </c>
      <c r="D42" s="155">
        <v>675</v>
      </c>
      <c r="E42" s="155">
        <v>566</v>
      </c>
      <c r="F42" s="155">
        <v>490</v>
      </c>
      <c r="G42" s="155">
        <v>358</v>
      </c>
      <c r="H42" s="155"/>
      <c r="I42" s="155"/>
      <c r="J42" s="155"/>
      <c r="K42" s="155"/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2136</v>
      </c>
      <c r="AI42" s="37">
        <f>AH42/COUNTA(C42:AG42)</f>
        <v>427.2</v>
      </c>
      <c r="AJ42" s="57">
        <f>AI42*31</f>
        <v>13243.199999999999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7</v>
      </c>
      <c r="I4" s="39" t="str">
        <f>IF(Indicadores!H40,Indicadores!H40,"")</f>
        <v/>
      </c>
      <c r="J4" s="39" t="str">
        <f>IF(Indicadores!I40,Indicadores!I40,"")</f>
        <v/>
      </c>
      <c r="K4" s="39" t="str">
        <f>IF(Indicadores!J40,Indicadores!J40,"")</f>
        <v/>
      </c>
      <c r="L4" s="39" t="str">
        <f>IF(Indicadores!K40,Indicadores!K40,"")</f>
        <v/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31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31</v>
      </c>
      <c r="E5" s="39">
        <f>IF(Indicadores!D41,Indicadores!D41,"")</f>
        <v>725</v>
      </c>
      <c r="F5" s="39">
        <f>IF(Indicadores!E41,Indicadores!E41,"")</f>
        <v>726</v>
      </c>
      <c r="G5" s="39">
        <f>IF(Indicadores!F41,Indicadores!F41,"")</f>
        <v>641</v>
      </c>
      <c r="H5" s="39">
        <f>IF(Indicadores!G41,Indicadores!G41,"")</f>
        <v>605</v>
      </c>
      <c r="I5" s="39" t="str">
        <f>IF(Indicadores!H41,Indicadores!H41,"")</f>
        <v/>
      </c>
      <c r="J5" s="39" t="str">
        <f>IF(Indicadores!I41,Indicadores!I41,"")</f>
        <v/>
      </c>
      <c r="K5" s="39" t="str">
        <f>IF(Indicadores!J41,Indicadores!J41,"")</f>
        <v/>
      </c>
      <c r="L5" s="39" t="str">
        <f>IF(Indicadores!K41,Indicadores!K41,"")</f>
        <v/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2728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47</v>
      </c>
      <c r="E6" s="40">
        <f>IF(Indicadores!D42,Indicadores!D42,"")</f>
        <v>675</v>
      </c>
      <c r="F6" s="40">
        <f>IF(Indicadores!E42,Indicadores!E42,"")</f>
        <v>566</v>
      </c>
      <c r="G6" s="40">
        <f>IF(Indicadores!F42,Indicadores!F42,"")</f>
        <v>490</v>
      </c>
      <c r="H6" s="40">
        <f>IF(Indicadores!G42,Indicadores!G42,"")</f>
        <v>358</v>
      </c>
      <c r="I6" s="40" t="str">
        <f>IF(Indicadores!H42,Indicadores!H42,"")</f>
        <v/>
      </c>
      <c r="J6" s="40" t="str">
        <f>IF(Indicadores!I42,Indicadores!I42,"")</f>
        <v/>
      </c>
      <c r="K6" s="40" t="str">
        <f>IF(Indicadores!J42,Indicadores!J42,"")</f>
        <v/>
      </c>
      <c r="L6" s="40" t="str">
        <f>IF(Indicadores!K42,Indicadores!K42,"")</f>
        <v/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2136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19927.22197411842</v>
      </c>
      <c r="AJ15" s="66">
        <f>SUM(AJ16:AJ18)</f>
        <v>642.81361206833617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7</v>
      </c>
      <c r="I16" s="137">
        <f t="shared" si="2"/>
        <v>8.4228769497400346</v>
      </c>
      <c r="J16" s="137">
        <f t="shared" si="2"/>
        <v>3.4315424610051992</v>
      </c>
      <c r="K16" s="137">
        <f t="shared" si="2"/>
        <v>1.2478336221837087</v>
      </c>
      <c r="L16" s="137">
        <f t="shared" si="2"/>
        <v>8.734835355285961</v>
      </c>
      <c r="M16" s="137">
        <f t="shared" si="2"/>
        <v>5.9272097053726167</v>
      </c>
      <c r="N16" s="137">
        <f t="shared" si="2"/>
        <v>7.1750433275563257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173.87694974003469</v>
      </c>
      <c r="AJ16" s="106">
        <f>AI16/COUNTA(C16:AG16)</f>
        <v>5.6089338625817637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31</v>
      </c>
      <c r="E17" s="137">
        <f t="shared" ref="E17:AG17" si="5">IF(E5&lt;&gt;"",E5,E11)</f>
        <v>725</v>
      </c>
      <c r="F17" s="137">
        <f t="shared" si="5"/>
        <v>726</v>
      </c>
      <c r="G17" s="137">
        <f t="shared" si="5"/>
        <v>641</v>
      </c>
      <c r="H17" s="137">
        <f t="shared" si="5"/>
        <v>605</v>
      </c>
      <c r="I17" s="137">
        <f t="shared" si="5"/>
        <v>504.43538719731475</v>
      </c>
      <c r="J17" s="137">
        <f t="shared" si="5"/>
        <v>102.46343802445458</v>
      </c>
      <c r="K17" s="137">
        <f t="shared" si="5"/>
        <v>46.029729081754972</v>
      </c>
      <c r="L17" s="137">
        <f t="shared" si="5"/>
        <v>435.07552145768398</v>
      </c>
      <c r="M17" s="137">
        <f t="shared" si="5"/>
        <v>383.37089426995919</v>
      </c>
      <c r="N17" s="137">
        <f t="shared" si="5"/>
        <v>550.14984416207153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11009.252697194919</v>
      </c>
      <c r="AJ17" s="106">
        <f>AI17/COUNTA(C17:AG17)</f>
        <v>355.13718378048128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47</v>
      </c>
      <c r="E18" s="148">
        <f t="shared" ref="E18:AG18" si="8">IF(E6&lt;&gt;"",E6,E12)</f>
        <v>675</v>
      </c>
      <c r="F18" s="148">
        <f t="shared" si="8"/>
        <v>566</v>
      </c>
      <c r="G18" s="148">
        <f t="shared" si="8"/>
        <v>490</v>
      </c>
      <c r="H18" s="148">
        <f t="shared" si="8"/>
        <v>358</v>
      </c>
      <c r="I18" s="148">
        <f t="shared" si="8"/>
        <v>362.11465674241828</v>
      </c>
      <c r="J18" s="148">
        <f t="shared" si="8"/>
        <v>89.695066909494017</v>
      </c>
      <c r="K18" s="148">
        <f t="shared" si="8"/>
        <v>39.345791432417457</v>
      </c>
      <c r="L18" s="148">
        <f t="shared" si="8"/>
        <v>414.13112677171586</v>
      </c>
      <c r="M18" s="148">
        <f t="shared" si="8"/>
        <v>335.77298281732516</v>
      </c>
      <c r="N18" s="148">
        <f t="shared" si="8"/>
        <v>407.79578747327577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8744.0923271834654</v>
      </c>
      <c r="AJ18" s="109">
        <f>AI18/COUNTA(C18:AG18)</f>
        <v>282.06749442527308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4895</v>
      </c>
      <c r="D21" s="142">
        <f>SUM(D22:D24)</f>
        <v>19927.22197411842</v>
      </c>
      <c r="E21" s="143">
        <f>SUM(E22:E24)</f>
        <v>19121.999999999996</v>
      </c>
      <c r="F21" s="138">
        <f>(D21-E21)/E21</f>
        <v>4.2109715203348171E-2</v>
      </c>
      <c r="G21" s="133">
        <f>F21</f>
        <v>4.2109715203348171E-2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31</v>
      </c>
      <c r="D22" s="145">
        <f>AI16</f>
        <v>173.87694974003469</v>
      </c>
      <c r="E22" s="143">
        <f>$AI$10</f>
        <v>180.00000000000003</v>
      </c>
      <c r="F22" s="139">
        <f t="shared" ref="F22:F24" si="11">(D22-E22)/E22</f>
        <v>-3.4016945888696325E-2</v>
      </c>
      <c r="G22" s="133">
        <f>F22</f>
        <v>-3.4016945888696325E-2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2728</v>
      </c>
      <c r="D23" s="145">
        <f>AI17</f>
        <v>11009.252697194919</v>
      </c>
      <c r="E23" s="143">
        <f>AI11</f>
        <v>10520</v>
      </c>
      <c r="F23" s="139">
        <f t="shared" si="11"/>
        <v>4.6506910379745164E-2</v>
      </c>
      <c r="G23" s="133">
        <f>F23</f>
        <v>4.6506910379745164E-2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2136</v>
      </c>
      <c r="D24" s="147">
        <f>AI18</f>
        <v>8744.0923271834654</v>
      </c>
      <c r="E24" s="166">
        <f>AI12</f>
        <v>8421.9999999999964</v>
      </c>
      <c r="F24" s="140">
        <f t="shared" si="11"/>
        <v>3.8244161384881167E-2</v>
      </c>
      <c r="G24" s="136">
        <f>F24</f>
        <v>3.8244161384881167E-2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4895</v>
      </c>
      <c r="D6" s="7">
        <f>'Dados - Gráficos'!D21</f>
        <v>19927.22197411842</v>
      </c>
      <c r="E6" s="93">
        <f>'Dados - Gráficos'!E21</f>
        <v>19121.999999999996</v>
      </c>
      <c r="F6" s="118">
        <f>'Dados - Gráficos'!F21</f>
        <v>4.2109715203348171E-2</v>
      </c>
      <c r="G6" s="119">
        <f>'Dados - Gráficos'!G21</f>
        <v>4.2109715203348171E-2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31</v>
      </c>
      <c r="D7" s="8">
        <f>'Dados - Gráficos'!D22</f>
        <v>173.87694974003469</v>
      </c>
      <c r="E7" s="93">
        <f>'Dados - Gráficos'!E22</f>
        <v>180.00000000000003</v>
      </c>
      <c r="F7" s="120">
        <f>'Dados - Gráficos'!F22</f>
        <v>-3.4016945888696325E-2</v>
      </c>
      <c r="G7" s="119">
        <f>'Dados - Gráficos'!G22</f>
        <v>-3.4016945888696325E-2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2728</v>
      </c>
      <c r="D8" s="8">
        <f>'Dados - Gráficos'!D23</f>
        <v>11009.252697194919</v>
      </c>
      <c r="E8" s="93">
        <f>'Dados - Gráficos'!E23</f>
        <v>10520</v>
      </c>
      <c r="F8" s="120">
        <f>'Dados - Gráficos'!F23</f>
        <v>4.6506910379745164E-2</v>
      </c>
      <c r="G8" s="119">
        <f>'Dados - Gráficos'!G23</f>
        <v>4.6506910379745164E-2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2136</v>
      </c>
      <c r="D9" s="17">
        <f>'Dados - Gráficos'!D24</f>
        <v>8744.0923271834654</v>
      </c>
      <c r="E9" s="94">
        <f>'Dados - Gráficos'!E24</f>
        <v>8421.9999999999964</v>
      </c>
      <c r="F9" s="121">
        <f>'Dados - Gráficos'!F24</f>
        <v>3.8244161384881167E-2</v>
      </c>
      <c r="G9" s="122">
        <f>'Dados - Gráficos'!G24</f>
        <v>3.8244161384881167E-2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2016-05-06T13:36:56Z</dcterms:modified>
</cp:coreProperties>
</file>