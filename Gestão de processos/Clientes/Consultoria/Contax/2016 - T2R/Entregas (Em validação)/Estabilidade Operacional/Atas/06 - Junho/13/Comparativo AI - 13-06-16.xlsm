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18435" windowHeight="570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C5" i="1"/>
  <c r="G5" i="1"/>
  <c r="AH5" i="7" l="1"/>
  <c r="AG5" i="7"/>
  <c r="AF5" i="7"/>
  <c r="AF19" i="7" s="1"/>
  <c r="AE5" i="7"/>
  <c r="AE19" i="7" s="1"/>
  <c r="AD5" i="7"/>
  <c r="AD19" i="7" s="1"/>
  <c r="AC5" i="7"/>
  <c r="AB5" i="7"/>
  <c r="AB19" i="7" s="1"/>
  <c r="AA5" i="7"/>
  <c r="Z5" i="7"/>
  <c r="Z19" i="7" s="1"/>
  <c r="Y5" i="7"/>
  <c r="X5" i="7"/>
  <c r="X19" i="7" s="1"/>
  <c r="W5" i="7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I19" i="7" s="1"/>
  <c r="AI12" i="7"/>
  <c r="AJ12" i="7" s="1"/>
  <c r="AK12" i="7" s="1"/>
  <c r="AH19" i="7"/>
  <c r="AG19" i="7"/>
  <c r="AC19" i="7"/>
  <c r="AA19" i="7"/>
  <c r="Y19" i="7"/>
  <c r="W19" i="7"/>
  <c r="U19" i="7"/>
  <c r="Q19" i="7"/>
  <c r="M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<sst xmlns="http://schemas.openxmlformats.org/spreadsheetml/2006/main" count="351" uniqueCount="41">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</sst>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BD-4848-9EBA-E7A13DC1685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BD-4848-9EBA-E7A13DC1685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1BD-4848-9EBA-E7A13DC1685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BD-4848-9EBA-E7A13DC1685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BD-4848-9EBA-E7A13DC1685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BD-4848-9EBA-E7A13DC1685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1BD-4848-9EBA-E7A13DC1685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1BD-4848-9EBA-E7A13DC1685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BD-4848-9EBA-E7A13DC1685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1BD-4848-9EBA-E7A13DC1685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BD-4848-9EBA-E7A13DC1685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AD-4C55-B926-9BC9904FA1C7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AD-4C55-B926-9BC9904FA1C7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AD-4C55-B926-9BC9904FA1C7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AD-4C55-B926-9BC9904FA1C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AD-4C55-B926-9BC9904FA1C7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AD-4C55-B926-9BC9904FA1C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6AD-4C55-B926-9BC9904FA1C7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6AD-4C55-B926-9BC9904FA1C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6AD-4C55-B926-9BC9904FA1C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6AD-4C55-B926-9BC9904FA1C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AD-4C55-B926-9BC9904FA1C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735</c:v>
                </c:pt>
                <c:pt idx="1">
                  <c:v>582</c:v>
                </c:pt>
                <c:pt idx="2">
                  <c:v>528</c:v>
                </c:pt>
                <c:pt idx="3">
                  <c:v>120</c:v>
                </c:pt>
                <c:pt idx="4">
                  <c:v>35</c:v>
                </c:pt>
                <c:pt idx="5">
                  <c:v>523</c:v>
                </c:pt>
                <c:pt idx="6">
                  <c:v>521</c:v>
                </c:pt>
                <c:pt idx="7">
                  <c:v>453</c:v>
                </c:pt>
                <c:pt idx="8">
                  <c:v>508</c:v>
                </c:pt>
                <c:pt idx="9">
                  <c:v>477</c:v>
                </c:pt>
                <c:pt idx="10">
                  <c:v>94</c:v>
                </c:pt>
                <c:pt idx="11">
                  <c:v>28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2A-4C27-BA56-8F3FEC0D1C78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2A-4C27-BA56-8F3FEC0D1C78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82A-4C27-BA56-8F3FEC0D1C78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2A-4C27-BA56-8F3FEC0D1C7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2A-4C27-BA56-8F3FEC0D1C78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2A-4C27-BA56-8F3FEC0D1C78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82A-4C27-BA56-8F3FEC0D1C78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82A-4C27-BA56-8F3FEC0D1C78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82A-4C27-BA56-8F3FEC0D1C7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82A-4C27-BA56-8F3FEC0D1C7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2A-4C27-BA56-8F3FEC0D1C7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481</c:v>
                </c:pt>
                <c:pt idx="6">
                  <c:v>373</c:v>
                </c:pt>
                <c:pt idx="7">
                  <c:v>374</c:v>
                </c:pt>
                <c:pt idx="8">
                  <c:v>295</c:v>
                </c:pt>
                <c:pt idx="9">
                  <c:v>236</c:v>
                </c:pt>
                <c:pt idx="10">
                  <c:v>90</c:v>
                </c:pt>
                <c:pt idx="11">
                  <c:v>36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2B-4720-AE99-9237B92AA4B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2B-4720-AE99-9237B92AA4B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92B-4720-AE99-9237B92AA4B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2B-4720-AE99-9237B92AA4B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2B-4720-AE99-9237B92AA4B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2B-4720-AE99-9237B92AA4B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92B-4720-AE99-9237B92AA4B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92B-4720-AE99-9237B92AA4B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2B-4720-AE99-9237B92AA4B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92B-4720-AE99-9237B92AA4B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92B-4720-AE99-9237B92AA4B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92B-4720-AE99-9237B92AA4B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92B-4720-AE99-9237B92AA4B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92B-4720-AE99-9237B92AA4B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1294</c:v>
                </c:pt>
                <c:pt idx="1">
                  <c:v>1022</c:v>
                </c:pt>
                <c:pt idx="2">
                  <c:v>821</c:v>
                </c:pt>
                <c:pt idx="3">
                  <c:v>225</c:v>
                </c:pt>
                <c:pt idx="4">
                  <c:v>54</c:v>
                </c:pt>
                <c:pt idx="5">
                  <c:v>1004</c:v>
                </c:pt>
                <c:pt idx="6">
                  <c:v>894</c:v>
                </c:pt>
                <c:pt idx="7">
                  <c:v>827</c:v>
                </c:pt>
                <c:pt idx="8">
                  <c:v>803</c:v>
                </c:pt>
                <c:pt idx="9">
                  <c:v>713</c:v>
                </c:pt>
                <c:pt idx="10">
                  <c:v>184</c:v>
                </c:pt>
                <c:pt idx="11">
                  <c:v>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grh11bV4XSQ42uxCBVl5C49toEo7+bHlodzuCmPdhdvi8wCY/qXsk1FjMd1ktmGyMbmJOUTUOmdIsODASKW4+A==" saltValue="SD1CyMpgG1GOCjJ8wFdhW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qyhl7CWCQPJjXu8dZtbbpvZo1SogtK9Ky8/OnVR3og9fdoWWJqxuHbnePlXhU9OTZgZUgaAxXvhEGFAeNtf+zQ==" saltValue="FL+h46oojtVCxFVULWtFo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BIiHJ2CwbUbgAWqvJTxD9aVIuIS8bFIwUsVm5mpOLvL6bzMSMQRtsKT9SkHr5Y+Iab81wFpnE0uCjtDxxJn/Sg==" saltValue="sSZtK01adu+pLvpSl3STr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C4" sqref="C4:N4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7980</v>
      </c>
      <c r="AI3" s="71">
        <f>AH3/COUNTA(C4:AF4)</f>
        <v>665</v>
      </c>
      <c r="AJ3" s="55">
        <f>AI3*30</f>
        <v>19950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>
        <v>9</v>
      </c>
      <c r="L4" s="188">
        <v>5</v>
      </c>
      <c r="M4" s="188">
        <v>6</v>
      </c>
      <c r="N4" s="188">
        <v>0</v>
      </c>
      <c r="O4" s="188"/>
      <c r="P4" s="188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156"/>
      <c r="AH4" s="53">
        <f>SUM(C4:AF4)</f>
        <v>75</v>
      </c>
      <c r="AI4" s="38">
        <f>AH4/COUNTA(C4:AF4)</f>
        <v>6.25</v>
      </c>
      <c r="AJ4" s="56">
        <f>AI4*30</f>
        <v>187.5</v>
      </c>
    </row>
    <row r="5" spans="2:36" x14ac:dyDescent="0.25">
      <c r="B5" s="186" t="s">
        <v>40</v>
      </c>
      <c r="C5" s="188">
        <f>C6+C7</f>
        <v>1294</v>
      </c>
      <c r="D5" s="188">
        <f t="shared" ref="D5:F5" si="0">D6+D7</f>
        <v>1022</v>
      </c>
      <c r="E5" s="188">
        <f t="shared" si="0"/>
        <v>821</v>
      </c>
      <c r="F5" s="188">
        <f t="shared" si="0"/>
        <v>225</v>
      </c>
      <c r="G5" s="188">
        <f>G6+G7</f>
        <v>54</v>
      </c>
      <c r="H5" s="188">
        <f t="shared" ref="H5:AG5" si="1">H6+H7</f>
        <v>1004</v>
      </c>
      <c r="I5" s="188">
        <f t="shared" si="1"/>
        <v>894</v>
      </c>
      <c r="J5" s="188">
        <f t="shared" si="1"/>
        <v>827</v>
      </c>
      <c r="K5" s="188">
        <f t="shared" si="1"/>
        <v>803</v>
      </c>
      <c r="L5" s="188">
        <f t="shared" si="1"/>
        <v>713</v>
      </c>
      <c r="M5" s="188">
        <f t="shared" si="1"/>
        <v>184</v>
      </c>
      <c r="N5" s="188">
        <f t="shared" si="1"/>
        <v>64</v>
      </c>
      <c r="O5" s="188">
        <f t="shared" si="1"/>
        <v>0</v>
      </c>
      <c r="P5" s="188">
        <f t="shared" si="1"/>
        <v>0</v>
      </c>
      <c r="Q5" s="188">
        <f t="shared" si="1"/>
        <v>0</v>
      </c>
      <c r="R5" s="188">
        <f t="shared" si="1"/>
        <v>0</v>
      </c>
      <c r="S5" s="188">
        <f t="shared" si="1"/>
        <v>0</v>
      </c>
      <c r="T5" s="188">
        <f t="shared" si="1"/>
        <v>0</v>
      </c>
      <c r="U5" s="188">
        <f t="shared" si="1"/>
        <v>0</v>
      </c>
      <c r="V5" s="188">
        <f t="shared" si="1"/>
        <v>0</v>
      </c>
      <c r="W5" s="188">
        <f t="shared" si="1"/>
        <v>0</v>
      </c>
      <c r="X5" s="188">
        <f t="shared" si="1"/>
        <v>0</v>
      </c>
      <c r="Y5" s="188">
        <f t="shared" si="1"/>
        <v>0</v>
      </c>
      <c r="Z5" s="188">
        <f t="shared" si="1"/>
        <v>0</v>
      </c>
      <c r="AA5" s="188">
        <f t="shared" si="1"/>
        <v>0</v>
      </c>
      <c r="AB5" s="188">
        <f t="shared" si="1"/>
        <v>0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>
        <f t="shared" si="1"/>
        <v>0</v>
      </c>
      <c r="AH5" s="53">
        <f>SUM(C5:AF5)</f>
        <v>7905</v>
      </c>
      <c r="AI5" s="38">
        <f>AH5/COUNTA(C5:AF5)</f>
        <v>263.5</v>
      </c>
      <c r="AJ5" s="56">
        <f>AI5*30</f>
        <v>7905</v>
      </c>
    </row>
    <row r="6" spans="2:36" x14ac:dyDescent="0.25">
      <c r="B6" s="174" t="s">
        <v>20</v>
      </c>
      <c r="C6" s="188">
        <v>735</v>
      </c>
      <c r="D6" s="188">
        <v>582</v>
      </c>
      <c r="E6" s="188">
        <v>528</v>
      </c>
      <c r="F6" s="188">
        <v>120</v>
      </c>
      <c r="G6" s="188">
        <v>35</v>
      </c>
      <c r="H6" s="188">
        <v>523</v>
      </c>
      <c r="I6" s="188">
        <v>521</v>
      </c>
      <c r="J6" s="188">
        <v>453</v>
      </c>
      <c r="K6" s="188">
        <v>508</v>
      </c>
      <c r="L6" s="188">
        <v>477</v>
      </c>
      <c r="M6" s="188">
        <v>94</v>
      </c>
      <c r="N6" s="188">
        <v>28</v>
      </c>
      <c r="O6" s="188"/>
      <c r="P6" s="188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156"/>
      <c r="AH6" s="53">
        <f>SUM(C6:AF6)</f>
        <v>4604</v>
      </c>
      <c r="AI6" s="38">
        <f>AH6/COUNTA(C6:AF6)</f>
        <v>383.66666666666669</v>
      </c>
      <c r="AJ6" s="56">
        <f>AI6*30</f>
        <v>11510</v>
      </c>
    </row>
    <row r="7" spans="2:36" ht="15.75" thickBot="1" x14ac:dyDescent="0.3">
      <c r="B7" s="176" t="s">
        <v>21</v>
      </c>
      <c r="C7" s="189">
        <v>559</v>
      </c>
      <c r="D7" s="189">
        <v>440</v>
      </c>
      <c r="E7" s="189">
        <v>293</v>
      </c>
      <c r="F7" s="189">
        <v>105</v>
      </c>
      <c r="G7" s="189">
        <v>19</v>
      </c>
      <c r="H7" s="189">
        <v>481</v>
      </c>
      <c r="I7" s="189">
        <v>373</v>
      </c>
      <c r="J7" s="189">
        <v>374</v>
      </c>
      <c r="K7" s="189">
        <v>295</v>
      </c>
      <c r="L7" s="189">
        <v>236</v>
      </c>
      <c r="M7" s="189">
        <v>90</v>
      </c>
      <c r="N7" s="189">
        <v>36</v>
      </c>
      <c r="O7" s="189"/>
      <c r="P7" s="189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158"/>
      <c r="AH7" s="54">
        <f>SUM(C7:AF7)</f>
        <v>3301</v>
      </c>
      <c r="AI7" s="37">
        <f>AH7/COUNTA(C7:AF7)</f>
        <v>275.08333333333331</v>
      </c>
      <c r="AJ7" s="57">
        <f>AI7*30</f>
        <v>8252.5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42461</v>
      </c>
      <c r="D12" s="49">
        <v>42462</v>
      </c>
      <c r="E12" s="49">
        <v>42463</v>
      </c>
      <c r="F12" s="49">
        <v>42464</v>
      </c>
      <c r="G12" s="49">
        <v>42465</v>
      </c>
      <c r="H12" s="49">
        <v>42466</v>
      </c>
      <c r="I12" s="49">
        <v>42467</v>
      </c>
      <c r="J12" s="49">
        <v>42468</v>
      </c>
      <c r="K12" s="49">
        <v>42469</v>
      </c>
      <c r="L12" s="49">
        <v>42470</v>
      </c>
      <c r="M12" s="49">
        <v>42471</v>
      </c>
      <c r="N12" s="49">
        <v>42472</v>
      </c>
      <c r="O12" s="49">
        <v>42473</v>
      </c>
      <c r="P12" s="49">
        <v>42474</v>
      </c>
      <c r="Q12" s="49">
        <v>42475</v>
      </c>
      <c r="R12" s="49">
        <v>42476</v>
      </c>
      <c r="S12" s="49">
        <v>42477</v>
      </c>
      <c r="T12" s="49">
        <v>42478</v>
      </c>
      <c r="U12" s="49">
        <v>42479</v>
      </c>
      <c r="V12" s="49">
        <v>42480</v>
      </c>
      <c r="W12" s="49">
        <v>42481</v>
      </c>
      <c r="X12" s="49">
        <v>42482</v>
      </c>
      <c r="Y12" s="49">
        <v>42483</v>
      </c>
      <c r="Z12" s="49">
        <v>42484</v>
      </c>
      <c r="AA12" s="49">
        <v>42485</v>
      </c>
      <c r="AB12" s="49">
        <v>42486</v>
      </c>
      <c r="AC12" s="49">
        <v>42487</v>
      </c>
      <c r="AD12" s="49">
        <v>42488</v>
      </c>
      <c r="AE12" s="49">
        <v>42489</v>
      </c>
      <c r="AF12" s="49">
        <v>42490</v>
      </c>
      <c r="AG12" s="153">
        <v>31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topLeftCell="A14" zoomScaleNormal="100" workbookViewId="0">
      <selection activeCell="G26" sqref="G26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97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  <c r="AI1" s="198"/>
      <c r="AJ1" s="198"/>
      <c r="AK1" s="198"/>
    </row>
    <row r="2" spans="1:16384" ht="15" customHeight="1" x14ac:dyDescent="0.25">
      <c r="B2" s="214" t="str">
        <f>Indicadores!B2</f>
        <v>Jun - 30 dias</v>
      </c>
      <c r="C2" s="21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16" t="s">
        <v>22</v>
      </c>
      <c r="C3" s="21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7980</v>
      </c>
      <c r="AJ3" s="66">
        <f>Indicadores!AI3</f>
        <v>665</v>
      </c>
      <c r="AK3" s="55">
        <f>Indicadores!AJ3</f>
        <v>19950</v>
      </c>
    </row>
    <row r="4" spans="1:16384" x14ac:dyDescent="0.25">
      <c r="B4" s="218" t="str">
        <f>Indicadores!B4</f>
        <v>Alto</v>
      </c>
      <c r="C4" s="219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>
        <f>IF(Indicadores!K4,Indicadores!K4,"")</f>
        <v>9</v>
      </c>
      <c r="M4" s="39">
        <f>IF(Indicadores!L4,Indicadores!L4,"")</f>
        <v>5</v>
      </c>
      <c r="N4" s="39">
        <f>IF(Indicadores!M4,Indicadores!M4,"")</f>
        <v>6</v>
      </c>
      <c r="O4" s="39" t="str">
        <f>IF(Indicadores!N4,Indicadores!N4,"")</f>
        <v/>
      </c>
      <c r="P4" s="39" t="str">
        <f>IF(Indicadores!O4,Indicadores!O4,"")</f>
        <v/>
      </c>
      <c r="Q4" s="39" t="str">
        <f>IF(Indicadores!P4,Indicadores!P4,"")</f>
        <v/>
      </c>
      <c r="R4" s="39" t="str">
        <f>IF(Indicadores!Q4,Indicadores!Q4,"")</f>
        <v/>
      </c>
      <c r="S4" s="39" t="str">
        <f>IF(Indicadores!R4,Indicadores!R4,"")</f>
        <v/>
      </c>
      <c r="T4" s="39" t="str">
        <f>IF(Indicadores!S4,Indicadores!S4,"")</f>
        <v/>
      </c>
      <c r="U4" s="39" t="str">
        <f>IF(Indicadores!T4,Indicadores!T4,"")</f>
        <v/>
      </c>
      <c r="V4" s="39" t="str">
        <f>IF(Indicadores!U4,Indicadores!U4,"")</f>
        <v/>
      </c>
      <c r="W4" s="39" t="str">
        <f>IF(Indicadores!V4,Indicadores!V4,"")</f>
        <v/>
      </c>
      <c r="X4" s="39" t="str">
        <f>IF(Indicadores!W4,Indicadores!W4,"")</f>
        <v/>
      </c>
      <c r="Y4" s="39" t="str">
        <f>IF(Indicadores!X4,Indicadores!X4,"")</f>
        <v/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75</v>
      </c>
      <c r="AJ4" s="75">
        <f>Indicadores!AI4</f>
        <v>6.25</v>
      </c>
      <c r="AK4" s="56">
        <f>Indicadores!AJ4</f>
        <v>187.5</v>
      </c>
    </row>
    <row r="5" spans="1:16384" s="185" customFormat="1" x14ac:dyDescent="0.25">
      <c r="A5" s="10"/>
      <c r="B5" s="218" t="str">
        <f>Indicadores!B5</f>
        <v>Médio / Baixo</v>
      </c>
      <c r="C5" s="219"/>
      <c r="D5" s="39">
        <f>IF(Indicadores!C5,Indicadores!C5,"")</f>
        <v>1294</v>
      </c>
      <c r="E5" s="39">
        <f>IF(Indicadores!D5,Indicadores!D5,"")</f>
        <v>1022</v>
      </c>
      <c r="F5" s="39">
        <f>IF(Indicadores!E5,Indicadores!E5,"")</f>
        <v>821</v>
      </c>
      <c r="G5" s="39">
        <f>IF(Indicadores!F5,Indicadores!F5,"")</f>
        <v>225</v>
      </c>
      <c r="H5" s="39">
        <f>IF(Indicadores!G5,Indicadores!G5,"")</f>
        <v>54</v>
      </c>
      <c r="I5" s="39">
        <f>IF(Indicadores!H5,Indicadores!H5,"")</f>
        <v>1004</v>
      </c>
      <c r="J5" s="39">
        <f>IF(Indicadores!I5,Indicadores!I5,"")</f>
        <v>894</v>
      </c>
      <c r="K5" s="39">
        <f>IF(Indicadores!J5,Indicadores!J5,"")</f>
        <v>827</v>
      </c>
      <c r="L5" s="39">
        <f>IF(Indicadores!K5,Indicadores!K5,"")</f>
        <v>803</v>
      </c>
      <c r="M5" s="39">
        <f>IF(Indicadores!L5,Indicadores!L5,"")</f>
        <v>713</v>
      </c>
      <c r="N5" s="39">
        <f>IF(Indicadores!M5,Indicadores!M5,"")</f>
        <v>184</v>
      </c>
      <c r="O5" s="39">
        <f>IF(Indicadores!N5,Indicadores!N5,"")</f>
        <v>64</v>
      </c>
      <c r="P5" s="39" t="str">
        <f>IF(Indicadores!O5,Indicadores!O5,"")</f>
        <v/>
      </c>
      <c r="Q5" s="39" t="str">
        <f>IF(Indicadores!P5,Indicadores!P5,"")</f>
        <v/>
      </c>
      <c r="R5" s="39" t="str">
        <f>IF(Indicadores!Q5,Indicadores!Q5,"")</f>
        <v/>
      </c>
      <c r="S5" s="39" t="str">
        <f>IF(Indicadores!R5,Indicadores!R5,"")</f>
        <v/>
      </c>
      <c r="T5" s="39" t="str">
        <f>IF(Indicadores!S5,Indicadores!S5,"")</f>
        <v/>
      </c>
      <c r="U5" s="39" t="str">
        <f>IF(Indicadores!T5,Indicadores!T5,"")</f>
        <v/>
      </c>
      <c r="V5" s="39" t="str">
        <f>IF(Indicadores!U5,Indicadores!U5,"")</f>
        <v/>
      </c>
      <c r="W5" s="39" t="str">
        <f>IF(Indicadores!V5,Indicadores!V5,"")</f>
        <v/>
      </c>
      <c r="X5" s="39" t="str">
        <f>IF(Indicadores!W5,Indicadores!W5,"")</f>
        <v/>
      </c>
      <c r="Y5" s="39" t="str">
        <f>IF(Indicadores!X5,Indicadores!X5,"")</f>
        <v/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7905</v>
      </c>
      <c r="AJ5" s="75">
        <f>Indicadores!AI5</f>
        <v>263.5</v>
      </c>
      <c r="AK5" s="56">
        <f>Indicadores!AJ5</f>
        <v>7905</v>
      </c>
    </row>
    <row r="6" spans="1:16384" x14ac:dyDescent="0.25">
      <c r="B6" s="218" t="str">
        <f>Indicadores!B6</f>
        <v>Médio</v>
      </c>
      <c r="C6" s="219"/>
      <c r="D6" s="39">
        <f>IF(Indicadores!C6,Indicadores!C6,"")</f>
        <v>735</v>
      </c>
      <c r="E6" s="39">
        <f>IF(Indicadores!D6,Indicadores!D6,"")</f>
        <v>582</v>
      </c>
      <c r="F6" s="39">
        <f>IF(Indicadores!E6,Indicadores!E6,"")</f>
        <v>528</v>
      </c>
      <c r="G6" s="39">
        <f>IF(Indicadores!F6,Indicadores!F6,"")</f>
        <v>120</v>
      </c>
      <c r="H6" s="39">
        <f>IF(Indicadores!G6,Indicadores!G6,"")</f>
        <v>35</v>
      </c>
      <c r="I6" s="39">
        <f>IF(Indicadores!H6,Indicadores!H6,"")</f>
        <v>523</v>
      </c>
      <c r="J6" s="39">
        <f>IF(Indicadores!I6,Indicadores!I6,"")</f>
        <v>521</v>
      </c>
      <c r="K6" s="39">
        <f>IF(Indicadores!J6,Indicadores!J6,"")</f>
        <v>453</v>
      </c>
      <c r="L6" s="39">
        <f>IF(Indicadores!K6,Indicadores!K6,"")</f>
        <v>508</v>
      </c>
      <c r="M6" s="39">
        <f>IF(Indicadores!L6,Indicadores!L6,"")</f>
        <v>477</v>
      </c>
      <c r="N6" s="39">
        <f>IF(Indicadores!M6,Indicadores!M6,"")</f>
        <v>94</v>
      </c>
      <c r="O6" s="39">
        <f>IF(Indicadores!N6,Indicadores!N6,"")</f>
        <v>28</v>
      </c>
      <c r="P6" s="39" t="str">
        <f>IF(Indicadores!O6,Indicadores!O6,"")</f>
        <v/>
      </c>
      <c r="Q6" s="39" t="str">
        <f>IF(Indicadores!P6,Indicadores!P6,"")</f>
        <v/>
      </c>
      <c r="R6" s="39" t="str">
        <f>IF(Indicadores!Q6,Indicadores!Q6,"")</f>
        <v/>
      </c>
      <c r="S6" s="39" t="str">
        <f>IF(Indicadores!R6,Indicadores!R6,"")</f>
        <v/>
      </c>
      <c r="T6" s="39" t="str">
        <f>IF(Indicadores!S6,Indicadores!S6,"")</f>
        <v/>
      </c>
      <c r="U6" s="39" t="str">
        <f>IF(Indicadores!T6,Indicadores!T6,"")</f>
        <v/>
      </c>
      <c r="V6" s="39" t="str">
        <f>IF(Indicadores!U6,Indicadores!U6,"")</f>
        <v/>
      </c>
      <c r="W6" s="39" t="str">
        <f>IF(Indicadores!V6,Indicadores!V6,"")</f>
        <v/>
      </c>
      <c r="X6" s="39" t="str">
        <f>IF(Indicadores!W6,Indicadores!W6,"")</f>
        <v/>
      </c>
      <c r="Y6" s="39" t="str">
        <f>IF(Indicadores!X6,Indicadores!X6,"")</f>
        <v/>
      </c>
      <c r="Z6" s="39" t="str">
        <f>IF(Indicadores!Y6,Indicadores!Y6,"")</f>
        <v/>
      </c>
      <c r="AA6" s="39" t="str">
        <f>IF(Indicadores!Z6,Indicadores!Z6,"")</f>
        <v/>
      </c>
      <c r="AB6" s="39" t="str">
        <f>IF(Indicadores!AA6,Indicadores!AA6,"")</f>
        <v/>
      </c>
      <c r="AC6" s="39" t="str">
        <f>IF(Indicadores!AB6,Indicadores!AB6,"")</f>
        <v/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4604</v>
      </c>
      <c r="AJ6" s="75">
        <f>Indicadores!AI6</f>
        <v>383.66666666666669</v>
      </c>
      <c r="AK6" s="56">
        <f>Indicadores!AJ6</f>
        <v>11510</v>
      </c>
    </row>
    <row r="7" spans="1:16384" ht="15.75" thickBot="1" x14ac:dyDescent="0.3">
      <c r="B7" s="220" t="str">
        <f>Indicadores!B7</f>
        <v>Baixo</v>
      </c>
      <c r="C7" s="221"/>
      <c r="D7" s="40">
        <f>IF(Indicadores!C7,Indicadores!C7,"")</f>
        <v>559</v>
      </c>
      <c r="E7" s="40">
        <f>IF(Indicadores!D7,Indicadores!D7,"")</f>
        <v>440</v>
      </c>
      <c r="F7" s="40">
        <f>IF(Indicadores!E7,Indicadores!E7,"")</f>
        <v>293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481</v>
      </c>
      <c r="J7" s="40">
        <f>IF(Indicadores!I7,Indicadores!I7,"")</f>
        <v>373</v>
      </c>
      <c r="K7" s="40">
        <f>IF(Indicadores!J7,Indicadores!J7,"")</f>
        <v>374</v>
      </c>
      <c r="L7" s="40">
        <f>IF(Indicadores!K7,Indicadores!K7,"")</f>
        <v>295</v>
      </c>
      <c r="M7" s="40">
        <f>IF(Indicadores!L7,Indicadores!L7,"")</f>
        <v>236</v>
      </c>
      <c r="N7" s="40">
        <f>IF(Indicadores!M7,Indicadores!M7,"")</f>
        <v>90</v>
      </c>
      <c r="O7" s="40">
        <f>IF(Indicadores!N7,Indicadores!N7,"")</f>
        <v>36</v>
      </c>
      <c r="P7" s="40" t="str">
        <f>IF(Indicadores!O7,Indicadores!O7,"")</f>
        <v/>
      </c>
      <c r="Q7" s="40" t="str">
        <f>IF(Indicadores!P7,Indicadores!P7,"")</f>
        <v/>
      </c>
      <c r="R7" s="40" t="str">
        <f>IF(Indicadores!Q7,Indicadores!Q7,"")</f>
        <v/>
      </c>
      <c r="S7" s="40" t="str">
        <f>IF(Indicadores!R7,Indicadores!R7,"")</f>
        <v/>
      </c>
      <c r="T7" s="40" t="str">
        <f>IF(Indicadores!S7,Indicadores!S7,"")</f>
        <v/>
      </c>
      <c r="U7" s="40" t="str">
        <f>IF(Indicadores!T7,Indicadores!T7,"")</f>
        <v/>
      </c>
      <c r="V7" s="40" t="str">
        <f>IF(Indicadores!U7,Indicadores!U7,"")</f>
        <v/>
      </c>
      <c r="W7" s="40" t="str">
        <f>IF(Indicadores!V7,Indicadores!V7,"")</f>
        <v/>
      </c>
      <c r="X7" s="40" t="str">
        <f>IF(Indicadores!W7,Indicadores!W7,"")</f>
        <v/>
      </c>
      <c r="Y7" s="40" t="str">
        <f>IF(Indicadores!X7,Indicadores!X7,"")</f>
        <v/>
      </c>
      <c r="Z7" s="40" t="str">
        <f>IF(Indicadores!Y7,Indicadores!Y7,"")</f>
        <v/>
      </c>
      <c r="AA7" s="40" t="str">
        <f>IF(Indicadores!Z7,Indicadores!Z7,"")</f>
        <v/>
      </c>
      <c r="AB7" s="40" t="str">
        <f>IF(Indicadores!AA7,Indicadores!AA7,"")</f>
        <v/>
      </c>
      <c r="AC7" s="40" t="str">
        <f>IF(Indicadores!AB7,Indicadores!AB7,"")</f>
        <v/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3301</v>
      </c>
      <c r="AJ7" s="42">
        <f>Indicadores!AI7</f>
        <v>275.08333333333331</v>
      </c>
      <c r="AK7" s="56">
        <f>Indicadores!AJ7</f>
        <v>8252.5</v>
      </c>
    </row>
    <row r="8" spans="1:16384" ht="15.75" thickBot="1" x14ac:dyDescent="0.3">
      <c r="C8" s="199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1"/>
      <c r="AJ8" s="201"/>
      <c r="AK8" s="201"/>
    </row>
    <row r="9" spans="1:16384" ht="15" customHeight="1" x14ac:dyDescent="0.25">
      <c r="B9" s="214" t="str">
        <f>B2</f>
        <v>Jun - 30 dias</v>
      </c>
      <c r="C9" s="21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16" t="s">
        <v>27</v>
      </c>
      <c r="C10" s="21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14" t="str">
        <f>B9</f>
        <v>Jun - 30 dias</v>
      </c>
      <c r="C16" s="21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16" t="s">
        <v>18</v>
      </c>
      <c r="C17" s="21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27078.69632354633</v>
      </c>
      <c r="AJ17" s="66">
        <f>SUM(AJ18:AJ21)</f>
        <v>873.50633301762355</v>
      </c>
      <c r="AK17" s="55">
        <f>SUM(AK18:AK21)</f>
        <v>26205.189990528706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9</v>
      </c>
      <c r="M18" s="137">
        <f t="shared" si="4"/>
        <v>5</v>
      </c>
      <c r="N18" s="137">
        <f t="shared" si="4"/>
        <v>6</v>
      </c>
      <c r="O18" s="137">
        <f t="shared" si="4"/>
        <v>1.3463035019455252</v>
      </c>
      <c r="P18" s="137">
        <f t="shared" si="4"/>
        <v>6.0583657587548636</v>
      </c>
      <c r="Q18" s="137">
        <f t="shared" si="4"/>
        <v>9.7607003891050574</v>
      </c>
      <c r="R18" s="137">
        <f t="shared" si="4"/>
        <v>9.0875486381322954</v>
      </c>
      <c r="S18" s="137">
        <f t="shared" si="4"/>
        <v>6.3949416342412437</v>
      </c>
      <c r="T18" s="137">
        <f t="shared" si="4"/>
        <v>9.7607003891050574</v>
      </c>
      <c r="U18" s="137">
        <f t="shared" si="4"/>
        <v>1.3463035019455252</v>
      </c>
      <c r="V18" s="137">
        <f t="shared" si="4"/>
        <v>1.3463035019455252</v>
      </c>
      <c r="W18" s="137">
        <f t="shared" si="4"/>
        <v>8.4143968871595334</v>
      </c>
      <c r="X18" s="137">
        <f t="shared" si="4"/>
        <v>6.3949416342412437</v>
      </c>
      <c r="Y18" s="137">
        <f t="shared" si="4"/>
        <v>9.4241245136186773</v>
      </c>
      <c r="Z18" s="137">
        <f t="shared" si="4"/>
        <v>5.7217898832684826</v>
      </c>
      <c r="AA18" s="137">
        <f t="shared" si="4"/>
        <v>6.7315175097276265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178.66536964980546</v>
      </c>
      <c r="AJ18" s="106">
        <f>AI18/COUNTA(C18:AG18)</f>
        <v>5.7633990209614661</v>
      </c>
      <c r="AK18" s="107">
        <f>AJ18*30</f>
        <v>172.90197062884397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1294</v>
      </c>
      <c r="E19" s="137">
        <f t="shared" si="6"/>
        <v>1022</v>
      </c>
      <c r="F19" s="137">
        <f t="shared" si="6"/>
        <v>821</v>
      </c>
      <c r="G19" s="137">
        <f t="shared" si="6"/>
        <v>225</v>
      </c>
      <c r="H19" s="137">
        <f t="shared" si="6"/>
        <v>54</v>
      </c>
      <c r="I19" s="137">
        <f t="shared" si="6"/>
        <v>1004</v>
      </c>
      <c r="J19" s="137">
        <f t="shared" si="6"/>
        <v>894</v>
      </c>
      <c r="K19" s="137">
        <f t="shared" si="6"/>
        <v>827</v>
      </c>
      <c r="L19" s="137">
        <f t="shared" si="6"/>
        <v>803</v>
      </c>
      <c r="M19" s="137">
        <f t="shared" si="6"/>
        <v>713</v>
      </c>
      <c r="N19" s="137">
        <f t="shared" si="6"/>
        <v>184</v>
      </c>
      <c r="O19" s="137">
        <f t="shared" si="6"/>
        <v>64</v>
      </c>
      <c r="P19" s="137">
        <f t="shared" si="6"/>
        <v>999.61342184232058</v>
      </c>
      <c r="Q19" s="137">
        <f t="shared" si="6"/>
        <v>961.75989815404193</v>
      </c>
      <c r="R19" s="137">
        <f t="shared" si="6"/>
        <v>807.54183868327709</v>
      </c>
      <c r="S19" s="137">
        <f t="shared" si="6"/>
        <v>581.12168773301812</v>
      </c>
      <c r="T19" s="137">
        <f t="shared" si="6"/>
        <v>661.03468218605065</v>
      </c>
      <c r="U19" s="137">
        <f t="shared" si="6"/>
        <v>208.19438028553239</v>
      </c>
      <c r="V19" s="137">
        <f t="shared" si="6"/>
        <v>66.594162044193865</v>
      </c>
      <c r="W19" s="137">
        <f t="shared" si="6"/>
        <v>977.18170410111827</v>
      </c>
      <c r="X19" s="137">
        <f t="shared" si="6"/>
        <v>850.65279621715001</v>
      </c>
      <c r="Y19" s="137">
        <f t="shared" si="6"/>
        <v>788.9655724288441</v>
      </c>
      <c r="Z19" s="137">
        <f t="shared" si="6"/>
        <v>692.92978084932247</v>
      </c>
      <c r="AA19" s="137">
        <f t="shared" si="6"/>
        <v>630.89206147131029</v>
      </c>
      <c r="AB19" s="137">
        <f t="shared" si="6"/>
        <v>221.86370828407746</v>
      </c>
      <c r="AC19" s="137">
        <f t="shared" si="6"/>
        <v>42.409966354460295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18995.030953896523</v>
      </c>
      <c r="AJ19" s="106">
        <f>AI19/COUNTA(C19:AG19)</f>
        <v>612.74293399666203</v>
      </c>
      <c r="AK19" s="107">
        <f>AJ19*30</f>
        <v>18382.288019899861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735</v>
      </c>
      <c r="E20" s="137">
        <f t="shared" ref="E20:AG20" si="7">IF(E6&lt;&gt;"",E6,E13)</f>
        <v>582</v>
      </c>
      <c r="F20" s="137">
        <f t="shared" si="7"/>
        <v>528</v>
      </c>
      <c r="G20" s="137">
        <f t="shared" si="7"/>
        <v>120</v>
      </c>
      <c r="H20" s="137">
        <f t="shared" si="7"/>
        <v>35</v>
      </c>
      <c r="I20" s="137">
        <f t="shared" si="7"/>
        <v>523</v>
      </c>
      <c r="J20" s="137">
        <f t="shared" si="7"/>
        <v>521</v>
      </c>
      <c r="K20" s="137">
        <f t="shared" si="7"/>
        <v>453</v>
      </c>
      <c r="L20" s="137">
        <f t="shared" si="7"/>
        <v>508</v>
      </c>
      <c r="M20" s="137">
        <f t="shared" si="7"/>
        <v>477</v>
      </c>
      <c r="N20" s="137">
        <f t="shared" si="7"/>
        <v>94</v>
      </c>
      <c r="O20" s="137">
        <f t="shared" si="7"/>
        <v>28</v>
      </c>
      <c r="P20" s="137">
        <f t="shared" si="7"/>
        <v>0</v>
      </c>
      <c r="Q20" s="137">
        <f t="shared" si="7"/>
        <v>0</v>
      </c>
      <c r="R20" s="137">
        <f t="shared" si="7"/>
        <v>0</v>
      </c>
      <c r="S20" s="137">
        <f t="shared" si="7"/>
        <v>0</v>
      </c>
      <c r="T20" s="137">
        <f t="shared" si="7"/>
        <v>0</v>
      </c>
      <c r="U20" s="137">
        <f t="shared" si="7"/>
        <v>0</v>
      </c>
      <c r="V20" s="137">
        <f t="shared" si="7"/>
        <v>0</v>
      </c>
      <c r="W20" s="137">
        <f t="shared" si="7"/>
        <v>0</v>
      </c>
      <c r="X20" s="137">
        <f t="shared" si="7"/>
        <v>0</v>
      </c>
      <c r="Y20" s="137">
        <f t="shared" si="7"/>
        <v>0</v>
      </c>
      <c r="Z20" s="137">
        <f t="shared" si="7"/>
        <v>0</v>
      </c>
      <c r="AA20" s="137">
        <f t="shared" si="7"/>
        <v>0</v>
      </c>
      <c r="AB20" s="137">
        <f t="shared" si="7"/>
        <v>0</v>
      </c>
      <c r="AC20" s="137">
        <f t="shared" si="7"/>
        <v>0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4604</v>
      </c>
      <c r="AJ20" s="106">
        <f>AI20/COUNTA(C20:AG20)</f>
        <v>148.51612903225808</v>
      </c>
      <c r="AK20" s="107">
        <f>AJ20*30</f>
        <v>4455.4838709677424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559</v>
      </c>
      <c r="E21" s="147">
        <f t="shared" ref="E21:AG21" si="9">IF(E7&lt;&gt;"",E7,E14)</f>
        <v>440</v>
      </c>
      <c r="F21" s="147">
        <f t="shared" si="9"/>
        <v>293</v>
      </c>
      <c r="G21" s="147">
        <f t="shared" si="9"/>
        <v>105</v>
      </c>
      <c r="H21" s="147">
        <f t="shared" si="9"/>
        <v>19</v>
      </c>
      <c r="I21" s="147">
        <f t="shared" si="9"/>
        <v>481</v>
      </c>
      <c r="J21" s="147">
        <f t="shared" si="9"/>
        <v>373</v>
      </c>
      <c r="K21" s="147">
        <f t="shared" si="9"/>
        <v>374</v>
      </c>
      <c r="L21" s="147">
        <f t="shared" si="9"/>
        <v>295</v>
      </c>
      <c r="M21" s="147">
        <f t="shared" si="9"/>
        <v>236</v>
      </c>
      <c r="N21" s="147">
        <f t="shared" si="9"/>
        <v>90</v>
      </c>
      <c r="O21" s="147">
        <f t="shared" si="9"/>
        <v>36</v>
      </c>
      <c r="P21" s="147">
        <f t="shared" si="9"/>
        <v>0</v>
      </c>
      <c r="Q21" s="147">
        <f t="shared" si="9"/>
        <v>0</v>
      </c>
      <c r="R21" s="147">
        <f t="shared" si="9"/>
        <v>0</v>
      </c>
      <c r="S21" s="147">
        <f t="shared" si="9"/>
        <v>0</v>
      </c>
      <c r="T21" s="147">
        <f t="shared" si="9"/>
        <v>0</v>
      </c>
      <c r="U21" s="147">
        <f t="shared" si="9"/>
        <v>0</v>
      </c>
      <c r="V21" s="147">
        <f t="shared" si="9"/>
        <v>0</v>
      </c>
      <c r="W21" s="147">
        <f t="shared" si="9"/>
        <v>0</v>
      </c>
      <c r="X21" s="147">
        <f t="shared" si="9"/>
        <v>0</v>
      </c>
      <c r="Y21" s="147">
        <f t="shared" si="9"/>
        <v>0</v>
      </c>
      <c r="Z21" s="147">
        <f t="shared" si="9"/>
        <v>0</v>
      </c>
      <c r="AA21" s="147">
        <f t="shared" si="9"/>
        <v>0</v>
      </c>
      <c r="AB21" s="147">
        <f t="shared" si="9"/>
        <v>0</v>
      </c>
      <c r="AC21" s="147">
        <f t="shared" si="9"/>
        <v>0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3301</v>
      </c>
      <c r="AJ21" s="109">
        <f>AI21/COUNTA(C21:AG21)</f>
        <v>106.48387096774194</v>
      </c>
      <c r="AK21" s="110">
        <f>AJ21*30</f>
        <v>3194.516129032258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02" t="s">
        <v>30</v>
      </c>
      <c r="K23" s="203"/>
      <c r="L23" s="226" t="s">
        <v>32</v>
      </c>
      <c r="M23" s="226"/>
      <c r="N23" s="208" t="s">
        <v>32</v>
      </c>
      <c r="O23" s="209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7980</v>
      </c>
      <c r="D24" s="141">
        <f>SUM(D25:D26)</f>
        <v>19173.69632354633</v>
      </c>
      <c r="E24" s="142">
        <f>SUM(E25:E28)</f>
        <v>19445.000000000004</v>
      </c>
      <c r="F24" s="138">
        <f>(D24-E24)/E24</f>
        <v>-1.3952361864421375E-2</v>
      </c>
      <c r="G24" s="133">
        <f>F24</f>
        <v>-1.3952361864421375E-2</v>
      </c>
      <c r="H24" s="12"/>
      <c r="I24" s="32"/>
      <c r="J24" s="204">
        <v>7.22</v>
      </c>
      <c r="K24" s="205"/>
      <c r="L24" s="235">
        <v>207</v>
      </c>
      <c r="M24" s="235"/>
      <c r="N24" s="210">
        <v>15639</v>
      </c>
      <c r="O24" s="211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75</v>
      </c>
      <c r="D25" s="144">
        <f>AI18</f>
        <v>178.66536964980546</v>
      </c>
      <c r="E25" s="142">
        <f>AI11</f>
        <v>173</v>
      </c>
      <c r="F25" s="139">
        <f t="shared" ref="F25:F28" si="11">(D25-E25)/E25</f>
        <v>3.2747801443962173E-2</v>
      </c>
      <c r="G25" s="133">
        <f>F25</f>
        <v>3.2747801443962173E-2</v>
      </c>
      <c r="H25" s="12"/>
      <c r="I25" s="32"/>
      <c r="J25" s="206" t="s">
        <v>13</v>
      </c>
      <c r="K25" s="207"/>
      <c r="L25" s="236" t="s">
        <v>13</v>
      </c>
      <c r="M25" s="236"/>
      <c r="N25" s="212" t="s">
        <v>15</v>
      </c>
      <c r="O25" s="213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7905</v>
      </c>
      <c r="D26" s="144">
        <f>AI19</f>
        <v>18995.030953896523</v>
      </c>
      <c r="E26" s="142">
        <f>AI12</f>
        <v>19272.000000000004</v>
      </c>
      <c r="F26" s="139">
        <f t="shared" si="11"/>
        <v>-1.4371577734717757E-2</v>
      </c>
      <c r="G26" s="133">
        <f>F26</f>
        <v>-1.4371577734717757E-2</v>
      </c>
      <c r="H26" s="12"/>
      <c r="I26" s="32"/>
      <c r="J26" s="229" t="s">
        <v>31</v>
      </c>
      <c r="K26" s="230"/>
      <c r="L26" s="237" t="s">
        <v>33</v>
      </c>
      <c r="M26" s="237"/>
      <c r="N26" s="222" t="s">
        <v>33</v>
      </c>
      <c r="O26" s="223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4604</v>
      </c>
      <c r="D27" s="144">
        <f>AI20</f>
        <v>4604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04">
        <v>6.77</v>
      </c>
      <c r="K27" s="205"/>
      <c r="L27" s="235">
        <v>210</v>
      </c>
      <c r="M27" s="235"/>
      <c r="N27" s="210">
        <v>21648</v>
      </c>
      <c r="O27" s="211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3301</v>
      </c>
      <c r="D28" s="146">
        <f>AI21</f>
        <v>3301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31" t="s">
        <v>26</v>
      </c>
      <c r="K28" s="232"/>
      <c r="L28" s="238" t="str">
        <f>J28</f>
        <v>Redução</v>
      </c>
      <c r="M28" s="238"/>
      <c r="N28" s="224" t="str">
        <f>L28</f>
        <v>Redução</v>
      </c>
      <c r="O28" s="225"/>
      <c r="AI28" s="29"/>
      <c r="AJ28" s="34"/>
      <c r="AK28" s="51"/>
      <c r="AL28" s="34"/>
    </row>
    <row r="29" spans="1:38" ht="27" thickBot="1" x14ac:dyDescent="0.3">
      <c r="I29" s="33"/>
      <c r="J29" s="233">
        <f>(J24/J27)-1</f>
        <v>6.6469719350073841E-2</v>
      </c>
      <c r="K29" s="234"/>
      <c r="L29" s="239">
        <f>(L24/L27)-1</f>
        <v>-1.4285714285714235E-2</v>
      </c>
      <c r="M29" s="239"/>
      <c r="N29" s="227">
        <f>(N24/N27)-1</f>
        <v>-0.27757760532150777</v>
      </c>
      <c r="O29" s="228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J29:K29"/>
    <mergeCell ref="L24:M24"/>
    <mergeCell ref="L25:M25"/>
    <mergeCell ref="L26:M26"/>
    <mergeCell ref="L27:M27"/>
    <mergeCell ref="L28:M28"/>
    <mergeCell ref="L29:M29"/>
    <mergeCell ref="B16:C16"/>
    <mergeCell ref="B17:C17"/>
    <mergeCell ref="J26:K26"/>
    <mergeCell ref="J27:K27"/>
    <mergeCell ref="J28:K28"/>
    <mergeCell ref="N26:O26"/>
    <mergeCell ref="N27:O27"/>
    <mergeCell ref="N28:O28"/>
    <mergeCell ref="L23:M23"/>
    <mergeCell ref="N29:O29"/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7980</v>
      </c>
      <c r="D6" s="7">
        <f>'Dados - Gráficos'!D24</f>
        <v>19173.69632354633</v>
      </c>
      <c r="E6" s="93">
        <f>'Dados - Gráficos'!E24</f>
        <v>19445.000000000004</v>
      </c>
      <c r="F6" s="118">
        <f>'Dados - Gráficos'!F24</f>
        <v>-1.3952361864421375E-2</v>
      </c>
      <c r="G6" s="119">
        <f>'Dados - Gráficos'!G24</f>
        <v>-1.3952361864421375E-2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75</v>
      </c>
      <c r="D7" s="8">
        <f>'Dados - Gráficos'!D25</f>
        <v>178.66536964980546</v>
      </c>
      <c r="E7" s="93">
        <f>'Dados - Gráficos'!E25</f>
        <v>173</v>
      </c>
      <c r="F7" s="120">
        <f>'Dados - Gráficos'!F25</f>
        <v>3.2747801443962173E-2</v>
      </c>
      <c r="G7" s="119">
        <f>'Dados - Gráficos'!G25</f>
        <v>3.2747801443962173E-2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7905</v>
      </c>
      <c r="D8" s="17">
        <f>'Dados - Gráficos'!D26</f>
        <v>18995.030953896523</v>
      </c>
      <c r="E8" s="94">
        <f>'Dados - Gráficos'!E26</f>
        <v>19272.000000000004</v>
      </c>
      <c r="F8" s="121">
        <f>'Dados - Gráficos'!F26</f>
        <v>-1.4371577734717757E-2</v>
      </c>
      <c r="G8" s="122">
        <f>'Dados - Gráficos'!G26</f>
        <v>-1.4371577734717757E-2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4604</v>
      </c>
      <c r="D9" s="192">
        <f>'Dados - Gráficos'!D27</f>
        <v>4604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3301</v>
      </c>
      <c r="D10" s="17">
        <f>'Dados - Gráficos'!D28</f>
        <v>3301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2016-06-13T13:08:54Z</dcterms:modified>
</cp:coreProperties>
</file>