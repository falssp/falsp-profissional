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<sst xmlns="http://schemas.openxmlformats.org/spreadsheetml/2006/main" count="345" uniqueCount="37">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</sst>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675</c:v>
                </c:pt>
                <c:pt idx="1">
                  <c:v>723</c:v>
                </c:pt>
                <c:pt idx="2">
                  <c:v>547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606</c:v>
                </c:pt>
                <c:pt idx="7">
                  <c:v>471</c:v>
                </c:pt>
                <c:pt idx="8">
                  <c:v>562</c:v>
                </c:pt>
                <c:pt idx="9">
                  <c:v>483</c:v>
                </c:pt>
                <c:pt idx="10">
                  <c:v>457</c:v>
                </c:pt>
                <c:pt idx="11">
                  <c:v>123</c:v>
                </c:pt>
                <c:pt idx="12">
                  <c:v>37</c:v>
                </c:pt>
                <c:pt idx="13">
                  <c:v>537</c:v>
                </c:pt>
                <c:pt idx="14">
                  <c:v>546</c:v>
                </c:pt>
                <c:pt idx="15">
                  <c:v>410</c:v>
                </c:pt>
                <c:pt idx="16">
                  <c:v>480</c:v>
                </c:pt>
                <c:pt idx="17">
                  <c:v>341</c:v>
                </c:pt>
                <c:pt idx="18">
                  <c:v>122</c:v>
                </c:pt>
                <c:pt idx="19">
                  <c:v>44</c:v>
                </c:pt>
                <c:pt idx="20">
                  <c:v>585</c:v>
                </c:pt>
                <c:pt idx="21">
                  <c:v>449</c:v>
                </c:pt>
                <c:pt idx="22">
                  <c:v>431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365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477</c:v>
                </c:pt>
                <c:pt idx="14">
                  <c:v>395</c:v>
                </c:pt>
                <c:pt idx="15">
                  <c:v>329</c:v>
                </c:pt>
                <c:pt idx="16">
                  <c:v>320</c:v>
                </c:pt>
                <c:pt idx="17">
                  <c:v>285</c:v>
                </c:pt>
                <c:pt idx="18">
                  <c:v>114</c:v>
                </c:pt>
                <c:pt idx="19">
                  <c:v>53</c:v>
                </c:pt>
                <c:pt idx="20">
                  <c:v>386</c:v>
                </c:pt>
                <c:pt idx="21">
                  <c:v>323</c:v>
                </c:pt>
                <c:pt idx="22">
                  <c:v>321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4WXsvpOVJUI3fd1DcAECmQG/+SoCvNxclpp4exQZdnSERguLY9nWXBadFQc9oGZ/iJN4X3tBZ2PtWATPZj0xhw==" saltValue="Wdz0u0/GMWXvIw8TZZmn3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workbookViewId="0"/>
  </sheetViews>
  <sheetProtection algorithmName="SHA-512" hashValue="wskfy3aOwm3MjzSiLuwgHElvoYWUIdb9lwH0EQptNT6ZOngtX+35H4A70uMX9qz+cMsbXZg97i7Qa+M/ljQAkg==" saltValue="1eOndC5sNN/FBPYNoJ9+D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n5pl1Q4Dp4YZtpLC4TUpCiAEQE+fAhASOInDXhQLbihjyrfLbzZ+Epn8Y87NPEK4bj+0iNCLhSE5Bp5lnFjBEw==" saltValue="BdeoN3LOm2tvyZoRxpXo1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Y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16623</v>
      </c>
      <c r="AI27" s="71">
        <f>AH27/COUNTA(C28:AG28)</f>
        <v>722.73913043478262</v>
      </c>
      <c r="AJ27" s="55">
        <f>AI27*31</f>
        <v>22404.91304347826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9</v>
      </c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139</v>
      </c>
      <c r="AI28" s="38">
        <f>AH28/COUNTA(C28:AG28)</f>
        <v>6.0434782608695654</v>
      </c>
      <c r="AJ28" s="56">
        <f>AI28*31</f>
        <v>187.34782608695653</v>
      </c>
    </row>
    <row r="29" spans="2:36" x14ac:dyDescent="0.25">
      <c r="B29" s="155" t="s">
        <v>20</v>
      </c>
      <c r="C29" s="159">
        <v>675</v>
      </c>
      <c r="D29" s="159">
        <v>723</v>
      </c>
      <c r="E29" s="159">
        <v>547</v>
      </c>
      <c r="F29" s="159">
        <v>586</v>
      </c>
      <c r="G29" s="159">
        <v>104</v>
      </c>
      <c r="H29" s="159">
        <v>70</v>
      </c>
      <c r="I29" s="159">
        <v>606</v>
      </c>
      <c r="J29" s="159">
        <v>471</v>
      </c>
      <c r="K29" s="159">
        <v>562</v>
      </c>
      <c r="L29" s="159">
        <v>483</v>
      </c>
      <c r="M29" s="159">
        <v>457</v>
      </c>
      <c r="N29" s="159">
        <v>123</v>
      </c>
      <c r="O29" s="159">
        <v>37</v>
      </c>
      <c r="P29" s="159">
        <v>537</v>
      </c>
      <c r="Q29" s="24">
        <v>546</v>
      </c>
      <c r="R29" s="24">
        <v>410</v>
      </c>
      <c r="S29" s="24">
        <v>480</v>
      </c>
      <c r="T29" s="24">
        <v>341</v>
      </c>
      <c r="U29" s="24">
        <v>122</v>
      </c>
      <c r="V29" s="24">
        <v>44</v>
      </c>
      <c r="W29" s="24">
        <v>585</v>
      </c>
      <c r="X29" s="24">
        <v>449</v>
      </c>
      <c r="Y29" s="24">
        <v>431</v>
      </c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9389</v>
      </c>
      <c r="AI29" s="38">
        <f>AH29/COUNTA(C29:AG29)</f>
        <v>408.21739130434781</v>
      </c>
      <c r="AJ29" s="56">
        <f>AI29*31</f>
        <v>12654.739130434782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390</v>
      </c>
      <c r="F30" s="158">
        <v>377</v>
      </c>
      <c r="G30" s="158">
        <v>79</v>
      </c>
      <c r="H30" s="158">
        <v>40</v>
      </c>
      <c r="I30" s="158">
        <v>547</v>
      </c>
      <c r="J30" s="158">
        <v>388</v>
      </c>
      <c r="K30" s="158">
        <v>407</v>
      </c>
      <c r="L30" s="158">
        <v>365</v>
      </c>
      <c r="M30" s="158">
        <v>316</v>
      </c>
      <c r="N30" s="158">
        <v>100</v>
      </c>
      <c r="O30" s="158">
        <v>39</v>
      </c>
      <c r="P30" s="158">
        <v>477</v>
      </c>
      <c r="Q30" s="25">
        <v>395</v>
      </c>
      <c r="R30" s="25">
        <v>329</v>
      </c>
      <c r="S30" s="25">
        <v>320</v>
      </c>
      <c r="T30" s="25">
        <v>285</v>
      </c>
      <c r="U30" s="25">
        <v>114</v>
      </c>
      <c r="V30" s="25">
        <v>53</v>
      </c>
      <c r="W30" s="25">
        <v>386</v>
      </c>
      <c r="X30" s="25">
        <v>323</v>
      </c>
      <c r="Y30" s="25">
        <v>321</v>
      </c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7095</v>
      </c>
      <c r="AI30" s="37">
        <f>AH30/COUNTA(C30:AG30)</f>
        <v>308.47826086956519</v>
      </c>
      <c r="AJ30" s="57">
        <f>AI30*31</f>
        <v>9562.8260869565202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9</v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675</v>
      </c>
      <c r="E5" s="39">
        <f>IF(Indicadores!D29,Indicadores!D29,"")</f>
        <v>723</v>
      </c>
      <c r="F5" s="39">
        <f>IF(Indicadores!E29,Indicadores!E29,"")</f>
        <v>547</v>
      </c>
      <c r="G5" s="39">
        <f>IF(Indicadores!F29,Indicadores!F29,"")</f>
        <v>586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606</v>
      </c>
      <c r="K5" s="39">
        <f>IF(Indicadores!J29,Indicadores!J29,"")</f>
        <v>471</v>
      </c>
      <c r="L5" s="39">
        <f>IF(Indicadores!K29,Indicadores!K29,"")</f>
        <v>562</v>
      </c>
      <c r="M5" s="39">
        <f>IF(Indicadores!L29,Indicadores!L29,"")</f>
        <v>483</v>
      </c>
      <c r="N5" s="39">
        <f>IF(Indicadores!M29,Indicadores!M29,"")</f>
        <v>457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537</v>
      </c>
      <c r="R5" s="39">
        <f>IF(Indicadores!Q29,Indicadores!Q29,"")</f>
        <v>546</v>
      </c>
      <c r="S5" s="39">
        <f>IF(Indicadores!R29,Indicadores!R29,"")</f>
        <v>410</v>
      </c>
      <c r="T5" s="39">
        <f>IF(Indicadores!S29,Indicadores!S29,"")</f>
        <v>480</v>
      </c>
      <c r="U5" s="39">
        <f>IF(Indicadores!T29,Indicadores!T29,"")</f>
        <v>341</v>
      </c>
      <c r="V5" s="39">
        <f>IF(Indicadores!U29,Indicadores!U29,"")</f>
        <v>122</v>
      </c>
      <c r="W5" s="39">
        <f>IF(Indicadores!V29,Indicadores!V29,"")</f>
        <v>44</v>
      </c>
      <c r="X5" s="39">
        <f>IF(Indicadores!W29,Indicadores!W29,"")</f>
        <v>585</v>
      </c>
      <c r="Y5" s="39">
        <f>IF(Indicadores!X29,Indicadores!X29,"")</f>
        <v>449</v>
      </c>
      <c r="Z5" s="39">
        <f>IF(Indicadores!Y29,Indicadores!Y29,"")</f>
        <v>431</v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547</v>
      </c>
      <c r="K6" s="40">
        <f>IF(Indicadores!J30,Indicadores!J30,"")</f>
        <v>388</v>
      </c>
      <c r="L6" s="40">
        <f>IF(Indicadores!K30,Indicadores!K30,"")</f>
        <v>407</v>
      </c>
      <c r="M6" s="40">
        <f>IF(Indicadores!L30,Indicadores!L30,"")</f>
        <v>365</v>
      </c>
      <c r="N6" s="40">
        <f>IF(Indicadores!M30,Indicadores!M30,"")</f>
        <v>316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477</v>
      </c>
      <c r="R6" s="40">
        <f>IF(Indicadores!Q30,Indicadores!Q30,"")</f>
        <v>395</v>
      </c>
      <c r="S6" s="40">
        <f>IF(Indicadores!R30,Indicadores!R30,"")</f>
        <v>329</v>
      </c>
      <c r="T6" s="40">
        <f>IF(Indicadores!S30,Indicadores!S30,"")</f>
        <v>320</v>
      </c>
      <c r="U6" s="40">
        <f>IF(Indicadores!T30,Indicadores!T30,"")</f>
        <v>285</v>
      </c>
      <c r="V6" s="40">
        <f>IF(Indicadores!U30,Indicadores!U30,"")</f>
        <v>114</v>
      </c>
      <c r="W6" s="40">
        <f>IF(Indicadores!V30,Indicadores!V30,"")</f>
        <v>53</v>
      </c>
      <c r="X6" s="40">
        <f>IF(Indicadores!W30,Indicadores!W30,"")</f>
        <v>386</v>
      </c>
      <c r="Y6" s="40">
        <f>IF(Indicadores!X30,Indicadores!X30,"")</f>
        <v>323</v>
      </c>
      <c r="Z6" s="40">
        <f>IF(Indicadores!Y30,Indicadores!Y30,"")</f>
        <v>321</v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21142.166739404391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203.6838880633176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675</v>
      </c>
      <c r="E17" s="139">
        <f t="shared" ref="E17:AH17" si="6">IF(E5&lt;&gt;"",E5,E11)</f>
        <v>723</v>
      </c>
      <c r="F17" s="139">
        <f t="shared" si="6"/>
        <v>547</v>
      </c>
      <c r="G17" s="139">
        <f t="shared" si="6"/>
        <v>586</v>
      </c>
      <c r="H17" s="139">
        <f t="shared" si="6"/>
        <v>104</v>
      </c>
      <c r="I17" s="139">
        <f t="shared" si="6"/>
        <v>70</v>
      </c>
      <c r="J17" s="139">
        <f t="shared" si="6"/>
        <v>606</v>
      </c>
      <c r="K17" s="139">
        <f t="shared" si="6"/>
        <v>471</v>
      </c>
      <c r="L17" s="139">
        <f t="shared" si="6"/>
        <v>562</v>
      </c>
      <c r="M17" s="139">
        <f t="shared" si="6"/>
        <v>483</v>
      </c>
      <c r="N17" s="139">
        <f t="shared" si="6"/>
        <v>457</v>
      </c>
      <c r="O17" s="139">
        <f t="shared" si="6"/>
        <v>123</v>
      </c>
      <c r="P17" s="139">
        <f t="shared" si="6"/>
        <v>37</v>
      </c>
      <c r="Q17" s="139">
        <f t="shared" si="6"/>
        <v>537</v>
      </c>
      <c r="R17" s="139">
        <f t="shared" si="6"/>
        <v>546</v>
      </c>
      <c r="S17" s="139">
        <f t="shared" si="6"/>
        <v>410</v>
      </c>
      <c r="T17" s="139">
        <f t="shared" si="6"/>
        <v>480</v>
      </c>
      <c r="U17" s="139">
        <f t="shared" si="6"/>
        <v>341</v>
      </c>
      <c r="V17" s="139">
        <f t="shared" si="6"/>
        <v>122</v>
      </c>
      <c r="W17" s="139">
        <f t="shared" si="6"/>
        <v>44</v>
      </c>
      <c r="X17" s="139">
        <f t="shared" si="6"/>
        <v>585</v>
      </c>
      <c r="Y17" s="139">
        <f t="shared" si="6"/>
        <v>449</v>
      </c>
      <c r="Z17" s="139">
        <f t="shared" si="6"/>
        <v>431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12107.926968923308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547</v>
      </c>
      <c r="K18" s="151">
        <f t="shared" si="8"/>
        <v>388</v>
      </c>
      <c r="L18" s="151">
        <f t="shared" si="8"/>
        <v>407</v>
      </c>
      <c r="M18" s="151">
        <f t="shared" si="8"/>
        <v>365</v>
      </c>
      <c r="N18" s="151">
        <f t="shared" si="8"/>
        <v>316</v>
      </c>
      <c r="O18" s="151">
        <f t="shared" si="8"/>
        <v>100</v>
      </c>
      <c r="P18" s="151">
        <f t="shared" si="8"/>
        <v>39</v>
      </c>
      <c r="Q18" s="151">
        <f t="shared" si="8"/>
        <v>477</v>
      </c>
      <c r="R18" s="151">
        <f t="shared" si="8"/>
        <v>395</v>
      </c>
      <c r="S18" s="151">
        <f t="shared" si="8"/>
        <v>329</v>
      </c>
      <c r="T18" s="151">
        <f t="shared" si="8"/>
        <v>320</v>
      </c>
      <c r="U18" s="151">
        <f t="shared" si="8"/>
        <v>285</v>
      </c>
      <c r="V18" s="151">
        <f t="shared" si="8"/>
        <v>114</v>
      </c>
      <c r="W18" s="151">
        <f t="shared" si="8"/>
        <v>53</v>
      </c>
      <c r="X18" s="151">
        <f t="shared" si="8"/>
        <v>386</v>
      </c>
      <c r="Y18" s="151">
        <f t="shared" si="8"/>
        <v>323</v>
      </c>
      <c r="Z18" s="151">
        <f t="shared" si="8"/>
        <v>321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8830.5558824177642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16623</v>
      </c>
      <c r="D21" s="144">
        <f>SUM(D22:D24)</f>
        <v>21142.166739404391</v>
      </c>
      <c r="E21" s="145">
        <f>SUM(E22:E24)</f>
        <v>19245.566666666666</v>
      </c>
      <c r="F21" s="140">
        <f>(D21-E21)/E21</f>
        <v>9.8547374862317641E-2</v>
      </c>
      <c r="G21" s="135">
        <f>F21</f>
        <v>9.8547374862317641E-2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139</v>
      </c>
      <c r="D22" s="147">
        <f>AI16</f>
        <v>203.6838880633176</v>
      </c>
      <c r="E22" s="145">
        <v>250</v>
      </c>
      <c r="F22" s="141">
        <f t="shared" ref="F22:F24" si="10">(D22-E22)/E22</f>
        <v>-0.18526444774672962</v>
      </c>
      <c r="G22" s="135">
        <f>F22</f>
        <v>-0.18526444774672962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9389</v>
      </c>
      <c r="D23" s="147">
        <f>AI17</f>
        <v>12107.926968923308</v>
      </c>
      <c r="E23" s="145">
        <f>AVERAGE(Indicadores!AJ11,Indicadores!AJ17,Indicadores!AJ23)*0.95</f>
        <v>11401.9</v>
      </c>
      <c r="F23" s="141">
        <f t="shared" si="10"/>
        <v>6.1921869944773084E-2</v>
      </c>
      <c r="G23" s="135">
        <f>F23</f>
        <v>6.1921869944773084E-2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7095</v>
      </c>
      <c r="D24" s="149">
        <f>AI18</f>
        <v>8830.5558824177642</v>
      </c>
      <c r="E24" s="150">
        <f>AVERAGE(Indicadores!AJ12,Indicadores!AJ18,Indicadores!AJ24)*0.95</f>
        <v>7593.6666666666661</v>
      </c>
      <c r="F24" s="142">
        <f t="shared" si="10"/>
        <v>0.1628843179515076</v>
      </c>
      <c r="G24" s="138">
        <f>F24</f>
        <v>0.1628843179515076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16623</v>
      </c>
      <c r="D6" s="7">
        <f>'Dados - Gráficos'!D21</f>
        <v>21142.166739404391</v>
      </c>
      <c r="E6" s="93">
        <f>'Dados - Gráficos'!E21</f>
        <v>19245.566666666666</v>
      </c>
      <c r="F6" s="119">
        <f>'Dados - Gráficos'!F21</f>
        <v>9.8547374862317641E-2</v>
      </c>
      <c r="G6" s="120">
        <f>'Dados - Gráficos'!G21</f>
        <v>9.8547374862317641E-2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139</v>
      </c>
      <c r="D7" s="8">
        <f>'Dados - Gráficos'!D22</f>
        <v>203.6838880633176</v>
      </c>
      <c r="E7" s="93">
        <f>'Dados - Gráficos'!E22</f>
        <v>250</v>
      </c>
      <c r="F7" s="121">
        <f>'Dados - Gráficos'!F22</f>
        <v>-0.18526444774672962</v>
      </c>
      <c r="G7" s="120">
        <f>'Dados - Gráficos'!G22</f>
        <v>-0.18526444774672962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9389</v>
      </c>
      <c r="D8" s="8">
        <f>'Dados - Gráficos'!D23</f>
        <v>12107.926968923308</v>
      </c>
      <c r="E8" s="93">
        <f>'Dados - Gráficos'!E23</f>
        <v>11401.9</v>
      </c>
      <c r="F8" s="121">
        <f>'Dados - Gráficos'!F23</f>
        <v>6.1921869944773084E-2</v>
      </c>
      <c r="G8" s="120">
        <f>'Dados - Gráficos'!G23</f>
        <v>6.1921869944773084E-2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7095</v>
      </c>
      <c r="D9" s="17">
        <f>'Dados - Gráficos'!D24</f>
        <v>8830.5558824177642</v>
      </c>
      <c r="E9" s="94">
        <f>'Dados - Gráficos'!E24</f>
        <v>7593.6666666666661</v>
      </c>
      <c r="F9" s="122">
        <f>'Dados - Gráficos'!F24</f>
        <v>0.1628843179515076</v>
      </c>
      <c r="G9" s="123">
        <f>'Dados - Gráficos'!G24</f>
        <v>0.1628843179515076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2016-03-24T12:53:10Z</dcterms:modified>
</cp:coreProperties>
</file>