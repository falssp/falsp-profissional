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<sst xmlns="http://schemas.openxmlformats.org/spreadsheetml/2006/main" count="418" uniqueCount="39">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</sst>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536</c:v>
                </c:pt>
                <c:pt idx="9">
                  <c:v>545</c:v>
                </c:pt>
                <c:pt idx="10">
                  <c:v>524</c:v>
                </c:pt>
                <c:pt idx="11">
                  <c:v>396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515</c:v>
                </c:pt>
                <c:pt idx="16">
                  <c:v>514</c:v>
                </c:pt>
                <c:pt idx="17">
                  <c:v>450</c:v>
                </c:pt>
                <c:pt idx="18">
                  <c:v>420</c:v>
                </c:pt>
                <c:pt idx="19">
                  <c:v>394</c:v>
                </c:pt>
                <c:pt idx="20">
                  <c:v>80</c:v>
                </c:pt>
                <c:pt idx="21">
                  <c:v>38</c:v>
                </c:pt>
                <c:pt idx="22">
                  <c:v>548</c:v>
                </c:pt>
                <c:pt idx="23">
                  <c:v>595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436</c:v>
                </c:pt>
                <c:pt idx="17">
                  <c:v>426</c:v>
                </c:pt>
                <c:pt idx="18">
                  <c:v>312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390</c:v>
                </c:pt>
                <c:pt idx="23">
                  <c:v>350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ed88WBL/VolmH2V6O6YSGcBHlK9mJZ0P8l9xUYLpROv5i2IQp9Tk3YUNmKAdSneUDd8tBYzO6denbCBznM8I2Q==" saltValue="xsaOtGg9HzoFnD/n4PntU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6g1WtcaLNitFvOAqQ+6HPaBAIrI6vfjpk76bggpPSnfLTSi3aRsxeXIyButF0iDyyslS7DICh0P75gFvIAVUDA==" saltValue="46HRyMLMsR8y/rGPnWLZ2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l8uGhR6TB7+2P5VNzozn5U/FQtQgad8BBuV2e1nn2xK5Xi2kjWuBIapoPgSCXttM7QsSmco2K6EVOIytt6Ohfg==" saltValue="xrNYM/oFGzbkbTcK+tRDD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B31" zoomScale="130" zoomScaleNormal="130" workbookViewId="0">
      <selection activeCell="C42" sqref="C42:Z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16231</v>
      </c>
      <c r="AI39" s="71">
        <f>AH39/COUNTA(C40:AG40)</f>
        <v>676.29166666666663</v>
      </c>
      <c r="AJ39" s="55">
        <f>AI39*31</f>
        <v>20965.041666666664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/>
      <c r="AB40" s="24"/>
      <c r="AC40" s="24"/>
      <c r="AD40" s="24"/>
      <c r="AE40" s="24"/>
      <c r="AF40" s="24"/>
      <c r="AG40" s="157"/>
      <c r="AH40" s="53">
        <f>SUM(C40:AG40)</f>
        <v>148</v>
      </c>
      <c r="AI40" s="38">
        <f>AH40/COUNTA(C40:AG40)</f>
        <v>6.166666666666667</v>
      </c>
      <c r="AJ40" s="56">
        <f>AI40*31</f>
        <v>191.16666666666669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529</v>
      </c>
      <c r="G41" s="156">
        <v>461</v>
      </c>
      <c r="H41" s="156">
        <v>382</v>
      </c>
      <c r="I41" s="156">
        <v>98</v>
      </c>
      <c r="J41" s="156">
        <v>29</v>
      </c>
      <c r="K41" s="156">
        <v>536</v>
      </c>
      <c r="L41" s="156">
        <v>545</v>
      </c>
      <c r="M41" s="156">
        <v>524</v>
      </c>
      <c r="N41" s="156">
        <v>396</v>
      </c>
      <c r="O41" s="156">
        <v>411</v>
      </c>
      <c r="P41" s="156">
        <v>108</v>
      </c>
      <c r="Q41" s="24">
        <v>27</v>
      </c>
      <c r="R41" s="24">
        <v>515</v>
      </c>
      <c r="S41" s="24">
        <v>514</v>
      </c>
      <c r="T41" s="24">
        <v>450</v>
      </c>
      <c r="U41" s="24">
        <v>420</v>
      </c>
      <c r="V41" s="24">
        <v>394</v>
      </c>
      <c r="W41" s="24">
        <v>80</v>
      </c>
      <c r="X41" s="24">
        <v>38</v>
      </c>
      <c r="Y41" s="24">
        <v>548</v>
      </c>
      <c r="Z41" s="24">
        <v>595</v>
      </c>
      <c r="AA41" s="24"/>
      <c r="AB41" s="24"/>
      <c r="AC41" s="24"/>
      <c r="AD41" s="24"/>
      <c r="AE41" s="24"/>
      <c r="AF41" s="24"/>
      <c r="AG41" s="157"/>
      <c r="AH41" s="53">
        <f>SUM(C41:AG41)</f>
        <v>8784</v>
      </c>
      <c r="AI41" s="38">
        <f>AH41/COUNTA(C41:AG41)</f>
        <v>366</v>
      </c>
      <c r="AJ41" s="56">
        <f>AI41*31</f>
        <v>11346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566</v>
      </c>
      <c r="F42" s="155">
        <v>485</v>
      </c>
      <c r="G42" s="155">
        <v>389</v>
      </c>
      <c r="H42" s="155">
        <v>335</v>
      </c>
      <c r="I42" s="155">
        <v>90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436</v>
      </c>
      <c r="T42" s="25">
        <v>426</v>
      </c>
      <c r="U42" s="25">
        <v>312</v>
      </c>
      <c r="V42" s="25">
        <v>265</v>
      </c>
      <c r="W42" s="25">
        <v>85</v>
      </c>
      <c r="X42" s="25">
        <v>34</v>
      </c>
      <c r="Y42" s="25">
        <v>390</v>
      </c>
      <c r="Z42" s="25">
        <v>350</v>
      </c>
      <c r="AA42" s="25"/>
      <c r="AB42" s="25"/>
      <c r="AC42" s="25"/>
      <c r="AD42" s="25"/>
      <c r="AE42" s="25"/>
      <c r="AF42" s="25"/>
      <c r="AG42" s="159"/>
      <c r="AH42" s="54">
        <f>SUM(C42:AG42)</f>
        <v>7299</v>
      </c>
      <c r="AI42" s="37">
        <f>AH42/COUNTA(C42:AG42)</f>
        <v>304.125</v>
      </c>
      <c r="AJ42" s="57">
        <f>AI42*31</f>
        <v>9427.875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148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529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536</v>
      </c>
      <c r="M5" s="39">
        <f>IF(Indicadores!L41,Indicadores!L41,"")</f>
        <v>545</v>
      </c>
      <c r="N5" s="39">
        <f>IF(Indicadores!M41,Indicadores!M41,"")</f>
        <v>524</v>
      </c>
      <c r="O5" s="39">
        <f>IF(Indicadores!N41,Indicadores!N41,"")</f>
        <v>396</v>
      </c>
      <c r="P5" s="39">
        <f>IF(Indicadores!O41,Indicadores!O41,"")</f>
        <v>411</v>
      </c>
      <c r="Q5" s="39">
        <f>IF(Indicadores!P41,Indicadores!P41,"")</f>
        <v>108</v>
      </c>
      <c r="R5" s="39">
        <f>IF(Indicadores!Q41,Indicadores!Q41,"")</f>
        <v>27</v>
      </c>
      <c r="S5" s="39">
        <f>IF(Indicadores!R41,Indicadores!R41,"")</f>
        <v>515</v>
      </c>
      <c r="T5" s="39">
        <f>IF(Indicadores!S41,Indicadores!S41,"")</f>
        <v>514</v>
      </c>
      <c r="U5" s="39">
        <f>IF(Indicadores!T41,Indicadores!T41,"")</f>
        <v>450</v>
      </c>
      <c r="V5" s="39">
        <f>IF(Indicadores!U41,Indicadores!U41,"")</f>
        <v>420</v>
      </c>
      <c r="W5" s="39">
        <f>IF(Indicadores!V41,Indicadores!V41,"")</f>
        <v>394</v>
      </c>
      <c r="X5" s="39">
        <f>IF(Indicadores!W41,Indicadores!W41,"")</f>
        <v>80</v>
      </c>
      <c r="Y5" s="39">
        <f>IF(Indicadores!X41,Indicadores!X41,"")</f>
        <v>38</v>
      </c>
      <c r="Z5" s="39">
        <f>IF(Indicadores!Y41,Indicadores!Y41,"")</f>
        <v>548</v>
      </c>
      <c r="AA5" s="39">
        <f>IF(Indicadores!Z41,Indicadores!Z41,"")</f>
        <v>595</v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8784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436</v>
      </c>
      <c r="U6" s="40">
        <f>IF(Indicadores!T42,Indicadores!T42,"")</f>
        <v>426</v>
      </c>
      <c r="V6" s="40">
        <f>IF(Indicadores!U42,Indicadores!U42,"")</f>
        <v>312</v>
      </c>
      <c r="W6" s="40">
        <f>IF(Indicadores!V42,Indicadores!V42,"")</f>
        <v>265</v>
      </c>
      <c r="X6" s="40">
        <f>IF(Indicadores!W42,Indicadores!W42,"")</f>
        <v>85</v>
      </c>
      <c r="Y6" s="40">
        <f>IF(Indicadores!X42,Indicadores!X42,"")</f>
        <v>34</v>
      </c>
      <c r="Z6" s="40">
        <f>IF(Indicadores!Y42,Indicadores!Y42,"")</f>
        <v>390</v>
      </c>
      <c r="AA6" s="40">
        <f>IF(Indicadores!Z42,Indicadores!Z42,"")</f>
        <v>350</v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7299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19439.837441126765</v>
      </c>
      <c r="AJ15" s="66">
        <f>SUM(AJ16:AJ18)</f>
        <v>627.09153035892791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179.81975736568461</v>
      </c>
      <c r="AJ16" s="106">
        <f>AI16/COUNTA(C16:AG16)</f>
        <v>5.8006373343769226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529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536</v>
      </c>
      <c r="M17" s="137">
        <f t="shared" si="5"/>
        <v>545</v>
      </c>
      <c r="N17" s="137">
        <f t="shared" si="5"/>
        <v>524</v>
      </c>
      <c r="O17" s="137">
        <f t="shared" si="5"/>
        <v>396</v>
      </c>
      <c r="P17" s="137">
        <f t="shared" si="5"/>
        <v>411</v>
      </c>
      <c r="Q17" s="137">
        <f t="shared" si="5"/>
        <v>108</v>
      </c>
      <c r="R17" s="137">
        <f t="shared" si="5"/>
        <v>27</v>
      </c>
      <c r="S17" s="137">
        <f t="shared" si="5"/>
        <v>515</v>
      </c>
      <c r="T17" s="137">
        <f t="shared" si="5"/>
        <v>514</v>
      </c>
      <c r="U17" s="137">
        <f t="shared" si="5"/>
        <v>450</v>
      </c>
      <c r="V17" s="137">
        <f t="shared" si="5"/>
        <v>420</v>
      </c>
      <c r="W17" s="137">
        <f t="shared" si="5"/>
        <v>394</v>
      </c>
      <c r="X17" s="137">
        <f t="shared" si="5"/>
        <v>80</v>
      </c>
      <c r="Y17" s="137">
        <f t="shared" si="5"/>
        <v>38</v>
      </c>
      <c r="Z17" s="137">
        <f t="shared" si="5"/>
        <v>548</v>
      </c>
      <c r="AA17" s="137">
        <f t="shared" si="5"/>
        <v>595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10525.56317429873</v>
      </c>
      <c r="AJ17" s="106">
        <f>AI17/COUNTA(C17:AG17)</f>
        <v>339.53429594512033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90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436</v>
      </c>
      <c r="U18" s="148">
        <f t="shared" si="8"/>
        <v>426</v>
      </c>
      <c r="V18" s="148">
        <f t="shared" si="8"/>
        <v>312</v>
      </c>
      <c r="W18" s="148">
        <f t="shared" si="8"/>
        <v>265</v>
      </c>
      <c r="X18" s="148">
        <f t="shared" si="8"/>
        <v>85</v>
      </c>
      <c r="Y18" s="148">
        <f t="shared" si="8"/>
        <v>34</v>
      </c>
      <c r="Z18" s="148">
        <f t="shared" si="8"/>
        <v>390</v>
      </c>
      <c r="AA18" s="148">
        <f t="shared" si="8"/>
        <v>350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8734.4545094623481</v>
      </c>
      <c r="AJ18" s="109">
        <f>AI18/COUNTA(C18:AG18)</f>
        <v>281.75659707943061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16231</v>
      </c>
      <c r="D21" s="142">
        <f>SUM(D22:D24)</f>
        <v>19439.837441126765</v>
      </c>
      <c r="E21" s="143">
        <f>SUM(E22:E24)</f>
        <v>19121.999999999996</v>
      </c>
      <c r="F21" s="138">
        <f>(D21-E21)/E21</f>
        <v>1.6621558473317057E-2</v>
      </c>
      <c r="G21" s="133">
        <f>F21</f>
        <v>1.6621558473317057E-2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148</v>
      </c>
      <c r="D22" s="145">
        <f>AI16</f>
        <v>179.81975736568461</v>
      </c>
      <c r="E22" s="143">
        <f>$AI$10</f>
        <v>180.00000000000003</v>
      </c>
      <c r="F22" s="139">
        <f t="shared" ref="F22:F24" si="11">(D22-E22)/E22</f>
        <v>-1.0013479684189972E-3</v>
      </c>
      <c r="G22" s="133">
        <f>F22</f>
        <v>-1.0013479684189972E-3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8784</v>
      </c>
      <c r="D23" s="145">
        <f>AI17</f>
        <v>10525.56317429873</v>
      </c>
      <c r="E23" s="143">
        <f>AI11</f>
        <v>10520</v>
      </c>
      <c r="F23" s="139">
        <f t="shared" si="11"/>
        <v>5.2881884968914361E-4</v>
      </c>
      <c r="G23" s="133">
        <f>F23</f>
        <v>5.2881884968914361E-4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7299</v>
      </c>
      <c r="D24" s="147">
        <f>AI18</f>
        <v>8734.4545094623481</v>
      </c>
      <c r="E24" s="166">
        <f>AI12</f>
        <v>8421.9999999999964</v>
      </c>
      <c r="F24" s="140">
        <f t="shared" si="11"/>
        <v>3.7099799271236279E-2</v>
      </c>
      <c r="G24" s="136">
        <f>F24</f>
        <v>3.7099799271236279E-2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16231</v>
      </c>
      <c r="D6" s="7">
        <f>'Dados - Gráficos'!D21</f>
        <v>19439.837441126765</v>
      </c>
      <c r="E6" s="93">
        <f>'Dados - Gráficos'!E21</f>
        <v>19121.999999999996</v>
      </c>
      <c r="F6" s="118">
        <f>'Dados - Gráficos'!F21</f>
        <v>1.6621558473317057E-2</v>
      </c>
      <c r="G6" s="119">
        <f>'Dados - Gráficos'!G21</f>
        <v>1.6621558473317057E-2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148</v>
      </c>
      <c r="D7" s="8">
        <f>'Dados - Gráficos'!D22</f>
        <v>179.81975736568461</v>
      </c>
      <c r="E7" s="93">
        <f>'Dados - Gráficos'!E22</f>
        <v>180.00000000000003</v>
      </c>
      <c r="F7" s="120">
        <f>'Dados - Gráficos'!F22</f>
        <v>-1.0013479684189972E-3</v>
      </c>
      <c r="G7" s="119">
        <f>'Dados - Gráficos'!G22</f>
        <v>-1.0013479684189972E-3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8784</v>
      </c>
      <c r="D8" s="8">
        <f>'Dados - Gráficos'!D23</f>
        <v>10525.56317429873</v>
      </c>
      <c r="E8" s="93">
        <f>'Dados - Gráficos'!E23</f>
        <v>10520</v>
      </c>
      <c r="F8" s="120">
        <f>'Dados - Gráficos'!F23</f>
        <v>5.2881884968914361E-4</v>
      </c>
      <c r="G8" s="119">
        <f>'Dados - Gráficos'!G23</f>
        <v>5.2881884968914361E-4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7299</v>
      </c>
      <c r="D9" s="17">
        <f>'Dados - Gráficos'!D24</f>
        <v>8734.4545094623481</v>
      </c>
      <c r="E9" s="94">
        <f>'Dados - Gráficos'!E24</f>
        <v>8421.9999999999964</v>
      </c>
      <c r="F9" s="121">
        <f>'Dados - Gráficos'!F24</f>
        <v>3.7099799271236279E-2</v>
      </c>
      <c r="G9" s="122">
        <f>'Dados - Gráficos'!G24</f>
        <v>3.7099799271236279E-2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2016-05-25T13:19:06Z</dcterms:modified>
</cp:coreProperties>
</file>