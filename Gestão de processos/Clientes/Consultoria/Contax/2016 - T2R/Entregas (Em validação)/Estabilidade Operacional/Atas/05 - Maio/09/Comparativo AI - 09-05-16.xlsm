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<sst xmlns="http://schemas.openxmlformats.org/spreadsheetml/2006/main" count="418" uniqueCount="39">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</sst>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B4-4477-BD6A-5FB474E6F28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B4-4477-BD6A-5FB474E6F28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B4-4477-BD6A-5FB474E6F28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2B4-4477-BD6A-5FB474E6F28A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2B4-4477-BD6A-5FB474E6F28A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B4-4477-BD6A-5FB474E6F28A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B4-4477-BD6A-5FB474E6F28A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7-41B9-92DF-7C4BADEE55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B57-41B9-92DF-7C4BADEE55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B4-4477-BD6A-5FB474E6F28A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B4-4477-BD6A-5FB474E6F28A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B4-4477-BD6A-5FB474E6F28A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B4-4477-BD6A-5FB474E6F28A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B4-4477-BD6A-5FB474E6F28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B4-4477-BD6A-5FB474E6F28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7-41B9-92DF-7C4BADEE55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B4-4477-BD6A-5FB474E6F28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B4-4477-BD6A-5FB474E6F28A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B4-4477-BD6A-5FB474E6F28A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B4-4477-BD6A-5FB474E6F28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2B4-4477-BD6A-5FB474E6F28A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2B4-4477-BD6A-5FB474E6F28A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15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E4-4BF0-A644-C0330DD66C39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E4-4BF0-A644-C0330DD66C3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E4-4BF0-A644-C0330DD66C39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E4-4BF0-A644-C0330DD66C39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E4-4BF0-A644-C0330DD66C39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E4-4BF0-A644-C0330DD66C39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E4-4BF0-A644-C0330DD66C39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E4-4BF0-A644-C0330DD66C39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E4-4BF0-A644-C0330DD66C39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E4-4BF0-A644-C0330DD66C39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E4-4BF0-A644-C0330DD66C39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E4-4BF0-A644-C0330DD66C3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E4-4BF0-A644-C0330DD66C39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E4-4BF0-A644-C0330DD66C39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E4-4BF0-A644-C0330DD66C39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E4-4BF0-A644-C0330DD66C39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E4-4BF0-A644-C0330DD66C39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E4-4BF0-A644-C0330DD66C39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E4-4BF0-A644-C0330DD66C39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E4-4BF0-A644-C0330DD66C39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E4-4BF0-A644-C0330DD66C39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E4-4BF0-A644-C0330DD66C39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31</c:v>
                </c:pt>
                <c:pt idx="1">
                  <c:v>700</c:v>
                </c:pt>
                <c:pt idx="2">
                  <c:v>692</c:v>
                </c:pt>
                <c:pt idx="3">
                  <c:v>611</c:v>
                </c:pt>
                <c:pt idx="4">
                  <c:v>557</c:v>
                </c:pt>
                <c:pt idx="5">
                  <c:v>454</c:v>
                </c:pt>
                <c:pt idx="6">
                  <c:v>124</c:v>
                </c:pt>
                <c:pt idx="7">
                  <c:v>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8B-4686-B2A6-76008087528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8B-4686-B2A6-76008087528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D8B-4686-B2A6-76008087528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8B-4686-B2A6-76008087528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B-4686-B2A6-76008087528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B-4686-B2A6-76008087528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8B-4686-B2A6-76008087528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D8B-4686-B2A6-76008087528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8B-4686-B2A6-76008087528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D8B-4686-B2A6-76008087528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8B-4686-B2A6-76008087528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8B-4686-B2A6-76008087528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D8B-4686-B2A6-76008087528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D8B-4686-B2A6-76008087528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D8B-4686-B2A6-76008087528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D8B-4686-B2A6-76008087528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D8B-4686-B2A6-76008087528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D8B-4686-B2A6-76008087528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D8B-4686-B2A6-76008087528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D8B-4686-B2A6-76008087528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D8B-4686-B2A6-76008087528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D8B-4686-B2A6-76008087528F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672</c:v>
                </c:pt>
                <c:pt idx="2">
                  <c:v>572</c:v>
                </c:pt>
                <c:pt idx="3">
                  <c:v>484</c:v>
                </c:pt>
                <c:pt idx="4">
                  <c:v>384</c:v>
                </c:pt>
                <c:pt idx="5">
                  <c:v>331</c:v>
                </c:pt>
                <c:pt idx="6">
                  <c:v>88</c:v>
                </c:pt>
                <c:pt idx="7">
                  <c:v>26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huQN3zjmbBphF5WUsBSCmp0kf6M1vmnt8EBf7XCV4qKdpd6JI5VwMIlI/HuoKmOILdTRvXQon523GGZossGLBw==" saltValue="4GDVlayHExbyye1qR1K+i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uJ6CQrmbKFj+A2QO1G2W4ltAN4sSdFBkd+J8c1meJvCu3bM+MqGFXgLBrQzBNm0/D7WShUbOOG4H+iGVjEcbJw==" saltValue="SSgMUksZxHikZx6Dvd202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VayNErTMpedSkvab1nX5UjNvoMKaPfYzd0irhO9oDdjVjPnT80kBP2X2TadonUcj/vjP+0CVPPHrG5fdSKfK+w==" saltValue="xXOSi54ACdQVNwOMqP5sp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J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5856</v>
      </c>
      <c r="AI39" s="71">
        <f>AH39/COUNTA(C40:AG40)</f>
        <v>732</v>
      </c>
      <c r="AJ39" s="55">
        <f>AI39*31</f>
        <v>22692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15</v>
      </c>
      <c r="I40" s="156">
        <v>5</v>
      </c>
      <c r="J40" s="156">
        <v>2</v>
      </c>
      <c r="K40" s="156"/>
      <c r="L40" s="156"/>
      <c r="M40" s="156"/>
      <c r="N40" s="156"/>
      <c r="O40" s="156"/>
      <c r="P40" s="156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157"/>
      <c r="AH40" s="53">
        <f>SUM(C40:AG40)</f>
        <v>51</v>
      </c>
      <c r="AI40" s="38">
        <f>AH40/COUNTA(C40:AG40)</f>
        <v>6.375</v>
      </c>
      <c r="AJ40" s="56">
        <f>AI40*31</f>
        <v>197.625</v>
      </c>
    </row>
    <row r="41" spans="2:36" x14ac:dyDescent="0.25">
      <c r="B41" s="168" t="s">
        <v>20</v>
      </c>
      <c r="C41" s="156">
        <v>31</v>
      </c>
      <c r="D41" s="156">
        <v>700</v>
      </c>
      <c r="E41" s="156">
        <v>692</v>
      </c>
      <c r="F41" s="156">
        <v>611</v>
      </c>
      <c r="G41" s="156">
        <v>557</v>
      </c>
      <c r="H41" s="156">
        <v>454</v>
      </c>
      <c r="I41" s="156">
        <v>124</v>
      </c>
      <c r="J41" s="156">
        <v>33</v>
      </c>
      <c r="K41" s="156"/>
      <c r="L41" s="156"/>
      <c r="M41" s="156"/>
      <c r="N41" s="156"/>
      <c r="O41" s="156"/>
      <c r="P41" s="156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157"/>
      <c r="AH41" s="53">
        <f>SUM(C41:AG41)</f>
        <v>3202</v>
      </c>
      <c r="AI41" s="38">
        <f>AH41/COUNTA(C41:AG41)</f>
        <v>400.25</v>
      </c>
      <c r="AJ41" s="56">
        <f>AI41*31</f>
        <v>12407.75</v>
      </c>
    </row>
    <row r="42" spans="2:36" ht="15.75" thickBot="1" x14ac:dyDescent="0.3">
      <c r="B42" s="169" t="s">
        <v>21</v>
      </c>
      <c r="C42" s="155">
        <v>46</v>
      </c>
      <c r="D42" s="155">
        <v>672</v>
      </c>
      <c r="E42" s="155">
        <v>572</v>
      </c>
      <c r="F42" s="155">
        <v>484</v>
      </c>
      <c r="G42" s="155">
        <v>384</v>
      </c>
      <c r="H42" s="155">
        <v>331</v>
      </c>
      <c r="I42" s="155">
        <v>88</v>
      </c>
      <c r="J42" s="155">
        <v>26</v>
      </c>
      <c r="K42" s="155"/>
      <c r="L42" s="155"/>
      <c r="M42" s="155"/>
      <c r="N42" s="155"/>
      <c r="O42" s="155"/>
      <c r="P42" s="15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159"/>
      <c r="AH42" s="54">
        <f>SUM(C42:AG42)</f>
        <v>2603</v>
      </c>
      <c r="AI42" s="37">
        <f>AH42/COUNTA(C42:AG42)</f>
        <v>325.375</v>
      </c>
      <c r="AJ42" s="57">
        <f>AI42*31</f>
        <v>10086.625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15</v>
      </c>
      <c r="J4" s="39">
        <f>IF(Indicadores!I40,Indicadores!I40,"")</f>
        <v>5</v>
      </c>
      <c r="K4" s="39">
        <f>IF(Indicadores!J40,Indicadores!J40,"")</f>
        <v>2</v>
      </c>
      <c r="L4" s="39" t="str">
        <f>IF(Indicadores!K40,Indicadores!K40,"")</f>
        <v/>
      </c>
      <c r="M4" s="39" t="str">
        <f>IF(Indicadores!L40,Indicadores!L40,"")</f>
        <v/>
      </c>
      <c r="N4" s="39" t="str">
        <f>IF(Indicadores!M40,Indicadores!M40,"")</f>
        <v/>
      </c>
      <c r="O4" s="39" t="str">
        <f>IF(Indicadores!N40,Indicadores!N40,"")</f>
        <v/>
      </c>
      <c r="P4" s="39" t="str">
        <f>IF(Indicadores!O40,Indicadores!O40,"")</f>
        <v/>
      </c>
      <c r="Q4" s="39" t="str">
        <f>IF(Indicadores!P40,Indicadores!P40,"")</f>
        <v/>
      </c>
      <c r="R4" s="39" t="str">
        <f>IF(Indicadores!Q40,Indicadores!Q40,"")</f>
        <v/>
      </c>
      <c r="S4" s="39" t="str">
        <f>IF(Indicadores!R40,Indicadores!R40,"")</f>
        <v/>
      </c>
      <c r="T4" s="39" t="str">
        <f>IF(Indicadores!S40,Indicadores!S40,"")</f>
        <v/>
      </c>
      <c r="U4" s="39" t="str">
        <f>IF(Indicadores!T40,Indicadores!T40,"")</f>
        <v/>
      </c>
      <c r="V4" s="39" t="str">
        <f>IF(Indicadores!U40,Indicadores!U40,"")</f>
        <v/>
      </c>
      <c r="W4" s="39" t="str">
        <f>IF(Indicadores!V40,Indicadores!V40,"")</f>
        <v/>
      </c>
      <c r="X4" s="39" t="str">
        <f>IF(Indicadores!W40,Indicadores!W40,"")</f>
        <v/>
      </c>
      <c r="Y4" s="39" t="str">
        <f>IF(Indicadores!X40,Indicadores!X40,"")</f>
        <v/>
      </c>
      <c r="Z4" s="39" t="str">
        <f>IF(Indicadores!Y40,Indicadores!Y40,"")</f>
        <v/>
      </c>
      <c r="AA4" s="39" t="str">
        <f>IF(Indicadores!Z40,Indicadores!Z40,"")</f>
        <v/>
      </c>
      <c r="AB4" s="39" t="str">
        <f>IF(Indicadores!AA40,Indicadores!AA40,"")</f>
        <v/>
      </c>
      <c r="AC4" s="39" t="str">
        <f>IF(Indicadores!AB40,Indicadores!AB40,"")</f>
        <v/>
      </c>
      <c r="AD4" s="39" t="str">
        <f>IF(Indicadores!AC40,Indicadores!AC40,"")</f>
        <v/>
      </c>
      <c r="AE4" s="39" t="str">
        <f>IF(Indicadores!AD40,Indicadores!AD40,"")</f>
        <v/>
      </c>
      <c r="AF4" s="39" t="str">
        <f>IF(Indicadores!AE40,Indicadores!AE40,"")</f>
        <v/>
      </c>
      <c r="AG4" s="39" t="str">
        <f>IF(Indicadores!AF40,Indicadores!AF40,"")</f>
        <v/>
      </c>
      <c r="AH4" s="39" t="str">
        <f>IF(Indicadores!AG40,Indicadores!AG40,"")</f>
        <v/>
      </c>
      <c r="AI4" s="53">
        <f>Indicadores!AH40</f>
        <v>51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31</v>
      </c>
      <c r="E5" s="39">
        <f>IF(Indicadores!D41,Indicadores!D41,"")</f>
        <v>700</v>
      </c>
      <c r="F5" s="39">
        <f>IF(Indicadores!E41,Indicadores!E41,"")</f>
        <v>692</v>
      </c>
      <c r="G5" s="39">
        <f>IF(Indicadores!F41,Indicadores!F41,"")</f>
        <v>611</v>
      </c>
      <c r="H5" s="39">
        <f>IF(Indicadores!G41,Indicadores!G41,"")</f>
        <v>557</v>
      </c>
      <c r="I5" s="39">
        <f>IF(Indicadores!H41,Indicadores!H41,"")</f>
        <v>454</v>
      </c>
      <c r="J5" s="39">
        <f>IF(Indicadores!I41,Indicadores!I41,"")</f>
        <v>124</v>
      </c>
      <c r="K5" s="39">
        <f>IF(Indicadores!J41,Indicadores!J41,"")</f>
        <v>33</v>
      </c>
      <c r="L5" s="39" t="str">
        <f>IF(Indicadores!K41,Indicadores!K41,"")</f>
        <v/>
      </c>
      <c r="M5" s="39" t="str">
        <f>IF(Indicadores!L41,Indicadores!L41,"")</f>
        <v/>
      </c>
      <c r="N5" s="39" t="str">
        <f>IF(Indicadores!M41,Indicadores!M41,"")</f>
        <v/>
      </c>
      <c r="O5" s="39" t="str">
        <f>IF(Indicadores!N41,Indicadores!N41,"")</f>
        <v/>
      </c>
      <c r="P5" s="39" t="str">
        <f>IF(Indicadores!O41,Indicadores!O41,"")</f>
        <v/>
      </c>
      <c r="Q5" s="39" t="str">
        <f>IF(Indicadores!P41,Indicadores!P41,"")</f>
        <v/>
      </c>
      <c r="R5" s="39" t="str">
        <f>IF(Indicadores!Q41,Indicadores!Q41,"")</f>
        <v/>
      </c>
      <c r="S5" s="39" t="str">
        <f>IF(Indicadores!R41,Indicadores!R41,"")</f>
        <v/>
      </c>
      <c r="T5" s="39" t="str">
        <f>IF(Indicadores!S41,Indicadores!S41,"")</f>
        <v/>
      </c>
      <c r="U5" s="39" t="str">
        <f>IF(Indicadores!T41,Indicadores!T41,"")</f>
        <v/>
      </c>
      <c r="V5" s="39" t="str">
        <f>IF(Indicadores!U41,Indicadores!U41,"")</f>
        <v/>
      </c>
      <c r="W5" s="39" t="str">
        <f>IF(Indicadores!V41,Indicadores!V41,"")</f>
        <v/>
      </c>
      <c r="X5" s="39" t="str">
        <f>IF(Indicadores!W41,Indicadores!W41,"")</f>
        <v/>
      </c>
      <c r="Y5" s="39" t="str">
        <f>IF(Indicadores!X41,Indicadores!X41,"")</f>
        <v/>
      </c>
      <c r="Z5" s="39" t="str">
        <f>IF(Indicadores!Y41,Indicadores!Y41,"")</f>
        <v/>
      </c>
      <c r="AA5" s="39" t="str">
        <f>IF(Indicadores!Z41,Indicadores!Z41,"")</f>
        <v/>
      </c>
      <c r="AB5" s="39" t="str">
        <f>IF(Indicadores!AA41,Indicadores!AA41,"")</f>
        <v/>
      </c>
      <c r="AC5" s="39" t="str">
        <f>IF(Indicadores!AB41,Indicadores!AB41,"")</f>
        <v/>
      </c>
      <c r="AD5" s="39" t="str">
        <f>IF(Indicadores!AC41,Indicadores!AC41,"")</f>
        <v/>
      </c>
      <c r="AE5" s="39" t="str">
        <f>IF(Indicadores!AD41,Indicadores!AD41,"")</f>
        <v/>
      </c>
      <c r="AF5" s="39" t="str">
        <f>IF(Indicadores!AE41,Indicadores!AE41,"")</f>
        <v/>
      </c>
      <c r="AG5" s="39" t="str">
        <f>IF(Indicadores!AF41,Indicadores!AF41,"")</f>
        <v/>
      </c>
      <c r="AH5" s="39" t="str">
        <f>IF(Indicadores!AG41,Indicadores!AG41,"")</f>
        <v/>
      </c>
      <c r="AI5" s="53">
        <f>Indicadores!AH41</f>
        <v>3202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672</v>
      </c>
      <c r="F6" s="40">
        <f>IF(Indicadores!E42,Indicadores!E42,"")</f>
        <v>572</v>
      </c>
      <c r="G6" s="40">
        <f>IF(Indicadores!F42,Indicadores!F42,"")</f>
        <v>484</v>
      </c>
      <c r="H6" s="40">
        <f>IF(Indicadores!G42,Indicadores!G42,"")</f>
        <v>384</v>
      </c>
      <c r="I6" s="40">
        <f>IF(Indicadores!H42,Indicadores!H42,"")</f>
        <v>331</v>
      </c>
      <c r="J6" s="40">
        <f>IF(Indicadores!I42,Indicadores!I42,"")</f>
        <v>88</v>
      </c>
      <c r="K6" s="40">
        <f>IF(Indicadores!J42,Indicadores!J42,"")</f>
        <v>26</v>
      </c>
      <c r="L6" s="40" t="str">
        <f>IF(Indicadores!K42,Indicadores!K42,"")</f>
        <v/>
      </c>
      <c r="M6" s="40" t="str">
        <f>IF(Indicadores!L42,Indicadores!L42,"")</f>
        <v/>
      </c>
      <c r="N6" s="40" t="str">
        <f>IF(Indicadores!M42,Indicadores!M42,"")</f>
        <v/>
      </c>
      <c r="O6" s="40" t="str">
        <f>IF(Indicadores!N42,Indicadores!N42,"")</f>
        <v/>
      </c>
      <c r="P6" s="40" t="str">
        <f>IF(Indicadores!O42,Indicadores!O42,"")</f>
        <v/>
      </c>
      <c r="Q6" s="40" t="str">
        <f>IF(Indicadores!P42,Indicadores!P42,"")</f>
        <v/>
      </c>
      <c r="R6" s="40" t="str">
        <f>IF(Indicadores!Q42,Indicadores!Q42,"")</f>
        <v/>
      </c>
      <c r="S6" s="40" t="str">
        <f>IF(Indicadores!R42,Indicadores!R42,"")</f>
        <v/>
      </c>
      <c r="T6" s="40" t="str">
        <f>IF(Indicadores!S42,Indicadores!S42,"")</f>
        <v/>
      </c>
      <c r="U6" s="40" t="str">
        <f>IF(Indicadores!T42,Indicadores!T42,"")</f>
        <v/>
      </c>
      <c r="V6" s="40" t="str">
        <f>IF(Indicadores!U42,Indicadores!U42,"")</f>
        <v/>
      </c>
      <c r="W6" s="40" t="str">
        <f>IF(Indicadores!V42,Indicadores!V42,"")</f>
        <v/>
      </c>
      <c r="X6" s="40" t="str">
        <f>IF(Indicadores!W42,Indicadores!W42,"")</f>
        <v/>
      </c>
      <c r="Y6" s="40" t="str">
        <f>IF(Indicadores!X42,Indicadores!X42,"")</f>
        <v/>
      </c>
      <c r="Z6" s="40" t="str">
        <f>IF(Indicadores!Y42,Indicadores!Y42,"")</f>
        <v/>
      </c>
      <c r="AA6" s="40" t="str">
        <f>IF(Indicadores!Z42,Indicadores!Z42,"")</f>
        <v/>
      </c>
      <c r="AB6" s="40" t="str">
        <f>IF(Indicadores!AA42,Indicadores!AA42,"")</f>
        <v/>
      </c>
      <c r="AC6" s="40" t="str">
        <f>IF(Indicadores!AB42,Indicadores!AB42,"")</f>
        <v/>
      </c>
      <c r="AD6" s="40" t="str">
        <f>IF(Indicadores!AC42,Indicadores!AC42,"")</f>
        <v/>
      </c>
      <c r="AE6" s="40" t="str">
        <f>IF(Indicadores!AD42,Indicadores!AD42,"")</f>
        <v/>
      </c>
      <c r="AF6" s="40" t="str">
        <f>IF(Indicadores!AE42,Indicadores!AE42,"")</f>
        <v/>
      </c>
      <c r="AG6" s="40" t="str">
        <f>IF(Indicadores!AF42,Indicadores!AF42,"")</f>
        <v/>
      </c>
      <c r="AH6" s="40" t="str">
        <f>IF(Indicadores!AG42,Indicadores!AG42,"")</f>
        <v/>
      </c>
      <c r="AI6" s="54">
        <f>Indicadores!AH42</f>
        <v>2603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19731.035651697632</v>
      </c>
      <c r="AJ15" s="66">
        <f>SUM(AJ16:AJ18)</f>
        <v>636.48502102250427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15</v>
      </c>
      <c r="J16" s="137">
        <f t="shared" si="2"/>
        <v>5</v>
      </c>
      <c r="K16" s="137">
        <f t="shared" si="2"/>
        <v>2</v>
      </c>
      <c r="L16" s="137">
        <f t="shared" si="2"/>
        <v>8.734835355285961</v>
      </c>
      <c r="M16" s="137">
        <f t="shared" si="2"/>
        <v>5.9272097053726167</v>
      </c>
      <c r="N16" s="137">
        <f t="shared" si="2"/>
        <v>7.1750433275563257</v>
      </c>
      <c r="O16" s="137">
        <f t="shared" si="2"/>
        <v>10.918544194107453</v>
      </c>
      <c r="P16" s="137">
        <f t="shared" si="2"/>
        <v>7.1750433275563257</v>
      </c>
      <c r="Q16" s="137">
        <f t="shared" si="2"/>
        <v>0.62391681109185437</v>
      </c>
      <c r="R16" s="137">
        <f t="shared" si="2"/>
        <v>1.2478336221837087</v>
      </c>
      <c r="S16" s="137">
        <f t="shared" si="2"/>
        <v>9.3587521663778155</v>
      </c>
      <c r="T16" s="137">
        <f t="shared" si="2"/>
        <v>10.294627383015598</v>
      </c>
      <c r="U16" s="137">
        <f t="shared" si="2"/>
        <v>9.0467937608318891</v>
      </c>
      <c r="V16" s="137">
        <f t="shared" si="2"/>
        <v>6.5511265164644712</v>
      </c>
      <c r="W16" s="137">
        <f t="shared" si="2"/>
        <v>6.5511265164644712</v>
      </c>
      <c r="X16" s="137">
        <f t="shared" si="2"/>
        <v>1.8717504332755635</v>
      </c>
      <c r="Y16" s="137">
        <f t="shared" si="2"/>
        <v>0.62391681109185437</v>
      </c>
      <c r="Z16" s="137">
        <f t="shared" si="2"/>
        <v>5.3032928942807631</v>
      </c>
      <c r="AA16" s="137">
        <f t="shared" si="2"/>
        <v>6.5511265164644712</v>
      </c>
      <c r="AB16" s="137">
        <f t="shared" si="2"/>
        <v>6.5511265164644712</v>
      </c>
      <c r="AC16" s="137">
        <f t="shared" si="2"/>
        <v>7.1750433275563257</v>
      </c>
      <c r="AD16" s="137">
        <f t="shared" si="2"/>
        <v>6.5511265164644712</v>
      </c>
      <c r="AE16" s="137">
        <f t="shared" si="2"/>
        <v>4.6793760831889077</v>
      </c>
      <c r="AF16" s="137">
        <f t="shared" si="2"/>
        <v>0.93587521663778173</v>
      </c>
      <c r="AG16" s="137">
        <f t="shared" si="2"/>
        <v>2.8076256499133447</v>
      </c>
      <c r="AH16" s="137">
        <f t="shared" ref="AH16" si="3">IF(AH4&lt;&gt;"",AH4,AH10)</f>
        <v>3.119584055459272</v>
      </c>
      <c r="AI16" s="105">
        <f>SUM(D16:AH16)</f>
        <v>180.77469670710573</v>
      </c>
      <c r="AJ16" s="106">
        <f>AI16/COUNTA(C16:AG16)</f>
        <v>5.8314418292614754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31</v>
      </c>
      <c r="E17" s="137">
        <f t="shared" ref="E17:AG17" si="5">IF(E5&lt;&gt;"",E5,E11)</f>
        <v>700</v>
      </c>
      <c r="F17" s="137">
        <f t="shared" si="5"/>
        <v>692</v>
      </c>
      <c r="G17" s="137">
        <f t="shared" si="5"/>
        <v>611</v>
      </c>
      <c r="H17" s="137">
        <f t="shared" si="5"/>
        <v>557</v>
      </c>
      <c r="I17" s="137">
        <f t="shared" si="5"/>
        <v>454</v>
      </c>
      <c r="J17" s="137">
        <f t="shared" si="5"/>
        <v>124</v>
      </c>
      <c r="K17" s="137">
        <f t="shared" si="5"/>
        <v>33</v>
      </c>
      <c r="L17" s="137">
        <f t="shared" si="5"/>
        <v>435.07552145768398</v>
      </c>
      <c r="M17" s="137">
        <f t="shared" si="5"/>
        <v>383.37089426995919</v>
      </c>
      <c r="N17" s="137">
        <f t="shared" si="5"/>
        <v>550.14984416207153</v>
      </c>
      <c r="O17" s="137">
        <f t="shared" si="5"/>
        <v>502.54375449532489</v>
      </c>
      <c r="P17" s="137">
        <f t="shared" si="5"/>
        <v>458.40565811555985</v>
      </c>
      <c r="Q17" s="137">
        <f t="shared" si="5"/>
        <v>113.18269000239751</v>
      </c>
      <c r="R17" s="137">
        <f t="shared" si="5"/>
        <v>30.896667465835527</v>
      </c>
      <c r="S17" s="137">
        <f t="shared" si="5"/>
        <v>540.69168065212182</v>
      </c>
      <c r="T17" s="137">
        <f t="shared" si="5"/>
        <v>500.96739391033321</v>
      </c>
      <c r="U17" s="137">
        <f t="shared" si="5"/>
        <v>406.38575881083676</v>
      </c>
      <c r="V17" s="137">
        <f t="shared" si="5"/>
        <v>362.87820666506832</v>
      </c>
      <c r="W17" s="137">
        <f t="shared" si="5"/>
        <v>382.74035003596259</v>
      </c>
      <c r="X17" s="137">
        <f t="shared" si="5"/>
        <v>108.13833613042436</v>
      </c>
      <c r="Y17" s="137">
        <f t="shared" si="5"/>
        <v>36.256293454807</v>
      </c>
      <c r="Z17" s="137">
        <f t="shared" si="5"/>
        <v>595.86430112682808</v>
      </c>
      <c r="AA17" s="137">
        <f t="shared" si="5"/>
        <v>479.21361783744902</v>
      </c>
      <c r="AB17" s="137">
        <f t="shared" si="5"/>
        <v>464.39582833852791</v>
      </c>
      <c r="AC17" s="137">
        <f t="shared" si="5"/>
        <v>465.65691680652122</v>
      </c>
      <c r="AD17" s="137">
        <f t="shared" si="5"/>
        <v>329.77463438024455</v>
      </c>
      <c r="AE17" s="137">
        <f t="shared" si="5"/>
        <v>133.67537760728842</v>
      </c>
      <c r="AF17" s="137">
        <f t="shared" si="5"/>
        <v>24.90649724286742</v>
      </c>
      <c r="AG17" s="137">
        <f t="shared" si="5"/>
        <v>190.10908654998804</v>
      </c>
      <c r="AH17" s="137">
        <f t="shared" ref="AH17" si="6">IF(AH5&lt;&gt;"",AH5,AH11)</f>
        <v>133.04483337329179</v>
      </c>
      <c r="AI17" s="105">
        <f>SUM(D17:AH17)</f>
        <v>10830.324142891393</v>
      </c>
      <c r="AJ17" s="106">
        <f>AI17/COUNTA(C17:AG17)</f>
        <v>349.36529493198043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672</v>
      </c>
      <c r="F18" s="148">
        <f t="shared" si="8"/>
        <v>572</v>
      </c>
      <c r="G18" s="148">
        <f t="shared" si="8"/>
        <v>484</v>
      </c>
      <c r="H18" s="148">
        <f t="shared" si="8"/>
        <v>384</v>
      </c>
      <c r="I18" s="148">
        <f t="shared" si="8"/>
        <v>331</v>
      </c>
      <c r="J18" s="148">
        <f t="shared" si="8"/>
        <v>88</v>
      </c>
      <c r="K18" s="148">
        <f t="shared" si="8"/>
        <v>26</v>
      </c>
      <c r="L18" s="148">
        <f t="shared" si="8"/>
        <v>414.13112677171586</v>
      </c>
      <c r="M18" s="148">
        <f t="shared" si="8"/>
        <v>335.77298281732516</v>
      </c>
      <c r="N18" s="148">
        <f t="shared" si="8"/>
        <v>407.79578747327577</v>
      </c>
      <c r="O18" s="148">
        <f t="shared" si="8"/>
        <v>374.11845751841003</v>
      </c>
      <c r="P18" s="148">
        <f t="shared" si="8"/>
        <v>329.43764351888507</v>
      </c>
      <c r="Q18" s="148">
        <f t="shared" si="8"/>
        <v>90.361944730382461</v>
      </c>
      <c r="R18" s="148">
        <f t="shared" si="8"/>
        <v>40.679547074194311</v>
      </c>
      <c r="S18" s="148">
        <f t="shared" si="8"/>
        <v>451.47628474146802</v>
      </c>
      <c r="T18" s="148">
        <f t="shared" si="8"/>
        <v>393.79135323461873</v>
      </c>
      <c r="U18" s="148">
        <f t="shared" si="8"/>
        <v>338.77393301132315</v>
      </c>
      <c r="V18" s="148">
        <f t="shared" si="8"/>
        <v>252.41325520627126</v>
      </c>
      <c r="W18" s="148">
        <f t="shared" si="8"/>
        <v>289.75841317602345</v>
      </c>
      <c r="X18" s="148">
        <f t="shared" si="8"/>
        <v>127.3736637896904</v>
      </c>
      <c r="Y18" s="148">
        <f t="shared" si="8"/>
        <v>47.681764193522845</v>
      </c>
      <c r="Z18" s="148">
        <f t="shared" si="8"/>
        <v>423.80085517459815</v>
      </c>
      <c r="AA18" s="148">
        <f t="shared" si="8"/>
        <v>364.11529020508357</v>
      </c>
      <c r="AB18" s="148">
        <f t="shared" si="8"/>
        <v>343.77551666798638</v>
      </c>
      <c r="AC18" s="148">
        <f t="shared" si="8"/>
        <v>398.12605907039352</v>
      </c>
      <c r="AD18" s="148">
        <f t="shared" si="8"/>
        <v>275.4205400269222</v>
      </c>
      <c r="AE18" s="148">
        <f t="shared" si="8"/>
        <v>134.37588090901892</v>
      </c>
      <c r="AF18" s="148">
        <f t="shared" si="8"/>
        <v>27.008551745981471</v>
      </c>
      <c r="AG18" s="148">
        <f t="shared" si="8"/>
        <v>130.37461398368833</v>
      </c>
      <c r="AH18" s="148">
        <f t="shared" ref="AH18" si="9">IF(AH6&lt;&gt;"",AH6,AH12)</f>
        <v>126.37334705835775</v>
      </c>
      <c r="AI18" s="108">
        <f>SUM(D18:AH18)</f>
        <v>8719.9368120991348</v>
      </c>
      <c r="AJ18" s="109">
        <f>AI18/COUNTA(C18:AG18)</f>
        <v>281.28828426126239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5856</v>
      </c>
      <c r="D21" s="142">
        <f>SUM(D22:D24)</f>
        <v>19731.035651697632</v>
      </c>
      <c r="E21" s="143">
        <f>SUM(E22:E24)</f>
        <v>19121.999999999996</v>
      </c>
      <c r="F21" s="138">
        <f>(D21-E21)/E21</f>
        <v>3.1849997473989929E-2</v>
      </c>
      <c r="G21" s="133">
        <f>F21</f>
        <v>3.1849997473989929E-2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51</v>
      </c>
      <c r="D22" s="145">
        <f>AI16</f>
        <v>180.77469670710573</v>
      </c>
      <c r="E22" s="143">
        <f>$AI$10</f>
        <v>180.00000000000003</v>
      </c>
      <c r="F22" s="139">
        <f t="shared" ref="F22:F24" si="11">(D22-E22)/E22</f>
        <v>4.3038705950316893E-3</v>
      </c>
      <c r="G22" s="133">
        <f>F22</f>
        <v>4.3038705950316893E-3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3202</v>
      </c>
      <c r="D23" s="145">
        <f>AI17</f>
        <v>10830.324142891393</v>
      </c>
      <c r="E23" s="143">
        <f>AI11</f>
        <v>10520</v>
      </c>
      <c r="F23" s="139">
        <f t="shared" si="11"/>
        <v>2.9498492670284544E-2</v>
      </c>
      <c r="G23" s="133">
        <f>F23</f>
        <v>2.9498492670284544E-2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2603</v>
      </c>
      <c r="D24" s="147">
        <f>AI18</f>
        <v>8719.9368120991348</v>
      </c>
      <c r="E24" s="166">
        <f>AI12</f>
        <v>8421.9999999999964</v>
      </c>
      <c r="F24" s="140">
        <f t="shared" si="11"/>
        <v>3.5376016634901281E-2</v>
      </c>
      <c r="G24" s="136">
        <f>F24</f>
        <v>3.5376016634901281E-2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5856</v>
      </c>
      <c r="D6" s="7">
        <f>'Dados - Gráficos'!D21</f>
        <v>19731.035651697632</v>
      </c>
      <c r="E6" s="93">
        <f>'Dados - Gráficos'!E21</f>
        <v>19121.999999999996</v>
      </c>
      <c r="F6" s="118">
        <f>'Dados - Gráficos'!F21</f>
        <v>3.1849997473989929E-2</v>
      </c>
      <c r="G6" s="119">
        <f>'Dados - Gráficos'!G21</f>
        <v>3.1849997473989929E-2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51</v>
      </c>
      <c r="D7" s="8">
        <f>'Dados - Gráficos'!D22</f>
        <v>180.77469670710573</v>
      </c>
      <c r="E7" s="93">
        <f>'Dados - Gráficos'!E22</f>
        <v>180.00000000000003</v>
      </c>
      <c r="F7" s="120">
        <f>'Dados - Gráficos'!F22</f>
        <v>4.3038705950316893E-3</v>
      </c>
      <c r="G7" s="119">
        <f>'Dados - Gráficos'!G22</f>
        <v>4.3038705950316893E-3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3202</v>
      </c>
      <c r="D8" s="8">
        <f>'Dados - Gráficos'!D23</f>
        <v>10830.324142891393</v>
      </c>
      <c r="E8" s="93">
        <f>'Dados - Gráficos'!E23</f>
        <v>10520</v>
      </c>
      <c r="F8" s="120">
        <f>'Dados - Gráficos'!F23</f>
        <v>2.9498492670284544E-2</v>
      </c>
      <c r="G8" s="119">
        <f>'Dados - Gráficos'!G23</f>
        <v>2.9498492670284544E-2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2603</v>
      </c>
      <c r="D9" s="17">
        <f>'Dados - Gráficos'!D24</f>
        <v>8719.9368120991348</v>
      </c>
      <c r="E9" s="94">
        <f>'Dados - Gráficos'!E24</f>
        <v>8421.9999999999964</v>
      </c>
      <c r="F9" s="121">
        <f>'Dados - Gráficos'!F24</f>
        <v>3.5376016634901281E-2</v>
      </c>
      <c r="G9" s="122">
        <f>'Dados - Gráficos'!G24</f>
        <v>3.5376016634901281E-2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2016-05-09T12:51:55Z</dcterms:modified>
</cp:coreProperties>
</file>