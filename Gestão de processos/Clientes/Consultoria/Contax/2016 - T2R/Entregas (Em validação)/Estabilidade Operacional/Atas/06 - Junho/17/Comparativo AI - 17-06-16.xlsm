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<sst xmlns="http://schemas.openxmlformats.org/spreadsheetml/2006/main" count="351" uniqueCount="41">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</sst>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729</c:v>
                </c:pt>
                <c:pt idx="1">
                  <c:v>579</c:v>
                </c:pt>
                <c:pt idx="2">
                  <c:v>522</c:v>
                </c:pt>
                <c:pt idx="3">
                  <c:v>118</c:v>
                </c:pt>
                <c:pt idx="4">
                  <c:v>35</c:v>
                </c:pt>
                <c:pt idx="5">
                  <c:v>523</c:v>
                </c:pt>
                <c:pt idx="6">
                  <c:v>521</c:v>
                </c:pt>
                <c:pt idx="7">
                  <c:v>437</c:v>
                </c:pt>
                <c:pt idx="8">
                  <c:v>495</c:v>
                </c:pt>
                <c:pt idx="9">
                  <c:v>441</c:v>
                </c:pt>
                <c:pt idx="10">
                  <c:v>74</c:v>
                </c:pt>
                <c:pt idx="11">
                  <c:v>21</c:v>
                </c:pt>
                <c:pt idx="12">
                  <c:v>481</c:v>
                </c:pt>
                <c:pt idx="13">
                  <c:v>499</c:v>
                </c:pt>
                <c:pt idx="14">
                  <c:v>454</c:v>
                </c:pt>
                <c:pt idx="15">
                  <c:v>507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479</c:v>
                </c:pt>
                <c:pt idx="6">
                  <c:v>367</c:v>
                </c:pt>
                <c:pt idx="7">
                  <c:v>372</c:v>
                </c:pt>
                <c:pt idx="8">
                  <c:v>291</c:v>
                </c:pt>
                <c:pt idx="9">
                  <c:v>226</c:v>
                </c:pt>
                <c:pt idx="10">
                  <c:v>62</c:v>
                </c:pt>
                <c:pt idx="11">
                  <c:v>28</c:v>
                </c:pt>
                <c:pt idx="12">
                  <c:v>376</c:v>
                </c:pt>
                <c:pt idx="13">
                  <c:v>277</c:v>
                </c:pt>
                <c:pt idx="14">
                  <c:v>247</c:v>
                </c:pt>
                <c:pt idx="15">
                  <c:v>220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1288</c:v>
                </c:pt>
                <c:pt idx="1">
                  <c:v>1019</c:v>
                </c:pt>
                <c:pt idx="2">
                  <c:v>816</c:v>
                </c:pt>
                <c:pt idx="3">
                  <c:v>223</c:v>
                </c:pt>
                <c:pt idx="4">
                  <c:v>54</c:v>
                </c:pt>
                <c:pt idx="5">
                  <c:v>1002</c:v>
                </c:pt>
                <c:pt idx="6">
                  <c:v>888</c:v>
                </c:pt>
                <c:pt idx="7">
                  <c:v>809</c:v>
                </c:pt>
                <c:pt idx="8">
                  <c:v>786</c:v>
                </c:pt>
                <c:pt idx="9">
                  <c:v>667</c:v>
                </c:pt>
                <c:pt idx="10">
                  <c:v>136</c:v>
                </c:pt>
                <c:pt idx="11">
                  <c:v>49</c:v>
                </c:pt>
                <c:pt idx="12">
                  <c:v>857</c:v>
                </c:pt>
                <c:pt idx="13">
                  <c:v>776</c:v>
                </c:pt>
                <c:pt idx="14">
                  <c:v>701</c:v>
                </c:pt>
                <c:pt idx="15">
                  <c:v>727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bMYbywLQcLOulWjxAGGiWT9ZedS2qY3T7yPuNMKu4bfA9/K9LRkc1e3A/cy2q32jIV8v3vVWWws/wENwfw99NQ==" saltValue="qSTk9fo+G2vND8r55PjDB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vD63AYBmW9OgA8Zetq8fHsVpnDGPEBloS4YgA4X6Prm0XrUxYaOFreoEINvw7/oCN6XPIaC5z6w8F9PsdyO+Ig==" saltValue="d84jzbIfPcDoGTrEFfyWZ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2x4wRiUXGY51jyIjiF6MoWGocl8FuEiFHwlz021MN5Lmpq0pAKvCEOn4i53Qds2GHBVXDQPBgtZ8bhjWvwcz/w==" saltValue="ap67/qy+XNJG0z2oSNZZx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R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10893</v>
      </c>
      <c r="AI3" s="71">
        <f>AH3/COUNTA(C4:AF4)</f>
        <v>680.8125</v>
      </c>
      <c r="AJ3" s="55">
        <f>AI3*30</f>
        <v>20424.375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95</v>
      </c>
      <c r="AI4" s="38">
        <f>AH4/COUNTA(C4:AF4)</f>
        <v>5.9375</v>
      </c>
      <c r="AJ4" s="56">
        <f>AI4*30</f>
        <v>178.125</v>
      </c>
    </row>
    <row r="5" spans="2:36" x14ac:dyDescent="0.25">
      <c r="B5" s="186" t="s">
        <v>40</v>
      </c>
      <c r="C5" s="188">
        <f>C6+C7</f>
        <v>1288</v>
      </c>
      <c r="D5" s="188">
        <f t="shared" ref="D5:F5" si="0">D6+D7</f>
        <v>1019</v>
      </c>
      <c r="E5" s="188">
        <f t="shared" si="0"/>
        <v>816</v>
      </c>
      <c r="F5" s="188">
        <f t="shared" si="0"/>
        <v>223</v>
      </c>
      <c r="G5" s="188">
        <f>G6+G7</f>
        <v>54</v>
      </c>
      <c r="H5" s="188">
        <f t="shared" ref="H5:AF5" si="1">H6+H7</f>
        <v>1002</v>
      </c>
      <c r="I5" s="188">
        <f t="shared" si="1"/>
        <v>888</v>
      </c>
      <c r="J5" s="188">
        <f t="shared" si="1"/>
        <v>809</v>
      </c>
      <c r="K5" s="188">
        <f t="shared" si="1"/>
        <v>786</v>
      </c>
      <c r="L5" s="188">
        <f t="shared" si="1"/>
        <v>667</v>
      </c>
      <c r="M5" s="188">
        <f t="shared" si="1"/>
        <v>136</v>
      </c>
      <c r="N5" s="188">
        <f t="shared" si="1"/>
        <v>49</v>
      </c>
      <c r="O5" s="188">
        <f t="shared" si="1"/>
        <v>857</v>
      </c>
      <c r="P5" s="188">
        <f t="shared" si="1"/>
        <v>776</v>
      </c>
      <c r="Q5" s="188">
        <f t="shared" si="1"/>
        <v>701</v>
      </c>
      <c r="R5" s="188">
        <f t="shared" si="1"/>
        <v>727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10798</v>
      </c>
      <c r="AI5" s="38">
        <f>AH5/COUNTA(C5:AF5)</f>
        <v>359.93333333333334</v>
      </c>
      <c r="AJ5" s="56">
        <f>AI5*30</f>
        <v>10798</v>
      </c>
    </row>
    <row r="6" spans="2:36" x14ac:dyDescent="0.25">
      <c r="B6" s="174" t="s">
        <v>20</v>
      </c>
      <c r="C6" s="188">
        <v>729</v>
      </c>
      <c r="D6" s="188">
        <v>579</v>
      </c>
      <c r="E6" s="188">
        <v>522</v>
      </c>
      <c r="F6" s="188">
        <v>118</v>
      </c>
      <c r="G6" s="188">
        <v>35</v>
      </c>
      <c r="H6" s="188">
        <v>523</v>
      </c>
      <c r="I6" s="188">
        <v>521</v>
      </c>
      <c r="J6" s="188">
        <v>437</v>
      </c>
      <c r="K6" s="188">
        <v>495</v>
      </c>
      <c r="L6" s="188">
        <v>441</v>
      </c>
      <c r="M6" s="188">
        <v>74</v>
      </c>
      <c r="N6" s="188">
        <v>21</v>
      </c>
      <c r="O6" s="188">
        <v>481</v>
      </c>
      <c r="P6" s="188">
        <v>499</v>
      </c>
      <c r="Q6" s="24">
        <v>454</v>
      </c>
      <c r="R6" s="24">
        <v>507</v>
      </c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6436</v>
      </c>
      <c r="AI6" s="38">
        <f>AH6/COUNTA(C6:AF6)</f>
        <v>402.25</v>
      </c>
      <c r="AJ6" s="56">
        <f>AI6*30</f>
        <v>12067.5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294</v>
      </c>
      <c r="F7" s="189">
        <v>105</v>
      </c>
      <c r="G7" s="189">
        <v>19</v>
      </c>
      <c r="H7" s="189">
        <v>479</v>
      </c>
      <c r="I7" s="189">
        <v>367</v>
      </c>
      <c r="J7" s="189">
        <v>372</v>
      </c>
      <c r="K7" s="189">
        <v>291</v>
      </c>
      <c r="L7" s="189">
        <v>226</v>
      </c>
      <c r="M7" s="189">
        <v>62</v>
      </c>
      <c r="N7" s="189">
        <v>28</v>
      </c>
      <c r="O7" s="189">
        <v>376</v>
      </c>
      <c r="P7" s="189">
        <v>277</v>
      </c>
      <c r="Q7" s="25">
        <v>247</v>
      </c>
      <c r="R7" s="25">
        <v>220</v>
      </c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4362</v>
      </c>
      <c r="AI7" s="37">
        <f>AH7/COUNTA(C7:AF7)</f>
        <v>272.625</v>
      </c>
      <c r="AJ7" s="57">
        <f>AI7*30</f>
        <v>8178.75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10893</v>
      </c>
      <c r="AJ3" s="66">
        <f>Indicadores!AI3</f>
        <v>680.8125</v>
      </c>
      <c r="AK3" s="55">
        <f>Indicadores!AJ3</f>
        <v>20424.375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95</v>
      </c>
      <c r="AJ4" s="75">
        <f>Indicadores!AI4</f>
        <v>5.9375</v>
      </c>
      <c r="AK4" s="56">
        <f>Indicadores!AJ4</f>
        <v>178.125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1288</v>
      </c>
      <c r="E5" s="39">
        <f>IF(Indicadores!D5,Indicadores!D5,"")</f>
        <v>1019</v>
      </c>
      <c r="F5" s="39">
        <f>IF(Indicadores!E5,Indicadores!E5,"")</f>
        <v>816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1002</v>
      </c>
      <c r="J5" s="39">
        <f>IF(Indicadores!I5,Indicadores!I5,"")</f>
        <v>888</v>
      </c>
      <c r="K5" s="39">
        <f>IF(Indicadores!J5,Indicadores!J5,"")</f>
        <v>809</v>
      </c>
      <c r="L5" s="39">
        <f>IF(Indicadores!K5,Indicadores!K5,"")</f>
        <v>786</v>
      </c>
      <c r="M5" s="39">
        <f>IF(Indicadores!L5,Indicadores!L5,"")</f>
        <v>667</v>
      </c>
      <c r="N5" s="39">
        <f>IF(Indicadores!M5,Indicadores!M5,"")</f>
        <v>136</v>
      </c>
      <c r="O5" s="39">
        <f>IF(Indicadores!N5,Indicadores!N5,"")</f>
        <v>49</v>
      </c>
      <c r="P5" s="39">
        <f>IF(Indicadores!O5,Indicadores!O5,"")</f>
        <v>857</v>
      </c>
      <c r="Q5" s="39">
        <f>IF(Indicadores!P5,Indicadores!P5,"")</f>
        <v>776</v>
      </c>
      <c r="R5" s="39">
        <f>IF(Indicadores!Q5,Indicadores!Q5,"")</f>
        <v>701</v>
      </c>
      <c r="S5" s="39">
        <f>IF(Indicadores!R5,Indicadores!R5,"")</f>
        <v>727</v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10798</v>
      </c>
      <c r="AJ5" s="75">
        <f>Indicadores!AI5</f>
        <v>359.93333333333334</v>
      </c>
      <c r="AK5" s="56">
        <f>Indicadores!AJ5</f>
        <v>10798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729</v>
      </c>
      <c r="E6" s="39">
        <f>IF(Indicadores!D6,Indicadores!D6,"")</f>
        <v>579</v>
      </c>
      <c r="F6" s="39">
        <f>IF(Indicadores!E6,Indicadores!E6,"")</f>
        <v>522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523</v>
      </c>
      <c r="J6" s="39">
        <f>IF(Indicadores!I6,Indicadores!I6,"")</f>
        <v>521</v>
      </c>
      <c r="K6" s="39">
        <f>IF(Indicadores!J6,Indicadores!J6,"")</f>
        <v>437</v>
      </c>
      <c r="L6" s="39">
        <f>IF(Indicadores!K6,Indicadores!K6,"")</f>
        <v>495</v>
      </c>
      <c r="M6" s="39">
        <f>IF(Indicadores!L6,Indicadores!L6,"")</f>
        <v>441</v>
      </c>
      <c r="N6" s="39">
        <f>IF(Indicadores!M6,Indicadores!M6,"")</f>
        <v>74</v>
      </c>
      <c r="O6" s="39">
        <f>IF(Indicadores!N6,Indicadores!N6,"")</f>
        <v>21</v>
      </c>
      <c r="P6" s="39">
        <f>IF(Indicadores!O6,Indicadores!O6,"")</f>
        <v>481</v>
      </c>
      <c r="Q6" s="39">
        <f>IF(Indicadores!P6,Indicadores!P6,"")</f>
        <v>499</v>
      </c>
      <c r="R6" s="39">
        <f>IF(Indicadores!Q6,Indicadores!Q6,"")</f>
        <v>454</v>
      </c>
      <c r="S6" s="39">
        <f>IF(Indicadores!R6,Indicadores!R6,"")</f>
        <v>507</v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6436</v>
      </c>
      <c r="AJ6" s="75">
        <f>Indicadores!AI6</f>
        <v>402.25</v>
      </c>
      <c r="AK6" s="56">
        <f>Indicadores!AJ6</f>
        <v>12067.5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294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479</v>
      </c>
      <c r="J7" s="40">
        <f>IF(Indicadores!I7,Indicadores!I7,"")</f>
        <v>367</v>
      </c>
      <c r="K7" s="40">
        <f>IF(Indicadores!J7,Indicadores!J7,"")</f>
        <v>372</v>
      </c>
      <c r="L7" s="40">
        <f>IF(Indicadores!K7,Indicadores!K7,"")</f>
        <v>291</v>
      </c>
      <c r="M7" s="40">
        <f>IF(Indicadores!L7,Indicadores!L7,"")</f>
        <v>226</v>
      </c>
      <c r="N7" s="40">
        <f>IF(Indicadores!M7,Indicadores!M7,"")</f>
        <v>62</v>
      </c>
      <c r="O7" s="40">
        <f>IF(Indicadores!N7,Indicadores!N7,"")</f>
        <v>28</v>
      </c>
      <c r="P7" s="40">
        <f>IF(Indicadores!O7,Indicadores!O7,"")</f>
        <v>376</v>
      </c>
      <c r="Q7" s="40">
        <f>IF(Indicadores!P7,Indicadores!P7,"")</f>
        <v>277</v>
      </c>
      <c r="R7" s="40">
        <f>IF(Indicadores!Q7,Indicadores!Q7,"")</f>
        <v>247</v>
      </c>
      <c r="S7" s="40">
        <f>IF(Indicadores!R7,Indicadores!R7,"")</f>
        <v>220</v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4362</v>
      </c>
      <c r="AJ7" s="42">
        <f>Indicadores!AI7</f>
        <v>272.625</v>
      </c>
      <c r="AK7" s="56">
        <f>Indicadores!AJ7</f>
        <v>8178.75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29503.357920713432</v>
      </c>
      <c r="AJ17" s="66">
        <f>SUM(AJ18:AJ21)</f>
        <v>951.72122324882048</v>
      </c>
      <c r="AK17" s="55">
        <f>SUM(AK18:AK21)</f>
        <v>28551.636697464615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167.36381322957203</v>
      </c>
      <c r="AJ18" s="106">
        <f>AI18/COUNTA(C18:AG18)</f>
        <v>5.398832684824904</v>
      </c>
      <c r="AK18" s="107">
        <f>AJ18*30</f>
        <v>161.96498054474711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1288</v>
      </c>
      <c r="E19" s="137">
        <f t="shared" si="6"/>
        <v>1019</v>
      </c>
      <c r="F19" s="137">
        <f t="shared" si="6"/>
        <v>816</v>
      </c>
      <c r="G19" s="137">
        <f t="shared" si="6"/>
        <v>223</v>
      </c>
      <c r="H19" s="137">
        <f t="shared" si="6"/>
        <v>54</v>
      </c>
      <c r="I19" s="137">
        <f t="shared" si="6"/>
        <v>1002</v>
      </c>
      <c r="J19" s="137">
        <f t="shared" si="6"/>
        <v>888</v>
      </c>
      <c r="K19" s="137">
        <f t="shared" si="6"/>
        <v>809</v>
      </c>
      <c r="L19" s="137">
        <f t="shared" si="6"/>
        <v>786</v>
      </c>
      <c r="M19" s="137">
        <f t="shared" si="6"/>
        <v>667</v>
      </c>
      <c r="N19" s="137">
        <f t="shared" si="6"/>
        <v>136</v>
      </c>
      <c r="O19" s="137">
        <f t="shared" si="6"/>
        <v>49</v>
      </c>
      <c r="P19" s="137">
        <f t="shared" si="6"/>
        <v>857</v>
      </c>
      <c r="Q19" s="137">
        <f t="shared" si="6"/>
        <v>776</v>
      </c>
      <c r="R19" s="137">
        <f t="shared" si="6"/>
        <v>701</v>
      </c>
      <c r="S19" s="137">
        <f t="shared" si="6"/>
        <v>727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18537.994107483861</v>
      </c>
      <c r="AJ19" s="106">
        <f>AI19/COUNTA(C19:AG19)</f>
        <v>597.99980991883422</v>
      </c>
      <c r="AK19" s="107">
        <f>AJ19*30</f>
        <v>17939.994297565026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729</v>
      </c>
      <c r="E20" s="137">
        <f t="shared" ref="E20:AG20" si="7">IF(E6&lt;&gt;"",E6,E13)</f>
        <v>579</v>
      </c>
      <c r="F20" s="137">
        <f t="shared" si="7"/>
        <v>522</v>
      </c>
      <c r="G20" s="137">
        <f t="shared" si="7"/>
        <v>118</v>
      </c>
      <c r="H20" s="137">
        <f t="shared" si="7"/>
        <v>35</v>
      </c>
      <c r="I20" s="137">
        <f t="shared" si="7"/>
        <v>523</v>
      </c>
      <c r="J20" s="137">
        <f t="shared" si="7"/>
        <v>521</v>
      </c>
      <c r="K20" s="137">
        <f t="shared" si="7"/>
        <v>437</v>
      </c>
      <c r="L20" s="137">
        <f t="shared" si="7"/>
        <v>495</v>
      </c>
      <c r="M20" s="137">
        <f t="shared" si="7"/>
        <v>441</v>
      </c>
      <c r="N20" s="137">
        <f t="shared" si="7"/>
        <v>74</v>
      </c>
      <c r="O20" s="137">
        <f t="shared" si="7"/>
        <v>21</v>
      </c>
      <c r="P20" s="137">
        <f t="shared" si="7"/>
        <v>481</v>
      </c>
      <c r="Q20" s="137">
        <f t="shared" si="7"/>
        <v>499</v>
      </c>
      <c r="R20" s="137">
        <f t="shared" si="7"/>
        <v>454</v>
      </c>
      <c r="S20" s="137">
        <f t="shared" si="7"/>
        <v>507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6436</v>
      </c>
      <c r="AJ20" s="106">
        <f>AI20/COUNTA(C20:AG20)</f>
        <v>207.61290322580646</v>
      </c>
      <c r="AK20" s="107">
        <f>AJ20*30</f>
        <v>6228.3870967741941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294</v>
      </c>
      <c r="G21" s="147">
        <f t="shared" si="9"/>
        <v>105</v>
      </c>
      <c r="H21" s="147">
        <f t="shared" si="9"/>
        <v>19</v>
      </c>
      <c r="I21" s="147">
        <f t="shared" si="9"/>
        <v>479</v>
      </c>
      <c r="J21" s="147">
        <f t="shared" si="9"/>
        <v>367</v>
      </c>
      <c r="K21" s="147">
        <f t="shared" si="9"/>
        <v>372</v>
      </c>
      <c r="L21" s="147">
        <f t="shared" si="9"/>
        <v>291</v>
      </c>
      <c r="M21" s="147">
        <f t="shared" si="9"/>
        <v>226</v>
      </c>
      <c r="N21" s="147">
        <f t="shared" si="9"/>
        <v>62</v>
      </c>
      <c r="O21" s="147">
        <f t="shared" si="9"/>
        <v>28</v>
      </c>
      <c r="P21" s="147">
        <f t="shared" si="9"/>
        <v>376</v>
      </c>
      <c r="Q21" s="147">
        <f t="shared" si="9"/>
        <v>277</v>
      </c>
      <c r="R21" s="147">
        <f t="shared" si="9"/>
        <v>247</v>
      </c>
      <c r="S21" s="147">
        <f t="shared" si="9"/>
        <v>220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4362</v>
      </c>
      <c r="AJ21" s="109">
        <f>AI21/COUNTA(C21:AG21)</f>
        <v>140.70967741935485</v>
      </c>
      <c r="AK21" s="110">
        <f>AJ21*30</f>
        <v>4221.2903225806458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10893</v>
      </c>
      <c r="D24" s="141">
        <f>SUM(D25:D26)</f>
        <v>18705.357920713432</v>
      </c>
      <c r="E24" s="142">
        <f>SUM(E25:E28)</f>
        <v>19445.000000000004</v>
      </c>
      <c r="F24" s="138">
        <f>(D24-E24)/E24</f>
        <v>-3.8037648716203229E-2</v>
      </c>
      <c r="G24" s="133">
        <f>F24</f>
        <v>-3.8037648716203229E-2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95</v>
      </c>
      <c r="D25" s="144">
        <f>AI18</f>
        <v>167.36381322957203</v>
      </c>
      <c r="E25" s="142">
        <f>AI11</f>
        <v>173</v>
      </c>
      <c r="F25" s="139">
        <f t="shared" ref="F25:F28" si="11">(D25-E25)/E25</f>
        <v>-3.2579114279930453E-2</v>
      </c>
      <c r="G25" s="133">
        <f>F25</f>
        <v>-3.2579114279930453E-2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10798</v>
      </c>
      <c r="D26" s="144">
        <f>AI19</f>
        <v>18537.994107483861</v>
      </c>
      <c r="E26" s="142">
        <f>AI12</f>
        <v>19272.000000000004</v>
      </c>
      <c r="F26" s="139">
        <f t="shared" si="11"/>
        <v>-3.8086648636163491E-2</v>
      </c>
      <c r="G26" s="133">
        <f>F26</f>
        <v>-3.8086648636163491E-2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6436</v>
      </c>
      <c r="D27" s="144">
        <f>AI20</f>
        <v>6436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4362</v>
      </c>
      <c r="D28" s="146">
        <f>AI21</f>
        <v>4362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10893</v>
      </c>
      <c r="D6" s="7">
        <f>'Dados - Gráficos'!D24</f>
        <v>18705.357920713432</v>
      </c>
      <c r="E6" s="93">
        <f>'Dados - Gráficos'!E24</f>
        <v>19445.000000000004</v>
      </c>
      <c r="F6" s="118">
        <f>'Dados - Gráficos'!F24</f>
        <v>-3.8037648716203229E-2</v>
      </c>
      <c r="G6" s="119">
        <f>'Dados - Gráficos'!G24</f>
        <v>-3.8037648716203229E-2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95</v>
      </c>
      <c r="D7" s="8">
        <f>'Dados - Gráficos'!D25</f>
        <v>167.36381322957203</v>
      </c>
      <c r="E7" s="93">
        <f>'Dados - Gráficos'!E25</f>
        <v>173</v>
      </c>
      <c r="F7" s="120">
        <f>'Dados - Gráficos'!F25</f>
        <v>-3.2579114279930453E-2</v>
      </c>
      <c r="G7" s="119">
        <f>'Dados - Gráficos'!G25</f>
        <v>-3.2579114279930453E-2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10798</v>
      </c>
      <c r="D8" s="17">
        <f>'Dados - Gráficos'!D26</f>
        <v>18537.994107483861</v>
      </c>
      <c r="E8" s="94">
        <f>'Dados - Gráficos'!E26</f>
        <v>19272.000000000004</v>
      </c>
      <c r="F8" s="121">
        <f>'Dados - Gráficos'!F26</f>
        <v>-3.8086648636163491E-2</v>
      </c>
      <c r="G8" s="122">
        <f>'Dados - Gráficos'!G26</f>
        <v>-3.8086648636163491E-2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6436</v>
      </c>
      <c r="D9" s="192">
        <f>'Dados - Gráficos'!D27</f>
        <v>6436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4362</v>
      </c>
      <c r="D10" s="17">
        <f>'Dados - Gráficos'!D28</f>
        <v>4362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2016-06-17T12:53:15Z</dcterms:modified>
</cp:coreProperties>
</file>