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B20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<sst xmlns="http://schemas.openxmlformats.org/spreadsheetml/2006/main" count="356" uniqueCount="39">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</sst>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B4-4477-BD6A-5FB474E6F28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B4-4477-BD6A-5FB474E6F28A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B4-4477-BD6A-5FB474E6F28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B4-4477-BD6A-5FB474E6F28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B4-4477-BD6A-5FB474E6F28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4-4477-BD6A-5FB474E6F28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4-4477-BD6A-5FB474E6F2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E4-4BF0-A644-C0330DD66C39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E4-4BF0-A644-C0330DD66C39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E4-4BF0-A644-C0330DD66C39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E4-4BF0-A644-C0330DD66C39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E4-4BF0-A644-C0330DD66C39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E4-4BF0-A644-C0330DD66C3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E4-4BF0-A644-C0330DD66C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31</c:v>
                </c:pt>
                <c:pt idx="1">
                  <c:v>759</c:v>
                </c:pt>
                <c:pt idx="2">
                  <c:v>815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8B-4686-B2A6-76008087528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8B-4686-B2A6-76008087528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8B-4686-B2A6-76008087528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8B-4686-B2A6-76008087528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8B-4686-B2A6-76008087528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8B-4686-B2A6-76008087528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B-4686-B2A6-76008087528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51</c:v>
                </c:pt>
                <c:pt idx="1">
                  <c:v>700</c:v>
                </c:pt>
                <c:pt idx="2">
                  <c:v>567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4GsPths4mKPPS3s0Yqk/Fwm/JbrE21Ibql7oL0spG6Sn1t6/glsD15TeMKxqRXAVuziOz2IRIedw8bmF9os8SQ==" saltValue="B7aE+hj2Lo3oxjYu8+cw1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doQFr1K+abC4yVyuDiS9RShNtt0i8kKQ3uV3tvnTxeIRG+TDJwOpfGZwJdGjC/y1Q9SnFIYKJo5+rg+rxHDTig==" saltValue="nN0AxKiVixFjB2wr4ZhBm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w02Nf2Co6f5iGwYsHACBAr0zECfpWrzMF/nTmiMrKhciy2FMF4pk9Whjni1muQeS2tmyqQRCsRZ9CYm0xuWSLw==" saltValue="B9yo+LcYy71acAMIAqkdT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Q31" zoomScale="130" zoomScaleNormal="130" workbookViewId="0">
      <selection activeCell="AH35" sqref="AH35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2941</v>
      </c>
      <c r="AI39" s="71">
        <f>AH39/COUNTA(C40:AG40)</f>
        <v>980.33333333333337</v>
      </c>
      <c r="AJ39" s="55">
        <f>AI39*31</f>
        <v>30390.333333333336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18</v>
      </c>
      <c r="AI40" s="38">
        <f>AH40/COUNTA(C40:AG40)</f>
        <v>6</v>
      </c>
      <c r="AJ40" s="56">
        <f>AI40*31</f>
        <v>186</v>
      </c>
    </row>
    <row r="41" spans="2:36" x14ac:dyDescent="0.25">
      <c r="B41" s="168" t="s">
        <v>20</v>
      </c>
      <c r="C41" s="156">
        <v>31</v>
      </c>
      <c r="D41" s="156">
        <v>759</v>
      </c>
      <c r="E41" s="156">
        <v>815</v>
      </c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1605</v>
      </c>
      <c r="AI41" s="38">
        <f>AH41/COUNTA(C41:AG41)</f>
        <v>535</v>
      </c>
      <c r="AJ41" s="56">
        <f>AI41*31</f>
        <v>16585</v>
      </c>
    </row>
    <row r="42" spans="2:36" ht="15.75" thickBot="1" x14ac:dyDescent="0.3">
      <c r="B42" s="169" t="s">
        <v>21</v>
      </c>
      <c r="C42" s="155">
        <v>51</v>
      </c>
      <c r="D42" s="155">
        <v>700</v>
      </c>
      <c r="E42" s="155">
        <v>567</v>
      </c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1318</v>
      </c>
      <c r="AI42" s="37">
        <f>AH42/COUNTA(C42:AG42)</f>
        <v>439.33333333333331</v>
      </c>
      <c r="AJ42" s="57">
        <f>AI42*31</f>
        <v>13619.333333333332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 t="str">
        <f>IF(Indicadores!C40,Indicadores!C40,"")</f>
        <v/>
      </c>
      <c r="E4" s="39">
        <f>IF(Indicadores!D40,Indicadores!D40,"")</f>
        <v>13</v>
      </c>
      <c r="F4" s="39">
        <f>IF(Indicadores!E40,Indicadores!E40,"")</f>
        <v>5</v>
      </c>
      <c r="G4" s="39" t="str">
        <f>IF(Indicadores!F40,Indicadores!F40,"")</f>
        <v/>
      </c>
      <c r="H4" s="39" t="str">
        <f>IF(Indicadores!G40,Indicadores!G40,"")</f>
        <v/>
      </c>
      <c r="I4" s="39" t="str">
        <f>IF(Indicadores!H40,Indicadores!H40,"")</f>
        <v/>
      </c>
      <c r="J4" s="39" t="str">
        <f>IF(Indicadores!I40,Indicadores!I40,"")</f>
        <v/>
      </c>
      <c r="K4" s="39" t="str">
        <f>IF(Indicadores!J40,Indicadores!J40,"")</f>
        <v/>
      </c>
      <c r="L4" s="39" t="str">
        <f>IF(Indicadores!K40,Indicadores!K40,"")</f>
        <v/>
      </c>
      <c r="M4" s="39" t="str">
        <f>IF(Indicadores!L40,Indicadores!L40,"")</f>
        <v/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18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31</v>
      </c>
      <c r="E5" s="39">
        <f>IF(Indicadores!D41,Indicadores!D41,"")</f>
        <v>759</v>
      </c>
      <c r="F5" s="39">
        <f>IF(Indicadores!E41,Indicadores!E41,"")</f>
        <v>815</v>
      </c>
      <c r="G5" s="39" t="str">
        <f>IF(Indicadores!F41,Indicadores!F41,"")</f>
        <v/>
      </c>
      <c r="H5" s="39" t="str">
        <f>IF(Indicadores!G41,Indicadores!G41,"")</f>
        <v/>
      </c>
      <c r="I5" s="39" t="str">
        <f>IF(Indicadores!H41,Indicadores!H41,"")</f>
        <v/>
      </c>
      <c r="J5" s="39" t="str">
        <f>IF(Indicadores!I41,Indicadores!I41,"")</f>
        <v/>
      </c>
      <c r="K5" s="39" t="str">
        <f>IF(Indicadores!J41,Indicadores!J41,"")</f>
        <v/>
      </c>
      <c r="L5" s="39" t="str">
        <f>IF(Indicadores!K41,Indicadores!K41,"")</f>
        <v/>
      </c>
      <c r="M5" s="39" t="str">
        <f>IF(Indicadores!L41,Indicadores!L41,"")</f>
        <v/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1605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51</v>
      </c>
      <c r="E6" s="40">
        <f>IF(Indicadores!D42,Indicadores!D42,"")</f>
        <v>700</v>
      </c>
      <c r="F6" s="40">
        <f>IF(Indicadores!E42,Indicadores!E42,"")</f>
        <v>567</v>
      </c>
      <c r="G6" s="40" t="str">
        <f>IF(Indicadores!F42,Indicadores!F42,"")</f>
        <v/>
      </c>
      <c r="H6" s="40" t="str">
        <f>IF(Indicadores!G42,Indicadores!G42,"")</f>
        <v/>
      </c>
      <c r="I6" s="40" t="str">
        <f>IF(Indicadores!H42,Indicadores!H42,"")</f>
        <v/>
      </c>
      <c r="J6" s="40" t="str">
        <f>IF(Indicadores!I42,Indicadores!I42,"")</f>
        <v/>
      </c>
      <c r="K6" s="40" t="str">
        <f>IF(Indicadores!J42,Indicadores!J42,"")</f>
        <v/>
      </c>
      <c r="L6" s="40" t="str">
        <f>IF(Indicadores!K42,Indicadores!K42,"")</f>
        <v/>
      </c>
      <c r="M6" s="40" t="str">
        <f>IF(Indicadores!L42,Indicadores!L42,"")</f>
        <v/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1318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0</v>
      </c>
      <c r="AJ9" s="66">
        <f>SUM(AJ10:AJ12)</f>
        <v>0</v>
      </c>
      <c r="AK9" s="55">
        <f>SUM(AK10:AK12)</f>
        <v>0</v>
      </c>
    </row>
    <row r="10" spans="1:16384" x14ac:dyDescent="0.25">
      <c r="B10" s="101" t="s">
        <v>19</v>
      </c>
      <c r="C10" s="103" t="s">
        <v>35</v>
      </c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43"/>
      <c r="AH10" s="44"/>
      <c r="AI10" s="105">
        <f>SUM(D10:AH10)</f>
        <v>0</v>
      </c>
      <c r="AJ10" s="106">
        <f>AI10/COUNTA(C10:AG10)</f>
        <v>0</v>
      </c>
      <c r="AK10" s="107">
        <f>AJ10*30</f>
        <v>0</v>
      </c>
    </row>
    <row r="11" spans="1:16384" x14ac:dyDescent="0.25">
      <c r="B11" s="101" t="s">
        <v>20</v>
      </c>
      <c r="C11" s="103" t="s">
        <v>35</v>
      </c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43"/>
      <c r="AH11" s="44"/>
      <c r="AI11" s="105">
        <f>SUM(D11:AH11)</f>
        <v>0</v>
      </c>
      <c r="AJ11" s="106">
        <f>AI11/COUNTA(C11:AG11)</f>
        <v>0</v>
      </c>
      <c r="AK11" s="107">
        <f>AJ11*30</f>
        <v>0</v>
      </c>
    </row>
    <row r="12" spans="1:16384" ht="15.75" thickBot="1" x14ac:dyDescent="0.3">
      <c r="B12" s="102" t="s">
        <v>21</v>
      </c>
      <c r="C12" s="104" t="s">
        <v>35</v>
      </c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  <c r="W12" s="149"/>
      <c r="X12" s="149"/>
      <c r="Y12" s="149"/>
      <c r="Z12" s="149"/>
      <c r="AA12" s="149"/>
      <c r="AB12" s="149"/>
      <c r="AC12" s="149"/>
      <c r="AD12" s="149"/>
      <c r="AE12" s="149"/>
      <c r="AF12" s="149"/>
      <c r="AG12" s="45"/>
      <c r="AH12" s="46"/>
      <c r="AI12" s="108">
        <f>SUM(D12:AH12)</f>
        <v>0</v>
      </c>
      <c r="AJ12" s="109">
        <f>AI12/COUNTA(C12:AG12)</f>
        <v>0</v>
      </c>
      <c r="AK12" s="110">
        <f>AJ12*30</f>
        <v>0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2941</v>
      </c>
      <c r="AJ15" s="66">
        <f>SUM(AJ16:AJ18)</f>
        <v>94.870967741935488</v>
      </c>
      <c r="AK15" s="55">
        <f>SUM(AK16:AK18)</f>
        <v>0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4">IF(E4&lt;&gt;"",E4,E10)</f>
        <v>13</v>
      </c>
      <c r="F16" s="137">
        <f t="shared" si="4"/>
        <v>5</v>
      </c>
      <c r="G16" s="137">
        <f t="shared" si="4"/>
        <v>0</v>
      </c>
      <c r="H16" s="137">
        <f t="shared" si="4"/>
        <v>0</v>
      </c>
      <c r="I16" s="137">
        <f t="shared" si="4"/>
        <v>0</v>
      </c>
      <c r="J16" s="137">
        <f t="shared" si="4"/>
        <v>0</v>
      </c>
      <c r="K16" s="137">
        <f t="shared" si="4"/>
        <v>0</v>
      </c>
      <c r="L16" s="137">
        <f t="shared" si="4"/>
        <v>0</v>
      </c>
      <c r="M16" s="137">
        <f t="shared" si="4"/>
        <v>0</v>
      </c>
      <c r="N16" s="137">
        <f t="shared" si="4"/>
        <v>0</v>
      </c>
      <c r="O16" s="137">
        <f t="shared" si="4"/>
        <v>0</v>
      </c>
      <c r="P16" s="137">
        <f t="shared" si="4"/>
        <v>0</v>
      </c>
      <c r="Q16" s="137">
        <f t="shared" si="4"/>
        <v>0</v>
      </c>
      <c r="R16" s="137">
        <f t="shared" si="4"/>
        <v>0</v>
      </c>
      <c r="S16" s="137">
        <f t="shared" si="4"/>
        <v>0</v>
      </c>
      <c r="T16" s="137">
        <f t="shared" si="4"/>
        <v>0</v>
      </c>
      <c r="U16" s="137">
        <f t="shared" si="4"/>
        <v>0</v>
      </c>
      <c r="V16" s="137">
        <f t="shared" si="4"/>
        <v>0</v>
      </c>
      <c r="W16" s="137">
        <f t="shared" si="4"/>
        <v>0</v>
      </c>
      <c r="X16" s="137">
        <f t="shared" si="4"/>
        <v>0</v>
      </c>
      <c r="Y16" s="137">
        <f t="shared" si="4"/>
        <v>0</v>
      </c>
      <c r="Z16" s="137">
        <f t="shared" si="4"/>
        <v>0</v>
      </c>
      <c r="AA16" s="137">
        <f t="shared" si="4"/>
        <v>0</v>
      </c>
      <c r="AB16" s="137">
        <f t="shared" si="4"/>
        <v>0</v>
      </c>
      <c r="AC16" s="137">
        <f t="shared" si="4"/>
        <v>0</v>
      </c>
      <c r="AD16" s="137">
        <f t="shared" si="4"/>
        <v>0</v>
      </c>
      <c r="AE16" s="137">
        <f t="shared" si="4"/>
        <v>0</v>
      </c>
      <c r="AF16" s="137">
        <f t="shared" si="4"/>
        <v>0</v>
      </c>
      <c r="AG16" s="137">
        <f t="shared" si="4"/>
        <v>0</v>
      </c>
      <c r="AH16" s="137"/>
      <c r="AI16" s="105">
        <f>SUM(D16:AH16)</f>
        <v>18</v>
      </c>
      <c r="AJ16" s="106">
        <f>AI16/COUNTA(C16:AG16)</f>
        <v>0.58064516129032262</v>
      </c>
      <c r="AK16" s="107">
        <f t="shared" ref="AK16" si="5">AK10</f>
        <v>0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31</v>
      </c>
      <c r="E17" s="137">
        <f t="shared" ref="E17:AG17" si="6">IF(E5&lt;&gt;"",E5,E11)</f>
        <v>759</v>
      </c>
      <c r="F17" s="137">
        <f t="shared" si="6"/>
        <v>815</v>
      </c>
      <c r="G17" s="137">
        <f t="shared" si="6"/>
        <v>0</v>
      </c>
      <c r="H17" s="137">
        <f t="shared" si="6"/>
        <v>0</v>
      </c>
      <c r="I17" s="137">
        <f t="shared" si="6"/>
        <v>0</v>
      </c>
      <c r="J17" s="137">
        <f t="shared" si="6"/>
        <v>0</v>
      </c>
      <c r="K17" s="137">
        <f t="shared" si="6"/>
        <v>0</v>
      </c>
      <c r="L17" s="137">
        <f t="shared" si="6"/>
        <v>0</v>
      </c>
      <c r="M17" s="137">
        <f t="shared" si="6"/>
        <v>0</v>
      </c>
      <c r="N17" s="137">
        <f t="shared" si="6"/>
        <v>0</v>
      </c>
      <c r="O17" s="137">
        <f t="shared" si="6"/>
        <v>0</v>
      </c>
      <c r="P17" s="137">
        <f t="shared" si="6"/>
        <v>0</v>
      </c>
      <c r="Q17" s="137">
        <f t="shared" si="6"/>
        <v>0</v>
      </c>
      <c r="R17" s="137">
        <f t="shared" si="6"/>
        <v>0</v>
      </c>
      <c r="S17" s="137">
        <f t="shared" si="6"/>
        <v>0</v>
      </c>
      <c r="T17" s="137">
        <f t="shared" si="6"/>
        <v>0</v>
      </c>
      <c r="U17" s="137">
        <f t="shared" si="6"/>
        <v>0</v>
      </c>
      <c r="V17" s="137">
        <f t="shared" si="6"/>
        <v>0</v>
      </c>
      <c r="W17" s="137">
        <f t="shared" si="6"/>
        <v>0</v>
      </c>
      <c r="X17" s="137">
        <f t="shared" si="6"/>
        <v>0</v>
      </c>
      <c r="Y17" s="137">
        <f t="shared" si="6"/>
        <v>0</v>
      </c>
      <c r="Z17" s="137">
        <f t="shared" si="6"/>
        <v>0</v>
      </c>
      <c r="AA17" s="137">
        <f t="shared" si="6"/>
        <v>0</v>
      </c>
      <c r="AB17" s="137">
        <f t="shared" si="6"/>
        <v>0</v>
      </c>
      <c r="AC17" s="137">
        <f t="shared" si="6"/>
        <v>0</v>
      </c>
      <c r="AD17" s="137">
        <f t="shared" si="6"/>
        <v>0</v>
      </c>
      <c r="AE17" s="137">
        <f t="shared" si="6"/>
        <v>0</v>
      </c>
      <c r="AF17" s="137">
        <f t="shared" si="6"/>
        <v>0</v>
      </c>
      <c r="AG17" s="137">
        <f t="shared" si="6"/>
        <v>0</v>
      </c>
      <c r="AH17" s="137"/>
      <c r="AI17" s="105">
        <f>SUM(D17:AH17)</f>
        <v>1605</v>
      </c>
      <c r="AJ17" s="106">
        <f>AI17/COUNTA(C17:AG17)</f>
        <v>51.774193548387096</v>
      </c>
      <c r="AK17" s="107">
        <f t="shared" ref="AK17" si="7">AK11</f>
        <v>0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51</v>
      </c>
      <c r="E18" s="148">
        <f t="shared" ref="E18:AG18" si="8">IF(E6&lt;&gt;"",E6,E12)</f>
        <v>700</v>
      </c>
      <c r="F18" s="148">
        <f t="shared" si="8"/>
        <v>567</v>
      </c>
      <c r="G18" s="148">
        <f t="shared" si="8"/>
        <v>0</v>
      </c>
      <c r="H18" s="148">
        <f t="shared" si="8"/>
        <v>0</v>
      </c>
      <c r="I18" s="148">
        <f t="shared" si="8"/>
        <v>0</v>
      </c>
      <c r="J18" s="148">
        <f t="shared" si="8"/>
        <v>0</v>
      </c>
      <c r="K18" s="148">
        <f t="shared" si="8"/>
        <v>0</v>
      </c>
      <c r="L18" s="148">
        <f t="shared" si="8"/>
        <v>0</v>
      </c>
      <c r="M18" s="148">
        <f t="shared" si="8"/>
        <v>0</v>
      </c>
      <c r="N18" s="148">
        <f t="shared" si="8"/>
        <v>0</v>
      </c>
      <c r="O18" s="148">
        <f t="shared" si="8"/>
        <v>0</v>
      </c>
      <c r="P18" s="148">
        <f t="shared" si="8"/>
        <v>0</v>
      </c>
      <c r="Q18" s="148">
        <f t="shared" si="8"/>
        <v>0</v>
      </c>
      <c r="R18" s="148">
        <f t="shared" si="8"/>
        <v>0</v>
      </c>
      <c r="S18" s="148">
        <f t="shared" si="8"/>
        <v>0</v>
      </c>
      <c r="T18" s="148">
        <f t="shared" si="8"/>
        <v>0</v>
      </c>
      <c r="U18" s="148">
        <f t="shared" si="8"/>
        <v>0</v>
      </c>
      <c r="V18" s="148">
        <f t="shared" si="8"/>
        <v>0</v>
      </c>
      <c r="W18" s="148">
        <f t="shared" si="8"/>
        <v>0</v>
      </c>
      <c r="X18" s="148">
        <f t="shared" si="8"/>
        <v>0</v>
      </c>
      <c r="Y18" s="148">
        <f t="shared" si="8"/>
        <v>0</v>
      </c>
      <c r="Z18" s="148">
        <f t="shared" si="8"/>
        <v>0</v>
      </c>
      <c r="AA18" s="148">
        <f t="shared" si="8"/>
        <v>0</v>
      </c>
      <c r="AB18" s="148">
        <f t="shared" si="8"/>
        <v>0</v>
      </c>
      <c r="AC18" s="148">
        <f t="shared" si="8"/>
        <v>0</v>
      </c>
      <c r="AD18" s="148">
        <f t="shared" si="8"/>
        <v>0</v>
      </c>
      <c r="AE18" s="148">
        <f t="shared" si="8"/>
        <v>0</v>
      </c>
      <c r="AF18" s="148">
        <f t="shared" si="8"/>
        <v>0</v>
      </c>
      <c r="AG18" s="148">
        <f t="shared" si="8"/>
        <v>0</v>
      </c>
      <c r="AH18" s="148"/>
      <c r="AI18" s="108">
        <f>SUM(D18:AH18)</f>
        <v>1318</v>
      </c>
      <c r="AJ18" s="109">
        <f>AI18/COUNTA(C18:AG18)</f>
        <v>42.516129032258064</v>
      </c>
      <c r="AK18" s="110">
        <f t="shared" ref="AK18" si="9">AK12</f>
        <v>0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2941</v>
      </c>
      <c r="D21" s="142">
        <f>SUM(D22:D24)</f>
        <v>2941</v>
      </c>
      <c r="E21" s="143">
        <f>SUM(E22:E24)</f>
        <v>0</v>
      </c>
      <c r="F21" s="138" t="e">
        <f>(D21-E21)/E21</f>
        <v>#DIV/0!</v>
      </c>
      <c r="G21" s="133" t="e">
        <f>F21</f>
        <v>#DIV/0!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18</v>
      </c>
      <c r="D22" s="145">
        <f>AI16</f>
        <v>18</v>
      </c>
      <c r="E22" s="143">
        <f>$AI$10</f>
        <v>0</v>
      </c>
      <c r="F22" s="139" t="e">
        <f t="shared" ref="F22:F24" si="10">(D22-E22)/E22</f>
        <v>#DIV/0!</v>
      </c>
      <c r="G22" s="133" t="e">
        <f>F22</f>
        <v>#DIV/0!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1605</v>
      </c>
      <c r="D23" s="145">
        <f>AI17</f>
        <v>1605</v>
      </c>
      <c r="E23" s="143">
        <f>AI11</f>
        <v>0</v>
      </c>
      <c r="F23" s="139" t="e">
        <f t="shared" si="10"/>
        <v>#DIV/0!</v>
      </c>
      <c r="G23" s="133" t="e">
        <f>F23</f>
        <v>#DIV/0!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1318</v>
      </c>
      <c r="D24" s="147">
        <f>AI18</f>
        <v>1318</v>
      </c>
      <c r="E24" s="166">
        <f>AI12</f>
        <v>0</v>
      </c>
      <c r="F24" s="140" t="e">
        <f t="shared" si="10"/>
        <v>#DIV/0!</v>
      </c>
      <c r="G24" s="136" t="e">
        <f>F24</f>
        <v>#DIV/0!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>
      <selection activeCell="B12" sqref="B12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2941</v>
      </c>
      <c r="D6" s="7">
        <f>'Dados - Gráficos'!D21</f>
        <v>2941</v>
      </c>
      <c r="E6" s="93">
        <f>'Dados - Gráficos'!E21</f>
        <v>0</v>
      </c>
      <c r="F6" s="118" t="e">
        <f>'Dados - Gráficos'!F21</f>
        <v>#DIV/0!</v>
      </c>
      <c r="G6" s="119" t="e">
        <f>'Dados - Gráficos'!G21</f>
        <v>#DIV/0!</v>
      </c>
      <c r="H6" s="32"/>
      <c r="I6" s="19">
        <f>K9</f>
        <v>415</v>
      </c>
      <c r="J6" s="83">
        <f>Indicadores!AH10</f>
        <v>294</v>
      </c>
      <c r="K6" s="88">
        <f>E7</f>
        <v>0</v>
      </c>
    </row>
    <row r="7" spans="2:11" x14ac:dyDescent="0.25">
      <c r="B7" s="15" t="str">
        <f>'Dados - Gráficos'!B22</f>
        <v>Alto</v>
      </c>
      <c r="C7" s="99">
        <f>'Dados - Gráficos'!C22</f>
        <v>18</v>
      </c>
      <c r="D7" s="8">
        <f>'Dados - Gráficos'!D22</f>
        <v>18</v>
      </c>
      <c r="E7" s="93">
        <f>'Dados - Gráficos'!E22</f>
        <v>0</v>
      </c>
      <c r="F7" s="120" t="e">
        <f>'Dados - Gráficos'!F22</f>
        <v>#DIV/0!</v>
      </c>
      <c r="G7" s="119" t="e">
        <f>'Dados - Gráficos'!G22</f>
        <v>#DIV/0!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1605</v>
      </c>
      <c r="D8" s="8">
        <f>'Dados - Gráficos'!D23</f>
        <v>1605</v>
      </c>
      <c r="E8" s="93">
        <f>'Dados - Gráficos'!E23</f>
        <v>0</v>
      </c>
      <c r="F8" s="120" t="e">
        <f>'Dados - Gráficos'!F23</f>
        <v>#DIV/0!</v>
      </c>
      <c r="G8" s="119" t="e">
        <f>'Dados - Gráficos'!G23</f>
        <v>#DIV/0!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1318</v>
      </c>
      <c r="D9" s="17">
        <f>'Dados - Gráficos'!D24</f>
        <v>1318</v>
      </c>
      <c r="E9" s="94">
        <f>'Dados - Gráficos'!E24</f>
        <v>0</v>
      </c>
      <c r="F9" s="121" t="e">
        <f>'Dados - Gráficos'!F24</f>
        <v>#DIV/0!</v>
      </c>
      <c r="G9" s="122" t="e">
        <f>'Dados - Gráficos'!G24</f>
        <v>#DIV/0!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-1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2016-05-04T13:41:50Z</dcterms:modified>
</cp:coreProperties>
</file>