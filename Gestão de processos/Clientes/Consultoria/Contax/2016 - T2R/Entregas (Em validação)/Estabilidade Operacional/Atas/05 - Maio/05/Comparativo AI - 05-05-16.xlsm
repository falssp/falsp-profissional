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<sst xmlns="http://schemas.openxmlformats.org/spreadsheetml/2006/main" count="418" uniqueCount="39">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</sst>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B4-4477-BD6A-5FB474E6F28A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B4-4477-BD6A-5FB474E6F28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B4-4477-BD6A-5FB474E6F28A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B4-4477-BD6A-5FB474E6F28A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B4-4477-BD6A-5FB474E6F28A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B4-4477-BD6A-5FB474E6F28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2B4-4477-BD6A-5FB474E6F28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B4-4477-BD6A-5FB474E6F28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B4-4477-BD6A-5FB474E6F28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B4-4477-BD6A-5FB474E6F28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B4-4477-BD6A-5FB474E6F28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7-41B9-92DF-7C4BADEE55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E4-4BF0-A644-C0330DD66C39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E4-4BF0-A644-C0330DD66C39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E4-4BF0-A644-C0330DD66C39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E4-4BF0-A644-C0330DD66C39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E4-4BF0-A644-C0330DD66C39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E4-4BF0-A644-C0330DD66C3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E4-4BF0-A644-C0330DD66C39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E4-4BF0-A644-C0330DD66C39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E4-4BF0-A644-C0330DD66C3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E4-4BF0-A644-C0330DD66C3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E4-4BF0-A644-C0330DD66C3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E4-4BF0-A644-C0330DD66C3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E4-4BF0-A644-C0330DD66C3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31</c:v>
                </c:pt>
                <c:pt idx="1">
                  <c:v>739</c:v>
                </c:pt>
                <c:pt idx="2">
                  <c:v>751</c:v>
                </c:pt>
                <c:pt idx="3">
                  <c:v>671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8B-4686-B2A6-76008087528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8B-4686-B2A6-76008087528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8B-4686-B2A6-76008087528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8B-4686-B2A6-76008087528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8B-4686-B2A6-76008087528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8B-4686-B2A6-76008087528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8B-4686-B2A6-76008087528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8B-4686-B2A6-76008087528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8B-4686-B2A6-76008087528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8B-4686-B2A6-76008087528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8B-4686-B2A6-76008087528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8B-4686-B2A6-76008087528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8B-4686-B2A6-76008087528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48</c:v>
                </c:pt>
                <c:pt idx="1">
                  <c:v>677</c:v>
                </c:pt>
                <c:pt idx="2">
                  <c:v>568</c:v>
                </c:pt>
                <c:pt idx="3">
                  <c:v>488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aNtrL/oziWfhimY8qovZ9ZJPMx41dS8eemQ8iwuYIwwFQWCoJNMmXzCL9+EkdFhpQyX3++XX3CblytCznaSSVQ==" saltValue="FKld8ZeyVAFTcw6qwPbQP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ynp7SedjPUj4dJhV740pGBlcz6+aB3wo88dc0X4BEkjNsUQZ6ETIp8f8qKCf8SX0hpO/UjamGjsfenbmgqafcw==" saltValue="kVz5q615pPZ8wt8Zsou+3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r4NHFWBz+OZVAvBfQeOJPL17wIvyfUy9mXA9BaFbrcMtXiL72Dsu6M6S8Au7V+1Qlm9mznfAjFQ9JWhfxPjSSg==" saltValue="UGHRX/fN8m3YLMtNH35Be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F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3998</v>
      </c>
      <c r="AI39" s="71">
        <f>AH39/COUNTA(C40:AG40)</f>
        <v>999.5</v>
      </c>
      <c r="AJ39" s="55">
        <f>AI39*31</f>
        <v>30984.5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7</v>
      </c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25</v>
      </c>
      <c r="AI40" s="38">
        <f>AH40/COUNTA(C40:AG40)</f>
        <v>6.25</v>
      </c>
      <c r="AJ40" s="56">
        <f>AI40*31</f>
        <v>193.75</v>
      </c>
    </row>
    <row r="41" spans="2:36" x14ac:dyDescent="0.25">
      <c r="B41" s="168" t="s">
        <v>20</v>
      </c>
      <c r="C41" s="156">
        <v>31</v>
      </c>
      <c r="D41" s="156">
        <v>739</v>
      </c>
      <c r="E41" s="156">
        <v>751</v>
      </c>
      <c r="F41" s="156">
        <v>671</v>
      </c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2192</v>
      </c>
      <c r="AI41" s="38">
        <f>AH41/COUNTA(C41:AG41)</f>
        <v>548</v>
      </c>
      <c r="AJ41" s="56">
        <f>AI41*31</f>
        <v>16988</v>
      </c>
    </row>
    <row r="42" spans="2:36" ht="15.75" thickBot="1" x14ac:dyDescent="0.3">
      <c r="B42" s="169" t="s">
        <v>21</v>
      </c>
      <c r="C42" s="155">
        <v>48</v>
      </c>
      <c r="D42" s="155">
        <v>677</v>
      </c>
      <c r="E42" s="155">
        <v>568</v>
      </c>
      <c r="F42" s="155">
        <v>488</v>
      </c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1781</v>
      </c>
      <c r="AI42" s="37">
        <f>AH42/COUNTA(C42:AG42)</f>
        <v>445.25</v>
      </c>
      <c r="AJ42" s="57">
        <f>AI42*31</f>
        <v>13802.75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7</v>
      </c>
      <c r="H4" s="39" t="str">
        <f>IF(Indicadores!G40,Indicadores!G40,"")</f>
        <v/>
      </c>
      <c r="I4" s="39" t="str">
        <f>IF(Indicadores!H40,Indicadores!H40,"")</f>
        <v/>
      </c>
      <c r="J4" s="39" t="str">
        <f>IF(Indicadores!I40,Indicadores!I40,"")</f>
        <v/>
      </c>
      <c r="K4" s="39" t="str">
        <f>IF(Indicadores!J40,Indicadores!J40,"")</f>
        <v/>
      </c>
      <c r="L4" s="39" t="str">
        <f>IF(Indicadores!K40,Indicadores!K40,"")</f>
        <v/>
      </c>
      <c r="M4" s="39" t="str">
        <f>IF(Indicadores!L40,Indicadores!L40,"")</f>
        <v/>
      </c>
      <c r="N4" s="39" t="str">
        <f>IF(Indicadores!M40,Indicadores!M40,"")</f>
        <v/>
      </c>
      <c r="O4" s="39" t="str">
        <f>IF(Indicadores!N40,Indicadores!N40,"")</f>
        <v/>
      </c>
      <c r="P4" s="39" t="str">
        <f>IF(Indicadores!O40,Indicadores!O40,"")</f>
        <v/>
      </c>
      <c r="Q4" s="39" t="str">
        <f>IF(Indicadores!P40,Indicadores!P40,"")</f>
        <v/>
      </c>
      <c r="R4" s="39" t="str">
        <f>IF(Indicadores!Q40,Indicadores!Q40,"")</f>
        <v/>
      </c>
      <c r="S4" s="39" t="str">
        <f>IF(Indicadores!R40,Indicadores!R40,"")</f>
        <v/>
      </c>
      <c r="T4" s="39" t="str">
        <f>IF(Indicadores!S40,Indicadores!S40,"")</f>
        <v/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25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31</v>
      </c>
      <c r="E5" s="39">
        <f>IF(Indicadores!D41,Indicadores!D41,"")</f>
        <v>739</v>
      </c>
      <c r="F5" s="39">
        <f>IF(Indicadores!E41,Indicadores!E41,"")</f>
        <v>751</v>
      </c>
      <c r="G5" s="39">
        <f>IF(Indicadores!F41,Indicadores!F41,"")</f>
        <v>671</v>
      </c>
      <c r="H5" s="39" t="str">
        <f>IF(Indicadores!G41,Indicadores!G41,"")</f>
        <v/>
      </c>
      <c r="I5" s="39" t="str">
        <f>IF(Indicadores!H41,Indicadores!H41,"")</f>
        <v/>
      </c>
      <c r="J5" s="39" t="str">
        <f>IF(Indicadores!I41,Indicadores!I41,"")</f>
        <v/>
      </c>
      <c r="K5" s="39" t="str">
        <f>IF(Indicadores!J41,Indicadores!J41,"")</f>
        <v/>
      </c>
      <c r="L5" s="39" t="str">
        <f>IF(Indicadores!K41,Indicadores!K41,"")</f>
        <v/>
      </c>
      <c r="M5" s="39" t="str">
        <f>IF(Indicadores!L41,Indicadores!L41,"")</f>
        <v/>
      </c>
      <c r="N5" s="39" t="str">
        <f>IF(Indicadores!M41,Indicadores!M41,"")</f>
        <v/>
      </c>
      <c r="O5" s="39" t="str">
        <f>IF(Indicadores!N41,Indicadores!N41,"")</f>
        <v/>
      </c>
      <c r="P5" s="39" t="str">
        <f>IF(Indicadores!O41,Indicadores!O41,"")</f>
        <v/>
      </c>
      <c r="Q5" s="39" t="str">
        <f>IF(Indicadores!P41,Indicadores!P41,"")</f>
        <v/>
      </c>
      <c r="R5" s="39" t="str">
        <f>IF(Indicadores!Q41,Indicadores!Q41,"")</f>
        <v/>
      </c>
      <c r="S5" s="39" t="str">
        <f>IF(Indicadores!R41,Indicadores!R41,"")</f>
        <v/>
      </c>
      <c r="T5" s="39" t="str">
        <f>IF(Indicadores!S41,Indicadores!S41,"")</f>
        <v/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2192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48</v>
      </c>
      <c r="E6" s="40">
        <f>IF(Indicadores!D42,Indicadores!D42,"")</f>
        <v>677</v>
      </c>
      <c r="F6" s="40">
        <f>IF(Indicadores!E42,Indicadores!E42,"")</f>
        <v>568</v>
      </c>
      <c r="G6" s="40">
        <f>IF(Indicadores!F42,Indicadores!F42,"")</f>
        <v>488</v>
      </c>
      <c r="H6" s="40" t="str">
        <f>IF(Indicadores!G42,Indicadores!G42,"")</f>
        <v/>
      </c>
      <c r="I6" s="40" t="str">
        <f>IF(Indicadores!H42,Indicadores!H42,"")</f>
        <v/>
      </c>
      <c r="J6" s="40" t="str">
        <f>IF(Indicadores!I42,Indicadores!I42,"")</f>
        <v/>
      </c>
      <c r="K6" s="40" t="str">
        <f>IF(Indicadores!J42,Indicadores!J42,"")</f>
        <v/>
      </c>
      <c r="L6" s="40" t="str">
        <f>IF(Indicadores!K42,Indicadores!K42,"")</f>
        <v/>
      </c>
      <c r="M6" s="40" t="str">
        <f>IF(Indicadores!L42,Indicadores!L42,"")</f>
        <v/>
      </c>
      <c r="N6" s="40" t="str">
        <f>IF(Indicadores!M42,Indicadores!M42,"")</f>
        <v/>
      </c>
      <c r="O6" s="40" t="str">
        <f>IF(Indicadores!N42,Indicadores!N42,"")</f>
        <v/>
      </c>
      <c r="P6" s="40" t="str">
        <f>IF(Indicadores!O42,Indicadores!O42,"")</f>
        <v/>
      </c>
      <c r="Q6" s="40" t="str">
        <f>IF(Indicadores!P42,Indicadores!P42,"")</f>
        <v/>
      </c>
      <c r="R6" s="40" t="str">
        <f>IF(Indicadores!Q42,Indicadores!Q42,"")</f>
        <v/>
      </c>
      <c r="S6" s="40" t="str">
        <f>IF(Indicadores!R42,Indicadores!R42,"")</f>
        <v/>
      </c>
      <c r="T6" s="40" t="str">
        <f>IF(Indicadores!S42,Indicadores!S42,"")</f>
        <v/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1781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19964.944519903129</v>
      </c>
      <c r="AJ15" s="66">
        <f>SUM(AJ16:AJ18)</f>
        <v>644.03046838397188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7</v>
      </c>
      <c r="H16" s="137">
        <f t="shared" si="2"/>
        <v>8.734835355285961</v>
      </c>
      <c r="I16" s="137">
        <f t="shared" si="2"/>
        <v>8.4228769497400346</v>
      </c>
      <c r="J16" s="137">
        <f t="shared" si="2"/>
        <v>3.4315424610051992</v>
      </c>
      <c r="K16" s="137">
        <f t="shared" si="2"/>
        <v>1.2478336221837087</v>
      </c>
      <c r="L16" s="137">
        <f t="shared" si="2"/>
        <v>8.734835355285961</v>
      </c>
      <c r="M16" s="137">
        <f t="shared" si="2"/>
        <v>5.9272097053726167</v>
      </c>
      <c r="N16" s="137">
        <f t="shared" si="2"/>
        <v>7.1750433275563257</v>
      </c>
      <c r="O16" s="137">
        <f t="shared" si="2"/>
        <v>10.918544194107453</v>
      </c>
      <c r="P16" s="137">
        <f t="shared" si="2"/>
        <v>7.1750433275563257</v>
      </c>
      <c r="Q16" s="137">
        <f t="shared" si="2"/>
        <v>0.62391681109185437</v>
      </c>
      <c r="R16" s="137">
        <f t="shared" si="2"/>
        <v>1.2478336221837087</v>
      </c>
      <c r="S16" s="137">
        <f t="shared" si="2"/>
        <v>9.3587521663778155</v>
      </c>
      <c r="T16" s="137">
        <f t="shared" si="2"/>
        <v>10.294627383015598</v>
      </c>
      <c r="U16" s="137">
        <f t="shared" si="2"/>
        <v>9.0467937608318891</v>
      </c>
      <c r="V16" s="137">
        <f t="shared" si="2"/>
        <v>6.5511265164644712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176.61178509532064</v>
      </c>
      <c r="AJ16" s="106">
        <f>AI16/COUNTA(C16:AG16)</f>
        <v>5.6971543579135693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31</v>
      </c>
      <c r="E17" s="137">
        <f t="shared" ref="E17:AG17" si="5">IF(E5&lt;&gt;"",E5,E11)</f>
        <v>739</v>
      </c>
      <c r="F17" s="137">
        <f t="shared" si="5"/>
        <v>751</v>
      </c>
      <c r="G17" s="137">
        <f t="shared" si="5"/>
        <v>671</v>
      </c>
      <c r="H17" s="137">
        <f t="shared" si="5"/>
        <v>514.52409494126107</v>
      </c>
      <c r="I17" s="137">
        <f t="shared" si="5"/>
        <v>504.43538719731475</v>
      </c>
      <c r="J17" s="137">
        <f t="shared" si="5"/>
        <v>102.46343802445458</v>
      </c>
      <c r="K17" s="137">
        <f t="shared" si="5"/>
        <v>46.029729081754972</v>
      </c>
      <c r="L17" s="137">
        <f t="shared" si="5"/>
        <v>435.07552145768398</v>
      </c>
      <c r="M17" s="137">
        <f t="shared" si="5"/>
        <v>383.37089426995919</v>
      </c>
      <c r="N17" s="137">
        <f t="shared" si="5"/>
        <v>550.14984416207153</v>
      </c>
      <c r="O17" s="137">
        <f t="shared" si="5"/>
        <v>502.54375449532489</v>
      </c>
      <c r="P17" s="137">
        <f t="shared" si="5"/>
        <v>458.40565811555985</v>
      </c>
      <c r="Q17" s="137">
        <f t="shared" si="5"/>
        <v>113.18269000239751</v>
      </c>
      <c r="R17" s="137">
        <f t="shared" si="5"/>
        <v>30.896667465835527</v>
      </c>
      <c r="S17" s="137">
        <f t="shared" si="5"/>
        <v>540.69168065212182</v>
      </c>
      <c r="T17" s="137">
        <f t="shared" si="5"/>
        <v>500.96739391033321</v>
      </c>
      <c r="U17" s="137">
        <f t="shared" si="5"/>
        <v>406.38575881083676</v>
      </c>
      <c r="V17" s="137">
        <f t="shared" si="5"/>
        <v>362.87820666506832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10987.776792136179</v>
      </c>
      <c r="AJ17" s="106">
        <f>AI17/COUNTA(C17:AG17)</f>
        <v>354.44441264955418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48</v>
      </c>
      <c r="E18" s="148">
        <f t="shared" ref="E18:AG18" si="8">IF(E6&lt;&gt;"",E6,E12)</f>
        <v>677</v>
      </c>
      <c r="F18" s="148">
        <f t="shared" si="8"/>
        <v>568</v>
      </c>
      <c r="G18" s="148">
        <f t="shared" si="8"/>
        <v>488</v>
      </c>
      <c r="H18" s="148">
        <f t="shared" si="8"/>
        <v>411.46361548816219</v>
      </c>
      <c r="I18" s="148">
        <f t="shared" si="8"/>
        <v>362.11465674241828</v>
      </c>
      <c r="J18" s="148">
        <f t="shared" si="8"/>
        <v>89.695066909494017</v>
      </c>
      <c r="K18" s="148">
        <f t="shared" si="8"/>
        <v>39.345791432417457</v>
      </c>
      <c r="L18" s="148">
        <f t="shared" si="8"/>
        <v>414.13112677171586</v>
      </c>
      <c r="M18" s="148">
        <f t="shared" si="8"/>
        <v>335.77298281732516</v>
      </c>
      <c r="N18" s="148">
        <f t="shared" si="8"/>
        <v>407.79578747327577</v>
      </c>
      <c r="O18" s="148">
        <f t="shared" si="8"/>
        <v>374.11845751841003</v>
      </c>
      <c r="P18" s="148">
        <f t="shared" si="8"/>
        <v>329.43764351888507</v>
      </c>
      <c r="Q18" s="148">
        <f t="shared" si="8"/>
        <v>90.361944730382461</v>
      </c>
      <c r="R18" s="148">
        <f t="shared" si="8"/>
        <v>40.679547074194311</v>
      </c>
      <c r="S18" s="148">
        <f t="shared" si="8"/>
        <v>451.47628474146802</v>
      </c>
      <c r="T18" s="148">
        <f t="shared" si="8"/>
        <v>393.79135323461873</v>
      </c>
      <c r="U18" s="148">
        <f t="shared" si="8"/>
        <v>338.77393301132315</v>
      </c>
      <c r="V18" s="148">
        <f t="shared" si="8"/>
        <v>252.41325520627126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8800.5559426716281</v>
      </c>
      <c r="AJ18" s="109">
        <f>AI18/COUNTA(C18:AG18)</f>
        <v>283.88890137650412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3998</v>
      </c>
      <c r="D21" s="142">
        <f>SUM(D22:D24)</f>
        <v>19964.944519903129</v>
      </c>
      <c r="E21" s="143">
        <f>SUM(E22:E24)</f>
        <v>19121.999999999996</v>
      </c>
      <c r="F21" s="138">
        <f>(D21-E21)/E21</f>
        <v>4.408244534583896E-2</v>
      </c>
      <c r="G21" s="133">
        <f>F21</f>
        <v>4.408244534583896E-2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25</v>
      </c>
      <c r="D22" s="145">
        <f>AI16</f>
        <v>176.61178509532064</v>
      </c>
      <c r="E22" s="143">
        <f>$AI$10</f>
        <v>180.00000000000003</v>
      </c>
      <c r="F22" s="139">
        <f t="shared" ref="F22:F24" si="11">(D22-E22)/E22</f>
        <v>-1.8823416137107703E-2</v>
      </c>
      <c r="G22" s="133">
        <f>F22</f>
        <v>-1.8823416137107703E-2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2192</v>
      </c>
      <c r="D23" s="145">
        <f>AI17</f>
        <v>10987.776792136179</v>
      </c>
      <c r="E23" s="143">
        <f>AI11</f>
        <v>10520</v>
      </c>
      <c r="F23" s="139">
        <f t="shared" si="11"/>
        <v>4.4465474537659623E-2</v>
      </c>
      <c r="G23" s="133">
        <f>F23</f>
        <v>4.4465474537659623E-2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1781</v>
      </c>
      <c r="D24" s="147">
        <f>AI18</f>
        <v>8800.5559426716281</v>
      </c>
      <c r="E24" s="166">
        <f>AI12</f>
        <v>8421.9999999999964</v>
      </c>
      <c r="F24" s="140">
        <f t="shared" si="11"/>
        <v>4.4948461490338633E-2</v>
      </c>
      <c r="G24" s="136">
        <f>F24</f>
        <v>4.4948461490338633E-2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3998</v>
      </c>
      <c r="D6" s="7">
        <f>'Dados - Gráficos'!D21</f>
        <v>19964.944519903129</v>
      </c>
      <c r="E6" s="93">
        <f>'Dados - Gráficos'!E21</f>
        <v>19121.999999999996</v>
      </c>
      <c r="F6" s="118">
        <f>'Dados - Gráficos'!F21</f>
        <v>4.408244534583896E-2</v>
      </c>
      <c r="G6" s="119">
        <f>'Dados - Gráficos'!G21</f>
        <v>4.408244534583896E-2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25</v>
      </c>
      <c r="D7" s="8">
        <f>'Dados - Gráficos'!D22</f>
        <v>176.61178509532064</v>
      </c>
      <c r="E7" s="93">
        <f>'Dados - Gráficos'!E22</f>
        <v>180.00000000000003</v>
      </c>
      <c r="F7" s="120">
        <f>'Dados - Gráficos'!F22</f>
        <v>-1.8823416137107703E-2</v>
      </c>
      <c r="G7" s="119">
        <f>'Dados - Gráficos'!G22</f>
        <v>-1.8823416137107703E-2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2192</v>
      </c>
      <c r="D8" s="8">
        <f>'Dados - Gráficos'!D23</f>
        <v>10987.776792136179</v>
      </c>
      <c r="E8" s="93">
        <f>'Dados - Gráficos'!E23</f>
        <v>10520</v>
      </c>
      <c r="F8" s="120">
        <f>'Dados - Gráficos'!F23</f>
        <v>4.4465474537659623E-2</v>
      </c>
      <c r="G8" s="119">
        <f>'Dados - Gráficos'!G23</f>
        <v>4.4465474537659623E-2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1781</v>
      </c>
      <c r="D9" s="17">
        <f>'Dados - Gráficos'!D24</f>
        <v>8800.5559426716281</v>
      </c>
      <c r="E9" s="94">
        <f>'Dados - Gráficos'!E24</f>
        <v>8421.9999999999964</v>
      </c>
      <c r="F9" s="121">
        <f>'Dados - Gráficos'!F24</f>
        <v>4.4948461490338633E-2</v>
      </c>
      <c r="G9" s="122">
        <f>'Dados - Gráficos'!G24</f>
        <v>4.4948461490338633E-2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2016-05-05T13:30:11Z</dcterms:modified>
</cp:coreProperties>
</file>