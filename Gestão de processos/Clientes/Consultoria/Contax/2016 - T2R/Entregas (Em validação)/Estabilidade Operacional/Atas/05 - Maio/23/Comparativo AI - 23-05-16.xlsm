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8435" windowHeight="570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<sst xmlns="http://schemas.openxmlformats.org/spreadsheetml/2006/main" count="418" uniqueCount="39">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</sst>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15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537</c:v>
                </c:pt>
                <c:pt idx="9">
                  <c:v>546</c:v>
                </c:pt>
                <c:pt idx="10">
                  <c:v>528</c:v>
                </c:pt>
                <c:pt idx="11">
                  <c:v>401</c:v>
                </c:pt>
                <c:pt idx="12">
                  <c:v>414</c:v>
                </c:pt>
                <c:pt idx="13">
                  <c:v>111</c:v>
                </c:pt>
                <c:pt idx="14">
                  <c:v>27</c:v>
                </c:pt>
                <c:pt idx="15">
                  <c:v>518</c:v>
                </c:pt>
                <c:pt idx="16">
                  <c:v>519</c:v>
                </c:pt>
                <c:pt idx="17">
                  <c:v>451</c:v>
                </c:pt>
                <c:pt idx="18">
                  <c:v>426</c:v>
                </c:pt>
                <c:pt idx="19">
                  <c:v>431</c:v>
                </c:pt>
                <c:pt idx="20">
                  <c:v>93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365</c:v>
                </c:pt>
                <c:pt idx="10">
                  <c:v>381</c:v>
                </c:pt>
                <c:pt idx="11">
                  <c:v>382</c:v>
                </c:pt>
                <c:pt idx="12">
                  <c:v>334</c:v>
                </c:pt>
                <c:pt idx="13">
                  <c:v>86</c:v>
                </c:pt>
                <c:pt idx="14">
                  <c:v>38</c:v>
                </c:pt>
                <c:pt idx="15">
                  <c:v>408</c:v>
                </c:pt>
                <c:pt idx="16">
                  <c:v>442</c:v>
                </c:pt>
                <c:pt idx="17">
                  <c:v>431</c:v>
                </c:pt>
                <c:pt idx="18">
                  <c:v>315</c:v>
                </c:pt>
                <c:pt idx="19">
                  <c:v>267</c:v>
                </c:pt>
                <c:pt idx="20">
                  <c:v>82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1PPMIkO2DeHjIMptQp2Wd1ymL/1Xt7i2Mg3cJ2s3K7lGV+BuF+tFegpfR8yB7LhlAL3KNdPK1bcu6665/4AzyA==" saltValue="iBWZCAmK/tzZSt9jhT5X3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O4ankUEpW20YqubNdWq+LtHdvhvEFKbjzN1gx5i3vO2QRK28DdGI1PY/MNtwZCeaOggAR/v7SL6n/FJ+RWX/cA==" saltValue="rN1Z+iNiISs7S8w2Jcyve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Ixe27PEZGJ9ZXblNNsyICA9lktxhVFINCZzP4iCfG3MSxjgTEYdyL6aV8/FEyX48o5Zpv85VwP6zSyhEd1p88Q==" saltValue="r32Lp0mlB1GXktK31hbgm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X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14441</v>
      </c>
      <c r="AI39" s="71">
        <f>AH39/COUNTA(C40:AG40)</f>
        <v>656.40909090909088</v>
      </c>
      <c r="AJ39" s="55">
        <f>AI39*31</f>
        <v>20348.681818181816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15</v>
      </c>
      <c r="W40" s="24">
        <v>2</v>
      </c>
      <c r="X40" s="24">
        <v>6</v>
      </c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139</v>
      </c>
      <c r="AI40" s="38">
        <f>AH40/COUNTA(C40:AG40)</f>
        <v>6.3181818181818183</v>
      </c>
      <c r="AJ40" s="56">
        <f>AI40*31</f>
        <v>195.86363636363637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529</v>
      </c>
      <c r="G41" s="156">
        <v>461</v>
      </c>
      <c r="H41" s="156">
        <v>382</v>
      </c>
      <c r="I41" s="156">
        <v>98</v>
      </c>
      <c r="J41" s="156">
        <v>29</v>
      </c>
      <c r="K41" s="156">
        <v>537</v>
      </c>
      <c r="L41" s="156">
        <v>546</v>
      </c>
      <c r="M41" s="156">
        <v>528</v>
      </c>
      <c r="N41" s="156">
        <v>401</v>
      </c>
      <c r="O41" s="156">
        <v>414</v>
      </c>
      <c r="P41" s="156">
        <v>111</v>
      </c>
      <c r="Q41" s="24">
        <v>27</v>
      </c>
      <c r="R41" s="24">
        <v>518</v>
      </c>
      <c r="S41" s="24">
        <v>519</v>
      </c>
      <c r="T41" s="24">
        <v>451</v>
      </c>
      <c r="U41" s="24">
        <v>426</v>
      </c>
      <c r="V41" s="24">
        <v>431</v>
      </c>
      <c r="W41" s="24">
        <v>93</v>
      </c>
      <c r="X41" s="24">
        <v>44</v>
      </c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7729</v>
      </c>
      <c r="AI41" s="38">
        <f>AH41/COUNTA(C41:AG41)</f>
        <v>351.31818181818181</v>
      </c>
      <c r="AJ41" s="56">
        <f>AI41*31</f>
        <v>10890.863636363636</v>
      </c>
    </row>
    <row r="42" spans="2:36" ht="15.75" thickBot="1" x14ac:dyDescent="0.3">
      <c r="B42" s="169" t="s">
        <v>21</v>
      </c>
      <c r="C42" s="155">
        <v>46</v>
      </c>
      <c r="D42" s="155">
        <v>661</v>
      </c>
      <c r="E42" s="155">
        <v>566</v>
      </c>
      <c r="F42" s="155">
        <v>485</v>
      </c>
      <c r="G42" s="155">
        <v>389</v>
      </c>
      <c r="H42" s="155">
        <v>335</v>
      </c>
      <c r="I42" s="155">
        <v>90</v>
      </c>
      <c r="J42" s="155">
        <v>24</v>
      </c>
      <c r="K42" s="155">
        <v>410</v>
      </c>
      <c r="L42" s="155">
        <v>365</v>
      </c>
      <c r="M42" s="155">
        <v>381</v>
      </c>
      <c r="N42" s="155">
        <v>382</v>
      </c>
      <c r="O42" s="155">
        <v>334</v>
      </c>
      <c r="P42" s="155">
        <v>86</v>
      </c>
      <c r="Q42" s="25">
        <v>38</v>
      </c>
      <c r="R42" s="25">
        <v>408</v>
      </c>
      <c r="S42" s="25">
        <v>442</v>
      </c>
      <c r="T42" s="25">
        <v>431</v>
      </c>
      <c r="U42" s="25">
        <v>315</v>
      </c>
      <c r="V42" s="25">
        <v>267</v>
      </c>
      <c r="W42" s="25">
        <v>82</v>
      </c>
      <c r="X42" s="25">
        <v>36</v>
      </c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6573</v>
      </c>
      <c r="AI42" s="37">
        <f>AH42/COUNTA(C42:AG42)</f>
        <v>298.77272727272725</v>
      </c>
      <c r="AJ42" s="57">
        <f>AI42*31</f>
        <v>9261.9545454545441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15</v>
      </c>
      <c r="X4" s="39">
        <f>IF(Indicadores!W40,Indicadores!W40,"")</f>
        <v>2</v>
      </c>
      <c r="Y4" s="39">
        <f>IF(Indicadores!X40,Indicadores!X40,"")</f>
        <v>6</v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139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529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537</v>
      </c>
      <c r="M5" s="39">
        <f>IF(Indicadores!L41,Indicadores!L41,"")</f>
        <v>546</v>
      </c>
      <c r="N5" s="39">
        <f>IF(Indicadores!M41,Indicadores!M41,"")</f>
        <v>528</v>
      </c>
      <c r="O5" s="39">
        <f>IF(Indicadores!N41,Indicadores!N41,"")</f>
        <v>401</v>
      </c>
      <c r="P5" s="39">
        <f>IF(Indicadores!O41,Indicadores!O41,"")</f>
        <v>414</v>
      </c>
      <c r="Q5" s="39">
        <f>IF(Indicadores!P41,Indicadores!P41,"")</f>
        <v>111</v>
      </c>
      <c r="R5" s="39">
        <f>IF(Indicadores!Q41,Indicadores!Q41,"")</f>
        <v>27</v>
      </c>
      <c r="S5" s="39">
        <f>IF(Indicadores!R41,Indicadores!R41,"")</f>
        <v>518</v>
      </c>
      <c r="T5" s="39">
        <f>IF(Indicadores!S41,Indicadores!S41,"")</f>
        <v>519</v>
      </c>
      <c r="U5" s="39">
        <f>IF(Indicadores!T41,Indicadores!T41,"")</f>
        <v>451</v>
      </c>
      <c r="V5" s="39">
        <f>IF(Indicadores!U41,Indicadores!U41,"")</f>
        <v>426</v>
      </c>
      <c r="W5" s="39">
        <f>IF(Indicadores!V41,Indicadores!V41,"")</f>
        <v>431</v>
      </c>
      <c r="X5" s="39">
        <f>IF(Indicadores!W41,Indicadores!W41,"")</f>
        <v>93</v>
      </c>
      <c r="Y5" s="39">
        <f>IF(Indicadores!X41,Indicadores!X41,"")</f>
        <v>44</v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7729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661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90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365</v>
      </c>
      <c r="N6" s="40">
        <f>IF(Indicadores!M42,Indicadores!M42,"")</f>
        <v>381</v>
      </c>
      <c r="O6" s="40">
        <f>IF(Indicadores!N42,Indicadores!N42,"")</f>
        <v>382</v>
      </c>
      <c r="P6" s="40">
        <f>IF(Indicadores!O42,Indicadores!O42,"")</f>
        <v>334</v>
      </c>
      <c r="Q6" s="40">
        <f>IF(Indicadores!P42,Indicadores!P42,"")</f>
        <v>86</v>
      </c>
      <c r="R6" s="40">
        <f>IF(Indicadores!Q42,Indicadores!Q42,"")</f>
        <v>38</v>
      </c>
      <c r="S6" s="40">
        <f>IF(Indicadores!R42,Indicadores!R42,"")</f>
        <v>408</v>
      </c>
      <c r="T6" s="40">
        <f>IF(Indicadores!S42,Indicadores!S42,"")</f>
        <v>442</v>
      </c>
      <c r="U6" s="40">
        <f>IF(Indicadores!T42,Indicadores!T42,"")</f>
        <v>431</v>
      </c>
      <c r="V6" s="40">
        <f>IF(Indicadores!U42,Indicadores!U42,"")</f>
        <v>315</v>
      </c>
      <c r="W6" s="40">
        <f>IF(Indicadores!V42,Indicadores!V42,"")</f>
        <v>267</v>
      </c>
      <c r="X6" s="40">
        <f>IF(Indicadores!W42,Indicadores!W42,"")</f>
        <v>82</v>
      </c>
      <c r="Y6" s="40">
        <f>IF(Indicadores!X42,Indicadores!X42,"")</f>
        <v>36</v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6573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19524.685924881465</v>
      </c>
      <c r="AJ15" s="66">
        <f>SUM(AJ16:AJ18)</f>
        <v>629.82857822198275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15</v>
      </c>
      <c r="X16" s="137">
        <f t="shared" si="2"/>
        <v>2</v>
      </c>
      <c r="Y16" s="137">
        <f t="shared" si="2"/>
        <v>6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182.67417677642985</v>
      </c>
      <c r="AJ16" s="106">
        <f>AI16/COUNTA(C16:AG16)</f>
        <v>5.8927153798848337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529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537</v>
      </c>
      <c r="M17" s="137">
        <f t="shared" si="5"/>
        <v>546</v>
      </c>
      <c r="N17" s="137">
        <f t="shared" si="5"/>
        <v>528</v>
      </c>
      <c r="O17" s="137">
        <f t="shared" si="5"/>
        <v>401</v>
      </c>
      <c r="P17" s="137">
        <f t="shared" si="5"/>
        <v>414</v>
      </c>
      <c r="Q17" s="137">
        <f t="shared" si="5"/>
        <v>111</v>
      </c>
      <c r="R17" s="137">
        <f t="shared" si="5"/>
        <v>27</v>
      </c>
      <c r="S17" s="137">
        <f t="shared" si="5"/>
        <v>518</v>
      </c>
      <c r="T17" s="137">
        <f t="shared" si="5"/>
        <v>519</v>
      </c>
      <c r="U17" s="137">
        <f t="shared" si="5"/>
        <v>451</v>
      </c>
      <c r="V17" s="137">
        <f t="shared" si="5"/>
        <v>426</v>
      </c>
      <c r="W17" s="137">
        <f t="shared" si="5"/>
        <v>431</v>
      </c>
      <c r="X17" s="137">
        <f t="shared" si="5"/>
        <v>93</v>
      </c>
      <c r="Y17" s="137">
        <f t="shared" si="5"/>
        <v>44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10545.641093263008</v>
      </c>
      <c r="AJ17" s="106">
        <f>AI17/COUNTA(C17:AG17)</f>
        <v>340.18197075041962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661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90</v>
      </c>
      <c r="K18" s="148">
        <f t="shared" si="8"/>
        <v>24</v>
      </c>
      <c r="L18" s="148">
        <f t="shared" si="8"/>
        <v>410</v>
      </c>
      <c r="M18" s="148">
        <f t="shared" si="8"/>
        <v>365</v>
      </c>
      <c r="N18" s="148">
        <f t="shared" si="8"/>
        <v>381</v>
      </c>
      <c r="O18" s="148">
        <f t="shared" si="8"/>
        <v>382</v>
      </c>
      <c r="P18" s="148">
        <f t="shared" si="8"/>
        <v>334</v>
      </c>
      <c r="Q18" s="148">
        <f t="shared" si="8"/>
        <v>86</v>
      </c>
      <c r="R18" s="148">
        <f t="shared" si="8"/>
        <v>38</v>
      </c>
      <c r="S18" s="148">
        <f t="shared" si="8"/>
        <v>408</v>
      </c>
      <c r="T18" s="148">
        <f t="shared" si="8"/>
        <v>442</v>
      </c>
      <c r="U18" s="148">
        <f t="shared" si="8"/>
        <v>431</v>
      </c>
      <c r="V18" s="148">
        <f t="shared" si="8"/>
        <v>315</v>
      </c>
      <c r="W18" s="148">
        <f t="shared" si="8"/>
        <v>267</v>
      </c>
      <c r="X18" s="148">
        <f t="shared" si="8"/>
        <v>82</v>
      </c>
      <c r="Y18" s="148">
        <f t="shared" si="8"/>
        <v>36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8796.3706548420287</v>
      </c>
      <c r="AJ18" s="109">
        <f>AI18/COUNTA(C18:AG18)</f>
        <v>283.75389209167832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14441</v>
      </c>
      <c r="D21" s="142">
        <f>SUM(D22:D24)</f>
        <v>19524.685924881465</v>
      </c>
      <c r="E21" s="143">
        <f>SUM(E22:E24)</f>
        <v>19121.999999999996</v>
      </c>
      <c r="F21" s="138">
        <f>(D21-E21)/E21</f>
        <v>2.1058776533912197E-2</v>
      </c>
      <c r="G21" s="133">
        <f>F21</f>
        <v>2.1058776533912197E-2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139</v>
      </c>
      <c r="D22" s="145">
        <f>AI16</f>
        <v>182.67417677642985</v>
      </c>
      <c r="E22" s="143">
        <f>$AI$10</f>
        <v>180.00000000000003</v>
      </c>
      <c r="F22" s="139">
        <f t="shared" ref="F22:F24" si="11">(D22-E22)/E22</f>
        <v>1.4856537646832316E-2</v>
      </c>
      <c r="G22" s="133">
        <f>F22</f>
        <v>1.4856537646832316E-2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7729</v>
      </c>
      <c r="D23" s="145">
        <f>AI17</f>
        <v>10545.641093263008</v>
      </c>
      <c r="E23" s="143">
        <f>AI11</f>
        <v>10520</v>
      </c>
      <c r="F23" s="139">
        <f t="shared" si="11"/>
        <v>2.437366279753599E-3</v>
      </c>
      <c r="G23" s="133">
        <f>F23</f>
        <v>2.437366279753599E-3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6573</v>
      </c>
      <c r="D24" s="147">
        <f>AI18</f>
        <v>8796.3706548420287</v>
      </c>
      <c r="E24" s="166">
        <f>AI12</f>
        <v>8421.9999999999964</v>
      </c>
      <c r="F24" s="140">
        <f t="shared" si="11"/>
        <v>4.4451514467113803E-2</v>
      </c>
      <c r="G24" s="136">
        <f>F24</f>
        <v>4.4451514467113803E-2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14441</v>
      </c>
      <c r="D6" s="7">
        <f>'Dados - Gráficos'!D21</f>
        <v>19524.685924881465</v>
      </c>
      <c r="E6" s="93">
        <f>'Dados - Gráficos'!E21</f>
        <v>19121.999999999996</v>
      </c>
      <c r="F6" s="118">
        <f>'Dados - Gráficos'!F21</f>
        <v>2.1058776533912197E-2</v>
      </c>
      <c r="G6" s="119">
        <f>'Dados - Gráficos'!G21</f>
        <v>2.1058776533912197E-2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139</v>
      </c>
      <c r="D7" s="8">
        <f>'Dados - Gráficos'!D22</f>
        <v>182.67417677642985</v>
      </c>
      <c r="E7" s="93">
        <f>'Dados - Gráficos'!E22</f>
        <v>180.00000000000003</v>
      </c>
      <c r="F7" s="120">
        <f>'Dados - Gráficos'!F22</f>
        <v>1.4856537646832316E-2</v>
      </c>
      <c r="G7" s="119">
        <f>'Dados - Gráficos'!G22</f>
        <v>1.4856537646832316E-2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7729</v>
      </c>
      <c r="D8" s="8">
        <f>'Dados - Gráficos'!D23</f>
        <v>10545.641093263008</v>
      </c>
      <c r="E8" s="93">
        <f>'Dados - Gráficos'!E23</f>
        <v>10520</v>
      </c>
      <c r="F8" s="120">
        <f>'Dados - Gráficos'!F23</f>
        <v>2.437366279753599E-3</v>
      </c>
      <c r="G8" s="119">
        <f>'Dados - Gráficos'!G23</f>
        <v>2.437366279753599E-3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6573</v>
      </c>
      <c r="D9" s="17">
        <f>'Dados - Gráficos'!D24</f>
        <v>8796.3706548420287</v>
      </c>
      <c r="E9" s="94">
        <f>'Dados - Gráficos'!E24</f>
        <v>8421.9999999999964</v>
      </c>
      <c r="F9" s="121">
        <f>'Dados - Gráficos'!F24</f>
        <v>4.4451514467113803E-2</v>
      </c>
      <c r="G9" s="122">
        <f>'Dados - Gráficos'!G24</f>
        <v>4.4451514467113803E-2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2016-05-23T12:41:04Z</dcterms:modified>
</cp:coreProperties>
</file>