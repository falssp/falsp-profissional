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<sst xmlns="http://schemas.openxmlformats.org/spreadsheetml/2006/main" count="418" uniqueCount="39">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</sst>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4-4477-BD6A-5FB474E6F28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B4-4477-BD6A-5FB474E6F2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E4-4BF0-A644-C0330DD66C3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E4-4BF0-A644-C0330DD66C3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27</c:v>
                </c:pt>
                <c:pt idx="1">
                  <c:v>627</c:v>
                </c:pt>
                <c:pt idx="2">
                  <c:v>641</c:v>
                </c:pt>
                <c:pt idx="3">
                  <c:v>558</c:v>
                </c:pt>
                <c:pt idx="4">
                  <c:v>539</c:v>
                </c:pt>
                <c:pt idx="5">
                  <c:v>432</c:v>
                </c:pt>
                <c:pt idx="6">
                  <c:v>111</c:v>
                </c:pt>
                <c:pt idx="7">
                  <c:v>33</c:v>
                </c:pt>
                <c:pt idx="8">
                  <c:v>664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8B-4686-B2A6-76008087528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8B-4686-B2A6-76008087528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674</c:v>
                </c:pt>
                <c:pt idx="2">
                  <c:v>572</c:v>
                </c:pt>
                <c:pt idx="3">
                  <c:v>486</c:v>
                </c:pt>
                <c:pt idx="4">
                  <c:v>388</c:v>
                </c:pt>
                <c:pt idx="5">
                  <c:v>334</c:v>
                </c:pt>
                <c:pt idx="6">
                  <c:v>91</c:v>
                </c:pt>
                <c:pt idx="7">
                  <c:v>24</c:v>
                </c:pt>
                <c:pt idx="8">
                  <c:v>397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E2jHXxCcKjPlQmPansfnhloRsBUeY0ogycigHLM+x6ns8AI0lFhUEbhX+Sx22O++EVWMsnMssk/ADQUlRjKqDA==" saltValue="TtchKd2JOirAhB/yHLeA9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14OVNnrc5ANWifI3H7j17s7wd0i7IhofEOa1MTBcmhTpfAToquY/rgu4YD53/QaFSbgrY7V4GHbehmIgZz9mlg==" saltValue="G9TP+6sOyXSVGZj90dgyb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J6/HSUL/JGtJsBUr6kOE8T9z9IbSJ/kVy2SAAoqLQxZJMJIBp18jvUw7jPujn4VGrOevxBbib4b7ddJ2L3716A==" saltValue="7vpdM9alaj1PA3FNYj8gR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568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K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6700</v>
      </c>
      <c r="AI39" s="71">
        <f>AH39/COUNTA(C40:AG40)</f>
        <v>744.44444444444446</v>
      </c>
      <c r="AJ39" s="55">
        <f>AI39*31</f>
        <v>23077.777777777777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13</v>
      </c>
      <c r="L40" s="156"/>
      <c r="M40" s="156"/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56</v>
      </c>
      <c r="AI40" s="38">
        <f>AH40/COUNTA(C40:AG40)</f>
        <v>6.2222222222222223</v>
      </c>
      <c r="AJ40" s="56">
        <f>AI40*31</f>
        <v>192.88888888888889</v>
      </c>
    </row>
    <row r="41" spans="2:36" x14ac:dyDescent="0.25">
      <c r="B41" s="168" t="s">
        <v>20</v>
      </c>
      <c r="C41" s="156">
        <v>27</v>
      </c>
      <c r="D41" s="156">
        <v>627</v>
      </c>
      <c r="E41" s="156">
        <v>641</v>
      </c>
      <c r="F41" s="156">
        <v>558</v>
      </c>
      <c r="G41" s="156">
        <v>539</v>
      </c>
      <c r="H41" s="156">
        <v>432</v>
      </c>
      <c r="I41" s="156">
        <v>111</v>
      </c>
      <c r="J41" s="156">
        <v>33</v>
      </c>
      <c r="K41" s="156">
        <v>664</v>
      </c>
      <c r="L41" s="156"/>
      <c r="M41" s="156"/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3632</v>
      </c>
      <c r="AI41" s="38">
        <f>AH41/COUNTA(C41:AG41)</f>
        <v>403.55555555555554</v>
      </c>
      <c r="AJ41" s="56">
        <f>AI41*31</f>
        <v>12510.222222222223</v>
      </c>
    </row>
    <row r="42" spans="2:36" ht="15.75" thickBot="1" x14ac:dyDescent="0.3">
      <c r="B42" s="169" t="s">
        <v>21</v>
      </c>
      <c r="C42" s="155">
        <v>46</v>
      </c>
      <c r="D42" s="155">
        <v>674</v>
      </c>
      <c r="E42" s="155">
        <v>572</v>
      </c>
      <c r="F42" s="155">
        <v>486</v>
      </c>
      <c r="G42" s="155">
        <v>388</v>
      </c>
      <c r="H42" s="155">
        <v>334</v>
      </c>
      <c r="I42" s="155">
        <v>91</v>
      </c>
      <c r="J42" s="155">
        <v>24</v>
      </c>
      <c r="K42" s="155">
        <v>397</v>
      </c>
      <c r="L42" s="155"/>
      <c r="M42" s="155"/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3012</v>
      </c>
      <c r="AI42" s="37">
        <f>AH42/COUNTA(C42:AG42)</f>
        <v>334.66666666666669</v>
      </c>
      <c r="AJ42" s="57">
        <f>AI42*31</f>
        <v>10374.666666666668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13</v>
      </c>
      <c r="M4" s="39" t="str">
        <f>IF(Indicadores!L40,Indicadores!L40,"")</f>
        <v/>
      </c>
      <c r="N4" s="39" t="str">
        <f>IF(Indicadores!M40,Indicadores!M40,"")</f>
        <v/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56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27</v>
      </c>
      <c r="E5" s="39">
        <f>IF(Indicadores!D41,Indicadores!D41,"")</f>
        <v>627</v>
      </c>
      <c r="F5" s="39">
        <f>IF(Indicadores!E41,Indicadores!E41,"")</f>
        <v>641</v>
      </c>
      <c r="G5" s="39">
        <f>IF(Indicadores!F41,Indicadores!F41,"")</f>
        <v>558</v>
      </c>
      <c r="H5" s="39">
        <f>IF(Indicadores!G41,Indicadores!G41,"")</f>
        <v>539</v>
      </c>
      <c r="I5" s="39">
        <f>IF(Indicadores!H41,Indicadores!H41,"")</f>
        <v>432</v>
      </c>
      <c r="J5" s="39">
        <f>IF(Indicadores!I41,Indicadores!I41,"")</f>
        <v>111</v>
      </c>
      <c r="K5" s="39">
        <f>IF(Indicadores!J41,Indicadores!J41,"")</f>
        <v>33</v>
      </c>
      <c r="L5" s="39">
        <f>IF(Indicadores!K41,Indicadores!K41,"")</f>
        <v>664</v>
      </c>
      <c r="M5" s="39" t="str">
        <f>IF(Indicadores!L41,Indicadores!L41,"")</f>
        <v/>
      </c>
      <c r="N5" s="39" t="str">
        <f>IF(Indicadores!M41,Indicadores!M41,"")</f>
        <v/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3632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674</v>
      </c>
      <c r="F6" s="40">
        <f>IF(Indicadores!E42,Indicadores!E42,"")</f>
        <v>572</v>
      </c>
      <c r="G6" s="40">
        <f>IF(Indicadores!F42,Indicadores!F42,"")</f>
        <v>486</v>
      </c>
      <c r="H6" s="40">
        <f>IF(Indicadores!G42,Indicadores!G42,"")</f>
        <v>388</v>
      </c>
      <c r="I6" s="40">
        <f>IF(Indicadores!H42,Indicadores!H42,"")</f>
        <v>334</v>
      </c>
      <c r="J6" s="40">
        <f>IF(Indicadores!I42,Indicadores!I42,"")</f>
        <v>91</v>
      </c>
      <c r="K6" s="40">
        <f>IF(Indicadores!J42,Indicadores!J42,"")</f>
        <v>24</v>
      </c>
      <c r="L6" s="40">
        <f>IF(Indicadores!K42,Indicadores!K42,"")</f>
        <v>397</v>
      </c>
      <c r="M6" s="40" t="str">
        <f>IF(Indicadores!L42,Indicadores!L42,"")</f>
        <v/>
      </c>
      <c r="N6" s="40" t="str">
        <f>IF(Indicadores!M42,Indicadores!M42,"")</f>
        <v/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3012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19717.094168112948</v>
      </c>
      <c r="AJ15" s="66">
        <f>SUM(AJ16:AJ18)</f>
        <v>636.03529574557899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13</v>
      </c>
      <c r="M16" s="137">
        <f t="shared" si="2"/>
        <v>5.9272097053726167</v>
      </c>
      <c r="N16" s="137">
        <f t="shared" si="2"/>
        <v>7.1750433275563257</v>
      </c>
      <c r="O16" s="137">
        <f t="shared" si="2"/>
        <v>10.918544194107453</v>
      </c>
      <c r="P16" s="137">
        <f t="shared" si="2"/>
        <v>7.1750433275563257</v>
      </c>
      <c r="Q16" s="137">
        <f t="shared" si="2"/>
        <v>0.62391681109185437</v>
      </c>
      <c r="R16" s="137">
        <f t="shared" si="2"/>
        <v>1.2478336221837087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177.03986135181978</v>
      </c>
      <c r="AJ16" s="106">
        <f>AI16/COUNTA(C16:AG16)</f>
        <v>5.7109632694135417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27</v>
      </c>
      <c r="E17" s="137">
        <f t="shared" ref="E17:AG17" si="5">IF(E5&lt;&gt;"",E5,E11)</f>
        <v>627</v>
      </c>
      <c r="F17" s="137">
        <f t="shared" si="5"/>
        <v>641</v>
      </c>
      <c r="G17" s="137">
        <f t="shared" si="5"/>
        <v>558</v>
      </c>
      <c r="H17" s="137">
        <f t="shared" si="5"/>
        <v>539</v>
      </c>
      <c r="I17" s="137">
        <f t="shared" si="5"/>
        <v>432</v>
      </c>
      <c r="J17" s="137">
        <f t="shared" si="5"/>
        <v>111</v>
      </c>
      <c r="K17" s="137">
        <f t="shared" si="5"/>
        <v>33</v>
      </c>
      <c r="L17" s="137">
        <f t="shared" si="5"/>
        <v>664</v>
      </c>
      <c r="M17" s="137">
        <f t="shared" si="5"/>
        <v>383.37089426995919</v>
      </c>
      <c r="N17" s="137">
        <f t="shared" si="5"/>
        <v>550.14984416207153</v>
      </c>
      <c r="O17" s="137">
        <f t="shared" si="5"/>
        <v>502.54375449532489</v>
      </c>
      <c r="P17" s="137">
        <f t="shared" si="5"/>
        <v>458.40565811555985</v>
      </c>
      <c r="Q17" s="137">
        <f t="shared" si="5"/>
        <v>113.18269000239751</v>
      </c>
      <c r="R17" s="137">
        <f t="shared" si="5"/>
        <v>30.896667465835527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10825.24862143371</v>
      </c>
      <c r="AJ17" s="106">
        <f>AI17/COUNTA(C17:AG17)</f>
        <v>349.20156843334547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674</v>
      </c>
      <c r="F18" s="148">
        <f t="shared" si="8"/>
        <v>572</v>
      </c>
      <c r="G18" s="148">
        <f t="shared" si="8"/>
        <v>486</v>
      </c>
      <c r="H18" s="148">
        <f t="shared" si="8"/>
        <v>388</v>
      </c>
      <c r="I18" s="148">
        <f t="shared" si="8"/>
        <v>334</v>
      </c>
      <c r="J18" s="148">
        <f t="shared" si="8"/>
        <v>91</v>
      </c>
      <c r="K18" s="148">
        <f t="shared" si="8"/>
        <v>24</v>
      </c>
      <c r="L18" s="148">
        <f t="shared" si="8"/>
        <v>397</v>
      </c>
      <c r="M18" s="148">
        <f t="shared" si="8"/>
        <v>335.77298281732516</v>
      </c>
      <c r="N18" s="148">
        <f t="shared" si="8"/>
        <v>407.79578747327577</v>
      </c>
      <c r="O18" s="148">
        <f t="shared" si="8"/>
        <v>374.11845751841003</v>
      </c>
      <c r="P18" s="148">
        <f t="shared" si="8"/>
        <v>329.43764351888507</v>
      </c>
      <c r="Q18" s="148">
        <f t="shared" si="8"/>
        <v>90.361944730382461</v>
      </c>
      <c r="R18" s="148">
        <f t="shared" si="8"/>
        <v>40.679547074194311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8714.8056853274193</v>
      </c>
      <c r="AJ18" s="109">
        <f>AI18/COUNTA(C18:AG18)</f>
        <v>281.12276404281999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6700</v>
      </c>
      <c r="D21" s="142">
        <f>SUM(D22:D24)</f>
        <v>19717.094168112948</v>
      </c>
      <c r="E21" s="143">
        <f>SUM(E22:E24)</f>
        <v>19121.999999999996</v>
      </c>
      <c r="F21" s="138">
        <f>(D21-E21)/E21</f>
        <v>3.1120916646425672E-2</v>
      </c>
      <c r="G21" s="133">
        <f>F21</f>
        <v>3.1120916646425672E-2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56</v>
      </c>
      <c r="D22" s="145">
        <f>AI16</f>
        <v>177.03986135181978</v>
      </c>
      <c r="E22" s="143">
        <f>$AI$10</f>
        <v>180.00000000000003</v>
      </c>
      <c r="F22" s="139">
        <f t="shared" ref="F22:F24" si="11">(D22-E22)/E22</f>
        <v>-1.6445214712112487E-2</v>
      </c>
      <c r="G22" s="133">
        <f>F22</f>
        <v>-1.6445214712112487E-2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3632</v>
      </c>
      <c r="D23" s="145">
        <f>AI17</f>
        <v>10825.24862143371</v>
      </c>
      <c r="E23" s="143">
        <f>AI11</f>
        <v>10520</v>
      </c>
      <c r="F23" s="139">
        <f t="shared" si="11"/>
        <v>2.9016028653394445E-2</v>
      </c>
      <c r="G23" s="133">
        <f>F23</f>
        <v>2.9016028653394445E-2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3012</v>
      </c>
      <c r="D24" s="147">
        <f>AI18</f>
        <v>8714.8056853274193</v>
      </c>
      <c r="E24" s="166">
        <f>AI12</f>
        <v>8421.9999999999964</v>
      </c>
      <c r="F24" s="140">
        <f t="shared" si="11"/>
        <v>3.4766763871695916E-2</v>
      </c>
      <c r="G24" s="136">
        <f>F24</f>
        <v>3.4766763871695916E-2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6700</v>
      </c>
      <c r="D6" s="7">
        <f>'Dados - Gráficos'!D21</f>
        <v>19717.094168112948</v>
      </c>
      <c r="E6" s="93">
        <f>'Dados - Gráficos'!E21</f>
        <v>19121.999999999996</v>
      </c>
      <c r="F6" s="118">
        <f>'Dados - Gráficos'!F21</f>
        <v>3.1120916646425672E-2</v>
      </c>
      <c r="G6" s="119">
        <f>'Dados - Gráficos'!G21</f>
        <v>3.1120916646425672E-2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56</v>
      </c>
      <c r="D7" s="8">
        <f>'Dados - Gráficos'!D22</f>
        <v>177.03986135181978</v>
      </c>
      <c r="E7" s="93">
        <f>'Dados - Gráficos'!E22</f>
        <v>180.00000000000003</v>
      </c>
      <c r="F7" s="120">
        <f>'Dados - Gráficos'!F22</f>
        <v>-1.6445214712112487E-2</v>
      </c>
      <c r="G7" s="119">
        <f>'Dados - Gráficos'!G22</f>
        <v>-1.6445214712112487E-2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3632</v>
      </c>
      <c r="D8" s="8">
        <f>'Dados - Gráficos'!D23</f>
        <v>10825.24862143371</v>
      </c>
      <c r="E8" s="93">
        <f>'Dados - Gráficos'!E23</f>
        <v>10520</v>
      </c>
      <c r="F8" s="120">
        <f>'Dados - Gráficos'!F23</f>
        <v>2.9016028653394445E-2</v>
      </c>
      <c r="G8" s="119">
        <f>'Dados - Gráficos'!G23</f>
        <v>2.9016028653394445E-2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3012</v>
      </c>
      <c r="D9" s="17">
        <f>'Dados - Gráficos'!D24</f>
        <v>8714.8056853274193</v>
      </c>
      <c r="E9" s="94">
        <f>'Dados - Gráficos'!E24</f>
        <v>8421.9999999999964</v>
      </c>
      <c r="F9" s="121">
        <f>'Dados - Gráficos'!F24</f>
        <v>3.4766763871695916E-2</v>
      </c>
      <c r="G9" s="122">
        <f>'Dados - Gráficos'!G24</f>
        <v>3.4766763871695916E-2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2016-05-10T13:41:54Z</dcterms:modified>
</cp:coreProperties>
</file>