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<sst xmlns="http://schemas.openxmlformats.org/spreadsheetml/2006/main" count="418" uniqueCount="39">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</sst>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577</c:v>
                </c:pt>
                <c:pt idx="2">
                  <c:v>585</c:v>
                </c:pt>
                <c:pt idx="3">
                  <c:v>530</c:v>
                </c:pt>
                <c:pt idx="4">
                  <c:v>474</c:v>
                </c:pt>
                <c:pt idx="5">
                  <c:v>386</c:v>
                </c:pt>
                <c:pt idx="6">
                  <c:v>100</c:v>
                </c:pt>
                <c:pt idx="7">
                  <c:v>29</c:v>
                </c:pt>
                <c:pt idx="8">
                  <c:v>549</c:v>
                </c:pt>
                <c:pt idx="9">
                  <c:v>578</c:v>
                </c:pt>
                <c:pt idx="10">
                  <c:v>544</c:v>
                </c:pt>
                <c:pt idx="11">
                  <c:v>434</c:v>
                </c:pt>
                <c:pt idx="12">
                  <c:v>439</c:v>
                </c:pt>
                <c:pt idx="13">
                  <c:v>122</c:v>
                </c:pt>
                <c:pt idx="14">
                  <c:v>28</c:v>
                </c:pt>
                <c:pt idx="15">
                  <c:v>568</c:v>
                </c:pt>
                <c:pt idx="16">
                  <c:v>574</c:v>
                </c:pt>
                <c:pt idx="17">
                  <c:v>600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487</c:v>
                </c:pt>
                <c:pt idx="4">
                  <c:v>390</c:v>
                </c:pt>
                <c:pt idx="5">
                  <c:v>339</c:v>
                </c:pt>
                <c:pt idx="6">
                  <c:v>90</c:v>
                </c:pt>
                <c:pt idx="7">
                  <c:v>24</c:v>
                </c:pt>
                <c:pt idx="8">
                  <c:v>411</c:v>
                </c:pt>
                <c:pt idx="9">
                  <c:v>369</c:v>
                </c:pt>
                <c:pt idx="10">
                  <c:v>381</c:v>
                </c:pt>
                <c:pt idx="11">
                  <c:v>386</c:v>
                </c:pt>
                <c:pt idx="12">
                  <c:v>337</c:v>
                </c:pt>
                <c:pt idx="13">
                  <c:v>84</c:v>
                </c:pt>
                <c:pt idx="14">
                  <c:v>38</c:v>
                </c:pt>
                <c:pt idx="15">
                  <c:v>411</c:v>
                </c:pt>
                <c:pt idx="16">
                  <c:v>444</c:v>
                </c:pt>
                <c:pt idx="17">
                  <c:v>434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pxmv7jxFrJst8WizxrIwyqO2VVJHKC9tmUg/FkOcF5JMWalFAxOiNPcMFwBcIpYTn0JAaT9c06rsG4je57324Q==" saltValue="5YtOOUbXZgenWTMbFRQ/I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iyjvJIukVhAQQUS0vy+6w2LQQn89jQxz0c8pKQYWefvpMiZD0frDGW9FHmzPExg46PSpmeY5Mly97TgPpT5AMw==" saltValue="Lmr5xG38vEFh+dCsRwSYP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s9GZtkp9DVSVCIaebmWZhW6b3rcI87QrGpSBZIla0e2vn4Ged+2bTOliqu76xCdRkHiJr1nE24gMK28H4yMahA==" saltValue="qHagUF0v2+R4zYZg49Wv6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T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13149</v>
      </c>
      <c r="AI39" s="71">
        <f>AH39/COUNTA(C40:AG40)</f>
        <v>730.5</v>
      </c>
      <c r="AJ39" s="55">
        <f>AI39*31</f>
        <v>22645.5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6</v>
      </c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110</v>
      </c>
      <c r="AI40" s="38">
        <f>AH40/COUNTA(C40:AG40)</f>
        <v>6.1111111111111107</v>
      </c>
      <c r="AJ40" s="56">
        <f>AI40*31</f>
        <v>189.44444444444443</v>
      </c>
    </row>
    <row r="41" spans="2:36" x14ac:dyDescent="0.25">
      <c r="B41" s="168" t="s">
        <v>20</v>
      </c>
      <c r="C41" s="156">
        <v>24</v>
      </c>
      <c r="D41" s="156">
        <v>577</v>
      </c>
      <c r="E41" s="156">
        <v>585</v>
      </c>
      <c r="F41" s="156">
        <v>530</v>
      </c>
      <c r="G41" s="156">
        <v>474</v>
      </c>
      <c r="H41" s="156">
        <v>386</v>
      </c>
      <c r="I41" s="156">
        <v>100</v>
      </c>
      <c r="J41" s="156">
        <v>29</v>
      </c>
      <c r="K41" s="156">
        <v>549</v>
      </c>
      <c r="L41" s="156">
        <v>578</v>
      </c>
      <c r="M41" s="156">
        <v>544</v>
      </c>
      <c r="N41" s="156">
        <v>434</v>
      </c>
      <c r="O41" s="156">
        <v>439</v>
      </c>
      <c r="P41" s="156">
        <v>122</v>
      </c>
      <c r="Q41" s="24">
        <v>28</v>
      </c>
      <c r="R41" s="24">
        <v>568</v>
      </c>
      <c r="S41" s="24">
        <v>574</v>
      </c>
      <c r="T41" s="24">
        <v>600</v>
      </c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7141</v>
      </c>
      <c r="AI41" s="38">
        <f>AH41/COUNTA(C41:AG41)</f>
        <v>396.72222222222223</v>
      </c>
      <c r="AJ41" s="56">
        <f>AI41*31</f>
        <v>12298.388888888889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566</v>
      </c>
      <c r="F42" s="155">
        <v>487</v>
      </c>
      <c r="G42" s="155">
        <v>390</v>
      </c>
      <c r="H42" s="155">
        <v>339</v>
      </c>
      <c r="I42" s="155">
        <v>90</v>
      </c>
      <c r="J42" s="155">
        <v>24</v>
      </c>
      <c r="K42" s="155">
        <v>411</v>
      </c>
      <c r="L42" s="155">
        <v>369</v>
      </c>
      <c r="M42" s="155">
        <v>381</v>
      </c>
      <c r="N42" s="155">
        <v>386</v>
      </c>
      <c r="O42" s="155">
        <v>337</v>
      </c>
      <c r="P42" s="155">
        <v>84</v>
      </c>
      <c r="Q42" s="25">
        <v>38</v>
      </c>
      <c r="R42" s="25">
        <v>411</v>
      </c>
      <c r="S42" s="25">
        <v>444</v>
      </c>
      <c r="T42" s="25">
        <v>434</v>
      </c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5898</v>
      </c>
      <c r="AI42" s="37">
        <f>AH42/COUNTA(C42:AG42)</f>
        <v>327.66666666666669</v>
      </c>
      <c r="AJ42" s="57">
        <f>AI42*31</f>
        <v>10157.666666666668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6</v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110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577</v>
      </c>
      <c r="F5" s="39">
        <f>IF(Indicadores!E41,Indicadores!E41,"")</f>
        <v>585</v>
      </c>
      <c r="G5" s="39">
        <f>IF(Indicadores!F41,Indicadores!F41,"")</f>
        <v>530</v>
      </c>
      <c r="H5" s="39">
        <f>IF(Indicadores!G41,Indicadores!G41,"")</f>
        <v>474</v>
      </c>
      <c r="I5" s="39">
        <f>IF(Indicadores!H41,Indicadores!H41,"")</f>
        <v>386</v>
      </c>
      <c r="J5" s="39">
        <f>IF(Indicadores!I41,Indicadores!I41,"")</f>
        <v>100</v>
      </c>
      <c r="K5" s="39">
        <f>IF(Indicadores!J41,Indicadores!J41,"")</f>
        <v>29</v>
      </c>
      <c r="L5" s="39">
        <f>IF(Indicadores!K41,Indicadores!K41,"")</f>
        <v>549</v>
      </c>
      <c r="M5" s="39">
        <f>IF(Indicadores!L41,Indicadores!L41,"")</f>
        <v>578</v>
      </c>
      <c r="N5" s="39">
        <f>IF(Indicadores!M41,Indicadores!M41,"")</f>
        <v>544</v>
      </c>
      <c r="O5" s="39">
        <f>IF(Indicadores!N41,Indicadores!N41,"")</f>
        <v>434</v>
      </c>
      <c r="P5" s="39">
        <f>IF(Indicadores!O41,Indicadores!O41,"")</f>
        <v>439</v>
      </c>
      <c r="Q5" s="39">
        <f>IF(Indicadores!P41,Indicadores!P41,"")</f>
        <v>122</v>
      </c>
      <c r="R5" s="39">
        <f>IF(Indicadores!Q41,Indicadores!Q41,"")</f>
        <v>28</v>
      </c>
      <c r="S5" s="39">
        <f>IF(Indicadores!R41,Indicadores!R41,"")</f>
        <v>568</v>
      </c>
      <c r="T5" s="39">
        <f>IF(Indicadores!S41,Indicadores!S41,"")</f>
        <v>574</v>
      </c>
      <c r="U5" s="39">
        <f>IF(Indicadores!T41,Indicadores!T41,"")</f>
        <v>600</v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7141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566</v>
      </c>
      <c r="G6" s="40">
        <f>IF(Indicadores!F42,Indicadores!F42,"")</f>
        <v>487</v>
      </c>
      <c r="H6" s="40">
        <f>IF(Indicadores!G42,Indicadores!G42,"")</f>
        <v>390</v>
      </c>
      <c r="I6" s="40">
        <f>IF(Indicadores!H42,Indicadores!H42,"")</f>
        <v>339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411</v>
      </c>
      <c r="M6" s="40">
        <f>IF(Indicadores!L42,Indicadores!L42,"")</f>
        <v>369</v>
      </c>
      <c r="N6" s="40">
        <f>IF(Indicadores!M42,Indicadores!M42,"")</f>
        <v>381</v>
      </c>
      <c r="O6" s="40">
        <f>IF(Indicadores!N42,Indicadores!N42,"")</f>
        <v>386</v>
      </c>
      <c r="P6" s="40">
        <f>IF(Indicadores!O42,Indicadores!O42,"")</f>
        <v>337</v>
      </c>
      <c r="Q6" s="40">
        <f>IF(Indicadores!P42,Indicadores!P42,"")</f>
        <v>84</v>
      </c>
      <c r="R6" s="40">
        <f>IF(Indicadores!Q42,Indicadores!Q42,"")</f>
        <v>38</v>
      </c>
      <c r="S6" s="40">
        <f>IF(Indicadores!R42,Indicadores!R42,"")</f>
        <v>411</v>
      </c>
      <c r="T6" s="40">
        <f>IF(Indicadores!S42,Indicadores!S42,"")</f>
        <v>444</v>
      </c>
      <c r="U6" s="40">
        <f>IF(Indicadores!T42,Indicadores!T42,"")</f>
        <v>434</v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5898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19855.524127810531</v>
      </c>
      <c r="AJ15" s="66">
        <f>SUM(AJ16:AJ18)</f>
        <v>640.50077831646877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6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169.27209705372624</v>
      </c>
      <c r="AJ16" s="106">
        <f>AI16/COUNTA(C16:AG16)</f>
        <v>5.4603902275395564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577</v>
      </c>
      <c r="F17" s="137">
        <f t="shared" si="5"/>
        <v>585</v>
      </c>
      <c r="G17" s="137">
        <f t="shared" si="5"/>
        <v>530</v>
      </c>
      <c r="H17" s="137">
        <f t="shared" si="5"/>
        <v>474</v>
      </c>
      <c r="I17" s="137">
        <f t="shared" si="5"/>
        <v>386</v>
      </c>
      <c r="J17" s="137">
        <f t="shared" si="5"/>
        <v>100</v>
      </c>
      <c r="K17" s="137">
        <f t="shared" si="5"/>
        <v>29</v>
      </c>
      <c r="L17" s="137">
        <f t="shared" si="5"/>
        <v>549</v>
      </c>
      <c r="M17" s="137">
        <f t="shared" si="5"/>
        <v>578</v>
      </c>
      <c r="N17" s="137">
        <f t="shared" si="5"/>
        <v>544</v>
      </c>
      <c r="O17" s="137">
        <f t="shared" si="5"/>
        <v>434</v>
      </c>
      <c r="P17" s="137">
        <f t="shared" si="5"/>
        <v>439</v>
      </c>
      <c r="Q17" s="137">
        <f t="shared" si="5"/>
        <v>122</v>
      </c>
      <c r="R17" s="137">
        <f t="shared" si="5"/>
        <v>28</v>
      </c>
      <c r="S17" s="137">
        <f t="shared" si="5"/>
        <v>568</v>
      </c>
      <c r="T17" s="137">
        <f t="shared" si="5"/>
        <v>574</v>
      </c>
      <c r="U17" s="137">
        <f t="shared" si="5"/>
        <v>600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10847.65427954927</v>
      </c>
      <c r="AJ17" s="106">
        <f>AI17/COUNTA(C17:AG17)</f>
        <v>349.92433159836355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566</v>
      </c>
      <c r="G18" s="148">
        <f t="shared" si="8"/>
        <v>487</v>
      </c>
      <c r="H18" s="148">
        <f t="shared" si="8"/>
        <v>390</v>
      </c>
      <c r="I18" s="148">
        <f t="shared" si="8"/>
        <v>339</v>
      </c>
      <c r="J18" s="148">
        <f t="shared" si="8"/>
        <v>90</v>
      </c>
      <c r="K18" s="148">
        <f t="shared" si="8"/>
        <v>24</v>
      </c>
      <c r="L18" s="148">
        <f t="shared" si="8"/>
        <v>411</v>
      </c>
      <c r="M18" s="148">
        <f t="shared" si="8"/>
        <v>369</v>
      </c>
      <c r="N18" s="148">
        <f t="shared" si="8"/>
        <v>381</v>
      </c>
      <c r="O18" s="148">
        <f t="shared" si="8"/>
        <v>386</v>
      </c>
      <c r="P18" s="148">
        <f t="shared" si="8"/>
        <v>337</v>
      </c>
      <c r="Q18" s="148">
        <f t="shared" si="8"/>
        <v>84</v>
      </c>
      <c r="R18" s="148">
        <f t="shared" si="8"/>
        <v>38</v>
      </c>
      <c r="S18" s="148">
        <f t="shared" si="8"/>
        <v>411</v>
      </c>
      <c r="T18" s="148">
        <f t="shared" si="8"/>
        <v>444</v>
      </c>
      <c r="U18" s="148">
        <f t="shared" si="8"/>
        <v>434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8838.5977512075369</v>
      </c>
      <c r="AJ18" s="109">
        <f>AI18/COUNTA(C18:AG18)</f>
        <v>285.11605649056571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13149</v>
      </c>
      <c r="D21" s="142">
        <f>SUM(D22:D24)</f>
        <v>19855.524127810531</v>
      </c>
      <c r="E21" s="143">
        <f>SUM(E22:E24)</f>
        <v>19121.999999999996</v>
      </c>
      <c r="F21" s="138">
        <f>(D21-E21)/E21</f>
        <v>3.8360220050754894E-2</v>
      </c>
      <c r="G21" s="133">
        <f>F21</f>
        <v>3.8360220050754894E-2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110</v>
      </c>
      <c r="D22" s="145">
        <f>AI16</f>
        <v>169.27209705372624</v>
      </c>
      <c r="E22" s="143">
        <f>$AI$10</f>
        <v>180.00000000000003</v>
      </c>
      <c r="F22" s="139">
        <f t="shared" ref="F22:F24" si="11">(D22-E22)/E22</f>
        <v>-5.9599460812632142E-2</v>
      </c>
      <c r="G22" s="133">
        <f>F22</f>
        <v>-5.9599460812632142E-2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7141</v>
      </c>
      <c r="D23" s="145">
        <f>AI17</f>
        <v>10847.65427954927</v>
      </c>
      <c r="E23" s="143">
        <f>AI11</f>
        <v>10520</v>
      </c>
      <c r="F23" s="139">
        <f t="shared" si="11"/>
        <v>3.1145844063618786E-2</v>
      </c>
      <c r="G23" s="133">
        <f>F23</f>
        <v>3.1145844063618786E-2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5898</v>
      </c>
      <c r="D24" s="147">
        <f>AI18</f>
        <v>8838.5977512075369</v>
      </c>
      <c r="E24" s="166">
        <f>AI12</f>
        <v>8421.9999999999964</v>
      </c>
      <c r="F24" s="140">
        <f t="shared" si="11"/>
        <v>4.9465418096359626E-2</v>
      </c>
      <c r="G24" s="136">
        <f>F24</f>
        <v>4.9465418096359626E-2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13149</v>
      </c>
      <c r="D6" s="7">
        <f>'Dados - Gráficos'!D21</f>
        <v>19855.524127810531</v>
      </c>
      <c r="E6" s="93">
        <f>'Dados - Gráficos'!E21</f>
        <v>19121.999999999996</v>
      </c>
      <c r="F6" s="118">
        <f>'Dados - Gráficos'!F21</f>
        <v>3.8360220050754894E-2</v>
      </c>
      <c r="G6" s="119">
        <f>'Dados - Gráficos'!G21</f>
        <v>3.8360220050754894E-2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110</v>
      </c>
      <c r="D7" s="8">
        <f>'Dados - Gráficos'!D22</f>
        <v>169.27209705372624</v>
      </c>
      <c r="E7" s="93">
        <f>'Dados - Gráficos'!E22</f>
        <v>180.00000000000003</v>
      </c>
      <c r="F7" s="120">
        <f>'Dados - Gráficos'!F22</f>
        <v>-5.9599460812632142E-2</v>
      </c>
      <c r="G7" s="119">
        <f>'Dados - Gráficos'!G22</f>
        <v>-5.9599460812632142E-2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7141</v>
      </c>
      <c r="D8" s="8">
        <f>'Dados - Gráficos'!D23</f>
        <v>10847.65427954927</v>
      </c>
      <c r="E8" s="93">
        <f>'Dados - Gráficos'!E23</f>
        <v>10520</v>
      </c>
      <c r="F8" s="120">
        <f>'Dados - Gráficos'!F23</f>
        <v>3.1145844063618786E-2</v>
      </c>
      <c r="G8" s="119">
        <f>'Dados - Gráficos'!G23</f>
        <v>3.1145844063618786E-2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5898</v>
      </c>
      <c r="D9" s="17">
        <f>'Dados - Gráficos'!D24</f>
        <v>8838.5977512075369</v>
      </c>
      <c r="E9" s="94">
        <f>'Dados - Gráficos'!E24</f>
        <v>8421.9999999999964</v>
      </c>
      <c r="F9" s="121">
        <f>'Dados - Gráficos'!F24</f>
        <v>4.9465418096359626E-2</v>
      </c>
      <c r="G9" s="122">
        <f>'Dados - Gráficos'!G24</f>
        <v>4.9465418096359626E-2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2016-05-19T12:52:35Z</dcterms:modified>
</cp:coreProperties>
</file>