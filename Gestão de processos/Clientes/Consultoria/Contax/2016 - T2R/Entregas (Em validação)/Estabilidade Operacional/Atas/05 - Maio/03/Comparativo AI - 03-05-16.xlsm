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B20" i="7"/>
  <c r="B2" i="7"/>
  <c r="AJ33" i="1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<sst xmlns="http://schemas.openxmlformats.org/spreadsheetml/2006/main" count="356" uniqueCount="39">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</sst>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2B4-4477-BD6A-5FB474E6F28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B4-4477-BD6A-5FB474E6F28A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B4-4477-BD6A-5FB474E6F28A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B4-4477-BD6A-5FB474E6F28A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B4-4477-BD6A-5FB474E6F28A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B4-4477-BD6A-5FB474E6F28A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B4-4477-BD6A-5FB474E6F28A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B4-4477-BD6A-5FB474E6F28A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2B4-4477-BD6A-5FB474E6F28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B4-4477-BD6A-5FB474E6F28A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B4-4477-BD6A-5FB474E6F28A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B4-4477-BD6A-5FB474E6F28A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2B4-4477-BD6A-5FB474E6F28A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57-41B9-92DF-7C4BADEE5571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57-41B9-92DF-7C4BADEE557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2B4-4477-BD6A-5FB474E6F28A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2B4-4477-BD6A-5FB474E6F28A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B4-4477-BD6A-5FB474E6F28A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B4-4477-BD6A-5FB474E6F28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2B4-4477-BD6A-5FB474E6F28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B4-4477-BD6A-5FB474E6F28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1</c:v>
                </c:pt>
                <c:pt idx="1">
                  <c:v>18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E4-4BF0-A644-C0330DD66C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E4-4BF0-A644-C0330DD66C39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E4-4BF0-A644-C0330DD66C39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E4-4BF0-A644-C0330DD66C39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E4-4BF0-A644-C0330DD66C39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E4-4BF0-A644-C0330DD66C39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E4-4BF0-A644-C0330DD66C39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E4-4BF0-A644-C0330DD66C3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E4-4BF0-A644-C0330DD66C39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E4-4BF0-A644-C0330DD66C39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E4-4BF0-A644-C0330DD66C39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E4-4BF0-A644-C0330DD66C39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E4-4BF0-A644-C0330DD66C39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E4-4BF0-A644-C0330DD66C39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E4-4BF0-A644-C0330DD66C39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E4-4BF0-A644-C0330DD66C39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E4-4BF0-A644-C0330DD66C3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E4-4BF0-A644-C0330DD66C3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E4-4BF0-A644-C0330DD66C3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E4-4BF0-A644-C0330DD66C3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E4-4BF0-A644-C0330DD66C3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32</c:v>
                </c:pt>
                <c:pt idx="1">
                  <c:v>836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8B-4686-B2A6-76008087528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8B-4686-B2A6-76008087528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8B-4686-B2A6-76008087528F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8B-4686-B2A6-76008087528F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8B-4686-B2A6-76008087528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8B-4686-B2A6-76008087528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8B-4686-B2A6-76008087528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8B-4686-B2A6-76008087528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8B-4686-B2A6-76008087528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8B-4686-B2A6-76008087528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8B-4686-B2A6-76008087528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8B-4686-B2A6-76008087528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8B-4686-B2A6-76008087528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8B-4686-B2A6-76008087528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8B-4686-B2A6-76008087528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8B-4686-B2A6-76008087528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8B-4686-B2A6-76008087528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8B-4686-B2A6-76008087528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8B-4686-B2A6-76008087528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8B-4686-B2A6-76008087528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8B-4686-B2A6-76008087528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50</c:v>
                </c:pt>
                <c:pt idx="1">
                  <c:v>683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L0zSQgqDPpI6eXjPRKEuQ8hb+OPdQK3+qZcfyiavVwo2lcBBGePW9wZeadf2Md2Um3KlkOIslyW8r3MEfr+yWw==" saltValue="7oxmJSTC/SdRhZaMflCh5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jtajaoxzsYs6xqjVwkeNXf1oMvdVEdIXWglxgstrKIY1nSQm68U0GORRsm7r/Jy5VtPbjOIkcYbhjNgxKRtcfQ==" saltValue="hhUNg/iPBViIv4q48evEH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okPrVdFFaBWcS+6sa43I/Nv7o4K0q7y7GedPZhvaAYOxE9qngoJ9QZB+ek/6c+lVLSH9UK4C6SCkJo3l7G6/+g==" saltValue="h3MrB2OceOrovnnisV6RF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0" zoomScale="130" zoomScaleNormal="130" workbookViewId="0">
      <selection activeCell="D43" sqref="D43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21132</v>
      </c>
      <c r="AI33" s="71">
        <f>AH33/COUNTA(C34:AG34)</f>
        <v>704.4</v>
      </c>
      <c r="AJ33" s="55">
        <f>AI33*30</f>
        <v>21132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11</v>
      </c>
      <c r="AF34" s="24">
        <v>9</v>
      </c>
      <c r="AG34" s="157"/>
      <c r="AH34" s="53">
        <f>SUM(C34:AG34)</f>
        <v>187</v>
      </c>
      <c r="AI34" s="38">
        <f>AH34/COUNTA(C34:AG34)</f>
        <v>6.2333333333333334</v>
      </c>
      <c r="AJ34" s="56">
        <f>AI34*30</f>
        <v>187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585</v>
      </c>
      <c r="G35" s="156">
        <v>543</v>
      </c>
      <c r="H35" s="156">
        <v>433</v>
      </c>
      <c r="I35" s="156">
        <v>502</v>
      </c>
      <c r="J35" s="156">
        <v>482</v>
      </c>
      <c r="K35" s="156">
        <v>115</v>
      </c>
      <c r="L35" s="156">
        <v>33</v>
      </c>
      <c r="M35" s="156">
        <v>523</v>
      </c>
      <c r="N35" s="156">
        <v>563</v>
      </c>
      <c r="O35" s="156">
        <v>562</v>
      </c>
      <c r="P35" s="156">
        <v>479</v>
      </c>
      <c r="Q35" s="24">
        <v>386</v>
      </c>
      <c r="R35" s="24">
        <v>98</v>
      </c>
      <c r="S35" s="24">
        <v>20</v>
      </c>
      <c r="T35" s="24">
        <v>517</v>
      </c>
      <c r="U35" s="24">
        <v>452</v>
      </c>
      <c r="V35" s="24">
        <v>372</v>
      </c>
      <c r="W35" s="24">
        <v>106</v>
      </c>
      <c r="X35" s="24">
        <v>388</v>
      </c>
      <c r="Y35" s="24">
        <v>98</v>
      </c>
      <c r="Z35" s="24">
        <v>24</v>
      </c>
      <c r="AA35" s="24">
        <v>553</v>
      </c>
      <c r="AB35" s="24">
        <v>435</v>
      </c>
      <c r="AC35" s="24">
        <v>491</v>
      </c>
      <c r="AD35" s="24">
        <v>475</v>
      </c>
      <c r="AE35" s="24">
        <v>1157</v>
      </c>
      <c r="AF35" s="24">
        <v>130</v>
      </c>
      <c r="AG35" s="157"/>
      <c r="AH35" s="53">
        <f>SUM(C35:AG35)</f>
        <v>11226</v>
      </c>
      <c r="AI35" s="38">
        <f>AH35/COUNTA(C35:AG35)</f>
        <v>374.2</v>
      </c>
      <c r="AJ35" s="56">
        <f>AI35*30</f>
        <v>11226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443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439</v>
      </c>
      <c r="V36" s="25">
        <v>370</v>
      </c>
      <c r="W36" s="25">
        <v>90</v>
      </c>
      <c r="X36" s="25">
        <v>289</v>
      </c>
      <c r="Y36" s="25">
        <v>149</v>
      </c>
      <c r="Z36" s="25">
        <v>44</v>
      </c>
      <c r="AA36" s="25">
        <v>447</v>
      </c>
      <c r="AB36" s="25">
        <v>409</v>
      </c>
      <c r="AC36" s="25">
        <v>348</v>
      </c>
      <c r="AD36" s="25">
        <v>542</v>
      </c>
      <c r="AE36" s="25">
        <v>428</v>
      </c>
      <c r="AF36" s="25">
        <v>167</v>
      </c>
      <c r="AG36" s="159"/>
      <c r="AH36" s="54">
        <f>SUM(C36:AG36)</f>
        <v>9719</v>
      </c>
      <c r="AI36" s="37">
        <f>AH36/COUNTA(C36:AG36)</f>
        <v>323.96666666666664</v>
      </c>
      <c r="AJ36" s="57">
        <f>AI36*30</f>
        <v>9719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1620</v>
      </c>
      <c r="AI39" s="71">
        <f>AH39/COUNTA(C40:AG40)</f>
        <v>810</v>
      </c>
      <c r="AJ39" s="55">
        <f>AI39*31</f>
        <v>25110</v>
      </c>
    </row>
    <row r="40" spans="2:36" x14ac:dyDescent="0.25">
      <c r="B40" s="168" t="s">
        <v>19</v>
      </c>
      <c r="C40" s="156">
        <v>1</v>
      </c>
      <c r="D40" s="156">
        <v>18</v>
      </c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19</v>
      </c>
      <c r="AI40" s="38">
        <f>AH40/COUNTA(C40:AG40)</f>
        <v>9.5</v>
      </c>
      <c r="AJ40" s="56">
        <f>AI40*31</f>
        <v>294.5</v>
      </c>
    </row>
    <row r="41" spans="2:36" x14ac:dyDescent="0.25">
      <c r="B41" s="168" t="s">
        <v>20</v>
      </c>
      <c r="C41" s="156">
        <v>32</v>
      </c>
      <c r="D41" s="156">
        <v>836</v>
      </c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868</v>
      </c>
      <c r="AI41" s="38">
        <f>AH41/COUNTA(C41:AG41)</f>
        <v>434</v>
      </c>
      <c r="AJ41" s="56">
        <f>AI41*31</f>
        <v>13454</v>
      </c>
    </row>
    <row r="42" spans="2:36" ht="15.75" thickBot="1" x14ac:dyDescent="0.3">
      <c r="B42" s="169" t="s">
        <v>21</v>
      </c>
      <c r="C42" s="155">
        <v>50</v>
      </c>
      <c r="D42" s="155">
        <v>683</v>
      </c>
      <c r="E42" s="155"/>
      <c r="F42" s="155"/>
      <c r="G42" s="155"/>
      <c r="H42" s="155"/>
      <c r="I42" s="155"/>
      <c r="J42" s="155"/>
      <c r="K42" s="155"/>
      <c r="L42" s="155"/>
      <c r="M42" s="155"/>
      <c r="N42" s="155"/>
      <c r="O42" s="155"/>
      <c r="P42" s="15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733</v>
      </c>
      <c r="AI42" s="37">
        <f>AH42/COUNTA(C42:AG42)</f>
        <v>366.5</v>
      </c>
      <c r="AJ42" s="57">
        <f>AI42*31</f>
        <v>11361.5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</row>
    <row r="2" spans="1:16384" ht="15" customHeight="1" x14ac:dyDescent="0.25">
      <c r="B2" s="194" t="str">
        <f>Indicadores!B38</f>
        <v>Mai - 31 dias</v>
      </c>
      <c r="C2" s="195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96" t="s">
        <v>22</v>
      </c>
      <c r="C3" s="19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21132</v>
      </c>
      <c r="AJ3" s="66">
        <f>Indicadores!AI33</f>
        <v>704.4</v>
      </c>
      <c r="AK3" s="55">
        <f>Indicadores!AJ33</f>
        <v>21132</v>
      </c>
    </row>
    <row r="4" spans="1:16384" x14ac:dyDescent="0.25">
      <c r="B4" s="198" t="s">
        <v>19</v>
      </c>
      <c r="C4" s="199"/>
      <c r="D4" s="39">
        <f>IF(Indicadores!C40,Indicadores!C40,"")</f>
        <v>1</v>
      </c>
      <c r="E4" s="39">
        <f>IF(Indicadores!D40,Indicadores!D40,"")</f>
        <v>18</v>
      </c>
      <c r="F4" s="39" t="str">
        <f>IF(Indicadores!E40,Indicadores!E40,"")</f>
        <v/>
      </c>
      <c r="G4" s="39" t="str">
        <f>IF(Indicadores!F40,Indicadores!F40,"")</f>
        <v/>
      </c>
      <c r="H4" s="39" t="str">
        <f>IF(Indicadores!G40,Indicadores!G40,"")</f>
        <v/>
      </c>
      <c r="I4" s="39" t="str">
        <f>IF(Indicadores!H40,Indicadores!H40,"")</f>
        <v/>
      </c>
      <c r="J4" s="39" t="str">
        <f>IF(Indicadores!I40,Indicadores!I40,"")</f>
        <v/>
      </c>
      <c r="K4" s="39" t="str">
        <f>IF(Indicadores!J40,Indicadores!J40,"")</f>
        <v/>
      </c>
      <c r="L4" s="39" t="str">
        <f>IF(Indicadores!K40,Indicadores!K40,"")</f>
        <v/>
      </c>
      <c r="M4" s="39" t="str">
        <f>IF(Indicadores!L40,Indicadores!L40,"")</f>
        <v/>
      </c>
      <c r="N4" s="39" t="str">
        <f>IF(Indicadores!M40,Indicadores!M40,"")</f>
        <v/>
      </c>
      <c r="O4" s="39" t="str">
        <f>IF(Indicadores!N40,Indicadores!N40,"")</f>
        <v/>
      </c>
      <c r="P4" s="39" t="str">
        <f>IF(Indicadores!O40,Indicadores!O40,"")</f>
        <v/>
      </c>
      <c r="Q4" s="39" t="str">
        <f>IF(Indicadores!P40,Indicadores!P40,"")</f>
        <v/>
      </c>
      <c r="R4" s="39" t="str">
        <f>IF(Indicadores!Q40,Indicadores!Q40,"")</f>
        <v/>
      </c>
      <c r="S4" s="39" t="str">
        <f>IF(Indicadores!R40,Indicadores!R40,"")</f>
        <v/>
      </c>
      <c r="T4" s="39" t="str">
        <f>IF(Indicadores!S40,Indicadores!S40,"")</f>
        <v/>
      </c>
      <c r="U4" s="39" t="str">
        <f>IF(Indicadores!T40,Indicadores!T40,"")</f>
        <v/>
      </c>
      <c r="V4" s="39" t="str">
        <f>IF(Indicadores!U40,Indicadores!U40,"")</f>
        <v/>
      </c>
      <c r="W4" s="39" t="str">
        <f>IF(Indicadores!V40,Indicadores!V40,"")</f>
        <v/>
      </c>
      <c r="X4" s="39" t="str">
        <f>IF(Indicadores!W40,Indicadores!W40,"")</f>
        <v/>
      </c>
      <c r="Y4" s="39" t="str">
        <f>IF(Indicadores!X40,Indicadores!X40,"")</f>
        <v/>
      </c>
      <c r="Z4" s="39" t="str">
        <f>IF(Indicadores!Y40,Indicadores!Y40,"")</f>
        <v/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19</v>
      </c>
      <c r="AJ4" s="75">
        <f>Indicadores!AI34</f>
        <v>6.2333333333333334</v>
      </c>
      <c r="AK4" s="56">
        <f>Indicadores!AJ34</f>
        <v>187</v>
      </c>
    </row>
    <row r="5" spans="1:16384" x14ac:dyDescent="0.25">
      <c r="B5" s="198" t="s">
        <v>20</v>
      </c>
      <c r="C5" s="199"/>
      <c r="D5" s="39">
        <f>IF(Indicadores!C41,Indicadores!C41,"")</f>
        <v>32</v>
      </c>
      <c r="E5" s="39">
        <f>IF(Indicadores!D41,Indicadores!D41,"")</f>
        <v>836</v>
      </c>
      <c r="F5" s="39" t="str">
        <f>IF(Indicadores!E41,Indicadores!E41,"")</f>
        <v/>
      </c>
      <c r="G5" s="39" t="str">
        <f>IF(Indicadores!F41,Indicadores!F41,"")</f>
        <v/>
      </c>
      <c r="H5" s="39" t="str">
        <f>IF(Indicadores!G41,Indicadores!G41,"")</f>
        <v/>
      </c>
      <c r="I5" s="39" t="str">
        <f>IF(Indicadores!H41,Indicadores!H41,"")</f>
        <v/>
      </c>
      <c r="J5" s="39" t="str">
        <f>IF(Indicadores!I41,Indicadores!I41,"")</f>
        <v/>
      </c>
      <c r="K5" s="39" t="str">
        <f>IF(Indicadores!J41,Indicadores!J41,"")</f>
        <v/>
      </c>
      <c r="L5" s="39" t="str">
        <f>IF(Indicadores!K41,Indicadores!K41,"")</f>
        <v/>
      </c>
      <c r="M5" s="39" t="str">
        <f>IF(Indicadores!L41,Indicadores!L41,"")</f>
        <v/>
      </c>
      <c r="N5" s="39" t="str">
        <f>IF(Indicadores!M41,Indicadores!M41,"")</f>
        <v/>
      </c>
      <c r="O5" s="39" t="str">
        <f>IF(Indicadores!N41,Indicadores!N41,"")</f>
        <v/>
      </c>
      <c r="P5" s="39" t="str">
        <f>IF(Indicadores!O41,Indicadores!O41,"")</f>
        <v/>
      </c>
      <c r="Q5" s="39" t="str">
        <f>IF(Indicadores!P41,Indicadores!P41,"")</f>
        <v/>
      </c>
      <c r="R5" s="39" t="str">
        <f>IF(Indicadores!Q41,Indicadores!Q41,"")</f>
        <v/>
      </c>
      <c r="S5" s="39" t="str">
        <f>IF(Indicadores!R41,Indicadores!R41,"")</f>
        <v/>
      </c>
      <c r="T5" s="39" t="str">
        <f>IF(Indicadores!S41,Indicadores!S41,"")</f>
        <v/>
      </c>
      <c r="U5" s="39" t="str">
        <f>IF(Indicadores!T41,Indicadores!T41,"")</f>
        <v/>
      </c>
      <c r="V5" s="39" t="str">
        <f>IF(Indicadores!U41,Indicadores!U41,"")</f>
        <v/>
      </c>
      <c r="W5" s="39" t="str">
        <f>IF(Indicadores!V41,Indicadores!V41,"")</f>
        <v/>
      </c>
      <c r="X5" s="39" t="str">
        <f>IF(Indicadores!W41,Indicadores!W41,"")</f>
        <v/>
      </c>
      <c r="Y5" s="39" t="str">
        <f>IF(Indicadores!X41,Indicadores!X41,"")</f>
        <v/>
      </c>
      <c r="Z5" s="39" t="str">
        <f>IF(Indicadores!Y41,Indicadores!Y41,"")</f>
        <v/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868</v>
      </c>
      <c r="AJ5" s="75">
        <f>Indicadores!AI35</f>
        <v>374.2</v>
      </c>
      <c r="AK5" s="56">
        <f>Indicadores!AJ35</f>
        <v>11226</v>
      </c>
    </row>
    <row r="6" spans="1:16384" ht="15.75" thickBot="1" x14ac:dyDescent="0.3">
      <c r="B6" s="200" t="s">
        <v>21</v>
      </c>
      <c r="C6" s="201"/>
      <c r="D6" s="40">
        <f>IF(Indicadores!C42,Indicadores!C42,"")</f>
        <v>50</v>
      </c>
      <c r="E6" s="40">
        <f>IF(Indicadores!D42,Indicadores!D42,"")</f>
        <v>683</v>
      </c>
      <c r="F6" s="40" t="str">
        <f>IF(Indicadores!E42,Indicadores!E42,"")</f>
        <v/>
      </c>
      <c r="G6" s="40" t="str">
        <f>IF(Indicadores!F42,Indicadores!F42,"")</f>
        <v/>
      </c>
      <c r="H6" s="40" t="str">
        <f>IF(Indicadores!G42,Indicadores!G42,"")</f>
        <v/>
      </c>
      <c r="I6" s="40" t="str">
        <f>IF(Indicadores!H42,Indicadores!H42,"")</f>
        <v/>
      </c>
      <c r="J6" s="40" t="str">
        <f>IF(Indicadores!I42,Indicadores!I42,"")</f>
        <v/>
      </c>
      <c r="K6" s="40" t="str">
        <f>IF(Indicadores!J42,Indicadores!J42,"")</f>
        <v/>
      </c>
      <c r="L6" s="40" t="str">
        <f>IF(Indicadores!K42,Indicadores!K42,"")</f>
        <v/>
      </c>
      <c r="M6" s="40" t="str">
        <f>IF(Indicadores!L42,Indicadores!L42,"")</f>
        <v/>
      </c>
      <c r="N6" s="40" t="str">
        <f>IF(Indicadores!M42,Indicadores!M42,"")</f>
        <v/>
      </c>
      <c r="O6" s="40" t="str">
        <f>IF(Indicadores!N42,Indicadores!N42,"")</f>
        <v/>
      </c>
      <c r="P6" s="40" t="str">
        <f>IF(Indicadores!O42,Indicadores!O42,"")</f>
        <v/>
      </c>
      <c r="Q6" s="40" t="str">
        <f>IF(Indicadores!P42,Indicadores!P42,"")</f>
        <v/>
      </c>
      <c r="R6" s="40" t="str">
        <f>IF(Indicadores!Q42,Indicadores!Q42,"")</f>
        <v/>
      </c>
      <c r="S6" s="40" t="str">
        <f>IF(Indicadores!R42,Indicadores!R42,"")</f>
        <v/>
      </c>
      <c r="T6" s="40" t="str">
        <f>IF(Indicadores!S42,Indicadores!S42,"")</f>
        <v/>
      </c>
      <c r="U6" s="40" t="str">
        <f>IF(Indicadores!T42,Indicadores!T42,"")</f>
        <v/>
      </c>
      <c r="V6" s="40" t="str">
        <f>IF(Indicadores!U42,Indicadores!U42,"")</f>
        <v/>
      </c>
      <c r="W6" s="40" t="str">
        <f>IF(Indicadores!V42,Indicadores!V42,"")</f>
        <v/>
      </c>
      <c r="X6" s="40" t="str">
        <f>IF(Indicadores!W42,Indicadores!W42,"")</f>
        <v/>
      </c>
      <c r="Y6" s="40" t="str">
        <f>IF(Indicadores!X42,Indicadores!X42,"")</f>
        <v/>
      </c>
      <c r="Z6" s="40" t="str">
        <f>IF(Indicadores!Y42,Indicadores!Y42,"")</f>
        <v/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733</v>
      </c>
      <c r="AJ6" s="42">
        <f>Indicadores!AI36</f>
        <v>323.96666666666664</v>
      </c>
      <c r="AK6" s="56">
        <f>Indicadores!AJ36</f>
        <v>9719</v>
      </c>
    </row>
    <row r="7" spans="1:16384" ht="15.75" thickBot="1" x14ac:dyDescent="0.3">
      <c r="C7" s="179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1"/>
      <c r="AJ7" s="181"/>
      <c r="AK7" s="181"/>
    </row>
    <row r="8" spans="1:16384" ht="15" customHeight="1" x14ac:dyDescent="0.25">
      <c r="B8" s="194" t="str">
        <f>B2</f>
        <v>Mai - 31 dias</v>
      </c>
      <c r="C8" s="195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96" t="s">
        <v>27</v>
      </c>
      <c r="C9" s="197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0</v>
      </c>
      <c r="AJ9" s="66">
        <f>SUM(AJ10:AJ12)</f>
        <v>0</v>
      </c>
      <c r="AK9" s="55">
        <f>SUM(AK10:AK12)</f>
        <v>0</v>
      </c>
    </row>
    <row r="10" spans="1:16384" x14ac:dyDescent="0.25">
      <c r="B10" s="101" t="s">
        <v>19</v>
      </c>
      <c r="C10" s="103" t="s">
        <v>35</v>
      </c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43"/>
      <c r="AH10" s="44"/>
      <c r="AI10" s="105">
        <f>SUM(D10:AH10)</f>
        <v>0</v>
      </c>
      <c r="AJ10" s="106">
        <f>AI10/COUNTA(C10:AG10)</f>
        <v>0</v>
      </c>
      <c r="AK10" s="107">
        <f>AJ10*30</f>
        <v>0</v>
      </c>
    </row>
    <row r="11" spans="1:16384" x14ac:dyDescent="0.25">
      <c r="B11" s="101" t="s">
        <v>20</v>
      </c>
      <c r="C11" s="103" t="s">
        <v>35</v>
      </c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43"/>
      <c r="AH11" s="44"/>
      <c r="AI11" s="105">
        <f>SUM(D11:AH11)</f>
        <v>0</v>
      </c>
      <c r="AJ11" s="106">
        <f>AI11/COUNTA(C11:AG11)</f>
        <v>0</v>
      </c>
      <c r="AK11" s="107">
        <f>AJ11*30</f>
        <v>0</v>
      </c>
    </row>
    <row r="12" spans="1:16384" ht="15.75" thickBot="1" x14ac:dyDescent="0.3">
      <c r="B12" s="102" t="s">
        <v>21</v>
      </c>
      <c r="C12" s="104" t="s">
        <v>35</v>
      </c>
      <c r="D12" s="149"/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149"/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  <c r="AG12" s="45"/>
      <c r="AH12" s="46"/>
      <c r="AI12" s="108">
        <f>SUM(D12:AH12)</f>
        <v>0</v>
      </c>
      <c r="AJ12" s="109">
        <f>AI12/COUNTA(C12:AG12)</f>
        <v>0</v>
      </c>
      <c r="AK12" s="110">
        <f>AJ12*30</f>
        <v>0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94" t="str">
        <f>B8</f>
        <v>Mai - 31 dias</v>
      </c>
      <c r="C14" s="195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96" t="s">
        <v>18</v>
      </c>
      <c r="C15" s="197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1620</v>
      </c>
      <c r="AJ15" s="66">
        <f>SUM(AJ16:AJ18)</f>
        <v>52.258064516129032</v>
      </c>
      <c r="AK15" s="55">
        <f>SUM(AK16:AK18)</f>
        <v>0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1</v>
      </c>
      <c r="E16" s="137">
        <f t="shared" ref="E16:AG16" si="4">IF(E4&lt;&gt;"",E4,E10)</f>
        <v>18</v>
      </c>
      <c r="F16" s="137">
        <f t="shared" si="4"/>
        <v>0</v>
      </c>
      <c r="G16" s="137">
        <f t="shared" si="4"/>
        <v>0</v>
      </c>
      <c r="H16" s="137">
        <f t="shared" si="4"/>
        <v>0</v>
      </c>
      <c r="I16" s="137">
        <f t="shared" si="4"/>
        <v>0</v>
      </c>
      <c r="J16" s="137">
        <f t="shared" si="4"/>
        <v>0</v>
      </c>
      <c r="K16" s="137">
        <f t="shared" si="4"/>
        <v>0</v>
      </c>
      <c r="L16" s="137">
        <f t="shared" si="4"/>
        <v>0</v>
      </c>
      <c r="M16" s="137">
        <f t="shared" si="4"/>
        <v>0</v>
      </c>
      <c r="N16" s="137">
        <f t="shared" si="4"/>
        <v>0</v>
      </c>
      <c r="O16" s="137">
        <f t="shared" si="4"/>
        <v>0</v>
      </c>
      <c r="P16" s="137">
        <f t="shared" si="4"/>
        <v>0</v>
      </c>
      <c r="Q16" s="137">
        <f t="shared" si="4"/>
        <v>0</v>
      </c>
      <c r="R16" s="137">
        <f t="shared" si="4"/>
        <v>0</v>
      </c>
      <c r="S16" s="137">
        <f t="shared" si="4"/>
        <v>0</v>
      </c>
      <c r="T16" s="137">
        <f t="shared" si="4"/>
        <v>0</v>
      </c>
      <c r="U16" s="137">
        <f t="shared" si="4"/>
        <v>0</v>
      </c>
      <c r="V16" s="137">
        <f t="shared" si="4"/>
        <v>0</v>
      </c>
      <c r="W16" s="137">
        <f t="shared" si="4"/>
        <v>0</v>
      </c>
      <c r="X16" s="137">
        <f t="shared" si="4"/>
        <v>0</v>
      </c>
      <c r="Y16" s="137">
        <f t="shared" si="4"/>
        <v>0</v>
      </c>
      <c r="Z16" s="137">
        <f t="shared" si="4"/>
        <v>0</v>
      </c>
      <c r="AA16" s="137">
        <f t="shared" si="4"/>
        <v>0</v>
      </c>
      <c r="AB16" s="137">
        <f t="shared" si="4"/>
        <v>0</v>
      </c>
      <c r="AC16" s="137">
        <f t="shared" si="4"/>
        <v>0</v>
      </c>
      <c r="AD16" s="137">
        <f t="shared" si="4"/>
        <v>0</v>
      </c>
      <c r="AE16" s="137">
        <f t="shared" si="4"/>
        <v>0</v>
      </c>
      <c r="AF16" s="137">
        <f t="shared" si="4"/>
        <v>0</v>
      </c>
      <c r="AG16" s="137">
        <f t="shared" si="4"/>
        <v>0</v>
      </c>
      <c r="AH16" s="137"/>
      <c r="AI16" s="105">
        <f>SUM(D16:AH16)</f>
        <v>19</v>
      </c>
      <c r="AJ16" s="106">
        <f>AI16/COUNTA(C16:AG16)</f>
        <v>0.61290322580645162</v>
      </c>
      <c r="AK16" s="107">
        <f t="shared" ref="AK16" si="5">AK10</f>
        <v>0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32</v>
      </c>
      <c r="E17" s="137">
        <f t="shared" ref="E17:AG17" si="6">IF(E5&lt;&gt;"",E5,E11)</f>
        <v>836</v>
      </c>
      <c r="F17" s="137">
        <f t="shared" si="6"/>
        <v>0</v>
      </c>
      <c r="G17" s="137">
        <f t="shared" si="6"/>
        <v>0</v>
      </c>
      <c r="H17" s="137">
        <f t="shared" si="6"/>
        <v>0</v>
      </c>
      <c r="I17" s="137">
        <f t="shared" si="6"/>
        <v>0</v>
      </c>
      <c r="J17" s="137">
        <f t="shared" si="6"/>
        <v>0</v>
      </c>
      <c r="K17" s="137">
        <f t="shared" si="6"/>
        <v>0</v>
      </c>
      <c r="L17" s="137">
        <f t="shared" si="6"/>
        <v>0</v>
      </c>
      <c r="M17" s="137">
        <f t="shared" si="6"/>
        <v>0</v>
      </c>
      <c r="N17" s="137">
        <f t="shared" si="6"/>
        <v>0</v>
      </c>
      <c r="O17" s="137">
        <f t="shared" si="6"/>
        <v>0</v>
      </c>
      <c r="P17" s="137">
        <f t="shared" si="6"/>
        <v>0</v>
      </c>
      <c r="Q17" s="137">
        <f t="shared" si="6"/>
        <v>0</v>
      </c>
      <c r="R17" s="137">
        <f t="shared" si="6"/>
        <v>0</v>
      </c>
      <c r="S17" s="137">
        <f t="shared" si="6"/>
        <v>0</v>
      </c>
      <c r="T17" s="137">
        <f t="shared" si="6"/>
        <v>0</v>
      </c>
      <c r="U17" s="137">
        <f t="shared" si="6"/>
        <v>0</v>
      </c>
      <c r="V17" s="137">
        <f t="shared" si="6"/>
        <v>0</v>
      </c>
      <c r="W17" s="137">
        <f t="shared" si="6"/>
        <v>0</v>
      </c>
      <c r="X17" s="137">
        <f t="shared" si="6"/>
        <v>0</v>
      </c>
      <c r="Y17" s="137">
        <f t="shared" si="6"/>
        <v>0</v>
      </c>
      <c r="Z17" s="137">
        <f t="shared" si="6"/>
        <v>0</v>
      </c>
      <c r="AA17" s="137">
        <f t="shared" si="6"/>
        <v>0</v>
      </c>
      <c r="AB17" s="137">
        <f t="shared" si="6"/>
        <v>0</v>
      </c>
      <c r="AC17" s="137">
        <f t="shared" si="6"/>
        <v>0</v>
      </c>
      <c r="AD17" s="137">
        <f t="shared" si="6"/>
        <v>0</v>
      </c>
      <c r="AE17" s="137">
        <f t="shared" si="6"/>
        <v>0</v>
      </c>
      <c r="AF17" s="137">
        <f t="shared" si="6"/>
        <v>0</v>
      </c>
      <c r="AG17" s="137">
        <f t="shared" si="6"/>
        <v>0</v>
      </c>
      <c r="AH17" s="137"/>
      <c r="AI17" s="105">
        <f>SUM(D17:AH17)</f>
        <v>868</v>
      </c>
      <c r="AJ17" s="106">
        <f>AI17/COUNTA(C17:AG17)</f>
        <v>28</v>
      </c>
      <c r="AK17" s="107">
        <f t="shared" ref="AK17" si="7">AK11</f>
        <v>0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50</v>
      </c>
      <c r="E18" s="148">
        <f t="shared" ref="E18:AG18" si="8">IF(E6&lt;&gt;"",E6,E12)</f>
        <v>683</v>
      </c>
      <c r="F18" s="148">
        <f t="shared" si="8"/>
        <v>0</v>
      </c>
      <c r="G18" s="148">
        <f t="shared" si="8"/>
        <v>0</v>
      </c>
      <c r="H18" s="148">
        <f t="shared" si="8"/>
        <v>0</v>
      </c>
      <c r="I18" s="148">
        <f t="shared" si="8"/>
        <v>0</v>
      </c>
      <c r="J18" s="148">
        <f t="shared" si="8"/>
        <v>0</v>
      </c>
      <c r="K18" s="148">
        <f t="shared" si="8"/>
        <v>0</v>
      </c>
      <c r="L18" s="148">
        <f t="shared" si="8"/>
        <v>0</v>
      </c>
      <c r="M18" s="148">
        <f t="shared" si="8"/>
        <v>0</v>
      </c>
      <c r="N18" s="148">
        <f t="shared" si="8"/>
        <v>0</v>
      </c>
      <c r="O18" s="148">
        <f t="shared" si="8"/>
        <v>0</v>
      </c>
      <c r="P18" s="148">
        <f t="shared" si="8"/>
        <v>0</v>
      </c>
      <c r="Q18" s="148">
        <f t="shared" si="8"/>
        <v>0</v>
      </c>
      <c r="R18" s="148">
        <f t="shared" si="8"/>
        <v>0</v>
      </c>
      <c r="S18" s="148">
        <f t="shared" si="8"/>
        <v>0</v>
      </c>
      <c r="T18" s="148">
        <f t="shared" si="8"/>
        <v>0</v>
      </c>
      <c r="U18" s="148">
        <f t="shared" si="8"/>
        <v>0</v>
      </c>
      <c r="V18" s="148">
        <f t="shared" si="8"/>
        <v>0</v>
      </c>
      <c r="W18" s="148">
        <f t="shared" si="8"/>
        <v>0</v>
      </c>
      <c r="X18" s="148">
        <f t="shared" si="8"/>
        <v>0</v>
      </c>
      <c r="Y18" s="148">
        <f t="shared" si="8"/>
        <v>0</v>
      </c>
      <c r="Z18" s="148">
        <f t="shared" si="8"/>
        <v>0</v>
      </c>
      <c r="AA18" s="148">
        <f t="shared" si="8"/>
        <v>0</v>
      </c>
      <c r="AB18" s="148">
        <f t="shared" si="8"/>
        <v>0</v>
      </c>
      <c r="AC18" s="148">
        <f t="shared" si="8"/>
        <v>0</v>
      </c>
      <c r="AD18" s="148">
        <f t="shared" si="8"/>
        <v>0</v>
      </c>
      <c r="AE18" s="148">
        <f t="shared" si="8"/>
        <v>0</v>
      </c>
      <c r="AF18" s="148">
        <f t="shared" si="8"/>
        <v>0</v>
      </c>
      <c r="AG18" s="148">
        <f t="shared" si="8"/>
        <v>0</v>
      </c>
      <c r="AH18" s="148"/>
      <c r="AI18" s="108">
        <f>SUM(D18:AH18)</f>
        <v>733</v>
      </c>
      <c r="AJ18" s="109">
        <f>AI18/COUNTA(C18:AG18)</f>
        <v>23.64516129032258</v>
      </c>
      <c r="AK18" s="110">
        <f t="shared" ref="AK18" si="9">AK12</f>
        <v>0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82" t="s">
        <v>30</v>
      </c>
      <c r="K20" s="183"/>
      <c r="L20" s="202" t="s">
        <v>32</v>
      </c>
      <c r="M20" s="202"/>
      <c r="N20" s="188" t="s">
        <v>32</v>
      </c>
      <c r="O20" s="189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1620</v>
      </c>
      <c r="D21" s="142">
        <f>SUM(D22:D24)</f>
        <v>1620</v>
      </c>
      <c r="E21" s="143">
        <f>SUM(E22:E24)</f>
        <v>0</v>
      </c>
      <c r="F21" s="138" t="e">
        <f>(D21-E21)/E21</f>
        <v>#DIV/0!</v>
      </c>
      <c r="G21" s="133" t="e">
        <f>F21</f>
        <v>#DIV/0!</v>
      </c>
      <c r="H21" s="12"/>
      <c r="I21" s="32"/>
      <c r="J21" s="184">
        <v>7.22</v>
      </c>
      <c r="K21" s="185"/>
      <c r="L21" s="215">
        <v>207</v>
      </c>
      <c r="M21" s="215"/>
      <c r="N21" s="190">
        <v>15639</v>
      </c>
      <c r="O21" s="19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19</v>
      </c>
      <c r="D22" s="145">
        <f>AI16</f>
        <v>19</v>
      </c>
      <c r="E22" s="143">
        <f>$AI$10</f>
        <v>0</v>
      </c>
      <c r="F22" s="139" t="e">
        <f t="shared" ref="F22:F24" si="10">(D22-E22)/E22</f>
        <v>#DIV/0!</v>
      </c>
      <c r="G22" s="133" t="e">
        <f>F22</f>
        <v>#DIV/0!</v>
      </c>
      <c r="H22" s="12"/>
      <c r="I22" s="32"/>
      <c r="J22" s="186" t="s">
        <v>13</v>
      </c>
      <c r="K22" s="187"/>
      <c r="L22" s="216" t="s">
        <v>13</v>
      </c>
      <c r="M22" s="216"/>
      <c r="N22" s="192" t="s">
        <v>15</v>
      </c>
      <c r="O22" s="193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868</v>
      </c>
      <c r="D23" s="145">
        <f>AI17</f>
        <v>868</v>
      </c>
      <c r="E23" s="143">
        <f>AI11</f>
        <v>0</v>
      </c>
      <c r="F23" s="139" t="e">
        <f t="shared" si="10"/>
        <v>#DIV/0!</v>
      </c>
      <c r="G23" s="133" t="e">
        <f>F23</f>
        <v>#DIV/0!</v>
      </c>
      <c r="H23" s="12"/>
      <c r="I23" s="32"/>
      <c r="J23" s="209" t="s">
        <v>31</v>
      </c>
      <c r="K23" s="210"/>
      <c r="L23" s="217" t="s">
        <v>33</v>
      </c>
      <c r="M23" s="217"/>
      <c r="N23" s="203" t="s">
        <v>33</v>
      </c>
      <c r="O23" s="204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733</v>
      </c>
      <c r="D24" s="147">
        <f>AI18</f>
        <v>733</v>
      </c>
      <c r="E24" s="166">
        <f>AI12</f>
        <v>0</v>
      </c>
      <c r="F24" s="140" t="e">
        <f t="shared" si="10"/>
        <v>#DIV/0!</v>
      </c>
      <c r="G24" s="136" t="e">
        <f>F24</f>
        <v>#DIV/0!</v>
      </c>
      <c r="H24" s="12"/>
      <c r="I24" s="32"/>
      <c r="J24" s="184">
        <v>6.77</v>
      </c>
      <c r="K24" s="185"/>
      <c r="L24" s="215">
        <v>210</v>
      </c>
      <c r="M24" s="215"/>
      <c r="N24" s="190">
        <v>21648</v>
      </c>
      <c r="O24" s="191"/>
      <c r="AI24" s="29"/>
      <c r="AJ24" s="34"/>
      <c r="AK24" s="51"/>
      <c r="AL24" s="34"/>
    </row>
    <row r="25" spans="1:38" ht="26.25" x14ac:dyDescent="0.25">
      <c r="H25" s="113"/>
      <c r="I25" s="32"/>
      <c r="J25" s="211" t="s">
        <v>26</v>
      </c>
      <c r="K25" s="212"/>
      <c r="L25" s="218" t="str">
        <f>J25</f>
        <v>Redução</v>
      </c>
      <c r="M25" s="218"/>
      <c r="N25" s="205" t="str">
        <f>L25</f>
        <v>Redução</v>
      </c>
      <c r="O25" s="206"/>
      <c r="AI25" s="29"/>
      <c r="AJ25" s="34"/>
      <c r="AK25" s="51"/>
      <c r="AL25" s="34"/>
    </row>
    <row r="26" spans="1:38" ht="27" thickBot="1" x14ac:dyDescent="0.3">
      <c r="G26" s="12"/>
      <c r="I26" s="33"/>
      <c r="J26" s="213">
        <f>(J21/J24)-1</f>
        <v>6.6469719350073841E-2</v>
      </c>
      <c r="K26" s="214"/>
      <c r="L26" s="219">
        <f>(L21/L24)-1</f>
        <v>-1.4285714285714235E-2</v>
      </c>
      <c r="M26" s="219"/>
      <c r="N26" s="207">
        <f>(N21/N24)-1</f>
        <v>-0.27757760532150777</v>
      </c>
      <c r="O26" s="208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1620</v>
      </c>
      <c r="D6" s="7">
        <f>'Dados - Gráficos'!D21</f>
        <v>1620</v>
      </c>
      <c r="E6" s="93">
        <f>'Dados - Gráficos'!E21</f>
        <v>0</v>
      </c>
      <c r="F6" s="118" t="e">
        <f>'Dados - Gráficos'!F21</f>
        <v>#DIV/0!</v>
      </c>
      <c r="G6" s="119" t="e">
        <f>'Dados - Gráficos'!G21</f>
        <v>#DIV/0!</v>
      </c>
      <c r="H6" s="32"/>
      <c r="I6" s="19">
        <f>K9</f>
        <v>415</v>
      </c>
      <c r="J6" s="83">
        <f>Indicadores!AH10</f>
        <v>294</v>
      </c>
      <c r="K6" s="88">
        <f>E7</f>
        <v>0</v>
      </c>
    </row>
    <row r="7" spans="2:11" x14ac:dyDescent="0.25">
      <c r="B7" s="15" t="str">
        <f>'Dados - Gráficos'!B22</f>
        <v>Alto</v>
      </c>
      <c r="C7" s="99">
        <f>'Dados - Gráficos'!C22</f>
        <v>19</v>
      </c>
      <c r="D7" s="8">
        <f>'Dados - Gráficos'!D22</f>
        <v>19</v>
      </c>
      <c r="E7" s="93">
        <f>'Dados - Gráficos'!E22</f>
        <v>0</v>
      </c>
      <c r="F7" s="120" t="e">
        <f>'Dados - Gráficos'!F22</f>
        <v>#DIV/0!</v>
      </c>
      <c r="G7" s="119" t="e">
        <f>'Dados - Gráficos'!G22</f>
        <v>#DIV/0!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868</v>
      </c>
      <c r="D8" s="8">
        <f>'Dados - Gráficos'!D23</f>
        <v>868</v>
      </c>
      <c r="E8" s="93">
        <f>'Dados - Gráficos'!E23</f>
        <v>0</v>
      </c>
      <c r="F8" s="120" t="e">
        <f>'Dados - Gráficos'!F23</f>
        <v>#DIV/0!</v>
      </c>
      <c r="G8" s="119" t="e">
        <f>'Dados - Gráficos'!G23</f>
        <v>#DIV/0!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733</v>
      </c>
      <c r="D9" s="17">
        <f>'Dados - Gráficos'!D24</f>
        <v>733</v>
      </c>
      <c r="E9" s="94">
        <f>'Dados - Gráficos'!E24</f>
        <v>0</v>
      </c>
      <c r="F9" s="121" t="e">
        <f>'Dados - Gráficos'!F24</f>
        <v>#DIV/0!</v>
      </c>
      <c r="G9" s="122" t="e">
        <f>'Dados - Gráficos'!G24</f>
        <v>#DIV/0!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-1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2016-05-03T13:52:29Z</dcterms:modified>
</cp:coreProperties>
</file>