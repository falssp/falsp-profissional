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<sst xmlns="http://schemas.openxmlformats.org/spreadsheetml/2006/main" count="345" uniqueCount="37">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</sst>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3A-4CAE-92AC-4CF33B6D031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3A-4CAE-92AC-4CF33B6D031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D5-4CF9-907D-06F4FF8883B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D5-4CF9-907D-06F4FF8883B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678</c:v>
                </c:pt>
                <c:pt idx="1">
                  <c:v>726</c:v>
                </c:pt>
                <c:pt idx="2">
                  <c:v>550</c:v>
                </c:pt>
                <c:pt idx="3">
                  <c:v>590</c:v>
                </c:pt>
                <c:pt idx="4">
                  <c:v>104</c:v>
                </c:pt>
                <c:pt idx="5">
                  <c:v>70</c:v>
                </c:pt>
                <c:pt idx="6">
                  <c:v>610</c:v>
                </c:pt>
                <c:pt idx="7">
                  <c:v>474</c:v>
                </c:pt>
                <c:pt idx="8">
                  <c:v>565</c:v>
                </c:pt>
                <c:pt idx="9">
                  <c:v>488</c:v>
                </c:pt>
                <c:pt idx="10">
                  <c:v>463</c:v>
                </c:pt>
                <c:pt idx="11">
                  <c:v>123</c:v>
                </c:pt>
                <c:pt idx="12">
                  <c:v>37</c:v>
                </c:pt>
                <c:pt idx="13">
                  <c:v>541</c:v>
                </c:pt>
                <c:pt idx="14">
                  <c:v>553</c:v>
                </c:pt>
                <c:pt idx="15">
                  <c:v>417</c:v>
                </c:pt>
                <c:pt idx="16">
                  <c:v>485</c:v>
                </c:pt>
                <c:pt idx="17">
                  <c:v>355</c:v>
                </c:pt>
                <c:pt idx="18">
                  <c:v>123</c:v>
                </c:pt>
                <c:pt idx="19">
                  <c:v>47</c:v>
                </c:pt>
                <c:pt idx="20">
                  <c:v>620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12A-424F-925E-F8E04FB80AF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2A-424F-925E-F8E04FB80AF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573</c:v>
                </c:pt>
                <c:pt idx="1">
                  <c:v>470</c:v>
                </c:pt>
                <c:pt idx="2">
                  <c:v>392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548</c:v>
                </c:pt>
                <c:pt idx="7">
                  <c:v>389</c:v>
                </c:pt>
                <c:pt idx="8">
                  <c:v>407</c:v>
                </c:pt>
                <c:pt idx="9">
                  <c:v>364</c:v>
                </c:pt>
                <c:pt idx="10">
                  <c:v>316</c:v>
                </c:pt>
                <c:pt idx="11">
                  <c:v>100</c:v>
                </c:pt>
                <c:pt idx="12">
                  <c:v>39</c:v>
                </c:pt>
                <c:pt idx="13">
                  <c:v>477</c:v>
                </c:pt>
                <c:pt idx="14">
                  <c:v>396</c:v>
                </c:pt>
                <c:pt idx="15">
                  <c:v>329</c:v>
                </c:pt>
                <c:pt idx="16">
                  <c:v>320</c:v>
                </c:pt>
                <c:pt idx="17">
                  <c:v>278</c:v>
                </c:pt>
                <c:pt idx="18">
                  <c:v>115</c:v>
                </c:pt>
                <c:pt idx="19">
                  <c:v>52</c:v>
                </c:pt>
                <c:pt idx="20">
                  <c:v>371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vmLJJc/7Lf18fla7NNn8PW9ET7HmSA0uzVIhyeVbAKyjD4VwufP5JEyDvJfRb/Vv4YA+nvNTUVkZfHuNRAydQg==" saltValue="agYHg4nZiD5w5ToQKMvN5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workbookViewId="0"/>
  </sheetViews>
  <sheetProtection algorithmName="SHA-512" hashValue="qIeis8XVC7JsJcsb/c9/o3vVin43PIT2dswFQmFO0bto3d4xkQQpVyC4wvUeBkRxtPJWuDTCgh+RIe8D57kepw==" saltValue="PL8Y45FqNSCApKQcKyRmr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pZeJep+ORe2fbZ9/ICHsHLouY/4Tq/Fnx754BZssJWGDzc4Cc3RrNaaxcAgOsqaL0G0u5WtreaL27Asq5LWS1w==" saltValue="YM5YTK9uu0P6xsJj4Fq/R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3857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W30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61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7">
        <v>42460</v>
      </c>
      <c r="AH27" s="52">
        <f>SUM(AH28:AH30)</f>
        <v>15171</v>
      </c>
      <c r="AI27" s="71">
        <f>AH27/COUNTA(C28:AG28)</f>
        <v>722.42857142857144</v>
      </c>
      <c r="AJ27" s="55">
        <f>AI27*31</f>
        <v>22395.285714285714</v>
      </c>
    </row>
    <row r="28" spans="2:36" x14ac:dyDescent="0.25">
      <c r="B28" s="155" t="s">
        <v>19</v>
      </c>
      <c r="C28" s="159">
        <v>6</v>
      </c>
      <c r="D28" s="159">
        <v>10</v>
      </c>
      <c r="E28" s="159">
        <v>6</v>
      </c>
      <c r="F28" s="159">
        <v>9</v>
      </c>
      <c r="G28" s="159">
        <v>3</v>
      </c>
      <c r="H28" s="159">
        <v>1</v>
      </c>
      <c r="I28" s="159">
        <v>8</v>
      </c>
      <c r="J28" s="159">
        <v>6</v>
      </c>
      <c r="K28" s="159">
        <v>9</v>
      </c>
      <c r="L28" s="159">
        <v>10</v>
      </c>
      <c r="M28" s="159">
        <v>6</v>
      </c>
      <c r="N28" s="159">
        <v>0</v>
      </c>
      <c r="O28" s="159">
        <v>2</v>
      </c>
      <c r="P28" s="159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2</v>
      </c>
      <c r="W28" s="24">
        <v>6</v>
      </c>
      <c r="X28" s="24"/>
      <c r="Y28" s="24"/>
      <c r="Z28" s="24"/>
      <c r="AA28" s="24"/>
      <c r="AB28" s="24"/>
      <c r="AC28" s="24"/>
      <c r="AD28" s="24"/>
      <c r="AE28" s="24"/>
      <c r="AF28" s="24"/>
      <c r="AG28" s="160"/>
      <c r="AH28" s="53">
        <f>SUM(C28:AG28)</f>
        <v>120</v>
      </c>
      <c r="AI28" s="38">
        <f>AH28/COUNTA(C28:AG28)</f>
        <v>5.7142857142857144</v>
      </c>
      <c r="AJ28" s="56">
        <f>AI28*31</f>
        <v>177.14285714285714</v>
      </c>
    </row>
    <row r="29" spans="2:36" x14ac:dyDescent="0.25">
      <c r="B29" s="155" t="s">
        <v>20</v>
      </c>
      <c r="C29" s="159">
        <v>678</v>
      </c>
      <c r="D29" s="159">
        <v>726</v>
      </c>
      <c r="E29" s="159">
        <v>550</v>
      </c>
      <c r="F29" s="159">
        <v>590</v>
      </c>
      <c r="G29" s="159">
        <v>104</v>
      </c>
      <c r="H29" s="159">
        <v>70</v>
      </c>
      <c r="I29" s="159">
        <v>610</v>
      </c>
      <c r="J29" s="159">
        <v>474</v>
      </c>
      <c r="K29" s="159">
        <v>565</v>
      </c>
      <c r="L29" s="159">
        <v>488</v>
      </c>
      <c r="M29" s="159">
        <v>463</v>
      </c>
      <c r="N29" s="159">
        <v>123</v>
      </c>
      <c r="O29" s="159">
        <v>37</v>
      </c>
      <c r="P29" s="159">
        <v>541</v>
      </c>
      <c r="Q29" s="24">
        <v>553</v>
      </c>
      <c r="R29" s="24">
        <v>417</v>
      </c>
      <c r="S29" s="24">
        <v>485</v>
      </c>
      <c r="T29" s="24">
        <v>355</v>
      </c>
      <c r="U29" s="24">
        <v>123</v>
      </c>
      <c r="V29" s="24">
        <v>47</v>
      </c>
      <c r="W29" s="24">
        <v>620</v>
      </c>
      <c r="X29" s="24"/>
      <c r="Y29" s="24"/>
      <c r="Z29" s="24"/>
      <c r="AA29" s="24"/>
      <c r="AB29" s="24"/>
      <c r="AC29" s="24"/>
      <c r="AD29" s="24"/>
      <c r="AE29" s="24"/>
      <c r="AF29" s="24"/>
      <c r="AG29" s="160"/>
      <c r="AH29" s="53">
        <f>SUM(C29:AG29)</f>
        <v>8619</v>
      </c>
      <c r="AI29" s="38">
        <f>AH29/COUNTA(C29:AG29)</f>
        <v>410.42857142857144</v>
      </c>
      <c r="AJ29" s="56">
        <f>AI29*31</f>
        <v>12723.285714285716</v>
      </c>
    </row>
    <row r="30" spans="2:36" ht="15.75" thickBot="1" x14ac:dyDescent="0.3">
      <c r="B30" s="156" t="s">
        <v>21</v>
      </c>
      <c r="C30" s="158">
        <v>573</v>
      </c>
      <c r="D30" s="158">
        <v>470</v>
      </c>
      <c r="E30" s="158">
        <v>392</v>
      </c>
      <c r="F30" s="158">
        <v>377</v>
      </c>
      <c r="G30" s="158">
        <v>79</v>
      </c>
      <c r="H30" s="158">
        <v>40</v>
      </c>
      <c r="I30" s="158">
        <v>548</v>
      </c>
      <c r="J30" s="158">
        <v>389</v>
      </c>
      <c r="K30" s="158">
        <v>407</v>
      </c>
      <c r="L30" s="158">
        <v>364</v>
      </c>
      <c r="M30" s="158">
        <v>316</v>
      </c>
      <c r="N30" s="158">
        <v>100</v>
      </c>
      <c r="O30" s="158">
        <v>39</v>
      </c>
      <c r="P30" s="158">
        <v>477</v>
      </c>
      <c r="Q30" s="25">
        <v>396</v>
      </c>
      <c r="R30" s="25">
        <v>329</v>
      </c>
      <c r="S30" s="25">
        <v>320</v>
      </c>
      <c r="T30" s="25">
        <v>278</v>
      </c>
      <c r="U30" s="25">
        <v>115</v>
      </c>
      <c r="V30" s="25">
        <v>52</v>
      </c>
      <c r="W30" s="25">
        <v>371</v>
      </c>
      <c r="X30" s="25"/>
      <c r="Y30" s="25"/>
      <c r="Z30" s="25"/>
      <c r="AA30" s="25"/>
      <c r="AB30" s="25"/>
      <c r="AC30" s="25"/>
      <c r="AD30" s="25"/>
      <c r="AE30" s="25"/>
      <c r="AF30" s="25"/>
      <c r="AG30" s="162"/>
      <c r="AH30" s="54">
        <f>SUM(C30:AG30)</f>
        <v>6432</v>
      </c>
      <c r="AI30" s="37">
        <f>AH30/COUNTA(C30:AG30)</f>
        <v>306.28571428571428</v>
      </c>
      <c r="AJ30" s="57">
        <f>AI30*31</f>
        <v>9494.8571428571431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</row>
    <row r="2" spans="1:16384" ht="15" customHeight="1" x14ac:dyDescent="0.25">
      <c r="B2" s="174" t="s">
        <v>36</v>
      </c>
      <c r="C2" s="175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76" t="s">
        <v>22</v>
      </c>
      <c r="C3" s="17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203" t="s">
        <v>19</v>
      </c>
      <c r="C4" s="204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 t="str">
        <f>IF(Indicadores!N28,Indicadores!N28,"")</f>
        <v/>
      </c>
      <c r="P4" s="39">
        <f>IF(Indicadores!O28,Indicadores!O28,"")</f>
        <v>2</v>
      </c>
      <c r="Q4" s="39">
        <f>IF(Indicadores!P28,Indicadores!P28,"")</f>
        <v>3</v>
      </c>
      <c r="R4" s="39">
        <f>IF(Indicadores!Q28,Indicadores!Q28,"")</f>
        <v>12</v>
      </c>
      <c r="S4" s="39">
        <f>IF(Indicadores!R28,Indicadores!R28,"")</f>
        <v>7</v>
      </c>
      <c r="T4" s="39">
        <f>IF(Indicadores!S28,Indicadores!S28,"")</f>
        <v>6</v>
      </c>
      <c r="U4" s="39">
        <f>IF(Indicadores!T28,Indicadores!T28,"")</f>
        <v>6</v>
      </c>
      <c r="V4" s="39">
        <f>IF(Indicadores!U28,Indicadores!U28,"")</f>
        <v>2</v>
      </c>
      <c r="W4" s="39">
        <f>IF(Indicadores!V28,Indicadores!V28,"")</f>
        <v>2</v>
      </c>
      <c r="X4" s="39">
        <f>IF(Indicadores!W28,Indicadores!W28,"")</f>
        <v>6</v>
      </c>
      <c r="Y4" s="39" t="str">
        <f>IF(Indicadores!X28,Indicadores!X28,"")</f>
        <v/>
      </c>
      <c r="Z4" s="39" t="str">
        <f>IF(Indicadores!Y28,Indicadores!Y28,"")</f>
        <v/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203" t="s">
        <v>20</v>
      </c>
      <c r="C5" s="204"/>
      <c r="D5" s="39">
        <f>IF(Indicadores!C29,Indicadores!C29,"")</f>
        <v>678</v>
      </c>
      <c r="E5" s="39">
        <f>IF(Indicadores!D29,Indicadores!D29,"")</f>
        <v>726</v>
      </c>
      <c r="F5" s="39">
        <f>IF(Indicadores!E29,Indicadores!E29,"")</f>
        <v>550</v>
      </c>
      <c r="G5" s="39">
        <f>IF(Indicadores!F29,Indicadores!F29,"")</f>
        <v>590</v>
      </c>
      <c r="H5" s="39">
        <f>IF(Indicadores!G29,Indicadores!G29,"")</f>
        <v>104</v>
      </c>
      <c r="I5" s="39">
        <f>IF(Indicadores!H29,Indicadores!H29,"")</f>
        <v>70</v>
      </c>
      <c r="J5" s="39">
        <f>IF(Indicadores!I29,Indicadores!I29,"")</f>
        <v>610</v>
      </c>
      <c r="K5" s="39">
        <f>IF(Indicadores!J29,Indicadores!J29,"")</f>
        <v>474</v>
      </c>
      <c r="L5" s="39">
        <f>IF(Indicadores!K29,Indicadores!K29,"")</f>
        <v>565</v>
      </c>
      <c r="M5" s="39">
        <f>IF(Indicadores!L29,Indicadores!L29,"")</f>
        <v>488</v>
      </c>
      <c r="N5" s="39">
        <f>IF(Indicadores!M29,Indicadores!M29,"")</f>
        <v>463</v>
      </c>
      <c r="O5" s="39">
        <f>IF(Indicadores!N29,Indicadores!N29,"")</f>
        <v>123</v>
      </c>
      <c r="P5" s="39">
        <f>IF(Indicadores!O29,Indicadores!O29,"")</f>
        <v>37</v>
      </c>
      <c r="Q5" s="39">
        <f>IF(Indicadores!P29,Indicadores!P29,"")</f>
        <v>541</v>
      </c>
      <c r="R5" s="39">
        <f>IF(Indicadores!Q29,Indicadores!Q29,"")</f>
        <v>553</v>
      </c>
      <c r="S5" s="39">
        <f>IF(Indicadores!R29,Indicadores!R29,"")</f>
        <v>417</v>
      </c>
      <c r="T5" s="39">
        <f>IF(Indicadores!S29,Indicadores!S29,"")</f>
        <v>485</v>
      </c>
      <c r="U5" s="39">
        <f>IF(Indicadores!T29,Indicadores!T29,"")</f>
        <v>355</v>
      </c>
      <c r="V5" s="39">
        <f>IF(Indicadores!U29,Indicadores!U29,"")</f>
        <v>123</v>
      </c>
      <c r="W5" s="39">
        <f>IF(Indicadores!V29,Indicadores!V29,"")</f>
        <v>47</v>
      </c>
      <c r="X5" s="39">
        <f>IF(Indicadores!W29,Indicadores!W29,"")</f>
        <v>620</v>
      </c>
      <c r="Y5" s="39" t="str">
        <f>IF(Indicadores!X29,Indicadores!X29,"")</f>
        <v/>
      </c>
      <c r="Z5" s="39" t="str">
        <f>IF(Indicadores!Y29,Indicadores!Y29,"")</f>
        <v/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205" t="s">
        <v>21</v>
      </c>
      <c r="C6" s="206"/>
      <c r="D6" s="40">
        <f>IF(Indicadores!C30,Indicadores!C30,"")</f>
        <v>573</v>
      </c>
      <c r="E6" s="40">
        <f>IF(Indicadores!D30,Indicadores!D30,"")</f>
        <v>470</v>
      </c>
      <c r="F6" s="40">
        <f>IF(Indicadores!E30,Indicadores!E30,"")</f>
        <v>392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548</v>
      </c>
      <c r="K6" s="40">
        <f>IF(Indicadores!J30,Indicadores!J30,"")</f>
        <v>389</v>
      </c>
      <c r="L6" s="40">
        <f>IF(Indicadores!K30,Indicadores!K30,"")</f>
        <v>407</v>
      </c>
      <c r="M6" s="40">
        <f>IF(Indicadores!L30,Indicadores!L30,"")</f>
        <v>364</v>
      </c>
      <c r="N6" s="40">
        <f>IF(Indicadores!M30,Indicadores!M30,"")</f>
        <v>316</v>
      </c>
      <c r="O6" s="40">
        <f>IF(Indicadores!N30,Indicadores!N30,"")</f>
        <v>100</v>
      </c>
      <c r="P6" s="40">
        <f>IF(Indicadores!O30,Indicadores!O30,"")</f>
        <v>39</v>
      </c>
      <c r="Q6" s="40">
        <f>IF(Indicadores!P30,Indicadores!P30,"")</f>
        <v>477</v>
      </c>
      <c r="R6" s="40">
        <f>IF(Indicadores!Q30,Indicadores!Q30,"")</f>
        <v>396</v>
      </c>
      <c r="S6" s="40">
        <f>IF(Indicadores!R30,Indicadores!R30,"")</f>
        <v>329</v>
      </c>
      <c r="T6" s="40">
        <f>IF(Indicadores!S30,Indicadores!S30,"")</f>
        <v>320</v>
      </c>
      <c r="U6" s="40">
        <f>IF(Indicadores!T30,Indicadores!T30,"")</f>
        <v>278</v>
      </c>
      <c r="V6" s="40">
        <f>IF(Indicadores!U30,Indicadores!U30,"")</f>
        <v>115</v>
      </c>
      <c r="W6" s="40">
        <f>IF(Indicadores!V30,Indicadores!V30,"")</f>
        <v>52</v>
      </c>
      <c r="X6" s="40">
        <f>IF(Indicadores!W30,Indicadores!W30,"")</f>
        <v>371</v>
      </c>
      <c r="Y6" s="40" t="str">
        <f>IF(Indicadores!X30,Indicadores!X30,"")</f>
        <v/>
      </c>
      <c r="Z6" s="40" t="str">
        <f>IF(Indicadores!Y30,Indicadores!Y30,"")</f>
        <v/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92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4"/>
      <c r="AJ7" s="194"/>
      <c r="AK7" s="194"/>
    </row>
    <row r="8" spans="1:16384" ht="15" customHeight="1" x14ac:dyDescent="0.25">
      <c r="B8" s="174" t="s">
        <v>36</v>
      </c>
      <c r="C8" s="175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76" t="s">
        <v>27</v>
      </c>
      <c r="C9" s="17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74" t="s">
        <v>36</v>
      </c>
      <c r="C14" s="175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76" t="s">
        <v>27</v>
      </c>
      <c r="C15" s="177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21338.71883144998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4.3049165780367167</v>
      </c>
      <c r="P16" s="139">
        <f t="shared" si="4"/>
        <v>2</v>
      </c>
      <c r="Q16" s="139">
        <f t="shared" si="4"/>
        <v>3</v>
      </c>
      <c r="R16" s="139">
        <f t="shared" si="4"/>
        <v>12</v>
      </c>
      <c r="S16" s="139">
        <f t="shared" si="4"/>
        <v>7</v>
      </c>
      <c r="T16" s="139">
        <f t="shared" si="4"/>
        <v>6</v>
      </c>
      <c r="U16" s="139">
        <f t="shared" si="4"/>
        <v>6</v>
      </c>
      <c r="V16" s="139">
        <f t="shared" si="4"/>
        <v>2</v>
      </c>
      <c r="W16" s="139">
        <f t="shared" si="4"/>
        <v>2</v>
      </c>
      <c r="X16" s="139">
        <f t="shared" si="4"/>
        <v>6</v>
      </c>
      <c r="Y16" s="139">
        <f t="shared" si="4"/>
        <v>8.6309752342595925</v>
      </c>
      <c r="Z16" s="139">
        <f t="shared" si="4"/>
        <v>9.9559056430275099</v>
      </c>
      <c r="AA16" s="139">
        <f t="shared" si="4"/>
        <v>9.8423401794188319</v>
      </c>
      <c r="AB16" s="139">
        <f t="shared" si="4"/>
        <v>7.3438999800278983</v>
      </c>
      <c r="AC16" s="139">
        <f t="shared" si="4"/>
        <v>3.7855154536226281</v>
      </c>
      <c r="AD16" s="139">
        <f t="shared" si="4"/>
        <v>1.8549025722750878</v>
      </c>
      <c r="AE16" s="139">
        <f t="shared" si="4"/>
        <v>9.1230922432305341</v>
      </c>
      <c r="AF16" s="139">
        <f t="shared" si="4"/>
        <v>8.6309752342595925</v>
      </c>
      <c r="AG16" s="139">
        <f t="shared" si="4"/>
        <v>9.9559056430275099</v>
      </c>
      <c r="AH16" s="139">
        <f t="shared" si="4"/>
        <v>9.8423401794188319</v>
      </c>
      <c r="AI16" s="105">
        <f>SUM(D16:AH16)</f>
        <v>203.27076894060468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678</v>
      </c>
      <c r="E17" s="139">
        <f t="shared" ref="E17:AH17" si="6">IF(E5&lt;&gt;"",E5,E11)</f>
        <v>726</v>
      </c>
      <c r="F17" s="139">
        <f t="shared" si="6"/>
        <v>550</v>
      </c>
      <c r="G17" s="139">
        <f t="shared" si="6"/>
        <v>590</v>
      </c>
      <c r="H17" s="139">
        <f t="shared" si="6"/>
        <v>104</v>
      </c>
      <c r="I17" s="139">
        <f t="shared" si="6"/>
        <v>70</v>
      </c>
      <c r="J17" s="139">
        <f t="shared" si="6"/>
        <v>610</v>
      </c>
      <c r="K17" s="139">
        <f t="shared" si="6"/>
        <v>474</v>
      </c>
      <c r="L17" s="139">
        <f t="shared" si="6"/>
        <v>565</v>
      </c>
      <c r="M17" s="139">
        <f t="shared" si="6"/>
        <v>488</v>
      </c>
      <c r="N17" s="139">
        <f t="shared" si="6"/>
        <v>463</v>
      </c>
      <c r="O17" s="139">
        <f t="shared" si="6"/>
        <v>123</v>
      </c>
      <c r="P17" s="139">
        <f t="shared" si="6"/>
        <v>37</v>
      </c>
      <c r="Q17" s="139">
        <f t="shared" si="6"/>
        <v>541</v>
      </c>
      <c r="R17" s="139">
        <f t="shared" si="6"/>
        <v>553</v>
      </c>
      <c r="S17" s="139">
        <f t="shared" si="6"/>
        <v>417</v>
      </c>
      <c r="T17" s="139">
        <f t="shared" si="6"/>
        <v>485</v>
      </c>
      <c r="U17" s="139">
        <f t="shared" si="6"/>
        <v>355</v>
      </c>
      <c r="V17" s="139">
        <f t="shared" si="6"/>
        <v>123</v>
      </c>
      <c r="W17" s="139">
        <f t="shared" si="6"/>
        <v>47</v>
      </c>
      <c r="X17" s="139">
        <f t="shared" si="6"/>
        <v>620</v>
      </c>
      <c r="Y17" s="139">
        <f t="shared" si="6"/>
        <v>496.60175599245355</v>
      </c>
      <c r="Z17" s="139">
        <f t="shared" si="6"/>
        <v>495.32388132343101</v>
      </c>
      <c r="AA17" s="139">
        <f t="shared" si="6"/>
        <v>459.44509253933649</v>
      </c>
      <c r="AB17" s="139">
        <f t="shared" si="6"/>
        <v>388.71964451151183</v>
      </c>
      <c r="AC17" s="139">
        <f t="shared" si="6"/>
        <v>120.26766596531411</v>
      </c>
      <c r="AD17" s="139">
        <f t="shared" si="6"/>
        <v>45.708593930421785</v>
      </c>
      <c r="AE17" s="139">
        <f t="shared" si="6"/>
        <v>476.83442058338744</v>
      </c>
      <c r="AF17" s="139">
        <f t="shared" si="6"/>
        <v>420.15653488920793</v>
      </c>
      <c r="AG17" s="139">
        <f t="shared" si="6"/>
        <v>419.07537199262049</v>
      </c>
      <c r="AH17" s="139">
        <f t="shared" si="6"/>
        <v>388.71964451151183</v>
      </c>
      <c r="AI17" s="105">
        <f>SUM(D17:AH17)</f>
        <v>12329.852606239192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573</v>
      </c>
      <c r="E18" s="151">
        <f t="shared" ref="E18:AH18" si="8">IF(E6&lt;&gt;"",E6,E12)</f>
        <v>470</v>
      </c>
      <c r="F18" s="151">
        <f t="shared" si="8"/>
        <v>392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548</v>
      </c>
      <c r="K18" s="151">
        <f t="shared" si="8"/>
        <v>389</v>
      </c>
      <c r="L18" s="151">
        <f t="shared" si="8"/>
        <v>407</v>
      </c>
      <c r="M18" s="151">
        <f t="shared" si="8"/>
        <v>364</v>
      </c>
      <c r="N18" s="151">
        <f t="shared" si="8"/>
        <v>316</v>
      </c>
      <c r="O18" s="151">
        <f t="shared" si="8"/>
        <v>100</v>
      </c>
      <c r="P18" s="151">
        <f t="shared" si="8"/>
        <v>39</v>
      </c>
      <c r="Q18" s="151">
        <f t="shared" si="8"/>
        <v>477</v>
      </c>
      <c r="R18" s="151">
        <f t="shared" si="8"/>
        <v>396</v>
      </c>
      <c r="S18" s="151">
        <f t="shared" si="8"/>
        <v>329</v>
      </c>
      <c r="T18" s="151">
        <f t="shared" si="8"/>
        <v>320</v>
      </c>
      <c r="U18" s="151">
        <f t="shared" si="8"/>
        <v>278</v>
      </c>
      <c r="V18" s="151">
        <f t="shared" si="8"/>
        <v>115</v>
      </c>
      <c r="W18" s="151">
        <f t="shared" si="8"/>
        <v>52</v>
      </c>
      <c r="X18" s="151">
        <f t="shared" si="8"/>
        <v>371</v>
      </c>
      <c r="Y18" s="151">
        <f t="shared" si="8"/>
        <v>325.62089939835937</v>
      </c>
      <c r="Z18" s="151">
        <f t="shared" si="8"/>
        <v>312.41867445406149</v>
      </c>
      <c r="AA18" s="151">
        <f t="shared" si="8"/>
        <v>296.46386206963967</v>
      </c>
      <c r="AB18" s="151">
        <f t="shared" si="8"/>
        <v>242.07477320645097</v>
      </c>
      <c r="AC18" s="151">
        <f t="shared" si="8"/>
        <v>90.070777901831732</v>
      </c>
      <c r="AD18" s="151">
        <f t="shared" si="8"/>
        <v>41.084916235923245</v>
      </c>
      <c r="AE18" s="151">
        <f t="shared" si="8"/>
        <v>302.80157755793169</v>
      </c>
      <c r="AF18" s="151">
        <f t="shared" si="8"/>
        <v>265.88267731134948</v>
      </c>
      <c r="AG18" s="151">
        <f t="shared" si="8"/>
        <v>255.10252492818739</v>
      </c>
      <c r="AH18" s="151">
        <f t="shared" si="8"/>
        <v>242.07477320645097</v>
      </c>
      <c r="AI18" s="108">
        <f>SUM(D18:AH18)</f>
        <v>8805.5954562701845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95" t="s">
        <v>30</v>
      </c>
      <c r="K20" s="196"/>
      <c r="L20" s="207" t="s">
        <v>32</v>
      </c>
      <c r="M20" s="207"/>
      <c r="N20" s="199" t="s">
        <v>32</v>
      </c>
      <c r="O20" s="200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15171</v>
      </c>
      <c r="D21" s="144">
        <f>SUM(D22:D24)</f>
        <v>21338.71883144998</v>
      </c>
      <c r="E21" s="145">
        <f>SUM(E22:E24)</f>
        <v>19245.566666666666</v>
      </c>
      <c r="F21" s="140">
        <f>(D21-E21)/E21</f>
        <v>0.10876022520078119</v>
      </c>
      <c r="G21" s="135">
        <f>F21</f>
        <v>0.10876022520078119</v>
      </c>
      <c r="H21" s="12"/>
      <c r="I21" s="32"/>
      <c r="J21" s="180">
        <v>7.22</v>
      </c>
      <c r="K21" s="181"/>
      <c r="L21" s="186">
        <v>207</v>
      </c>
      <c r="M21" s="186"/>
      <c r="N21" s="168">
        <v>15639</v>
      </c>
      <c r="O21" s="169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120</v>
      </c>
      <c r="D22" s="147">
        <f>AI16</f>
        <v>203.27076894060468</v>
      </c>
      <c r="E22" s="145">
        <v>250</v>
      </c>
      <c r="F22" s="141">
        <f t="shared" ref="F22:F24" si="10">(D22-E22)/E22</f>
        <v>-0.18691692423758127</v>
      </c>
      <c r="G22" s="135">
        <f>F22</f>
        <v>-0.18691692423758127</v>
      </c>
      <c r="H22" s="12"/>
      <c r="I22" s="32"/>
      <c r="J22" s="197" t="s">
        <v>13</v>
      </c>
      <c r="K22" s="198"/>
      <c r="L22" s="187" t="s">
        <v>13</v>
      </c>
      <c r="M22" s="187"/>
      <c r="N22" s="201" t="s">
        <v>15</v>
      </c>
      <c r="O22" s="202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8619</v>
      </c>
      <c r="D23" s="147">
        <f>AI17</f>
        <v>12329.852606239192</v>
      </c>
      <c r="E23" s="145">
        <f>AVERAGE(Indicadores!AJ11,Indicadores!AJ17,Indicadores!AJ23)*0.95</f>
        <v>11401.9</v>
      </c>
      <c r="F23" s="141">
        <f t="shared" si="10"/>
        <v>8.1385787126636119E-2</v>
      </c>
      <c r="G23" s="135">
        <f>F23</f>
        <v>8.1385787126636119E-2</v>
      </c>
      <c r="H23" s="12"/>
      <c r="I23" s="32"/>
      <c r="J23" s="178" t="s">
        <v>31</v>
      </c>
      <c r="K23" s="179"/>
      <c r="L23" s="188" t="s">
        <v>33</v>
      </c>
      <c r="M23" s="188"/>
      <c r="N23" s="166" t="s">
        <v>33</v>
      </c>
      <c r="O23" s="167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6432</v>
      </c>
      <c r="D24" s="149">
        <f>AI18</f>
        <v>8805.5954562701845</v>
      </c>
      <c r="E24" s="150">
        <f>AVERAGE(Indicadores!AJ12,Indicadores!AJ18,Indicadores!AJ24)*0.95</f>
        <v>7593.6666666666661</v>
      </c>
      <c r="F24" s="142">
        <f t="shared" si="10"/>
        <v>0.15959731218166698</v>
      </c>
      <c r="G24" s="138">
        <f>F24</f>
        <v>0.15959731218166698</v>
      </c>
      <c r="H24" s="12"/>
      <c r="I24" s="32"/>
      <c r="J24" s="180">
        <v>6.77</v>
      </c>
      <c r="K24" s="181"/>
      <c r="L24" s="186">
        <v>210</v>
      </c>
      <c r="M24" s="186"/>
      <c r="N24" s="168">
        <v>21648</v>
      </c>
      <c r="O24" s="169"/>
      <c r="AI24" s="29"/>
      <c r="AJ24" s="34"/>
      <c r="AK24" s="51"/>
      <c r="AL24" s="34"/>
    </row>
    <row r="25" spans="1:38" ht="26.25" x14ac:dyDescent="0.25">
      <c r="H25" s="114"/>
      <c r="I25" s="32"/>
      <c r="J25" s="182" t="s">
        <v>26</v>
      </c>
      <c r="K25" s="183"/>
      <c r="L25" s="189" t="str">
        <f>J25</f>
        <v>Redução</v>
      </c>
      <c r="M25" s="189"/>
      <c r="N25" s="170" t="str">
        <f>L25</f>
        <v>Redução</v>
      </c>
      <c r="O25" s="171"/>
      <c r="AI25" s="29"/>
      <c r="AJ25" s="34"/>
      <c r="AK25" s="51"/>
      <c r="AL25" s="34"/>
    </row>
    <row r="26" spans="1:38" ht="27" thickBot="1" x14ac:dyDescent="0.3">
      <c r="G26" s="12"/>
      <c r="I26" s="33"/>
      <c r="J26" s="184">
        <f>(J21/J24)-1</f>
        <v>6.6469719350073841E-2</v>
      </c>
      <c r="K26" s="185"/>
      <c r="L26" s="190">
        <f>(L21/L24)-1</f>
        <v>-1.4285714285714235E-2</v>
      </c>
      <c r="M26" s="190"/>
      <c r="N26" s="172">
        <f>(N21/N24)-1</f>
        <v>-0.27757760532150777</v>
      </c>
      <c r="O26" s="173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15171</v>
      </c>
      <c r="D6" s="7">
        <f>'Dados - Gráficos'!D21</f>
        <v>21338.71883144998</v>
      </c>
      <c r="E6" s="93">
        <f>'Dados - Gráficos'!E21</f>
        <v>19245.566666666666</v>
      </c>
      <c r="F6" s="119">
        <f>'Dados - Gráficos'!F21</f>
        <v>0.10876022520078119</v>
      </c>
      <c r="G6" s="120">
        <f>'Dados - Gráficos'!G21</f>
        <v>0.10876022520078119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120</v>
      </c>
      <c r="D7" s="8">
        <f>'Dados - Gráficos'!D22</f>
        <v>203.27076894060468</v>
      </c>
      <c r="E7" s="93">
        <f>'Dados - Gráficos'!E22</f>
        <v>250</v>
      </c>
      <c r="F7" s="121">
        <f>'Dados - Gráficos'!F22</f>
        <v>-0.18691692423758127</v>
      </c>
      <c r="G7" s="120">
        <f>'Dados - Gráficos'!G22</f>
        <v>-0.18691692423758127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8619</v>
      </c>
      <c r="D8" s="8">
        <f>'Dados - Gráficos'!D23</f>
        <v>12329.852606239192</v>
      </c>
      <c r="E8" s="93">
        <f>'Dados - Gráficos'!E23</f>
        <v>11401.9</v>
      </c>
      <c r="F8" s="121">
        <f>'Dados - Gráficos'!F23</f>
        <v>8.1385787126636119E-2</v>
      </c>
      <c r="G8" s="120">
        <f>'Dados - Gráficos'!G23</f>
        <v>8.1385787126636119E-2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6432</v>
      </c>
      <c r="D9" s="17">
        <f>'Dados - Gráficos'!D24</f>
        <v>8805.5954562701845</v>
      </c>
      <c r="E9" s="94">
        <f>'Dados - Gráficos'!E24</f>
        <v>7593.6666666666661</v>
      </c>
      <c r="F9" s="122">
        <f>'Dados - Gráficos'!F24</f>
        <v>0.15959731218166698</v>
      </c>
      <c r="G9" s="123">
        <f>'Dados - Gráficos'!G24</f>
        <v>0.15959731218166698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2016-03-22T12:38:51Z</dcterms:modified>
</cp:coreProperties>
</file>