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7935"/>
  </bookViews>
  <sheets>
    <sheet name="Matriz de Prioridade" sheetId="1" r:id="rId1"/>
    <sheet name="Dados" sheetId="2" r:id="rId2"/>
  </sheets>
  <calcPr calcId="145621"/>
</workbook>
</file>

<file path=xl/calcChain.xml><?xml version="1.0" encoding="utf-8"?>
<calcChain xmlns="http://schemas.openxmlformats.org/spreadsheetml/2006/main">
  <c r="B75" i="2" l="1"/>
  <c r="B74" i="2"/>
  <c r="B73" i="2"/>
  <c r="B72" i="2"/>
  <c r="C41" i="2"/>
  <c r="C40" i="2"/>
  <c r="C39" i="2"/>
  <c r="D76" i="2"/>
  <c r="C51" i="2" l="1"/>
  <c r="D51" i="2" s="1"/>
  <c r="C48" i="2"/>
  <c r="C49" i="2"/>
  <c r="C50" i="2"/>
  <c r="C47" i="2"/>
  <c r="C43" i="2"/>
  <c r="C44" i="2"/>
  <c r="C45" i="2"/>
  <c r="C46" i="2"/>
  <c r="C42" i="2"/>
  <c r="G51" i="2"/>
  <c r="C18" i="1" l="1"/>
  <c r="B18" i="1"/>
  <c r="G47" i="2"/>
  <c r="G48" i="2"/>
  <c r="G49" i="2"/>
  <c r="G50" i="2"/>
  <c r="D47" i="2"/>
  <c r="D48" i="2"/>
  <c r="D49" i="2"/>
  <c r="D50" i="2"/>
  <c r="G46" i="2" l="1"/>
  <c r="G45" i="2"/>
  <c r="G44" i="2"/>
  <c r="G43" i="2"/>
  <c r="G42" i="2"/>
  <c r="G41" i="2"/>
  <c r="G40" i="2"/>
  <c r="G39" i="2"/>
  <c r="D39" i="2" l="1"/>
  <c r="D40" i="2"/>
  <c r="D41" i="2"/>
  <c r="D42" i="2"/>
  <c r="D43" i="2"/>
  <c r="D44" i="2"/>
  <c r="D45" i="2"/>
  <c r="D46" i="2"/>
  <c r="D18" i="1" l="1"/>
  <c r="C17" i="1"/>
  <c r="C16" i="1"/>
  <c r="B17" i="1"/>
  <c r="B16" i="1"/>
  <c r="D17" i="1" l="1"/>
  <c r="D16" i="1"/>
  <c r="D19" i="1" l="1"/>
  <c r="C19" i="1" s="1"/>
</calcChain>
</file>

<file path=xl/comments1.xml><?xml version="1.0" encoding="utf-8"?>
<comments xmlns="http://schemas.openxmlformats.org/spreadsheetml/2006/main">
  <authors>
    <author>Bruno Guerra Ferreira</author>
  </authors>
  <commentList>
    <comment ref="F8" authorId="0">
      <text>
        <r>
          <rPr>
            <b/>
            <sz val="9"/>
            <color indexed="81"/>
            <rFont val="Tahoma"/>
            <charset val="1"/>
          </rPr>
          <t>Bruno Guerra Ferreira:</t>
        </r>
        <r>
          <rPr>
            <sz val="9"/>
            <color indexed="81"/>
            <rFont val="Tahoma"/>
            <charset val="1"/>
          </rPr>
          <t xml:space="preserve">
Risco de perda da operação
</t>
        </r>
      </text>
    </comment>
    <comment ref="F9" authorId="0">
      <text>
        <r>
          <rPr>
            <b/>
            <sz val="9"/>
            <color indexed="81"/>
            <rFont val="Tahoma"/>
            <charset val="1"/>
          </rPr>
          <t>Bruno Guerra Ferreira:</t>
        </r>
        <r>
          <rPr>
            <sz val="9"/>
            <color indexed="81"/>
            <rFont val="Tahoma"/>
            <charset val="1"/>
          </rPr>
          <t xml:space="preserve">
Reclamação ao COO</t>
        </r>
      </text>
    </comment>
    <comment ref="F10" authorId="0">
      <text>
        <r>
          <rPr>
            <b/>
            <sz val="9"/>
            <color indexed="81"/>
            <rFont val="Tahoma"/>
            <charset val="1"/>
          </rPr>
          <t>Bruno Guerra Ferreira:</t>
        </r>
        <r>
          <rPr>
            <sz val="9"/>
            <color indexed="81"/>
            <rFont val="Tahoma"/>
            <charset val="1"/>
          </rPr>
          <t xml:space="preserve">
Reclamação ao diretor de negócio</t>
        </r>
      </text>
    </comment>
    <comment ref="F11" authorId="0">
      <text>
        <r>
          <rPr>
            <b/>
            <sz val="9"/>
            <color indexed="81"/>
            <rFont val="Tahoma"/>
            <charset val="1"/>
          </rPr>
          <t>Bruno Guerra Ferreira:</t>
        </r>
        <r>
          <rPr>
            <sz val="9"/>
            <color indexed="81"/>
            <rFont val="Tahoma"/>
            <charset val="1"/>
          </rPr>
          <t xml:space="preserve">
Reclamação ao gerente da operação</t>
        </r>
      </text>
    </comment>
    <comment ref="F12" authorId="0">
      <text>
        <r>
          <rPr>
            <b/>
            <sz val="9"/>
            <color indexed="81"/>
            <rFont val="Tahoma"/>
            <charset val="1"/>
          </rPr>
          <t>Bruno Guerra Ferreira:</t>
        </r>
        <r>
          <rPr>
            <sz val="9"/>
            <color indexed="81"/>
            <rFont val="Tahoma"/>
            <charset val="1"/>
          </rPr>
          <t xml:space="preserve">
Abertura do projeto normal</t>
        </r>
      </text>
    </comment>
  </commentList>
</comments>
</file>

<file path=xl/sharedStrings.xml><?xml version="1.0" encoding="utf-8"?>
<sst xmlns="http://schemas.openxmlformats.org/spreadsheetml/2006/main" count="79" uniqueCount="56">
  <si>
    <t>Projeto</t>
  </si>
  <si>
    <t>ID Tprocess</t>
  </si>
  <si>
    <t>Data de Abertura</t>
  </si>
  <si>
    <t>Retorno Financeiro</t>
  </si>
  <si>
    <t>Urgência</t>
  </si>
  <si>
    <t>Critérios</t>
  </si>
  <si>
    <t>Lista</t>
  </si>
  <si>
    <t>Pontuação</t>
  </si>
  <si>
    <t>Pode esperar</t>
  </si>
  <si>
    <t>Pouco urgente</t>
  </si>
  <si>
    <t>Urgente</t>
  </si>
  <si>
    <t>Muito Urgente</t>
  </si>
  <si>
    <t>Necessidade de ação imediata</t>
  </si>
  <si>
    <t>Pontuação dos critérios</t>
  </si>
  <si>
    <t>Critério</t>
  </si>
  <si>
    <t>Código</t>
  </si>
  <si>
    <t>Média</t>
  </si>
  <si>
    <t>De</t>
  </si>
  <si>
    <t>Até</t>
  </si>
  <si>
    <t/>
  </si>
  <si>
    <t>Descrição Matriz Urgência</t>
  </si>
  <si>
    <t>Peso</t>
  </si>
  <si>
    <t>Prioridade</t>
  </si>
  <si>
    <t>Baixa</t>
  </si>
  <si>
    <t>Alta</t>
  </si>
  <si>
    <t>MATRIZ URGÊNCIA</t>
  </si>
  <si>
    <t>URGÊNCIA</t>
  </si>
  <si>
    <t>Temperatura do Cliente</t>
  </si>
  <si>
    <t>Muito quente</t>
  </si>
  <si>
    <t>Quente</t>
  </si>
  <si>
    <t>Morno</t>
  </si>
  <si>
    <t>Frio</t>
  </si>
  <si>
    <t>Burning</t>
  </si>
  <si>
    <t>Classificação de projeto</t>
  </si>
  <si>
    <t>Receita maior que R$ 150.000,00</t>
  </si>
  <si>
    <t>De R$ 50.000,00 até R$ 150.000,00</t>
  </si>
  <si>
    <t>Até R$ 10.000,00</t>
  </si>
  <si>
    <t>Não há retorno</t>
  </si>
  <si>
    <t>Receita de R$ 10.000,00 até R$ 50.000,00</t>
  </si>
  <si>
    <t>Regulatório</t>
  </si>
  <si>
    <t>Documentação</t>
  </si>
  <si>
    <t>Não priorizado</t>
  </si>
  <si>
    <t>Priorizado após os de "alta"</t>
  </si>
  <si>
    <t>Priorizado às sextas-feiras</t>
  </si>
  <si>
    <t>Implantação de PAs</t>
  </si>
  <si>
    <t>RTIs</t>
  </si>
  <si>
    <t>URA</t>
  </si>
  <si>
    <t>Infraestrutura</t>
  </si>
  <si>
    <t>Outros</t>
  </si>
  <si>
    <t>Quantidade de Projetos priorizados por semana</t>
  </si>
  <si>
    <t>Tipo de projeto</t>
  </si>
  <si>
    <t>Todos</t>
  </si>
  <si>
    <t>Desenvolvimento (família ts, Front End,TTV, etc)</t>
  </si>
  <si>
    <t>Status</t>
  </si>
  <si>
    <t>Limite de projetos priorizados</t>
  </si>
  <si>
    <r>
      <t xml:space="preserve">Quantidade Atual 
</t>
    </r>
    <r>
      <rPr>
        <b/>
        <sz val="10"/>
        <rFont val="Trebuchet MS"/>
        <family val="2"/>
      </rPr>
      <t>(09/mai)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</si>
</sst>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color theme="1"/>
      <name val="Trebuchet MS"/>
      <family val="2"/>
    </font>
    <font>
      <b/>
      <sz val="10"/>
      <color theme="0"/>
      <name val="Trebuchet MS"/>
      <family val="2"/>
    </font>
    <font>
      <sz val="10"/>
      <color theme="0"/>
      <name val="Trebuchet MS"/>
      <family val="2"/>
    </font>
    <font>
      <b/>
      <sz val="12"/>
      <color theme="0"/>
      <name val="Trebuchet MS"/>
      <family val="2"/>
    </font>
    <font>
      <b/>
      <sz val="10"/>
      <color theme="1"/>
      <name val="Trebuchet MS"/>
      <family val="2"/>
    </font>
    <font>
      <b/>
      <sz val="12"/>
      <color theme="1"/>
      <name val="Trebuchet MS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4" fillId="2" borderId="0" xfId="0" applyFont="1" applyFill="1" applyAlignment="1">
      <alignment horizontal="left"/>
    </xf>
    <xf numFmtId="0" fontId="1" fillId="0" borderId="0" xfId="0" applyFont="1"/>
    <xf numFmtId="0" fontId="1" fillId="0" borderId="1" xfId="0" applyFont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1" fillId="0" borderId="1" xfId="0" quotePrefix="1" applyFont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1" fillId="0" borderId="2" xfId="0" applyFont="1" applyBorder="1" applyAlignment="1"/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b/>
        <i val="0"/>
        <color rgb="FFFF0000"/>
      </font>
    </dxf>
    <dxf>
      <font>
        <b/>
        <i val="0"/>
        <color rgb="FFFFFF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11906</xdr:colOff>
      <xdr:row>1</xdr:row>
      <xdr:rowOff>11905</xdr:rowOff>
    </xdr:from>
    <xdr:to>
      <xdr:col>1</xdr:col>
      <xdr:colOff>1531570</xdr:colOff>
      <xdr:row>3</xdr:row>
      <xdr:rowOff>47624</xdr:rowOff>
    </xdr:to>
    <xdr:pic>
      <xdr:nvPicPr>
        <xdr:cNvPr id="2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781" y="202405"/>
          <a:ext cx="1519664" cy="4167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23813</xdr:colOff>
      <xdr:row>1</xdr:row>
      <xdr:rowOff>35719</xdr:rowOff>
    </xdr:from>
    <xdr:to>
      <xdr:col>1</xdr:col>
      <xdr:colOff>1543477</xdr:colOff>
      <xdr:row>3</xdr:row>
      <xdr:rowOff>71438</xdr:rowOff>
    </xdr:to>
    <xdr:pic>
      <xdr:nvPicPr>
        <xdr:cNvPr id="3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7688" y="226219"/>
          <a:ext cx="1519664" cy="4167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G19"/>
  <sheetViews>
    <sheetView showGridLines="0" tabSelected="1" zoomScale="80" zoomScaleNormal="80" workbookViewId="0">
      <selection activeCell="D25" sqref="D25"/>
    </sheetView>
  </sheetViews>
  <sheetFormatPr defaultRowHeight="15" x14ac:dyDescent="0.3"/>
  <cols>
    <col min="1" max="1" width="7.85546875" style="6" customWidth="1"/>
    <col min="2" max="2" width="25" style="6" bestFit="1" customWidth="1"/>
    <col min="3" max="3" width="45.7109375" style="6" bestFit="1" customWidth="1"/>
    <col min="4" max="4" width="10.5703125" style="6" bestFit="1" customWidth="1"/>
    <col min="5" max="6" width="11.5703125" style="6" bestFit="1" customWidth="1"/>
    <col min="7" max="7" width="9.5703125" style="6" bestFit="1" customWidth="1"/>
    <col min="8" max="16384" width="9.140625" style="6"/>
  </cols>
  <sheetData>
    <row r="6" spans="2:7" x14ac:dyDescent="0.3">
      <c r="B6" s="2" t="s">
        <v>0</v>
      </c>
      <c r="C6" s="18"/>
      <c r="D6" s="19"/>
      <c r="E6" s="19"/>
      <c r="F6" s="19"/>
      <c r="G6" s="20"/>
    </row>
    <row r="7" spans="2:7" x14ac:dyDescent="0.3">
      <c r="B7" s="2" t="s">
        <v>1</v>
      </c>
      <c r="C7" s="18"/>
      <c r="D7" s="19"/>
      <c r="E7" s="19"/>
      <c r="F7" s="19"/>
      <c r="G7" s="20"/>
    </row>
    <row r="8" spans="2:7" x14ac:dyDescent="0.3">
      <c r="B8" s="2" t="s">
        <v>2</v>
      </c>
      <c r="C8" s="18"/>
      <c r="D8" s="19"/>
      <c r="E8" s="19"/>
      <c r="F8" s="19"/>
      <c r="G8" s="20"/>
    </row>
    <row r="9" spans="2:7" x14ac:dyDescent="0.3">
      <c r="B9" s="11" t="s">
        <v>33</v>
      </c>
      <c r="C9" s="18"/>
      <c r="D9" s="19"/>
      <c r="E9" s="19"/>
      <c r="F9" s="19"/>
      <c r="G9" s="20"/>
    </row>
    <row r="10" spans="2:7" x14ac:dyDescent="0.3">
      <c r="B10" s="11" t="s">
        <v>3</v>
      </c>
      <c r="C10" s="18"/>
      <c r="D10" s="19"/>
      <c r="E10" s="19"/>
      <c r="F10" s="19"/>
      <c r="G10" s="20"/>
    </row>
    <row r="11" spans="2:7" x14ac:dyDescent="0.3">
      <c r="B11" s="14" t="s">
        <v>27</v>
      </c>
      <c r="C11" s="18"/>
      <c r="D11" s="19"/>
      <c r="E11" s="19"/>
      <c r="F11" s="19"/>
      <c r="G11" s="20"/>
    </row>
    <row r="12" spans="2:7" x14ac:dyDescent="0.3">
      <c r="B12" s="14" t="s">
        <v>40</v>
      </c>
      <c r="C12" s="15"/>
      <c r="D12" s="16"/>
      <c r="E12" s="16"/>
      <c r="F12" s="16"/>
      <c r="G12" s="17"/>
    </row>
    <row r="14" spans="2:7" x14ac:dyDescent="0.3">
      <c r="B14" s="2" t="s">
        <v>25</v>
      </c>
      <c r="C14" s="2"/>
      <c r="D14" s="2"/>
    </row>
    <row r="15" spans="2:7" x14ac:dyDescent="0.3">
      <c r="B15" s="8" t="s">
        <v>6</v>
      </c>
      <c r="C15" s="8" t="s">
        <v>5</v>
      </c>
      <c r="D15" s="8" t="s">
        <v>26</v>
      </c>
    </row>
    <row r="16" spans="2:7" x14ac:dyDescent="0.3">
      <c r="B16" s="10" t="str">
        <f>IF($C9&lt;&gt;"",$B9,"")</f>
        <v/>
      </c>
      <c r="C16" s="10" t="str">
        <f>IF($C9&lt;&gt;"",$C9,"")</f>
        <v/>
      </c>
      <c r="D16" s="10" t="str">
        <f>IF($C16&lt;&gt;"",VLOOKUP(CONCATENATE($B16,".",$C16),Dados!$D$38:$G$60,4,FALSE),"")</f>
        <v/>
      </c>
    </row>
    <row r="17" spans="2:4" x14ac:dyDescent="0.3">
      <c r="B17" s="10" t="str">
        <f t="shared" ref="B17" si="0">IF($C10&lt;&gt;"",$B10,"")</f>
        <v/>
      </c>
      <c r="C17" s="10" t="str">
        <f t="shared" ref="C17" si="1">IF($C10&lt;&gt;"",$C10,"")</f>
        <v/>
      </c>
      <c r="D17" s="10" t="str">
        <f>IF($C17&lt;&gt;"",VLOOKUP(CONCATENATE($B17,".",$C17),Dados!$D$38:$G$60,4,FALSE),"")</f>
        <v/>
      </c>
    </row>
    <row r="18" spans="2:4" x14ac:dyDescent="0.3">
      <c r="B18" s="10" t="str">
        <f>IF($C11&lt;&gt;"",$B11,"")</f>
        <v/>
      </c>
      <c r="C18" s="10" t="str">
        <f>IF($C11&lt;&gt;"",$C11,"")</f>
        <v/>
      </c>
      <c r="D18" s="10" t="str">
        <f>IF($C18&lt;&gt;"",VLOOKUP(CONCATENATE($B18,".",$C18),Dados!$D$38:$G$60,4,FALSE),"")</f>
        <v/>
      </c>
    </row>
    <row r="19" spans="2:4" ht="18" x14ac:dyDescent="0.35">
      <c r="B19" s="8" t="s">
        <v>22</v>
      </c>
      <c r="C19" s="12" t="str">
        <f>IF(C12="NOK","Não priorizado",IF(AND(D19&gt;=Dados!B66,D19&lt;=Dados!C66),Dados!D66,IF(AND(D19&gt;=Dados!B65,D19&lt;=Dados!C65),Dados!D65,IF(AND(D19&gt;=Dados!B64,D19&lt;=Dados!C64),Dados!D64,""))))</f>
        <v/>
      </c>
      <c r="D19" s="8">
        <f>IFERROR(SUM(D16:D18),"")</f>
        <v>0</v>
      </c>
    </row>
  </sheetData>
  <mergeCells count="6">
    <mergeCell ref="C11:G11"/>
    <mergeCell ref="C10:G10"/>
    <mergeCell ref="C6:G6"/>
    <mergeCell ref="C7:G7"/>
    <mergeCell ref="C8:G8"/>
    <mergeCell ref="C9:G9"/>
  </mergeCells>
  <dataValidations count="1">
    <dataValidation type="list" allowBlank="1" showInputMessage="1" showErrorMessage="1" sqref="C12">
      <formula1>"OK, NOK"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36F0F8D0-BCF1-4B07-9A8D-D549A0E1D8FF}">
            <xm:f>Dados!$D$64</xm:f>
            <x14:dxf>
              <font>
                <b/>
                <i val="0"/>
                <color rgb="FF00B050"/>
              </font>
            </x14:dxf>
          </x14:cfRule>
          <x14:cfRule type="cellIs" priority="2" operator="equal" id="{B34ECE7F-F264-496F-A909-2FD34AF9C8AF}">
            <xm:f>Dados!$D$65</xm:f>
            <x14:dxf>
              <font>
                <b/>
                <i val="0"/>
                <color rgb="FFFFFF00"/>
              </font>
            </x14:dxf>
          </x14:cfRule>
          <x14:cfRule type="cellIs" priority="3" operator="equal" id="{510FD93E-0427-4B57-976C-E486FF4C9AD4}">
            <xm:f>Dados!$D$66</xm:f>
            <x14:dxf>
              <font>
                <b/>
                <i val="0"/>
                <color rgb="FFFF0000"/>
              </font>
            </x14:dxf>
          </x14:cfRule>
          <xm:sqref>C19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Dados!$D$8:$D$13</xm:f>
          </x14:formula1>
          <xm:sqref>C10:G10</xm:sqref>
        </x14:dataValidation>
        <x14:dataValidation type="list" allowBlank="1" showInputMessage="1" showErrorMessage="1">
          <x14:formula1>
            <xm:f>Dados!$F$8:$F$12</xm:f>
          </x14:formula1>
          <xm:sqref>C11:G11</xm:sqref>
        </x14:dataValidation>
        <x14:dataValidation type="list" allowBlank="1" showInputMessage="1" showErrorMessage="1">
          <x14:formula1>
            <xm:f>Dados!$B$8:$B$14</xm:f>
          </x14:formula1>
          <xm:sqref>C9:G9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6:I76"/>
  <sheetViews>
    <sheetView showGridLines="0" topLeftCell="A46" zoomScale="80" zoomScaleNormal="80" workbookViewId="0">
      <selection activeCell="C58" sqref="C58"/>
    </sheetView>
  </sheetViews>
  <sheetFormatPr defaultRowHeight="15" x14ac:dyDescent="0.3"/>
  <cols>
    <col min="1" max="1" width="7.85546875" style="1" customWidth="1"/>
    <col min="2" max="2" width="25.140625" style="1" bestFit="1" customWidth="1"/>
    <col min="3" max="3" width="49.42578125" style="1" bestFit="1" customWidth="1"/>
    <col min="4" max="4" width="64.28515625" style="1" bestFit="1" customWidth="1"/>
    <col min="5" max="5" width="39.28515625" style="1" bestFit="1" customWidth="1"/>
    <col min="6" max="6" width="24.5703125" style="1" customWidth="1"/>
    <col min="7" max="7" width="49.42578125" style="1" bestFit="1" customWidth="1"/>
    <col min="8" max="8" width="49.42578125" style="1" customWidth="1"/>
    <col min="9" max="9" width="23.7109375" style="1" bestFit="1" customWidth="1"/>
    <col min="10" max="16384" width="9.140625" style="1"/>
  </cols>
  <sheetData>
    <row r="6" spans="2:9" ht="18" x14ac:dyDescent="0.35">
      <c r="B6" s="5" t="s">
        <v>6</v>
      </c>
      <c r="C6" s="3"/>
      <c r="D6" s="3"/>
      <c r="E6" s="3"/>
      <c r="F6" s="3"/>
      <c r="G6" s="3"/>
      <c r="H6" s="3"/>
      <c r="I6" s="3"/>
    </row>
    <row r="7" spans="2:9" x14ac:dyDescent="0.3">
      <c r="B7" s="8" t="s">
        <v>33</v>
      </c>
      <c r="C7" s="8"/>
      <c r="D7" s="8" t="s">
        <v>3</v>
      </c>
      <c r="E7" s="8"/>
      <c r="F7" s="8" t="s">
        <v>27</v>
      </c>
      <c r="G7" s="8"/>
      <c r="H7" s="8"/>
      <c r="I7" s="8"/>
    </row>
    <row r="8" spans="2:9" s="4" customFormat="1" x14ac:dyDescent="0.3">
      <c r="B8" s="7" t="s">
        <v>39</v>
      </c>
      <c r="C8" s="7"/>
      <c r="D8" s="7" t="s">
        <v>37</v>
      </c>
      <c r="E8" s="7"/>
      <c r="F8" s="7" t="s">
        <v>32</v>
      </c>
      <c r="G8" s="7"/>
      <c r="H8" s="7"/>
      <c r="I8" s="7"/>
    </row>
    <row r="9" spans="2:9" s="4" customFormat="1" x14ac:dyDescent="0.3">
      <c r="B9" s="7" t="s">
        <v>44</v>
      </c>
      <c r="C9" s="7"/>
      <c r="D9" s="7" t="s">
        <v>36</v>
      </c>
      <c r="E9" s="7"/>
      <c r="F9" s="7" t="s">
        <v>28</v>
      </c>
      <c r="G9" s="7"/>
      <c r="H9" s="7"/>
      <c r="I9" s="7"/>
    </row>
    <row r="10" spans="2:9" s="4" customFormat="1" x14ac:dyDescent="0.3">
      <c r="B10" s="7" t="s">
        <v>48</v>
      </c>
      <c r="C10" s="7"/>
      <c r="D10" s="7" t="s">
        <v>38</v>
      </c>
      <c r="E10" s="7"/>
      <c r="F10" s="7" t="s">
        <v>29</v>
      </c>
      <c r="G10" s="7"/>
      <c r="H10" s="7"/>
      <c r="I10" s="7"/>
    </row>
    <row r="11" spans="2:9" s="4" customFormat="1" x14ac:dyDescent="0.3">
      <c r="B11" s="7"/>
      <c r="C11" s="7"/>
      <c r="D11" s="7" t="s">
        <v>35</v>
      </c>
      <c r="E11" s="7"/>
      <c r="F11" s="7" t="s">
        <v>30</v>
      </c>
      <c r="G11" s="7"/>
      <c r="H11" s="7"/>
      <c r="I11" s="7"/>
    </row>
    <row r="12" spans="2:9" s="4" customFormat="1" x14ac:dyDescent="0.3">
      <c r="B12" s="7"/>
      <c r="C12" s="7"/>
      <c r="D12" s="7" t="s">
        <v>34</v>
      </c>
      <c r="E12" s="7"/>
      <c r="F12" s="7" t="s">
        <v>31</v>
      </c>
      <c r="G12" s="7"/>
      <c r="H12" s="7"/>
      <c r="I12" s="7"/>
    </row>
    <row r="13" spans="2:9" s="4" customFormat="1" x14ac:dyDescent="0.3">
      <c r="B13" s="7"/>
      <c r="C13" s="7"/>
      <c r="D13" s="7"/>
      <c r="E13" s="7"/>
      <c r="F13" s="7"/>
      <c r="H13" s="7"/>
      <c r="I13" s="7"/>
    </row>
    <row r="14" spans="2:9" s="4" customFormat="1" x14ac:dyDescent="0.3">
      <c r="B14" s="7"/>
      <c r="C14" s="7"/>
      <c r="D14" s="7"/>
      <c r="E14" s="7"/>
      <c r="F14" s="7"/>
      <c r="G14" s="7"/>
      <c r="H14" s="7"/>
      <c r="I14" s="7"/>
    </row>
    <row r="15" spans="2:9" s="4" customFormat="1" x14ac:dyDescent="0.3">
      <c r="B15" s="7"/>
      <c r="C15" s="7"/>
      <c r="D15" s="7"/>
      <c r="E15" s="7"/>
      <c r="F15" s="7"/>
      <c r="G15" s="7"/>
      <c r="H15" s="7"/>
      <c r="I15" s="7"/>
    </row>
    <row r="16" spans="2:9" s="4" customFormat="1" x14ac:dyDescent="0.3">
      <c r="B16" s="7"/>
      <c r="C16" s="7"/>
      <c r="D16" s="7"/>
      <c r="E16" s="7"/>
      <c r="F16" s="7"/>
      <c r="G16" s="7"/>
      <c r="H16" s="7"/>
      <c r="I16" s="7"/>
    </row>
    <row r="17" spans="2:9" s="4" customFormat="1" x14ac:dyDescent="0.3">
      <c r="B17" s="7"/>
      <c r="C17" s="7"/>
      <c r="D17" s="7"/>
      <c r="E17" s="7"/>
      <c r="F17" s="7"/>
      <c r="G17" s="7"/>
      <c r="H17" s="7"/>
      <c r="I17" s="7"/>
    </row>
    <row r="18" spans="2:9" s="4" customFormat="1" x14ac:dyDescent="0.3">
      <c r="B18" s="7"/>
      <c r="C18" s="7"/>
      <c r="D18" s="7"/>
      <c r="E18" s="7"/>
      <c r="F18" s="7"/>
      <c r="G18" s="7"/>
      <c r="H18" s="7"/>
      <c r="I18" s="7"/>
    </row>
    <row r="19" spans="2:9" s="4" customFormat="1" x14ac:dyDescent="0.3">
      <c r="B19" s="7"/>
      <c r="C19" s="13" t="s">
        <v>19</v>
      </c>
      <c r="D19" s="7"/>
      <c r="E19" s="7"/>
      <c r="F19" s="7"/>
      <c r="G19" s="7"/>
      <c r="H19" s="7"/>
      <c r="I19" s="7"/>
    </row>
    <row r="20" spans="2:9" s="4" customFormat="1" x14ac:dyDescent="0.3">
      <c r="B20" s="7"/>
      <c r="C20" s="7"/>
      <c r="D20" s="7"/>
      <c r="E20" s="7"/>
      <c r="F20" s="7"/>
      <c r="G20" s="7"/>
      <c r="H20" s="7"/>
      <c r="I20" s="7"/>
    </row>
    <row r="21" spans="2:9" s="4" customFormat="1" x14ac:dyDescent="0.3">
      <c r="B21" s="7"/>
      <c r="C21" s="7"/>
      <c r="D21" s="7"/>
      <c r="E21" s="7"/>
      <c r="F21" s="7"/>
      <c r="G21" s="7"/>
      <c r="H21" s="7"/>
      <c r="I21" s="7"/>
    </row>
    <row r="22" spans="2:9" s="4" customFormat="1" x14ac:dyDescent="0.3">
      <c r="B22" s="7"/>
      <c r="C22" s="7"/>
      <c r="D22" s="7"/>
      <c r="E22" s="7"/>
      <c r="F22" s="7"/>
      <c r="G22" s="7"/>
      <c r="H22" s="7"/>
      <c r="I22" s="7"/>
    </row>
    <row r="23" spans="2:9" s="4" customFormat="1" x14ac:dyDescent="0.3">
      <c r="B23" s="7"/>
      <c r="C23" s="7"/>
      <c r="D23" s="7"/>
      <c r="E23" s="7"/>
      <c r="F23" s="7"/>
      <c r="G23" s="7"/>
      <c r="H23" s="7"/>
      <c r="I23" s="7"/>
    </row>
    <row r="24" spans="2:9" s="4" customFormat="1" x14ac:dyDescent="0.3">
      <c r="B24" s="7"/>
      <c r="C24" s="7"/>
      <c r="D24" s="7"/>
      <c r="E24" s="7"/>
      <c r="F24" s="7"/>
      <c r="G24" s="7"/>
      <c r="H24" s="7"/>
      <c r="I24" s="7"/>
    </row>
    <row r="25" spans="2:9" s="4" customFormat="1" x14ac:dyDescent="0.3">
      <c r="B25" s="7"/>
      <c r="C25" s="7"/>
      <c r="D25" s="7"/>
      <c r="E25" s="7"/>
      <c r="F25" s="7"/>
      <c r="G25" s="7"/>
      <c r="H25" s="7"/>
      <c r="I25" s="7"/>
    </row>
    <row r="26" spans="2:9" s="4" customFormat="1" x14ac:dyDescent="0.3">
      <c r="B26" s="7"/>
      <c r="C26" s="7"/>
      <c r="D26" s="7"/>
      <c r="E26" s="7"/>
      <c r="F26" s="7"/>
      <c r="G26" s="7"/>
      <c r="H26" s="7"/>
      <c r="I26" s="7"/>
    </row>
    <row r="27" spans="2:9" s="4" customFormat="1" x14ac:dyDescent="0.3">
      <c r="B27" s="7"/>
      <c r="C27" s="7"/>
      <c r="D27" s="7"/>
      <c r="E27" s="7"/>
      <c r="F27" s="7"/>
      <c r="G27" s="7"/>
      <c r="H27" s="7"/>
      <c r="I27" s="7"/>
    </row>
    <row r="28" spans="2:9" s="4" customFormat="1" x14ac:dyDescent="0.3"/>
    <row r="29" spans="2:9" ht="18" x14ac:dyDescent="0.35">
      <c r="B29" s="5" t="s">
        <v>20</v>
      </c>
      <c r="C29" s="9"/>
    </row>
    <row r="30" spans="2:9" x14ac:dyDescent="0.3">
      <c r="B30" s="8" t="s">
        <v>7</v>
      </c>
      <c r="C30" s="8" t="s">
        <v>4</v>
      </c>
    </row>
    <row r="31" spans="2:9" x14ac:dyDescent="0.3">
      <c r="B31" s="10">
        <v>5</v>
      </c>
      <c r="C31" s="10" t="s">
        <v>12</v>
      </c>
    </row>
    <row r="32" spans="2:9" x14ac:dyDescent="0.3">
      <c r="B32" s="10">
        <v>4</v>
      </c>
      <c r="C32" s="10" t="s">
        <v>11</v>
      </c>
    </row>
    <row r="33" spans="2:7" x14ac:dyDescent="0.3">
      <c r="B33" s="10">
        <v>3</v>
      </c>
      <c r="C33" s="10" t="s">
        <v>10</v>
      </c>
    </row>
    <row r="34" spans="2:7" x14ac:dyDescent="0.3">
      <c r="B34" s="10">
        <v>2</v>
      </c>
      <c r="C34" s="10" t="s">
        <v>9</v>
      </c>
    </row>
    <row r="35" spans="2:7" x14ac:dyDescent="0.3">
      <c r="B35" s="10">
        <v>1</v>
      </c>
      <c r="C35" s="10" t="s">
        <v>8</v>
      </c>
    </row>
    <row r="37" spans="2:7" ht="18" x14ac:dyDescent="0.35">
      <c r="B37" s="5" t="s">
        <v>13</v>
      </c>
      <c r="C37" s="9"/>
      <c r="D37" s="9"/>
      <c r="E37" s="9"/>
      <c r="F37" s="9"/>
      <c r="G37" s="9"/>
    </row>
    <row r="38" spans="2:7" x14ac:dyDescent="0.3">
      <c r="B38" s="8" t="s">
        <v>6</v>
      </c>
      <c r="C38" s="8" t="s">
        <v>14</v>
      </c>
      <c r="D38" s="8" t="s">
        <v>15</v>
      </c>
      <c r="E38" s="8" t="s">
        <v>4</v>
      </c>
      <c r="F38" s="8" t="s">
        <v>21</v>
      </c>
      <c r="G38" s="8" t="s">
        <v>7</v>
      </c>
    </row>
    <row r="39" spans="2:7" x14ac:dyDescent="0.3">
      <c r="B39" s="10" t="s">
        <v>33</v>
      </c>
      <c r="C39" s="7" t="str">
        <f>B8</f>
        <v>Regulatório</v>
      </c>
      <c r="D39" s="7" t="str">
        <f>CONCATENATE(B39,".",C39)</f>
        <v>Classificação de projeto.Regulatório</v>
      </c>
      <c r="E39" s="10">
        <v>3</v>
      </c>
      <c r="F39" s="10">
        <v>1</v>
      </c>
      <c r="G39" s="10">
        <f>E39*F39</f>
        <v>3</v>
      </c>
    </row>
    <row r="40" spans="2:7" x14ac:dyDescent="0.3">
      <c r="B40" s="10" t="s">
        <v>33</v>
      </c>
      <c r="C40" s="7" t="str">
        <f>B9</f>
        <v>Implantação de PAs</v>
      </c>
      <c r="D40" s="7" t="str">
        <f t="shared" ref="D40:D51" si="0">CONCATENATE(B40,".",C40)</f>
        <v>Classificação de projeto.Implantação de PAs</v>
      </c>
      <c r="E40" s="10">
        <v>3</v>
      </c>
      <c r="F40" s="10">
        <v>1</v>
      </c>
      <c r="G40" s="10">
        <f t="shared" ref="G40:G51" si="1">E40*F40</f>
        <v>3</v>
      </c>
    </row>
    <row r="41" spans="2:7" x14ac:dyDescent="0.3">
      <c r="B41" s="10" t="s">
        <v>33</v>
      </c>
      <c r="C41" s="7" t="str">
        <f>B10</f>
        <v>Outros</v>
      </c>
      <c r="D41" s="7" t="str">
        <f t="shared" si="0"/>
        <v>Classificação de projeto.Outros</v>
      </c>
      <c r="E41" s="10">
        <v>1</v>
      </c>
      <c r="F41" s="10">
        <v>1</v>
      </c>
      <c r="G41" s="10">
        <f t="shared" si="1"/>
        <v>1</v>
      </c>
    </row>
    <row r="42" spans="2:7" x14ac:dyDescent="0.3">
      <c r="B42" s="10" t="s">
        <v>3</v>
      </c>
      <c r="C42" s="7" t="str">
        <f>D8</f>
        <v>Não há retorno</v>
      </c>
      <c r="D42" s="7" t="str">
        <f t="shared" si="0"/>
        <v>Retorno Financeiro.Não há retorno</v>
      </c>
      <c r="E42" s="10">
        <v>1</v>
      </c>
      <c r="F42" s="10">
        <v>1</v>
      </c>
      <c r="G42" s="10">
        <f t="shared" si="1"/>
        <v>1</v>
      </c>
    </row>
    <row r="43" spans="2:7" x14ac:dyDescent="0.3">
      <c r="B43" s="10" t="s">
        <v>3</v>
      </c>
      <c r="C43" s="7" t="str">
        <f>D9</f>
        <v>Até R$ 10.000,00</v>
      </c>
      <c r="D43" s="7" t="str">
        <f t="shared" si="0"/>
        <v>Retorno Financeiro.Até R$ 10.000,00</v>
      </c>
      <c r="E43" s="10">
        <v>2</v>
      </c>
      <c r="F43" s="10">
        <v>1</v>
      </c>
      <c r="G43" s="10">
        <f t="shared" si="1"/>
        <v>2</v>
      </c>
    </row>
    <row r="44" spans="2:7" x14ac:dyDescent="0.3">
      <c r="B44" s="10" t="s">
        <v>3</v>
      </c>
      <c r="C44" s="7" t="str">
        <f>D10</f>
        <v>Receita de R$ 10.000,00 até R$ 50.000,00</v>
      </c>
      <c r="D44" s="7" t="str">
        <f t="shared" si="0"/>
        <v>Retorno Financeiro.Receita de R$ 10.000,00 até R$ 50.000,00</v>
      </c>
      <c r="E44" s="10">
        <v>3</v>
      </c>
      <c r="F44" s="10">
        <v>1</v>
      </c>
      <c r="G44" s="10">
        <f t="shared" si="1"/>
        <v>3</v>
      </c>
    </row>
    <row r="45" spans="2:7" x14ac:dyDescent="0.3">
      <c r="B45" s="10" t="s">
        <v>3</v>
      </c>
      <c r="C45" s="7" t="str">
        <f>D11</f>
        <v>De R$ 50.000,00 até R$ 150.000,00</v>
      </c>
      <c r="D45" s="7" t="str">
        <f t="shared" si="0"/>
        <v>Retorno Financeiro.De R$ 50.000,00 até R$ 150.000,00</v>
      </c>
      <c r="E45" s="10">
        <v>4</v>
      </c>
      <c r="F45" s="10">
        <v>1</v>
      </c>
      <c r="G45" s="10">
        <f t="shared" si="1"/>
        <v>4</v>
      </c>
    </row>
    <row r="46" spans="2:7" x14ac:dyDescent="0.3">
      <c r="B46" s="10" t="s">
        <v>3</v>
      </c>
      <c r="C46" s="7" t="str">
        <f>D12</f>
        <v>Receita maior que R$ 150.000,00</v>
      </c>
      <c r="D46" s="7" t="str">
        <f t="shared" si="0"/>
        <v>Retorno Financeiro.Receita maior que R$ 150.000,00</v>
      </c>
      <c r="E46" s="10">
        <v>5</v>
      </c>
      <c r="F46" s="10">
        <v>1</v>
      </c>
      <c r="G46" s="10">
        <f t="shared" si="1"/>
        <v>5</v>
      </c>
    </row>
    <row r="47" spans="2:7" x14ac:dyDescent="0.3">
      <c r="B47" s="10" t="s">
        <v>27</v>
      </c>
      <c r="C47" s="7" t="str">
        <f>F9</f>
        <v>Muito quente</v>
      </c>
      <c r="D47" s="7" t="str">
        <f t="shared" si="0"/>
        <v>Temperatura do Cliente.Muito quente</v>
      </c>
      <c r="E47" s="10">
        <v>4</v>
      </c>
      <c r="F47" s="10">
        <v>1</v>
      </c>
      <c r="G47" s="10">
        <f t="shared" si="1"/>
        <v>4</v>
      </c>
    </row>
    <row r="48" spans="2:7" x14ac:dyDescent="0.3">
      <c r="B48" s="10" t="s">
        <v>27</v>
      </c>
      <c r="C48" s="7" t="str">
        <f t="shared" ref="C48:C50" si="2">F10</f>
        <v>Quente</v>
      </c>
      <c r="D48" s="7" t="str">
        <f t="shared" si="0"/>
        <v>Temperatura do Cliente.Quente</v>
      </c>
      <c r="E48" s="10">
        <v>3</v>
      </c>
      <c r="F48" s="10">
        <v>1</v>
      </c>
      <c r="G48" s="10">
        <f t="shared" si="1"/>
        <v>3</v>
      </c>
    </row>
    <row r="49" spans="2:7" x14ac:dyDescent="0.3">
      <c r="B49" s="10" t="s">
        <v>27</v>
      </c>
      <c r="C49" s="7" t="str">
        <f t="shared" si="2"/>
        <v>Morno</v>
      </c>
      <c r="D49" s="7" t="str">
        <f t="shared" si="0"/>
        <v>Temperatura do Cliente.Morno</v>
      </c>
      <c r="E49" s="10">
        <v>2</v>
      </c>
      <c r="F49" s="10">
        <v>1</v>
      </c>
      <c r="G49" s="10">
        <f t="shared" si="1"/>
        <v>2</v>
      </c>
    </row>
    <row r="50" spans="2:7" x14ac:dyDescent="0.3">
      <c r="B50" s="10" t="s">
        <v>27</v>
      </c>
      <c r="C50" s="7" t="str">
        <f t="shared" si="2"/>
        <v>Frio</v>
      </c>
      <c r="D50" s="7" t="str">
        <f t="shared" si="0"/>
        <v>Temperatura do Cliente.Frio</v>
      </c>
      <c r="E50" s="10">
        <v>1</v>
      </c>
      <c r="F50" s="10">
        <v>1</v>
      </c>
      <c r="G50" s="10">
        <f t="shared" si="1"/>
        <v>1</v>
      </c>
    </row>
    <row r="51" spans="2:7" x14ac:dyDescent="0.3">
      <c r="B51" s="10" t="s">
        <v>27</v>
      </c>
      <c r="C51" s="7" t="str">
        <f>F8</f>
        <v>Burning</v>
      </c>
      <c r="D51" s="7" t="str">
        <f t="shared" si="0"/>
        <v>Temperatura do Cliente.Burning</v>
      </c>
      <c r="E51" s="10">
        <v>5</v>
      </c>
      <c r="F51" s="10">
        <v>1</v>
      </c>
      <c r="G51" s="10">
        <f t="shared" si="1"/>
        <v>5</v>
      </c>
    </row>
    <row r="52" spans="2:7" x14ac:dyDescent="0.3">
      <c r="B52" s="10"/>
      <c r="C52" s="7"/>
      <c r="D52" s="7"/>
      <c r="E52" s="10"/>
      <c r="F52" s="10"/>
      <c r="G52" s="10"/>
    </row>
    <row r="53" spans="2:7" x14ac:dyDescent="0.3">
      <c r="B53" s="10"/>
      <c r="C53" s="7"/>
      <c r="D53" s="7"/>
      <c r="E53" s="10"/>
      <c r="F53" s="10"/>
      <c r="G53" s="10"/>
    </row>
    <row r="54" spans="2:7" x14ac:dyDescent="0.3">
      <c r="B54" s="10"/>
      <c r="C54" s="7"/>
      <c r="D54" s="7"/>
      <c r="E54" s="10"/>
      <c r="F54" s="10"/>
      <c r="G54" s="10"/>
    </row>
    <row r="55" spans="2:7" x14ac:dyDescent="0.3">
      <c r="B55" s="10"/>
      <c r="C55" s="7"/>
      <c r="D55" s="7"/>
      <c r="E55" s="10"/>
      <c r="F55" s="10"/>
      <c r="G55" s="10"/>
    </row>
    <row r="56" spans="2:7" x14ac:dyDescent="0.3">
      <c r="B56" s="10"/>
      <c r="C56" s="7"/>
      <c r="D56" s="7"/>
      <c r="E56" s="10"/>
      <c r="F56" s="10"/>
      <c r="G56" s="10"/>
    </row>
    <row r="57" spans="2:7" x14ac:dyDescent="0.3">
      <c r="B57" s="10"/>
      <c r="C57" s="7"/>
      <c r="D57" s="7"/>
      <c r="E57" s="10"/>
      <c r="F57" s="10"/>
      <c r="G57" s="10"/>
    </row>
    <row r="58" spans="2:7" x14ac:dyDescent="0.3">
      <c r="B58" s="10"/>
      <c r="C58" s="7"/>
      <c r="D58" s="7"/>
      <c r="E58" s="10"/>
      <c r="F58" s="10"/>
      <c r="G58" s="10"/>
    </row>
    <row r="59" spans="2:7" x14ac:dyDescent="0.3">
      <c r="B59" s="10"/>
      <c r="C59" s="7"/>
      <c r="D59" s="7"/>
      <c r="E59" s="10"/>
      <c r="F59" s="10"/>
      <c r="G59" s="10"/>
    </row>
    <row r="60" spans="2:7" x14ac:dyDescent="0.3">
      <c r="B60" s="10"/>
      <c r="C60" s="7"/>
      <c r="D60" s="7"/>
      <c r="E60" s="10"/>
      <c r="F60" s="10"/>
      <c r="G60" s="10"/>
    </row>
    <row r="61" spans="2:7" x14ac:dyDescent="0.3">
      <c r="D61" s="4"/>
    </row>
    <row r="62" spans="2:7" ht="18" x14ac:dyDescent="0.35">
      <c r="B62" s="5" t="s">
        <v>7</v>
      </c>
      <c r="C62" s="5"/>
      <c r="D62" s="9"/>
      <c r="E62" s="9"/>
    </row>
    <row r="63" spans="2:7" x14ac:dyDescent="0.3">
      <c r="B63" s="8" t="s">
        <v>17</v>
      </c>
      <c r="C63" s="8" t="s">
        <v>18</v>
      </c>
      <c r="D63" s="8" t="s">
        <v>22</v>
      </c>
      <c r="E63" s="8" t="s">
        <v>53</v>
      </c>
    </row>
    <row r="64" spans="2:7" x14ac:dyDescent="0.3">
      <c r="B64" s="10">
        <v>3</v>
      </c>
      <c r="C64" s="10">
        <v>6</v>
      </c>
      <c r="D64" s="10" t="s">
        <v>23</v>
      </c>
      <c r="E64" s="10" t="s">
        <v>41</v>
      </c>
    </row>
    <row r="65" spans="2:5" x14ac:dyDescent="0.3">
      <c r="B65" s="10">
        <v>7</v>
      </c>
      <c r="C65" s="10">
        <v>9</v>
      </c>
      <c r="D65" s="10" t="s">
        <v>16</v>
      </c>
      <c r="E65" s="10" t="s">
        <v>42</v>
      </c>
    </row>
    <row r="66" spans="2:5" x14ac:dyDescent="0.3">
      <c r="B66" s="10">
        <v>10</v>
      </c>
      <c r="C66" s="10">
        <v>13</v>
      </c>
      <c r="D66" s="10" t="s">
        <v>24</v>
      </c>
      <c r="E66" s="10" t="s">
        <v>43</v>
      </c>
    </row>
    <row r="69" spans="2:5" ht="18" x14ac:dyDescent="0.35">
      <c r="B69" s="5" t="s">
        <v>54</v>
      </c>
      <c r="C69" s="5"/>
      <c r="D69" s="9"/>
    </row>
    <row r="70" spans="2:5" ht="30" x14ac:dyDescent="0.3">
      <c r="B70" s="21" t="s">
        <v>49</v>
      </c>
      <c r="C70" s="21" t="s">
        <v>50</v>
      </c>
      <c r="D70" s="21" t="s">
        <v>55</v>
      </c>
    </row>
    <row r="71" spans="2:5" x14ac:dyDescent="0.3">
      <c r="B71" s="10" t="s">
        <v>51</v>
      </c>
      <c r="C71" s="7" t="s">
        <v>44</v>
      </c>
      <c r="D71" s="10">
        <v>22</v>
      </c>
    </row>
    <row r="72" spans="2:5" x14ac:dyDescent="0.3">
      <c r="B72" s="10">
        <f>ROUNDDOWN(IF($D72&lt;=$D$76*0.2,$D72*0.2,$D72*0.05),0)</f>
        <v>5</v>
      </c>
      <c r="C72" s="7" t="s">
        <v>52</v>
      </c>
      <c r="D72" s="10">
        <v>106</v>
      </c>
    </row>
    <row r="73" spans="2:5" x14ac:dyDescent="0.3">
      <c r="B73" s="10">
        <f t="shared" ref="B73:B75" si="3">ROUNDDOWN(IF($D73&lt;=$D$76*0.2,$D73*0.2,$D73*0.05),0)</f>
        <v>3</v>
      </c>
      <c r="C73" s="7" t="s">
        <v>45</v>
      </c>
      <c r="D73" s="10">
        <v>18</v>
      </c>
    </row>
    <row r="74" spans="2:5" x14ac:dyDescent="0.3">
      <c r="B74" s="10">
        <f t="shared" si="3"/>
        <v>2</v>
      </c>
      <c r="C74" s="7" t="s">
        <v>46</v>
      </c>
      <c r="D74" s="10">
        <v>13</v>
      </c>
    </row>
    <row r="75" spans="2:5" x14ac:dyDescent="0.3">
      <c r="B75" s="10">
        <f t="shared" si="3"/>
        <v>1</v>
      </c>
      <c r="C75" s="7" t="s">
        <v>47</v>
      </c>
      <c r="D75" s="22">
        <v>9</v>
      </c>
    </row>
    <row r="76" spans="2:5" x14ac:dyDescent="0.3">
      <c r="D76" s="23">
        <f>SUM(D71:D75)</f>
        <v>168</v>
      </c>
    </row>
  </sheetData>
  <sortState ref="B27:E31">
    <sortCondition descending="1" ref="B27"/>
  </sortState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Matriz de Prioridade</vt:lpstr>
      <vt:lpstr>Dados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Guerra Ferreira</dc:creator>
  <cp:lastModifiedBy>Bruno Guerra Ferreira</cp:lastModifiedBy>
  <dcterms:created xsi:type="dcterms:W3CDTF">2015-10-01T14:45:13Z</dcterms:created>
  <dcterms:modified xsi:type="dcterms:W3CDTF">2016-05-09T22:11:27Z</dcterms:modified>
</cp:coreProperties>
</file>