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activeTab="1"/>
  </bookViews>
  <sheets>
    <sheet name="Indicadores" sheetId="1" r:id="rId1"/>
    <sheet name="Dados - Gráficos" sheetId="7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F16" i="4" l="1"/>
  <c r="G16" i="4" s="1"/>
  <c r="F15" i="4"/>
  <c r="G15" i="4" s="1"/>
  <c r="F14" i="4"/>
  <c r="G14" i="4" s="1"/>
  <c r="F13" i="4"/>
  <c r="G13" i="4" s="1"/>
  <c r="F9" i="4"/>
  <c r="F8" i="4"/>
  <c r="F7" i="4"/>
  <c r="F6" i="4"/>
  <c r="C13" i="4"/>
  <c r="C6" i="4"/>
  <c r="G12" i="4"/>
  <c r="F12" i="4"/>
  <c r="E12" i="4"/>
  <c r="D12" i="4"/>
  <c r="C12" i="4"/>
  <c r="B16" i="4"/>
  <c r="B15" i="4"/>
  <c r="B14" i="4"/>
  <c r="B13" i="4"/>
  <c r="B12" i="4"/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F22" i="7" s="1"/>
  <c r="AI18" i="7"/>
  <c r="AI17" i="7"/>
  <c r="AI15" i="7" l="1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AI29" i="1" l="1"/>
  <c r="AJ29" i="1" s="1"/>
  <c r="AI30" i="1"/>
  <c r="AJ30" i="1" s="1"/>
  <c r="AI28" i="1"/>
  <c r="AH27" i="1"/>
  <c r="AJ28" i="1" l="1"/>
  <c r="AI27" i="1"/>
  <c r="AJ27" i="1" s="1"/>
  <c r="F9" i="7" l="1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G22" i="7" l="1"/>
  <c r="G7" i="4" s="1"/>
  <c r="L25" i="7"/>
  <c r="N25" i="7" s="1"/>
  <c r="L26" i="7" l="1"/>
  <c r="J26" i="7"/>
  <c r="J10" i="4"/>
  <c r="K10" i="4" s="1"/>
  <c r="J9" i="4"/>
  <c r="K6" i="4"/>
  <c r="AH24" i="1" l="1"/>
  <c r="AH23" i="1"/>
  <c r="AI4" i="7" l="1"/>
  <c r="AI24" i="1"/>
  <c r="AI6" i="7"/>
  <c r="AI23" i="1"/>
  <c r="AI5" i="7"/>
  <c r="AH21" i="1"/>
  <c r="AI22" i="1"/>
  <c r="AJ24" i="1" l="1"/>
  <c r="AJ6" i="7"/>
  <c r="AJ12" i="7" s="1"/>
  <c r="AJ18" i="7" s="1"/>
  <c r="AJ23" i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N26" i="7" l="1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E8" i="4"/>
  <c r="AI15" i="1"/>
  <c r="AJ16" i="1"/>
  <c r="AH9" i="1"/>
  <c r="AI10" i="1"/>
  <c r="AJ10" i="1" s="1"/>
  <c r="G23" i="7" l="1"/>
  <c r="G8" i="4" s="1"/>
  <c r="G24" i="7"/>
  <c r="G9" i="4" s="1"/>
  <c r="AJ15" i="1"/>
  <c r="AI9" i="1"/>
  <c r="AJ9" i="1" s="1"/>
  <c r="E6" i="4" l="1"/>
  <c r="AH3" i="1"/>
  <c r="AI3" i="1" s="1"/>
  <c r="AJ3" i="1" s="1"/>
  <c r="AI4" i="1"/>
  <c r="AJ4" i="1" s="1"/>
  <c r="G21" i="7" l="1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<sst xmlns="http://schemas.openxmlformats.org/spreadsheetml/2006/main" count="345" uniqueCount="37">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</sst>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199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16" fillId="14" borderId="27" xfId="0" applyFont="1" applyFill="1" applyBorder="1" applyAlignment="1">
      <alignment horizontal="center" vertical="center"/>
    </xf>
    <xf numFmtId="2" fontId="26" fillId="14" borderId="27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3A-4CAE-92AC-4CF33B6D031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83A-4CAE-92AC-4CF33B6D031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3A-4CAE-92AC-4CF33B6D031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3A-4CAE-92AC-4CF33B6D031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3A-4CAE-92AC-4CF33B6D031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3A-4CAE-92AC-4CF33B6D031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3A-4CAE-92AC-4CF33B6D031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3A-4CAE-92AC-4CF33B6D031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3A-4CAE-92AC-4CF33B6D031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3A-4CAE-92AC-4CF33B6D031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3A-4CAE-92AC-4CF33B6D031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D5-4CF9-907D-06F4FF8883B4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D5-4CF9-907D-06F4FF8883B4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D5-4CF9-907D-06F4FF8883B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D5-4CF9-907D-06F4FF8883B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D5-4CF9-907D-06F4FF8883B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D5-4CF9-907D-06F4FF8883B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D5-4CF9-907D-06F4FF8883B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D5-4CF9-907D-06F4FF8883B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D5-4CF9-907D-06F4FF8883B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D5-4CF9-907D-06F4FF8883B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5-4CF9-907D-06F4FF8883B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717</c:v>
                </c:pt>
                <c:pt idx="1">
                  <c:v>761</c:v>
                </c:pt>
                <c:pt idx="2">
                  <c:v>582</c:v>
                </c:pt>
                <c:pt idx="3">
                  <c:v>601</c:v>
                </c:pt>
                <c:pt idx="4">
                  <c:v>110</c:v>
                </c:pt>
                <c:pt idx="5">
                  <c:v>70</c:v>
                </c:pt>
                <c:pt idx="6">
                  <c:v>638</c:v>
                </c:pt>
                <c:pt idx="7">
                  <c:v>487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2A-424F-925E-F8E04FB80AF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12A-424F-925E-F8E04FB80AF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2A-424F-925E-F8E04FB80AF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2A-424F-925E-F8E04FB80AF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2A-424F-925E-F8E04FB80AF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12A-424F-925E-F8E04FB80AF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12A-424F-925E-F8E04FB80AF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12A-424F-925E-F8E04FB80AF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12A-424F-925E-F8E04FB80AF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12A-424F-925E-F8E04FB80AF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2A-424F-925E-F8E04FB80AF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575</c:v>
                </c:pt>
                <c:pt idx="1">
                  <c:v>467</c:v>
                </c:pt>
                <c:pt idx="2">
                  <c:v>390</c:v>
                </c:pt>
                <c:pt idx="3">
                  <c:v>376</c:v>
                </c:pt>
                <c:pt idx="4">
                  <c:v>77</c:v>
                </c:pt>
                <c:pt idx="5">
                  <c:v>40</c:v>
                </c:pt>
                <c:pt idx="6">
                  <c:v>544</c:v>
                </c:pt>
                <c:pt idx="7">
                  <c:v>391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130" workbookViewId="0"/>
  </sheetViews>
  <sheetProtection algorithmName="SHA-512" hashValue="wxoiKuZdplOXHsBLFaRbTr7g77VJBrchDIJKllWEUT2UQhIkKAvsvh+aG6kCQrBVqvG9cv2dQbSFGeelrYBoHw==" saltValue="ybWnLIrsC4Ol1dKQTzGjD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130" workbookViewId="0"/>
  </sheetViews>
  <sheetProtection algorithmName="SHA-512" hashValue="O92+mMT8jFcbGiEkyBqmxBtlybsrlh79zPRKIuh+n2cYRr+pAkEp/TTPOuTt2DWkcw9MavkjdyyQVEn6De3cXA==" saltValue="HD2gKrFZvtm3yjlHTAWZT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140" workbookViewId="0"/>
  </sheetViews>
  <sheetProtection algorithmName="SHA-512" hashValue="GE0haOyQtfQ/IhQbi+3fXjoUMcQNzIGuqyM1tbu8XUwhNj7v7LryuBpedwRMEE4A2tDZm7mnm1vH8uNM09R9hQ==" saltValue="WPUdDKfoHXQ6e3lcY+NX1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6</xdr:col>
      <xdr:colOff>971560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W13" zoomScale="130" zoomScaleNormal="130" workbookViewId="0">
      <selection activeCell="AJ28" sqref="AJ28"/>
    </sheetView>
  </sheetViews>
  <sheetFormatPr defaultColWidth="9.140625" defaultRowHeight="15" x14ac:dyDescent="0.25"/>
  <cols>
    <col min="1" max="1" width="1.28515625" style="154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54" bestFit="1" customWidth="1"/>
    <col min="40" max="16384" width="9.140625" style="154"/>
  </cols>
  <sheetData>
    <row r="1" spans="2:36" ht="15.75" thickBot="1" x14ac:dyDescent="0.3"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55"/>
      <c r="C7" s="155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56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19900</v>
      </c>
      <c r="AI21" s="71">
        <f>AH21/COUNTA(C22:AG22)</f>
        <v>686.20689655172418</v>
      </c>
      <c r="AJ21" s="55">
        <f>AI21*29</f>
        <v>19900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7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14</v>
      </c>
      <c r="AF22" s="24"/>
      <c r="AG22" s="24"/>
      <c r="AH22" s="53"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638</v>
      </c>
      <c r="E23" s="24">
        <v>579</v>
      </c>
      <c r="F23" s="24">
        <v>518</v>
      </c>
      <c r="G23" s="24">
        <v>466</v>
      </c>
      <c r="H23" s="24">
        <v>97</v>
      </c>
      <c r="I23" s="24">
        <v>41</v>
      </c>
      <c r="J23" s="24">
        <v>163</v>
      </c>
      <c r="K23" s="24">
        <v>125</v>
      </c>
      <c r="L23" s="24">
        <v>556</v>
      </c>
      <c r="M23" s="24">
        <v>580</v>
      </c>
      <c r="N23" s="24">
        <v>552</v>
      </c>
      <c r="O23" s="24">
        <v>130</v>
      </c>
      <c r="P23" s="24">
        <v>33</v>
      </c>
      <c r="Q23" s="24">
        <v>617</v>
      </c>
      <c r="R23" s="24">
        <v>541</v>
      </c>
      <c r="S23" s="24">
        <v>445</v>
      </c>
      <c r="T23" s="24">
        <v>538</v>
      </c>
      <c r="U23" s="24">
        <v>463</v>
      </c>
      <c r="V23" s="24">
        <v>129</v>
      </c>
      <c r="W23" s="24">
        <v>48</v>
      </c>
      <c r="X23" s="24">
        <v>719</v>
      </c>
      <c r="Y23" s="24">
        <v>628</v>
      </c>
      <c r="Z23" s="24">
        <v>600</v>
      </c>
      <c r="AA23" s="24">
        <v>581</v>
      </c>
      <c r="AB23" s="24">
        <v>420</v>
      </c>
      <c r="AC23" s="24">
        <v>209</v>
      </c>
      <c r="AD23" s="24">
        <v>50</v>
      </c>
      <c r="AE23" s="24">
        <v>893</v>
      </c>
      <c r="AF23" s="24"/>
      <c r="AG23" s="24"/>
      <c r="AH23" s="53">
        <f>SUM(C23:AG23)</f>
        <v>12183</v>
      </c>
      <c r="AI23" s="38">
        <f>AH23/COUNTA(C23:AG23)</f>
        <v>420.10344827586209</v>
      </c>
      <c r="AJ23" s="56">
        <f>AI23*29</f>
        <v>12183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330</v>
      </c>
      <c r="M24" s="25">
        <v>345</v>
      </c>
      <c r="N24" s="25">
        <v>314</v>
      </c>
      <c r="O24" s="25">
        <v>78</v>
      </c>
      <c r="P24" s="25">
        <v>45</v>
      </c>
      <c r="Q24" s="25">
        <v>398</v>
      </c>
      <c r="R24" s="25">
        <v>311</v>
      </c>
      <c r="S24" s="25">
        <v>271</v>
      </c>
      <c r="T24" s="25">
        <v>322</v>
      </c>
      <c r="U24" s="25">
        <v>269</v>
      </c>
      <c r="V24" s="25">
        <v>118</v>
      </c>
      <c r="W24" s="25">
        <v>46</v>
      </c>
      <c r="X24" s="25">
        <v>395</v>
      </c>
      <c r="Y24" s="25">
        <v>320</v>
      </c>
      <c r="Z24" s="25">
        <v>341</v>
      </c>
      <c r="AA24" s="25">
        <v>389</v>
      </c>
      <c r="AB24" s="25">
        <v>322</v>
      </c>
      <c r="AC24" s="25">
        <v>125</v>
      </c>
      <c r="AD24" s="25">
        <v>52</v>
      </c>
      <c r="AE24" s="25">
        <v>449</v>
      </c>
      <c r="AF24" s="25"/>
      <c r="AG24" s="25"/>
      <c r="AH24" s="54">
        <f>SUM(C24:AG24)</f>
        <v>7513</v>
      </c>
      <c r="AI24" s="37">
        <f>AH24/COUNTA(C24:AG24)</f>
        <v>259.06896551724139</v>
      </c>
      <c r="AJ24" s="57">
        <f>AI24*29</f>
        <v>7513</v>
      </c>
    </row>
    <row r="25" spans="2:36" ht="15.75" thickBot="1" x14ac:dyDescent="0.3">
      <c r="AE25" s="11"/>
      <c r="AF25" s="11"/>
    </row>
    <row r="26" spans="2:36" ht="11.25" customHeight="1" x14ac:dyDescent="0.25">
      <c r="B26" s="114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" t="s">
        <v>4</v>
      </c>
      <c r="AH26" s="115" t="s">
        <v>7</v>
      </c>
      <c r="AI26" s="116" t="s">
        <v>17</v>
      </c>
      <c r="AJ26" s="64" t="s">
        <v>18</v>
      </c>
    </row>
    <row r="27" spans="2:36" x14ac:dyDescent="0.25">
      <c r="B27" s="11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49">
        <v>42460</v>
      </c>
      <c r="AH27" s="52">
        <f>SUM(AH28:AH30)</f>
        <v>6876</v>
      </c>
      <c r="AI27" s="71">
        <f>AH27/COUNTA(C28:AG28)</f>
        <v>859.5</v>
      </c>
      <c r="AJ27" s="55">
        <f>AI27*31</f>
        <v>26644.5</v>
      </c>
    </row>
    <row r="28" spans="2:36" x14ac:dyDescent="0.25">
      <c r="B28" s="112" t="s">
        <v>19</v>
      </c>
      <c r="C28" s="24">
        <v>6</v>
      </c>
      <c r="D28" s="24">
        <v>10</v>
      </c>
      <c r="E28" s="24">
        <v>6</v>
      </c>
      <c r="F28" s="24">
        <v>9</v>
      </c>
      <c r="G28" s="24">
        <v>3</v>
      </c>
      <c r="H28" s="24">
        <v>1</v>
      </c>
      <c r="I28" s="24">
        <v>8</v>
      </c>
      <c r="J28" s="24">
        <v>7</v>
      </c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53">
        <f>SUM(C28:AG28)</f>
        <v>50</v>
      </c>
      <c r="AI28" s="38">
        <f>AH28/COUNTA(C28:AG28)</f>
        <v>6.25</v>
      </c>
      <c r="AJ28" s="56">
        <f>AI28*31</f>
        <v>193.75</v>
      </c>
    </row>
    <row r="29" spans="2:36" x14ac:dyDescent="0.25">
      <c r="B29" s="112" t="s">
        <v>20</v>
      </c>
      <c r="C29" s="24">
        <v>717</v>
      </c>
      <c r="D29" s="24">
        <v>761</v>
      </c>
      <c r="E29" s="24">
        <v>582</v>
      </c>
      <c r="F29" s="24">
        <v>601</v>
      </c>
      <c r="G29" s="24">
        <v>110</v>
      </c>
      <c r="H29" s="24">
        <v>70</v>
      </c>
      <c r="I29" s="24">
        <v>638</v>
      </c>
      <c r="J29" s="24">
        <v>487</v>
      </c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53">
        <f>SUM(C29:AG29)</f>
        <v>3966</v>
      </c>
      <c r="AI29" s="38">
        <f>AH29/COUNTA(C29:AG29)</f>
        <v>495.75</v>
      </c>
      <c r="AJ29" s="56">
        <f>AI29*31</f>
        <v>15368.25</v>
      </c>
    </row>
    <row r="30" spans="2:36" ht="15.75" thickBot="1" x14ac:dyDescent="0.3">
      <c r="B30" s="113" t="s">
        <v>21</v>
      </c>
      <c r="C30" s="25">
        <v>575</v>
      </c>
      <c r="D30" s="25">
        <v>467</v>
      </c>
      <c r="E30" s="25">
        <v>390</v>
      </c>
      <c r="F30" s="25">
        <v>376</v>
      </c>
      <c r="G30" s="25">
        <v>77</v>
      </c>
      <c r="H30" s="25">
        <v>40</v>
      </c>
      <c r="I30" s="25">
        <v>544</v>
      </c>
      <c r="J30" s="25">
        <v>391</v>
      </c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54">
        <f>SUM(C30:AG30)</f>
        <v>2860</v>
      </c>
      <c r="AI30" s="37">
        <f>AH30/COUNTA(C30:AG30)</f>
        <v>357.5</v>
      </c>
      <c r="AJ30" s="57">
        <f>AI30*31</f>
        <v>11082.5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abSelected="1" topLeftCell="B11" zoomScaleNormal="100" workbookViewId="0">
      <selection activeCell="N22" sqref="N22:O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54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</row>
    <row r="2" spans="1:16384" ht="15" customHeight="1" x14ac:dyDescent="0.25">
      <c r="B2" s="165" t="s">
        <v>36</v>
      </c>
      <c r="C2" s="166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5" t="s">
        <v>7</v>
      </c>
      <c r="AJ2" s="116" t="s">
        <v>17</v>
      </c>
      <c r="AK2" s="64" t="s">
        <v>18</v>
      </c>
    </row>
    <row r="3" spans="1:16384" s="50" customFormat="1" x14ac:dyDescent="0.25">
      <c r="A3" s="10"/>
      <c r="B3" s="167" t="s">
        <v>22</v>
      </c>
      <c r="C3" s="168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19900</v>
      </c>
      <c r="AJ3" s="66">
        <f>Indicadores!AI21</f>
        <v>686.20689655172418</v>
      </c>
      <c r="AK3" s="55">
        <f>Indicadores!AJ21</f>
        <v>19900</v>
      </c>
    </row>
    <row r="4" spans="1:16384" x14ac:dyDescent="0.25">
      <c r="B4" s="194" t="s">
        <v>19</v>
      </c>
      <c r="C4" s="195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7</v>
      </c>
      <c r="L4" s="39" t="str">
        <f>IF(Indicadores!K28,Indicadores!K28,"")</f>
        <v/>
      </c>
      <c r="M4" s="39" t="str">
        <f>IF(Indicadores!L28,Indicadores!L28,"")</f>
        <v/>
      </c>
      <c r="N4" s="39" t="str">
        <f>IF(Indicadores!M28,Indicadores!M28,"")</f>
        <v/>
      </c>
      <c r="O4" s="39" t="str">
        <f>IF(Indicadores!N28,Indicadores!N28,"")</f>
        <v/>
      </c>
      <c r="P4" s="39" t="str">
        <f>IF(Indicadores!O28,Indicadores!O28,"")</f>
        <v/>
      </c>
      <c r="Q4" s="39" t="str">
        <f>IF(Indicadores!P28,Indicadores!P28,"")</f>
        <v/>
      </c>
      <c r="R4" s="39" t="str">
        <f>IF(Indicadores!Q28,Indicadores!Q28,"")</f>
        <v/>
      </c>
      <c r="S4" s="39" t="str">
        <f>IF(Indicadores!R28,Indicadores!R28,"")</f>
        <v/>
      </c>
      <c r="T4" s="39" t="str">
        <f>IF(Indicadores!S28,Indicadores!S28,"")</f>
        <v/>
      </c>
      <c r="U4" s="39" t="str">
        <f>IF(Indicadores!T28,Indicadores!T28,"")</f>
        <v/>
      </c>
      <c r="V4" s="39" t="str">
        <f>IF(Indicadores!U28,Indicadores!U28,"")</f>
        <v/>
      </c>
      <c r="W4" s="39" t="str">
        <f>IF(Indicadores!V28,Indicadores!V28,"")</f>
        <v/>
      </c>
      <c r="X4" s="39" t="str">
        <f>IF(Indicadores!W28,Indicadores!W28,"")</f>
        <v/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194" t="s">
        <v>20</v>
      </c>
      <c r="C5" s="195"/>
      <c r="D5" s="39">
        <f>IF(Indicadores!C29,Indicadores!C29,"")</f>
        <v>717</v>
      </c>
      <c r="E5" s="39">
        <f>IF(Indicadores!D29,Indicadores!D29,"")</f>
        <v>761</v>
      </c>
      <c r="F5" s="39">
        <f>IF(Indicadores!E29,Indicadores!E29,"")</f>
        <v>582</v>
      </c>
      <c r="G5" s="39">
        <f>IF(Indicadores!F29,Indicadores!F29,"")</f>
        <v>601</v>
      </c>
      <c r="H5" s="39">
        <f>IF(Indicadores!G29,Indicadores!G29,"")</f>
        <v>110</v>
      </c>
      <c r="I5" s="39">
        <f>IF(Indicadores!H29,Indicadores!H29,"")</f>
        <v>70</v>
      </c>
      <c r="J5" s="39">
        <f>IF(Indicadores!I29,Indicadores!I29,"")</f>
        <v>638</v>
      </c>
      <c r="K5" s="39">
        <f>IF(Indicadores!J29,Indicadores!J29,"")</f>
        <v>487</v>
      </c>
      <c r="L5" s="39" t="str">
        <f>IF(Indicadores!K29,Indicadores!K29,"")</f>
        <v/>
      </c>
      <c r="M5" s="39" t="str">
        <f>IF(Indicadores!L29,Indicadores!L29,"")</f>
        <v/>
      </c>
      <c r="N5" s="39" t="str">
        <f>IF(Indicadores!M29,Indicadores!M29,"")</f>
        <v/>
      </c>
      <c r="O5" s="39" t="str">
        <f>IF(Indicadores!N29,Indicadores!N29,"")</f>
        <v/>
      </c>
      <c r="P5" s="39" t="str">
        <f>IF(Indicadores!O29,Indicadores!O29,"")</f>
        <v/>
      </c>
      <c r="Q5" s="39" t="str">
        <f>IF(Indicadores!P29,Indicadores!P29,"")</f>
        <v/>
      </c>
      <c r="R5" s="39" t="str">
        <f>IF(Indicadores!Q29,Indicadores!Q29,"")</f>
        <v/>
      </c>
      <c r="S5" s="39" t="str">
        <f>IF(Indicadores!R29,Indicadores!R29,"")</f>
        <v/>
      </c>
      <c r="T5" s="39" t="str">
        <f>IF(Indicadores!S29,Indicadores!S29,"")</f>
        <v/>
      </c>
      <c r="U5" s="39" t="str">
        <f>IF(Indicadores!T29,Indicadores!T29,"")</f>
        <v/>
      </c>
      <c r="V5" s="39" t="str">
        <f>IF(Indicadores!U29,Indicadores!U29,"")</f>
        <v/>
      </c>
      <c r="W5" s="39" t="str">
        <f>IF(Indicadores!V29,Indicadores!V29,"")</f>
        <v/>
      </c>
      <c r="X5" s="39" t="str">
        <f>IF(Indicadores!W29,Indicadores!W29,"")</f>
        <v/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12183</v>
      </c>
      <c r="AJ5" s="75">
        <f>Indicadores!AI23</f>
        <v>420.10344827586209</v>
      </c>
      <c r="AK5" s="56">
        <f>Indicadores!AJ23</f>
        <v>12183</v>
      </c>
    </row>
    <row r="6" spans="1:16384" ht="15.75" thickBot="1" x14ac:dyDescent="0.3">
      <c r="B6" s="196" t="s">
        <v>21</v>
      </c>
      <c r="C6" s="197"/>
      <c r="D6" s="40">
        <f>IF(Indicadores!C30,Indicadores!C30,"")</f>
        <v>575</v>
      </c>
      <c r="E6" s="40">
        <f>IF(Indicadores!D30,Indicadores!D30,"")</f>
        <v>467</v>
      </c>
      <c r="F6" s="40">
        <f>IF(Indicadores!E30,Indicadores!E30,"")</f>
        <v>390</v>
      </c>
      <c r="G6" s="40">
        <f>IF(Indicadores!F30,Indicadores!F30,"")</f>
        <v>376</v>
      </c>
      <c r="H6" s="40">
        <f>IF(Indicadores!G30,Indicadores!G30,"")</f>
        <v>77</v>
      </c>
      <c r="I6" s="40">
        <f>IF(Indicadores!H30,Indicadores!H30,"")</f>
        <v>40</v>
      </c>
      <c r="J6" s="40">
        <f>IF(Indicadores!I30,Indicadores!I30,"")</f>
        <v>544</v>
      </c>
      <c r="K6" s="40">
        <f>IF(Indicadores!J30,Indicadores!J30,"")</f>
        <v>391</v>
      </c>
      <c r="L6" s="40" t="str">
        <f>IF(Indicadores!K30,Indicadores!K30,"")</f>
        <v/>
      </c>
      <c r="M6" s="40" t="str">
        <f>IF(Indicadores!L30,Indicadores!L30,"")</f>
        <v/>
      </c>
      <c r="N6" s="40" t="str">
        <f>IF(Indicadores!M30,Indicadores!M30,"")</f>
        <v/>
      </c>
      <c r="O6" s="40" t="str">
        <f>IF(Indicadores!N30,Indicadores!N30,"")</f>
        <v/>
      </c>
      <c r="P6" s="40" t="str">
        <f>IF(Indicadores!O30,Indicadores!O30,"")</f>
        <v/>
      </c>
      <c r="Q6" s="40" t="str">
        <f>IF(Indicadores!P30,Indicadores!P30,"")</f>
        <v/>
      </c>
      <c r="R6" s="40" t="str">
        <f>IF(Indicadores!Q30,Indicadores!Q30,"")</f>
        <v/>
      </c>
      <c r="S6" s="40" t="str">
        <f>IF(Indicadores!R30,Indicadores!R30,"")</f>
        <v/>
      </c>
      <c r="T6" s="40" t="str">
        <f>IF(Indicadores!S30,Indicadores!S30,"")</f>
        <v/>
      </c>
      <c r="U6" s="40" t="str">
        <f>IF(Indicadores!T30,Indicadores!T30,"")</f>
        <v/>
      </c>
      <c r="V6" s="40" t="str">
        <f>IF(Indicadores!U30,Indicadores!U30,"")</f>
        <v/>
      </c>
      <c r="W6" s="40" t="str">
        <f>IF(Indicadores!V30,Indicadores!V30,"")</f>
        <v/>
      </c>
      <c r="X6" s="40" t="str">
        <f>IF(Indicadores!W30,Indicadores!W30,"")</f>
        <v/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7513</v>
      </c>
      <c r="AJ6" s="42">
        <f>Indicadores!AI24</f>
        <v>259.06896551724139</v>
      </c>
      <c r="AK6" s="56">
        <f>Indicadores!AJ24</f>
        <v>7513</v>
      </c>
    </row>
    <row r="7" spans="1:16384" ht="15.75" thickBot="1" x14ac:dyDescent="0.3">
      <c r="C7" s="183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85"/>
      <c r="AJ7" s="185"/>
      <c r="AK7" s="185"/>
    </row>
    <row r="8" spans="1:16384" ht="15" customHeight="1" x14ac:dyDescent="0.25">
      <c r="B8" s="165" t="s">
        <v>36</v>
      </c>
      <c r="C8" s="166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5" t="s">
        <v>7</v>
      </c>
      <c r="AJ8" s="116" t="s">
        <v>17</v>
      </c>
      <c r="AK8" s="64" t="s">
        <v>18</v>
      </c>
    </row>
    <row r="9" spans="1:16384" s="50" customFormat="1" x14ac:dyDescent="0.25">
      <c r="A9" s="10"/>
      <c r="B9" s="167" t="s">
        <v>27</v>
      </c>
      <c r="C9" s="168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19900</v>
      </c>
      <c r="AJ9" s="66">
        <f t="shared" si="1"/>
        <v>686.20689655172418</v>
      </c>
      <c r="AK9" s="55">
        <f t="shared" si="1"/>
        <v>19900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420.10344827586209</v>
      </c>
      <c r="AK11" s="107">
        <f t="shared" si="2"/>
        <v>12183</v>
      </c>
    </row>
    <row r="12" spans="1:16384" ht="15.75" thickBot="1" x14ac:dyDescent="0.3">
      <c r="B12" s="102" t="s">
        <v>21</v>
      </c>
      <c r="C12" s="104" t="s">
        <v>35</v>
      </c>
      <c r="D12" s="151">
        <v>407.30605968415819</v>
      </c>
      <c r="E12" s="151">
        <v>390.79192858550493</v>
      </c>
      <c r="F12" s="151">
        <v>370.83469679446841</v>
      </c>
      <c r="G12" s="151">
        <v>302.80157755793164</v>
      </c>
      <c r="H12" s="151">
        <v>112.66590598965367</v>
      </c>
      <c r="I12" s="151">
        <v>51.391465890017457</v>
      </c>
      <c r="J12" s="151">
        <v>407.30605968415824</v>
      </c>
      <c r="K12" s="151">
        <v>357.64551330067394</v>
      </c>
      <c r="L12" s="151">
        <v>343.14485770504547</v>
      </c>
      <c r="M12" s="151">
        <v>325.62089939835937</v>
      </c>
      <c r="N12" s="151">
        <v>265.88267731134948</v>
      </c>
      <c r="O12" s="151">
        <v>98.929183156275968</v>
      </c>
      <c r="P12" s="151">
        <v>45.125592316897809</v>
      </c>
      <c r="Q12" s="151">
        <v>390.79192858550493</v>
      </c>
      <c r="R12" s="151">
        <v>343.14485770504547</v>
      </c>
      <c r="S12" s="151">
        <v>329.23212787636561</v>
      </c>
      <c r="T12" s="151">
        <v>312.41867445406143</v>
      </c>
      <c r="U12" s="151">
        <v>255.10252492818736</v>
      </c>
      <c r="V12" s="151">
        <v>94.918122035819565</v>
      </c>
      <c r="W12" s="151">
        <v>43.295985490022957</v>
      </c>
      <c r="X12" s="151">
        <v>370.83469679446847</v>
      </c>
      <c r="Y12" s="151">
        <v>325.62089939835937</v>
      </c>
      <c r="Z12" s="151">
        <v>312.41867445406149</v>
      </c>
      <c r="AA12" s="151">
        <v>296.46386206963967</v>
      </c>
      <c r="AB12" s="151">
        <v>242.07477320645097</v>
      </c>
      <c r="AC12" s="151">
        <v>90.070777901831732</v>
      </c>
      <c r="AD12" s="151">
        <v>41.084916235923245</v>
      </c>
      <c r="AE12" s="151">
        <v>302.80157755793169</v>
      </c>
      <c r="AF12" s="151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259.06896551724139</v>
      </c>
      <c r="AK12" s="110">
        <f t="shared" si="2"/>
        <v>7513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8" customFormat="1" ht="15.75" x14ac:dyDescent="0.25">
      <c r="A14" s="10"/>
      <c r="B14" s="165" t="s">
        <v>36</v>
      </c>
      <c r="C14" s="166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5" t="s">
        <v>7</v>
      </c>
      <c r="AJ14" s="116" t="s">
        <v>17</v>
      </c>
      <c r="AK14" s="64" t="s">
        <v>18</v>
      </c>
    </row>
    <row r="15" spans="1:16384" s="118" customFormat="1" x14ac:dyDescent="0.25">
      <c r="A15" s="10"/>
      <c r="B15" s="167" t="s">
        <v>27</v>
      </c>
      <c r="C15" s="168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21119.823433033176</v>
      </c>
      <c r="AJ15" s="66">
        <f t="shared" si="3"/>
        <v>686.20689655172418</v>
      </c>
      <c r="AK15" s="55">
        <f t="shared" si="3"/>
        <v>19900</v>
      </c>
    </row>
    <row r="16" spans="1:16384" s="118" customFormat="1" x14ac:dyDescent="0.25">
      <c r="A16" s="10"/>
      <c r="B16" s="127" t="s">
        <v>19</v>
      </c>
      <c r="C16" s="128" t="s">
        <v>35</v>
      </c>
      <c r="D16" s="141">
        <f>IF(D4&lt;&gt;"",D4,D10)</f>
        <v>6</v>
      </c>
      <c r="E16" s="141">
        <f t="shared" ref="E16:AH16" si="4">IF(E4&lt;&gt;"",E4,E10)</f>
        <v>10</v>
      </c>
      <c r="F16" s="141">
        <f t="shared" si="4"/>
        <v>6</v>
      </c>
      <c r="G16" s="141">
        <f t="shared" si="4"/>
        <v>9</v>
      </c>
      <c r="H16" s="141">
        <f t="shared" si="4"/>
        <v>3</v>
      </c>
      <c r="I16" s="141">
        <f t="shared" si="4"/>
        <v>1</v>
      </c>
      <c r="J16" s="141">
        <f t="shared" si="4"/>
        <v>8</v>
      </c>
      <c r="K16" s="141">
        <f t="shared" si="4"/>
        <v>7</v>
      </c>
      <c r="L16" s="141">
        <f t="shared" si="4"/>
        <v>11.321930600236563</v>
      </c>
      <c r="M16" s="141">
        <f t="shared" si="4"/>
        <v>11.192783102895463</v>
      </c>
      <c r="N16" s="141">
        <f t="shared" si="4"/>
        <v>8.3515381613912307</v>
      </c>
      <c r="O16" s="141">
        <f t="shared" si="4"/>
        <v>4.3049165780367167</v>
      </c>
      <c r="P16" s="141">
        <f t="shared" si="4"/>
        <v>2.1094091232379912</v>
      </c>
      <c r="Q16" s="141">
        <f t="shared" si="4"/>
        <v>9.1658760349339445</v>
      </c>
      <c r="R16" s="141">
        <f t="shared" si="4"/>
        <v>8.6714511865765118</v>
      </c>
      <c r="S16" s="141">
        <f t="shared" si="4"/>
        <v>10.002595009077289</v>
      </c>
      <c r="T16" s="141">
        <f t="shared" si="4"/>
        <v>9.8884969671486527</v>
      </c>
      <c r="U16" s="141">
        <f t="shared" si="4"/>
        <v>7.3783400447186107</v>
      </c>
      <c r="V16" s="141">
        <f t="shared" si="4"/>
        <v>3.8032680642879435</v>
      </c>
      <c r="W16" s="141">
        <f t="shared" si="4"/>
        <v>1.8636013515010923</v>
      </c>
      <c r="X16" s="141">
        <f t="shared" si="4"/>
        <v>9.1230922432305341</v>
      </c>
      <c r="Y16" s="141">
        <f t="shared" si="4"/>
        <v>8.6309752342595925</v>
      </c>
      <c r="Z16" s="141">
        <f t="shared" si="4"/>
        <v>9.9559056430275099</v>
      </c>
      <c r="AA16" s="141">
        <f t="shared" si="4"/>
        <v>9.8423401794188319</v>
      </c>
      <c r="AB16" s="141">
        <f t="shared" si="4"/>
        <v>7.3438999800278983</v>
      </c>
      <c r="AC16" s="141">
        <f t="shared" si="4"/>
        <v>3.7855154536226281</v>
      </c>
      <c r="AD16" s="141">
        <f t="shared" si="4"/>
        <v>1.8549025722750878</v>
      </c>
      <c r="AE16" s="141">
        <f t="shared" si="4"/>
        <v>9.1230922432305341</v>
      </c>
      <c r="AF16" s="141">
        <f t="shared" si="4"/>
        <v>8.6309752342595925</v>
      </c>
      <c r="AG16" s="141">
        <f t="shared" si="4"/>
        <v>9.9559056430275099</v>
      </c>
      <c r="AH16" s="141">
        <f t="shared" si="4"/>
        <v>9.8423401794188319</v>
      </c>
      <c r="AI16" s="105">
        <f>SUM(D16:AH16)</f>
        <v>226.14315082984052</v>
      </c>
      <c r="AJ16" s="106">
        <f t="shared" ref="AJ16:AK16" si="5">AJ10</f>
        <v>7.0344827586206895</v>
      </c>
      <c r="AK16" s="107">
        <f t="shared" si="5"/>
        <v>204</v>
      </c>
    </row>
    <row r="17" spans="1:38" s="118" customFormat="1" x14ac:dyDescent="0.25">
      <c r="A17" s="10"/>
      <c r="B17" s="127" t="s">
        <v>20</v>
      </c>
      <c r="C17" s="128" t="s">
        <v>35</v>
      </c>
      <c r="D17" s="141">
        <f>IF(D5&lt;&gt;"",D5,D11)</f>
        <v>717</v>
      </c>
      <c r="E17" s="141">
        <f t="shared" ref="E17:AH17" si="6">IF(E5&lt;&gt;"",E5,E11)</f>
        <v>761</v>
      </c>
      <c r="F17" s="141">
        <f t="shared" si="6"/>
        <v>582</v>
      </c>
      <c r="G17" s="141">
        <f t="shared" si="6"/>
        <v>601</v>
      </c>
      <c r="H17" s="141">
        <f t="shared" si="6"/>
        <v>110</v>
      </c>
      <c r="I17" s="141">
        <f t="shared" si="6"/>
        <v>70</v>
      </c>
      <c r="J17" s="141">
        <f t="shared" si="6"/>
        <v>638</v>
      </c>
      <c r="K17" s="141">
        <f t="shared" si="6"/>
        <v>487</v>
      </c>
      <c r="L17" s="141">
        <f t="shared" si="6"/>
        <v>535.38216697603207</v>
      </c>
      <c r="M17" s="141">
        <f t="shared" si="6"/>
        <v>496.60175599245355</v>
      </c>
      <c r="N17" s="141">
        <f t="shared" si="6"/>
        <v>420.15653488920793</v>
      </c>
      <c r="O17" s="141">
        <f t="shared" si="6"/>
        <v>129.99406257098136</v>
      </c>
      <c r="P17" s="141">
        <f t="shared" si="6"/>
        <v>49.405181116065656</v>
      </c>
      <c r="Q17" s="141">
        <f t="shared" si="6"/>
        <v>563.59187806467378</v>
      </c>
      <c r="R17" s="141">
        <f t="shared" si="6"/>
        <v>496.60175599245355</v>
      </c>
      <c r="S17" s="141">
        <f t="shared" si="6"/>
        <v>495.32388132343101</v>
      </c>
      <c r="T17" s="141">
        <f t="shared" si="6"/>
        <v>459.44509253933649</v>
      </c>
      <c r="U17" s="141">
        <f t="shared" si="6"/>
        <v>388.71964451151183</v>
      </c>
      <c r="V17" s="141">
        <f t="shared" si="6"/>
        <v>120.26766596531411</v>
      </c>
      <c r="W17" s="141">
        <f t="shared" si="6"/>
        <v>45.708593930421785</v>
      </c>
      <c r="X17" s="141">
        <f t="shared" si="6"/>
        <v>563.59187806467378</v>
      </c>
      <c r="Y17" s="141">
        <f t="shared" si="6"/>
        <v>496.60175599245355</v>
      </c>
      <c r="Z17" s="141">
        <f t="shared" si="6"/>
        <v>495.32388132343101</v>
      </c>
      <c r="AA17" s="141">
        <f t="shared" si="6"/>
        <v>459.44509253933649</v>
      </c>
      <c r="AB17" s="141">
        <f t="shared" si="6"/>
        <v>388.71964451151183</v>
      </c>
      <c r="AC17" s="141">
        <f t="shared" si="6"/>
        <v>120.26766596531411</v>
      </c>
      <c r="AD17" s="141">
        <f t="shared" si="6"/>
        <v>45.708593930421785</v>
      </c>
      <c r="AE17" s="141">
        <f t="shared" si="6"/>
        <v>476.83442058338744</v>
      </c>
      <c r="AF17" s="141">
        <f t="shared" si="6"/>
        <v>420.15653488920793</v>
      </c>
      <c r="AG17" s="141">
        <f t="shared" si="6"/>
        <v>419.07537199262049</v>
      </c>
      <c r="AH17" s="141">
        <f t="shared" si="6"/>
        <v>388.71964451151183</v>
      </c>
      <c r="AI17" s="105">
        <f>SUM(D17:AH17)</f>
        <v>12441.642698175749</v>
      </c>
      <c r="AJ17" s="106">
        <f t="shared" ref="AJ17:AK17" si="7">AJ11</f>
        <v>420.10344827586209</v>
      </c>
      <c r="AK17" s="107">
        <f t="shared" si="7"/>
        <v>12183</v>
      </c>
    </row>
    <row r="18" spans="1:38" s="118" customFormat="1" ht="15.75" thickBot="1" x14ac:dyDescent="0.3">
      <c r="A18" s="10"/>
      <c r="B18" s="129" t="s">
        <v>21</v>
      </c>
      <c r="C18" s="130" t="s">
        <v>35</v>
      </c>
      <c r="D18" s="150">
        <f>IF(D6&lt;&gt;"",D6,D12)</f>
        <v>575</v>
      </c>
      <c r="E18" s="150">
        <f t="shared" ref="E18:AH18" si="8">IF(E6&lt;&gt;"",E6,E12)</f>
        <v>467</v>
      </c>
      <c r="F18" s="150">
        <f t="shared" si="8"/>
        <v>390</v>
      </c>
      <c r="G18" s="150">
        <f t="shared" si="8"/>
        <v>376</v>
      </c>
      <c r="H18" s="150">
        <f t="shared" si="8"/>
        <v>77</v>
      </c>
      <c r="I18" s="150">
        <f t="shared" si="8"/>
        <v>40</v>
      </c>
      <c r="J18" s="150">
        <f t="shared" si="8"/>
        <v>544</v>
      </c>
      <c r="K18" s="150">
        <f t="shared" si="8"/>
        <v>391</v>
      </c>
      <c r="L18" s="150">
        <f t="shared" si="8"/>
        <v>343.14485770504547</v>
      </c>
      <c r="M18" s="150">
        <f t="shared" si="8"/>
        <v>325.62089939835937</v>
      </c>
      <c r="N18" s="150">
        <f t="shared" si="8"/>
        <v>265.88267731134948</v>
      </c>
      <c r="O18" s="150">
        <f t="shared" si="8"/>
        <v>98.929183156275968</v>
      </c>
      <c r="P18" s="150">
        <f t="shared" si="8"/>
        <v>45.125592316897809</v>
      </c>
      <c r="Q18" s="150">
        <f t="shared" si="8"/>
        <v>390.79192858550493</v>
      </c>
      <c r="R18" s="150">
        <f t="shared" si="8"/>
        <v>343.14485770504547</v>
      </c>
      <c r="S18" s="150">
        <f t="shared" si="8"/>
        <v>329.23212787636561</v>
      </c>
      <c r="T18" s="150">
        <f t="shared" si="8"/>
        <v>312.41867445406143</v>
      </c>
      <c r="U18" s="150">
        <f t="shared" si="8"/>
        <v>255.10252492818736</v>
      </c>
      <c r="V18" s="150">
        <f t="shared" si="8"/>
        <v>94.918122035819565</v>
      </c>
      <c r="W18" s="150">
        <f t="shared" si="8"/>
        <v>43.295985490022957</v>
      </c>
      <c r="X18" s="150">
        <f t="shared" si="8"/>
        <v>370.83469679446847</v>
      </c>
      <c r="Y18" s="150">
        <f t="shared" si="8"/>
        <v>325.62089939835937</v>
      </c>
      <c r="Z18" s="150">
        <f t="shared" si="8"/>
        <v>312.41867445406149</v>
      </c>
      <c r="AA18" s="150">
        <f t="shared" si="8"/>
        <v>296.46386206963967</v>
      </c>
      <c r="AB18" s="150">
        <f t="shared" si="8"/>
        <v>242.07477320645097</v>
      </c>
      <c r="AC18" s="150">
        <f t="shared" si="8"/>
        <v>90.070777901831732</v>
      </c>
      <c r="AD18" s="150">
        <f t="shared" si="8"/>
        <v>41.084916235923245</v>
      </c>
      <c r="AE18" s="150">
        <f t="shared" si="8"/>
        <v>302.80157755793169</v>
      </c>
      <c r="AF18" s="150">
        <f t="shared" si="8"/>
        <v>265.88267731134948</v>
      </c>
      <c r="AG18" s="150">
        <f t="shared" si="8"/>
        <v>255.10252492818739</v>
      </c>
      <c r="AH18" s="150">
        <f t="shared" si="8"/>
        <v>242.07477320645097</v>
      </c>
      <c r="AI18" s="108">
        <f>SUM(D18:AH18)</f>
        <v>8452.0375840275883</v>
      </c>
      <c r="AJ18" s="109">
        <f t="shared" ref="AJ18:AK18" si="9">AJ12</f>
        <v>259.06896551724139</v>
      </c>
      <c r="AK18" s="110">
        <f t="shared" si="9"/>
        <v>7513</v>
      </c>
    </row>
    <row r="19" spans="1:38" ht="17.25" thickBot="1" x14ac:dyDescent="0.3">
      <c r="B19" s="118"/>
      <c r="C19" s="119"/>
      <c r="D19" s="31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30"/>
      <c r="AG19" s="30"/>
      <c r="AH19" s="119"/>
      <c r="AI19" s="74"/>
      <c r="AJ19" s="43"/>
      <c r="AK19" s="74"/>
    </row>
    <row r="20" spans="1:38" ht="26.25" x14ac:dyDescent="0.25">
      <c r="B20" s="153" t="s">
        <v>29</v>
      </c>
      <c r="C20" s="131" t="s">
        <v>34</v>
      </c>
      <c r="D20" s="132" t="s">
        <v>18</v>
      </c>
      <c r="E20" s="133" t="s">
        <v>23</v>
      </c>
      <c r="F20" s="134" t="s">
        <v>24</v>
      </c>
      <c r="G20" s="135" t="s">
        <v>25</v>
      </c>
      <c r="H20" s="118"/>
      <c r="I20" s="32"/>
      <c r="J20" s="186" t="s">
        <v>30</v>
      </c>
      <c r="K20" s="187"/>
      <c r="L20" s="198" t="s">
        <v>32</v>
      </c>
      <c r="M20" s="198"/>
      <c r="N20" s="190" t="s">
        <v>32</v>
      </c>
      <c r="O20" s="191"/>
      <c r="P20" s="119"/>
      <c r="Q20" s="119"/>
      <c r="R20" s="119"/>
      <c r="S20" s="118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34"/>
      <c r="AK20" s="51"/>
      <c r="AL20" s="34"/>
    </row>
    <row r="21" spans="1:38" ht="26.25" x14ac:dyDescent="0.25">
      <c r="B21" s="136" t="s">
        <v>7</v>
      </c>
      <c r="C21" s="145">
        <v>19990</v>
      </c>
      <c r="D21" s="145">
        <v>19990</v>
      </c>
      <c r="E21" s="146">
        <v>21954</v>
      </c>
      <c r="F21" s="142">
        <v>-9.2999999999999999E-2</v>
      </c>
      <c r="G21" s="137">
        <f>F21</f>
        <v>-9.2999999999999999E-2</v>
      </c>
      <c r="H21" s="12"/>
      <c r="I21" s="32"/>
      <c r="J21" s="171">
        <v>7.03</v>
      </c>
      <c r="K21" s="172"/>
      <c r="L21" s="177">
        <v>204</v>
      </c>
      <c r="M21" s="177"/>
      <c r="N21" s="159">
        <v>19660</v>
      </c>
      <c r="O21" s="160"/>
      <c r="P21" s="119"/>
      <c r="Q21" s="119"/>
      <c r="R21" s="119"/>
      <c r="S21" s="118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34"/>
      <c r="AK21" s="51"/>
      <c r="AL21" s="34"/>
    </row>
    <row r="22" spans="1:38" ht="26.25" x14ac:dyDescent="0.25">
      <c r="B22" s="138" t="s">
        <v>19</v>
      </c>
      <c r="C22" s="147">
        <v>207</v>
      </c>
      <c r="D22" s="147">
        <v>207</v>
      </c>
      <c r="E22" s="146">
        <v>294</v>
      </c>
      <c r="F22" s="143">
        <f t="shared" ref="F22:F24" si="10">(D22-E22)/E22</f>
        <v>-0.29591836734693877</v>
      </c>
      <c r="G22" s="137">
        <f>F22</f>
        <v>-0.29591836734693877</v>
      </c>
      <c r="H22" s="12"/>
      <c r="I22" s="32"/>
      <c r="J22" s="188" t="s">
        <v>13</v>
      </c>
      <c r="K22" s="189"/>
      <c r="L22" s="178" t="s">
        <v>13</v>
      </c>
      <c r="M22" s="178"/>
      <c r="N22" s="192" t="s">
        <v>15</v>
      </c>
      <c r="O22" s="193"/>
      <c r="P22" s="119"/>
      <c r="Q22" s="119"/>
      <c r="R22" s="119"/>
      <c r="S22" s="118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34"/>
      <c r="AK22" s="51"/>
      <c r="AL22" s="34"/>
    </row>
    <row r="23" spans="1:38" ht="26.25" x14ac:dyDescent="0.25">
      <c r="B23" s="138" t="s">
        <v>20</v>
      </c>
      <c r="C23" s="147">
        <v>12183</v>
      </c>
      <c r="D23" s="147">
        <v>12183</v>
      </c>
      <c r="E23" s="146">
        <v>13086</v>
      </c>
      <c r="F23" s="143">
        <v>-6.8000000000000005E-2</v>
      </c>
      <c r="G23" s="137">
        <f>F23</f>
        <v>-6.8000000000000005E-2</v>
      </c>
      <c r="H23" s="12"/>
      <c r="I23" s="32"/>
      <c r="J23" s="169" t="s">
        <v>31</v>
      </c>
      <c r="K23" s="170"/>
      <c r="L23" s="179" t="s">
        <v>33</v>
      </c>
      <c r="M23" s="179"/>
      <c r="N23" s="157" t="s">
        <v>33</v>
      </c>
      <c r="O23" s="158"/>
      <c r="AI23" s="29"/>
      <c r="AJ23" s="34"/>
      <c r="AK23" s="51"/>
      <c r="AL23" s="34"/>
    </row>
    <row r="24" spans="1:38" ht="27" thickBot="1" x14ac:dyDescent="0.3">
      <c r="B24" s="139" t="s">
        <v>21</v>
      </c>
      <c r="C24" s="148">
        <v>7513</v>
      </c>
      <c r="D24" s="148">
        <v>7513</v>
      </c>
      <c r="E24" s="149">
        <v>8305</v>
      </c>
      <c r="F24" s="144">
        <f t="shared" si="10"/>
        <v>-9.5364238410596033E-2</v>
      </c>
      <c r="G24" s="140">
        <f>F24</f>
        <v>-9.5364238410596033E-2</v>
      </c>
      <c r="H24" s="12"/>
      <c r="I24" s="32"/>
      <c r="J24" s="171">
        <v>6.77</v>
      </c>
      <c r="K24" s="172"/>
      <c r="L24" s="177">
        <v>210</v>
      </c>
      <c r="M24" s="177"/>
      <c r="N24" s="159">
        <v>21648</v>
      </c>
      <c r="O24" s="160"/>
      <c r="AI24" s="29"/>
      <c r="AJ24" s="34"/>
      <c r="AK24" s="51"/>
      <c r="AL24" s="34"/>
    </row>
    <row r="25" spans="1:38" ht="26.25" x14ac:dyDescent="0.25">
      <c r="H25" s="117"/>
      <c r="I25" s="32"/>
      <c r="J25" s="173" t="s">
        <v>26</v>
      </c>
      <c r="K25" s="174"/>
      <c r="L25" s="180" t="str">
        <f>J25</f>
        <v>Redução</v>
      </c>
      <c r="M25" s="180"/>
      <c r="N25" s="161" t="str">
        <f>L25</f>
        <v>Redução</v>
      </c>
      <c r="O25" s="162"/>
      <c r="AI25" s="29"/>
      <c r="AJ25" s="34"/>
      <c r="AK25" s="51"/>
      <c r="AL25" s="34"/>
    </row>
    <row r="26" spans="1:38" ht="27" thickBot="1" x14ac:dyDescent="0.3">
      <c r="G26" s="12"/>
      <c r="I26" s="33"/>
      <c r="J26" s="175">
        <f>(J21/J24)-1</f>
        <v>3.8404726735598249E-2</v>
      </c>
      <c r="K26" s="176"/>
      <c r="L26" s="181">
        <f>(L21/L24)-1</f>
        <v>-2.8571428571428581E-2</v>
      </c>
      <c r="M26" s="181"/>
      <c r="N26" s="163">
        <f>(N21/N24)-1</f>
        <v>-9.1832963784183264E-2</v>
      </c>
      <c r="O26" s="164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opLeftCell="A8" zoomScale="120" zoomScaleNormal="120" workbookViewId="0">
      <selection activeCell="B12" sqref="B12:G16"/>
    </sheetView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.85546875" style="33" bestFit="1" customWidth="1"/>
    <col min="4" max="4" width="15.85546875" style="33"/>
    <col min="5" max="5" width="15" style="33" bestFit="1" customWidth="1"/>
    <col min="6" max="6" width="18.710937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52" t="str">
        <f>'Dados - Gráficos'!B20</f>
        <v>Fev - 29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20" t="str">
        <f>'Dados - Gráficos'!F20</f>
        <v>Desvio</v>
      </c>
      <c r="G5" s="121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SUM(C7:C9)</f>
        <v>19660</v>
      </c>
      <c r="D6" s="7">
        <v>19660</v>
      </c>
      <c r="E6" s="93">
        <f>'Dados - Gráficos'!E21</f>
        <v>21954</v>
      </c>
      <c r="F6" s="122">
        <f>(D6-E6)/E6</f>
        <v>-0.10449120889131822</v>
      </c>
      <c r="G6" s="123">
        <f>'Dados - Gráficos'!G21</f>
        <v>-9.2999999999999999E-2</v>
      </c>
      <c r="H6" s="32"/>
      <c r="I6" s="19">
        <f>K9</f>
        <v>415</v>
      </c>
      <c r="J6" s="83">
        <f>Indicadores!AH10</f>
        <v>294</v>
      </c>
      <c r="K6" s="88">
        <f>E7</f>
        <v>294</v>
      </c>
    </row>
    <row r="7" spans="2:11" x14ac:dyDescent="0.25">
      <c r="B7" s="15" t="str">
        <f>'Dados - Gráficos'!B22</f>
        <v>Alto</v>
      </c>
      <c r="C7" s="99">
        <v>204</v>
      </c>
      <c r="D7" s="8">
        <v>204</v>
      </c>
      <c r="E7" s="93">
        <f>'Dados - Gráficos'!E22</f>
        <v>294</v>
      </c>
      <c r="F7" s="124">
        <f>(D7-E7)/E7</f>
        <v>-0.30612244897959184</v>
      </c>
      <c r="G7" s="123">
        <f>'Dados - Gráficos'!G22</f>
        <v>-0.29591836734693877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v>11941</v>
      </c>
      <c r="D8" s="8">
        <v>11941</v>
      </c>
      <c r="E8" s="93">
        <f>'Dados - Gráficos'!E23</f>
        <v>13086</v>
      </c>
      <c r="F8" s="124">
        <f>(D8-E8)/E8</f>
        <v>-8.749808956136329E-2</v>
      </c>
      <c r="G8" s="123">
        <f>'Dados - Gráficos'!G23</f>
        <v>-6.8000000000000005E-2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v>7515</v>
      </c>
      <c r="D9" s="17">
        <v>7515</v>
      </c>
      <c r="E9" s="94">
        <f>'Dados - Gráficos'!E24</f>
        <v>8305</v>
      </c>
      <c r="F9" s="125">
        <f>(D9-E9)/E9</f>
        <v>-9.512341962673089E-2</v>
      </c>
      <c r="G9" s="126">
        <f>'Dados - Gráficos'!G24</f>
        <v>-9.5364238410596033E-2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-0.29156626506024097</v>
      </c>
    </row>
    <row r="12" spans="2:11" x14ac:dyDescent="0.25">
      <c r="B12" s="152" t="str">
        <f t="shared" ref="B12:G12" si="0">B5</f>
        <v>Fev - 29 dias</v>
      </c>
      <c r="C12" s="77" t="str">
        <f t="shared" si="0"/>
        <v>Real</v>
      </c>
      <c r="D12" s="13" t="str">
        <f t="shared" si="0"/>
        <v>Projeção</v>
      </c>
      <c r="E12" s="92" t="str">
        <f t="shared" si="0"/>
        <v>Meta</v>
      </c>
      <c r="F12" s="120" t="str">
        <f t="shared" si="0"/>
        <v>Desvio</v>
      </c>
      <c r="G12" s="121" t="str">
        <f t="shared" si="0"/>
        <v>Farol</v>
      </c>
    </row>
    <row r="13" spans="2:11" x14ac:dyDescent="0.25">
      <c r="B13" s="14" t="str">
        <f>B6</f>
        <v>Total</v>
      </c>
      <c r="C13" s="78">
        <f>SUM(C14:C16)</f>
        <v>19660</v>
      </c>
      <c r="D13" s="7">
        <v>19660</v>
      </c>
      <c r="E13" s="93">
        <v>20856</v>
      </c>
      <c r="F13" s="122">
        <f>(D13-E13)/E13</f>
        <v>-5.734560797851937E-2</v>
      </c>
      <c r="G13" s="123">
        <f>F13</f>
        <v>-5.734560797851937E-2</v>
      </c>
    </row>
    <row r="14" spans="2:11" x14ac:dyDescent="0.25">
      <c r="B14" s="15" t="str">
        <f>B7</f>
        <v>Alto</v>
      </c>
      <c r="C14" s="99">
        <v>204</v>
      </c>
      <c r="D14" s="8">
        <v>204</v>
      </c>
      <c r="E14" s="93">
        <v>294</v>
      </c>
      <c r="F14" s="124">
        <f>(D14-E14)/E14</f>
        <v>-0.30612244897959184</v>
      </c>
      <c r="G14" s="123">
        <f>F14</f>
        <v>-0.30612244897959184</v>
      </c>
    </row>
    <row r="15" spans="2:11" x14ac:dyDescent="0.25">
      <c r="B15" s="15" t="str">
        <f>B8</f>
        <v>Médio</v>
      </c>
      <c r="C15" s="99">
        <v>11941</v>
      </c>
      <c r="D15" s="8">
        <v>11941</v>
      </c>
      <c r="E15" s="93">
        <v>12422</v>
      </c>
      <c r="F15" s="124">
        <f>(D15-E15)/E15</f>
        <v>-3.8721622927064887E-2</v>
      </c>
      <c r="G15" s="123">
        <f>F15</f>
        <v>-3.8721622927064887E-2</v>
      </c>
    </row>
    <row r="16" spans="2:11" ht="27" thickBot="1" x14ac:dyDescent="0.3">
      <c r="B16" s="16" t="str">
        <f>B9</f>
        <v>Baixo</v>
      </c>
      <c r="C16" s="100">
        <v>7515</v>
      </c>
      <c r="D16" s="17">
        <v>7515</v>
      </c>
      <c r="E16" s="94">
        <v>7890</v>
      </c>
      <c r="F16" s="125">
        <f>(D16-E16)/E16</f>
        <v>-4.7528517110266157E-2</v>
      </c>
      <c r="G16" s="126">
        <f>F16</f>
        <v>-4.7528517110266157E-2</v>
      </c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conditionalFormatting sqref="G6:G9">
    <cfRule type="iconSet" priority="2">
      <iconSet iconSet="3Symbols" showValue="0" reverse="1">
        <cfvo type="percent" val="0"/>
        <cfvo type="num" val="0"/>
        <cfvo type="num" val="0"/>
      </iconSet>
    </cfRule>
  </conditionalFormatting>
  <conditionalFormatting sqref="G13:G16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2016-03-11T17:35:52Z</dcterms:modified>
</cp:coreProperties>
</file>