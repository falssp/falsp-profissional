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Project" sheetId="2" r:id="rId1"/>
  </sheets>
  <calcPr calcId="152511"/>
</workbook>
</file>

<file path=xl/calcChain.xml><?xml version="1.0" encoding="utf-8"?>
<calcChain xmlns="http://schemas.openxmlformats.org/spreadsheetml/2006/main">
  <c r="A43" i="2" l="1"/>
  <c r="A20" i="2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</calcChain>
</file>

<file path=xl/sharedStrings.xml><?xml version="1.0" encoding="utf-8"?>
<sst xmlns="http://schemas.openxmlformats.org/spreadsheetml/2006/main" count="236" uniqueCount="96">
  <si>
    <t>Implantar Checklist Automatizado - Produção Centralizada</t>
  </si>
  <si>
    <t>Implantar ferramenta de controle de Checklist Sites</t>
  </si>
  <si>
    <t>Implantar ferramenta Integração SMS IP mapper</t>
  </si>
  <si>
    <t>Nome da tarefa</t>
  </si>
  <si>
    <t>% concluída</t>
  </si>
  <si>
    <t>Duração</t>
  </si>
  <si>
    <t>Início</t>
  </si>
  <si>
    <t>Término</t>
  </si>
  <si>
    <t>Nomes dos recursos</t>
  </si>
  <si>
    <t>Cronograma do Projeto Multa Gravacao</t>
  </si>
  <si>
    <t>26,06 dias?</t>
  </si>
  <si>
    <t>Qua 17/02/16</t>
  </si>
  <si>
    <t>Qui 24/03/16</t>
  </si>
  <si>
    <t xml:space="preserve">   Gerenciamento do Projeto</t>
  </si>
  <si>
    <t xml:space="preserve">   Fazes do projeto</t>
  </si>
  <si>
    <t>19,75 dias?</t>
  </si>
  <si>
    <t>Ter 15/03/16</t>
  </si>
  <si>
    <t xml:space="preserve">      Apresentação ao Steearing</t>
  </si>
  <si>
    <t>0,38 dias</t>
  </si>
  <si>
    <t xml:space="preserve">      Atividades de suporte</t>
  </si>
  <si>
    <t>12,75 dias?</t>
  </si>
  <si>
    <t>Ter 23/02/16</t>
  </si>
  <si>
    <t>Qui 10/03/16</t>
  </si>
  <si>
    <t xml:space="preserve">         Escala das Operações</t>
  </si>
  <si>
    <t>2 dias?</t>
  </si>
  <si>
    <t>Qua 24/02/16</t>
  </si>
  <si>
    <t xml:space="preserve">            Janela de funcionamento das operações</t>
  </si>
  <si>
    <t>1 dia?</t>
  </si>
  <si>
    <t>wagner</t>
  </si>
  <si>
    <t xml:space="preserve">            Criaremos uma rotina para revisitar junto as pontas (site)</t>
  </si>
  <si>
    <t>Rogerio;wagner</t>
  </si>
  <si>
    <t>0 dias</t>
  </si>
  <si>
    <t>PM</t>
  </si>
  <si>
    <t xml:space="preserve">         TI CONTAX - Matriz de Responsabilidades RACI</t>
  </si>
  <si>
    <t>Qua 09/03/16</t>
  </si>
  <si>
    <t xml:space="preserve">         Fim atividade suporte</t>
  </si>
  <si>
    <t xml:space="preserve">      Processos</t>
  </si>
  <si>
    <t>15,5 dias?</t>
  </si>
  <si>
    <t xml:space="preserve">         Validar execução do Checklist Local – Sites</t>
  </si>
  <si>
    <t>6 dias?</t>
  </si>
  <si>
    <t>Sex 19/02/16</t>
  </si>
  <si>
    <t>Sex 26/02/16</t>
  </si>
  <si>
    <t>Fabi</t>
  </si>
  <si>
    <t xml:space="preserve">         Garantir operações logando no layout gravado</t>
  </si>
  <si>
    <t>5 dias?</t>
  </si>
  <si>
    <t>Seg 22/02/16</t>
  </si>
  <si>
    <t>Operacoes;Fabi</t>
  </si>
  <si>
    <t xml:space="preserve">         Rever Checklist Plataforma Nice NGR</t>
  </si>
  <si>
    <t>Fabi;Rogerio</t>
  </si>
  <si>
    <t xml:space="preserve">         Rever Checklist Plataforma Nice 2.0</t>
  </si>
  <si>
    <t xml:space="preserve">         Rever Checklist Plataforma Discadores Aspect</t>
  </si>
  <si>
    <t xml:space="preserve">         Providenciar racional de não entrega de gravações por motivo</t>
  </si>
  <si>
    <t>Fabi;Operacoes</t>
  </si>
  <si>
    <t xml:space="preserve">         Mapear processo de retrievel operações para cruzar com o Contrato</t>
  </si>
  <si>
    <t xml:space="preserve">         Levantamento dos contratos </t>
  </si>
  <si>
    <t>1 dia</t>
  </si>
  <si>
    <t>Rafael</t>
  </si>
  <si>
    <t xml:space="preserve">         Definir ordem de prioridade das operações</t>
  </si>
  <si>
    <t>Fabi;Rafael</t>
  </si>
  <si>
    <t xml:space="preserve">         Definição de KPIs e indicadores(Valor de multas, quantidade, evolução por cliente</t>
  </si>
  <si>
    <t>Chacon</t>
  </si>
  <si>
    <t xml:space="preserve">         Revisão do processo de entrega (venda x delivery)</t>
  </si>
  <si>
    <t>Fabi;Stuart</t>
  </si>
  <si>
    <t xml:space="preserve">         Processo de transição de serviços para atividades que se relacionem a mudanças no ambiente de gravação</t>
  </si>
  <si>
    <t>Ronald</t>
  </si>
  <si>
    <t xml:space="preserve">         Validação das multas aplicadas</t>
  </si>
  <si>
    <t xml:space="preserve">         Atrelar os chamados de ligações não recuperadas para problemas – Tratar todas chamadas não recuperadas.</t>
  </si>
  <si>
    <t xml:space="preserve">         Definições de OLA interno.</t>
  </si>
  <si>
    <t>Rafael;Fabi;Stuart</t>
  </si>
  <si>
    <t xml:space="preserve">         Fim Processos</t>
  </si>
  <si>
    <t xml:space="preserve">      Pessoas</t>
  </si>
  <si>
    <t>Sex 11/03/16</t>
  </si>
  <si>
    <t xml:space="preserve">         Comunicação do projeto para as pontas</t>
  </si>
  <si>
    <t xml:space="preserve">         Avaliar a necessidade de treinamento das equipes envolvidas no retrieval</t>
  </si>
  <si>
    <t xml:space="preserve">         Fim Pessoas</t>
  </si>
  <si>
    <t xml:space="preserve">      Tecnologia</t>
  </si>
  <si>
    <t>15,75 dias?</t>
  </si>
  <si>
    <t>4 dias</t>
  </si>
  <si>
    <t>Alexandre;Fabi</t>
  </si>
  <si>
    <t>Observações</t>
  </si>
  <si>
    <t>N° atividade</t>
  </si>
  <si>
    <t>Identificar serviçoes que podem ser monitorizados proativamente</t>
  </si>
  <si>
    <t>Ter 13/10/15</t>
  </si>
  <si>
    <t>Ludson;Rogerio</t>
  </si>
  <si>
    <t xml:space="preserve">Analizar a ferramenta desenvoldida pela Prod TI de monitoração das gravações, e trazer parecer </t>
  </si>
  <si>
    <t>Nathan;Fabio</t>
  </si>
  <si>
    <t>Raio X do ambiente de gravação</t>
  </si>
  <si>
    <t>Fim Tecnologia</t>
  </si>
  <si>
    <t>Falta definir prazo</t>
  </si>
  <si>
    <t>N/A</t>
  </si>
  <si>
    <t>Falta definir prazo - ASAP</t>
  </si>
  <si>
    <t>Em Andamento</t>
  </si>
  <si>
    <t>Falta definir prazo - Urgente</t>
  </si>
  <si>
    <t>Fim fazes do projeto</t>
  </si>
  <si>
    <t>Concluído</t>
  </si>
  <si>
    <t xml:space="preserve">            Fim da escala de operações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</si>
</sst>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0"/>
      <color rgb="FF363636"/>
      <name val="Arial"/>
      <family val="2"/>
    </font>
    <font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  <border>
      <left style="thin">
        <color rgb="FFB1BBCC"/>
      </left>
      <right style="thin">
        <color rgb="FFB1BBCC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9" fontId="4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9" fontId="3" fillId="3" borderId="1" xfId="0" applyNumberFormat="1" applyFont="1" applyFill="1" applyBorder="1" applyAlignment="1">
      <alignment horizontal="right" vertical="center" wrapText="1"/>
    </xf>
    <xf numFmtId="0" fontId="5" fillId="3" borderId="1" xfId="0" applyFont="1" applyFill="1" applyBorder="1" applyAlignment="1">
      <alignment vertical="center" wrapText="1"/>
    </xf>
    <xf numFmtId="9" fontId="5" fillId="3" borderId="1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left" vertical="center" wrapText="1" indent="1"/>
    </xf>
    <xf numFmtId="0" fontId="5" fillId="3" borderId="1" xfId="0" applyFont="1" applyFill="1" applyBorder="1" applyAlignment="1">
      <alignment horizontal="left" vertical="center" wrapText="1" indent="2"/>
    </xf>
    <xf numFmtId="0" fontId="6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 indent="3"/>
    </xf>
    <xf numFmtId="0" fontId="1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9" fontId="3" fillId="5" borderId="1" xfId="0" applyNumberFormat="1" applyFont="1" applyFill="1" applyBorder="1" applyAlignment="1">
      <alignment horizontal="right" vertical="center" wrapText="1"/>
    </xf>
    <xf numFmtId="0" fontId="3" fillId="5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vertical="center" wrapText="1"/>
    </xf>
    <xf numFmtId="9" fontId="8" fillId="6" borderId="1" xfId="0" applyNumberFormat="1" applyFont="1" applyFill="1" applyBorder="1" applyAlignment="1">
      <alignment horizontal="right" vertical="center" wrapText="1"/>
    </xf>
    <xf numFmtId="0" fontId="8" fillId="6" borderId="1" xfId="0" applyFont="1" applyFill="1" applyBorder="1" applyAlignment="1">
      <alignment vertical="center" wrapText="1"/>
    </xf>
    <xf numFmtId="0" fontId="9" fillId="6" borderId="1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horizontal="left" vertical="center" wrapText="1"/>
    </xf>
    <xf numFmtId="9" fontId="5" fillId="7" borderId="1" xfId="0" applyNumberFormat="1" applyFont="1" applyFill="1" applyBorder="1" applyAlignment="1">
      <alignment horizontal="right" vertical="center" wrapText="1"/>
    </xf>
    <xf numFmtId="0" fontId="4" fillId="8" borderId="1" xfId="0" applyFont="1" applyFill="1" applyBorder="1" applyAlignment="1">
      <alignment vertical="center" wrapText="1"/>
    </xf>
    <xf numFmtId="9" fontId="5" fillId="8" borderId="1" xfId="0" applyNumberFormat="1" applyFont="1" applyFill="1" applyBorder="1" applyAlignment="1">
      <alignment horizontal="right" vertical="center" wrapText="1"/>
    </xf>
    <xf numFmtId="0" fontId="5" fillId="8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vertical="center" wrapText="1"/>
    </xf>
    <xf numFmtId="9" fontId="3" fillId="9" borderId="1" xfId="0" applyNumberFormat="1" applyFont="1" applyFill="1" applyBorder="1" applyAlignment="1">
      <alignment horizontal="right" vertical="center" wrapText="1"/>
    </xf>
    <xf numFmtId="0" fontId="3" fillId="9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vertical="center" wrapText="1"/>
    </xf>
    <xf numFmtId="0" fontId="6" fillId="9" borderId="1" xfId="0" applyFont="1" applyFill="1" applyBorder="1" applyAlignment="1">
      <alignment horizontal="left" vertical="center" wrapText="1"/>
    </xf>
    <xf numFmtId="9" fontId="4" fillId="7" borderId="1" xfId="0" applyNumberFormat="1" applyFont="1" applyFill="1" applyBorder="1" applyAlignment="1">
      <alignment horizontal="right" vertical="center" wrapText="1"/>
    </xf>
    <xf numFmtId="0" fontId="4" fillId="10" borderId="1" xfId="0" applyFont="1" applyFill="1" applyBorder="1" applyAlignment="1">
      <alignment vertical="center" wrapText="1"/>
    </xf>
    <xf numFmtId="9" fontId="4" fillId="10" borderId="1" xfId="0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/>
    </xf>
    <xf numFmtId="9" fontId="4" fillId="4" borderId="1" xfId="0" applyNumberFormat="1" applyFont="1" applyFill="1" applyBorder="1" applyAlignment="1">
      <alignment horizontal="right" vertical="center" wrapText="1"/>
    </xf>
    <xf numFmtId="9" fontId="11" fillId="11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43"/>
  <sheetViews>
    <sheetView tabSelected="1" zoomScale="86" zoomScaleNormal="86" workbookViewId="0">
      <selection activeCell="B37" sqref="B37"/>
    </sheetView>
  </sheetViews>
  <sheetFormatPr defaultRowHeight="15" x14ac:dyDescent="0.25"/>
  <cols>
    <col min="1" max="1" width="9.140625" style="40"/>
    <col min="2" max="2" width="89.140625" customWidth="1"/>
    <col min="4" max="4" width="9" bestFit="1" customWidth="1"/>
    <col min="5" max="5" width="14.5703125" customWidth="1"/>
    <col min="6" max="6" width="13.85546875" customWidth="1"/>
    <col min="7" max="7" width="17.28515625" customWidth="1"/>
    <col min="8" max="8" width="45.28515625" customWidth="1"/>
  </cols>
  <sheetData>
    <row r="2" spans="1:8" ht="25.5" x14ac:dyDescent="0.25">
      <c r="A2" s="15" t="s">
        <v>80</v>
      </c>
      <c r="B2" s="1" t="s">
        <v>3</v>
      </c>
      <c r="C2" s="15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9" t="s">
        <v>79</v>
      </c>
    </row>
    <row r="3" spans="1:8" ht="25.5" x14ac:dyDescent="0.25">
      <c r="A3" s="40">
        <f>1</f>
        <v>1</v>
      </c>
      <c r="B3" s="38" t="s">
        <v>9</v>
      </c>
      <c r="C3" s="42">
        <v>0.03</v>
      </c>
      <c r="D3" s="39" t="s">
        <v>10</v>
      </c>
      <c r="E3" s="39" t="s">
        <v>11</v>
      </c>
      <c r="F3" s="39" t="s">
        <v>12</v>
      </c>
      <c r="G3" s="4"/>
      <c r="H3" s="13"/>
    </row>
    <row r="4" spans="1:8" ht="25.5" x14ac:dyDescent="0.25">
      <c r="A4" s="40">
        <f>1+A3</f>
        <v>2</v>
      </c>
      <c r="B4" s="5" t="s">
        <v>13</v>
      </c>
      <c r="C4" s="3">
        <v>0.02</v>
      </c>
      <c r="D4" s="41" t="s">
        <v>10</v>
      </c>
      <c r="E4" s="41" t="s">
        <v>11</v>
      </c>
      <c r="F4" s="41" t="s">
        <v>12</v>
      </c>
      <c r="G4" s="4"/>
      <c r="H4" s="13"/>
    </row>
    <row r="5" spans="1:8" ht="25.5" x14ac:dyDescent="0.25">
      <c r="A5" s="40">
        <f t="shared" ref="A5:A43" si="0">1+A4</f>
        <v>3</v>
      </c>
      <c r="B5" s="5" t="s">
        <v>14</v>
      </c>
      <c r="C5" s="3">
        <v>0.03</v>
      </c>
      <c r="D5" s="5" t="s">
        <v>15</v>
      </c>
      <c r="E5" s="5" t="s">
        <v>11</v>
      </c>
      <c r="F5" s="5" t="s">
        <v>16</v>
      </c>
      <c r="G5" s="4"/>
      <c r="H5" s="13"/>
    </row>
    <row r="6" spans="1:8" x14ac:dyDescent="0.25">
      <c r="A6" s="40">
        <f t="shared" si="0"/>
        <v>4</v>
      </c>
      <c r="B6" s="5" t="s">
        <v>17</v>
      </c>
      <c r="C6" s="37">
        <v>1</v>
      </c>
      <c r="D6" s="5" t="s">
        <v>18</v>
      </c>
      <c r="E6" s="5" t="s">
        <v>11</v>
      </c>
      <c r="F6" s="5" t="s">
        <v>11</v>
      </c>
      <c r="G6" s="4"/>
      <c r="H6" s="13" t="s">
        <v>94</v>
      </c>
    </row>
    <row r="7" spans="1:8" x14ac:dyDescent="0.25">
      <c r="A7" s="40">
        <f t="shared" si="0"/>
        <v>5</v>
      </c>
      <c r="B7" s="32" t="s">
        <v>19</v>
      </c>
      <c r="C7" s="33">
        <v>0.33</v>
      </c>
      <c r="D7" s="34" t="s">
        <v>20</v>
      </c>
      <c r="E7" s="34" t="s">
        <v>21</v>
      </c>
      <c r="F7" s="34" t="s">
        <v>22</v>
      </c>
      <c r="G7" s="35"/>
      <c r="H7" s="36"/>
    </row>
    <row r="8" spans="1:8" x14ac:dyDescent="0.25">
      <c r="A8" s="40">
        <f t="shared" si="0"/>
        <v>6</v>
      </c>
      <c r="B8" s="12" t="s">
        <v>33</v>
      </c>
      <c r="C8" s="8">
        <v>0</v>
      </c>
      <c r="D8" s="7" t="s">
        <v>27</v>
      </c>
      <c r="E8" s="7" t="s">
        <v>34</v>
      </c>
      <c r="F8" s="7" t="s">
        <v>22</v>
      </c>
      <c r="G8" s="4"/>
      <c r="H8" s="13" t="s">
        <v>88</v>
      </c>
    </row>
    <row r="9" spans="1:8" x14ac:dyDescent="0.25">
      <c r="A9" s="40">
        <f t="shared" si="0"/>
        <v>7</v>
      </c>
      <c r="B9" s="12" t="s">
        <v>35</v>
      </c>
      <c r="C9" s="8">
        <v>0</v>
      </c>
      <c r="D9" s="7" t="s">
        <v>31</v>
      </c>
      <c r="E9" s="7" t="s">
        <v>22</v>
      </c>
      <c r="F9" s="7" t="s">
        <v>22</v>
      </c>
      <c r="G9" s="7" t="s">
        <v>32</v>
      </c>
      <c r="H9" s="13" t="s">
        <v>89</v>
      </c>
    </row>
    <row r="10" spans="1:8" x14ac:dyDescent="0.25">
      <c r="A10" s="40">
        <f t="shared" si="0"/>
        <v>8</v>
      </c>
      <c r="B10" s="27" t="s">
        <v>36</v>
      </c>
      <c r="C10" s="28">
        <v>0</v>
      </c>
      <c r="D10" s="29" t="s">
        <v>37</v>
      </c>
      <c r="E10" s="29" t="s">
        <v>11</v>
      </c>
      <c r="F10" s="29" t="s">
        <v>34</v>
      </c>
      <c r="G10" s="30"/>
      <c r="H10" s="31"/>
    </row>
    <row r="11" spans="1:8" x14ac:dyDescent="0.25">
      <c r="A11" s="40">
        <f t="shared" si="0"/>
        <v>9</v>
      </c>
      <c r="B11" s="13" t="s">
        <v>38</v>
      </c>
      <c r="C11" s="8">
        <v>0</v>
      </c>
      <c r="D11" s="7" t="s">
        <v>39</v>
      </c>
      <c r="E11" s="7" t="s">
        <v>40</v>
      </c>
      <c r="F11" s="7" t="s">
        <v>41</v>
      </c>
      <c r="G11" s="7" t="s">
        <v>42</v>
      </c>
      <c r="H11" s="13" t="s">
        <v>91</v>
      </c>
    </row>
    <row r="12" spans="1:8" x14ac:dyDescent="0.25">
      <c r="A12" s="40">
        <f t="shared" si="0"/>
        <v>10</v>
      </c>
      <c r="B12" s="12" t="s">
        <v>43</v>
      </c>
      <c r="C12" s="8">
        <v>0</v>
      </c>
      <c r="D12" s="7" t="s">
        <v>44</v>
      </c>
      <c r="E12" s="7" t="s">
        <v>45</v>
      </c>
      <c r="F12" s="7" t="s">
        <v>41</v>
      </c>
      <c r="G12" s="7" t="s">
        <v>46</v>
      </c>
      <c r="H12" s="13" t="s">
        <v>91</v>
      </c>
    </row>
    <row r="13" spans="1:8" x14ac:dyDescent="0.25">
      <c r="A13" s="40">
        <f t="shared" si="0"/>
        <v>11</v>
      </c>
      <c r="B13" s="12" t="s">
        <v>47</v>
      </c>
      <c r="C13" s="8">
        <v>0</v>
      </c>
      <c r="D13" s="7" t="s">
        <v>27</v>
      </c>
      <c r="E13" s="7" t="s">
        <v>21</v>
      </c>
      <c r="F13" s="7" t="s">
        <v>21</v>
      </c>
      <c r="G13" s="7" t="s">
        <v>48</v>
      </c>
      <c r="H13" s="13" t="s">
        <v>88</v>
      </c>
    </row>
    <row r="14" spans="1:8" x14ac:dyDescent="0.25">
      <c r="A14" s="40">
        <f t="shared" si="0"/>
        <v>12</v>
      </c>
      <c r="B14" s="12" t="s">
        <v>49</v>
      </c>
      <c r="C14" s="8">
        <v>0</v>
      </c>
      <c r="D14" s="7" t="s">
        <v>27</v>
      </c>
      <c r="E14" s="7" t="s">
        <v>21</v>
      </c>
      <c r="F14" s="7" t="s">
        <v>21</v>
      </c>
      <c r="G14" s="7" t="s">
        <v>48</v>
      </c>
      <c r="H14" s="13" t="s">
        <v>88</v>
      </c>
    </row>
    <row r="15" spans="1:8" x14ac:dyDescent="0.25">
      <c r="A15" s="40">
        <f t="shared" si="0"/>
        <v>13</v>
      </c>
      <c r="B15" s="12" t="s">
        <v>50</v>
      </c>
      <c r="C15" s="8">
        <v>0</v>
      </c>
      <c r="D15" s="7" t="s">
        <v>27</v>
      </c>
      <c r="E15" s="7" t="s">
        <v>21</v>
      </c>
      <c r="F15" s="7" t="s">
        <v>21</v>
      </c>
      <c r="G15" s="7" t="s">
        <v>48</v>
      </c>
      <c r="H15" s="13" t="s">
        <v>88</v>
      </c>
    </row>
    <row r="16" spans="1:8" x14ac:dyDescent="0.25">
      <c r="A16" s="40">
        <f t="shared" si="0"/>
        <v>14</v>
      </c>
      <c r="B16" s="12" t="s">
        <v>51</v>
      </c>
      <c r="C16" s="8">
        <v>0</v>
      </c>
      <c r="D16" s="7" t="s">
        <v>27</v>
      </c>
      <c r="E16" s="7" t="s">
        <v>21</v>
      </c>
      <c r="F16" s="7" t="s">
        <v>21</v>
      </c>
      <c r="G16" s="7" t="s">
        <v>52</v>
      </c>
      <c r="H16" s="13" t="s">
        <v>88</v>
      </c>
    </row>
    <row r="17" spans="1:8" x14ac:dyDescent="0.25">
      <c r="A17" s="40">
        <f t="shared" si="0"/>
        <v>15</v>
      </c>
      <c r="B17" s="12" t="s">
        <v>53</v>
      </c>
      <c r="C17" s="8">
        <v>0</v>
      </c>
      <c r="D17" s="7" t="s">
        <v>27</v>
      </c>
      <c r="E17" s="7" t="s">
        <v>21</v>
      </c>
      <c r="F17" s="7" t="s">
        <v>21</v>
      </c>
      <c r="G17" s="7" t="s">
        <v>52</v>
      </c>
      <c r="H17" s="13" t="s">
        <v>88</v>
      </c>
    </row>
    <row r="18" spans="1:8" x14ac:dyDescent="0.25">
      <c r="A18" s="40">
        <f t="shared" si="0"/>
        <v>16</v>
      </c>
      <c r="B18" s="12" t="s">
        <v>54</v>
      </c>
      <c r="C18" s="8">
        <v>0</v>
      </c>
      <c r="D18" s="7" t="s">
        <v>55</v>
      </c>
      <c r="E18" s="7" t="s">
        <v>21</v>
      </c>
      <c r="F18" s="7" t="s">
        <v>21</v>
      </c>
      <c r="G18" s="7" t="s">
        <v>56</v>
      </c>
      <c r="H18" s="13" t="s">
        <v>88</v>
      </c>
    </row>
    <row r="19" spans="1:8" x14ac:dyDescent="0.25">
      <c r="A19" s="40">
        <f t="shared" si="0"/>
        <v>17</v>
      </c>
      <c r="B19" s="12" t="s">
        <v>57</v>
      </c>
      <c r="C19" s="8">
        <v>0</v>
      </c>
      <c r="D19" s="7" t="s">
        <v>27</v>
      </c>
      <c r="E19" s="7" t="s">
        <v>21</v>
      </c>
      <c r="F19" s="7" t="s">
        <v>21</v>
      </c>
      <c r="G19" s="7" t="s">
        <v>42</v>
      </c>
      <c r="H19" s="13" t="s">
        <v>88</v>
      </c>
    </row>
    <row r="20" spans="1:8" x14ac:dyDescent="0.25">
      <c r="A20" s="40">
        <f t="shared" si="0"/>
        <v>18</v>
      </c>
      <c r="B20" s="12" t="s">
        <v>59</v>
      </c>
      <c r="C20" s="8">
        <v>0</v>
      </c>
      <c r="D20" s="7" t="s">
        <v>27</v>
      </c>
      <c r="E20" s="7" t="s">
        <v>21</v>
      </c>
      <c r="F20" s="7" t="s">
        <v>21</v>
      </c>
      <c r="G20" s="7" t="s">
        <v>60</v>
      </c>
      <c r="H20" s="13" t="s">
        <v>88</v>
      </c>
    </row>
    <row r="21" spans="1:8" x14ac:dyDescent="0.25">
      <c r="A21" s="40">
        <f t="shared" si="0"/>
        <v>19</v>
      </c>
      <c r="B21" s="12" t="s">
        <v>61</v>
      </c>
      <c r="C21" s="8">
        <v>0</v>
      </c>
      <c r="D21" s="7" t="s">
        <v>27</v>
      </c>
      <c r="E21" s="7" t="s">
        <v>21</v>
      </c>
      <c r="F21" s="7" t="s">
        <v>21</v>
      </c>
      <c r="G21" s="7" t="s">
        <v>62</v>
      </c>
      <c r="H21" s="13" t="s">
        <v>88</v>
      </c>
    </row>
    <row r="22" spans="1:8" ht="25.5" x14ac:dyDescent="0.25">
      <c r="A22" s="40">
        <f t="shared" si="0"/>
        <v>20</v>
      </c>
      <c r="B22" s="12" t="s">
        <v>63</v>
      </c>
      <c r="C22" s="8">
        <v>0</v>
      </c>
      <c r="D22" s="7" t="s">
        <v>27</v>
      </c>
      <c r="E22" s="7" t="s">
        <v>21</v>
      </c>
      <c r="F22" s="7" t="s">
        <v>21</v>
      </c>
      <c r="G22" s="7" t="s">
        <v>64</v>
      </c>
      <c r="H22" s="13" t="s">
        <v>88</v>
      </c>
    </row>
    <row r="23" spans="1:8" x14ac:dyDescent="0.25">
      <c r="A23" s="40">
        <f t="shared" si="0"/>
        <v>21</v>
      </c>
      <c r="B23" s="12" t="s">
        <v>65</v>
      </c>
      <c r="C23" s="8">
        <v>0</v>
      </c>
      <c r="D23" s="7" t="s">
        <v>27</v>
      </c>
      <c r="E23" s="7" t="s">
        <v>21</v>
      </c>
      <c r="F23" s="7" t="s">
        <v>21</v>
      </c>
      <c r="G23" s="7" t="s">
        <v>56</v>
      </c>
      <c r="H23" s="13" t="s">
        <v>88</v>
      </c>
    </row>
    <row r="24" spans="1:8" ht="25.5" x14ac:dyDescent="0.25">
      <c r="A24" s="40">
        <f t="shared" si="0"/>
        <v>22</v>
      </c>
      <c r="B24" s="12" t="s">
        <v>66</v>
      </c>
      <c r="C24" s="8">
        <v>0</v>
      </c>
      <c r="D24" s="7" t="s">
        <v>27</v>
      </c>
      <c r="E24" s="7" t="s">
        <v>21</v>
      </c>
      <c r="F24" s="7" t="s">
        <v>21</v>
      </c>
      <c r="G24" s="7" t="s">
        <v>56</v>
      </c>
      <c r="H24" s="13" t="s">
        <v>88</v>
      </c>
    </row>
    <row r="25" spans="1:8" x14ac:dyDescent="0.25">
      <c r="A25" s="40">
        <f t="shared" si="0"/>
        <v>23</v>
      </c>
      <c r="B25" s="12" t="s">
        <v>67</v>
      </c>
      <c r="C25" s="8">
        <v>0</v>
      </c>
      <c r="D25" s="7" t="s">
        <v>27</v>
      </c>
      <c r="E25" s="7" t="s">
        <v>21</v>
      </c>
      <c r="F25" s="7" t="s">
        <v>21</v>
      </c>
      <c r="G25" s="7" t="s">
        <v>68</v>
      </c>
      <c r="H25" s="13" t="s">
        <v>88</v>
      </c>
    </row>
    <row r="26" spans="1:8" x14ac:dyDescent="0.25">
      <c r="A26" s="40">
        <f t="shared" si="0"/>
        <v>24</v>
      </c>
      <c r="B26" s="12" t="s">
        <v>69</v>
      </c>
      <c r="C26" s="8">
        <v>0</v>
      </c>
      <c r="D26" s="7" t="s">
        <v>31</v>
      </c>
      <c r="E26" s="7" t="s">
        <v>34</v>
      </c>
      <c r="F26" s="7" t="s">
        <v>34</v>
      </c>
      <c r="G26" s="7" t="s">
        <v>32</v>
      </c>
      <c r="H26" s="13" t="s">
        <v>89</v>
      </c>
    </row>
    <row r="27" spans="1:8" x14ac:dyDescent="0.25">
      <c r="A27" s="40">
        <f t="shared" si="0"/>
        <v>25</v>
      </c>
      <c r="B27" s="21" t="s">
        <v>70</v>
      </c>
      <c r="C27" s="22">
        <v>0</v>
      </c>
      <c r="D27" s="23" t="s">
        <v>24</v>
      </c>
      <c r="E27" s="23" t="s">
        <v>34</v>
      </c>
      <c r="F27" s="23" t="s">
        <v>71</v>
      </c>
      <c r="G27" s="24"/>
      <c r="H27" s="25"/>
    </row>
    <row r="28" spans="1:8" x14ac:dyDescent="0.25">
      <c r="A28" s="40">
        <f t="shared" si="0"/>
        <v>26</v>
      </c>
      <c r="B28" s="5" t="s">
        <v>23</v>
      </c>
      <c r="C28" s="6">
        <v>0.5</v>
      </c>
      <c r="D28" s="2" t="s">
        <v>24</v>
      </c>
      <c r="E28" s="2" t="s">
        <v>21</v>
      </c>
      <c r="F28" s="2" t="s">
        <v>25</v>
      </c>
      <c r="G28" s="4"/>
      <c r="H28" s="13"/>
    </row>
    <row r="29" spans="1:8" x14ac:dyDescent="0.25">
      <c r="A29" s="40">
        <f t="shared" si="0"/>
        <v>27</v>
      </c>
      <c r="B29" s="12" t="s">
        <v>26</v>
      </c>
      <c r="C29" s="26">
        <v>1</v>
      </c>
      <c r="D29" s="7" t="s">
        <v>27</v>
      </c>
      <c r="E29" s="7" t="s">
        <v>21</v>
      </c>
      <c r="F29" s="7" t="s">
        <v>21</v>
      </c>
      <c r="G29" s="7" t="s">
        <v>28</v>
      </c>
      <c r="H29" s="13" t="s">
        <v>94</v>
      </c>
    </row>
    <row r="30" spans="1:8" x14ac:dyDescent="0.25">
      <c r="A30" s="40">
        <f t="shared" si="0"/>
        <v>28</v>
      </c>
      <c r="B30" s="12" t="s">
        <v>29</v>
      </c>
      <c r="C30" s="8">
        <v>0</v>
      </c>
      <c r="D30" s="7" t="s">
        <v>27</v>
      </c>
      <c r="E30" s="7" t="s">
        <v>21</v>
      </c>
      <c r="F30" s="7" t="s">
        <v>21</v>
      </c>
      <c r="G30" s="7" t="s">
        <v>30</v>
      </c>
      <c r="H30" s="13" t="s">
        <v>88</v>
      </c>
    </row>
    <row r="31" spans="1:8" x14ac:dyDescent="0.25">
      <c r="A31" s="40">
        <f t="shared" si="0"/>
        <v>29</v>
      </c>
      <c r="B31" s="12" t="s">
        <v>95</v>
      </c>
      <c r="C31" s="8">
        <v>0</v>
      </c>
      <c r="D31" s="7" t="s">
        <v>31</v>
      </c>
      <c r="E31" s="7" t="s">
        <v>21</v>
      </c>
      <c r="F31" s="7" t="s">
        <v>21</v>
      </c>
      <c r="G31" s="7" t="s">
        <v>32</v>
      </c>
      <c r="H31" s="13" t="s">
        <v>89</v>
      </c>
    </row>
    <row r="32" spans="1:8" x14ac:dyDescent="0.25">
      <c r="A32" s="40">
        <f t="shared" si="0"/>
        <v>30</v>
      </c>
      <c r="B32" s="12" t="s">
        <v>72</v>
      </c>
      <c r="C32" s="8">
        <v>0</v>
      </c>
      <c r="D32" s="7" t="s">
        <v>27</v>
      </c>
      <c r="E32" s="7" t="s">
        <v>21</v>
      </c>
      <c r="F32" s="7" t="s">
        <v>21</v>
      </c>
      <c r="G32" s="7" t="s">
        <v>60</v>
      </c>
      <c r="H32" s="13" t="s">
        <v>88</v>
      </c>
    </row>
    <row r="33" spans="1:8" x14ac:dyDescent="0.25">
      <c r="A33" s="40">
        <f t="shared" si="0"/>
        <v>31</v>
      </c>
      <c r="B33" s="12" t="s">
        <v>73</v>
      </c>
      <c r="C33" s="8">
        <v>0</v>
      </c>
      <c r="D33" s="7" t="s">
        <v>27</v>
      </c>
      <c r="E33" s="7" t="s">
        <v>21</v>
      </c>
      <c r="F33" s="7" t="s">
        <v>21</v>
      </c>
      <c r="G33" s="7" t="s">
        <v>56</v>
      </c>
      <c r="H33" s="13" t="s">
        <v>88</v>
      </c>
    </row>
    <row r="34" spans="1:8" x14ac:dyDescent="0.25">
      <c r="A34" s="40">
        <f t="shared" si="0"/>
        <v>32</v>
      </c>
      <c r="B34" s="12" t="s">
        <v>74</v>
      </c>
      <c r="C34" s="8">
        <v>0</v>
      </c>
      <c r="D34" s="7" t="s">
        <v>31</v>
      </c>
      <c r="E34" s="7" t="s">
        <v>21</v>
      </c>
      <c r="F34" s="7" t="s">
        <v>21</v>
      </c>
      <c r="G34" s="7" t="s">
        <v>32</v>
      </c>
      <c r="H34" s="13" t="s">
        <v>89</v>
      </c>
    </row>
    <row r="35" spans="1:8" x14ac:dyDescent="0.25">
      <c r="A35" s="40">
        <f t="shared" si="0"/>
        <v>33</v>
      </c>
      <c r="B35" s="16" t="s">
        <v>75</v>
      </c>
      <c r="C35" s="17">
        <v>0</v>
      </c>
      <c r="D35" s="18" t="s">
        <v>76</v>
      </c>
      <c r="E35" s="18" t="s">
        <v>21</v>
      </c>
      <c r="F35" s="18" t="s">
        <v>16</v>
      </c>
      <c r="G35" s="19"/>
      <c r="H35" s="20"/>
    </row>
    <row r="36" spans="1:8" x14ac:dyDescent="0.25">
      <c r="A36" s="40">
        <f t="shared" si="0"/>
        <v>34</v>
      </c>
      <c r="B36" s="14" t="s">
        <v>81</v>
      </c>
      <c r="C36" s="8">
        <v>0</v>
      </c>
      <c r="D36" s="7" t="s">
        <v>27</v>
      </c>
      <c r="E36" s="7" t="s">
        <v>82</v>
      </c>
      <c r="F36" s="7" t="s">
        <v>82</v>
      </c>
      <c r="G36" s="7" t="s">
        <v>83</v>
      </c>
      <c r="H36" s="13" t="s">
        <v>90</v>
      </c>
    </row>
    <row r="37" spans="1:8" x14ac:dyDescent="0.25">
      <c r="A37" s="40">
        <f t="shared" si="0"/>
        <v>35</v>
      </c>
      <c r="B37" s="14" t="s">
        <v>84</v>
      </c>
      <c r="C37" s="8">
        <v>0</v>
      </c>
      <c r="D37" s="7" t="s">
        <v>27</v>
      </c>
      <c r="E37" s="7" t="s">
        <v>21</v>
      </c>
      <c r="F37" s="7" t="s">
        <v>21</v>
      </c>
      <c r="G37" s="7" t="s">
        <v>85</v>
      </c>
      <c r="H37" s="13" t="s">
        <v>92</v>
      </c>
    </row>
    <row r="38" spans="1:8" x14ac:dyDescent="0.25">
      <c r="A38" s="40">
        <f t="shared" si="0"/>
        <v>36</v>
      </c>
      <c r="B38" s="14" t="s">
        <v>0</v>
      </c>
      <c r="C38" s="8">
        <v>0</v>
      </c>
      <c r="D38" s="7" t="s">
        <v>27</v>
      </c>
      <c r="E38" s="7" t="s">
        <v>21</v>
      </c>
      <c r="F38" s="7" t="s">
        <v>21</v>
      </c>
      <c r="G38" s="7" t="s">
        <v>58</v>
      </c>
      <c r="H38" s="13" t="s">
        <v>90</v>
      </c>
    </row>
    <row r="39" spans="1:8" x14ac:dyDescent="0.25">
      <c r="A39" s="40">
        <f t="shared" si="0"/>
        <v>37</v>
      </c>
      <c r="B39" s="14" t="s">
        <v>1</v>
      </c>
      <c r="C39" s="8">
        <v>0</v>
      </c>
      <c r="D39" s="7" t="s">
        <v>77</v>
      </c>
      <c r="E39" s="7" t="s">
        <v>21</v>
      </c>
      <c r="F39" s="7" t="s">
        <v>41</v>
      </c>
      <c r="G39" s="7" t="s">
        <v>78</v>
      </c>
      <c r="H39" s="13" t="s">
        <v>88</v>
      </c>
    </row>
    <row r="40" spans="1:8" x14ac:dyDescent="0.25">
      <c r="A40" s="40">
        <f t="shared" si="0"/>
        <v>38</v>
      </c>
      <c r="B40" s="14" t="s">
        <v>2</v>
      </c>
      <c r="C40" s="8">
        <v>0</v>
      </c>
      <c r="D40" s="7" t="s">
        <v>77</v>
      </c>
      <c r="E40" s="7" t="s">
        <v>21</v>
      </c>
      <c r="F40" s="7" t="s">
        <v>21</v>
      </c>
      <c r="G40" s="7" t="s">
        <v>48</v>
      </c>
      <c r="H40" s="13" t="s">
        <v>88</v>
      </c>
    </row>
    <row r="41" spans="1:8" x14ac:dyDescent="0.25">
      <c r="A41" s="40">
        <f t="shared" si="0"/>
        <v>39</v>
      </c>
      <c r="B41" s="14" t="s">
        <v>86</v>
      </c>
      <c r="C41" s="8">
        <v>0</v>
      </c>
      <c r="D41" s="7" t="s">
        <v>27</v>
      </c>
      <c r="E41" s="7" t="s">
        <v>21</v>
      </c>
      <c r="F41" s="7" t="s">
        <v>21</v>
      </c>
      <c r="G41" s="7" t="s">
        <v>56</v>
      </c>
      <c r="H41" s="13" t="s">
        <v>88</v>
      </c>
    </row>
    <row r="42" spans="1:8" x14ac:dyDescent="0.25">
      <c r="A42" s="40">
        <f t="shared" si="0"/>
        <v>40</v>
      </c>
      <c r="B42" s="11" t="s">
        <v>87</v>
      </c>
      <c r="C42" s="8">
        <v>0</v>
      </c>
      <c r="D42" s="7" t="s">
        <v>31</v>
      </c>
      <c r="E42" s="7" t="s">
        <v>21</v>
      </c>
      <c r="F42" s="7" t="s">
        <v>21</v>
      </c>
      <c r="G42" s="7" t="s">
        <v>32</v>
      </c>
      <c r="H42" s="13" t="s">
        <v>89</v>
      </c>
    </row>
    <row r="43" spans="1:8" x14ac:dyDescent="0.25">
      <c r="A43" s="40">
        <f t="shared" si="0"/>
        <v>41</v>
      </c>
      <c r="B43" s="10" t="s">
        <v>93</v>
      </c>
      <c r="C43" s="8">
        <v>0</v>
      </c>
      <c r="D43" s="7" t="s">
        <v>31</v>
      </c>
      <c r="E43" s="7" t="s">
        <v>21</v>
      </c>
      <c r="F43" s="7" t="s">
        <v>21</v>
      </c>
      <c r="G43" s="7" t="s">
        <v>32</v>
      </c>
      <c r="H43" s="13" t="s">
        <v>89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Project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2016-02-23T18:30:17Z</dcterms:modified>
</cp:coreProperties>
</file>