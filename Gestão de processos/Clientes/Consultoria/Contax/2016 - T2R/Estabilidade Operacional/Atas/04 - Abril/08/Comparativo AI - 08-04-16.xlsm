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19365" windowHeight="6135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<sst xmlns="http://schemas.openxmlformats.org/spreadsheetml/2006/main" count="318" uniqueCount="38">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</sst>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5E-4BC4-A52B-E0FB30941BB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5E-4BC4-A52B-E0FB30941BB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E5E-4BC4-A52B-E0FB30941BB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5E-4BC4-A52B-E0FB30941BB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BD-4525-98ED-AF2575181242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5E-4BC4-A52B-E0FB30941BB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5E-4BC4-A52B-E0FB30941BB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5E-4BC4-A52B-E0FB30941BB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E5E-4BC4-A52B-E0FB30941BB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5E-4BC4-A52B-E0FB30941BB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E5E-4BC4-A52B-E0FB30941BB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5E-4BC4-A52B-E0FB30941BB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5E-4BC4-A52B-E0FB30941BB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5E-4BC4-A52B-E0FB30941BB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5E-4BC4-A52B-E0FB30941BB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5E-4BC4-A52B-E0FB30941BB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5E-4BC4-A52B-E0FB30941BB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11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655-4BD4-AF07-111D513ADE1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655-4BD4-AF07-111D513ADE1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655-4BD4-AF07-111D513ADE1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655-4BD4-AF07-111D513ADE1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655-4BD4-AF07-111D513ADE1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655-4BD4-AF07-111D513ADE1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655-4BD4-AF07-111D513ADE1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655-4BD4-AF07-111D513ADE1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655-4BD4-AF07-111D513ADE1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655-4BD4-AF07-111D513ADE1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655-4BD4-AF07-111D513ADE1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655-4BD4-AF07-111D513ADE1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55-4BD4-AF07-111D513ADE1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655-4BD4-AF07-111D513ADE1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55-4BD4-AF07-111D513ADE1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655-4BD4-AF07-111D513ADE1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55-4BD4-AF07-111D513ADE1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594</c:v>
                </c:pt>
                <c:pt idx="1">
                  <c:v>133</c:v>
                </c:pt>
                <c:pt idx="2">
                  <c:v>51</c:v>
                </c:pt>
                <c:pt idx="3">
                  <c:v>642</c:v>
                </c:pt>
                <c:pt idx="4">
                  <c:v>627</c:v>
                </c:pt>
                <c:pt idx="5">
                  <c:v>485</c:v>
                </c:pt>
                <c:pt idx="6">
                  <c:v>628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936-4A8D-BE59-659F419EE3C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936-4A8D-BE59-659F419EE3C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936-4A8D-BE59-659F419EE3C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936-4A8D-BE59-659F419EE3C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36-4A8D-BE59-659F419EE3C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36-4A8D-BE59-659F419EE3C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936-4A8D-BE59-659F419EE3C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936-4A8D-BE59-659F419EE3C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936-4A8D-BE59-659F419EE3C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936-4A8D-BE59-659F419EE3C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936-4A8D-BE59-659F419EE3C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936-4A8D-BE59-659F419EE3C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36-4A8D-BE59-659F419EE3C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36-4A8D-BE59-659F419EE3C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36-4A8D-BE59-659F419EE3C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36-4A8D-BE59-659F419EE3C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36-4A8D-BE59-659F419EE3C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499</c:v>
                </c:pt>
                <c:pt idx="1">
                  <c:v>164</c:v>
                </c:pt>
                <c:pt idx="2">
                  <c:v>39</c:v>
                </c:pt>
                <c:pt idx="3">
                  <c:v>575</c:v>
                </c:pt>
                <c:pt idx="4">
                  <c:v>475</c:v>
                </c:pt>
                <c:pt idx="5">
                  <c:v>426</c:v>
                </c:pt>
                <c:pt idx="6">
                  <c:v>390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60" workbookViewId="0"/>
  </sheetViews>
  <sheetProtection algorithmName="SHA-512" hashValue="HwePrZf8grw3+jN8uRp9MVmaUyhs9R/pwv6OQ5DYFd9O6Fy1MkMfWJITwO+BrtNJoVmoZORmJ0q0kL4xeZsH8w==" saltValue="V3jJMf3viphoXCcTwoNq7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60" workbookViewId="0"/>
  </sheetViews>
  <sheetProtection algorithmName="SHA-512" hashValue="smXRGxWvoBPGadSz2EfZ9/TLbTuqvJMF7WciHndMScf/sByWOlYTxOzCq+OAsT0dsyRkd0mg8xmMT5O1EGoATQ==" saltValue="3M5/mis/HFEOEupJhqP0n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60" workbookViewId="0"/>
  </sheetViews>
  <sheetProtection algorithmName="SHA-512" hashValue="tC3mYau982YxScUcjR5warAJpfvm7ehXST9E1mLRRCE3ErfttMuNCEncalBYzDpUpOsqHENUX8KFqJouvoAzXw==" saltValue="fa7rwfTU37xXLada/uM3D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I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5781</v>
      </c>
      <c r="AI33" s="71">
        <f>AH33/COUNTA(C34:AG34)</f>
        <v>825.85714285714289</v>
      </c>
      <c r="AJ33" s="55">
        <f>AI33*31</f>
        <v>25601.571428571431</v>
      </c>
    </row>
    <row r="34" spans="2:36" x14ac:dyDescent="0.25">
      <c r="B34" s="161" t="s">
        <v>19</v>
      </c>
      <c r="C34" s="156">
        <v>7</v>
      </c>
      <c r="D34" s="156">
        <v>6</v>
      </c>
      <c r="E34" s="156">
        <v>3</v>
      </c>
      <c r="F34" s="156">
        <v>7</v>
      </c>
      <c r="G34" s="156">
        <v>14</v>
      </c>
      <c r="H34" s="156">
        <v>5</v>
      </c>
      <c r="I34" s="156">
        <v>11</v>
      </c>
      <c r="J34" s="156"/>
      <c r="K34" s="156"/>
      <c r="L34" s="156"/>
      <c r="M34" s="156"/>
      <c r="N34" s="156"/>
      <c r="O34" s="156"/>
      <c r="P34" s="156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157"/>
      <c r="AH34" s="53">
        <f>SUM(C34:AG34)</f>
        <v>53</v>
      </c>
      <c r="AI34" s="38">
        <f>AH34/COUNTA(C34:AG34)</f>
        <v>7.5714285714285712</v>
      </c>
      <c r="AJ34" s="56">
        <f>AI34*30</f>
        <v>227.14285714285714</v>
      </c>
    </row>
    <row r="35" spans="2:36" x14ac:dyDescent="0.25">
      <c r="B35" s="161" t="s">
        <v>20</v>
      </c>
      <c r="C35" s="156">
        <v>594</v>
      </c>
      <c r="D35" s="156">
        <v>133</v>
      </c>
      <c r="E35" s="156">
        <v>51</v>
      </c>
      <c r="F35" s="156">
        <v>642</v>
      </c>
      <c r="G35" s="156">
        <v>627</v>
      </c>
      <c r="H35" s="156">
        <v>485</v>
      </c>
      <c r="I35" s="156">
        <v>628</v>
      </c>
      <c r="J35" s="156"/>
      <c r="K35" s="156"/>
      <c r="L35" s="156"/>
      <c r="M35" s="156"/>
      <c r="N35" s="156"/>
      <c r="O35" s="156"/>
      <c r="P35" s="156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157"/>
      <c r="AH35" s="53">
        <f>SUM(C35:AG35)</f>
        <v>3160</v>
      </c>
      <c r="AI35" s="38">
        <f>AH35/COUNTA(C35:AG35)</f>
        <v>451.42857142857144</v>
      </c>
      <c r="AJ35" s="56">
        <f>AI35*30</f>
        <v>13542.857142857143</v>
      </c>
    </row>
    <row r="36" spans="2:36" ht="15.75" thickBot="1" x14ac:dyDescent="0.3">
      <c r="B36" s="162" t="s">
        <v>21</v>
      </c>
      <c r="C36" s="155">
        <v>499</v>
      </c>
      <c r="D36" s="155">
        <v>164</v>
      </c>
      <c r="E36" s="155">
        <v>39</v>
      </c>
      <c r="F36" s="155">
        <v>575</v>
      </c>
      <c r="G36" s="155">
        <v>475</v>
      </c>
      <c r="H36" s="155">
        <v>426</v>
      </c>
      <c r="I36" s="155">
        <v>390</v>
      </c>
      <c r="J36" s="155"/>
      <c r="K36" s="155"/>
      <c r="L36" s="155"/>
      <c r="M36" s="155"/>
      <c r="N36" s="155"/>
      <c r="O36" s="155"/>
      <c r="P36" s="15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59"/>
      <c r="AH36" s="54">
        <f>SUM(C36:AG36)</f>
        <v>2568</v>
      </c>
      <c r="AI36" s="37">
        <f>AH36/COUNTA(C36:AG36)</f>
        <v>366.85714285714283</v>
      </c>
      <c r="AJ36" s="57">
        <f>AI36*30</f>
        <v>11005.714285714284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</row>
    <row r="2" spans="1:16384" ht="15" customHeight="1" x14ac:dyDescent="0.25">
      <c r="B2" s="180" t="str">
        <f>Indicadores!B32</f>
        <v>Abr - 30 dias</v>
      </c>
      <c r="C2" s="181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2" t="s">
        <v>22</v>
      </c>
      <c r="C3" s="183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5781</v>
      </c>
      <c r="AJ3" s="66">
        <f>Indicadores!AI33</f>
        <v>825.85714285714289</v>
      </c>
      <c r="AK3" s="55">
        <f>Indicadores!AJ33</f>
        <v>25601.571428571431</v>
      </c>
    </row>
    <row r="4" spans="1:16384" x14ac:dyDescent="0.25">
      <c r="B4" s="209" t="s">
        <v>19</v>
      </c>
      <c r="C4" s="210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14</v>
      </c>
      <c r="I4" s="39">
        <f>IF(Indicadores!H34,Indicadores!H34,"")</f>
        <v>5</v>
      </c>
      <c r="J4" s="39">
        <f>IF(Indicadores!I34,Indicadores!I34,"")</f>
        <v>11</v>
      </c>
      <c r="K4" s="39" t="str">
        <f>IF(Indicadores!J34,Indicadores!J34,"")</f>
        <v/>
      </c>
      <c r="L4" s="39" t="str">
        <f>IF(Indicadores!K34,Indicadores!K34,"")</f>
        <v/>
      </c>
      <c r="M4" s="39" t="str">
        <f>IF(Indicadores!L34,Indicadores!L34,"")</f>
        <v/>
      </c>
      <c r="N4" s="39" t="str">
        <f>IF(Indicadores!M34,Indicadores!M34,"")</f>
        <v/>
      </c>
      <c r="O4" s="39" t="str">
        <f>IF(Indicadores!N34,Indicadores!N34,"")</f>
        <v/>
      </c>
      <c r="P4" s="39" t="str">
        <f>IF(Indicadores!O34,Indicadores!O34,"")</f>
        <v/>
      </c>
      <c r="Q4" s="39" t="str">
        <f>IF(Indicadores!P34,Indicadores!P34,"")</f>
        <v/>
      </c>
      <c r="R4" s="39" t="str">
        <f>IF(Indicadores!Q34,Indicadores!Q34,"")</f>
        <v/>
      </c>
      <c r="S4" s="39" t="str">
        <f>IF(Indicadores!R34,Indicadores!R34,"")</f>
        <v/>
      </c>
      <c r="T4" s="39" t="str">
        <f>IF(Indicadores!S34,Indicadores!S34,"")</f>
        <v/>
      </c>
      <c r="U4" s="39" t="str">
        <f>IF(Indicadores!T34,Indicadores!T34,"")</f>
        <v/>
      </c>
      <c r="V4" s="39" t="str">
        <f>IF(Indicadores!U34,Indicadores!U34,"")</f>
        <v/>
      </c>
      <c r="W4" s="39" t="str">
        <f>IF(Indicadores!V34,Indicadores!V34,"")</f>
        <v/>
      </c>
      <c r="X4" s="39" t="str">
        <f>IF(Indicadores!W34,Indicadores!W34,"")</f>
        <v/>
      </c>
      <c r="Y4" s="39" t="str">
        <f>IF(Indicadores!X34,Indicadores!X34,"")</f>
        <v/>
      </c>
      <c r="Z4" s="39" t="str">
        <f>IF(Indicadores!Y34,Indicadores!Y34,"")</f>
        <v/>
      </c>
      <c r="AA4" s="39" t="str">
        <f>IF(Indicadores!Z34,Indicadores!Z34,"")</f>
        <v/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53</v>
      </c>
      <c r="AJ4" s="75">
        <f>Indicadores!AI34</f>
        <v>7.5714285714285712</v>
      </c>
      <c r="AK4" s="56">
        <f>Indicadores!AJ34</f>
        <v>227.14285714285714</v>
      </c>
    </row>
    <row r="5" spans="1:16384" x14ac:dyDescent="0.25">
      <c r="B5" s="209" t="s">
        <v>20</v>
      </c>
      <c r="C5" s="210"/>
      <c r="D5" s="39">
        <f>IF(Indicadores!C35,Indicadores!C35,"")</f>
        <v>594</v>
      </c>
      <c r="E5" s="39">
        <f>IF(Indicadores!D35,Indicadores!D35,"")</f>
        <v>133</v>
      </c>
      <c r="F5" s="39">
        <f>IF(Indicadores!E35,Indicadores!E35,"")</f>
        <v>51</v>
      </c>
      <c r="G5" s="39">
        <f>IF(Indicadores!F35,Indicadores!F35,"")</f>
        <v>642</v>
      </c>
      <c r="H5" s="39">
        <f>IF(Indicadores!G35,Indicadores!G35,"")</f>
        <v>627</v>
      </c>
      <c r="I5" s="39">
        <f>IF(Indicadores!H35,Indicadores!H35,"")</f>
        <v>485</v>
      </c>
      <c r="J5" s="39">
        <f>IF(Indicadores!I35,Indicadores!I35,"")</f>
        <v>628</v>
      </c>
      <c r="K5" s="39" t="str">
        <f>IF(Indicadores!J35,Indicadores!J35,"")</f>
        <v/>
      </c>
      <c r="L5" s="39" t="str">
        <f>IF(Indicadores!K35,Indicadores!K35,"")</f>
        <v/>
      </c>
      <c r="M5" s="39" t="str">
        <f>IF(Indicadores!L35,Indicadores!L35,"")</f>
        <v/>
      </c>
      <c r="N5" s="39" t="str">
        <f>IF(Indicadores!M35,Indicadores!M35,"")</f>
        <v/>
      </c>
      <c r="O5" s="39" t="str">
        <f>IF(Indicadores!N35,Indicadores!N35,"")</f>
        <v/>
      </c>
      <c r="P5" s="39" t="str">
        <f>IF(Indicadores!O35,Indicadores!O35,"")</f>
        <v/>
      </c>
      <c r="Q5" s="39" t="str">
        <f>IF(Indicadores!P35,Indicadores!P35,"")</f>
        <v/>
      </c>
      <c r="R5" s="39" t="str">
        <f>IF(Indicadores!Q35,Indicadores!Q35,"")</f>
        <v/>
      </c>
      <c r="S5" s="39" t="str">
        <f>IF(Indicadores!R35,Indicadores!R35,"")</f>
        <v/>
      </c>
      <c r="T5" s="39" t="str">
        <f>IF(Indicadores!S35,Indicadores!S35,"")</f>
        <v/>
      </c>
      <c r="U5" s="39" t="str">
        <f>IF(Indicadores!T35,Indicadores!T35,"")</f>
        <v/>
      </c>
      <c r="V5" s="39" t="str">
        <f>IF(Indicadores!U35,Indicadores!U35,"")</f>
        <v/>
      </c>
      <c r="W5" s="39" t="str">
        <f>IF(Indicadores!V35,Indicadores!V35,"")</f>
        <v/>
      </c>
      <c r="X5" s="39" t="str">
        <f>IF(Indicadores!W35,Indicadores!W35,"")</f>
        <v/>
      </c>
      <c r="Y5" s="39" t="str">
        <f>IF(Indicadores!X35,Indicadores!X35,"")</f>
        <v/>
      </c>
      <c r="Z5" s="39" t="str">
        <f>IF(Indicadores!Y35,Indicadores!Y35,"")</f>
        <v/>
      </c>
      <c r="AA5" s="39" t="str">
        <f>IF(Indicadores!Z35,Indicadores!Z35,"")</f>
        <v/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3160</v>
      </c>
      <c r="AJ5" s="75">
        <f>Indicadores!AI35</f>
        <v>451.42857142857144</v>
      </c>
      <c r="AK5" s="56">
        <f>Indicadores!AJ35</f>
        <v>13542.857142857143</v>
      </c>
    </row>
    <row r="6" spans="1:16384" ht="15.75" thickBot="1" x14ac:dyDescent="0.3">
      <c r="B6" s="211" t="s">
        <v>21</v>
      </c>
      <c r="C6" s="212"/>
      <c r="D6" s="40">
        <f>IF(Indicadores!C36,Indicadores!C36,"")</f>
        <v>499</v>
      </c>
      <c r="E6" s="40">
        <f>IF(Indicadores!D36,Indicadores!D36,"")</f>
        <v>164</v>
      </c>
      <c r="F6" s="40">
        <f>IF(Indicadores!E36,Indicadores!E36,"")</f>
        <v>39</v>
      </c>
      <c r="G6" s="40">
        <f>IF(Indicadores!F36,Indicadores!F36,"")</f>
        <v>575</v>
      </c>
      <c r="H6" s="40">
        <f>IF(Indicadores!G36,Indicadores!G36,"")</f>
        <v>475</v>
      </c>
      <c r="I6" s="40">
        <f>IF(Indicadores!H36,Indicadores!H36,"")</f>
        <v>426</v>
      </c>
      <c r="J6" s="40">
        <f>IF(Indicadores!I36,Indicadores!I36,"")</f>
        <v>390</v>
      </c>
      <c r="K6" s="40" t="str">
        <f>IF(Indicadores!J36,Indicadores!J36,"")</f>
        <v/>
      </c>
      <c r="L6" s="40" t="str">
        <f>IF(Indicadores!K36,Indicadores!K36,"")</f>
        <v/>
      </c>
      <c r="M6" s="40" t="str">
        <f>IF(Indicadores!L36,Indicadores!L36,"")</f>
        <v/>
      </c>
      <c r="N6" s="40" t="str">
        <f>IF(Indicadores!M36,Indicadores!M36,"")</f>
        <v/>
      </c>
      <c r="O6" s="40" t="str">
        <f>IF(Indicadores!N36,Indicadores!N36,"")</f>
        <v/>
      </c>
      <c r="P6" s="40" t="str">
        <f>IF(Indicadores!O36,Indicadores!O36,"")</f>
        <v/>
      </c>
      <c r="Q6" s="40" t="str">
        <f>IF(Indicadores!P36,Indicadores!P36,"")</f>
        <v/>
      </c>
      <c r="R6" s="40" t="str">
        <f>IF(Indicadores!Q36,Indicadores!Q36,"")</f>
        <v/>
      </c>
      <c r="S6" s="40" t="str">
        <f>IF(Indicadores!R36,Indicadores!R36,"")</f>
        <v/>
      </c>
      <c r="T6" s="40" t="str">
        <f>IF(Indicadores!S36,Indicadores!S36,"")</f>
        <v/>
      </c>
      <c r="U6" s="40" t="str">
        <f>IF(Indicadores!T36,Indicadores!T36,"")</f>
        <v/>
      </c>
      <c r="V6" s="40" t="str">
        <f>IF(Indicadores!U36,Indicadores!U36,"")</f>
        <v/>
      </c>
      <c r="W6" s="40" t="str">
        <f>IF(Indicadores!V36,Indicadores!V36,"")</f>
        <v/>
      </c>
      <c r="X6" s="40" t="str">
        <f>IF(Indicadores!W36,Indicadores!W36,"")</f>
        <v/>
      </c>
      <c r="Y6" s="40" t="str">
        <f>IF(Indicadores!X36,Indicadores!X36,"")</f>
        <v/>
      </c>
      <c r="Z6" s="40" t="str">
        <f>IF(Indicadores!Y36,Indicadores!Y36,"")</f>
        <v/>
      </c>
      <c r="AA6" s="40" t="str">
        <f>IF(Indicadores!Z36,Indicadores!Z36,"")</f>
        <v/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2568</v>
      </c>
      <c r="AJ6" s="42">
        <f>Indicadores!AI36</f>
        <v>366.85714285714283</v>
      </c>
      <c r="AK6" s="56">
        <f>Indicadores!AJ36</f>
        <v>11005.714285714284</v>
      </c>
    </row>
    <row r="7" spans="1:16384" ht="15.75" thickBot="1" x14ac:dyDescent="0.3">
      <c r="C7" s="198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  <c r="AD7" s="199"/>
      <c r="AE7" s="199"/>
      <c r="AF7" s="199"/>
      <c r="AG7" s="199"/>
      <c r="AH7" s="199"/>
      <c r="AI7" s="200"/>
      <c r="AJ7" s="200"/>
      <c r="AK7" s="200"/>
    </row>
    <row r="8" spans="1:16384" ht="15" customHeight="1" x14ac:dyDescent="0.25">
      <c r="B8" s="180" t="str">
        <f>B2</f>
        <v>Abr - 30 dias</v>
      </c>
      <c r="C8" s="181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2" t="s">
        <v>27</v>
      </c>
      <c r="C9" s="183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0" t="str">
        <f>B8</f>
        <v>Abr - 30 dias</v>
      </c>
      <c r="C14" s="181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82" t="s">
        <v>18</v>
      </c>
      <c r="C15" s="183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19256.539192522912</v>
      </c>
      <c r="AJ15" s="66">
        <f>SUM(AJ16:AJ18)</f>
        <v>621.17868362977129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14</v>
      </c>
      <c r="I16" s="137">
        <f t="shared" si="4"/>
        <v>5</v>
      </c>
      <c r="J16" s="137">
        <f t="shared" si="4"/>
        <v>11</v>
      </c>
      <c r="K16" s="137">
        <f t="shared" si="4"/>
        <v>10.734094616639478</v>
      </c>
      <c r="L16" s="137">
        <f t="shared" si="4"/>
        <v>5.213703099510604</v>
      </c>
      <c r="M16" s="137">
        <f t="shared" si="4"/>
        <v>0.92006525285481233</v>
      </c>
      <c r="N16" s="137">
        <f t="shared" si="4"/>
        <v>7.0538336052202286</v>
      </c>
      <c r="O16" s="137">
        <f t="shared" si="4"/>
        <v>5.213703099510604</v>
      </c>
      <c r="P16" s="137">
        <f t="shared" si="4"/>
        <v>7.6672104404567696</v>
      </c>
      <c r="Q16" s="137">
        <f t="shared" si="4"/>
        <v>7.9738988580750414</v>
      </c>
      <c r="R16" s="137">
        <f t="shared" si="4"/>
        <v>5.5203915171288749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7.9738988580750414</v>
      </c>
      <c r="V16" s="137">
        <f t="shared" si="4"/>
        <v>11.04078303425775</v>
      </c>
      <c r="W16" s="137">
        <f t="shared" si="4"/>
        <v>7.0538336052202286</v>
      </c>
      <c r="X16" s="137">
        <f t="shared" si="4"/>
        <v>8.5872756933115824</v>
      </c>
      <c r="Y16" s="137">
        <f t="shared" si="4"/>
        <v>6.4404567699836868</v>
      </c>
      <c r="Z16" s="137">
        <f t="shared" si="4"/>
        <v>3.0668841761827079</v>
      </c>
      <c r="AA16" s="137">
        <f t="shared" si="4"/>
        <v>1.2267536704730833</v>
      </c>
      <c r="AB16" s="137">
        <f t="shared" si="4"/>
        <v>7.0538336052202286</v>
      </c>
      <c r="AC16" s="137">
        <f t="shared" si="4"/>
        <v>7.9738988580750414</v>
      </c>
      <c r="AD16" s="137">
        <f t="shared" si="4"/>
        <v>6.4404567699836868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190.70309951060361</v>
      </c>
      <c r="AJ16" s="106">
        <f>AI16/COUNTA(C16:AG16)</f>
        <v>6.1517128874388263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594</v>
      </c>
      <c r="E17" s="137">
        <f t="shared" ref="E17:AH17" si="6">IF(E5&lt;&gt;"",E5,E11)</f>
        <v>133</v>
      </c>
      <c r="F17" s="137">
        <f t="shared" si="6"/>
        <v>51</v>
      </c>
      <c r="G17" s="137">
        <f t="shared" si="6"/>
        <v>642</v>
      </c>
      <c r="H17" s="137">
        <f t="shared" si="6"/>
        <v>627</v>
      </c>
      <c r="I17" s="137">
        <f t="shared" si="6"/>
        <v>485</v>
      </c>
      <c r="J17" s="137">
        <f t="shared" si="6"/>
        <v>628</v>
      </c>
      <c r="K17" s="137">
        <f t="shared" si="6"/>
        <v>482.2818585474152</v>
      </c>
      <c r="L17" s="137">
        <f t="shared" si="6"/>
        <v>121.29766888677449</v>
      </c>
      <c r="M17" s="137">
        <f t="shared" si="6"/>
        <v>62.539565493181094</v>
      </c>
      <c r="N17" s="137">
        <f t="shared" si="6"/>
        <v>423.81463685378998</v>
      </c>
      <c r="O17" s="137">
        <f t="shared" si="6"/>
        <v>340.91335236282907</v>
      </c>
      <c r="P17" s="137">
        <f t="shared" si="6"/>
        <v>494.49888994608307</v>
      </c>
      <c r="Q17" s="137">
        <f t="shared" si="6"/>
        <v>475.8824611481129</v>
      </c>
      <c r="R17" s="137">
        <f t="shared" si="6"/>
        <v>450.5757532508722</v>
      </c>
      <c r="S17" s="137">
        <f t="shared" si="6"/>
        <v>121.58855058674281</v>
      </c>
      <c r="T17" s="137">
        <f t="shared" si="6"/>
        <v>30.833460196638129</v>
      </c>
      <c r="U17" s="137">
        <f t="shared" si="6"/>
        <v>569.25548683793215</v>
      </c>
      <c r="V17" s="137">
        <f t="shared" si="6"/>
        <v>494.20800824611473</v>
      </c>
      <c r="W17" s="137">
        <f t="shared" si="6"/>
        <v>437.77695845226776</v>
      </c>
      <c r="X17" s="137">
        <f t="shared" si="6"/>
        <v>481.11833174754207</v>
      </c>
      <c r="Y17" s="137">
        <f t="shared" si="6"/>
        <v>396.47175705677142</v>
      </c>
      <c r="Z17" s="137">
        <f t="shared" si="6"/>
        <v>117.8070884871551</v>
      </c>
      <c r="AA17" s="137">
        <f t="shared" si="6"/>
        <v>43.923136695210914</v>
      </c>
      <c r="AB17" s="137">
        <f t="shared" si="6"/>
        <v>563.14697113859825</v>
      </c>
      <c r="AC17" s="137">
        <f t="shared" si="6"/>
        <v>547.730241040279</v>
      </c>
      <c r="AD17" s="137">
        <f t="shared" si="6"/>
        <v>433.41373295274349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11201.133713923249</v>
      </c>
      <c r="AJ17" s="106">
        <f>AI17/COUNTA(C17:AG17)</f>
        <v>361.32689399752417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499</v>
      </c>
      <c r="E18" s="148">
        <f t="shared" ref="E18:AH18" si="8">IF(E6&lt;&gt;"",E6,E12)</f>
        <v>164</v>
      </c>
      <c r="F18" s="148">
        <f t="shared" si="8"/>
        <v>39</v>
      </c>
      <c r="G18" s="148">
        <f t="shared" si="8"/>
        <v>575</v>
      </c>
      <c r="H18" s="148">
        <f t="shared" si="8"/>
        <v>475</v>
      </c>
      <c r="I18" s="148">
        <f t="shared" si="8"/>
        <v>426</v>
      </c>
      <c r="J18" s="148">
        <f t="shared" si="8"/>
        <v>390</v>
      </c>
      <c r="K18" s="148">
        <f t="shared" si="8"/>
        <v>327.48035686335885</v>
      </c>
      <c r="L18" s="148">
        <f t="shared" si="8"/>
        <v>92.688636719361412</v>
      </c>
      <c r="M18" s="148">
        <f t="shared" si="8"/>
        <v>42.689403662544997</v>
      </c>
      <c r="N18" s="148">
        <f t="shared" si="8"/>
        <v>323.386852402567</v>
      </c>
      <c r="O18" s="148">
        <f t="shared" si="8"/>
        <v>261.10710596337452</v>
      </c>
      <c r="P18" s="148">
        <f t="shared" si="8"/>
        <v>344.14676788229769</v>
      </c>
      <c r="Q18" s="148">
        <f t="shared" si="8"/>
        <v>317.5389888871498</v>
      </c>
      <c r="R18" s="148">
        <f t="shared" si="8"/>
        <v>267.53975583033338</v>
      </c>
      <c r="S18" s="148">
        <f t="shared" si="8"/>
        <v>79.238550633902008</v>
      </c>
      <c r="T18" s="148">
        <f t="shared" si="8"/>
        <v>35.671967444044455</v>
      </c>
      <c r="U18" s="148">
        <f t="shared" si="8"/>
        <v>385.66659884175925</v>
      </c>
      <c r="V18" s="148">
        <f t="shared" si="8"/>
        <v>304.38129597746132</v>
      </c>
      <c r="W18" s="148">
        <f t="shared" si="8"/>
        <v>278.06591015808419</v>
      </c>
      <c r="X18" s="148">
        <f t="shared" si="8"/>
        <v>288.29967131006413</v>
      </c>
      <c r="Y18" s="148">
        <f t="shared" si="8"/>
        <v>255.55163562372826</v>
      </c>
      <c r="Z18" s="148">
        <f t="shared" si="8"/>
        <v>97.951713883236792</v>
      </c>
      <c r="AA18" s="148">
        <f t="shared" si="8"/>
        <v>37.718719674440443</v>
      </c>
      <c r="AB18" s="148">
        <f t="shared" si="8"/>
        <v>343.85437470652693</v>
      </c>
      <c r="AC18" s="148">
        <f t="shared" si="8"/>
        <v>306.72044138362816</v>
      </c>
      <c r="AD18" s="148">
        <f t="shared" si="8"/>
        <v>299.70300516512754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7864.7023790890598</v>
      </c>
      <c r="AJ18" s="109">
        <f>AI18/COUNTA(C18:AG18)</f>
        <v>253.70007674480837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1" t="s">
        <v>30</v>
      </c>
      <c r="K20" s="202"/>
      <c r="L20" s="213" t="s">
        <v>32</v>
      </c>
      <c r="M20" s="213"/>
      <c r="N20" s="205" t="s">
        <v>32</v>
      </c>
      <c r="O20" s="206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5781</v>
      </c>
      <c r="D21" s="142">
        <f>SUM(D22:D24)</f>
        <v>19256.539192522912</v>
      </c>
      <c r="E21" s="143">
        <f>SUM(E22:E24)</f>
        <v>18666.200000000004</v>
      </c>
      <c r="F21" s="138">
        <f>(D21-E21)/E21</f>
        <v>3.162610453776922E-2</v>
      </c>
      <c r="G21" s="133">
        <f>F21</f>
        <v>3.162610453776922E-2</v>
      </c>
      <c r="H21" s="12"/>
      <c r="I21" s="32"/>
      <c r="J21" s="186">
        <v>7.22</v>
      </c>
      <c r="K21" s="187"/>
      <c r="L21" s="192">
        <v>207</v>
      </c>
      <c r="M21" s="192"/>
      <c r="N21" s="174">
        <v>15639</v>
      </c>
      <c r="O21" s="17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53</v>
      </c>
      <c r="D22" s="145">
        <f>AI16</f>
        <v>190.70309951060361</v>
      </c>
      <c r="E22" s="143">
        <f>$AI$10</f>
        <v>188.00000000000003</v>
      </c>
      <c r="F22" s="139">
        <f t="shared" ref="F22:F24" si="10">(D22-E22)/E22</f>
        <v>1.4378188886189247E-2</v>
      </c>
      <c r="G22" s="133">
        <f>F22</f>
        <v>1.4378188886189247E-2</v>
      </c>
      <c r="H22" s="12"/>
      <c r="I22" s="32"/>
      <c r="J22" s="203" t="s">
        <v>13</v>
      </c>
      <c r="K22" s="204"/>
      <c r="L22" s="193" t="s">
        <v>13</v>
      </c>
      <c r="M22" s="193"/>
      <c r="N22" s="207" t="s">
        <v>15</v>
      </c>
      <c r="O22" s="208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3160</v>
      </c>
      <c r="D23" s="145">
        <f>AI17</f>
        <v>11201.133713923249</v>
      </c>
      <c r="E23" s="143">
        <f>AI11</f>
        <v>11005.800000000003</v>
      </c>
      <c r="F23" s="139">
        <f t="shared" si="10"/>
        <v>1.7748252187323611E-2</v>
      </c>
      <c r="G23" s="133">
        <f>F23</f>
        <v>1.7748252187323611E-2</v>
      </c>
      <c r="H23" s="12"/>
      <c r="I23" s="32"/>
      <c r="J23" s="184" t="s">
        <v>31</v>
      </c>
      <c r="K23" s="185"/>
      <c r="L23" s="194" t="s">
        <v>33</v>
      </c>
      <c r="M23" s="194"/>
      <c r="N23" s="172" t="s">
        <v>33</v>
      </c>
      <c r="O23" s="173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2568</v>
      </c>
      <c r="D24" s="147">
        <f>AI18</f>
        <v>7864.7023790890598</v>
      </c>
      <c r="E24" s="168">
        <f>AI12</f>
        <v>7472.4000000000005</v>
      </c>
      <c r="F24" s="140">
        <f t="shared" si="10"/>
        <v>5.2500184557713624E-2</v>
      </c>
      <c r="G24" s="136">
        <f>F24</f>
        <v>5.2500184557713624E-2</v>
      </c>
      <c r="H24" s="12"/>
      <c r="I24" s="32"/>
      <c r="J24" s="186">
        <v>6.77</v>
      </c>
      <c r="K24" s="187"/>
      <c r="L24" s="192">
        <v>210</v>
      </c>
      <c r="M24" s="192"/>
      <c r="N24" s="174">
        <v>21648</v>
      </c>
      <c r="O24" s="175"/>
      <c r="AI24" s="29"/>
      <c r="AJ24" s="34"/>
      <c r="AK24" s="51"/>
      <c r="AL24" s="34"/>
    </row>
    <row r="25" spans="1:38" ht="26.25" x14ac:dyDescent="0.25">
      <c r="H25" s="113"/>
      <c r="I25" s="32"/>
      <c r="J25" s="188" t="s">
        <v>26</v>
      </c>
      <c r="K25" s="189"/>
      <c r="L25" s="195" t="str">
        <f>J25</f>
        <v>Redução</v>
      </c>
      <c r="M25" s="195"/>
      <c r="N25" s="176" t="str">
        <f>L25</f>
        <v>Redução</v>
      </c>
      <c r="O25" s="177"/>
      <c r="AI25" s="29"/>
      <c r="AJ25" s="34"/>
      <c r="AK25" s="51"/>
      <c r="AL25" s="34"/>
    </row>
    <row r="26" spans="1:38" ht="27" thickBot="1" x14ac:dyDescent="0.3">
      <c r="G26" s="12"/>
      <c r="I26" s="33"/>
      <c r="J26" s="190">
        <f>(J21/J24)-1</f>
        <v>6.6469719350073841E-2</v>
      </c>
      <c r="K26" s="191"/>
      <c r="L26" s="196">
        <f>(L21/L24)-1</f>
        <v>-1.4285714285714235E-2</v>
      </c>
      <c r="M26" s="196"/>
      <c r="N26" s="178">
        <f>(N21/N24)-1</f>
        <v>-0.27757760532150777</v>
      </c>
      <c r="O26" s="179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5781</v>
      </c>
      <c r="D6" s="7">
        <f>'Dados - Gráficos'!D21</f>
        <v>19256.539192522912</v>
      </c>
      <c r="E6" s="93">
        <f>'Dados - Gráficos'!E21</f>
        <v>18666.200000000004</v>
      </c>
      <c r="F6" s="118">
        <f>'Dados - Gráficos'!F21</f>
        <v>3.162610453776922E-2</v>
      </c>
      <c r="G6" s="119">
        <f>'Dados - Gráficos'!G21</f>
        <v>3.162610453776922E-2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53</v>
      </c>
      <c r="D7" s="8">
        <f>'Dados - Gráficos'!D22</f>
        <v>190.70309951060361</v>
      </c>
      <c r="E7" s="93">
        <f>'Dados - Gráficos'!E22</f>
        <v>188.00000000000003</v>
      </c>
      <c r="F7" s="120">
        <f>'Dados - Gráficos'!F22</f>
        <v>1.4378188886189247E-2</v>
      </c>
      <c r="G7" s="119">
        <f>'Dados - Gráficos'!G22</f>
        <v>1.4378188886189247E-2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3160</v>
      </c>
      <c r="D8" s="8">
        <f>'Dados - Gráficos'!D23</f>
        <v>11201.133713923249</v>
      </c>
      <c r="E8" s="93">
        <f>'Dados - Gráficos'!E23</f>
        <v>11005.800000000003</v>
      </c>
      <c r="F8" s="120">
        <f>'Dados - Gráficos'!F23</f>
        <v>1.7748252187323611E-2</v>
      </c>
      <c r="G8" s="119">
        <f>'Dados - Gráficos'!G23</f>
        <v>1.7748252187323611E-2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2568</v>
      </c>
      <c r="D9" s="17">
        <f>'Dados - Gráficos'!D24</f>
        <v>7864.7023790890598</v>
      </c>
      <c r="E9" s="94">
        <f>'Dados - Gráficos'!E24</f>
        <v>7472.4000000000005</v>
      </c>
      <c r="F9" s="121">
        <f>'Dados - Gráficos'!F24</f>
        <v>5.2500184557713624E-2</v>
      </c>
      <c r="G9" s="122">
        <f>'Dados - Gráficos'!G24</f>
        <v>5.2500184557713624E-2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2016-04-08T13:03:53Z</dcterms:modified>
</cp:coreProperties>
</file>