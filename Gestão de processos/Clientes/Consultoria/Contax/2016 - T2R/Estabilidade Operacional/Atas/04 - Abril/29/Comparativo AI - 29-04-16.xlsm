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H4" i="7" l="1"/>
  <c r="B2" i="7" l="1"/>
  <c r="B8" i="7" s="1"/>
  <c r="B14" i="7" s="1"/>
  <c r="AI12" i="7"/>
  <c r="AI11" i="7"/>
  <c r="AI10" i="7"/>
  <c r="AH14" i="7"/>
  <c r="AG14" i="7"/>
  <c r="AC14" i="7"/>
  <c r="Y14" i="7"/>
  <c r="U14" i="7"/>
  <c r="Q14" i="7"/>
  <c r="M14" i="7"/>
  <c r="I14" i="7"/>
  <c r="E14" i="7"/>
  <c r="AH8" i="7"/>
  <c r="AG8" i="7"/>
  <c r="AF8" i="7"/>
  <c r="AF14" i="7" s="1"/>
  <c r="AE8" i="7"/>
  <c r="AE14" i="7" s="1"/>
  <c r="AD8" i="7"/>
  <c r="AD14" i="7" s="1"/>
  <c r="AC8" i="7"/>
  <c r="AB8" i="7"/>
  <c r="AB14" i="7" s="1"/>
  <c r="AA8" i="7"/>
  <c r="AA14" i="7" s="1"/>
  <c r="Z8" i="7"/>
  <c r="Z14" i="7" s="1"/>
  <c r="Y8" i="7"/>
  <c r="X8" i="7"/>
  <c r="X14" i="7" s="1"/>
  <c r="W8" i="7"/>
  <c r="W14" i="7" s="1"/>
  <c r="V8" i="7"/>
  <c r="V14" i="7" s="1"/>
  <c r="U8" i="7"/>
  <c r="T8" i="7"/>
  <c r="T14" i="7" s="1"/>
  <c r="S8" i="7"/>
  <c r="S14" i="7" s="1"/>
  <c r="R8" i="7"/>
  <c r="R14" i="7" s="1"/>
  <c r="Q8" i="7"/>
  <c r="P8" i="7"/>
  <c r="P14" i="7" s="1"/>
  <c r="O8" i="7"/>
  <c r="O14" i="7" s="1"/>
  <c r="N8" i="7"/>
  <c r="N14" i="7" s="1"/>
  <c r="M8" i="7"/>
  <c r="L8" i="7"/>
  <c r="L14" i="7" s="1"/>
  <c r="K8" i="7"/>
  <c r="K14" i="7" s="1"/>
  <c r="J8" i="7"/>
  <c r="J14" i="7" s="1"/>
  <c r="I8" i="7"/>
  <c r="H8" i="7"/>
  <c r="H14" i="7" s="1"/>
  <c r="G8" i="7"/>
  <c r="G14" i="7" s="1"/>
  <c r="F8" i="7"/>
  <c r="F14" i="7" s="1"/>
  <c r="E8" i="7"/>
  <c r="D8" i="7"/>
  <c r="D14" i="7" s="1"/>
  <c r="AH3" i="7"/>
  <c r="E4" i="7"/>
  <c r="F4" i="7"/>
  <c r="G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D16" i="7" s="1"/>
  <c r="AH36" i="1"/>
  <c r="AI36" i="1" s="1"/>
  <c r="AJ36" i="1" s="1"/>
  <c r="AK6" i="7" s="1"/>
  <c r="AH35" i="1"/>
  <c r="AI35" i="1" s="1"/>
  <c r="AJ5" i="7" s="1"/>
  <c r="AH34" i="1"/>
  <c r="AI4" i="7" s="1"/>
  <c r="C22" i="7" s="1"/>
  <c r="AJ12" i="7" l="1"/>
  <c r="AK12" i="7" s="1"/>
  <c r="E24" i="7"/>
  <c r="AJ10" i="7"/>
  <c r="AK10" i="7" s="1"/>
  <c r="AK9" i="7" s="1"/>
  <c r="E22" i="7"/>
  <c r="AJ11" i="7"/>
  <c r="AK11" i="7" s="1"/>
  <c r="E23" i="7"/>
  <c r="AJ6" i="7"/>
  <c r="AI6" i="7"/>
  <c r="C24" i="7" s="1"/>
  <c r="AJ35" i="1"/>
  <c r="AK5" i="7" s="1"/>
  <c r="AI5" i="7"/>
  <c r="C23" i="7" s="1"/>
  <c r="AI9" i="7"/>
  <c r="AH33" i="1"/>
  <c r="AI34" i="1"/>
  <c r="AD16" i="7"/>
  <c r="AC16" i="7"/>
  <c r="C21" i="7" l="1"/>
  <c r="AJ9" i="7"/>
  <c r="E21" i="7"/>
  <c r="AJ4" i="7"/>
  <c r="AJ34" i="1"/>
  <c r="AK4" i="7" s="1"/>
  <c r="AI33" i="1"/>
  <c r="AI3" i="7"/>
  <c r="J18" i="7"/>
  <c r="J17" i="7"/>
  <c r="J16" i="7"/>
  <c r="AJ33" i="1" l="1"/>
  <c r="AK3" i="7" s="1"/>
  <c r="AJ3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H16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<sst xmlns="http://schemas.openxmlformats.org/spreadsheetml/2006/main" count="318" uniqueCount="38">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</sst>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1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2" fontId="26" fillId="16" borderId="27" xfId="0" applyNumberFormat="1" applyFont="1" applyFill="1" applyBorder="1" applyAlignment="1">
      <alignment horizontal="center" vertical="center"/>
    </xf>
    <xf numFmtId="0" fontId="16" fillId="16" borderId="27" xfId="0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E5E-4BC4-A52B-E0FB30941BB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5E-4BC4-A52B-E0FB30941BB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6</c:v>
                </c:pt>
                <c:pt idx="2">
                  <c:v>2</c:v>
                </c:pt>
                <c:pt idx="3">
                  <c:v>7</c:v>
                </c:pt>
                <c:pt idx="4">
                  <c:v>12</c:v>
                </c:pt>
                <c:pt idx="5">
                  <c:v>4</c:v>
                </c:pt>
                <c:pt idx="6">
                  <c:v>3</c:v>
                </c:pt>
                <c:pt idx="7">
                  <c:v>7</c:v>
                </c:pt>
                <c:pt idx="8">
                  <c:v>4</c:v>
                </c:pt>
                <c:pt idx="9">
                  <c:v>1</c:v>
                </c:pt>
                <c:pt idx="10">
                  <c:v>13</c:v>
                </c:pt>
                <c:pt idx="11">
                  <c:v>9</c:v>
                </c:pt>
                <c:pt idx="12">
                  <c:v>6</c:v>
                </c:pt>
                <c:pt idx="13">
                  <c:v>11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7</c:v>
                </c:pt>
                <c:pt idx="19">
                  <c:v>13</c:v>
                </c:pt>
                <c:pt idx="20">
                  <c:v>6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  <c:pt idx="24">
                  <c:v>5</c:v>
                </c:pt>
                <c:pt idx="25">
                  <c:v>5</c:v>
                </c:pt>
                <c:pt idx="26">
                  <c:v>9</c:v>
                </c:pt>
                <c:pt idx="27">
                  <c:v>11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5264"/>
        <c:axId val="96518777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10.734094616639478</c:v>
                </c:pt>
                <c:pt idx="1">
                  <c:v>5.213703099510604</c:v>
                </c:pt>
                <c:pt idx="2">
                  <c:v>0.92006525285481233</c:v>
                </c:pt>
                <c:pt idx="3">
                  <c:v>7.0538336052202286</c:v>
                </c:pt>
                <c:pt idx="4">
                  <c:v>7.0538336052202286</c:v>
                </c:pt>
                <c:pt idx="5">
                  <c:v>7.9738988580750414</c:v>
                </c:pt>
                <c:pt idx="6">
                  <c:v>11.34747145187602</c:v>
                </c:pt>
                <c:pt idx="7">
                  <c:v>10.734094616639478</c:v>
                </c:pt>
                <c:pt idx="8">
                  <c:v>5.213703099510604</c:v>
                </c:pt>
                <c:pt idx="9">
                  <c:v>0.92006525285481233</c:v>
                </c:pt>
                <c:pt idx="10">
                  <c:v>7.0538336052202286</c:v>
                </c:pt>
                <c:pt idx="11">
                  <c:v>5.213703099510604</c:v>
                </c:pt>
                <c:pt idx="12">
                  <c:v>7.6672104404567696</c:v>
                </c:pt>
                <c:pt idx="13">
                  <c:v>7.9738988580750414</c:v>
                </c:pt>
                <c:pt idx="14">
                  <c:v>5.5203915171288749</c:v>
                </c:pt>
                <c:pt idx="15">
                  <c:v>2.1468189233278956</c:v>
                </c:pt>
                <c:pt idx="16">
                  <c:v>1.8401305057096247</c:v>
                </c:pt>
                <c:pt idx="17">
                  <c:v>7.9738988580750414</c:v>
                </c:pt>
                <c:pt idx="18">
                  <c:v>11.04078303425775</c:v>
                </c:pt>
                <c:pt idx="19">
                  <c:v>7.0538336052202286</c:v>
                </c:pt>
                <c:pt idx="20">
                  <c:v>8.5872756933115824</c:v>
                </c:pt>
                <c:pt idx="21">
                  <c:v>6.4404567699836868</c:v>
                </c:pt>
                <c:pt idx="22">
                  <c:v>3.0668841761827079</c:v>
                </c:pt>
                <c:pt idx="23">
                  <c:v>1.2267536704730833</c:v>
                </c:pt>
                <c:pt idx="24">
                  <c:v>7.0538336052202286</c:v>
                </c:pt>
                <c:pt idx="25">
                  <c:v>7.9738988580750414</c:v>
                </c:pt>
                <c:pt idx="26">
                  <c:v>6.4404567699836868</c:v>
                </c:pt>
                <c:pt idx="27">
                  <c:v>7.3605220228384987</c:v>
                </c:pt>
                <c:pt idx="28">
                  <c:v>6.1337683523654158</c:v>
                </c:pt>
                <c:pt idx="29">
                  <c:v>3.0668841761827079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5264"/>
        <c:axId val="965187776"/>
      </c:lineChart>
      <c:dateAx>
        <c:axId val="53511526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187776"/>
        <c:crosses val="autoZero"/>
        <c:auto val="1"/>
        <c:lblOffset val="100"/>
        <c:baseTimeUnit val="days"/>
      </c:dateAx>
      <c:valAx>
        <c:axId val="96518777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5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655-4BD4-AF07-111D513ADE1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655-4BD4-AF07-111D513ADE1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539</c:v>
                </c:pt>
                <c:pt idx="1">
                  <c:v>121</c:v>
                </c:pt>
                <c:pt idx="2">
                  <c:v>44</c:v>
                </c:pt>
                <c:pt idx="3">
                  <c:v>585</c:v>
                </c:pt>
                <c:pt idx="4">
                  <c:v>543</c:v>
                </c:pt>
                <c:pt idx="5">
                  <c:v>433</c:v>
                </c:pt>
                <c:pt idx="6">
                  <c:v>502</c:v>
                </c:pt>
                <c:pt idx="7">
                  <c:v>482</c:v>
                </c:pt>
                <c:pt idx="8">
                  <c:v>115</c:v>
                </c:pt>
                <c:pt idx="9">
                  <c:v>34</c:v>
                </c:pt>
                <c:pt idx="10">
                  <c:v>523</c:v>
                </c:pt>
                <c:pt idx="11">
                  <c:v>566</c:v>
                </c:pt>
                <c:pt idx="12">
                  <c:v>562</c:v>
                </c:pt>
                <c:pt idx="13">
                  <c:v>481</c:v>
                </c:pt>
                <c:pt idx="14">
                  <c:v>386</c:v>
                </c:pt>
                <c:pt idx="15">
                  <c:v>99</c:v>
                </c:pt>
                <c:pt idx="16">
                  <c:v>20</c:v>
                </c:pt>
                <c:pt idx="17">
                  <c:v>520</c:v>
                </c:pt>
                <c:pt idx="18">
                  <c:v>457</c:v>
                </c:pt>
                <c:pt idx="19">
                  <c:v>374</c:v>
                </c:pt>
                <c:pt idx="20">
                  <c:v>106</c:v>
                </c:pt>
                <c:pt idx="21">
                  <c:v>391</c:v>
                </c:pt>
                <c:pt idx="22">
                  <c:v>98</c:v>
                </c:pt>
                <c:pt idx="23">
                  <c:v>24</c:v>
                </c:pt>
                <c:pt idx="24">
                  <c:v>558</c:v>
                </c:pt>
                <c:pt idx="25">
                  <c:v>440</c:v>
                </c:pt>
                <c:pt idx="26">
                  <c:v>509</c:v>
                </c:pt>
                <c:pt idx="27">
                  <c:v>526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7312"/>
        <c:axId val="9818702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482.2818585474152</c:v>
                </c:pt>
                <c:pt idx="1">
                  <c:v>121.29766888677449</c:v>
                </c:pt>
                <c:pt idx="2">
                  <c:v>62.539565493181094</c:v>
                </c:pt>
                <c:pt idx="3">
                  <c:v>609.68804313352371</c:v>
                </c:pt>
                <c:pt idx="4">
                  <c:v>605.32481763399937</c:v>
                </c:pt>
                <c:pt idx="5">
                  <c:v>599.79806533460192</c:v>
                </c:pt>
                <c:pt idx="6">
                  <c:v>483.7362670472566</c:v>
                </c:pt>
                <c:pt idx="7">
                  <c:v>482.2818585474152</c:v>
                </c:pt>
                <c:pt idx="8">
                  <c:v>121.29766888677449</c:v>
                </c:pt>
                <c:pt idx="9">
                  <c:v>62.539565493181094</c:v>
                </c:pt>
                <c:pt idx="10">
                  <c:v>423.81463685378998</c:v>
                </c:pt>
                <c:pt idx="11">
                  <c:v>340.91335236282907</c:v>
                </c:pt>
                <c:pt idx="12">
                  <c:v>494.49888994608307</c:v>
                </c:pt>
                <c:pt idx="13">
                  <c:v>475.8824611481129</c:v>
                </c:pt>
                <c:pt idx="14">
                  <c:v>450.5757532508722</c:v>
                </c:pt>
                <c:pt idx="15">
                  <c:v>121.58855058674281</c:v>
                </c:pt>
                <c:pt idx="16">
                  <c:v>30.833460196638129</c:v>
                </c:pt>
                <c:pt idx="17">
                  <c:v>569.25548683793215</c:v>
                </c:pt>
                <c:pt idx="18">
                  <c:v>494.20800824611473</c:v>
                </c:pt>
                <c:pt idx="19">
                  <c:v>437.77695845226776</c:v>
                </c:pt>
                <c:pt idx="20">
                  <c:v>481.11833174754207</c:v>
                </c:pt>
                <c:pt idx="21">
                  <c:v>396.47175705677142</c:v>
                </c:pt>
                <c:pt idx="22">
                  <c:v>117.8070884871551</c:v>
                </c:pt>
                <c:pt idx="23">
                  <c:v>43.923136695210914</c:v>
                </c:pt>
                <c:pt idx="24">
                  <c:v>563.14697113859825</c:v>
                </c:pt>
                <c:pt idx="25">
                  <c:v>547.730241040279</c:v>
                </c:pt>
                <c:pt idx="26">
                  <c:v>433.41373295274349</c:v>
                </c:pt>
                <c:pt idx="27">
                  <c:v>496.24418014589276</c:v>
                </c:pt>
                <c:pt idx="28">
                  <c:v>336.84100856327308</c:v>
                </c:pt>
                <c:pt idx="29">
                  <c:v>118.97061528702822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7312"/>
        <c:axId val="981870272"/>
      </c:lineChart>
      <c:dateAx>
        <c:axId val="53511731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0272"/>
        <c:crosses val="autoZero"/>
        <c:auto val="1"/>
        <c:lblOffset val="100"/>
        <c:baseTimeUnit val="days"/>
      </c:dateAx>
      <c:valAx>
        <c:axId val="9818702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7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936-4A8D-BE59-659F419EE3C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936-4A8D-BE59-659F419EE3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497</c:v>
                </c:pt>
                <c:pt idx="1">
                  <c:v>153</c:v>
                </c:pt>
                <c:pt idx="2">
                  <c:v>39</c:v>
                </c:pt>
                <c:pt idx="3">
                  <c:v>582</c:v>
                </c:pt>
                <c:pt idx="4">
                  <c:v>488</c:v>
                </c:pt>
                <c:pt idx="5">
                  <c:v>443</c:v>
                </c:pt>
                <c:pt idx="6">
                  <c:v>425</c:v>
                </c:pt>
                <c:pt idx="7">
                  <c:v>408</c:v>
                </c:pt>
                <c:pt idx="8">
                  <c:v>108</c:v>
                </c:pt>
                <c:pt idx="9">
                  <c:v>51</c:v>
                </c:pt>
                <c:pt idx="10">
                  <c:v>554</c:v>
                </c:pt>
                <c:pt idx="11">
                  <c:v>517</c:v>
                </c:pt>
                <c:pt idx="12">
                  <c:v>451</c:v>
                </c:pt>
                <c:pt idx="13">
                  <c:v>382</c:v>
                </c:pt>
                <c:pt idx="14">
                  <c:v>335</c:v>
                </c:pt>
                <c:pt idx="15">
                  <c:v>87</c:v>
                </c:pt>
                <c:pt idx="16">
                  <c:v>34</c:v>
                </c:pt>
                <c:pt idx="17">
                  <c:v>444</c:v>
                </c:pt>
                <c:pt idx="18">
                  <c:v>437</c:v>
                </c:pt>
                <c:pt idx="19">
                  <c:v>370</c:v>
                </c:pt>
                <c:pt idx="20">
                  <c:v>90</c:v>
                </c:pt>
                <c:pt idx="21">
                  <c:v>286</c:v>
                </c:pt>
                <c:pt idx="22">
                  <c:v>149</c:v>
                </c:pt>
                <c:pt idx="23">
                  <c:v>44</c:v>
                </c:pt>
                <c:pt idx="24">
                  <c:v>445</c:v>
                </c:pt>
                <c:pt idx="25">
                  <c:v>412</c:v>
                </c:pt>
                <c:pt idx="26">
                  <c:v>346</c:v>
                </c:pt>
                <c:pt idx="27">
                  <c:v>544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60320"/>
        <c:axId val="98187315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327.48035686335885</c:v>
                </c:pt>
                <c:pt idx="1">
                  <c:v>92.688636719361412</c:v>
                </c:pt>
                <c:pt idx="2">
                  <c:v>42.689403662544997</c:v>
                </c:pt>
                <c:pt idx="3">
                  <c:v>415.49070277038663</c:v>
                </c:pt>
                <c:pt idx="4">
                  <c:v>509.34891219283134</c:v>
                </c:pt>
                <c:pt idx="5">
                  <c:v>411.39719830959467</c:v>
                </c:pt>
                <c:pt idx="6">
                  <c:v>376.60241039286279</c:v>
                </c:pt>
                <c:pt idx="7">
                  <c:v>327.48035686335885</c:v>
                </c:pt>
                <c:pt idx="8">
                  <c:v>92.688636719361412</c:v>
                </c:pt>
                <c:pt idx="9">
                  <c:v>42.689403662544997</c:v>
                </c:pt>
                <c:pt idx="10">
                  <c:v>323.386852402567</c:v>
                </c:pt>
                <c:pt idx="11">
                  <c:v>261.10710596337452</c:v>
                </c:pt>
                <c:pt idx="12">
                  <c:v>344.14676788229769</c:v>
                </c:pt>
                <c:pt idx="13">
                  <c:v>317.5389888871498</c:v>
                </c:pt>
                <c:pt idx="14">
                  <c:v>267.53975583033338</c:v>
                </c:pt>
                <c:pt idx="15">
                  <c:v>79.238550633902008</c:v>
                </c:pt>
                <c:pt idx="16">
                  <c:v>35.671967444044455</c:v>
                </c:pt>
                <c:pt idx="17">
                  <c:v>385.66659884175925</c:v>
                </c:pt>
                <c:pt idx="18">
                  <c:v>304.38129597746132</c:v>
                </c:pt>
                <c:pt idx="19">
                  <c:v>278.06591015808419</c:v>
                </c:pt>
                <c:pt idx="20">
                  <c:v>288.29967131006413</c:v>
                </c:pt>
                <c:pt idx="21">
                  <c:v>255.55163562372826</c:v>
                </c:pt>
                <c:pt idx="22">
                  <c:v>97.951713883236792</c:v>
                </c:pt>
                <c:pt idx="23">
                  <c:v>37.718719674440443</c:v>
                </c:pt>
                <c:pt idx="24">
                  <c:v>343.85437470652693</c:v>
                </c:pt>
                <c:pt idx="25">
                  <c:v>306.72044138362816</c:v>
                </c:pt>
                <c:pt idx="26">
                  <c:v>299.70300516512754</c:v>
                </c:pt>
                <c:pt idx="27">
                  <c:v>282.15941461887621</c:v>
                </c:pt>
                <c:pt idx="28">
                  <c:v>225.43513851933014</c:v>
                </c:pt>
                <c:pt idx="29">
                  <c:v>99.706072937861947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60320"/>
        <c:axId val="981873152"/>
      </c:lineChart>
      <c:dateAx>
        <c:axId val="5351603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3152"/>
        <c:crosses val="autoZero"/>
        <c:auto val="1"/>
        <c:lblOffset val="100"/>
        <c:baseTimeUnit val="days"/>
      </c:dateAx>
      <c:valAx>
        <c:axId val="9818731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603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zId9XTUXVS9qbuv+fnASdjo+yzlUzi2k65jFyCjeLr65yiA85rNOUaCnVHfvV+X4iJEXLP1sFBuHGxjVSuk4eA==" saltValue="21pRKVTntNkTHb6Zh1i+c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QVTVHKPFlo368gG1K5NaK3gy7xRVowZi4s5YjTIxxcfikoPsgOlKPmZPBqZ4zjz9WllxY+bQxb1NeAJCj15ghg==" saltValue="hk12HBrjUss7RDVfx4ezy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rt9dOI66BNALWENRrcz7n0qO63m3Q99/r0kct0E3dCgIyFKHBd5oZZ/uG5APbpc7o5MMtV+rKxXnTwPgvA72jQ==" saltValue="NVwNmNBdHqmu7zeS7fwSs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29308</xdr:colOff>
      <xdr:row>36</xdr:row>
      <xdr:rowOff>175846</xdr:rowOff>
    </xdr:from>
    <xdr:to>
      <xdr:col>2</xdr:col>
      <xdr:colOff>175847</xdr:colOff>
      <xdr:row>38</xdr:row>
      <xdr:rowOff>131885</xdr:rowOff>
    </xdr:to>
    <xdr:sp macro="[0]!formatar_graficos" textlink="">
      <xdr:nvSpPr>
        <xdr:cNvPr id="2" name="Retângulo de cantos arredondados 1"/>
        <xdr:cNvSpPr/>
      </xdr:nvSpPr>
      <xdr:spPr>
        <a:xfrm>
          <a:off x="117231" y="6828692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28" zoomScale="130" zoomScaleNormal="130" workbookViewId="0">
      <selection activeCell="C36" sqref="C36:AD36"/>
    </sheetView>
  </sheetViews>
  <sheetFormatPr defaultColWidth="9.140625" defaultRowHeight="15" x14ac:dyDescent="0.25"/>
  <cols>
    <col min="1" max="1" width="1.28515625" style="169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9" bestFit="1" customWidth="1"/>
    <col min="40" max="16384" width="9.140625" style="169"/>
  </cols>
  <sheetData>
    <row r="1" spans="2:36" ht="15.75" thickBot="1" x14ac:dyDescent="0.3"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19330</v>
      </c>
      <c r="AI33" s="71">
        <f>AH33/COUNTA(C34:AG34)</f>
        <v>690.35714285714289</v>
      </c>
      <c r="AJ33" s="55">
        <f>AI33*31</f>
        <v>21401.071428571431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11</v>
      </c>
      <c r="AE34" s="24"/>
      <c r="AF34" s="24"/>
      <c r="AG34" s="157"/>
      <c r="AH34" s="53">
        <f>SUM(C34:AG34)</f>
        <v>171</v>
      </c>
      <c r="AI34" s="38">
        <f>AH34/COUNTA(C34:AG34)</f>
        <v>6.1071428571428568</v>
      </c>
      <c r="AJ34" s="56">
        <f>AI34*30</f>
        <v>183.21428571428569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585</v>
      </c>
      <c r="G35" s="156">
        <v>543</v>
      </c>
      <c r="H35" s="156">
        <v>433</v>
      </c>
      <c r="I35" s="156">
        <v>502</v>
      </c>
      <c r="J35" s="156">
        <v>482</v>
      </c>
      <c r="K35" s="156">
        <v>115</v>
      </c>
      <c r="L35" s="156">
        <v>34</v>
      </c>
      <c r="M35" s="156">
        <v>523</v>
      </c>
      <c r="N35" s="156">
        <v>566</v>
      </c>
      <c r="O35" s="156">
        <v>562</v>
      </c>
      <c r="P35" s="156">
        <v>481</v>
      </c>
      <c r="Q35" s="24">
        <v>386</v>
      </c>
      <c r="R35" s="24">
        <v>99</v>
      </c>
      <c r="S35" s="24">
        <v>20</v>
      </c>
      <c r="T35" s="24">
        <v>520</v>
      </c>
      <c r="U35" s="24">
        <v>457</v>
      </c>
      <c r="V35" s="24">
        <v>374</v>
      </c>
      <c r="W35" s="24">
        <v>106</v>
      </c>
      <c r="X35" s="24">
        <v>391</v>
      </c>
      <c r="Y35" s="24">
        <v>98</v>
      </c>
      <c r="Z35" s="24">
        <v>24</v>
      </c>
      <c r="AA35" s="24">
        <v>558</v>
      </c>
      <c r="AB35" s="24">
        <v>440</v>
      </c>
      <c r="AC35" s="24">
        <v>509</v>
      </c>
      <c r="AD35" s="24">
        <v>526</v>
      </c>
      <c r="AE35" s="24"/>
      <c r="AF35" s="24"/>
      <c r="AG35" s="157"/>
      <c r="AH35" s="53">
        <f>SUM(C35:AG35)</f>
        <v>10038</v>
      </c>
      <c r="AI35" s="38">
        <f>AH35/COUNTA(C35:AG35)</f>
        <v>358.5</v>
      </c>
      <c r="AJ35" s="56">
        <f>AI35*30</f>
        <v>10755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488</v>
      </c>
      <c r="H36" s="155">
        <v>443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517</v>
      </c>
      <c r="O36" s="155">
        <v>451</v>
      </c>
      <c r="P36" s="155">
        <v>382</v>
      </c>
      <c r="Q36" s="25">
        <v>335</v>
      </c>
      <c r="R36" s="25">
        <v>87</v>
      </c>
      <c r="S36" s="25">
        <v>34</v>
      </c>
      <c r="T36" s="25">
        <v>444</v>
      </c>
      <c r="U36" s="25">
        <v>437</v>
      </c>
      <c r="V36" s="25">
        <v>370</v>
      </c>
      <c r="W36" s="25">
        <v>90</v>
      </c>
      <c r="X36" s="25">
        <v>286</v>
      </c>
      <c r="Y36" s="25">
        <v>149</v>
      </c>
      <c r="Z36" s="25">
        <v>44</v>
      </c>
      <c r="AA36" s="25">
        <v>445</v>
      </c>
      <c r="AB36" s="25">
        <v>412</v>
      </c>
      <c r="AC36" s="25">
        <v>346</v>
      </c>
      <c r="AD36" s="25">
        <v>544</v>
      </c>
      <c r="AE36" s="25"/>
      <c r="AF36" s="25"/>
      <c r="AG36" s="159"/>
      <c r="AH36" s="54">
        <f>SUM(C36:AG36)</f>
        <v>9121</v>
      </c>
      <c r="AI36" s="37">
        <f>AH36/COUNTA(C36:AG36)</f>
        <v>325.75</v>
      </c>
      <c r="AJ36" s="57">
        <f>AI36*30</f>
        <v>9772.5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B1" zoomScaleNormal="100" workbookViewId="0">
      <selection activeCell="B20" sqref="B20:G24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9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</row>
    <row r="2" spans="1:16384" ht="15" customHeight="1" x14ac:dyDescent="0.25">
      <c r="B2" s="188" t="str">
        <f>Indicadores!B32</f>
        <v>Abr - 30 dias</v>
      </c>
      <c r="C2" s="189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90" t="s">
        <v>22</v>
      </c>
      <c r="C3" s="191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19330</v>
      </c>
      <c r="AJ3" s="66">
        <f>Indicadores!AI33</f>
        <v>690.35714285714289</v>
      </c>
      <c r="AK3" s="55">
        <f>Indicadores!AJ33</f>
        <v>21401.071428571431</v>
      </c>
    </row>
    <row r="4" spans="1:16384" x14ac:dyDescent="0.25">
      <c r="B4" s="192" t="s">
        <v>19</v>
      </c>
      <c r="C4" s="193"/>
      <c r="D4" s="39">
        <f>IF(Indicadores!C34,Indicadores!C34,"")</f>
        <v>6</v>
      </c>
      <c r="E4" s="39">
        <f>IF(Indicadores!D34,Indicadores!D34,"")</f>
        <v>6</v>
      </c>
      <c r="F4" s="39">
        <f>IF(Indicadores!E34,Indicadores!E34,"")</f>
        <v>2</v>
      </c>
      <c r="G4" s="39">
        <f>IF(Indicadores!F34,Indicadores!F34,"")</f>
        <v>7</v>
      </c>
      <c r="H4" s="39">
        <f>IF(Indicadores!G34,Indicadores!G34,"")</f>
        <v>12</v>
      </c>
      <c r="I4" s="39">
        <f>IF(Indicadores!H34,Indicadores!H34,"")</f>
        <v>4</v>
      </c>
      <c r="J4" s="39">
        <f>IF(Indicadores!I34,Indicadores!I34,"")</f>
        <v>3</v>
      </c>
      <c r="K4" s="39">
        <f>IF(Indicadores!J34,Indicadores!J34,"")</f>
        <v>7</v>
      </c>
      <c r="L4" s="39">
        <f>IF(Indicadores!K34,Indicadores!K34,"")</f>
        <v>4</v>
      </c>
      <c r="M4" s="39">
        <f>IF(Indicadores!L34,Indicadores!L34,"")</f>
        <v>1</v>
      </c>
      <c r="N4" s="39">
        <f>IF(Indicadores!M34,Indicadores!M34,"")</f>
        <v>13</v>
      </c>
      <c r="O4" s="39">
        <f>IF(Indicadores!N34,Indicadores!N34,"")</f>
        <v>9</v>
      </c>
      <c r="P4" s="39">
        <f>IF(Indicadores!O34,Indicadores!O34,"")</f>
        <v>6</v>
      </c>
      <c r="Q4" s="39">
        <f>IF(Indicadores!P34,Indicadores!P34,"")</f>
        <v>11</v>
      </c>
      <c r="R4" s="39">
        <f>IF(Indicadores!Q34,Indicadores!Q34,"")</f>
        <v>9</v>
      </c>
      <c r="S4" s="39" t="str">
        <f>IF(Indicadores!R34,Indicadores!R34,"")</f>
        <v/>
      </c>
      <c r="T4" s="39" t="str">
        <f>IF(Indicadores!S34,Indicadores!S34,"")</f>
        <v/>
      </c>
      <c r="U4" s="39">
        <f>IF(Indicadores!T34,Indicadores!T34,"")</f>
        <v>6</v>
      </c>
      <c r="V4" s="39">
        <f>IF(Indicadores!U34,Indicadores!U34,"")</f>
        <v>7</v>
      </c>
      <c r="W4" s="39">
        <f>IF(Indicadores!V34,Indicadores!V34,"")</f>
        <v>13</v>
      </c>
      <c r="X4" s="39">
        <f>IF(Indicadores!W34,Indicadores!W34,"")</f>
        <v>6</v>
      </c>
      <c r="Y4" s="39">
        <f>IF(Indicadores!X34,Indicadores!X34,"")</f>
        <v>8</v>
      </c>
      <c r="Z4" s="39">
        <f>IF(Indicadores!Y34,Indicadores!Y34,"")</f>
        <v>1</v>
      </c>
      <c r="AA4" s="39" t="str">
        <f>IF(Indicadores!Z34,Indicadores!Z34,"")</f>
        <v/>
      </c>
      <c r="AB4" s="39">
        <f>IF(Indicadores!AA34,Indicadores!AA34,"")</f>
        <v>5</v>
      </c>
      <c r="AC4" s="39">
        <f>IF(Indicadores!AB34,Indicadores!AB34,"")</f>
        <v>5</v>
      </c>
      <c r="AD4" s="39">
        <f>IF(Indicadores!AC34,Indicadores!AC34,"")</f>
        <v>9</v>
      </c>
      <c r="AE4" s="39">
        <f>IF(Indicadores!AD34,Indicadores!AD34,"")</f>
        <v>11</v>
      </c>
      <c r="AF4" s="39" t="str">
        <f>IF(Indicadores!AE34,Indicadores!AE34,"")</f>
        <v/>
      </c>
      <c r="AG4" s="39" t="str">
        <f>IF(Indicadores!AF34,Indicadores!AF34,"")</f>
        <v/>
      </c>
      <c r="AH4" s="39"/>
      <c r="AI4" s="53">
        <f>Indicadores!AH34</f>
        <v>171</v>
      </c>
      <c r="AJ4" s="75">
        <f>Indicadores!AI34</f>
        <v>6.1071428571428568</v>
      </c>
      <c r="AK4" s="56">
        <f>Indicadores!AJ34</f>
        <v>183.21428571428569</v>
      </c>
    </row>
    <row r="5" spans="1:16384" x14ac:dyDescent="0.25">
      <c r="B5" s="192" t="s">
        <v>20</v>
      </c>
      <c r="C5" s="193"/>
      <c r="D5" s="39">
        <f>IF(Indicadores!C35,Indicadores!C35,"")</f>
        <v>539</v>
      </c>
      <c r="E5" s="39">
        <f>IF(Indicadores!D35,Indicadores!D35,"")</f>
        <v>121</v>
      </c>
      <c r="F5" s="39">
        <f>IF(Indicadores!E35,Indicadores!E35,"")</f>
        <v>44</v>
      </c>
      <c r="G5" s="39">
        <f>IF(Indicadores!F35,Indicadores!F35,"")</f>
        <v>585</v>
      </c>
      <c r="H5" s="39">
        <f>IF(Indicadores!G35,Indicadores!G35,"")</f>
        <v>543</v>
      </c>
      <c r="I5" s="39">
        <f>IF(Indicadores!H35,Indicadores!H35,"")</f>
        <v>433</v>
      </c>
      <c r="J5" s="39">
        <f>IF(Indicadores!I35,Indicadores!I35,"")</f>
        <v>502</v>
      </c>
      <c r="K5" s="39">
        <f>IF(Indicadores!J35,Indicadores!J35,"")</f>
        <v>482</v>
      </c>
      <c r="L5" s="39">
        <f>IF(Indicadores!K35,Indicadores!K35,"")</f>
        <v>115</v>
      </c>
      <c r="M5" s="39">
        <f>IF(Indicadores!L35,Indicadores!L35,"")</f>
        <v>34</v>
      </c>
      <c r="N5" s="39">
        <f>IF(Indicadores!M35,Indicadores!M35,"")</f>
        <v>523</v>
      </c>
      <c r="O5" s="39">
        <f>IF(Indicadores!N35,Indicadores!N35,"")</f>
        <v>566</v>
      </c>
      <c r="P5" s="39">
        <f>IF(Indicadores!O35,Indicadores!O35,"")</f>
        <v>562</v>
      </c>
      <c r="Q5" s="39">
        <f>IF(Indicadores!P35,Indicadores!P35,"")</f>
        <v>481</v>
      </c>
      <c r="R5" s="39">
        <f>IF(Indicadores!Q35,Indicadores!Q35,"")</f>
        <v>386</v>
      </c>
      <c r="S5" s="39">
        <f>IF(Indicadores!R35,Indicadores!R35,"")</f>
        <v>99</v>
      </c>
      <c r="T5" s="39">
        <f>IF(Indicadores!S35,Indicadores!S35,"")</f>
        <v>20</v>
      </c>
      <c r="U5" s="39">
        <f>IF(Indicadores!T35,Indicadores!T35,"")</f>
        <v>520</v>
      </c>
      <c r="V5" s="39">
        <f>IF(Indicadores!U35,Indicadores!U35,"")</f>
        <v>457</v>
      </c>
      <c r="W5" s="39">
        <f>IF(Indicadores!V35,Indicadores!V35,"")</f>
        <v>374</v>
      </c>
      <c r="X5" s="39">
        <f>IF(Indicadores!W35,Indicadores!W35,"")</f>
        <v>106</v>
      </c>
      <c r="Y5" s="39">
        <f>IF(Indicadores!X35,Indicadores!X35,"")</f>
        <v>391</v>
      </c>
      <c r="Z5" s="39">
        <f>IF(Indicadores!Y35,Indicadores!Y35,"")</f>
        <v>98</v>
      </c>
      <c r="AA5" s="39">
        <f>IF(Indicadores!Z35,Indicadores!Z35,"")</f>
        <v>24</v>
      </c>
      <c r="AB5" s="39">
        <f>IF(Indicadores!AA35,Indicadores!AA35,"")</f>
        <v>558</v>
      </c>
      <c r="AC5" s="39">
        <f>IF(Indicadores!AB35,Indicadores!AB35,"")</f>
        <v>440</v>
      </c>
      <c r="AD5" s="39">
        <f>IF(Indicadores!AC35,Indicadores!AC35,"")</f>
        <v>509</v>
      </c>
      <c r="AE5" s="39">
        <f>IF(Indicadores!AD35,Indicadores!AD35,"")</f>
        <v>526</v>
      </c>
      <c r="AF5" s="39" t="str">
        <f>IF(Indicadores!AE35,Indicadores!AE35,"")</f>
        <v/>
      </c>
      <c r="AG5" s="39" t="str">
        <f>IF(Indicadores!AF35,Indicadores!AF35,"")</f>
        <v/>
      </c>
      <c r="AH5" s="39"/>
      <c r="AI5" s="53">
        <f>Indicadores!AH35</f>
        <v>10038</v>
      </c>
      <c r="AJ5" s="75">
        <f>Indicadores!AI35</f>
        <v>358.5</v>
      </c>
      <c r="AK5" s="56">
        <f>Indicadores!AJ35</f>
        <v>10755</v>
      </c>
    </row>
    <row r="6" spans="1:16384" ht="15.75" thickBot="1" x14ac:dyDescent="0.3">
      <c r="B6" s="194" t="s">
        <v>21</v>
      </c>
      <c r="C6" s="195"/>
      <c r="D6" s="40">
        <f>IF(Indicadores!C36,Indicadores!C36,"")</f>
        <v>497</v>
      </c>
      <c r="E6" s="40">
        <f>IF(Indicadores!D36,Indicadores!D36,"")</f>
        <v>153</v>
      </c>
      <c r="F6" s="40">
        <f>IF(Indicadores!E36,Indicadores!E36,"")</f>
        <v>39</v>
      </c>
      <c r="G6" s="40">
        <f>IF(Indicadores!F36,Indicadores!F36,"")</f>
        <v>582</v>
      </c>
      <c r="H6" s="40">
        <f>IF(Indicadores!G36,Indicadores!G36,"")</f>
        <v>488</v>
      </c>
      <c r="I6" s="40">
        <f>IF(Indicadores!H36,Indicadores!H36,"")</f>
        <v>443</v>
      </c>
      <c r="J6" s="40">
        <f>IF(Indicadores!I36,Indicadores!I36,"")</f>
        <v>425</v>
      </c>
      <c r="K6" s="40">
        <f>IF(Indicadores!J36,Indicadores!J36,"")</f>
        <v>408</v>
      </c>
      <c r="L6" s="40">
        <f>IF(Indicadores!K36,Indicadores!K36,"")</f>
        <v>108</v>
      </c>
      <c r="M6" s="40">
        <f>IF(Indicadores!L36,Indicadores!L36,"")</f>
        <v>51</v>
      </c>
      <c r="N6" s="40">
        <f>IF(Indicadores!M36,Indicadores!M36,"")</f>
        <v>554</v>
      </c>
      <c r="O6" s="40">
        <f>IF(Indicadores!N36,Indicadores!N36,"")</f>
        <v>517</v>
      </c>
      <c r="P6" s="40">
        <f>IF(Indicadores!O36,Indicadores!O36,"")</f>
        <v>451</v>
      </c>
      <c r="Q6" s="40">
        <f>IF(Indicadores!P36,Indicadores!P36,"")</f>
        <v>382</v>
      </c>
      <c r="R6" s="40">
        <f>IF(Indicadores!Q36,Indicadores!Q36,"")</f>
        <v>335</v>
      </c>
      <c r="S6" s="40">
        <f>IF(Indicadores!R36,Indicadores!R36,"")</f>
        <v>87</v>
      </c>
      <c r="T6" s="40">
        <f>IF(Indicadores!S36,Indicadores!S36,"")</f>
        <v>34</v>
      </c>
      <c r="U6" s="40">
        <f>IF(Indicadores!T36,Indicadores!T36,"")</f>
        <v>444</v>
      </c>
      <c r="V6" s="40">
        <f>IF(Indicadores!U36,Indicadores!U36,"")</f>
        <v>437</v>
      </c>
      <c r="W6" s="40">
        <f>IF(Indicadores!V36,Indicadores!V36,"")</f>
        <v>370</v>
      </c>
      <c r="X6" s="40">
        <f>IF(Indicadores!W36,Indicadores!W36,"")</f>
        <v>90</v>
      </c>
      <c r="Y6" s="40">
        <f>IF(Indicadores!X36,Indicadores!X36,"")</f>
        <v>286</v>
      </c>
      <c r="Z6" s="40">
        <f>IF(Indicadores!Y36,Indicadores!Y36,"")</f>
        <v>149</v>
      </c>
      <c r="AA6" s="40">
        <f>IF(Indicadores!Z36,Indicadores!Z36,"")</f>
        <v>44</v>
      </c>
      <c r="AB6" s="40">
        <f>IF(Indicadores!AA36,Indicadores!AA36,"")</f>
        <v>445</v>
      </c>
      <c r="AC6" s="40">
        <f>IF(Indicadores!AB36,Indicadores!AB36,"")</f>
        <v>412</v>
      </c>
      <c r="AD6" s="40">
        <f>IF(Indicadores!AC36,Indicadores!AC36,"")</f>
        <v>346</v>
      </c>
      <c r="AE6" s="40">
        <f>IF(Indicadores!AD36,Indicadores!AD36,"")</f>
        <v>544</v>
      </c>
      <c r="AF6" s="40" t="str">
        <f>IF(Indicadores!AE36,Indicadores!AE36,"")</f>
        <v/>
      </c>
      <c r="AG6" s="40" t="str">
        <f>IF(Indicadores!AF36,Indicadores!AF36,"")</f>
        <v/>
      </c>
      <c r="AH6" s="40"/>
      <c r="AI6" s="54">
        <f>Indicadores!AH36</f>
        <v>9121</v>
      </c>
      <c r="AJ6" s="42">
        <f>Indicadores!AI36</f>
        <v>325.75</v>
      </c>
      <c r="AK6" s="56">
        <f>Indicadores!AJ36</f>
        <v>9772.5</v>
      </c>
    </row>
    <row r="7" spans="1:16384" ht="15.75" thickBot="1" x14ac:dyDescent="0.3">
      <c r="C7" s="173"/>
      <c r="D7" s="174"/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  <c r="AD7" s="174"/>
      <c r="AE7" s="174"/>
      <c r="AF7" s="174"/>
      <c r="AG7" s="174"/>
      <c r="AH7" s="174"/>
      <c r="AI7" s="175"/>
      <c r="AJ7" s="175"/>
      <c r="AK7" s="175"/>
    </row>
    <row r="8" spans="1:16384" ht="15" customHeight="1" x14ac:dyDescent="0.25">
      <c r="B8" s="188" t="str">
        <f>B2</f>
        <v>Abr - 30 dias</v>
      </c>
      <c r="C8" s="189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90" t="s">
        <v>27</v>
      </c>
      <c r="C9" s="191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18666.200000000004</v>
      </c>
      <c r="AJ9" s="66">
        <f>SUM(AJ10:AJ12)</f>
        <v>602.13548387096785</v>
      </c>
      <c r="AK9" s="55">
        <f>SUM(AK10:AK12)</f>
        <v>18064.064516129038</v>
      </c>
    </row>
    <row r="10" spans="1:16384" x14ac:dyDescent="0.25">
      <c r="B10" s="101" t="s">
        <v>19</v>
      </c>
      <c r="C10" s="103" t="s">
        <v>35</v>
      </c>
      <c r="D10" s="51">
        <v>10.734094616639478</v>
      </c>
      <c r="E10" s="51">
        <v>5.213703099510604</v>
      </c>
      <c r="F10" s="51">
        <v>0.92006525285481233</v>
      </c>
      <c r="G10" s="51">
        <v>7.0538336052202286</v>
      </c>
      <c r="H10" s="51">
        <v>7.0538336052202286</v>
      </c>
      <c r="I10" s="51">
        <v>7.9738988580750414</v>
      </c>
      <c r="J10" s="51">
        <v>11.34747145187602</v>
      </c>
      <c r="K10" s="51">
        <v>10.734094616639478</v>
      </c>
      <c r="L10" s="51">
        <v>5.213703099510604</v>
      </c>
      <c r="M10" s="51">
        <v>0.92006525285481233</v>
      </c>
      <c r="N10" s="51">
        <v>7.0538336052202286</v>
      </c>
      <c r="O10" s="51">
        <v>5.213703099510604</v>
      </c>
      <c r="P10" s="51">
        <v>7.6672104404567696</v>
      </c>
      <c r="Q10" s="51">
        <v>7.9738988580750414</v>
      </c>
      <c r="R10" s="51">
        <v>5.5203915171288749</v>
      </c>
      <c r="S10" s="51">
        <v>2.1468189233278956</v>
      </c>
      <c r="T10" s="51">
        <v>1.8401305057096247</v>
      </c>
      <c r="U10" s="51">
        <v>7.9738988580750414</v>
      </c>
      <c r="V10" s="51">
        <v>11.04078303425775</v>
      </c>
      <c r="W10" s="51">
        <v>7.0538336052202286</v>
      </c>
      <c r="X10" s="51">
        <v>8.5872756933115824</v>
      </c>
      <c r="Y10" s="51">
        <v>6.4404567699836868</v>
      </c>
      <c r="Z10" s="51">
        <v>3.0668841761827079</v>
      </c>
      <c r="AA10" s="51">
        <v>1.2267536704730833</v>
      </c>
      <c r="AB10" s="51">
        <v>7.0538336052202286</v>
      </c>
      <c r="AC10" s="51">
        <v>7.9738988580750414</v>
      </c>
      <c r="AD10" s="51">
        <v>6.4404567699836868</v>
      </c>
      <c r="AE10" s="51">
        <v>7.3605220228384987</v>
      </c>
      <c r="AF10" s="51">
        <v>6.1337683523654158</v>
      </c>
      <c r="AG10" s="43">
        <v>3.0668841761827079</v>
      </c>
      <c r="AH10" s="44"/>
      <c r="AI10" s="105">
        <f>SUM(D10:AH10)</f>
        <v>188.00000000000003</v>
      </c>
      <c r="AJ10" s="106">
        <f>AI10/COUNTA(C10:AG10)</f>
        <v>6.0645161290322589</v>
      </c>
      <c r="AK10" s="107">
        <f>AJ10*30</f>
        <v>181.93548387096777</v>
      </c>
    </row>
    <row r="11" spans="1:16384" x14ac:dyDescent="0.25">
      <c r="B11" s="101" t="s">
        <v>20</v>
      </c>
      <c r="C11" s="103" t="s">
        <v>35</v>
      </c>
      <c r="D11" s="51">
        <v>482.2818585474152</v>
      </c>
      <c r="E11" s="51">
        <v>121.29766888677449</v>
      </c>
      <c r="F11" s="51">
        <v>62.539565493181094</v>
      </c>
      <c r="G11" s="51">
        <v>609.68804313352371</v>
      </c>
      <c r="H11" s="51">
        <v>605.32481763399937</v>
      </c>
      <c r="I11" s="51">
        <v>599.79806533460192</v>
      </c>
      <c r="J11" s="51">
        <v>483.7362670472566</v>
      </c>
      <c r="K11" s="51">
        <v>482.2818585474152</v>
      </c>
      <c r="L11" s="51">
        <v>121.29766888677449</v>
      </c>
      <c r="M11" s="51">
        <v>62.539565493181094</v>
      </c>
      <c r="N11" s="51">
        <v>423.81463685378998</v>
      </c>
      <c r="O11" s="51">
        <v>340.91335236282907</v>
      </c>
      <c r="P11" s="51">
        <v>494.49888994608307</v>
      </c>
      <c r="Q11" s="51">
        <v>475.8824611481129</v>
      </c>
      <c r="R11" s="51">
        <v>450.5757532508722</v>
      </c>
      <c r="S11" s="51">
        <v>121.58855058674281</v>
      </c>
      <c r="T11" s="51">
        <v>30.833460196638129</v>
      </c>
      <c r="U11" s="51">
        <v>569.25548683793215</v>
      </c>
      <c r="V11" s="51">
        <v>494.20800824611473</v>
      </c>
      <c r="W11" s="51">
        <v>437.77695845226776</v>
      </c>
      <c r="X11" s="51">
        <v>481.11833174754207</v>
      </c>
      <c r="Y11" s="51">
        <v>396.47175705677142</v>
      </c>
      <c r="Z11" s="51">
        <v>117.8070884871551</v>
      </c>
      <c r="AA11" s="51">
        <v>43.923136695210914</v>
      </c>
      <c r="AB11" s="51">
        <v>563.14697113859825</v>
      </c>
      <c r="AC11" s="51">
        <v>547.730241040279</v>
      </c>
      <c r="AD11" s="51">
        <v>433.41373295274349</v>
      </c>
      <c r="AE11" s="51">
        <v>496.24418014589276</v>
      </c>
      <c r="AF11" s="51">
        <v>336.84100856327308</v>
      </c>
      <c r="AG11" s="43">
        <v>118.97061528702822</v>
      </c>
      <c r="AH11" s="44"/>
      <c r="AI11" s="105">
        <f>SUM(D11:AH11)</f>
        <v>11005.800000000003</v>
      </c>
      <c r="AJ11" s="106">
        <f>AI11/COUNTA(C11:AG11)</f>
        <v>355.02580645161299</v>
      </c>
      <c r="AK11" s="107">
        <f>AJ11*30</f>
        <v>10650.77419354839</v>
      </c>
    </row>
    <row r="12" spans="1:16384" ht="15.75" thickBot="1" x14ac:dyDescent="0.3">
      <c r="B12" s="102" t="s">
        <v>21</v>
      </c>
      <c r="C12" s="104" t="s">
        <v>35</v>
      </c>
      <c r="D12" s="149">
        <v>327.48035686335885</v>
      </c>
      <c r="E12" s="149">
        <v>92.688636719361412</v>
      </c>
      <c r="F12" s="149">
        <v>42.689403662544997</v>
      </c>
      <c r="G12" s="149">
        <v>415.49070277038663</v>
      </c>
      <c r="H12" s="149">
        <v>509.34891219283134</v>
      </c>
      <c r="I12" s="149">
        <v>411.39719830959467</v>
      </c>
      <c r="J12" s="149">
        <v>376.60241039286279</v>
      </c>
      <c r="K12" s="149">
        <v>327.48035686335885</v>
      </c>
      <c r="L12" s="149">
        <v>92.688636719361412</v>
      </c>
      <c r="M12" s="149">
        <v>42.689403662544997</v>
      </c>
      <c r="N12" s="149">
        <v>323.386852402567</v>
      </c>
      <c r="O12" s="149">
        <v>261.10710596337452</v>
      </c>
      <c r="P12" s="149">
        <v>344.14676788229769</v>
      </c>
      <c r="Q12" s="149">
        <v>317.5389888871498</v>
      </c>
      <c r="R12" s="149">
        <v>267.53975583033338</v>
      </c>
      <c r="S12" s="149">
        <v>79.238550633902008</v>
      </c>
      <c r="T12" s="149">
        <v>35.671967444044455</v>
      </c>
      <c r="U12" s="149">
        <v>385.66659884175925</v>
      </c>
      <c r="V12" s="149">
        <v>304.38129597746132</v>
      </c>
      <c r="W12" s="149">
        <v>278.06591015808419</v>
      </c>
      <c r="X12" s="149">
        <v>288.29967131006413</v>
      </c>
      <c r="Y12" s="149">
        <v>255.55163562372826</v>
      </c>
      <c r="Z12" s="149">
        <v>97.951713883236792</v>
      </c>
      <c r="AA12" s="149">
        <v>37.718719674440443</v>
      </c>
      <c r="AB12" s="149">
        <v>343.85437470652693</v>
      </c>
      <c r="AC12" s="149">
        <v>306.72044138362816</v>
      </c>
      <c r="AD12" s="149">
        <v>299.70300516512754</v>
      </c>
      <c r="AE12" s="149">
        <v>282.15941461887621</v>
      </c>
      <c r="AF12" s="149">
        <v>225.43513851933014</v>
      </c>
      <c r="AG12" s="45">
        <v>99.706072937861947</v>
      </c>
      <c r="AH12" s="46"/>
      <c r="AI12" s="108">
        <f>SUM(D12:AH12)</f>
        <v>7472.4000000000005</v>
      </c>
      <c r="AJ12" s="109">
        <f>AI12/COUNTA(C12:AG12)</f>
        <v>241.0451612903226</v>
      </c>
      <c r="AK12" s="110">
        <f>AJ12*30</f>
        <v>7231.354838709678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8" t="str">
        <f>B8</f>
        <v>Abr - 30 dias</v>
      </c>
      <c r="C14" s="189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11" t="s">
        <v>7</v>
      </c>
      <c r="AJ14" s="112" t="s">
        <v>17</v>
      </c>
      <c r="AK14" s="64" t="s">
        <v>18</v>
      </c>
    </row>
    <row r="15" spans="1:16384" s="114" customFormat="1" x14ac:dyDescent="0.25">
      <c r="A15" s="10"/>
      <c r="B15" s="190" t="s">
        <v>18</v>
      </c>
      <c r="C15" s="191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20125.367190935551</v>
      </c>
      <c r="AJ15" s="66">
        <f>SUM(AJ16:AJ18)</f>
        <v>649.20539325598554</v>
      </c>
      <c r="AK15" s="55">
        <f>SUM(AK16:AK18)</f>
        <v>18064.064516129038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6</v>
      </c>
      <c r="E16" s="137">
        <f t="shared" ref="E16:AH16" si="4">IF(E4&lt;&gt;"",E4,E10)</f>
        <v>6</v>
      </c>
      <c r="F16" s="137">
        <f t="shared" si="4"/>
        <v>2</v>
      </c>
      <c r="G16" s="137">
        <f t="shared" si="4"/>
        <v>7</v>
      </c>
      <c r="H16" s="137">
        <f t="shared" si="4"/>
        <v>12</v>
      </c>
      <c r="I16" s="137">
        <f t="shared" si="4"/>
        <v>4</v>
      </c>
      <c r="J16" s="137">
        <f t="shared" si="4"/>
        <v>3</v>
      </c>
      <c r="K16" s="137">
        <f t="shared" si="4"/>
        <v>7</v>
      </c>
      <c r="L16" s="137">
        <f t="shared" si="4"/>
        <v>4</v>
      </c>
      <c r="M16" s="137">
        <f t="shared" si="4"/>
        <v>1</v>
      </c>
      <c r="N16" s="137">
        <f t="shared" si="4"/>
        <v>13</v>
      </c>
      <c r="O16" s="137">
        <f t="shared" si="4"/>
        <v>9</v>
      </c>
      <c r="P16" s="137">
        <f t="shared" si="4"/>
        <v>6</v>
      </c>
      <c r="Q16" s="137">
        <f t="shared" si="4"/>
        <v>11</v>
      </c>
      <c r="R16" s="137">
        <f t="shared" si="4"/>
        <v>9</v>
      </c>
      <c r="S16" s="137">
        <f t="shared" si="4"/>
        <v>2.1468189233278956</v>
      </c>
      <c r="T16" s="137">
        <f t="shared" si="4"/>
        <v>1.8401305057096247</v>
      </c>
      <c r="U16" s="137">
        <f t="shared" si="4"/>
        <v>6</v>
      </c>
      <c r="V16" s="137">
        <f t="shared" si="4"/>
        <v>7</v>
      </c>
      <c r="W16" s="137">
        <f t="shared" si="4"/>
        <v>13</v>
      </c>
      <c r="X16" s="137">
        <f t="shared" si="4"/>
        <v>6</v>
      </c>
      <c r="Y16" s="137">
        <f t="shared" si="4"/>
        <v>8</v>
      </c>
      <c r="Z16" s="137">
        <f t="shared" si="4"/>
        <v>1</v>
      </c>
      <c r="AA16" s="137">
        <f t="shared" si="4"/>
        <v>1.2267536704730833</v>
      </c>
      <c r="AB16" s="137">
        <f t="shared" si="4"/>
        <v>5</v>
      </c>
      <c r="AC16" s="137">
        <f t="shared" si="4"/>
        <v>5</v>
      </c>
      <c r="AD16" s="137">
        <f t="shared" si="4"/>
        <v>9</v>
      </c>
      <c r="AE16" s="137">
        <f t="shared" si="4"/>
        <v>11</v>
      </c>
      <c r="AF16" s="137">
        <f t="shared" si="4"/>
        <v>6.1337683523654158</v>
      </c>
      <c r="AG16" s="137">
        <f t="shared" si="4"/>
        <v>3.0668841761827079</v>
      </c>
      <c r="AH16" s="137">
        <f t="shared" si="4"/>
        <v>0</v>
      </c>
      <c r="AI16" s="105">
        <f>SUM(D16:AH16)</f>
        <v>185.4143556280587</v>
      </c>
      <c r="AJ16" s="106">
        <f>AI16/COUNTA(C16:AG16)</f>
        <v>5.9811082460664098</v>
      </c>
      <c r="AK16" s="107">
        <f t="shared" ref="AK16" si="5">AK10</f>
        <v>181.93548387096777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539</v>
      </c>
      <c r="E17" s="137">
        <f t="shared" ref="E17:AH17" si="6">IF(E5&lt;&gt;"",E5,E11)</f>
        <v>121</v>
      </c>
      <c r="F17" s="137">
        <f t="shared" si="6"/>
        <v>44</v>
      </c>
      <c r="G17" s="137">
        <f t="shared" si="6"/>
        <v>585</v>
      </c>
      <c r="H17" s="137">
        <f t="shared" si="6"/>
        <v>543</v>
      </c>
      <c r="I17" s="137">
        <f t="shared" si="6"/>
        <v>433</v>
      </c>
      <c r="J17" s="137">
        <f t="shared" si="6"/>
        <v>502</v>
      </c>
      <c r="K17" s="137">
        <f t="shared" si="6"/>
        <v>482</v>
      </c>
      <c r="L17" s="137">
        <f t="shared" si="6"/>
        <v>115</v>
      </c>
      <c r="M17" s="137">
        <f t="shared" si="6"/>
        <v>34</v>
      </c>
      <c r="N17" s="137">
        <f t="shared" si="6"/>
        <v>523</v>
      </c>
      <c r="O17" s="137">
        <f t="shared" si="6"/>
        <v>566</v>
      </c>
      <c r="P17" s="137">
        <f t="shared" si="6"/>
        <v>562</v>
      </c>
      <c r="Q17" s="137">
        <f t="shared" si="6"/>
        <v>481</v>
      </c>
      <c r="R17" s="137">
        <f t="shared" si="6"/>
        <v>386</v>
      </c>
      <c r="S17" s="137">
        <f t="shared" si="6"/>
        <v>99</v>
      </c>
      <c r="T17" s="137">
        <f t="shared" si="6"/>
        <v>20</v>
      </c>
      <c r="U17" s="137">
        <f t="shared" si="6"/>
        <v>520</v>
      </c>
      <c r="V17" s="137">
        <f t="shared" si="6"/>
        <v>457</v>
      </c>
      <c r="W17" s="137">
        <f t="shared" si="6"/>
        <v>374</v>
      </c>
      <c r="X17" s="137">
        <f t="shared" si="6"/>
        <v>106</v>
      </c>
      <c r="Y17" s="137">
        <f t="shared" si="6"/>
        <v>391</v>
      </c>
      <c r="Z17" s="137">
        <f t="shared" si="6"/>
        <v>98</v>
      </c>
      <c r="AA17" s="137">
        <f t="shared" si="6"/>
        <v>24</v>
      </c>
      <c r="AB17" s="137">
        <f t="shared" si="6"/>
        <v>558</v>
      </c>
      <c r="AC17" s="137">
        <f t="shared" si="6"/>
        <v>440</v>
      </c>
      <c r="AD17" s="137">
        <f t="shared" si="6"/>
        <v>509</v>
      </c>
      <c r="AE17" s="137">
        <f t="shared" si="6"/>
        <v>526</v>
      </c>
      <c r="AF17" s="137">
        <f t="shared" si="6"/>
        <v>336.84100856327308</v>
      </c>
      <c r="AG17" s="137">
        <f t="shared" si="6"/>
        <v>118.97061528702822</v>
      </c>
      <c r="AH17" s="137">
        <f t="shared" si="6"/>
        <v>0</v>
      </c>
      <c r="AI17" s="105">
        <f>SUM(D17:AH17)</f>
        <v>10493.811623850301</v>
      </c>
      <c r="AJ17" s="106">
        <f>AI17/COUNTA(C17:AG17)</f>
        <v>338.51005238226776</v>
      </c>
      <c r="AK17" s="107">
        <f t="shared" ref="AK17" si="7">AK11</f>
        <v>10650.77419354839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497</v>
      </c>
      <c r="E18" s="148">
        <f t="shared" ref="E18:AH18" si="8">IF(E6&lt;&gt;"",E6,E12)</f>
        <v>153</v>
      </c>
      <c r="F18" s="148">
        <f t="shared" si="8"/>
        <v>39</v>
      </c>
      <c r="G18" s="148">
        <f t="shared" si="8"/>
        <v>582</v>
      </c>
      <c r="H18" s="148">
        <f t="shared" si="8"/>
        <v>488</v>
      </c>
      <c r="I18" s="148">
        <f t="shared" si="8"/>
        <v>443</v>
      </c>
      <c r="J18" s="148">
        <f t="shared" si="8"/>
        <v>425</v>
      </c>
      <c r="K18" s="148">
        <f t="shared" si="8"/>
        <v>408</v>
      </c>
      <c r="L18" s="148">
        <f t="shared" si="8"/>
        <v>108</v>
      </c>
      <c r="M18" s="148">
        <f t="shared" si="8"/>
        <v>51</v>
      </c>
      <c r="N18" s="148">
        <f t="shared" si="8"/>
        <v>554</v>
      </c>
      <c r="O18" s="148">
        <f t="shared" si="8"/>
        <v>517</v>
      </c>
      <c r="P18" s="148">
        <f t="shared" si="8"/>
        <v>451</v>
      </c>
      <c r="Q18" s="148">
        <f t="shared" si="8"/>
        <v>382</v>
      </c>
      <c r="R18" s="148">
        <f t="shared" si="8"/>
        <v>335</v>
      </c>
      <c r="S18" s="148">
        <f t="shared" si="8"/>
        <v>87</v>
      </c>
      <c r="T18" s="148">
        <f t="shared" si="8"/>
        <v>34</v>
      </c>
      <c r="U18" s="148">
        <f t="shared" si="8"/>
        <v>444</v>
      </c>
      <c r="V18" s="148">
        <f t="shared" si="8"/>
        <v>437</v>
      </c>
      <c r="W18" s="148">
        <f t="shared" si="8"/>
        <v>370</v>
      </c>
      <c r="X18" s="148">
        <f t="shared" si="8"/>
        <v>90</v>
      </c>
      <c r="Y18" s="148">
        <f t="shared" si="8"/>
        <v>286</v>
      </c>
      <c r="Z18" s="148">
        <f t="shared" si="8"/>
        <v>149</v>
      </c>
      <c r="AA18" s="148">
        <f t="shared" si="8"/>
        <v>44</v>
      </c>
      <c r="AB18" s="148">
        <f t="shared" si="8"/>
        <v>445</v>
      </c>
      <c r="AC18" s="148">
        <f t="shared" si="8"/>
        <v>412</v>
      </c>
      <c r="AD18" s="148">
        <f t="shared" si="8"/>
        <v>346</v>
      </c>
      <c r="AE18" s="148">
        <f t="shared" si="8"/>
        <v>544</v>
      </c>
      <c r="AF18" s="148">
        <f t="shared" si="8"/>
        <v>225.43513851933014</v>
      </c>
      <c r="AG18" s="148">
        <f t="shared" si="8"/>
        <v>99.706072937861947</v>
      </c>
      <c r="AH18" s="148">
        <f t="shared" si="8"/>
        <v>0</v>
      </c>
      <c r="AI18" s="108">
        <f>SUM(D18:AH18)</f>
        <v>9446.1412114571922</v>
      </c>
      <c r="AJ18" s="109">
        <f>AI18/COUNTA(C18:AG18)</f>
        <v>304.71423262765137</v>
      </c>
      <c r="AK18" s="110">
        <f t="shared" ref="AK18" si="9">AK12</f>
        <v>7231.354838709678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66" t="s">
        <v>37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76" t="s">
        <v>30</v>
      </c>
      <c r="K20" s="177"/>
      <c r="L20" s="196" t="s">
        <v>32</v>
      </c>
      <c r="M20" s="196"/>
      <c r="N20" s="182" t="s">
        <v>32</v>
      </c>
      <c r="O20" s="183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19330</v>
      </c>
      <c r="D21" s="142">
        <f>SUM(D22:D24)</f>
        <v>20125.367190935551</v>
      </c>
      <c r="E21" s="143">
        <f>SUM(E22:E24)</f>
        <v>18666.200000000004</v>
      </c>
      <c r="F21" s="138">
        <f>(D21-E21)/E21</f>
        <v>7.8171625233606518E-2</v>
      </c>
      <c r="G21" s="133">
        <f>F21</f>
        <v>7.8171625233606518E-2</v>
      </c>
      <c r="H21" s="12"/>
      <c r="I21" s="32"/>
      <c r="J21" s="178">
        <v>7.22</v>
      </c>
      <c r="K21" s="179"/>
      <c r="L21" s="209">
        <v>207</v>
      </c>
      <c r="M21" s="209"/>
      <c r="N21" s="184">
        <v>15639</v>
      </c>
      <c r="O21" s="185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171</v>
      </c>
      <c r="D22" s="145">
        <f>AI16</f>
        <v>185.4143556280587</v>
      </c>
      <c r="E22" s="143">
        <f>$AI$10</f>
        <v>188.00000000000003</v>
      </c>
      <c r="F22" s="139">
        <f t="shared" ref="F22:F24" si="10">(D22-E22)/E22</f>
        <v>-1.3753427510326209E-2</v>
      </c>
      <c r="G22" s="133">
        <f>F22</f>
        <v>-1.3753427510326209E-2</v>
      </c>
      <c r="H22" s="12"/>
      <c r="I22" s="32"/>
      <c r="J22" s="180" t="s">
        <v>13</v>
      </c>
      <c r="K22" s="181"/>
      <c r="L22" s="210" t="s">
        <v>13</v>
      </c>
      <c r="M22" s="210"/>
      <c r="N22" s="186" t="s">
        <v>15</v>
      </c>
      <c r="O22" s="187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10038</v>
      </c>
      <c r="D23" s="145">
        <f>AI17</f>
        <v>10493.811623850301</v>
      </c>
      <c r="E23" s="143">
        <f>AI11</f>
        <v>11005.800000000003</v>
      </c>
      <c r="F23" s="139">
        <f t="shared" si="10"/>
        <v>-4.6519869173499609E-2</v>
      </c>
      <c r="G23" s="133">
        <f>F23</f>
        <v>-4.6519869173499609E-2</v>
      </c>
      <c r="H23" s="12"/>
      <c r="I23" s="32"/>
      <c r="J23" s="203" t="s">
        <v>31</v>
      </c>
      <c r="K23" s="204"/>
      <c r="L23" s="211" t="s">
        <v>33</v>
      </c>
      <c r="M23" s="211"/>
      <c r="N23" s="197" t="s">
        <v>33</v>
      </c>
      <c r="O23" s="198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9121</v>
      </c>
      <c r="D24" s="147">
        <f>AI18</f>
        <v>9446.1412114571922</v>
      </c>
      <c r="E24" s="168">
        <f>AI12</f>
        <v>7472.4000000000005</v>
      </c>
      <c r="F24" s="140">
        <f t="shared" si="10"/>
        <v>0.26413752093801074</v>
      </c>
      <c r="G24" s="136">
        <f>F24</f>
        <v>0.26413752093801074</v>
      </c>
      <c r="H24" s="12"/>
      <c r="I24" s="32"/>
      <c r="J24" s="178">
        <v>6.77</v>
      </c>
      <c r="K24" s="179"/>
      <c r="L24" s="209">
        <v>210</v>
      </c>
      <c r="M24" s="209"/>
      <c r="N24" s="184">
        <v>21648</v>
      </c>
      <c r="O24" s="185"/>
      <c r="AI24" s="29"/>
      <c r="AJ24" s="34"/>
      <c r="AK24" s="51"/>
      <c r="AL24" s="34"/>
    </row>
    <row r="25" spans="1:38" ht="26.25" x14ac:dyDescent="0.25">
      <c r="H25" s="113"/>
      <c r="I25" s="32"/>
      <c r="J25" s="205" t="s">
        <v>26</v>
      </c>
      <c r="K25" s="206"/>
      <c r="L25" s="212" t="str">
        <f>J25</f>
        <v>Redução</v>
      </c>
      <c r="M25" s="212"/>
      <c r="N25" s="199" t="str">
        <f>L25</f>
        <v>Redução</v>
      </c>
      <c r="O25" s="200"/>
      <c r="AI25" s="29"/>
      <c r="AJ25" s="34"/>
      <c r="AK25" s="51"/>
      <c r="AL25" s="34"/>
    </row>
    <row r="26" spans="1:38" ht="27" thickBot="1" x14ac:dyDescent="0.3">
      <c r="G26" s="12"/>
      <c r="I26" s="33"/>
      <c r="J26" s="207">
        <f>(J21/J24)-1</f>
        <v>6.6469719350073841E-2</v>
      </c>
      <c r="K26" s="208"/>
      <c r="L26" s="213">
        <f>(L21/L24)-1</f>
        <v>-1.4285714285714235E-2</v>
      </c>
      <c r="M26" s="213"/>
      <c r="N26" s="201">
        <f>(N21/N24)-1</f>
        <v>-0.27757760532150777</v>
      </c>
      <c r="O26" s="202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67" t="str">
        <f>'Dados - Gráficos'!B20</f>
        <v>Abr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19330</v>
      </c>
      <c r="D6" s="7">
        <f>'Dados - Gráficos'!D21</f>
        <v>20125.367190935551</v>
      </c>
      <c r="E6" s="93">
        <f>'Dados - Gráficos'!E21</f>
        <v>18666.200000000004</v>
      </c>
      <c r="F6" s="118">
        <f>'Dados - Gráficos'!F21</f>
        <v>7.8171625233606518E-2</v>
      </c>
      <c r="G6" s="119">
        <f>'Dados - Gráficos'!G21</f>
        <v>7.8171625233606518E-2</v>
      </c>
      <c r="H6" s="32"/>
      <c r="I6" s="19">
        <f>K9</f>
        <v>415</v>
      </c>
      <c r="J6" s="83">
        <f>Indicadores!AH10</f>
        <v>294</v>
      </c>
      <c r="K6" s="88">
        <f>E7</f>
        <v>188.00000000000003</v>
      </c>
    </row>
    <row r="7" spans="2:11" x14ac:dyDescent="0.25">
      <c r="B7" s="15" t="str">
        <f>'Dados - Gráficos'!B22</f>
        <v>Alto</v>
      </c>
      <c r="C7" s="99">
        <f>'Dados - Gráficos'!C22</f>
        <v>171</v>
      </c>
      <c r="D7" s="8">
        <f>'Dados - Gráficos'!D22</f>
        <v>185.4143556280587</v>
      </c>
      <c r="E7" s="93">
        <f>'Dados - Gráficos'!E22</f>
        <v>188.00000000000003</v>
      </c>
      <c r="F7" s="120">
        <f>'Dados - Gráficos'!F22</f>
        <v>-1.3753427510326209E-2</v>
      </c>
      <c r="G7" s="119">
        <f>'Dados - Gráficos'!G22</f>
        <v>-1.3753427510326209E-2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10038</v>
      </c>
      <c r="D8" s="8">
        <f>'Dados - Gráficos'!D23</f>
        <v>10493.811623850301</v>
      </c>
      <c r="E8" s="93">
        <f>'Dados - Gráficos'!E23</f>
        <v>11005.800000000003</v>
      </c>
      <c r="F8" s="120">
        <f>'Dados - Gráficos'!F23</f>
        <v>-4.6519869173499609E-2</v>
      </c>
      <c r="G8" s="119">
        <f>'Dados - Gráficos'!G23</f>
        <v>-4.6519869173499609E-2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9121</v>
      </c>
      <c r="D9" s="17">
        <f>'Dados - Gráficos'!D24</f>
        <v>9446.1412114571922</v>
      </c>
      <c r="E9" s="94">
        <f>'Dados - Gráficos'!E24</f>
        <v>7472.4000000000005</v>
      </c>
      <c r="F9" s="121">
        <f>'Dados - Gráficos'!F24</f>
        <v>0.26413752093801074</v>
      </c>
      <c r="G9" s="122">
        <f>'Dados - Gráficos'!G24</f>
        <v>0.26413752093801074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-0.54698795180722892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mftquOq9X5M0pnGteGIxMEUzNI3XJHAiGAEUIQk66hyzIeeCelI3Io9lH/QFuRJcjszGMLJ+5cdhwUuyk+jh0Q==" saltValue="KpxNgiRtUZ59bkDB2DzvT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2016-04-29T13:25:43Z</dcterms:modified>
</cp:coreProperties>
</file>