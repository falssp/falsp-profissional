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<sst xmlns="http://schemas.openxmlformats.org/spreadsheetml/2006/main" count="318" uniqueCount="38">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</sst>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584</c:v>
                </c:pt>
                <c:pt idx="1">
                  <c:v>128</c:v>
                </c:pt>
                <c:pt idx="2">
                  <c:v>51</c:v>
                </c:pt>
                <c:pt idx="3">
                  <c:v>624</c:v>
                </c:pt>
                <c:pt idx="4">
                  <c:v>605</c:v>
                </c:pt>
                <c:pt idx="5">
                  <c:v>457</c:v>
                </c:pt>
                <c:pt idx="6">
                  <c:v>545</c:v>
                </c:pt>
                <c:pt idx="7">
                  <c:v>541</c:v>
                </c:pt>
                <c:pt idx="8">
                  <c:v>127</c:v>
                </c:pt>
                <c:pt idx="9">
                  <c:v>40</c:v>
                </c:pt>
                <c:pt idx="10">
                  <c:v>642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503</c:v>
                </c:pt>
                <c:pt idx="1">
                  <c:v>162</c:v>
                </c:pt>
                <c:pt idx="2">
                  <c:v>39</c:v>
                </c:pt>
                <c:pt idx="3">
                  <c:v>579</c:v>
                </c:pt>
                <c:pt idx="4">
                  <c:v>486</c:v>
                </c:pt>
                <c:pt idx="5">
                  <c:v>442</c:v>
                </c:pt>
                <c:pt idx="6">
                  <c:v>415</c:v>
                </c:pt>
                <c:pt idx="7">
                  <c:v>390</c:v>
                </c:pt>
                <c:pt idx="8">
                  <c:v>110</c:v>
                </c:pt>
                <c:pt idx="9">
                  <c:v>49</c:v>
                </c:pt>
                <c:pt idx="10">
                  <c:v>538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BkK1+USnt1t5EtZ8VOr79Slhm30TGR9kTGmp8Zuac+dF9ykdq/WcmkZ2j2S3vdi14o4kvNiA67eeIx8BO1cQ3w==" saltValue="OelwME3cCSHnypDxQviYo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evFTw2regGXegv/Is+19juUk9+tVHeIPQ+tydbKMYwJTFlTtWq3nMxP4vO1YmpwZJQgtQ2c/2+zYK+CicNloaw==" saltValue="yXEpDArBUWqJ8SZuoY7IS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nLI/t10FXAnMfGF8h0kqnj/HQyiCl2Sl7zVmf8VXmi4Ky9f0LuSRbcLWqBAWjrKVyWOKIwKPqyQlQQyUVP3wqg==" saltValue="0di2e+9Q2mDToAJp+oUBx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M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8137</v>
      </c>
      <c r="AI33" s="71">
        <f>AH33/COUNTA(C34:AG34)</f>
        <v>739.72727272727275</v>
      </c>
      <c r="AJ33" s="55">
        <f>AI33*31</f>
        <v>22931.545454545456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6</v>
      </c>
      <c r="L34" s="156">
        <v>1</v>
      </c>
      <c r="M34" s="156">
        <v>17</v>
      </c>
      <c r="N34" s="156"/>
      <c r="O34" s="156"/>
      <c r="P34" s="156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80</v>
      </c>
      <c r="AI34" s="38">
        <f>AH34/COUNTA(C34:AG34)</f>
        <v>7.2727272727272725</v>
      </c>
      <c r="AJ34" s="56">
        <f>AI34*30</f>
        <v>218.18181818181819</v>
      </c>
    </row>
    <row r="35" spans="2:36" x14ac:dyDescent="0.25">
      <c r="B35" s="161" t="s">
        <v>20</v>
      </c>
      <c r="C35" s="156">
        <v>584</v>
      </c>
      <c r="D35" s="156">
        <v>128</v>
      </c>
      <c r="E35" s="156">
        <v>51</v>
      </c>
      <c r="F35" s="156">
        <v>624</v>
      </c>
      <c r="G35" s="156">
        <v>605</v>
      </c>
      <c r="H35" s="156">
        <v>457</v>
      </c>
      <c r="I35" s="156">
        <v>545</v>
      </c>
      <c r="J35" s="156">
        <v>541</v>
      </c>
      <c r="K35" s="156">
        <v>127</v>
      </c>
      <c r="L35" s="156">
        <v>40</v>
      </c>
      <c r="M35" s="156">
        <v>642</v>
      </c>
      <c r="N35" s="156"/>
      <c r="O35" s="156"/>
      <c r="P35" s="156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4344</v>
      </c>
      <c r="AI35" s="38">
        <f>AH35/COUNTA(C35:AG35)</f>
        <v>394.90909090909093</v>
      </c>
      <c r="AJ35" s="56">
        <f>AI35*30</f>
        <v>11847.272727272728</v>
      </c>
    </row>
    <row r="36" spans="2:36" ht="15.75" thickBot="1" x14ac:dyDescent="0.3">
      <c r="B36" s="162" t="s">
        <v>21</v>
      </c>
      <c r="C36" s="155">
        <v>503</v>
      </c>
      <c r="D36" s="155">
        <v>162</v>
      </c>
      <c r="E36" s="155">
        <v>39</v>
      </c>
      <c r="F36" s="155">
        <v>579</v>
      </c>
      <c r="G36" s="155">
        <v>486</v>
      </c>
      <c r="H36" s="155">
        <v>442</v>
      </c>
      <c r="I36" s="155">
        <v>415</v>
      </c>
      <c r="J36" s="155">
        <v>390</v>
      </c>
      <c r="K36" s="155">
        <v>110</v>
      </c>
      <c r="L36" s="155">
        <v>49</v>
      </c>
      <c r="M36" s="155">
        <v>538</v>
      </c>
      <c r="N36" s="155"/>
      <c r="O36" s="155"/>
      <c r="P36" s="15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3713</v>
      </c>
      <c r="AI36" s="37">
        <f>AH36/COUNTA(C36:AG36)</f>
        <v>337.54545454545456</v>
      </c>
      <c r="AJ36" s="57">
        <f>AI36*30</f>
        <v>10126.363636363636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8137</v>
      </c>
      <c r="AJ3" s="66">
        <f>Indicadores!AI33</f>
        <v>739.72727272727275</v>
      </c>
      <c r="AK3" s="55">
        <f>Indicadores!AJ33</f>
        <v>22931.545454545456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6</v>
      </c>
      <c r="M4" s="39">
        <f>IF(Indicadores!L34,Indicadores!L34,"")</f>
        <v>1</v>
      </c>
      <c r="N4" s="39">
        <f>IF(Indicadores!M34,Indicadores!M34,"")</f>
        <v>17</v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80</v>
      </c>
      <c r="AJ4" s="75">
        <f>Indicadores!AI34</f>
        <v>7.2727272727272725</v>
      </c>
      <c r="AK4" s="56">
        <f>Indicadores!AJ34</f>
        <v>218.18181818181819</v>
      </c>
    </row>
    <row r="5" spans="1:16384" x14ac:dyDescent="0.25">
      <c r="B5" s="192" t="s">
        <v>20</v>
      </c>
      <c r="C5" s="193"/>
      <c r="D5" s="39">
        <f>IF(Indicadores!C35,Indicadores!C35,"")</f>
        <v>584</v>
      </c>
      <c r="E5" s="39">
        <f>IF(Indicadores!D35,Indicadores!D35,"")</f>
        <v>128</v>
      </c>
      <c r="F5" s="39">
        <f>IF(Indicadores!E35,Indicadores!E35,"")</f>
        <v>51</v>
      </c>
      <c r="G5" s="39">
        <f>IF(Indicadores!F35,Indicadores!F35,"")</f>
        <v>624</v>
      </c>
      <c r="H5" s="39">
        <f>IF(Indicadores!G35,Indicadores!G35,"")</f>
        <v>605</v>
      </c>
      <c r="I5" s="39">
        <f>IF(Indicadores!H35,Indicadores!H35,"")</f>
        <v>457</v>
      </c>
      <c r="J5" s="39">
        <f>IF(Indicadores!I35,Indicadores!I35,"")</f>
        <v>545</v>
      </c>
      <c r="K5" s="39">
        <f>IF(Indicadores!J35,Indicadores!J35,"")</f>
        <v>541</v>
      </c>
      <c r="L5" s="39">
        <f>IF(Indicadores!K35,Indicadores!K35,"")</f>
        <v>127</v>
      </c>
      <c r="M5" s="39">
        <f>IF(Indicadores!L35,Indicadores!L35,"")</f>
        <v>40</v>
      </c>
      <c r="N5" s="39">
        <f>IF(Indicadores!M35,Indicadores!M35,"")</f>
        <v>642</v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4344</v>
      </c>
      <c r="AJ5" s="75">
        <f>Indicadores!AI35</f>
        <v>394.90909090909093</v>
      </c>
      <c r="AK5" s="56">
        <f>Indicadores!AJ35</f>
        <v>11847.272727272728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503</v>
      </c>
      <c r="E6" s="40">
        <f>IF(Indicadores!D36,Indicadores!D36,"")</f>
        <v>162</v>
      </c>
      <c r="F6" s="40">
        <f>IF(Indicadores!E36,Indicadores!E36,"")</f>
        <v>39</v>
      </c>
      <c r="G6" s="40">
        <f>IF(Indicadores!F36,Indicadores!F36,"")</f>
        <v>579</v>
      </c>
      <c r="H6" s="40">
        <f>IF(Indicadores!G36,Indicadores!G36,"")</f>
        <v>486</v>
      </c>
      <c r="I6" s="40">
        <f>IF(Indicadores!H36,Indicadores!H36,"")</f>
        <v>442</v>
      </c>
      <c r="J6" s="40">
        <f>IF(Indicadores!I36,Indicadores!I36,"")</f>
        <v>415</v>
      </c>
      <c r="K6" s="40">
        <f>IF(Indicadores!J36,Indicadores!J36,"")</f>
        <v>390</v>
      </c>
      <c r="L6" s="40">
        <f>IF(Indicadores!K36,Indicadores!K36,"")</f>
        <v>110</v>
      </c>
      <c r="M6" s="40">
        <f>IF(Indicadores!L36,Indicadores!L36,"")</f>
        <v>49</v>
      </c>
      <c r="N6" s="40">
        <f>IF(Indicadores!M36,Indicadores!M36,"")</f>
        <v>538</v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3713</v>
      </c>
      <c r="AJ6" s="42">
        <f>Indicadores!AI36</f>
        <v>337.54545454545456</v>
      </c>
      <c r="AK6" s="56">
        <f>Indicadores!AJ36</f>
        <v>10126.363636363636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19712.438516519695</v>
      </c>
      <c r="AJ15" s="66">
        <f>SUM(AJ16:AJ18)</f>
        <v>635.88511343611913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6</v>
      </c>
      <c r="M16" s="137">
        <f t="shared" si="4"/>
        <v>1</v>
      </c>
      <c r="N16" s="137">
        <f t="shared" si="4"/>
        <v>17</v>
      </c>
      <c r="O16" s="137">
        <f t="shared" si="4"/>
        <v>5.213703099510604</v>
      </c>
      <c r="P16" s="137">
        <f t="shared" si="4"/>
        <v>7.6672104404567696</v>
      </c>
      <c r="Q16" s="137">
        <f t="shared" si="4"/>
        <v>7.9738988580750414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193.78140293637844</v>
      </c>
      <c r="AJ16" s="106">
        <f>AI16/COUNTA(C16:AG16)</f>
        <v>6.2510129979476918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584</v>
      </c>
      <c r="E17" s="137">
        <f t="shared" ref="E17:AH17" si="6">IF(E5&lt;&gt;"",E5,E11)</f>
        <v>128</v>
      </c>
      <c r="F17" s="137">
        <f t="shared" si="6"/>
        <v>51</v>
      </c>
      <c r="G17" s="137">
        <f t="shared" si="6"/>
        <v>624</v>
      </c>
      <c r="H17" s="137">
        <f t="shared" si="6"/>
        <v>605</v>
      </c>
      <c r="I17" s="137">
        <f t="shared" si="6"/>
        <v>457</v>
      </c>
      <c r="J17" s="137">
        <f t="shared" si="6"/>
        <v>545</v>
      </c>
      <c r="K17" s="137">
        <f t="shared" si="6"/>
        <v>541</v>
      </c>
      <c r="L17" s="137">
        <f t="shared" si="6"/>
        <v>127</v>
      </c>
      <c r="M17" s="137">
        <f t="shared" si="6"/>
        <v>40</v>
      </c>
      <c r="N17" s="137">
        <f t="shared" si="6"/>
        <v>642</v>
      </c>
      <c r="O17" s="137">
        <f t="shared" si="6"/>
        <v>340.91335236282907</v>
      </c>
      <c r="P17" s="137">
        <f t="shared" si="6"/>
        <v>494.49888994608307</v>
      </c>
      <c r="Q17" s="137">
        <f t="shared" si="6"/>
        <v>475.8824611481129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11295.199984142089</v>
      </c>
      <c r="AJ17" s="106">
        <f>AI17/COUNTA(C17:AG17)</f>
        <v>364.36128981103514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503</v>
      </c>
      <c r="E18" s="148">
        <f t="shared" ref="E18:AH18" si="8">IF(E6&lt;&gt;"",E6,E12)</f>
        <v>162</v>
      </c>
      <c r="F18" s="148">
        <f t="shared" si="8"/>
        <v>39</v>
      </c>
      <c r="G18" s="148">
        <f t="shared" si="8"/>
        <v>579</v>
      </c>
      <c r="H18" s="148">
        <f t="shared" si="8"/>
        <v>486</v>
      </c>
      <c r="I18" s="148">
        <f t="shared" si="8"/>
        <v>442</v>
      </c>
      <c r="J18" s="148">
        <f t="shared" si="8"/>
        <v>415</v>
      </c>
      <c r="K18" s="148">
        <f t="shared" si="8"/>
        <v>390</v>
      </c>
      <c r="L18" s="148">
        <f t="shared" si="8"/>
        <v>110</v>
      </c>
      <c r="M18" s="148">
        <f t="shared" si="8"/>
        <v>49</v>
      </c>
      <c r="N18" s="148">
        <f t="shared" si="8"/>
        <v>538</v>
      </c>
      <c r="O18" s="148">
        <f t="shared" si="8"/>
        <v>261.10710596337452</v>
      </c>
      <c r="P18" s="148">
        <f t="shared" si="8"/>
        <v>344.14676788229769</v>
      </c>
      <c r="Q18" s="148">
        <f t="shared" si="8"/>
        <v>317.5389888871498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8223.4571294412272</v>
      </c>
      <c r="AJ18" s="109">
        <f>AI18/COUNTA(C18:AG18)</f>
        <v>265.27281062713638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8137</v>
      </c>
      <c r="D21" s="142">
        <f>SUM(D22:D24)</f>
        <v>19712.438516519695</v>
      </c>
      <c r="E21" s="143">
        <f>SUM(E22:E24)</f>
        <v>18666.200000000004</v>
      </c>
      <c r="F21" s="138">
        <f>(D21-E21)/E21</f>
        <v>5.6049893203742054E-2</v>
      </c>
      <c r="G21" s="133">
        <f>F21</f>
        <v>5.6049893203742054E-2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80</v>
      </c>
      <c r="D22" s="145">
        <f>AI16</f>
        <v>193.78140293637844</v>
      </c>
      <c r="E22" s="143">
        <f>$AI$10</f>
        <v>188.00000000000003</v>
      </c>
      <c r="F22" s="139">
        <f t="shared" ref="F22:F24" si="10">(D22-E22)/E22</f>
        <v>3.0752143278608576E-2</v>
      </c>
      <c r="G22" s="133">
        <f>F22</f>
        <v>3.0752143278608576E-2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4344</v>
      </c>
      <c r="D23" s="145">
        <f>AI17</f>
        <v>11295.199984142089</v>
      </c>
      <c r="E23" s="143">
        <f>AI11</f>
        <v>11005.800000000003</v>
      </c>
      <c r="F23" s="139">
        <f t="shared" si="10"/>
        <v>2.6295224712613925E-2</v>
      </c>
      <c r="G23" s="133">
        <f>F23</f>
        <v>2.6295224712613925E-2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3713</v>
      </c>
      <c r="D24" s="147">
        <f>AI18</f>
        <v>8223.4571294412272</v>
      </c>
      <c r="E24" s="168">
        <f>AI12</f>
        <v>7472.4000000000005</v>
      </c>
      <c r="F24" s="140">
        <f t="shared" si="10"/>
        <v>0.10051083044821296</v>
      </c>
      <c r="G24" s="136">
        <f>F24</f>
        <v>0.10051083044821296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8137</v>
      </c>
      <c r="D6" s="7">
        <f>'Dados - Gráficos'!D21</f>
        <v>19712.438516519695</v>
      </c>
      <c r="E6" s="93">
        <f>'Dados - Gráficos'!E21</f>
        <v>18666.200000000004</v>
      </c>
      <c r="F6" s="118">
        <f>'Dados - Gráficos'!F21</f>
        <v>5.6049893203742054E-2</v>
      </c>
      <c r="G6" s="119">
        <f>'Dados - Gráficos'!G21</f>
        <v>5.6049893203742054E-2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80</v>
      </c>
      <c r="D7" s="8">
        <f>'Dados - Gráficos'!D22</f>
        <v>193.78140293637844</v>
      </c>
      <c r="E7" s="93">
        <f>'Dados - Gráficos'!E22</f>
        <v>188.00000000000003</v>
      </c>
      <c r="F7" s="120">
        <f>'Dados - Gráficos'!F22</f>
        <v>3.0752143278608576E-2</v>
      </c>
      <c r="G7" s="119">
        <f>'Dados - Gráficos'!G22</f>
        <v>3.0752143278608576E-2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4344</v>
      </c>
      <c r="D8" s="8">
        <f>'Dados - Gráficos'!D23</f>
        <v>11295.199984142089</v>
      </c>
      <c r="E8" s="93">
        <f>'Dados - Gráficos'!E23</f>
        <v>11005.800000000003</v>
      </c>
      <c r="F8" s="120">
        <f>'Dados - Gráficos'!F23</f>
        <v>2.6295224712613925E-2</v>
      </c>
      <c r="G8" s="119">
        <f>'Dados - Gráficos'!G23</f>
        <v>2.6295224712613925E-2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3713</v>
      </c>
      <c r="D9" s="17">
        <f>'Dados - Gráficos'!D24</f>
        <v>8223.4571294412272</v>
      </c>
      <c r="E9" s="94">
        <f>'Dados - Gráficos'!E24</f>
        <v>7472.4000000000005</v>
      </c>
      <c r="F9" s="121">
        <f>'Dados - Gráficos'!F24</f>
        <v>0.10051083044821296</v>
      </c>
      <c r="G9" s="122">
        <f>'Dados - Gráficos'!G24</f>
        <v>0.10051083044821296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2016-04-12T12:47:20Z</dcterms:modified>
</cp:coreProperties>
</file>