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<sst xmlns="http://schemas.openxmlformats.org/spreadsheetml/2006/main" count="318" uniqueCount="38">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</sst>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9</c:v>
                </c:pt>
                <c:pt idx="26">
                  <c:v>13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541</c:v>
                </c:pt>
                <c:pt idx="1">
                  <c:v>121</c:v>
                </c:pt>
                <c:pt idx="2">
                  <c:v>44</c:v>
                </c:pt>
                <c:pt idx="3">
                  <c:v>586</c:v>
                </c:pt>
                <c:pt idx="4">
                  <c:v>545</c:v>
                </c:pt>
                <c:pt idx="5">
                  <c:v>433</c:v>
                </c:pt>
                <c:pt idx="6">
                  <c:v>503</c:v>
                </c:pt>
                <c:pt idx="7">
                  <c:v>484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568</c:v>
                </c:pt>
                <c:pt idx="12">
                  <c:v>565</c:v>
                </c:pt>
                <c:pt idx="13">
                  <c:v>483</c:v>
                </c:pt>
                <c:pt idx="14">
                  <c:v>388</c:v>
                </c:pt>
                <c:pt idx="15">
                  <c:v>102</c:v>
                </c:pt>
                <c:pt idx="16">
                  <c:v>20</c:v>
                </c:pt>
                <c:pt idx="17">
                  <c:v>524</c:v>
                </c:pt>
                <c:pt idx="18">
                  <c:v>463</c:v>
                </c:pt>
                <c:pt idx="19">
                  <c:v>375</c:v>
                </c:pt>
                <c:pt idx="20">
                  <c:v>107</c:v>
                </c:pt>
                <c:pt idx="21">
                  <c:v>399</c:v>
                </c:pt>
                <c:pt idx="22">
                  <c:v>99</c:v>
                </c:pt>
                <c:pt idx="23">
                  <c:v>25</c:v>
                </c:pt>
                <c:pt idx="24">
                  <c:v>566</c:v>
                </c:pt>
                <c:pt idx="25">
                  <c:v>452</c:v>
                </c:pt>
                <c:pt idx="26">
                  <c:v>528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488</c:v>
                </c:pt>
                <c:pt idx="5">
                  <c:v>443</c:v>
                </c:pt>
                <c:pt idx="6">
                  <c:v>426</c:v>
                </c:pt>
                <c:pt idx="7">
                  <c:v>407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448</c:v>
                </c:pt>
                <c:pt idx="13">
                  <c:v>381</c:v>
                </c:pt>
                <c:pt idx="14">
                  <c:v>334</c:v>
                </c:pt>
                <c:pt idx="15">
                  <c:v>87</c:v>
                </c:pt>
                <c:pt idx="16">
                  <c:v>34</c:v>
                </c:pt>
                <c:pt idx="17">
                  <c:v>444</c:v>
                </c:pt>
                <c:pt idx="18">
                  <c:v>437</c:v>
                </c:pt>
                <c:pt idx="19">
                  <c:v>370</c:v>
                </c:pt>
                <c:pt idx="20">
                  <c:v>89</c:v>
                </c:pt>
                <c:pt idx="21">
                  <c:v>286</c:v>
                </c:pt>
                <c:pt idx="22">
                  <c:v>151</c:v>
                </c:pt>
                <c:pt idx="23">
                  <c:v>44</c:v>
                </c:pt>
                <c:pt idx="24">
                  <c:v>445</c:v>
                </c:pt>
                <c:pt idx="25">
                  <c:v>411</c:v>
                </c:pt>
                <c:pt idx="26">
                  <c:v>335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FN8CWI+EsMquUfRe0LA3LnEEWyx8rQL+AHBsra+77XbZQmO3Z5glkNQNM47Z02bCOwK/4V0CzbOzmzYyZUZbWQ==" saltValue="w7tJwXYe+gV0lk/VSS/e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spjRF1QwtePQXxL5HGnfIdf6ZXgpi2mDH2SqFkkFz6q/QQTPUZcQUlQriLv3pdnnD1JlwNHqxJyvAFjBC84eYA==" saltValue="xWEAd9dQAwvFHLbtpJGNX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yOiuiTl31PVMBuxAxSzxB631HgoTVPPb0XxTgBBKVAFkGm6ydb+7XsObvgGchHPqlrIdfHzgkgB5M8dUpEPt8A==" saltValue="hJfwpMutu89vG9ISv97v2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AC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18320</v>
      </c>
      <c r="AI33" s="71">
        <f>AH33/COUNTA(C34:AG34)</f>
        <v>678.51851851851848</v>
      </c>
      <c r="AJ33" s="55">
        <f>AI33*31</f>
        <v>21034.074074074073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9</v>
      </c>
      <c r="AC34" s="24">
        <v>13</v>
      </c>
      <c r="AD34" s="24"/>
      <c r="AE34" s="24"/>
      <c r="AF34" s="24"/>
      <c r="AG34" s="157"/>
      <c r="AH34" s="53">
        <f>SUM(C34:AG34)</f>
        <v>168</v>
      </c>
      <c r="AI34" s="38">
        <f>AH34/COUNTA(C34:AG34)</f>
        <v>6.2222222222222223</v>
      </c>
      <c r="AJ34" s="56">
        <f>AI34*30</f>
        <v>186.66666666666666</v>
      </c>
    </row>
    <row r="35" spans="2:36" x14ac:dyDescent="0.25">
      <c r="B35" s="161" t="s">
        <v>20</v>
      </c>
      <c r="C35" s="156">
        <v>541</v>
      </c>
      <c r="D35" s="156">
        <v>121</v>
      </c>
      <c r="E35" s="156">
        <v>44</v>
      </c>
      <c r="F35" s="156">
        <v>586</v>
      </c>
      <c r="G35" s="156">
        <v>545</v>
      </c>
      <c r="H35" s="156">
        <v>433</v>
      </c>
      <c r="I35" s="156">
        <v>503</v>
      </c>
      <c r="J35" s="156">
        <v>484</v>
      </c>
      <c r="K35" s="156">
        <v>115</v>
      </c>
      <c r="L35" s="156">
        <v>34</v>
      </c>
      <c r="M35" s="156">
        <v>523</v>
      </c>
      <c r="N35" s="156">
        <v>568</v>
      </c>
      <c r="O35" s="156">
        <v>565</v>
      </c>
      <c r="P35" s="156">
        <v>483</v>
      </c>
      <c r="Q35" s="24">
        <v>388</v>
      </c>
      <c r="R35" s="24">
        <v>102</v>
      </c>
      <c r="S35" s="24">
        <v>20</v>
      </c>
      <c r="T35" s="24">
        <v>524</v>
      </c>
      <c r="U35" s="24">
        <v>463</v>
      </c>
      <c r="V35" s="24">
        <v>375</v>
      </c>
      <c r="W35" s="24">
        <v>107</v>
      </c>
      <c r="X35" s="24">
        <v>399</v>
      </c>
      <c r="Y35" s="24">
        <v>99</v>
      </c>
      <c r="Z35" s="24">
        <v>25</v>
      </c>
      <c r="AA35" s="24">
        <v>566</v>
      </c>
      <c r="AB35" s="24">
        <v>452</v>
      </c>
      <c r="AC35" s="24">
        <v>528</v>
      </c>
      <c r="AD35" s="24"/>
      <c r="AE35" s="24"/>
      <c r="AF35" s="24"/>
      <c r="AG35" s="157"/>
      <c r="AH35" s="53">
        <f>SUM(C35:AG35)</f>
        <v>9593</v>
      </c>
      <c r="AI35" s="38">
        <f>AH35/COUNTA(C35:AG35)</f>
        <v>355.2962962962963</v>
      </c>
      <c r="AJ35" s="56">
        <f>AI35*30</f>
        <v>10658.888888888889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488</v>
      </c>
      <c r="H36" s="155">
        <v>443</v>
      </c>
      <c r="I36" s="155">
        <v>426</v>
      </c>
      <c r="J36" s="155">
        <v>407</v>
      </c>
      <c r="K36" s="155">
        <v>108</v>
      </c>
      <c r="L36" s="155">
        <v>51</v>
      </c>
      <c r="M36" s="155">
        <v>554</v>
      </c>
      <c r="N36" s="155">
        <v>515</v>
      </c>
      <c r="O36" s="155">
        <v>448</v>
      </c>
      <c r="P36" s="155">
        <v>381</v>
      </c>
      <c r="Q36" s="25">
        <v>334</v>
      </c>
      <c r="R36" s="25">
        <v>87</v>
      </c>
      <c r="S36" s="25">
        <v>34</v>
      </c>
      <c r="T36" s="25">
        <v>444</v>
      </c>
      <c r="U36" s="25">
        <v>437</v>
      </c>
      <c r="V36" s="25">
        <v>370</v>
      </c>
      <c r="W36" s="25">
        <v>89</v>
      </c>
      <c r="X36" s="25">
        <v>286</v>
      </c>
      <c r="Y36" s="25">
        <v>151</v>
      </c>
      <c r="Z36" s="25">
        <v>44</v>
      </c>
      <c r="AA36" s="25">
        <v>445</v>
      </c>
      <c r="AB36" s="25">
        <v>411</v>
      </c>
      <c r="AC36" s="25">
        <v>335</v>
      </c>
      <c r="AD36" s="25"/>
      <c r="AE36" s="25"/>
      <c r="AF36" s="25"/>
      <c r="AG36" s="159"/>
      <c r="AH36" s="54">
        <f>SUM(C36:AG36)</f>
        <v>8559</v>
      </c>
      <c r="AI36" s="37">
        <f>AH36/COUNTA(C36:AG36)</f>
        <v>317</v>
      </c>
      <c r="AJ36" s="57">
        <f>AI36*30</f>
        <v>9510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18320</v>
      </c>
      <c r="AJ3" s="66">
        <f>Indicadores!AI33</f>
        <v>678.51851851851848</v>
      </c>
      <c r="AK3" s="55">
        <f>Indicadores!AJ33</f>
        <v>21034.074074074073</v>
      </c>
    </row>
    <row r="4" spans="1:16384" x14ac:dyDescent="0.25">
      <c r="B4" s="192" t="s">
        <v>19</v>
      </c>
      <c r="C4" s="193"/>
      <c r="D4" s="39">
        <f>IF(Indicadores!C34,Indicadores!C34,"")</f>
        <v>6</v>
      </c>
      <c r="E4" s="39">
        <f>IF(Indicadores!D34,Indicadores!D34,"")</f>
        <v>6</v>
      </c>
      <c r="F4" s="39">
        <f>IF(Indicadores!E34,Indicadores!E34,"")</f>
        <v>2</v>
      </c>
      <c r="G4" s="39">
        <f>IF(Indicadores!F34,Indicadores!F34,"")</f>
        <v>7</v>
      </c>
      <c r="H4" s="39">
        <f>IF(Indicadores!G34,Indicadores!G34,"")</f>
        <v>12</v>
      </c>
      <c r="I4" s="39">
        <f>IF(Indicadores!H34,Indicadores!H34,"")</f>
        <v>4</v>
      </c>
      <c r="J4" s="39">
        <f>IF(Indicadores!I34,Indicadores!I34,"")</f>
        <v>3</v>
      </c>
      <c r="K4" s="39">
        <f>IF(Indicadores!J34,Indicadores!J34,"")</f>
        <v>7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9</v>
      </c>
      <c r="P4" s="39">
        <f>IF(Indicadores!O34,Indicadores!O34,"")</f>
        <v>6</v>
      </c>
      <c r="Q4" s="39">
        <f>IF(Indicadores!P34,Indicadores!P34,"")</f>
        <v>11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6</v>
      </c>
      <c r="Y4" s="39">
        <f>IF(Indicadores!X34,Indicadores!X34,"")</f>
        <v>8</v>
      </c>
      <c r="Z4" s="39">
        <f>IF(Indicadores!Y34,Indicadores!Y34,"")</f>
        <v>1</v>
      </c>
      <c r="AA4" s="39" t="str">
        <f>IF(Indicadores!Z34,Indicadores!Z34,"")</f>
        <v/>
      </c>
      <c r="AB4" s="39">
        <f>IF(Indicadores!AA34,Indicadores!AA34,"")</f>
        <v>5</v>
      </c>
      <c r="AC4" s="39">
        <f>IF(Indicadores!AB34,Indicadores!AB34,"")</f>
        <v>9</v>
      </c>
      <c r="AD4" s="39">
        <f>IF(Indicadores!AC34,Indicadores!AC34,"")</f>
        <v>13</v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168</v>
      </c>
      <c r="AJ4" s="75">
        <f>Indicadores!AI34</f>
        <v>6.2222222222222223</v>
      </c>
      <c r="AK4" s="56">
        <f>Indicadores!AJ34</f>
        <v>186.66666666666666</v>
      </c>
    </row>
    <row r="5" spans="1:16384" x14ac:dyDescent="0.25">
      <c r="B5" s="192" t="s">
        <v>20</v>
      </c>
      <c r="C5" s="193"/>
      <c r="D5" s="39">
        <f>IF(Indicadores!C35,Indicadores!C35,"")</f>
        <v>541</v>
      </c>
      <c r="E5" s="39">
        <f>IF(Indicadores!D35,Indicadores!D35,"")</f>
        <v>121</v>
      </c>
      <c r="F5" s="39">
        <f>IF(Indicadores!E35,Indicadores!E35,"")</f>
        <v>44</v>
      </c>
      <c r="G5" s="39">
        <f>IF(Indicadores!F35,Indicadores!F35,"")</f>
        <v>586</v>
      </c>
      <c r="H5" s="39">
        <f>IF(Indicadores!G35,Indicadores!G35,"")</f>
        <v>545</v>
      </c>
      <c r="I5" s="39">
        <f>IF(Indicadores!H35,Indicadores!H35,"")</f>
        <v>433</v>
      </c>
      <c r="J5" s="39">
        <f>IF(Indicadores!I35,Indicadores!I35,"")</f>
        <v>503</v>
      </c>
      <c r="K5" s="39">
        <f>IF(Indicadores!J35,Indicadores!J35,"")</f>
        <v>484</v>
      </c>
      <c r="L5" s="39">
        <f>IF(Indicadores!K35,Indicadores!K35,"")</f>
        <v>115</v>
      </c>
      <c r="M5" s="39">
        <f>IF(Indicadores!L35,Indicadores!L35,"")</f>
        <v>34</v>
      </c>
      <c r="N5" s="39">
        <f>IF(Indicadores!M35,Indicadores!M35,"")</f>
        <v>523</v>
      </c>
      <c r="O5" s="39">
        <f>IF(Indicadores!N35,Indicadores!N35,"")</f>
        <v>568</v>
      </c>
      <c r="P5" s="39">
        <f>IF(Indicadores!O35,Indicadores!O35,"")</f>
        <v>565</v>
      </c>
      <c r="Q5" s="39">
        <f>IF(Indicadores!P35,Indicadores!P35,"")</f>
        <v>483</v>
      </c>
      <c r="R5" s="39">
        <f>IF(Indicadores!Q35,Indicadores!Q35,"")</f>
        <v>388</v>
      </c>
      <c r="S5" s="39">
        <f>IF(Indicadores!R35,Indicadores!R35,"")</f>
        <v>102</v>
      </c>
      <c r="T5" s="39">
        <f>IF(Indicadores!S35,Indicadores!S35,"")</f>
        <v>20</v>
      </c>
      <c r="U5" s="39">
        <f>IF(Indicadores!T35,Indicadores!T35,"")</f>
        <v>524</v>
      </c>
      <c r="V5" s="39">
        <f>IF(Indicadores!U35,Indicadores!U35,"")</f>
        <v>463</v>
      </c>
      <c r="W5" s="39">
        <f>IF(Indicadores!V35,Indicadores!V35,"")</f>
        <v>375</v>
      </c>
      <c r="X5" s="39">
        <f>IF(Indicadores!W35,Indicadores!W35,"")</f>
        <v>107</v>
      </c>
      <c r="Y5" s="39">
        <f>IF(Indicadores!X35,Indicadores!X35,"")</f>
        <v>399</v>
      </c>
      <c r="Z5" s="39">
        <f>IF(Indicadores!Y35,Indicadores!Y35,"")</f>
        <v>99</v>
      </c>
      <c r="AA5" s="39">
        <f>IF(Indicadores!Z35,Indicadores!Z35,"")</f>
        <v>25</v>
      </c>
      <c r="AB5" s="39">
        <f>IF(Indicadores!AA35,Indicadores!AA35,"")</f>
        <v>566</v>
      </c>
      <c r="AC5" s="39">
        <f>IF(Indicadores!AB35,Indicadores!AB35,"")</f>
        <v>452</v>
      </c>
      <c r="AD5" s="39">
        <f>IF(Indicadores!AC35,Indicadores!AC35,"")</f>
        <v>528</v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9593</v>
      </c>
      <c r="AJ5" s="75">
        <f>Indicadores!AI35</f>
        <v>355.2962962962963</v>
      </c>
      <c r="AK5" s="56">
        <f>Indicadores!AJ35</f>
        <v>10658.888888888889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39</v>
      </c>
      <c r="G6" s="40">
        <f>IF(Indicadores!F36,Indicadores!F36,"")</f>
        <v>582</v>
      </c>
      <c r="H6" s="40">
        <f>IF(Indicadores!G36,Indicadores!G36,"")</f>
        <v>488</v>
      </c>
      <c r="I6" s="40">
        <f>IF(Indicadores!H36,Indicadores!H36,"")</f>
        <v>443</v>
      </c>
      <c r="J6" s="40">
        <f>IF(Indicadores!I36,Indicadores!I36,"")</f>
        <v>426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51</v>
      </c>
      <c r="N6" s="40">
        <f>IF(Indicadores!M36,Indicadores!M36,"")</f>
        <v>554</v>
      </c>
      <c r="O6" s="40">
        <f>IF(Indicadores!N36,Indicadores!N36,"")</f>
        <v>515</v>
      </c>
      <c r="P6" s="40">
        <f>IF(Indicadores!O36,Indicadores!O36,"")</f>
        <v>448</v>
      </c>
      <c r="Q6" s="40">
        <f>IF(Indicadores!P36,Indicadores!P36,"")</f>
        <v>381</v>
      </c>
      <c r="R6" s="40">
        <f>IF(Indicadores!Q36,Indicadores!Q36,"")</f>
        <v>334</v>
      </c>
      <c r="S6" s="40">
        <f>IF(Indicadores!R36,Indicadores!R36,"")</f>
        <v>87</v>
      </c>
      <c r="T6" s="40">
        <f>IF(Indicadores!S36,Indicadores!S36,"")</f>
        <v>34</v>
      </c>
      <c r="U6" s="40">
        <f>IF(Indicadores!T36,Indicadores!T36,"")</f>
        <v>444</v>
      </c>
      <c r="V6" s="40">
        <f>IF(Indicadores!U36,Indicadores!U36,"")</f>
        <v>437</v>
      </c>
      <c r="W6" s="40">
        <f>IF(Indicadores!V36,Indicadores!V36,"")</f>
        <v>370</v>
      </c>
      <c r="X6" s="40">
        <f>IF(Indicadores!W36,Indicadores!W36,"")</f>
        <v>89</v>
      </c>
      <c r="Y6" s="40">
        <f>IF(Indicadores!X36,Indicadores!X36,"")</f>
        <v>286</v>
      </c>
      <c r="Z6" s="40">
        <f>IF(Indicadores!Y36,Indicadores!Y36,"")</f>
        <v>151</v>
      </c>
      <c r="AA6" s="40">
        <f>IF(Indicadores!Z36,Indicadores!Z36,"")</f>
        <v>44</v>
      </c>
      <c r="AB6" s="40">
        <f>IF(Indicadores!AA36,Indicadores!AA36,"")</f>
        <v>445</v>
      </c>
      <c r="AC6" s="40">
        <f>IF(Indicadores!AB36,Indicadores!AB36,"")</f>
        <v>411</v>
      </c>
      <c r="AD6" s="40">
        <f>IF(Indicadores!AC36,Indicadores!AC36,"")</f>
        <v>335</v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8559</v>
      </c>
      <c r="AJ6" s="42">
        <f>Indicadores!AI36</f>
        <v>317</v>
      </c>
      <c r="AK6" s="56">
        <f>Indicadores!AJ36</f>
        <v>9510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19901.131307723161</v>
      </c>
      <c r="AJ15" s="66">
        <f>SUM(AJ16:AJ18)</f>
        <v>641.97197766848899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6</v>
      </c>
      <c r="E16" s="137">
        <f t="shared" ref="E16:AH16" si="4">IF(E4&lt;&gt;"",E4,E10)</f>
        <v>6</v>
      </c>
      <c r="F16" s="137">
        <f t="shared" si="4"/>
        <v>2</v>
      </c>
      <c r="G16" s="137">
        <f t="shared" si="4"/>
        <v>7</v>
      </c>
      <c r="H16" s="137">
        <f t="shared" si="4"/>
        <v>12</v>
      </c>
      <c r="I16" s="137">
        <f t="shared" si="4"/>
        <v>4</v>
      </c>
      <c r="J16" s="137">
        <f t="shared" si="4"/>
        <v>3</v>
      </c>
      <c r="K16" s="137">
        <f t="shared" si="4"/>
        <v>7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9</v>
      </c>
      <c r="P16" s="137">
        <f t="shared" si="4"/>
        <v>6</v>
      </c>
      <c r="Q16" s="137">
        <f t="shared" si="4"/>
        <v>11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6</v>
      </c>
      <c r="Y16" s="137">
        <f t="shared" si="4"/>
        <v>8</v>
      </c>
      <c r="Z16" s="137">
        <f t="shared" si="4"/>
        <v>1</v>
      </c>
      <c r="AA16" s="137">
        <f t="shared" si="4"/>
        <v>1.2267536704730833</v>
      </c>
      <c r="AB16" s="137">
        <f t="shared" si="4"/>
        <v>5</v>
      </c>
      <c r="AC16" s="137">
        <f t="shared" si="4"/>
        <v>9</v>
      </c>
      <c r="AD16" s="137">
        <f t="shared" si="4"/>
        <v>13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189.7748776508972</v>
      </c>
      <c r="AJ16" s="106">
        <f>AI16/COUNTA(C16:AG16)</f>
        <v>6.121770246803135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541</v>
      </c>
      <c r="E17" s="137">
        <f t="shared" ref="E17:AH17" si="6">IF(E5&lt;&gt;"",E5,E11)</f>
        <v>121</v>
      </c>
      <c r="F17" s="137">
        <f t="shared" si="6"/>
        <v>44</v>
      </c>
      <c r="G17" s="137">
        <f t="shared" si="6"/>
        <v>586</v>
      </c>
      <c r="H17" s="137">
        <f t="shared" si="6"/>
        <v>545</v>
      </c>
      <c r="I17" s="137">
        <f t="shared" si="6"/>
        <v>433</v>
      </c>
      <c r="J17" s="137">
        <f t="shared" si="6"/>
        <v>503</v>
      </c>
      <c r="K17" s="137">
        <f t="shared" si="6"/>
        <v>484</v>
      </c>
      <c r="L17" s="137">
        <f t="shared" si="6"/>
        <v>115</v>
      </c>
      <c r="M17" s="137">
        <f t="shared" si="6"/>
        <v>34</v>
      </c>
      <c r="N17" s="137">
        <f t="shared" si="6"/>
        <v>523</v>
      </c>
      <c r="O17" s="137">
        <f t="shared" si="6"/>
        <v>568</v>
      </c>
      <c r="P17" s="137">
        <f t="shared" si="6"/>
        <v>565</v>
      </c>
      <c r="Q17" s="137">
        <f t="shared" si="6"/>
        <v>483</v>
      </c>
      <c r="R17" s="137">
        <f t="shared" si="6"/>
        <v>388</v>
      </c>
      <c r="S17" s="137">
        <f t="shared" si="6"/>
        <v>102</v>
      </c>
      <c r="T17" s="137">
        <f t="shared" si="6"/>
        <v>20</v>
      </c>
      <c r="U17" s="137">
        <f t="shared" si="6"/>
        <v>524</v>
      </c>
      <c r="V17" s="137">
        <f t="shared" si="6"/>
        <v>463</v>
      </c>
      <c r="W17" s="137">
        <f t="shared" si="6"/>
        <v>375</v>
      </c>
      <c r="X17" s="137">
        <f t="shared" si="6"/>
        <v>107</v>
      </c>
      <c r="Y17" s="137">
        <f t="shared" si="6"/>
        <v>399</v>
      </c>
      <c r="Z17" s="137">
        <f t="shared" si="6"/>
        <v>99</v>
      </c>
      <c r="AA17" s="137">
        <f t="shared" si="6"/>
        <v>25</v>
      </c>
      <c r="AB17" s="137">
        <f t="shared" si="6"/>
        <v>566</v>
      </c>
      <c r="AC17" s="137">
        <f t="shared" si="6"/>
        <v>452</v>
      </c>
      <c r="AD17" s="137">
        <f t="shared" si="6"/>
        <v>528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10545.055803996194</v>
      </c>
      <c r="AJ17" s="106">
        <f>AI17/COUNTA(C17:AG17)</f>
        <v>340.16309045149012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39</v>
      </c>
      <c r="G18" s="148">
        <f t="shared" si="8"/>
        <v>582</v>
      </c>
      <c r="H18" s="148">
        <f t="shared" si="8"/>
        <v>488</v>
      </c>
      <c r="I18" s="148">
        <f t="shared" si="8"/>
        <v>443</v>
      </c>
      <c r="J18" s="148">
        <f t="shared" si="8"/>
        <v>426</v>
      </c>
      <c r="K18" s="148">
        <f t="shared" si="8"/>
        <v>407</v>
      </c>
      <c r="L18" s="148">
        <f t="shared" si="8"/>
        <v>108</v>
      </c>
      <c r="M18" s="148">
        <f t="shared" si="8"/>
        <v>51</v>
      </c>
      <c r="N18" s="148">
        <f t="shared" si="8"/>
        <v>554</v>
      </c>
      <c r="O18" s="148">
        <f t="shared" si="8"/>
        <v>515</v>
      </c>
      <c r="P18" s="148">
        <f t="shared" si="8"/>
        <v>448</v>
      </c>
      <c r="Q18" s="148">
        <f t="shared" si="8"/>
        <v>381</v>
      </c>
      <c r="R18" s="148">
        <f t="shared" si="8"/>
        <v>334</v>
      </c>
      <c r="S18" s="148">
        <f t="shared" si="8"/>
        <v>87</v>
      </c>
      <c r="T18" s="148">
        <f t="shared" si="8"/>
        <v>34</v>
      </c>
      <c r="U18" s="148">
        <f t="shared" si="8"/>
        <v>444</v>
      </c>
      <c r="V18" s="148">
        <f t="shared" si="8"/>
        <v>437</v>
      </c>
      <c r="W18" s="148">
        <f t="shared" si="8"/>
        <v>370</v>
      </c>
      <c r="X18" s="148">
        <f t="shared" si="8"/>
        <v>89</v>
      </c>
      <c r="Y18" s="148">
        <f t="shared" si="8"/>
        <v>286</v>
      </c>
      <c r="Z18" s="148">
        <f t="shared" si="8"/>
        <v>151</v>
      </c>
      <c r="AA18" s="148">
        <f t="shared" si="8"/>
        <v>44</v>
      </c>
      <c r="AB18" s="148">
        <f t="shared" si="8"/>
        <v>445</v>
      </c>
      <c r="AC18" s="148">
        <f t="shared" si="8"/>
        <v>411</v>
      </c>
      <c r="AD18" s="148">
        <f t="shared" si="8"/>
        <v>335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9166.3006260760685</v>
      </c>
      <c r="AJ18" s="109">
        <f>AI18/COUNTA(C18:AG18)</f>
        <v>295.68711697019575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18320</v>
      </c>
      <c r="D21" s="142">
        <f>SUM(D22:D24)</f>
        <v>19901.131307723161</v>
      </c>
      <c r="E21" s="143">
        <f>SUM(E22:E24)</f>
        <v>18666.200000000004</v>
      </c>
      <c r="F21" s="138">
        <f>(D21-E21)/E21</f>
        <v>6.6158688309519667E-2</v>
      </c>
      <c r="G21" s="133">
        <f>F21</f>
        <v>6.6158688309519667E-2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168</v>
      </c>
      <c r="D22" s="145">
        <f>AI16</f>
        <v>189.7748776508972</v>
      </c>
      <c r="E22" s="143">
        <f>$AI$10</f>
        <v>188.00000000000003</v>
      </c>
      <c r="F22" s="139">
        <f t="shared" ref="F22:F24" si="10">(D22-E22)/E22</f>
        <v>9.440838568601952E-3</v>
      </c>
      <c r="G22" s="133">
        <f>F22</f>
        <v>9.440838568601952E-3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9593</v>
      </c>
      <c r="D23" s="145">
        <f>AI17</f>
        <v>10545.055803996194</v>
      </c>
      <c r="E23" s="143">
        <f>AI11</f>
        <v>11005.800000000003</v>
      </c>
      <c r="F23" s="139">
        <f t="shared" si="10"/>
        <v>-4.1863762380182128E-2</v>
      </c>
      <c r="G23" s="133">
        <f>F23</f>
        <v>-4.1863762380182128E-2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8559</v>
      </c>
      <c r="D24" s="147">
        <f>AI18</f>
        <v>9166.3006260760685</v>
      </c>
      <c r="E24" s="168">
        <f>AI12</f>
        <v>7472.4000000000005</v>
      </c>
      <c r="F24" s="140">
        <f t="shared" si="10"/>
        <v>0.22668762727852737</v>
      </c>
      <c r="G24" s="136">
        <f>F24</f>
        <v>0.22668762727852737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18320</v>
      </c>
      <c r="D6" s="7">
        <f>'Dados - Gráficos'!D21</f>
        <v>19901.131307723161</v>
      </c>
      <c r="E6" s="93">
        <f>'Dados - Gráficos'!E21</f>
        <v>18666.200000000004</v>
      </c>
      <c r="F6" s="118">
        <f>'Dados - Gráficos'!F21</f>
        <v>6.6158688309519667E-2</v>
      </c>
      <c r="G6" s="119">
        <f>'Dados - Gráficos'!G21</f>
        <v>6.6158688309519667E-2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168</v>
      </c>
      <c r="D7" s="8">
        <f>'Dados - Gráficos'!D22</f>
        <v>189.7748776508972</v>
      </c>
      <c r="E7" s="93">
        <f>'Dados - Gráficos'!E22</f>
        <v>188.00000000000003</v>
      </c>
      <c r="F7" s="120">
        <f>'Dados - Gráficos'!F22</f>
        <v>9.440838568601952E-3</v>
      </c>
      <c r="G7" s="119">
        <f>'Dados - Gráficos'!G22</f>
        <v>9.440838568601952E-3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9593</v>
      </c>
      <c r="D8" s="8">
        <f>'Dados - Gráficos'!D23</f>
        <v>10545.055803996194</v>
      </c>
      <c r="E8" s="93">
        <f>'Dados - Gráficos'!E23</f>
        <v>11005.800000000003</v>
      </c>
      <c r="F8" s="120">
        <f>'Dados - Gráficos'!F23</f>
        <v>-4.1863762380182128E-2</v>
      </c>
      <c r="G8" s="119">
        <f>'Dados - Gráficos'!G23</f>
        <v>-4.1863762380182128E-2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8559</v>
      </c>
      <c r="D9" s="17">
        <f>'Dados - Gráficos'!D24</f>
        <v>9166.3006260760685</v>
      </c>
      <c r="E9" s="94">
        <f>'Dados - Gráficos'!E24</f>
        <v>7472.4000000000005</v>
      </c>
      <c r="F9" s="121">
        <f>'Dados - Gráficos'!F24</f>
        <v>0.22668762727852737</v>
      </c>
      <c r="G9" s="122">
        <f>'Dados - Gráficos'!G24</f>
        <v>0.22668762727852737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2016-04-28T12:51:55Z</dcterms:modified>
</cp:coreProperties>
</file>