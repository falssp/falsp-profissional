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Roberto Contax\CSC ADM Processos\Reunião diária\Abril de 2016\"/>
    </mc:Choice>
  </mc:AlternateContent>
  <bookViews>
    <workbookView xWindow="0" yWindow="0" windowWidth="20490" windowHeight="72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E21" i="7" l="1"/>
  <c r="B14" i="7" l="1"/>
  <c r="B8" i="7"/>
  <c r="B2" i="7"/>
  <c r="AJ10" i="7"/>
  <c r="AK10" i="7" s="1"/>
  <c r="AI12" i="7"/>
  <c r="AJ12" i="7" s="1"/>
  <c r="AK12" i="7" s="1"/>
  <c r="AI11" i="7"/>
  <c r="AJ11" i="7" s="1"/>
  <c r="AK11" i="7" s="1"/>
  <c r="AI10" i="7"/>
  <c r="AH14" i="7"/>
  <c r="AG14" i="7"/>
  <c r="AF14" i="7"/>
  <c r="AE14" i="7"/>
  <c r="AD14" i="7"/>
  <c r="AC14" i="7"/>
  <c r="AB14" i="7"/>
  <c r="AA14" i="7"/>
  <c r="Z14" i="7"/>
  <c r="Y14" i="7"/>
  <c r="X14" i="7"/>
  <c r="W14" i="7"/>
  <c r="V14" i="7"/>
  <c r="U14" i="7"/>
  <c r="T14" i="7"/>
  <c r="S14" i="7"/>
  <c r="R14" i="7"/>
  <c r="Q14" i="7"/>
  <c r="P14" i="7"/>
  <c r="O14" i="7"/>
  <c r="N14" i="7"/>
  <c r="M14" i="7"/>
  <c r="L14" i="7"/>
  <c r="K14" i="7"/>
  <c r="J14" i="7"/>
  <c r="I14" i="7"/>
  <c r="H14" i="7"/>
  <c r="G14" i="7"/>
  <c r="F14" i="7"/>
  <c r="E14" i="7"/>
  <c r="D14" i="7"/>
  <c r="AH8" i="7"/>
  <c r="AG8" i="7"/>
  <c r="AF8" i="7"/>
  <c r="AE8" i="7"/>
  <c r="AD8" i="7"/>
  <c r="AC8" i="7"/>
  <c r="AB8" i="7"/>
  <c r="AA8" i="7"/>
  <c r="Z8" i="7"/>
  <c r="Y8" i="7"/>
  <c r="X8" i="7"/>
  <c r="W8" i="7"/>
  <c r="V8" i="7"/>
  <c r="U8" i="7"/>
  <c r="T8" i="7"/>
  <c r="S8" i="7"/>
  <c r="R8" i="7"/>
  <c r="Q8" i="7"/>
  <c r="P8" i="7"/>
  <c r="O8" i="7"/>
  <c r="N8" i="7"/>
  <c r="M8" i="7"/>
  <c r="L8" i="7"/>
  <c r="K8" i="7"/>
  <c r="J8" i="7"/>
  <c r="I8" i="7"/>
  <c r="H8" i="7"/>
  <c r="G8" i="7"/>
  <c r="F8" i="7"/>
  <c r="E8" i="7"/>
  <c r="D8" i="7"/>
  <c r="AH3" i="7"/>
  <c r="E4" i="7"/>
  <c r="F4" i="7"/>
  <c r="G4" i="7"/>
  <c r="H4" i="7"/>
  <c r="I4" i="7"/>
  <c r="J4" i="7"/>
  <c r="K4" i="7"/>
  <c r="L4" i="7"/>
  <c r="M4" i="7"/>
  <c r="N4" i="7"/>
  <c r="O4" i="7"/>
  <c r="P4" i="7"/>
  <c r="Q4" i="7"/>
  <c r="R4" i="7"/>
  <c r="S4" i="7"/>
  <c r="T4" i="7"/>
  <c r="U4" i="7"/>
  <c r="V4" i="7"/>
  <c r="W4" i="7"/>
  <c r="X4" i="7"/>
  <c r="Y4" i="7"/>
  <c r="Z4" i="7"/>
  <c r="AA4" i="7"/>
  <c r="AB4" i="7"/>
  <c r="AC4" i="7"/>
  <c r="AD4" i="7"/>
  <c r="AE4" i="7"/>
  <c r="AF4" i="7"/>
  <c r="AG4" i="7"/>
  <c r="E5" i="7"/>
  <c r="F5" i="7"/>
  <c r="G5" i="7"/>
  <c r="H5" i="7"/>
  <c r="I5" i="7"/>
  <c r="J5" i="7"/>
  <c r="K5" i="7"/>
  <c r="L5" i="7"/>
  <c r="M5" i="7"/>
  <c r="N5" i="7"/>
  <c r="O5" i="7"/>
  <c r="P5" i="7"/>
  <c r="Q5" i="7"/>
  <c r="R5" i="7"/>
  <c r="S5" i="7"/>
  <c r="T5" i="7"/>
  <c r="U5" i="7"/>
  <c r="V5" i="7"/>
  <c r="W5" i="7"/>
  <c r="X5" i="7"/>
  <c r="Y5" i="7"/>
  <c r="Z5" i="7"/>
  <c r="AA5" i="7"/>
  <c r="AB5" i="7"/>
  <c r="AC5" i="7"/>
  <c r="AD5" i="7"/>
  <c r="AE5" i="7"/>
  <c r="AF5" i="7"/>
  <c r="AG5" i="7"/>
  <c r="E6" i="7"/>
  <c r="F6" i="7"/>
  <c r="G6" i="7"/>
  <c r="H6" i="7"/>
  <c r="I6" i="7"/>
  <c r="J6" i="7"/>
  <c r="K6" i="7"/>
  <c r="L6" i="7"/>
  <c r="M6" i="7"/>
  <c r="N6" i="7"/>
  <c r="O6" i="7"/>
  <c r="P6" i="7"/>
  <c r="Q6" i="7"/>
  <c r="R6" i="7"/>
  <c r="S6" i="7"/>
  <c r="T6" i="7"/>
  <c r="U6" i="7"/>
  <c r="V6" i="7"/>
  <c r="W6" i="7"/>
  <c r="X6" i="7"/>
  <c r="Y6" i="7"/>
  <c r="Z6" i="7"/>
  <c r="AA6" i="7"/>
  <c r="AB6" i="7"/>
  <c r="AC6" i="7"/>
  <c r="AD6" i="7"/>
  <c r="AE6" i="7"/>
  <c r="AF6" i="7"/>
  <c r="AG6" i="7"/>
  <c r="D6" i="7"/>
  <c r="D5" i="7"/>
  <c r="D4" i="7"/>
  <c r="AH36" i="1"/>
  <c r="AI36" i="1" s="1"/>
  <c r="AJ36" i="1" s="1"/>
  <c r="AK6" i="7" s="1"/>
  <c r="AH35" i="1"/>
  <c r="AI35" i="1" s="1"/>
  <c r="AJ5" i="7" s="1"/>
  <c r="AH34" i="1"/>
  <c r="AI4" i="7" s="1"/>
  <c r="C22" i="7" s="1"/>
  <c r="AJ6" i="7" l="1"/>
  <c r="AI6" i="7"/>
  <c r="C24" i="7" s="1"/>
  <c r="AJ35" i="1"/>
  <c r="AK5" i="7" s="1"/>
  <c r="AI5" i="7"/>
  <c r="C23" i="7" s="1"/>
  <c r="AK9" i="7"/>
  <c r="AJ9" i="7"/>
  <c r="AI9" i="7"/>
  <c r="AH33" i="1"/>
  <c r="AI34" i="1"/>
  <c r="AD16" i="7"/>
  <c r="AC16" i="7"/>
  <c r="C21" i="7" l="1"/>
  <c r="AJ4" i="7"/>
  <c r="AJ34" i="1"/>
  <c r="AK4" i="7" s="1"/>
  <c r="AI33" i="1"/>
  <c r="AI3" i="7"/>
  <c r="J18" i="7"/>
  <c r="J17" i="7"/>
  <c r="J16" i="7"/>
  <c r="AJ33" i="1" l="1"/>
  <c r="AK3" i="7" s="1"/>
  <c r="AJ3" i="7"/>
  <c r="AH18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H17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H16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D16" i="7"/>
  <c r="AI16" i="7" l="1"/>
  <c r="AI18" i="7"/>
  <c r="AI17" i="7"/>
  <c r="D24" i="7" l="1"/>
  <c r="AJ18" i="7"/>
  <c r="D23" i="7"/>
  <c r="AJ17" i="7"/>
  <c r="D22" i="7"/>
  <c r="AJ16" i="7"/>
  <c r="AI15" i="7"/>
  <c r="D21" i="7"/>
  <c r="D3" i="7" l="1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E24" i="7" s="1"/>
  <c r="AH29" i="1"/>
  <c r="E23" i="7" s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<sst xmlns="http://schemas.openxmlformats.org/spreadsheetml/2006/main" count="318" uniqueCount="38">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</sst>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14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2" fontId="26" fillId="16" borderId="27" xfId="0" applyNumberFormat="1" applyFont="1" applyFill="1" applyBorder="1" applyAlignment="1">
      <alignment horizontal="center" vertical="center"/>
    </xf>
    <xf numFmtId="0" fontId="16" fillId="16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0" fontId="9" fillId="16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E5E-4BC4-A52B-E0FB30941BB5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E5E-4BC4-A52B-E0FB30941BB5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E5E-4BC4-A52B-E0FB30941BB5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E5E-4BC4-A52B-E0FB30941BB5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E5E-4BC4-A52B-E0FB30941BB5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E5E-4BC4-A52B-E0FB30941BB5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E5E-4BC4-A52B-E0FB30941BB5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1BD-4525-98ED-AF2575181242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E5E-4BC4-A52B-E0FB30941BB5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E5E-4BC4-A52B-E0FB30941BB5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E5E-4BC4-A52B-E0FB30941BB5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E5E-4BC4-A52B-E0FB30941BB5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E5E-4BC4-A52B-E0FB30941BB5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E5E-4BC4-A52B-E0FB30941BB5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E5E-4BC4-A52B-E0FB30941BB5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E5E-4BC4-A52B-E0FB30941BB5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E5E-4BC4-A52B-E0FB30941BB5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E5E-4BC4-A52B-E0FB30941BB5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E5E-4BC4-A52B-E0FB30941BB5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E5E-4BC4-A52B-E0FB30941BB5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E5E-4BC4-A52B-E0FB30941BB5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51BD-4525-98ED-AF2575181242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51BD-4525-98ED-AF2575181242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E5E-4BC4-A52B-E0FB30941BB5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E5E-4BC4-A52B-E0FB30941BB5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E5E-4BC4-A52B-E0FB30941BB5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7</c:v>
                </c:pt>
                <c:pt idx="1">
                  <c:v>6</c:v>
                </c:pt>
                <c:pt idx="2">
                  <c:v>3</c:v>
                </c:pt>
                <c:pt idx="3">
                  <c:v>12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2032"/>
        <c:axId val="193251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11.969205834683954</c:v>
                </c:pt>
                <c:pt idx="1">
                  <c:v>5.8136142625607778</c:v>
                </c:pt>
                <c:pt idx="2">
                  <c:v>1.0259319286871962</c:v>
                </c:pt>
                <c:pt idx="3">
                  <c:v>7.8654781199351698</c:v>
                </c:pt>
                <c:pt idx="4">
                  <c:v>7.8654781199351698</c:v>
                </c:pt>
                <c:pt idx="5">
                  <c:v>8.8914100486223653</c:v>
                </c:pt>
                <c:pt idx="6">
                  <c:v>12.653160453808752</c:v>
                </c:pt>
                <c:pt idx="7">
                  <c:v>11.969205834683954</c:v>
                </c:pt>
                <c:pt idx="8">
                  <c:v>5.8136142625607778</c:v>
                </c:pt>
                <c:pt idx="9">
                  <c:v>1.0259319286871962</c:v>
                </c:pt>
                <c:pt idx="10">
                  <c:v>7.8654781199351698</c:v>
                </c:pt>
                <c:pt idx="11">
                  <c:v>5.8136142625607778</c:v>
                </c:pt>
                <c:pt idx="12">
                  <c:v>8.5494327390599683</c:v>
                </c:pt>
                <c:pt idx="13">
                  <c:v>8.8914100486223653</c:v>
                </c:pt>
                <c:pt idx="14">
                  <c:v>6.1555915721231766</c:v>
                </c:pt>
                <c:pt idx="15">
                  <c:v>2.3938411669367912</c:v>
                </c:pt>
                <c:pt idx="16">
                  <c:v>2.0518638573743924</c:v>
                </c:pt>
                <c:pt idx="17">
                  <c:v>8.8914100486223653</c:v>
                </c:pt>
                <c:pt idx="18">
                  <c:v>12.311183144246353</c:v>
                </c:pt>
                <c:pt idx="19">
                  <c:v>7.8654781199351698</c:v>
                </c:pt>
                <c:pt idx="20">
                  <c:v>9.5753646677471647</c:v>
                </c:pt>
                <c:pt idx="21">
                  <c:v>7.1815235008103722</c:v>
                </c:pt>
                <c:pt idx="22">
                  <c:v>3.4197730956239871</c:v>
                </c:pt>
                <c:pt idx="23">
                  <c:v>1.3679092382495948</c:v>
                </c:pt>
                <c:pt idx="24">
                  <c:v>7.8654781199351698</c:v>
                </c:pt>
                <c:pt idx="25">
                  <c:v>8.8914100486223653</c:v>
                </c:pt>
                <c:pt idx="26">
                  <c:v>7.1815235008103722</c:v>
                </c:pt>
                <c:pt idx="27">
                  <c:v>8.2074554294975695</c:v>
                </c:pt>
                <c:pt idx="28">
                  <c:v>6.8395461912479742</c:v>
                </c:pt>
                <c:pt idx="29">
                  <c:v>3.4197730956239871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2032"/>
        <c:axId val="193251008"/>
      </c:lineChart>
      <c:dateAx>
        <c:axId val="196972032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1008"/>
        <c:crosses val="autoZero"/>
        <c:auto val="1"/>
        <c:lblOffset val="100"/>
        <c:baseTimeUnit val="days"/>
      </c:dateAx>
      <c:valAx>
        <c:axId val="193251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2032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655-4BD4-AF07-111D513ADE1F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655-4BD4-AF07-111D513ADE1F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655-4BD4-AF07-111D513ADE1F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655-4BD4-AF07-111D513ADE1F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655-4BD4-AF07-111D513ADE1F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655-4BD4-AF07-111D513ADE1F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655-4BD4-AF07-111D513ADE1F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655-4BD4-AF07-111D513ADE1F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655-4BD4-AF07-111D513ADE1F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655-4BD4-AF07-111D513ADE1F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655-4BD4-AF07-111D513ADE1F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655-4BD4-AF07-111D513ADE1F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655-4BD4-AF07-111D513ADE1F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655-4BD4-AF07-111D513ADE1F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655-4BD4-AF07-111D513ADE1F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655-4BD4-AF07-111D513ADE1F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655-4BD4-AF07-111D513ADE1F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655-4BD4-AF07-111D513ADE1F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655-4BD4-AF07-111D513ADE1F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655-4BD4-AF07-111D513ADE1F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655-4BD4-AF07-111D513ADE1F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655-4BD4-AF07-111D513ADE1F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655-4BD4-AF07-111D513ADE1F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655-4BD4-AF07-111D513ADE1F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655-4BD4-AF07-111D513ADE1F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655-4BD4-AF07-111D513ADE1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640</c:v>
                </c:pt>
                <c:pt idx="1">
                  <c:v>145</c:v>
                </c:pt>
                <c:pt idx="2">
                  <c:v>54</c:v>
                </c:pt>
                <c:pt idx="3">
                  <c:v>755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78780416"/>
        <c:axId val="19325446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509.81420121660636</c:v>
                </c:pt>
                <c:pt idx="1">
                  <c:v>128.22226894289798</c:v>
                </c:pt>
                <c:pt idx="2">
                  <c:v>66.109802932189609</c:v>
                </c:pt>
                <c:pt idx="3">
                  <c:v>644.49370672497412</c:v>
                </c:pt>
                <c:pt idx="4">
                  <c:v>639.88139489249568</c:v>
                </c:pt>
                <c:pt idx="5">
                  <c:v>634.03913323802317</c:v>
                </c:pt>
                <c:pt idx="6">
                  <c:v>511.35163849409912</c:v>
                </c:pt>
                <c:pt idx="7">
                  <c:v>509.81420121660636</c:v>
                </c:pt>
                <c:pt idx="8">
                  <c:v>128.22226894289798</c:v>
                </c:pt>
                <c:pt idx="9">
                  <c:v>66.109802932189609</c:v>
                </c:pt>
                <c:pt idx="10">
                  <c:v>448.00922266139656</c:v>
                </c:pt>
                <c:pt idx="11">
                  <c:v>360.37529784430802</c:v>
                </c:pt>
                <c:pt idx="12">
                  <c:v>522.72867434754573</c:v>
                </c:pt>
                <c:pt idx="13">
                  <c:v>503.04947719563819</c:v>
                </c:pt>
                <c:pt idx="14">
                  <c:v>476.29806856726378</c:v>
                </c:pt>
                <c:pt idx="15">
                  <c:v>128.52975639839656</c:v>
                </c:pt>
                <c:pt idx="16">
                  <c:v>32.593670282846972</c:v>
                </c:pt>
                <c:pt idx="17">
                  <c:v>601.75295041067477</c:v>
                </c:pt>
                <c:pt idx="18">
                  <c:v>522.42118689204722</c:v>
                </c:pt>
                <c:pt idx="19">
                  <c:v>462.76862052532726</c:v>
                </c:pt>
                <c:pt idx="20">
                  <c:v>508.58425139461218</c:v>
                </c:pt>
                <c:pt idx="21">
                  <c:v>419.10540184453225</c:v>
                </c:pt>
                <c:pt idx="22">
                  <c:v>124.53241947691531</c:v>
                </c:pt>
                <c:pt idx="23">
                  <c:v>46.430605780282008</c:v>
                </c:pt>
                <c:pt idx="24">
                  <c:v>595.29571384520511</c:v>
                </c:pt>
                <c:pt idx="25">
                  <c:v>578.99887870378154</c:v>
                </c:pt>
                <c:pt idx="26">
                  <c:v>458.15630869284888</c:v>
                </c:pt>
                <c:pt idx="27">
                  <c:v>524.57359908053706</c:v>
                </c:pt>
                <c:pt idx="28">
                  <c:v>356.07047346732827</c:v>
                </c:pt>
                <c:pt idx="29">
                  <c:v>125.76236929890955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780416"/>
        <c:axId val="193254464"/>
      </c:lineChart>
      <c:dateAx>
        <c:axId val="7878041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3254464"/>
        <c:crosses val="autoZero"/>
        <c:auto val="1"/>
        <c:lblOffset val="100"/>
        <c:baseTimeUnit val="days"/>
      </c:dateAx>
      <c:valAx>
        <c:axId val="19325446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787804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Abril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1936-4A8D-BE59-659F419EE3CB}"/>
                </c:ext>
              </c:extLst>
            </c:dLbl>
            <c:dLbl>
              <c:idx val="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1936-4A8D-BE59-659F419EE3CB}"/>
                </c:ext>
              </c:extLst>
            </c:dLbl>
            <c:dLbl>
              <c:idx val="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1936-4A8D-BE59-659F419EE3CB}"/>
                </c:ext>
              </c:extLst>
            </c:dLbl>
            <c:dLbl>
              <c:idx val="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1936-4A8D-BE59-659F419EE3C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1936-4A8D-BE59-659F419EE3C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1936-4A8D-BE59-659F419EE3C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1936-4A8D-BE59-659F419EE3C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1936-4A8D-BE59-659F419EE3CB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1936-4A8D-BE59-659F419EE3C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1936-4A8D-BE59-659F419EE3C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1936-4A8D-BE59-659F419EE3C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1936-4A8D-BE59-659F419EE3C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1936-4A8D-BE59-659F419EE3C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1936-4A8D-BE59-659F419EE3C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1936-4A8D-BE59-659F419EE3C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1936-4A8D-BE59-659F419EE3CB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1936-4A8D-BE59-659F419EE3C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1936-4A8D-BE59-659F419EE3C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1936-4A8D-BE59-659F419EE3CB}"/>
                </c:ext>
              </c:extLst>
            </c:dLbl>
            <c:dLbl>
              <c:idx val="2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1936-4A8D-BE59-659F419EE3C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1936-4A8D-BE59-659F419EE3C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1936-4A8D-BE59-659F419EE3CB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1936-4A8D-BE59-659F419EE3C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1936-4A8D-BE59-659F419EE3C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1936-4A8D-BE59-659F419EE3CB}"/>
                </c:ext>
              </c:extLst>
            </c:dLbl>
            <c:dLbl>
              <c:idx val="2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1936-4A8D-BE59-659F419EE3CB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492</c:v>
                </c:pt>
                <c:pt idx="1">
                  <c:v>177</c:v>
                </c:pt>
                <c:pt idx="2">
                  <c:v>40</c:v>
                </c:pt>
                <c:pt idx="3">
                  <c:v>584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96970496"/>
        <c:axId val="199467008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348.63758974146162</c:v>
                </c:pt>
                <c:pt idx="1">
                  <c:v>98.676889239324396</c:v>
                </c:pt>
                <c:pt idx="2">
                  <c:v>45.447400091297673</c:v>
                </c:pt>
                <c:pt idx="3">
                  <c:v>442.3339419844794</c:v>
                </c:pt>
                <c:pt idx="4">
                  <c:v>542.25596547288035</c:v>
                </c:pt>
                <c:pt idx="5">
                  <c:v>437.97597211271113</c:v>
                </c:pt>
                <c:pt idx="6">
                  <c:v>400.93322820268082</c:v>
                </c:pt>
                <c:pt idx="7">
                  <c:v>348.63758974146162</c:v>
                </c:pt>
                <c:pt idx="8">
                  <c:v>98.676889239324396</c:v>
                </c:pt>
                <c:pt idx="9">
                  <c:v>45.447400091297673</c:v>
                </c:pt>
                <c:pt idx="10">
                  <c:v>344.27961986969336</c:v>
                </c:pt>
                <c:pt idx="11">
                  <c:v>277.97622110636183</c:v>
                </c:pt>
                <c:pt idx="12">
                  <c:v>366.38075279080385</c:v>
                </c:pt>
                <c:pt idx="13">
                  <c:v>338.05394862431007</c:v>
                </c:pt>
                <c:pt idx="14">
                  <c:v>284.82445947628338</c:v>
                </c:pt>
                <c:pt idx="15">
                  <c:v>84.35784537494294</c:v>
                </c:pt>
                <c:pt idx="16">
                  <c:v>37.976594596837778</c:v>
                </c:pt>
                <c:pt idx="17">
                  <c:v>410.58301863302489</c:v>
                </c:pt>
                <c:pt idx="18">
                  <c:v>324.04618832219774</c:v>
                </c:pt>
                <c:pt idx="19">
                  <c:v>296.03066771797319</c:v>
                </c:pt>
                <c:pt idx="20">
                  <c:v>306.92559239739387</c:v>
                </c:pt>
                <c:pt idx="21">
                  <c:v>272.06183342324772</c:v>
                </c:pt>
                <c:pt idx="22">
                  <c:v>104.27999336016931</c:v>
                </c:pt>
                <c:pt idx="23">
                  <c:v>40.155579532721916</c:v>
                </c:pt>
                <c:pt idx="24">
                  <c:v>366.06946922853467</c:v>
                </c:pt>
                <c:pt idx="25">
                  <c:v>326.53645682035108</c:v>
                </c:pt>
                <c:pt idx="26">
                  <c:v>319.06565132589117</c:v>
                </c:pt>
                <c:pt idx="27">
                  <c:v>300.38863758974145</c:v>
                </c:pt>
                <c:pt idx="28">
                  <c:v>239.99962650952398</c:v>
                </c:pt>
                <c:pt idx="29">
                  <c:v>106.14769473378429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6970496"/>
        <c:axId val="199467008"/>
      </c:lineChart>
      <c:dateAx>
        <c:axId val="196970496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99467008"/>
        <c:crosses val="autoZero"/>
        <c:auto val="1"/>
        <c:lblOffset val="100"/>
        <c:baseTimeUnit val="days"/>
      </c:dateAx>
      <c:valAx>
        <c:axId val="199467008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9697049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60" workbookViewId="0"/>
  </sheetViews>
  <sheetProtection algorithmName="SHA-512" hashValue="UjZ7Yr8+zEgLgVEMc2T5+btOCfZ1DTbgNQ2KAbzi4VZ0INBfaiGbkZRntI8eMsZBSsOfmzAt7dPwibZWArWuAQ==" saltValue="VNlSmPg6rvgdF2KyOKo3ng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60" workbookViewId="0"/>
  </sheetViews>
  <sheetProtection algorithmName="SHA-512" hashValue="OqIRkcpiKwJAYnm+SFFwGChTCSsXolGsp5gSrVRBpmTxOtpY625rX6KGcfxbnUswbmhfkT8OMLBSrgg/0i6lKw==" saltValue="P7CAhksAoMfe6aXGrkBr2Q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60" workbookViewId="0"/>
  </sheetViews>
  <sheetProtection algorithmName="SHA-512" hashValue="dDluH2pPlxSbRAWaN2++jkhIWnAO4v/9Gb3Sl4W+afxZ0827HX1Q+W1XmV7WGfwJtr37B1yMrTyYLopRer/4hg==" saltValue="2ljOBvN3nqLHcrx5UWLGC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29308</xdr:colOff>
      <xdr:row>36</xdr:row>
      <xdr:rowOff>175846</xdr:rowOff>
    </xdr:from>
    <xdr:to>
      <xdr:col>2</xdr:col>
      <xdr:colOff>175847</xdr:colOff>
      <xdr:row>38</xdr:row>
      <xdr:rowOff>131885</xdr:rowOff>
    </xdr:to>
    <xdr:sp macro="[0]!formatar_graficos" textlink="">
      <xdr:nvSpPr>
        <xdr:cNvPr id="2" name="Retângulo de cantos arredondados 1"/>
        <xdr:cNvSpPr/>
      </xdr:nvSpPr>
      <xdr:spPr>
        <a:xfrm>
          <a:off x="117231" y="6828692"/>
          <a:ext cx="1289539" cy="337039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990135" cy="6183923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001125" cy="61912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001125" cy="6191250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36"/>
  <sheetViews>
    <sheetView showGridLines="0" topLeftCell="A23" zoomScale="130" zoomScaleNormal="130" workbookViewId="0">
      <selection activeCell="F36" sqref="F36"/>
    </sheetView>
  </sheetViews>
  <sheetFormatPr defaultColWidth="9.140625" defaultRowHeight="15" x14ac:dyDescent="0.25"/>
  <cols>
    <col min="1" max="1" width="1.28515625" style="169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69" bestFit="1" customWidth="1"/>
    <col min="40" max="16384" width="9.140625" style="169"/>
  </cols>
  <sheetData>
    <row r="1" spans="2:36" ht="15.75" thickBot="1" x14ac:dyDescent="0.3">
      <c r="B1" s="169"/>
      <c r="C1" s="169"/>
      <c r="D1" s="169"/>
      <c r="E1" s="169"/>
      <c r="F1" s="169"/>
      <c r="G1" s="169"/>
      <c r="H1" s="169"/>
      <c r="I1" s="169"/>
      <c r="J1" s="169"/>
      <c r="K1" s="169"/>
      <c r="L1" s="169"/>
      <c r="M1" s="169"/>
      <c r="N1" s="169"/>
      <c r="O1" s="169"/>
      <c r="P1" s="169"/>
      <c r="Q1" s="169"/>
      <c r="R1" s="169"/>
      <c r="S1" s="169"/>
      <c r="T1" s="169"/>
      <c r="U1" s="169"/>
      <c r="V1" s="169"/>
      <c r="W1" s="169"/>
      <c r="X1" s="169"/>
      <c r="Y1" s="169"/>
      <c r="Z1" s="169"/>
      <c r="AA1" s="169"/>
      <c r="AB1" s="169"/>
      <c r="AC1" s="169"/>
      <c r="AD1" s="169"/>
      <c r="AE1" s="169"/>
      <c r="AF1" s="169"/>
      <c r="AG1" s="169"/>
      <c r="AH1" s="169"/>
      <c r="AI1" s="169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0"/>
      <c r="C7" s="170"/>
      <c r="D7" s="170"/>
      <c r="E7" s="170"/>
      <c r="F7" s="170"/>
      <c r="G7" s="170"/>
      <c r="H7" s="170"/>
      <c r="I7" s="170"/>
      <c r="J7" s="170"/>
      <c r="K7" s="170"/>
      <c r="L7" s="170"/>
      <c r="M7" s="170"/>
      <c r="N7" s="170"/>
      <c r="O7" s="170"/>
      <c r="P7" s="170"/>
      <c r="Q7" s="170"/>
      <c r="R7" s="170"/>
      <c r="S7" s="170"/>
      <c r="T7" s="170"/>
      <c r="U7" s="170"/>
      <c r="V7" s="170"/>
      <c r="W7" s="170"/>
      <c r="X7" s="170"/>
      <c r="Y7" s="170"/>
      <c r="Z7" s="170"/>
      <c r="AA7" s="170"/>
      <c r="AB7" s="170"/>
      <c r="AC7" s="170"/>
      <c r="AD7" s="170"/>
      <c r="AE7" s="170"/>
      <c r="AF7" s="170"/>
      <c r="AG7" s="170"/>
      <c r="AH7" s="170"/>
      <c r="AI7" s="170"/>
      <c r="AJ7" s="170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0"/>
      <c r="C13" s="170"/>
      <c r="D13" s="170"/>
      <c r="E13" s="170"/>
      <c r="F13" s="170"/>
      <c r="G13" s="170"/>
      <c r="H13" s="170"/>
      <c r="I13" s="170"/>
      <c r="J13" s="170"/>
      <c r="K13" s="170"/>
      <c r="L13" s="170"/>
      <c r="M13" s="170"/>
      <c r="N13" s="170"/>
      <c r="O13" s="170"/>
      <c r="P13" s="170"/>
      <c r="Q13" s="170"/>
      <c r="R13" s="170"/>
      <c r="S13" s="170"/>
      <c r="T13" s="170"/>
      <c r="U13" s="170"/>
      <c r="V13" s="170"/>
      <c r="W13" s="170"/>
      <c r="X13" s="170"/>
      <c r="Y13" s="170"/>
      <c r="Z13" s="170"/>
      <c r="AA13" s="170"/>
      <c r="AB13" s="170"/>
      <c r="AC13" s="170"/>
      <c r="AD13" s="170"/>
      <c r="AE13" s="170"/>
      <c r="AF13" s="170"/>
      <c r="AG13" s="170"/>
      <c r="AH13" s="170"/>
      <c r="AI13" s="170"/>
      <c r="AJ13" s="170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1"/>
      <c r="C19" s="171"/>
      <c r="D19" s="171"/>
      <c r="E19" s="171"/>
      <c r="F19" s="171"/>
      <c r="G19" s="171"/>
      <c r="H19" s="171"/>
      <c r="I19" s="171"/>
      <c r="J19" s="171"/>
      <c r="K19" s="171"/>
      <c r="L19" s="171"/>
      <c r="M19" s="171"/>
      <c r="N19" s="171"/>
      <c r="O19" s="171"/>
      <c r="P19" s="171"/>
      <c r="Q19" s="171"/>
      <c r="R19" s="171"/>
      <c r="S19" s="171"/>
      <c r="T19" s="171"/>
      <c r="U19" s="171"/>
      <c r="V19" s="171"/>
      <c r="W19" s="171"/>
      <c r="X19" s="171"/>
      <c r="Y19" s="171"/>
      <c r="Z19" s="171"/>
      <c r="AA19" s="171"/>
      <c r="AB19" s="171"/>
      <c r="AC19" s="171"/>
      <c r="AD19" s="171"/>
      <c r="AE19" s="171"/>
      <c r="AF19" s="171"/>
      <c r="AG19" s="171"/>
      <c r="AH19" s="171"/>
      <c r="AI19" s="171"/>
      <c r="AJ19" s="171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1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9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2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5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3" t="s">
        <v>19</v>
      </c>
      <c r="C28" s="157">
        <v>6</v>
      </c>
      <c r="D28" s="157">
        <v>10</v>
      </c>
      <c r="E28" s="157">
        <v>6</v>
      </c>
      <c r="F28" s="157">
        <v>9</v>
      </c>
      <c r="G28" s="157">
        <v>3</v>
      </c>
      <c r="H28" s="157">
        <v>1</v>
      </c>
      <c r="I28" s="157">
        <v>8</v>
      </c>
      <c r="J28" s="157">
        <v>6</v>
      </c>
      <c r="K28" s="157">
        <v>9</v>
      </c>
      <c r="L28" s="157">
        <v>10</v>
      </c>
      <c r="M28" s="157">
        <v>6</v>
      </c>
      <c r="N28" s="157">
        <v>0</v>
      </c>
      <c r="O28" s="157">
        <v>2</v>
      </c>
      <c r="P28" s="157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8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3" t="s">
        <v>20</v>
      </c>
      <c r="C29" s="157">
        <v>663</v>
      </c>
      <c r="D29" s="157">
        <v>717</v>
      </c>
      <c r="E29" s="157">
        <v>534</v>
      </c>
      <c r="F29" s="157">
        <v>568</v>
      </c>
      <c r="G29" s="157">
        <v>103</v>
      </c>
      <c r="H29" s="157">
        <v>70</v>
      </c>
      <c r="I29" s="157">
        <v>599</v>
      </c>
      <c r="J29" s="157">
        <v>467</v>
      </c>
      <c r="K29" s="157">
        <v>560</v>
      </c>
      <c r="L29" s="157">
        <v>480</v>
      </c>
      <c r="M29" s="157">
        <v>451</v>
      </c>
      <c r="N29" s="157">
        <v>123</v>
      </c>
      <c r="O29" s="157">
        <v>37</v>
      </c>
      <c r="P29" s="157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8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4" t="s">
        <v>21</v>
      </c>
      <c r="C30" s="156">
        <v>575</v>
      </c>
      <c r="D30" s="156">
        <v>461</v>
      </c>
      <c r="E30" s="156">
        <v>389</v>
      </c>
      <c r="F30" s="156">
        <v>377</v>
      </c>
      <c r="G30" s="156">
        <v>79</v>
      </c>
      <c r="H30" s="156">
        <v>40</v>
      </c>
      <c r="I30" s="156">
        <v>549</v>
      </c>
      <c r="J30" s="156">
        <v>390</v>
      </c>
      <c r="K30" s="156">
        <v>407</v>
      </c>
      <c r="L30" s="156">
        <v>363</v>
      </c>
      <c r="M30" s="156">
        <v>317</v>
      </c>
      <c r="N30" s="156">
        <v>100</v>
      </c>
      <c r="O30" s="156">
        <v>39</v>
      </c>
      <c r="P30" s="156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60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4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9"/>
      <c r="AH32" s="165" t="s">
        <v>7</v>
      </c>
      <c r="AI32" s="166" t="s">
        <v>17</v>
      </c>
      <c r="AJ32" s="64" t="s">
        <v>18</v>
      </c>
    </row>
    <row r="33" spans="2:36" x14ac:dyDescent="0.25">
      <c r="B33" s="161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5"/>
      <c r="AH33" s="52">
        <f>SUM(AH34:AH36)</f>
        <v>2915</v>
      </c>
      <c r="AI33" s="71">
        <f>AH33/COUNTA(C34:AG34)</f>
        <v>728.75</v>
      </c>
      <c r="AJ33" s="55">
        <f>AI33*31</f>
        <v>22591.25</v>
      </c>
    </row>
    <row r="34" spans="2:36" x14ac:dyDescent="0.25">
      <c r="B34" s="162" t="s">
        <v>19</v>
      </c>
      <c r="C34" s="157">
        <v>7</v>
      </c>
      <c r="D34" s="157">
        <v>6</v>
      </c>
      <c r="E34" s="157">
        <v>3</v>
      </c>
      <c r="F34" s="157">
        <v>12</v>
      </c>
      <c r="G34" s="157"/>
      <c r="H34" s="157"/>
      <c r="I34" s="157"/>
      <c r="J34" s="157"/>
      <c r="K34" s="157"/>
      <c r="L34" s="157"/>
      <c r="M34" s="157"/>
      <c r="N34" s="157"/>
      <c r="O34" s="157"/>
      <c r="P34" s="157"/>
      <c r="Q34" s="24"/>
      <c r="R34" s="24"/>
      <c r="S34" s="24"/>
      <c r="T34" s="24"/>
      <c r="U34" s="24"/>
      <c r="V34" s="24"/>
      <c r="W34" s="24"/>
      <c r="X34" s="24"/>
      <c r="Y34" s="24"/>
      <c r="Z34" s="24"/>
      <c r="AA34" s="24"/>
      <c r="AB34" s="24"/>
      <c r="AC34" s="24"/>
      <c r="AD34" s="24"/>
      <c r="AE34" s="24"/>
      <c r="AF34" s="24"/>
      <c r="AG34" s="158"/>
      <c r="AH34" s="53">
        <f>SUM(C34:AG34)</f>
        <v>28</v>
      </c>
      <c r="AI34" s="38">
        <f>AH34/COUNTA(C34:AG34)</f>
        <v>7</v>
      </c>
      <c r="AJ34" s="56">
        <f>AI34*30</f>
        <v>210</v>
      </c>
    </row>
    <row r="35" spans="2:36" x14ac:dyDescent="0.25">
      <c r="B35" s="162" t="s">
        <v>20</v>
      </c>
      <c r="C35" s="157">
        <v>640</v>
      </c>
      <c r="D35" s="157">
        <v>145</v>
      </c>
      <c r="E35" s="157">
        <v>54</v>
      </c>
      <c r="F35" s="157">
        <v>755</v>
      </c>
      <c r="G35" s="157"/>
      <c r="H35" s="157"/>
      <c r="I35" s="157"/>
      <c r="J35" s="157"/>
      <c r="K35" s="157"/>
      <c r="L35" s="157"/>
      <c r="M35" s="157"/>
      <c r="N35" s="157"/>
      <c r="O35" s="157"/>
      <c r="P35" s="157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/>
      <c r="AG35" s="158"/>
      <c r="AH35" s="53">
        <f>SUM(C35:AG35)</f>
        <v>1594</v>
      </c>
      <c r="AI35" s="38">
        <f>AH35/COUNTA(C35:AG35)</f>
        <v>398.5</v>
      </c>
      <c r="AJ35" s="56">
        <f>AI35*30</f>
        <v>11955</v>
      </c>
    </row>
    <row r="36" spans="2:36" ht="15.75" thickBot="1" x14ac:dyDescent="0.3">
      <c r="B36" s="163" t="s">
        <v>21</v>
      </c>
      <c r="C36" s="156">
        <v>492</v>
      </c>
      <c r="D36" s="156">
        <v>177</v>
      </c>
      <c r="E36" s="156">
        <v>40</v>
      </c>
      <c r="F36" s="156">
        <v>584</v>
      </c>
      <c r="G36" s="156"/>
      <c r="H36" s="156"/>
      <c r="I36" s="156"/>
      <c r="J36" s="156"/>
      <c r="K36" s="156"/>
      <c r="L36" s="156"/>
      <c r="M36" s="156"/>
      <c r="N36" s="156"/>
      <c r="O36" s="156"/>
      <c r="P36" s="156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160"/>
      <c r="AH36" s="54">
        <f>SUM(C36:AG36)</f>
        <v>1293</v>
      </c>
      <c r="AI36" s="37">
        <f>AH36/COUNTA(C36:AG36)</f>
        <v>323.25</v>
      </c>
      <c r="AJ36" s="57">
        <f>AI36*30</f>
        <v>9697.5</v>
      </c>
    </row>
  </sheetData>
  <sheetProtection insertRows="0"/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topLeftCell="A13" zoomScaleNormal="100" workbookViewId="0">
      <selection activeCell="D10" sqref="D10:AG10"/>
    </sheetView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69"/>
      <c r="D1" s="172"/>
      <c r="E1" s="172"/>
      <c r="F1" s="172"/>
      <c r="G1" s="172"/>
      <c r="H1" s="172"/>
      <c r="I1" s="172"/>
      <c r="J1" s="172"/>
      <c r="K1" s="172"/>
      <c r="L1" s="172"/>
      <c r="M1" s="172"/>
      <c r="N1" s="172"/>
      <c r="O1" s="172"/>
      <c r="P1" s="172"/>
      <c r="Q1" s="172"/>
      <c r="R1" s="172"/>
      <c r="S1" s="172"/>
      <c r="T1" s="172"/>
      <c r="U1" s="172"/>
      <c r="V1" s="172"/>
      <c r="W1" s="172"/>
      <c r="X1" s="172"/>
      <c r="Y1" s="172"/>
      <c r="Z1" s="172"/>
      <c r="AA1" s="172"/>
      <c r="AB1" s="172"/>
      <c r="AC1" s="172"/>
      <c r="AD1" s="172"/>
      <c r="AE1" s="172"/>
      <c r="AF1" s="172"/>
      <c r="AG1" s="172"/>
      <c r="AH1" s="172"/>
      <c r="AI1" s="172"/>
      <c r="AJ1" s="172"/>
      <c r="AK1" s="172"/>
    </row>
    <row r="2" spans="1:16384" ht="15" customHeight="1" x14ac:dyDescent="0.25">
      <c r="B2" s="188" t="str">
        <f>Indicadores!B32</f>
        <v>Abr - 30 dias</v>
      </c>
      <c r="C2" s="189"/>
      <c r="D2" s="1" t="s">
        <v>5</v>
      </c>
      <c r="E2" s="1" t="s">
        <v>10</v>
      </c>
      <c r="F2" s="1" t="s">
        <v>0</v>
      </c>
      <c r="G2" s="1" t="s">
        <v>1</v>
      </c>
      <c r="H2" s="1" t="s">
        <v>2</v>
      </c>
      <c r="I2" s="1" t="s">
        <v>3</v>
      </c>
      <c r="J2" s="1" t="s">
        <v>4</v>
      </c>
      <c r="K2" s="1" t="s">
        <v>5</v>
      </c>
      <c r="L2" s="1" t="s">
        <v>10</v>
      </c>
      <c r="M2" s="1" t="s">
        <v>0</v>
      </c>
      <c r="N2" s="1" t="s">
        <v>1</v>
      </c>
      <c r="O2" s="1" t="s">
        <v>2</v>
      </c>
      <c r="P2" s="1" t="s">
        <v>3</v>
      </c>
      <c r="Q2" s="1" t="s">
        <v>4</v>
      </c>
      <c r="R2" s="1" t="s">
        <v>5</v>
      </c>
      <c r="S2" s="1" t="s">
        <v>10</v>
      </c>
      <c r="T2" s="1" t="s">
        <v>0</v>
      </c>
      <c r="U2" s="1" t="s">
        <v>1</v>
      </c>
      <c r="V2" s="1" t="s">
        <v>2</v>
      </c>
      <c r="W2" s="1" t="s">
        <v>3</v>
      </c>
      <c r="X2" s="1" t="s">
        <v>4</v>
      </c>
      <c r="Y2" s="1" t="s">
        <v>5</v>
      </c>
      <c r="Z2" s="1" t="s">
        <v>10</v>
      </c>
      <c r="AA2" s="1" t="s">
        <v>0</v>
      </c>
      <c r="AB2" s="1" t="s">
        <v>1</v>
      </c>
      <c r="AC2" s="1" t="s">
        <v>2</v>
      </c>
      <c r="AD2" s="1" t="s">
        <v>3</v>
      </c>
      <c r="AE2" s="1" t="s">
        <v>4</v>
      </c>
      <c r="AF2" s="1" t="s">
        <v>5</v>
      </c>
      <c r="AG2" s="1" t="s">
        <v>10</v>
      </c>
      <c r="AH2" s="1" t="s">
        <v>4</v>
      </c>
      <c r="AI2" s="111" t="s">
        <v>7</v>
      </c>
      <c r="AJ2" s="112" t="s">
        <v>17</v>
      </c>
      <c r="AK2" s="64" t="s">
        <v>18</v>
      </c>
    </row>
    <row r="3" spans="1:16384" s="50" customFormat="1" x14ac:dyDescent="0.25">
      <c r="A3" s="10"/>
      <c r="B3" s="190" t="s">
        <v>22</v>
      </c>
      <c r="C3" s="191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2915</v>
      </c>
      <c r="AJ3" s="66">
        <f>Indicadores!AI33</f>
        <v>728.75</v>
      </c>
      <c r="AK3" s="55">
        <f>Indicadores!AJ33</f>
        <v>22591.25</v>
      </c>
    </row>
    <row r="4" spans="1:16384" x14ac:dyDescent="0.25">
      <c r="B4" s="192" t="s">
        <v>19</v>
      </c>
      <c r="C4" s="193"/>
      <c r="D4" s="39">
        <f>IF(Indicadores!C34,Indicadores!C34,"")</f>
        <v>7</v>
      </c>
      <c r="E4" s="39">
        <f>IF(Indicadores!D34,Indicadores!D34,"")</f>
        <v>6</v>
      </c>
      <c r="F4" s="39">
        <f>IF(Indicadores!E34,Indicadores!E34,"")</f>
        <v>3</v>
      </c>
      <c r="G4" s="39">
        <f>IF(Indicadores!F34,Indicadores!F34,"")</f>
        <v>12</v>
      </c>
      <c r="H4" s="39" t="str">
        <f>IF(Indicadores!G34,Indicadores!G34,"")</f>
        <v/>
      </c>
      <c r="I4" s="39" t="str">
        <f>IF(Indicadores!H34,Indicadores!H34,"")</f>
        <v/>
      </c>
      <c r="J4" s="39" t="str">
        <f>IF(Indicadores!I34,Indicadores!I34,"")</f>
        <v/>
      </c>
      <c r="K4" s="39" t="str">
        <f>IF(Indicadores!J34,Indicadores!J34,"")</f>
        <v/>
      </c>
      <c r="L4" s="39" t="str">
        <f>IF(Indicadores!K34,Indicadores!K34,"")</f>
        <v/>
      </c>
      <c r="M4" s="39" t="str">
        <f>IF(Indicadores!L34,Indicadores!L34,"")</f>
        <v/>
      </c>
      <c r="N4" s="39" t="str">
        <f>IF(Indicadores!M34,Indicadores!M34,"")</f>
        <v/>
      </c>
      <c r="O4" s="39" t="str">
        <f>IF(Indicadores!N34,Indicadores!N34,"")</f>
        <v/>
      </c>
      <c r="P4" s="39" t="str">
        <f>IF(Indicadores!O34,Indicadores!O34,"")</f>
        <v/>
      </c>
      <c r="Q4" s="39" t="str">
        <f>IF(Indicadores!P34,Indicadores!P34,"")</f>
        <v/>
      </c>
      <c r="R4" s="39" t="str">
        <f>IF(Indicadores!Q34,Indicadores!Q34,"")</f>
        <v/>
      </c>
      <c r="S4" s="39" t="str">
        <f>IF(Indicadores!R34,Indicadores!R34,"")</f>
        <v/>
      </c>
      <c r="T4" s="39" t="str">
        <f>IF(Indicadores!S34,Indicadores!S34,"")</f>
        <v/>
      </c>
      <c r="U4" s="39" t="str">
        <f>IF(Indicadores!T34,Indicadores!T34,"")</f>
        <v/>
      </c>
      <c r="V4" s="39" t="str">
        <f>IF(Indicadores!U34,Indicadores!U34,"")</f>
        <v/>
      </c>
      <c r="W4" s="39" t="str">
        <f>IF(Indicadores!V34,Indicadores!V34,"")</f>
        <v/>
      </c>
      <c r="X4" s="39" t="str">
        <f>IF(Indicadores!W34,Indicadores!W34,"")</f>
        <v/>
      </c>
      <c r="Y4" s="39" t="str">
        <f>IF(Indicadores!X34,Indicadores!X34,"")</f>
        <v/>
      </c>
      <c r="Z4" s="39" t="str">
        <f>IF(Indicadores!Y34,Indicadores!Y34,"")</f>
        <v/>
      </c>
      <c r="AA4" s="39" t="str">
        <f>IF(Indicadores!Z34,Indicadores!Z34,"")</f>
        <v/>
      </c>
      <c r="AB4" s="39" t="str">
        <f>IF(Indicadores!AA34,Indicadores!AA34,"")</f>
        <v/>
      </c>
      <c r="AC4" s="39" t="str">
        <f>IF(Indicadores!AB34,Indicadores!AB34,"")</f>
        <v/>
      </c>
      <c r="AD4" s="39" t="str">
        <f>IF(Indicadores!AC34,Indicadores!AC34,"")</f>
        <v/>
      </c>
      <c r="AE4" s="39" t="str">
        <f>IF(Indicadores!AD34,Indicadores!AD34,"")</f>
        <v/>
      </c>
      <c r="AF4" s="39" t="str">
        <f>IF(Indicadores!AE34,Indicadores!AE34,"")</f>
        <v/>
      </c>
      <c r="AG4" s="39" t="str">
        <f>IF(Indicadores!AF34,Indicadores!AF34,"")</f>
        <v/>
      </c>
      <c r="AH4" s="39"/>
      <c r="AI4" s="53">
        <f>Indicadores!AH34</f>
        <v>28</v>
      </c>
      <c r="AJ4" s="75">
        <f>Indicadores!AI34</f>
        <v>7</v>
      </c>
      <c r="AK4" s="56">
        <f>Indicadores!AJ34</f>
        <v>210</v>
      </c>
    </row>
    <row r="5" spans="1:16384" x14ac:dyDescent="0.25">
      <c r="B5" s="192" t="s">
        <v>20</v>
      </c>
      <c r="C5" s="193"/>
      <c r="D5" s="39">
        <f>IF(Indicadores!C35,Indicadores!C35,"")</f>
        <v>640</v>
      </c>
      <c r="E5" s="39">
        <f>IF(Indicadores!D35,Indicadores!D35,"")</f>
        <v>145</v>
      </c>
      <c r="F5" s="39">
        <f>IF(Indicadores!E35,Indicadores!E35,"")</f>
        <v>54</v>
      </c>
      <c r="G5" s="39">
        <f>IF(Indicadores!F35,Indicadores!F35,"")</f>
        <v>755</v>
      </c>
      <c r="H5" s="39" t="str">
        <f>IF(Indicadores!G35,Indicadores!G35,"")</f>
        <v/>
      </c>
      <c r="I5" s="39" t="str">
        <f>IF(Indicadores!H35,Indicadores!H35,"")</f>
        <v/>
      </c>
      <c r="J5" s="39" t="str">
        <f>IF(Indicadores!I35,Indicadores!I35,"")</f>
        <v/>
      </c>
      <c r="K5" s="39" t="str">
        <f>IF(Indicadores!J35,Indicadores!J35,"")</f>
        <v/>
      </c>
      <c r="L5" s="39" t="str">
        <f>IF(Indicadores!K35,Indicadores!K35,"")</f>
        <v/>
      </c>
      <c r="M5" s="39" t="str">
        <f>IF(Indicadores!L35,Indicadores!L35,"")</f>
        <v/>
      </c>
      <c r="N5" s="39" t="str">
        <f>IF(Indicadores!M35,Indicadores!M35,"")</f>
        <v/>
      </c>
      <c r="O5" s="39" t="str">
        <f>IF(Indicadores!N35,Indicadores!N35,"")</f>
        <v/>
      </c>
      <c r="P5" s="39" t="str">
        <f>IF(Indicadores!O35,Indicadores!O35,"")</f>
        <v/>
      </c>
      <c r="Q5" s="39" t="str">
        <f>IF(Indicadores!P35,Indicadores!P35,"")</f>
        <v/>
      </c>
      <c r="R5" s="39" t="str">
        <f>IF(Indicadores!Q35,Indicadores!Q35,"")</f>
        <v/>
      </c>
      <c r="S5" s="39" t="str">
        <f>IF(Indicadores!R35,Indicadores!R35,"")</f>
        <v/>
      </c>
      <c r="T5" s="39" t="str">
        <f>IF(Indicadores!S35,Indicadores!S35,"")</f>
        <v/>
      </c>
      <c r="U5" s="39" t="str">
        <f>IF(Indicadores!T35,Indicadores!T35,"")</f>
        <v/>
      </c>
      <c r="V5" s="39" t="str">
        <f>IF(Indicadores!U35,Indicadores!U35,"")</f>
        <v/>
      </c>
      <c r="W5" s="39" t="str">
        <f>IF(Indicadores!V35,Indicadores!V35,"")</f>
        <v/>
      </c>
      <c r="X5" s="39" t="str">
        <f>IF(Indicadores!W35,Indicadores!W35,"")</f>
        <v/>
      </c>
      <c r="Y5" s="39" t="str">
        <f>IF(Indicadores!X35,Indicadores!X35,"")</f>
        <v/>
      </c>
      <c r="Z5" s="39" t="str">
        <f>IF(Indicadores!Y35,Indicadores!Y35,"")</f>
        <v/>
      </c>
      <c r="AA5" s="39" t="str">
        <f>IF(Indicadores!Z35,Indicadores!Z35,"")</f>
        <v/>
      </c>
      <c r="AB5" s="39" t="str">
        <f>IF(Indicadores!AA35,Indicadores!AA35,"")</f>
        <v/>
      </c>
      <c r="AC5" s="39" t="str">
        <f>IF(Indicadores!AB35,Indicadores!AB35,"")</f>
        <v/>
      </c>
      <c r="AD5" s="39" t="str">
        <f>IF(Indicadores!AC35,Indicadores!AC35,"")</f>
        <v/>
      </c>
      <c r="AE5" s="39" t="str">
        <f>IF(Indicadores!AD35,Indicadores!AD35,"")</f>
        <v/>
      </c>
      <c r="AF5" s="39" t="str">
        <f>IF(Indicadores!AE35,Indicadores!AE35,"")</f>
        <v/>
      </c>
      <c r="AG5" s="39" t="str">
        <f>IF(Indicadores!AF35,Indicadores!AF35,"")</f>
        <v/>
      </c>
      <c r="AH5" s="39"/>
      <c r="AI5" s="53">
        <f>Indicadores!AH35</f>
        <v>1594</v>
      </c>
      <c r="AJ5" s="75">
        <f>Indicadores!AI35</f>
        <v>398.5</v>
      </c>
      <c r="AK5" s="56">
        <f>Indicadores!AJ35</f>
        <v>11955</v>
      </c>
    </row>
    <row r="6" spans="1:16384" ht="15.75" thickBot="1" x14ac:dyDescent="0.3">
      <c r="B6" s="194" t="s">
        <v>21</v>
      </c>
      <c r="C6" s="195"/>
      <c r="D6" s="40">
        <f>IF(Indicadores!C36,Indicadores!C36,"")</f>
        <v>492</v>
      </c>
      <c r="E6" s="40">
        <f>IF(Indicadores!D36,Indicadores!D36,"")</f>
        <v>177</v>
      </c>
      <c r="F6" s="40">
        <f>IF(Indicadores!E36,Indicadores!E36,"")</f>
        <v>40</v>
      </c>
      <c r="G6" s="40">
        <f>IF(Indicadores!F36,Indicadores!F36,"")</f>
        <v>584</v>
      </c>
      <c r="H6" s="40" t="str">
        <f>IF(Indicadores!G36,Indicadores!G36,"")</f>
        <v/>
      </c>
      <c r="I6" s="40" t="str">
        <f>IF(Indicadores!H36,Indicadores!H36,"")</f>
        <v/>
      </c>
      <c r="J6" s="40" t="str">
        <f>IF(Indicadores!I36,Indicadores!I36,"")</f>
        <v/>
      </c>
      <c r="K6" s="40" t="str">
        <f>IF(Indicadores!J36,Indicadores!J36,"")</f>
        <v/>
      </c>
      <c r="L6" s="40" t="str">
        <f>IF(Indicadores!K36,Indicadores!K36,"")</f>
        <v/>
      </c>
      <c r="M6" s="40" t="str">
        <f>IF(Indicadores!L36,Indicadores!L36,"")</f>
        <v/>
      </c>
      <c r="N6" s="40" t="str">
        <f>IF(Indicadores!M36,Indicadores!M36,"")</f>
        <v/>
      </c>
      <c r="O6" s="40" t="str">
        <f>IF(Indicadores!N36,Indicadores!N36,"")</f>
        <v/>
      </c>
      <c r="P6" s="40" t="str">
        <f>IF(Indicadores!O36,Indicadores!O36,"")</f>
        <v/>
      </c>
      <c r="Q6" s="40" t="str">
        <f>IF(Indicadores!P36,Indicadores!P36,"")</f>
        <v/>
      </c>
      <c r="R6" s="40" t="str">
        <f>IF(Indicadores!Q36,Indicadores!Q36,"")</f>
        <v/>
      </c>
      <c r="S6" s="40" t="str">
        <f>IF(Indicadores!R36,Indicadores!R36,"")</f>
        <v/>
      </c>
      <c r="T6" s="40" t="str">
        <f>IF(Indicadores!S36,Indicadores!S36,"")</f>
        <v/>
      </c>
      <c r="U6" s="40" t="str">
        <f>IF(Indicadores!T36,Indicadores!T36,"")</f>
        <v/>
      </c>
      <c r="V6" s="40" t="str">
        <f>IF(Indicadores!U36,Indicadores!U36,"")</f>
        <v/>
      </c>
      <c r="W6" s="40" t="str">
        <f>IF(Indicadores!V36,Indicadores!V36,"")</f>
        <v/>
      </c>
      <c r="X6" s="40" t="str">
        <f>IF(Indicadores!W36,Indicadores!W36,"")</f>
        <v/>
      </c>
      <c r="Y6" s="40" t="str">
        <f>IF(Indicadores!X36,Indicadores!X36,"")</f>
        <v/>
      </c>
      <c r="Z6" s="40" t="str">
        <f>IF(Indicadores!Y36,Indicadores!Y36,"")</f>
        <v/>
      </c>
      <c r="AA6" s="40" t="str">
        <f>IF(Indicadores!Z36,Indicadores!Z36,"")</f>
        <v/>
      </c>
      <c r="AB6" s="40" t="str">
        <f>IF(Indicadores!AA36,Indicadores!AA36,"")</f>
        <v/>
      </c>
      <c r="AC6" s="40" t="str">
        <f>IF(Indicadores!AB36,Indicadores!AB36,"")</f>
        <v/>
      </c>
      <c r="AD6" s="40" t="str">
        <f>IF(Indicadores!AC36,Indicadores!AC36,"")</f>
        <v/>
      </c>
      <c r="AE6" s="40" t="str">
        <f>IF(Indicadores!AD36,Indicadores!AD36,"")</f>
        <v/>
      </c>
      <c r="AF6" s="40" t="str">
        <f>IF(Indicadores!AE36,Indicadores!AE36,"")</f>
        <v/>
      </c>
      <c r="AG6" s="40" t="str">
        <f>IF(Indicadores!AF36,Indicadores!AF36,"")</f>
        <v/>
      </c>
      <c r="AH6" s="40"/>
      <c r="AI6" s="54">
        <f>Indicadores!AH36</f>
        <v>1293</v>
      </c>
      <c r="AJ6" s="42">
        <f>Indicadores!AI36</f>
        <v>323.25</v>
      </c>
      <c r="AK6" s="56">
        <f>Indicadores!AJ36</f>
        <v>9697.5</v>
      </c>
    </row>
    <row r="7" spans="1:16384" ht="15.75" thickBot="1" x14ac:dyDescent="0.3">
      <c r="C7" s="173"/>
      <c r="D7" s="174"/>
      <c r="E7" s="174"/>
      <c r="F7" s="174"/>
      <c r="G7" s="174"/>
      <c r="H7" s="174"/>
      <c r="I7" s="174"/>
      <c r="J7" s="174"/>
      <c r="K7" s="174"/>
      <c r="L7" s="174"/>
      <c r="M7" s="174"/>
      <c r="N7" s="174"/>
      <c r="O7" s="174"/>
      <c r="P7" s="174"/>
      <c r="Q7" s="174"/>
      <c r="R7" s="174"/>
      <c r="S7" s="174"/>
      <c r="T7" s="174"/>
      <c r="U7" s="174"/>
      <c r="V7" s="174"/>
      <c r="W7" s="174"/>
      <c r="X7" s="174"/>
      <c r="Y7" s="174"/>
      <c r="Z7" s="174"/>
      <c r="AA7" s="174"/>
      <c r="AB7" s="174"/>
      <c r="AC7" s="174"/>
      <c r="AD7" s="174"/>
      <c r="AE7" s="174"/>
      <c r="AF7" s="174"/>
      <c r="AG7" s="174"/>
      <c r="AH7" s="174"/>
      <c r="AI7" s="175"/>
      <c r="AJ7" s="175"/>
      <c r="AK7" s="175"/>
    </row>
    <row r="8" spans="1:16384" ht="15" customHeight="1" x14ac:dyDescent="0.25">
      <c r="B8" s="188" t="str">
        <f>B2</f>
        <v>Abr - 30 dias</v>
      </c>
      <c r="C8" s="189"/>
      <c r="D8" s="1" t="str">
        <f>D2</f>
        <v>Sex</v>
      </c>
      <c r="E8" s="1" t="str">
        <f t="shared" ref="E8:AH8" si="0">E2</f>
        <v>Sáb</v>
      </c>
      <c r="F8" s="1" t="str">
        <f t="shared" si="0"/>
        <v>Dom</v>
      </c>
      <c r="G8" s="1" t="str">
        <f t="shared" si="0"/>
        <v>Seg</v>
      </c>
      <c r="H8" s="1" t="str">
        <f t="shared" si="0"/>
        <v>Ter</v>
      </c>
      <c r="I8" s="1" t="str">
        <f t="shared" si="0"/>
        <v>Qua</v>
      </c>
      <c r="J8" s="1" t="str">
        <f t="shared" si="0"/>
        <v>Qui</v>
      </c>
      <c r="K8" s="1" t="str">
        <f t="shared" si="0"/>
        <v>Sex</v>
      </c>
      <c r="L8" s="1" t="str">
        <f t="shared" si="0"/>
        <v>Sáb</v>
      </c>
      <c r="M8" s="1" t="str">
        <f t="shared" si="0"/>
        <v>Dom</v>
      </c>
      <c r="N8" s="1" t="str">
        <f t="shared" si="0"/>
        <v>Seg</v>
      </c>
      <c r="O8" s="1" t="str">
        <f t="shared" si="0"/>
        <v>Ter</v>
      </c>
      <c r="P8" s="1" t="str">
        <f t="shared" si="0"/>
        <v>Qua</v>
      </c>
      <c r="Q8" s="1" t="str">
        <f t="shared" si="0"/>
        <v>Qui</v>
      </c>
      <c r="R8" s="1" t="str">
        <f t="shared" si="0"/>
        <v>Sex</v>
      </c>
      <c r="S8" s="1" t="str">
        <f t="shared" si="0"/>
        <v>Sáb</v>
      </c>
      <c r="T8" s="1" t="str">
        <f t="shared" si="0"/>
        <v>Dom</v>
      </c>
      <c r="U8" s="1" t="str">
        <f t="shared" si="0"/>
        <v>Seg</v>
      </c>
      <c r="V8" s="1" t="str">
        <f t="shared" si="0"/>
        <v>Ter</v>
      </c>
      <c r="W8" s="1" t="str">
        <f t="shared" si="0"/>
        <v>Qua</v>
      </c>
      <c r="X8" s="1" t="str">
        <f t="shared" si="0"/>
        <v>Qui</v>
      </c>
      <c r="Y8" s="1" t="str">
        <f t="shared" si="0"/>
        <v>Sex</v>
      </c>
      <c r="Z8" s="1" t="str">
        <f t="shared" si="0"/>
        <v>Sáb</v>
      </c>
      <c r="AA8" s="1" t="str">
        <f t="shared" si="0"/>
        <v>Dom</v>
      </c>
      <c r="AB8" s="1" t="str">
        <f t="shared" si="0"/>
        <v>Seg</v>
      </c>
      <c r="AC8" s="1" t="str">
        <f t="shared" si="0"/>
        <v>Ter</v>
      </c>
      <c r="AD8" s="1" t="str">
        <f t="shared" si="0"/>
        <v>Qua</v>
      </c>
      <c r="AE8" s="1" t="str">
        <f t="shared" si="0"/>
        <v>Qui</v>
      </c>
      <c r="AF8" s="1" t="str">
        <f t="shared" si="0"/>
        <v>Sex</v>
      </c>
      <c r="AG8" s="1" t="str">
        <f t="shared" si="0"/>
        <v>Sáb</v>
      </c>
      <c r="AH8" s="1" t="str">
        <f t="shared" si="0"/>
        <v>Qui</v>
      </c>
      <c r="AI8" s="111" t="s">
        <v>7</v>
      </c>
      <c r="AJ8" s="112" t="s">
        <v>17</v>
      </c>
      <c r="AK8" s="64" t="s">
        <v>18</v>
      </c>
    </row>
    <row r="9" spans="1:16384" s="50" customFormat="1" x14ac:dyDescent="0.25">
      <c r="A9" s="10"/>
      <c r="B9" s="190" t="s">
        <v>27</v>
      </c>
      <c r="C9" s="191"/>
      <c r="D9" s="49">
        <f>D3</f>
        <v>42430</v>
      </c>
      <c r="E9" s="49">
        <f>E3</f>
        <v>42431</v>
      </c>
      <c r="F9" s="49">
        <f t="shared" ref="F9:AH9" si="1">F3</f>
        <v>42432</v>
      </c>
      <c r="G9" s="49">
        <f t="shared" si="1"/>
        <v>42433</v>
      </c>
      <c r="H9" s="49">
        <f t="shared" si="1"/>
        <v>42434</v>
      </c>
      <c r="I9" s="49">
        <f t="shared" si="1"/>
        <v>42435</v>
      </c>
      <c r="J9" s="49">
        <f t="shared" si="1"/>
        <v>42436</v>
      </c>
      <c r="K9" s="49">
        <f t="shared" si="1"/>
        <v>42437</v>
      </c>
      <c r="L9" s="49">
        <f t="shared" si="1"/>
        <v>42438</v>
      </c>
      <c r="M9" s="49">
        <f t="shared" si="1"/>
        <v>42439</v>
      </c>
      <c r="N9" s="49">
        <f t="shared" si="1"/>
        <v>42440</v>
      </c>
      <c r="O9" s="49">
        <f t="shared" si="1"/>
        <v>42441</v>
      </c>
      <c r="P9" s="49">
        <f t="shared" si="1"/>
        <v>42442</v>
      </c>
      <c r="Q9" s="49">
        <f t="shared" si="1"/>
        <v>42443</v>
      </c>
      <c r="R9" s="49">
        <f t="shared" si="1"/>
        <v>42444</v>
      </c>
      <c r="S9" s="49">
        <f t="shared" si="1"/>
        <v>42445</v>
      </c>
      <c r="T9" s="49">
        <f t="shared" si="1"/>
        <v>42446</v>
      </c>
      <c r="U9" s="49">
        <f t="shared" si="1"/>
        <v>42447</v>
      </c>
      <c r="V9" s="49">
        <f t="shared" si="1"/>
        <v>42448</v>
      </c>
      <c r="W9" s="49">
        <f t="shared" si="1"/>
        <v>42449</v>
      </c>
      <c r="X9" s="49">
        <f t="shared" si="1"/>
        <v>42450</v>
      </c>
      <c r="Y9" s="49">
        <f t="shared" si="1"/>
        <v>42451</v>
      </c>
      <c r="Z9" s="49">
        <f t="shared" si="1"/>
        <v>42452</v>
      </c>
      <c r="AA9" s="49">
        <f t="shared" si="1"/>
        <v>42453</v>
      </c>
      <c r="AB9" s="49">
        <f t="shared" si="1"/>
        <v>42454</v>
      </c>
      <c r="AC9" s="49">
        <f t="shared" si="1"/>
        <v>42455</v>
      </c>
      <c r="AD9" s="49">
        <f t="shared" si="1"/>
        <v>42456</v>
      </c>
      <c r="AE9" s="49">
        <f t="shared" si="1"/>
        <v>42457</v>
      </c>
      <c r="AF9" s="49">
        <f t="shared" si="1"/>
        <v>42458</v>
      </c>
      <c r="AG9" s="49">
        <f t="shared" si="1"/>
        <v>42459</v>
      </c>
      <c r="AH9" s="49">
        <f t="shared" si="1"/>
        <v>42460</v>
      </c>
      <c r="AI9" s="52">
        <f>SUM(AI10:AI12)</f>
        <v>19798.890174355838</v>
      </c>
      <c r="AJ9" s="66">
        <f>SUM(AJ10:AJ12)</f>
        <v>638.67387659212386</v>
      </c>
      <c r="AK9" s="55">
        <f>SUM(AK10:AK12)</f>
        <v>19160.216297763716</v>
      </c>
    </row>
    <row r="10" spans="1:16384" x14ac:dyDescent="0.25">
      <c r="B10" s="101" t="s">
        <v>19</v>
      </c>
      <c r="C10" s="103" t="s">
        <v>35</v>
      </c>
      <c r="D10" s="51">
        <v>11.969205834683954</v>
      </c>
      <c r="E10" s="51">
        <v>5.8136142625607778</v>
      </c>
      <c r="F10" s="51">
        <v>1.0259319286871962</v>
      </c>
      <c r="G10" s="51">
        <v>7.8654781199351698</v>
      </c>
      <c r="H10" s="51">
        <v>7.8654781199351698</v>
      </c>
      <c r="I10" s="51">
        <v>8.8914100486223653</v>
      </c>
      <c r="J10" s="51">
        <v>12.653160453808752</v>
      </c>
      <c r="K10" s="51">
        <v>11.969205834683954</v>
      </c>
      <c r="L10" s="51">
        <v>5.8136142625607778</v>
      </c>
      <c r="M10" s="51">
        <v>1.0259319286871962</v>
      </c>
      <c r="N10" s="51">
        <v>7.8654781199351698</v>
      </c>
      <c r="O10" s="51">
        <v>5.8136142625607778</v>
      </c>
      <c r="P10" s="51">
        <v>8.5494327390599683</v>
      </c>
      <c r="Q10" s="51">
        <v>8.8914100486223653</v>
      </c>
      <c r="R10" s="51">
        <v>6.1555915721231766</v>
      </c>
      <c r="S10" s="51">
        <v>2.3938411669367912</v>
      </c>
      <c r="T10" s="51">
        <v>2.0518638573743924</v>
      </c>
      <c r="U10" s="51">
        <v>8.8914100486223653</v>
      </c>
      <c r="V10" s="51">
        <v>12.311183144246353</v>
      </c>
      <c r="W10" s="51">
        <v>7.8654781199351698</v>
      </c>
      <c r="X10" s="51">
        <v>9.5753646677471647</v>
      </c>
      <c r="Y10" s="51">
        <v>7.1815235008103722</v>
      </c>
      <c r="Z10" s="51">
        <v>3.4197730956239871</v>
      </c>
      <c r="AA10" s="51">
        <v>1.3679092382495948</v>
      </c>
      <c r="AB10" s="51">
        <v>7.8654781199351698</v>
      </c>
      <c r="AC10" s="51">
        <v>8.8914100486223653</v>
      </c>
      <c r="AD10" s="51">
        <v>7.1815235008103722</v>
      </c>
      <c r="AE10" s="51">
        <v>8.2074554294975695</v>
      </c>
      <c r="AF10" s="51">
        <v>6.8395461912479742</v>
      </c>
      <c r="AG10" s="43">
        <v>3.4197730956239871</v>
      </c>
      <c r="AH10" s="44"/>
      <c r="AI10" s="105">
        <f>SUM(D10:AH10)</f>
        <v>209.63209076175036</v>
      </c>
      <c r="AJ10" s="106">
        <f>AI10/COUNTA(C10:AG10)</f>
        <v>6.7623255084435598</v>
      </c>
      <c r="AK10" s="107">
        <f>AJ10*30</f>
        <v>202.86976525330681</v>
      </c>
    </row>
    <row r="11" spans="1:16384" x14ac:dyDescent="0.25">
      <c r="B11" s="101" t="s">
        <v>20</v>
      </c>
      <c r="C11" s="103" t="s">
        <v>35</v>
      </c>
      <c r="D11" s="51">
        <v>509.81420121660636</v>
      </c>
      <c r="E11" s="51">
        <v>128.22226894289798</v>
      </c>
      <c r="F11" s="51">
        <v>66.109802932189609</v>
      </c>
      <c r="G11" s="51">
        <v>644.49370672497412</v>
      </c>
      <c r="H11" s="51">
        <v>639.88139489249568</v>
      </c>
      <c r="I11" s="51">
        <v>634.03913323802317</v>
      </c>
      <c r="J11" s="51">
        <v>511.35163849409912</v>
      </c>
      <c r="K11" s="51">
        <v>509.81420121660636</v>
      </c>
      <c r="L11" s="51">
        <v>128.22226894289798</v>
      </c>
      <c r="M11" s="51">
        <v>66.109802932189609</v>
      </c>
      <c r="N11" s="51">
        <v>448.00922266139656</v>
      </c>
      <c r="O11" s="51">
        <v>360.37529784430802</v>
      </c>
      <c r="P11" s="51">
        <v>522.72867434754573</v>
      </c>
      <c r="Q11" s="51">
        <v>503.04947719563819</v>
      </c>
      <c r="R11" s="51">
        <v>476.29806856726378</v>
      </c>
      <c r="S11" s="51">
        <v>128.52975639839656</v>
      </c>
      <c r="T11" s="51">
        <v>32.593670282846972</v>
      </c>
      <c r="U11" s="51">
        <v>601.75295041067477</v>
      </c>
      <c r="V11" s="51">
        <v>522.42118689204722</v>
      </c>
      <c r="W11" s="51">
        <v>462.76862052532726</v>
      </c>
      <c r="X11" s="51">
        <v>508.58425139461218</v>
      </c>
      <c r="Y11" s="51">
        <v>419.10540184453225</v>
      </c>
      <c r="Z11" s="51">
        <v>124.53241947691531</v>
      </c>
      <c r="AA11" s="51">
        <v>46.430605780282008</v>
      </c>
      <c r="AB11" s="51">
        <v>595.29571384520511</v>
      </c>
      <c r="AC11" s="51">
        <v>578.99887870378154</v>
      </c>
      <c r="AD11" s="51">
        <v>458.15630869284888</v>
      </c>
      <c r="AE11" s="51">
        <v>524.57359908053706</v>
      </c>
      <c r="AF11" s="51">
        <v>356.07047346732827</v>
      </c>
      <c r="AG11" s="43">
        <v>125.76236929890955</v>
      </c>
      <c r="AH11" s="44"/>
      <c r="AI11" s="105">
        <f>SUM(D11:AH11)</f>
        <v>11634.09536624338</v>
      </c>
      <c r="AJ11" s="106">
        <f>AI11/COUNTA(C11:AG11)</f>
        <v>375.29339891107679</v>
      </c>
      <c r="AK11" s="107">
        <f>AJ11*30</f>
        <v>11258.801967332303</v>
      </c>
    </row>
    <row r="12" spans="1:16384" ht="15.75" thickBot="1" x14ac:dyDescent="0.3">
      <c r="B12" s="102" t="s">
        <v>21</v>
      </c>
      <c r="C12" s="104" t="s">
        <v>35</v>
      </c>
      <c r="D12" s="150">
        <v>348.63758974146162</v>
      </c>
      <c r="E12" s="150">
        <v>98.676889239324396</v>
      </c>
      <c r="F12" s="150">
        <v>45.447400091297673</v>
      </c>
      <c r="G12" s="150">
        <v>442.3339419844794</v>
      </c>
      <c r="H12" s="150">
        <v>542.25596547288035</v>
      </c>
      <c r="I12" s="150">
        <v>437.97597211271113</v>
      </c>
      <c r="J12" s="150">
        <v>400.93322820268082</v>
      </c>
      <c r="K12" s="150">
        <v>348.63758974146162</v>
      </c>
      <c r="L12" s="150">
        <v>98.676889239324396</v>
      </c>
      <c r="M12" s="150">
        <v>45.447400091297673</v>
      </c>
      <c r="N12" s="150">
        <v>344.27961986969336</v>
      </c>
      <c r="O12" s="150">
        <v>277.97622110636183</v>
      </c>
      <c r="P12" s="150">
        <v>366.38075279080385</v>
      </c>
      <c r="Q12" s="150">
        <v>338.05394862431007</v>
      </c>
      <c r="R12" s="150">
        <v>284.82445947628338</v>
      </c>
      <c r="S12" s="150">
        <v>84.35784537494294</v>
      </c>
      <c r="T12" s="150">
        <v>37.976594596837778</v>
      </c>
      <c r="U12" s="150">
        <v>410.58301863302489</v>
      </c>
      <c r="V12" s="150">
        <v>324.04618832219774</v>
      </c>
      <c r="W12" s="150">
        <v>296.03066771797319</v>
      </c>
      <c r="X12" s="150">
        <v>306.92559239739387</v>
      </c>
      <c r="Y12" s="150">
        <v>272.06183342324772</v>
      </c>
      <c r="Z12" s="150">
        <v>104.27999336016931</v>
      </c>
      <c r="AA12" s="150">
        <v>40.155579532721916</v>
      </c>
      <c r="AB12" s="150">
        <v>366.06946922853467</v>
      </c>
      <c r="AC12" s="150">
        <v>326.53645682035108</v>
      </c>
      <c r="AD12" s="150">
        <v>319.06565132589117</v>
      </c>
      <c r="AE12" s="150">
        <v>300.38863758974145</v>
      </c>
      <c r="AF12" s="150">
        <v>239.99962650952398</v>
      </c>
      <c r="AG12" s="45">
        <v>106.14769473378429</v>
      </c>
      <c r="AH12" s="46"/>
      <c r="AI12" s="108">
        <f>SUM(D12:AH12)</f>
        <v>7955.1627173507095</v>
      </c>
      <c r="AJ12" s="109">
        <f>AI12/COUNTA(C12:AG12)</f>
        <v>256.61815217260352</v>
      </c>
      <c r="AK12" s="110">
        <f>AJ12*30</f>
        <v>7698.5445651781056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8" t="str">
        <f>B8</f>
        <v>Abr - 30 dias</v>
      </c>
      <c r="C14" s="189"/>
      <c r="D14" s="1" t="str">
        <f>D8</f>
        <v>Sex</v>
      </c>
      <c r="E14" s="1" t="str">
        <f t="shared" ref="E14:AH14" si="2">E8</f>
        <v>Sáb</v>
      </c>
      <c r="F14" s="1" t="str">
        <f t="shared" si="2"/>
        <v>Dom</v>
      </c>
      <c r="G14" s="1" t="str">
        <f t="shared" si="2"/>
        <v>Seg</v>
      </c>
      <c r="H14" s="1" t="str">
        <f t="shared" si="2"/>
        <v>Ter</v>
      </c>
      <c r="I14" s="1" t="str">
        <f t="shared" si="2"/>
        <v>Qua</v>
      </c>
      <c r="J14" s="1" t="str">
        <f t="shared" si="2"/>
        <v>Qui</v>
      </c>
      <c r="K14" s="1" t="str">
        <f t="shared" si="2"/>
        <v>Sex</v>
      </c>
      <c r="L14" s="1" t="str">
        <f t="shared" si="2"/>
        <v>Sáb</v>
      </c>
      <c r="M14" s="1" t="str">
        <f t="shared" si="2"/>
        <v>Dom</v>
      </c>
      <c r="N14" s="1" t="str">
        <f t="shared" si="2"/>
        <v>Seg</v>
      </c>
      <c r="O14" s="1" t="str">
        <f t="shared" si="2"/>
        <v>Ter</v>
      </c>
      <c r="P14" s="1" t="str">
        <f t="shared" si="2"/>
        <v>Qua</v>
      </c>
      <c r="Q14" s="1" t="str">
        <f t="shared" si="2"/>
        <v>Qui</v>
      </c>
      <c r="R14" s="1" t="str">
        <f t="shared" si="2"/>
        <v>Sex</v>
      </c>
      <c r="S14" s="1" t="str">
        <f t="shared" si="2"/>
        <v>Sáb</v>
      </c>
      <c r="T14" s="1" t="str">
        <f t="shared" si="2"/>
        <v>Dom</v>
      </c>
      <c r="U14" s="1" t="str">
        <f t="shared" si="2"/>
        <v>Seg</v>
      </c>
      <c r="V14" s="1" t="str">
        <f t="shared" si="2"/>
        <v>Ter</v>
      </c>
      <c r="W14" s="1" t="str">
        <f t="shared" si="2"/>
        <v>Qua</v>
      </c>
      <c r="X14" s="1" t="str">
        <f t="shared" si="2"/>
        <v>Qui</v>
      </c>
      <c r="Y14" s="1" t="str">
        <f t="shared" si="2"/>
        <v>Sex</v>
      </c>
      <c r="Z14" s="1" t="str">
        <f t="shared" si="2"/>
        <v>Sáb</v>
      </c>
      <c r="AA14" s="1" t="str">
        <f t="shared" si="2"/>
        <v>Dom</v>
      </c>
      <c r="AB14" s="1" t="str">
        <f t="shared" si="2"/>
        <v>Seg</v>
      </c>
      <c r="AC14" s="1" t="str">
        <f t="shared" si="2"/>
        <v>Ter</v>
      </c>
      <c r="AD14" s="1" t="str">
        <f t="shared" si="2"/>
        <v>Qua</v>
      </c>
      <c r="AE14" s="1" t="str">
        <f t="shared" si="2"/>
        <v>Qui</v>
      </c>
      <c r="AF14" s="1" t="str">
        <f t="shared" si="2"/>
        <v>Sex</v>
      </c>
      <c r="AG14" s="1" t="str">
        <f t="shared" si="2"/>
        <v>Sáb</v>
      </c>
      <c r="AH14" s="1" t="str">
        <f t="shared" si="2"/>
        <v>Qui</v>
      </c>
      <c r="AI14" s="111" t="s">
        <v>7</v>
      </c>
      <c r="AJ14" s="112" t="s">
        <v>17</v>
      </c>
      <c r="AK14" s="64" t="s">
        <v>18</v>
      </c>
    </row>
    <row r="15" spans="1:16384" s="114" customFormat="1" x14ac:dyDescent="0.25">
      <c r="A15" s="10"/>
      <c r="B15" s="190" t="s">
        <v>18</v>
      </c>
      <c r="C15" s="191"/>
      <c r="D15" s="49">
        <f>D9</f>
        <v>42430</v>
      </c>
      <c r="E15" s="49">
        <f>E9</f>
        <v>42431</v>
      </c>
      <c r="F15" s="49">
        <f t="shared" ref="F15:AH15" si="3">F9</f>
        <v>42432</v>
      </c>
      <c r="G15" s="49">
        <f t="shared" si="3"/>
        <v>42433</v>
      </c>
      <c r="H15" s="49">
        <f t="shared" si="3"/>
        <v>42434</v>
      </c>
      <c r="I15" s="49">
        <f t="shared" si="3"/>
        <v>42435</v>
      </c>
      <c r="J15" s="49">
        <f t="shared" si="3"/>
        <v>42436</v>
      </c>
      <c r="K15" s="49">
        <f t="shared" si="3"/>
        <v>42437</v>
      </c>
      <c r="L15" s="49">
        <f t="shared" si="3"/>
        <v>42438</v>
      </c>
      <c r="M15" s="49">
        <f t="shared" si="3"/>
        <v>42439</v>
      </c>
      <c r="N15" s="49">
        <f t="shared" si="3"/>
        <v>42440</v>
      </c>
      <c r="O15" s="49">
        <f t="shared" si="3"/>
        <v>42441</v>
      </c>
      <c r="P15" s="49">
        <f t="shared" si="3"/>
        <v>42442</v>
      </c>
      <c r="Q15" s="49">
        <f t="shared" si="3"/>
        <v>42443</v>
      </c>
      <c r="R15" s="49">
        <f t="shared" si="3"/>
        <v>42444</v>
      </c>
      <c r="S15" s="49">
        <f t="shared" si="3"/>
        <v>42445</v>
      </c>
      <c r="T15" s="49">
        <f t="shared" si="3"/>
        <v>42446</v>
      </c>
      <c r="U15" s="49">
        <f t="shared" si="3"/>
        <v>42447</v>
      </c>
      <c r="V15" s="49">
        <f t="shared" si="3"/>
        <v>42448</v>
      </c>
      <c r="W15" s="49">
        <f t="shared" si="3"/>
        <v>42449</v>
      </c>
      <c r="X15" s="49">
        <f t="shared" si="3"/>
        <v>42450</v>
      </c>
      <c r="Y15" s="49">
        <f t="shared" si="3"/>
        <v>42451</v>
      </c>
      <c r="Z15" s="49">
        <f t="shared" si="3"/>
        <v>42452</v>
      </c>
      <c r="AA15" s="49">
        <f t="shared" si="3"/>
        <v>42453</v>
      </c>
      <c r="AB15" s="49">
        <f t="shared" si="3"/>
        <v>42454</v>
      </c>
      <c r="AC15" s="49">
        <f t="shared" si="3"/>
        <v>42455</v>
      </c>
      <c r="AD15" s="49">
        <f t="shared" si="3"/>
        <v>42456</v>
      </c>
      <c r="AE15" s="49">
        <f t="shared" si="3"/>
        <v>42457</v>
      </c>
      <c r="AF15" s="49">
        <f t="shared" si="3"/>
        <v>42458</v>
      </c>
      <c r="AG15" s="49">
        <f t="shared" si="3"/>
        <v>42459</v>
      </c>
      <c r="AH15" s="49">
        <f t="shared" si="3"/>
        <v>42460</v>
      </c>
      <c r="AI15" s="52">
        <f>SUM(AI16:AI18)</f>
        <v>20403.480143336739</v>
      </c>
      <c r="AJ15" s="66">
        <f>SUM(AJ16:AJ18)</f>
        <v>658.17677881731413</v>
      </c>
      <c r="AK15" s="55">
        <f>SUM(AK16:AK18)</f>
        <v>19160.216297763716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7</v>
      </c>
      <c r="E16" s="137">
        <f t="shared" ref="E16:AH16" si="4">IF(E4&lt;&gt;"",E4,E10)</f>
        <v>6</v>
      </c>
      <c r="F16" s="137">
        <f t="shared" si="4"/>
        <v>3</v>
      </c>
      <c r="G16" s="137">
        <f t="shared" si="4"/>
        <v>12</v>
      </c>
      <c r="H16" s="137">
        <f t="shared" si="4"/>
        <v>7.8654781199351698</v>
      </c>
      <c r="I16" s="137">
        <f t="shared" si="4"/>
        <v>8.8914100486223653</v>
      </c>
      <c r="J16" s="137">
        <f t="shared" si="4"/>
        <v>12.653160453808752</v>
      </c>
      <c r="K16" s="137">
        <f t="shared" si="4"/>
        <v>11.969205834683954</v>
      </c>
      <c r="L16" s="137">
        <f t="shared" si="4"/>
        <v>5.8136142625607778</v>
      </c>
      <c r="M16" s="137">
        <f t="shared" si="4"/>
        <v>1.0259319286871962</v>
      </c>
      <c r="N16" s="137">
        <f t="shared" si="4"/>
        <v>7.8654781199351698</v>
      </c>
      <c r="O16" s="137">
        <f t="shared" si="4"/>
        <v>5.8136142625607778</v>
      </c>
      <c r="P16" s="137">
        <f t="shared" si="4"/>
        <v>8.5494327390599683</v>
      </c>
      <c r="Q16" s="137">
        <f t="shared" si="4"/>
        <v>8.8914100486223653</v>
      </c>
      <c r="R16" s="137">
        <f t="shared" si="4"/>
        <v>6.1555915721231766</v>
      </c>
      <c r="S16" s="137">
        <f t="shared" si="4"/>
        <v>2.3938411669367912</v>
      </c>
      <c r="T16" s="137">
        <f t="shared" si="4"/>
        <v>2.0518638573743924</v>
      </c>
      <c r="U16" s="137">
        <f t="shared" si="4"/>
        <v>8.8914100486223653</v>
      </c>
      <c r="V16" s="137">
        <f t="shared" si="4"/>
        <v>12.311183144246353</v>
      </c>
      <c r="W16" s="137">
        <f t="shared" si="4"/>
        <v>7.8654781199351698</v>
      </c>
      <c r="X16" s="137">
        <f t="shared" si="4"/>
        <v>9.5753646677471647</v>
      </c>
      <c r="Y16" s="137">
        <f t="shared" si="4"/>
        <v>7.1815235008103722</v>
      </c>
      <c r="Z16" s="137">
        <f t="shared" si="4"/>
        <v>3.4197730956239871</v>
      </c>
      <c r="AA16" s="137">
        <f t="shared" si="4"/>
        <v>1.3679092382495948</v>
      </c>
      <c r="AB16" s="137">
        <f t="shared" si="4"/>
        <v>7.8654781199351698</v>
      </c>
      <c r="AC16" s="137">
        <f t="shared" si="4"/>
        <v>8.8914100486223653</v>
      </c>
      <c r="AD16" s="137">
        <f t="shared" si="4"/>
        <v>7.1815235008103722</v>
      </c>
      <c r="AE16" s="137">
        <f t="shared" si="4"/>
        <v>8.2074554294975695</v>
      </c>
      <c r="AF16" s="137">
        <f t="shared" si="4"/>
        <v>6.8395461912479742</v>
      </c>
      <c r="AG16" s="137">
        <f t="shared" si="4"/>
        <v>3.4197730956239871</v>
      </c>
      <c r="AH16" s="137">
        <f t="shared" si="4"/>
        <v>0</v>
      </c>
      <c r="AI16" s="105">
        <f>SUM(D16:AH16)</f>
        <v>210.95786061588328</v>
      </c>
      <c r="AJ16" s="106">
        <f>AI16/COUNTA(C16:AG16)</f>
        <v>6.8050922779317187</v>
      </c>
      <c r="AK16" s="107">
        <f t="shared" ref="AK16" si="5">AK10</f>
        <v>202.86976525330681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640</v>
      </c>
      <c r="E17" s="137">
        <f t="shared" ref="E17:AH17" si="6">IF(E5&lt;&gt;"",E5,E11)</f>
        <v>145</v>
      </c>
      <c r="F17" s="137">
        <f t="shared" si="6"/>
        <v>54</v>
      </c>
      <c r="G17" s="137">
        <f t="shared" si="6"/>
        <v>755</v>
      </c>
      <c r="H17" s="137">
        <f t="shared" si="6"/>
        <v>639.88139489249568</v>
      </c>
      <c r="I17" s="137">
        <f t="shared" si="6"/>
        <v>634.03913323802317</v>
      </c>
      <c r="J17" s="137">
        <f t="shared" si="6"/>
        <v>511.35163849409912</v>
      </c>
      <c r="K17" s="137">
        <f t="shared" si="6"/>
        <v>509.81420121660636</v>
      </c>
      <c r="L17" s="137">
        <f t="shared" si="6"/>
        <v>128.22226894289798</v>
      </c>
      <c r="M17" s="137">
        <f t="shared" si="6"/>
        <v>66.109802932189609</v>
      </c>
      <c r="N17" s="137">
        <f t="shared" si="6"/>
        <v>448.00922266139656</v>
      </c>
      <c r="O17" s="137">
        <f t="shared" si="6"/>
        <v>360.37529784430802</v>
      </c>
      <c r="P17" s="137">
        <f t="shared" si="6"/>
        <v>522.72867434754573</v>
      </c>
      <c r="Q17" s="137">
        <f t="shared" si="6"/>
        <v>503.04947719563819</v>
      </c>
      <c r="R17" s="137">
        <f t="shared" si="6"/>
        <v>476.29806856726378</v>
      </c>
      <c r="S17" s="137">
        <f t="shared" si="6"/>
        <v>128.52975639839656</v>
      </c>
      <c r="T17" s="137">
        <f t="shared" si="6"/>
        <v>32.593670282846972</v>
      </c>
      <c r="U17" s="137">
        <f t="shared" si="6"/>
        <v>601.75295041067477</v>
      </c>
      <c r="V17" s="137">
        <f t="shared" si="6"/>
        <v>522.42118689204722</v>
      </c>
      <c r="W17" s="137">
        <f t="shared" si="6"/>
        <v>462.76862052532726</v>
      </c>
      <c r="X17" s="137">
        <f t="shared" si="6"/>
        <v>508.58425139461218</v>
      </c>
      <c r="Y17" s="137">
        <f t="shared" si="6"/>
        <v>419.10540184453225</v>
      </c>
      <c r="Z17" s="137">
        <f t="shared" si="6"/>
        <v>124.53241947691531</v>
      </c>
      <c r="AA17" s="137">
        <f t="shared" si="6"/>
        <v>46.430605780282008</v>
      </c>
      <c r="AB17" s="137">
        <f t="shared" si="6"/>
        <v>595.29571384520511</v>
      </c>
      <c r="AC17" s="137">
        <f t="shared" si="6"/>
        <v>578.99887870378154</v>
      </c>
      <c r="AD17" s="137">
        <f t="shared" si="6"/>
        <v>458.15630869284888</v>
      </c>
      <c r="AE17" s="137">
        <f t="shared" si="6"/>
        <v>524.57359908053706</v>
      </c>
      <c r="AF17" s="137">
        <f t="shared" si="6"/>
        <v>356.07047346732827</v>
      </c>
      <c r="AG17" s="137">
        <f t="shared" si="6"/>
        <v>125.76236929890955</v>
      </c>
      <c r="AH17" s="137">
        <f t="shared" si="6"/>
        <v>0</v>
      </c>
      <c r="AI17" s="105">
        <f>SUM(D17:AH17)</f>
        <v>11879.455386426711</v>
      </c>
      <c r="AJ17" s="106">
        <f>AI17/COUNTA(C17:AG17)</f>
        <v>383.20823827182937</v>
      </c>
      <c r="AK17" s="107">
        <f t="shared" ref="AK17" si="7">AK11</f>
        <v>11258.801967332303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9">
        <f>IF(D6&lt;&gt;"",D6,D12)</f>
        <v>492</v>
      </c>
      <c r="E18" s="149">
        <f t="shared" ref="E18:AH18" si="8">IF(E6&lt;&gt;"",E6,E12)</f>
        <v>177</v>
      </c>
      <c r="F18" s="149">
        <f t="shared" si="8"/>
        <v>40</v>
      </c>
      <c r="G18" s="149">
        <f t="shared" si="8"/>
        <v>584</v>
      </c>
      <c r="H18" s="149">
        <f t="shared" si="8"/>
        <v>542.25596547288035</v>
      </c>
      <c r="I18" s="149">
        <f t="shared" si="8"/>
        <v>437.97597211271113</v>
      </c>
      <c r="J18" s="149">
        <f t="shared" si="8"/>
        <v>400.93322820268082</v>
      </c>
      <c r="K18" s="149">
        <f t="shared" si="8"/>
        <v>348.63758974146162</v>
      </c>
      <c r="L18" s="149">
        <f t="shared" si="8"/>
        <v>98.676889239324396</v>
      </c>
      <c r="M18" s="149">
        <f t="shared" si="8"/>
        <v>45.447400091297673</v>
      </c>
      <c r="N18" s="149">
        <f t="shared" si="8"/>
        <v>344.27961986969336</v>
      </c>
      <c r="O18" s="149">
        <f t="shared" si="8"/>
        <v>277.97622110636183</v>
      </c>
      <c r="P18" s="149">
        <f t="shared" si="8"/>
        <v>366.38075279080385</v>
      </c>
      <c r="Q18" s="149">
        <f t="shared" si="8"/>
        <v>338.05394862431007</v>
      </c>
      <c r="R18" s="149">
        <f t="shared" si="8"/>
        <v>284.82445947628338</v>
      </c>
      <c r="S18" s="149">
        <f t="shared" si="8"/>
        <v>84.35784537494294</v>
      </c>
      <c r="T18" s="149">
        <f t="shared" si="8"/>
        <v>37.976594596837778</v>
      </c>
      <c r="U18" s="149">
        <f t="shared" si="8"/>
        <v>410.58301863302489</v>
      </c>
      <c r="V18" s="149">
        <f t="shared" si="8"/>
        <v>324.04618832219774</v>
      </c>
      <c r="W18" s="149">
        <f t="shared" si="8"/>
        <v>296.03066771797319</v>
      </c>
      <c r="X18" s="149">
        <f t="shared" si="8"/>
        <v>306.92559239739387</v>
      </c>
      <c r="Y18" s="149">
        <f t="shared" si="8"/>
        <v>272.06183342324772</v>
      </c>
      <c r="Z18" s="149">
        <f t="shared" si="8"/>
        <v>104.27999336016931</v>
      </c>
      <c r="AA18" s="149">
        <f t="shared" si="8"/>
        <v>40.155579532721916</v>
      </c>
      <c r="AB18" s="149">
        <f t="shared" si="8"/>
        <v>366.06946922853467</v>
      </c>
      <c r="AC18" s="149">
        <f t="shared" si="8"/>
        <v>326.53645682035108</v>
      </c>
      <c r="AD18" s="149">
        <f t="shared" si="8"/>
        <v>319.06565132589117</v>
      </c>
      <c r="AE18" s="149">
        <f t="shared" si="8"/>
        <v>300.38863758974145</v>
      </c>
      <c r="AF18" s="149">
        <f t="shared" si="8"/>
        <v>239.99962650952398</v>
      </c>
      <c r="AG18" s="149">
        <f t="shared" si="8"/>
        <v>106.14769473378429</v>
      </c>
      <c r="AH18" s="149">
        <f t="shared" si="8"/>
        <v>0</v>
      </c>
      <c r="AI18" s="108">
        <f>SUM(D18:AH18)</f>
        <v>8313.0668962941454</v>
      </c>
      <c r="AJ18" s="109">
        <f>AI18/COUNTA(C18:AG18)</f>
        <v>268.16344826755306</v>
      </c>
      <c r="AK18" s="110">
        <f t="shared" ref="AK18" si="9">AK12</f>
        <v>7698.5445651781056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67" t="s">
        <v>37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176" t="s">
        <v>30</v>
      </c>
      <c r="K20" s="177"/>
      <c r="L20" s="196" t="s">
        <v>32</v>
      </c>
      <c r="M20" s="196"/>
      <c r="N20" s="182" t="s">
        <v>32</v>
      </c>
      <c r="O20" s="183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2915</v>
      </c>
      <c r="D21" s="142">
        <f>SUM(D22:D24)</f>
        <v>20403.480143336739</v>
      </c>
      <c r="E21" s="143">
        <f>SUM(E22:E24)</f>
        <v>19798.366666666665</v>
      </c>
      <c r="F21" s="138">
        <f>(D21-E21)/E21</f>
        <v>3.056380795739418E-2</v>
      </c>
      <c r="G21" s="133">
        <f>F21</f>
        <v>3.056380795739418E-2</v>
      </c>
      <c r="H21" s="12"/>
      <c r="I21" s="32"/>
      <c r="J21" s="178">
        <v>7.22</v>
      </c>
      <c r="K21" s="179"/>
      <c r="L21" s="209">
        <v>207</v>
      </c>
      <c r="M21" s="209"/>
      <c r="N21" s="184">
        <v>15639</v>
      </c>
      <c r="O21" s="185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28</v>
      </c>
      <c r="D22" s="145">
        <f>AI16</f>
        <v>210.95786061588328</v>
      </c>
      <c r="E22" s="143">
        <v>210</v>
      </c>
      <c r="F22" s="139">
        <f t="shared" ref="F22:F24" si="10">(D22-E22)/E22</f>
        <v>4.5612410280156043E-3</v>
      </c>
      <c r="G22" s="133">
        <f>F22</f>
        <v>4.5612410280156043E-3</v>
      </c>
      <c r="H22" s="12"/>
      <c r="I22" s="32"/>
      <c r="J22" s="180" t="s">
        <v>13</v>
      </c>
      <c r="K22" s="181"/>
      <c r="L22" s="210" t="s">
        <v>13</v>
      </c>
      <c r="M22" s="210"/>
      <c r="N22" s="186" t="s">
        <v>15</v>
      </c>
      <c r="O22" s="187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1594</v>
      </c>
      <c r="D23" s="145">
        <f>AI17</f>
        <v>11879.455386426711</v>
      </c>
      <c r="E23" s="143">
        <f>AVERAGE(Indicadores!AH17,Indicadores!AH23,Indicadores!AH29)*0.95</f>
        <v>11633.699999999999</v>
      </c>
      <c r="F23" s="139">
        <f t="shared" si="10"/>
        <v>2.1124439037168916E-2</v>
      </c>
      <c r="G23" s="133">
        <f>F23</f>
        <v>2.1124439037168916E-2</v>
      </c>
      <c r="H23" s="12"/>
      <c r="I23" s="32"/>
      <c r="J23" s="203" t="s">
        <v>31</v>
      </c>
      <c r="K23" s="204"/>
      <c r="L23" s="211" t="s">
        <v>33</v>
      </c>
      <c r="M23" s="211"/>
      <c r="N23" s="197" t="s">
        <v>33</v>
      </c>
      <c r="O23" s="198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1293</v>
      </c>
      <c r="D24" s="147">
        <f>AI18</f>
        <v>8313.0668962941454</v>
      </c>
      <c r="E24" s="148">
        <f>AVERAGE(Indicadores!AH18,Indicadores!AH24,Indicadores!AH30)*0.95</f>
        <v>7954.666666666667</v>
      </c>
      <c r="F24" s="140">
        <f t="shared" si="10"/>
        <v>4.5055342309857326E-2</v>
      </c>
      <c r="G24" s="136">
        <f>F24</f>
        <v>4.5055342309857326E-2</v>
      </c>
      <c r="H24" s="12"/>
      <c r="I24" s="32"/>
      <c r="J24" s="178">
        <v>6.77</v>
      </c>
      <c r="K24" s="179"/>
      <c r="L24" s="209">
        <v>210</v>
      </c>
      <c r="M24" s="209"/>
      <c r="N24" s="184">
        <v>21648</v>
      </c>
      <c r="O24" s="185"/>
      <c r="AI24" s="29"/>
      <c r="AJ24" s="34"/>
      <c r="AK24" s="51"/>
      <c r="AL24" s="34"/>
    </row>
    <row r="25" spans="1:38" ht="26.25" x14ac:dyDescent="0.25">
      <c r="H25" s="113"/>
      <c r="I25" s="32"/>
      <c r="J25" s="205" t="s">
        <v>26</v>
      </c>
      <c r="K25" s="206"/>
      <c r="L25" s="212" t="str">
        <f>J25</f>
        <v>Redução</v>
      </c>
      <c r="M25" s="212"/>
      <c r="N25" s="199" t="str">
        <f>L25</f>
        <v>Redução</v>
      </c>
      <c r="O25" s="200"/>
      <c r="AI25" s="29"/>
      <c r="AJ25" s="34"/>
      <c r="AK25" s="51"/>
      <c r="AL25" s="34"/>
    </row>
    <row r="26" spans="1:38" ht="27" thickBot="1" x14ac:dyDescent="0.3">
      <c r="G26" s="12"/>
      <c r="I26" s="33"/>
      <c r="J26" s="207">
        <f>(J21/J24)-1</f>
        <v>6.6469719350073841E-2</v>
      </c>
      <c r="K26" s="208"/>
      <c r="L26" s="213">
        <f>(L21/L24)-1</f>
        <v>-1.4285714285714235E-2</v>
      </c>
      <c r="M26" s="213"/>
      <c r="N26" s="201">
        <f>(N21/N24)-1</f>
        <v>-0.27757760532150777</v>
      </c>
      <c r="O26" s="202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sheetProtection insertRows="0"/>
  <mergeCells count="32"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>
      <selection activeCell="E6" sqref="E6"/>
    </sheetView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68" t="str">
        <f>'Dados - Gráficos'!B20</f>
        <v>Abr - 30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2915</v>
      </c>
      <c r="D6" s="7">
        <f>'Dados - Gráficos'!D21</f>
        <v>20403.480143336739</v>
      </c>
      <c r="E6" s="93">
        <f>'Dados - Gráficos'!E21</f>
        <v>19798.366666666665</v>
      </c>
      <c r="F6" s="118">
        <f>'Dados - Gráficos'!F21</f>
        <v>3.056380795739418E-2</v>
      </c>
      <c r="G6" s="119">
        <f>'Dados - Gráficos'!G21</f>
        <v>3.056380795739418E-2</v>
      </c>
      <c r="H6" s="32"/>
      <c r="I6" s="19">
        <f>K9</f>
        <v>415</v>
      </c>
      <c r="J6" s="83">
        <f>Indicadores!AH10</f>
        <v>294</v>
      </c>
      <c r="K6" s="88">
        <f>E7</f>
        <v>210</v>
      </c>
    </row>
    <row r="7" spans="2:11" x14ac:dyDescent="0.25">
      <c r="B7" s="15" t="str">
        <f>'Dados - Gráficos'!B22</f>
        <v>Alto</v>
      </c>
      <c r="C7" s="99">
        <f>'Dados - Gráficos'!C22</f>
        <v>28</v>
      </c>
      <c r="D7" s="8">
        <f>'Dados - Gráficos'!D22</f>
        <v>210.95786061588328</v>
      </c>
      <c r="E7" s="93">
        <f>'Dados - Gráficos'!E22</f>
        <v>210</v>
      </c>
      <c r="F7" s="120">
        <f>'Dados - Gráficos'!F22</f>
        <v>4.5612410280156043E-3</v>
      </c>
      <c r="G7" s="119">
        <f>'Dados - Gráficos'!G22</f>
        <v>4.5612410280156043E-3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1594</v>
      </c>
      <c r="D8" s="8">
        <f>'Dados - Gráficos'!D23</f>
        <v>11879.455386426711</v>
      </c>
      <c r="E8" s="93">
        <f>'Dados - Gráficos'!E23</f>
        <v>11633.699999999999</v>
      </c>
      <c r="F8" s="120">
        <f>'Dados - Gráficos'!F23</f>
        <v>2.1124439037168916E-2</v>
      </c>
      <c r="G8" s="119">
        <f>'Dados - Gráficos'!G23</f>
        <v>2.1124439037168916E-2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1293</v>
      </c>
      <c r="D9" s="17">
        <f>'Dados - Gráficos'!D24</f>
        <v>8313.0668962941454</v>
      </c>
      <c r="E9" s="94">
        <f>'Dados - Gráficos'!E24</f>
        <v>7954.666666666667</v>
      </c>
      <c r="F9" s="121">
        <f>'Dados - Gráficos'!F24</f>
        <v>4.5055342309857326E-2</v>
      </c>
      <c r="G9" s="122">
        <f>'Dados - Gráficos'!G24</f>
        <v>4.5055342309857326E-2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-0.49397590361445787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bv5UnrieNqc4q/1+HW3UZg9o7kE8zdgZKvOtuOS/hR9UGszcGikY7GGrIYEoQuO4ELjFe3OVukQvIyoOpchM1A==" saltValue="7QmWkdIUK2650YV6RShtzA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Roberto Muto</cp:lastModifiedBy>
  <dcterms:created xsi:type="dcterms:W3CDTF">2015-12-07T16:12:08Z</dcterms:created>
  <dcterms:modified xsi:type="dcterms:W3CDTF">2016-04-05T13:28:13Z</dcterms:modified>
</cp:coreProperties>
</file>