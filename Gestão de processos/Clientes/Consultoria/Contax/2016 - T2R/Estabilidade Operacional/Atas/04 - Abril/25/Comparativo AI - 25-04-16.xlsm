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<sst xmlns="http://schemas.openxmlformats.org/spreadsheetml/2006/main" count="318" uniqueCount="38">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</sst>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549</c:v>
                </c:pt>
                <c:pt idx="1">
                  <c:v>123</c:v>
                </c:pt>
                <c:pt idx="2">
                  <c:v>44</c:v>
                </c:pt>
                <c:pt idx="3">
                  <c:v>598</c:v>
                </c:pt>
                <c:pt idx="4">
                  <c:v>569</c:v>
                </c:pt>
                <c:pt idx="5">
                  <c:v>437</c:v>
                </c:pt>
                <c:pt idx="6">
                  <c:v>511</c:v>
                </c:pt>
                <c:pt idx="7">
                  <c:v>503</c:v>
                </c:pt>
                <c:pt idx="8">
                  <c:v>120</c:v>
                </c:pt>
                <c:pt idx="9">
                  <c:v>38</c:v>
                </c:pt>
                <c:pt idx="10">
                  <c:v>545</c:v>
                </c:pt>
                <c:pt idx="11">
                  <c:v>592</c:v>
                </c:pt>
                <c:pt idx="12">
                  <c:v>583</c:v>
                </c:pt>
                <c:pt idx="13">
                  <c:v>498</c:v>
                </c:pt>
                <c:pt idx="14">
                  <c:v>405</c:v>
                </c:pt>
                <c:pt idx="15">
                  <c:v>106</c:v>
                </c:pt>
                <c:pt idx="16">
                  <c:v>20</c:v>
                </c:pt>
                <c:pt idx="17">
                  <c:v>544</c:v>
                </c:pt>
                <c:pt idx="18">
                  <c:v>482</c:v>
                </c:pt>
                <c:pt idx="19">
                  <c:v>399</c:v>
                </c:pt>
                <c:pt idx="20">
                  <c:v>117</c:v>
                </c:pt>
                <c:pt idx="21">
                  <c:v>442</c:v>
                </c:pt>
                <c:pt idx="22">
                  <c:v>112</c:v>
                </c:pt>
                <c:pt idx="23">
                  <c:v>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583</c:v>
                </c:pt>
                <c:pt idx="4">
                  <c:v>491</c:v>
                </c:pt>
                <c:pt idx="5">
                  <c:v>442</c:v>
                </c:pt>
                <c:pt idx="6">
                  <c:v>425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555</c:v>
                </c:pt>
                <c:pt idx="11">
                  <c:v>512</c:v>
                </c:pt>
                <c:pt idx="12">
                  <c:v>448</c:v>
                </c:pt>
                <c:pt idx="13">
                  <c:v>382</c:v>
                </c:pt>
                <c:pt idx="14">
                  <c:v>331</c:v>
                </c:pt>
                <c:pt idx="15">
                  <c:v>86</c:v>
                </c:pt>
                <c:pt idx="16">
                  <c:v>34</c:v>
                </c:pt>
                <c:pt idx="17">
                  <c:v>446</c:v>
                </c:pt>
                <c:pt idx="18">
                  <c:v>440</c:v>
                </c:pt>
                <c:pt idx="19">
                  <c:v>371</c:v>
                </c:pt>
                <c:pt idx="20">
                  <c:v>93</c:v>
                </c:pt>
                <c:pt idx="21">
                  <c:v>282</c:v>
                </c:pt>
                <c:pt idx="22">
                  <c:v>152</c:v>
                </c:pt>
                <c:pt idx="23">
                  <c:v>42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gaIk0sUBlm12OuebnFDg+UfzPuR5y2o+iK+A4Plpniapb7AD9FZ8EFJ0RBqXVwSbAyFfmOygpnepfO9G3qs96A==" saltValue="w+CDKcdTrxwUPDdioNd9a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bwComcXktkZD2AzcUI/2Oiuf+AOGwrxn/Usv92axsJIjrWfSwD+fksGpketbXgTlYIRmougVq9GDeWwjxbxoiQ==" saltValue="60+uFsTu8G6FQoIyLsyu9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NDsRO3EQQUolgaZBPgAvRUzHHDEyVuerXFuq7r5s5W1WhcExjq6w9WqdQLTFIYg4XJIxnvO0vAyy4S+zQIh0wg==" saltValue="bNRG0IAXOQ39RZjsfiSUU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Z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15895</v>
      </c>
      <c r="AI33" s="71">
        <f>AH33/COUNTA(C34:AG34)</f>
        <v>662.29166666666663</v>
      </c>
      <c r="AJ33" s="55">
        <f>AI33*31</f>
        <v>20531.041666666664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4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7</v>
      </c>
      <c r="X34" s="24">
        <v>8</v>
      </c>
      <c r="Y34" s="24">
        <v>1</v>
      </c>
      <c r="Z34" s="24">
        <v>1</v>
      </c>
      <c r="AA34" s="24"/>
      <c r="AB34" s="24"/>
      <c r="AC34" s="24"/>
      <c r="AD34" s="24"/>
      <c r="AE34" s="24"/>
      <c r="AF34" s="24"/>
      <c r="AG34" s="157"/>
      <c r="AH34" s="53">
        <f>SUM(C34:AG34)</f>
        <v>158</v>
      </c>
      <c r="AI34" s="38">
        <f>AH34/COUNTA(C34:AG34)</f>
        <v>6.583333333333333</v>
      </c>
      <c r="AJ34" s="56">
        <f>AI34*30</f>
        <v>197.5</v>
      </c>
    </row>
    <row r="35" spans="2:36" x14ac:dyDescent="0.25">
      <c r="B35" s="161" t="s">
        <v>20</v>
      </c>
      <c r="C35" s="156">
        <v>549</v>
      </c>
      <c r="D35" s="156">
        <v>123</v>
      </c>
      <c r="E35" s="156">
        <v>44</v>
      </c>
      <c r="F35" s="156">
        <v>598</v>
      </c>
      <c r="G35" s="156">
        <v>569</v>
      </c>
      <c r="H35" s="156">
        <v>437</v>
      </c>
      <c r="I35" s="156">
        <v>511</v>
      </c>
      <c r="J35" s="156">
        <v>503</v>
      </c>
      <c r="K35" s="156">
        <v>120</v>
      </c>
      <c r="L35" s="156">
        <v>38</v>
      </c>
      <c r="M35" s="156">
        <v>545</v>
      </c>
      <c r="N35" s="156">
        <v>592</v>
      </c>
      <c r="O35" s="156">
        <v>583</v>
      </c>
      <c r="P35" s="156">
        <v>498</v>
      </c>
      <c r="Q35" s="24">
        <v>405</v>
      </c>
      <c r="R35" s="24">
        <v>106</v>
      </c>
      <c r="S35" s="24">
        <v>20</v>
      </c>
      <c r="T35" s="24">
        <v>544</v>
      </c>
      <c r="U35" s="24">
        <v>482</v>
      </c>
      <c r="V35" s="24">
        <v>399</v>
      </c>
      <c r="W35" s="24">
        <v>117</v>
      </c>
      <c r="X35" s="24">
        <v>442</v>
      </c>
      <c r="Y35" s="24">
        <v>112</v>
      </c>
      <c r="Z35" s="24">
        <v>30</v>
      </c>
      <c r="AA35" s="24"/>
      <c r="AB35" s="24"/>
      <c r="AC35" s="24"/>
      <c r="AD35" s="24"/>
      <c r="AE35" s="24"/>
      <c r="AF35" s="24"/>
      <c r="AG35" s="157"/>
      <c r="AH35" s="53">
        <f>SUM(C35:AG35)</f>
        <v>8367</v>
      </c>
      <c r="AI35" s="38">
        <f>AH35/COUNTA(C35:AG35)</f>
        <v>348.625</v>
      </c>
      <c r="AJ35" s="56">
        <f>AI35*30</f>
        <v>10458.75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40</v>
      </c>
      <c r="F36" s="155">
        <v>583</v>
      </c>
      <c r="G36" s="155">
        <v>491</v>
      </c>
      <c r="H36" s="155">
        <v>442</v>
      </c>
      <c r="I36" s="155">
        <v>425</v>
      </c>
      <c r="J36" s="155">
        <v>407</v>
      </c>
      <c r="K36" s="155">
        <v>108</v>
      </c>
      <c r="L36" s="155">
        <v>50</v>
      </c>
      <c r="M36" s="155">
        <v>555</v>
      </c>
      <c r="N36" s="155">
        <v>512</v>
      </c>
      <c r="O36" s="155">
        <v>448</v>
      </c>
      <c r="P36" s="155">
        <v>382</v>
      </c>
      <c r="Q36" s="25">
        <v>331</v>
      </c>
      <c r="R36" s="25">
        <v>86</v>
      </c>
      <c r="S36" s="25">
        <v>34</v>
      </c>
      <c r="T36" s="25">
        <v>446</v>
      </c>
      <c r="U36" s="25">
        <v>440</v>
      </c>
      <c r="V36" s="25">
        <v>371</v>
      </c>
      <c r="W36" s="25">
        <v>93</v>
      </c>
      <c r="X36" s="25">
        <v>282</v>
      </c>
      <c r="Y36" s="25">
        <v>152</v>
      </c>
      <c r="Z36" s="25">
        <v>42</v>
      </c>
      <c r="AA36" s="25"/>
      <c r="AB36" s="25"/>
      <c r="AC36" s="25"/>
      <c r="AD36" s="25"/>
      <c r="AE36" s="25"/>
      <c r="AF36" s="25"/>
      <c r="AG36" s="159"/>
      <c r="AH36" s="54">
        <f>SUM(C36:AG36)</f>
        <v>7370</v>
      </c>
      <c r="AI36" s="37">
        <f>AH36/COUNTA(C36:AG36)</f>
        <v>307.08333333333331</v>
      </c>
      <c r="AJ36" s="57">
        <f>AI36*30</f>
        <v>9212.5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15895</v>
      </c>
      <c r="AJ3" s="66">
        <f>Indicadores!AI33</f>
        <v>662.29166666666663</v>
      </c>
      <c r="AK3" s="55">
        <f>Indicadores!AJ33</f>
        <v>20531.041666666664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>
        <f>IF(Indicadores!V34,Indicadores!V34,"")</f>
        <v>13</v>
      </c>
      <c r="X4" s="39">
        <f>IF(Indicadores!W34,Indicadores!W34,"")</f>
        <v>7</v>
      </c>
      <c r="Y4" s="39">
        <f>IF(Indicadores!X34,Indicadores!X34,"")</f>
        <v>8</v>
      </c>
      <c r="Z4" s="39">
        <f>IF(Indicadores!Y34,Indicadores!Y34,"")</f>
        <v>1</v>
      </c>
      <c r="AA4" s="39">
        <f>IF(Indicadores!Z34,Indicadores!Z34,"")</f>
        <v>1</v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158</v>
      </c>
      <c r="AJ4" s="75">
        <f>Indicadores!AI34</f>
        <v>6.583333333333333</v>
      </c>
      <c r="AK4" s="56">
        <f>Indicadores!AJ34</f>
        <v>197.5</v>
      </c>
    </row>
    <row r="5" spans="1:16384" x14ac:dyDescent="0.25">
      <c r="B5" s="209" t="s">
        <v>20</v>
      </c>
      <c r="C5" s="210"/>
      <c r="D5" s="39">
        <f>IF(Indicadores!C35,Indicadores!C35,"")</f>
        <v>549</v>
      </c>
      <c r="E5" s="39">
        <f>IF(Indicadores!D35,Indicadores!D35,"")</f>
        <v>123</v>
      </c>
      <c r="F5" s="39">
        <f>IF(Indicadores!E35,Indicadores!E35,"")</f>
        <v>44</v>
      </c>
      <c r="G5" s="39">
        <f>IF(Indicadores!F35,Indicadores!F35,"")</f>
        <v>598</v>
      </c>
      <c r="H5" s="39">
        <f>IF(Indicadores!G35,Indicadores!G35,"")</f>
        <v>569</v>
      </c>
      <c r="I5" s="39">
        <f>IF(Indicadores!H35,Indicadores!H35,"")</f>
        <v>437</v>
      </c>
      <c r="J5" s="39">
        <f>IF(Indicadores!I35,Indicadores!I35,"")</f>
        <v>511</v>
      </c>
      <c r="K5" s="39">
        <f>IF(Indicadores!J35,Indicadores!J35,"")</f>
        <v>503</v>
      </c>
      <c r="L5" s="39">
        <f>IF(Indicadores!K35,Indicadores!K35,"")</f>
        <v>120</v>
      </c>
      <c r="M5" s="39">
        <f>IF(Indicadores!L35,Indicadores!L35,"")</f>
        <v>38</v>
      </c>
      <c r="N5" s="39">
        <f>IF(Indicadores!M35,Indicadores!M35,"")</f>
        <v>545</v>
      </c>
      <c r="O5" s="39">
        <f>IF(Indicadores!N35,Indicadores!N35,"")</f>
        <v>592</v>
      </c>
      <c r="P5" s="39">
        <f>IF(Indicadores!O35,Indicadores!O35,"")</f>
        <v>583</v>
      </c>
      <c r="Q5" s="39">
        <f>IF(Indicadores!P35,Indicadores!P35,"")</f>
        <v>498</v>
      </c>
      <c r="R5" s="39">
        <f>IF(Indicadores!Q35,Indicadores!Q35,"")</f>
        <v>405</v>
      </c>
      <c r="S5" s="39">
        <f>IF(Indicadores!R35,Indicadores!R35,"")</f>
        <v>106</v>
      </c>
      <c r="T5" s="39">
        <f>IF(Indicadores!S35,Indicadores!S35,"")</f>
        <v>20</v>
      </c>
      <c r="U5" s="39">
        <f>IF(Indicadores!T35,Indicadores!T35,"")</f>
        <v>544</v>
      </c>
      <c r="V5" s="39">
        <f>IF(Indicadores!U35,Indicadores!U35,"")</f>
        <v>482</v>
      </c>
      <c r="W5" s="39">
        <f>IF(Indicadores!V35,Indicadores!V35,"")</f>
        <v>399</v>
      </c>
      <c r="X5" s="39">
        <f>IF(Indicadores!W35,Indicadores!W35,"")</f>
        <v>117</v>
      </c>
      <c r="Y5" s="39">
        <f>IF(Indicadores!X35,Indicadores!X35,"")</f>
        <v>442</v>
      </c>
      <c r="Z5" s="39">
        <f>IF(Indicadores!Y35,Indicadores!Y35,"")</f>
        <v>112</v>
      </c>
      <c r="AA5" s="39">
        <f>IF(Indicadores!Z35,Indicadores!Z35,"")</f>
        <v>30</v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8367</v>
      </c>
      <c r="AJ5" s="75">
        <f>Indicadores!AI35</f>
        <v>348.625</v>
      </c>
      <c r="AK5" s="56">
        <f>Indicadores!AJ35</f>
        <v>10458.75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40</v>
      </c>
      <c r="G6" s="40">
        <f>IF(Indicadores!F36,Indicadores!F36,"")</f>
        <v>583</v>
      </c>
      <c r="H6" s="40">
        <f>IF(Indicadores!G36,Indicadores!G36,"")</f>
        <v>491</v>
      </c>
      <c r="I6" s="40">
        <f>IF(Indicadores!H36,Indicadores!H36,"")</f>
        <v>442</v>
      </c>
      <c r="J6" s="40">
        <f>IF(Indicadores!I36,Indicadores!I36,"")</f>
        <v>425</v>
      </c>
      <c r="K6" s="40">
        <f>IF(Indicadores!J36,Indicadores!J36,"")</f>
        <v>407</v>
      </c>
      <c r="L6" s="40">
        <f>IF(Indicadores!K36,Indicadores!K36,"")</f>
        <v>108</v>
      </c>
      <c r="M6" s="40">
        <f>IF(Indicadores!L36,Indicadores!L36,"")</f>
        <v>50</v>
      </c>
      <c r="N6" s="40">
        <f>IF(Indicadores!M36,Indicadores!M36,"")</f>
        <v>555</v>
      </c>
      <c r="O6" s="40">
        <f>IF(Indicadores!N36,Indicadores!N36,"")</f>
        <v>512</v>
      </c>
      <c r="P6" s="40">
        <f>IF(Indicadores!O36,Indicadores!O36,"")</f>
        <v>448</v>
      </c>
      <c r="Q6" s="40">
        <f>IF(Indicadores!P36,Indicadores!P36,"")</f>
        <v>382</v>
      </c>
      <c r="R6" s="40">
        <f>IF(Indicadores!Q36,Indicadores!Q36,"")</f>
        <v>331</v>
      </c>
      <c r="S6" s="40">
        <f>IF(Indicadores!R36,Indicadores!R36,"")</f>
        <v>86</v>
      </c>
      <c r="T6" s="40">
        <f>IF(Indicadores!S36,Indicadores!S36,"")</f>
        <v>34</v>
      </c>
      <c r="U6" s="40">
        <f>IF(Indicadores!T36,Indicadores!T36,"")</f>
        <v>446</v>
      </c>
      <c r="V6" s="40">
        <f>IF(Indicadores!U36,Indicadores!U36,"")</f>
        <v>440</v>
      </c>
      <c r="W6" s="40">
        <f>IF(Indicadores!V36,Indicadores!V36,"")</f>
        <v>371</v>
      </c>
      <c r="X6" s="40">
        <f>IF(Indicadores!W36,Indicadores!W36,"")</f>
        <v>93</v>
      </c>
      <c r="Y6" s="40">
        <f>IF(Indicadores!X36,Indicadores!X36,"")</f>
        <v>282</v>
      </c>
      <c r="Z6" s="40">
        <f>IF(Indicadores!Y36,Indicadores!Y36,"")</f>
        <v>152</v>
      </c>
      <c r="AA6" s="40">
        <f>IF(Indicadores!Z36,Indicadores!Z36,"")</f>
        <v>42</v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7370</v>
      </c>
      <c r="AJ6" s="42">
        <f>Indicadores!AI36</f>
        <v>307.08333333333331</v>
      </c>
      <c r="AK6" s="56">
        <f>Indicadores!AJ36</f>
        <v>9212.5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19990.94150967287</v>
      </c>
      <c r="AJ15" s="66">
        <f>SUM(AJ16:AJ18)</f>
        <v>644.86908095718934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13</v>
      </c>
      <c r="X16" s="137">
        <f t="shared" si="4"/>
        <v>7</v>
      </c>
      <c r="Y16" s="137">
        <f t="shared" si="4"/>
        <v>8</v>
      </c>
      <c r="Z16" s="137">
        <f t="shared" si="4"/>
        <v>1</v>
      </c>
      <c r="AA16" s="137">
        <f t="shared" si="4"/>
        <v>1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200.01631321370309</v>
      </c>
      <c r="AJ16" s="106">
        <f>AI16/COUNTA(C16:AG16)</f>
        <v>6.4521391359259059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549</v>
      </c>
      <c r="E17" s="137">
        <f t="shared" ref="E17:AH17" si="6">IF(E5&lt;&gt;"",E5,E11)</f>
        <v>123</v>
      </c>
      <c r="F17" s="137">
        <f t="shared" si="6"/>
        <v>44</v>
      </c>
      <c r="G17" s="137">
        <f t="shared" si="6"/>
        <v>598</v>
      </c>
      <c r="H17" s="137">
        <f t="shared" si="6"/>
        <v>569</v>
      </c>
      <c r="I17" s="137">
        <f t="shared" si="6"/>
        <v>437</v>
      </c>
      <c r="J17" s="137">
        <f t="shared" si="6"/>
        <v>511</v>
      </c>
      <c r="K17" s="137">
        <f t="shared" si="6"/>
        <v>503</v>
      </c>
      <c r="L17" s="137">
        <f t="shared" si="6"/>
        <v>120</v>
      </c>
      <c r="M17" s="137">
        <f t="shared" si="6"/>
        <v>38</v>
      </c>
      <c r="N17" s="137">
        <f t="shared" si="6"/>
        <v>545</v>
      </c>
      <c r="O17" s="137">
        <f t="shared" si="6"/>
        <v>592</v>
      </c>
      <c r="P17" s="137">
        <f t="shared" si="6"/>
        <v>583</v>
      </c>
      <c r="Q17" s="137">
        <f t="shared" si="6"/>
        <v>498</v>
      </c>
      <c r="R17" s="137">
        <f t="shared" si="6"/>
        <v>405</v>
      </c>
      <c r="S17" s="137">
        <f t="shared" si="6"/>
        <v>106</v>
      </c>
      <c r="T17" s="137">
        <f t="shared" si="6"/>
        <v>20</v>
      </c>
      <c r="U17" s="137">
        <f t="shared" si="6"/>
        <v>544</v>
      </c>
      <c r="V17" s="137">
        <f t="shared" si="6"/>
        <v>482</v>
      </c>
      <c r="W17" s="137">
        <f t="shared" si="6"/>
        <v>399</v>
      </c>
      <c r="X17" s="137">
        <f t="shared" si="6"/>
        <v>117</v>
      </c>
      <c r="Y17" s="137">
        <f t="shared" si="6"/>
        <v>442</v>
      </c>
      <c r="Z17" s="137">
        <f t="shared" si="6"/>
        <v>112</v>
      </c>
      <c r="AA17" s="137">
        <f t="shared" si="6"/>
        <v>30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10863.346749127815</v>
      </c>
      <c r="AJ17" s="106">
        <f>AI17/COUNTA(C17:AG17)</f>
        <v>350.43054029444568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40</v>
      </c>
      <c r="G18" s="148">
        <f t="shared" si="8"/>
        <v>583</v>
      </c>
      <c r="H18" s="148">
        <f t="shared" si="8"/>
        <v>491</v>
      </c>
      <c r="I18" s="148">
        <f t="shared" si="8"/>
        <v>442</v>
      </c>
      <c r="J18" s="148">
        <f t="shared" si="8"/>
        <v>425</v>
      </c>
      <c r="K18" s="148">
        <f t="shared" si="8"/>
        <v>407</v>
      </c>
      <c r="L18" s="148">
        <f t="shared" si="8"/>
        <v>108</v>
      </c>
      <c r="M18" s="148">
        <f t="shared" si="8"/>
        <v>50</v>
      </c>
      <c r="N18" s="148">
        <f t="shared" si="8"/>
        <v>555</v>
      </c>
      <c r="O18" s="148">
        <f t="shared" si="8"/>
        <v>512</v>
      </c>
      <c r="P18" s="148">
        <f t="shared" si="8"/>
        <v>448</v>
      </c>
      <c r="Q18" s="148">
        <f t="shared" si="8"/>
        <v>382</v>
      </c>
      <c r="R18" s="148">
        <f t="shared" si="8"/>
        <v>331</v>
      </c>
      <c r="S18" s="148">
        <f t="shared" si="8"/>
        <v>86</v>
      </c>
      <c r="T18" s="148">
        <f t="shared" si="8"/>
        <v>34</v>
      </c>
      <c r="U18" s="148">
        <f t="shared" si="8"/>
        <v>446</v>
      </c>
      <c r="V18" s="148">
        <f t="shared" si="8"/>
        <v>440</v>
      </c>
      <c r="W18" s="148">
        <f t="shared" si="8"/>
        <v>371</v>
      </c>
      <c r="X18" s="148">
        <f t="shared" si="8"/>
        <v>93</v>
      </c>
      <c r="Y18" s="148">
        <f t="shared" si="8"/>
        <v>282</v>
      </c>
      <c r="Z18" s="148">
        <f t="shared" si="8"/>
        <v>152</v>
      </c>
      <c r="AA18" s="148">
        <f t="shared" si="8"/>
        <v>42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8927.5784473313506</v>
      </c>
      <c r="AJ18" s="109">
        <f>AI18/COUNTA(C18:AG18)</f>
        <v>287.98640152681776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15895</v>
      </c>
      <c r="D21" s="142">
        <f>SUM(D22:D24)</f>
        <v>19990.94150967287</v>
      </c>
      <c r="E21" s="143">
        <f>SUM(E22:E24)</f>
        <v>18666.200000000004</v>
      </c>
      <c r="F21" s="138">
        <f>(D21-E21)/E21</f>
        <v>7.0970069412781667E-2</v>
      </c>
      <c r="G21" s="133">
        <f>F21</f>
        <v>7.0970069412781667E-2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158</v>
      </c>
      <c r="D22" s="145">
        <f>AI16</f>
        <v>200.01631321370309</v>
      </c>
      <c r="E22" s="143">
        <f>$AI$10</f>
        <v>188.00000000000003</v>
      </c>
      <c r="F22" s="139">
        <f t="shared" ref="F22:F24" si="10">(D22-E22)/E22</f>
        <v>6.391655964735668E-2</v>
      </c>
      <c r="G22" s="133">
        <f>F22</f>
        <v>6.391655964735668E-2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8367</v>
      </c>
      <c r="D23" s="145">
        <f>AI17</f>
        <v>10863.346749127815</v>
      </c>
      <c r="E23" s="143">
        <f>AI11</f>
        <v>11005.800000000003</v>
      </c>
      <c r="F23" s="139">
        <f t="shared" si="10"/>
        <v>-1.2943470794688952E-2</v>
      </c>
      <c r="G23" s="133">
        <f>F23</f>
        <v>-1.2943470794688952E-2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7370</v>
      </c>
      <c r="D24" s="147">
        <f>AI18</f>
        <v>8927.5784473313506</v>
      </c>
      <c r="E24" s="168">
        <f>AI12</f>
        <v>7472.4000000000005</v>
      </c>
      <c r="F24" s="140">
        <f t="shared" si="10"/>
        <v>0.19474043778857528</v>
      </c>
      <c r="G24" s="136">
        <f>F24</f>
        <v>0.19474043778857528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15895</v>
      </c>
      <c r="D6" s="7">
        <f>'Dados - Gráficos'!D21</f>
        <v>19990.94150967287</v>
      </c>
      <c r="E6" s="93">
        <f>'Dados - Gráficos'!E21</f>
        <v>18666.200000000004</v>
      </c>
      <c r="F6" s="118">
        <f>'Dados - Gráficos'!F21</f>
        <v>7.0970069412781667E-2</v>
      </c>
      <c r="G6" s="119">
        <f>'Dados - Gráficos'!G21</f>
        <v>7.0970069412781667E-2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158</v>
      </c>
      <c r="D7" s="8">
        <f>'Dados - Gráficos'!D22</f>
        <v>200.01631321370309</v>
      </c>
      <c r="E7" s="93">
        <f>'Dados - Gráficos'!E22</f>
        <v>188.00000000000003</v>
      </c>
      <c r="F7" s="120">
        <f>'Dados - Gráficos'!F22</f>
        <v>6.391655964735668E-2</v>
      </c>
      <c r="G7" s="119">
        <f>'Dados - Gráficos'!G22</f>
        <v>6.391655964735668E-2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8367</v>
      </c>
      <c r="D8" s="8">
        <f>'Dados - Gráficos'!D23</f>
        <v>10863.346749127815</v>
      </c>
      <c r="E8" s="93">
        <f>'Dados - Gráficos'!E23</f>
        <v>11005.800000000003</v>
      </c>
      <c r="F8" s="120">
        <f>'Dados - Gráficos'!F23</f>
        <v>-1.2943470794688952E-2</v>
      </c>
      <c r="G8" s="119">
        <f>'Dados - Gráficos'!G23</f>
        <v>-1.2943470794688952E-2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7370</v>
      </c>
      <c r="D9" s="17">
        <f>'Dados - Gráficos'!D24</f>
        <v>8927.5784473313506</v>
      </c>
      <c r="E9" s="94">
        <f>'Dados - Gráficos'!E24</f>
        <v>7472.4000000000005</v>
      </c>
      <c r="F9" s="121">
        <f>'Dados - Gráficos'!F24</f>
        <v>0.19474043778857528</v>
      </c>
      <c r="G9" s="122">
        <f>'Dados - Gráficos'!G24</f>
        <v>0.19474043778857528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2016-04-25T12:55:22Z</dcterms:modified>
</cp:coreProperties>
</file>