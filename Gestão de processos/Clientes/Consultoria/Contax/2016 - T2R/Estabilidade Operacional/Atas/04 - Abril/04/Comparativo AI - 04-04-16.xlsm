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3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C24" i="7" l="1"/>
  <c r="C23" i="7"/>
  <c r="C22" i="7"/>
  <c r="C21" i="7" l="1"/>
  <c r="E24" i="7"/>
  <c r="E23" i="7"/>
  <c r="E22" i="7"/>
  <c r="B14" i="7" l="1"/>
  <c r="B8" i="7"/>
  <c r="B2" i="7"/>
  <c r="AJ6" i="7"/>
  <c r="AJ10" i="7"/>
  <c r="AK10" i="7" s="1"/>
  <c r="AK12" i="7"/>
  <c r="AK11" i="7"/>
  <c r="AJ12" i="7"/>
  <c r="AJ11" i="7"/>
  <c r="AI12" i="7"/>
  <c r="AI11" i="7"/>
  <c r="AI10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AH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AH36" i="1"/>
  <c r="AI36" i="1" s="1"/>
  <c r="AJ36" i="1" s="1"/>
  <c r="AK6" i="7" s="1"/>
  <c r="AH35" i="1"/>
  <c r="AI35" i="1" s="1"/>
  <c r="AJ5" i="7" s="1"/>
  <c r="AH34" i="1"/>
  <c r="AI4" i="7" s="1"/>
  <c r="AI6" i="7" l="1"/>
  <c r="AJ35" i="1"/>
  <c r="AK5" i="7" s="1"/>
  <c r="AI5" i="7"/>
  <c r="AK9" i="7"/>
  <c r="AJ9" i="7"/>
  <c r="AI9" i="7"/>
  <c r="AH33" i="1"/>
  <c r="AI34" i="1"/>
  <c r="AD16" i="7"/>
  <c r="AC16" i="7"/>
  <c r="AJ4" i="7" l="1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D16" i="7"/>
  <c r="AI16" i="7" l="1"/>
  <c r="AI18" i="7"/>
  <c r="AI17" i="7"/>
  <c r="D24" i="7" l="1"/>
  <c r="AJ18" i="7"/>
  <c r="D23" i="7"/>
  <c r="AJ17" i="7"/>
  <c r="D22" i="7"/>
  <c r="F22" i="7" s="1"/>
  <c r="AJ16" i="7"/>
  <c r="AI15" i="7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AI29" i="1" l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E21" i="7" l="1"/>
  <c r="N26" i="7"/>
  <c r="I6" i="4"/>
  <c r="AK18" i="7"/>
  <c r="AK17" i="7"/>
  <c r="AJ21" i="1"/>
  <c r="AK16" i="7"/>
  <c r="AK15" i="7" s="1"/>
  <c r="K11" i="4"/>
  <c r="I11" i="4"/>
  <c r="AI6" i="1" l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<sst xmlns="http://schemas.openxmlformats.org/spreadsheetml/2006/main" count="318" uniqueCount="38">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</sst>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5E-4BC4-A52B-E0FB30941BB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5E-4BC4-A52B-E0FB30941BB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5E-4BC4-A52B-E0FB30941BB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5E-4BC4-A52B-E0FB30941BB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5E-4BC4-A52B-E0FB30941BB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5E-4BC4-A52B-E0FB30941BB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5E-4BC4-A52B-E0FB30941BB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5E-4BC4-A52B-E0FB30941BB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D-4525-98ED-AF257518124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5E-4BC4-A52B-E0FB30941B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11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55-4BD4-AF07-111D513ADE1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55-4BD4-AF07-111D513ADE1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655-4BD4-AF07-111D513ADE1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55-4BD4-AF07-111D513ADE1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55-4BD4-AF07-111D513ADE1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55-4BD4-AF07-111D513ADE1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655-4BD4-AF07-111D513ADE1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55-4BD4-AF07-111D513ADE1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55-4BD4-AF07-111D513ADE1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55-4BD4-AF07-111D513ADE1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687</c:v>
                </c:pt>
                <c:pt idx="1">
                  <c:v>151</c:v>
                </c:pt>
                <c:pt idx="2">
                  <c:v>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36-4A8D-BE59-659F419EE3C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36-4A8D-BE59-659F419EE3C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36-4A8D-BE59-659F419EE3C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36-4A8D-BE59-659F419EE3C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36-4A8D-BE59-659F419EE3C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36-4A8D-BE59-659F419EE3C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936-4A8D-BE59-659F419EE3C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36-4A8D-BE59-659F419EE3C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36-4A8D-BE59-659F419EE3C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6-4A8D-BE59-659F419EE3C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455</c:v>
                </c:pt>
                <c:pt idx="1">
                  <c:v>181</c:v>
                </c:pt>
                <c:pt idx="2">
                  <c:v>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tabSelected="1" zoomScale="130" workbookViewId="0"/>
  </sheetViews>
  <sheetProtection algorithmName="SHA-512" hashValue="WQD+lZuOn/fwyoIetoteX92nLQWaOGqs9We4tbtAOlsRuPVolGWGWHOZQ4cvBwaS4syILXjy7w1F73x+Hft1mA==" saltValue="OfhR3nN0J2REosCnaoQo1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VhLXZELD2GbLsigBvfITrKoIWtEnLgovkOexnP1yQOvXGrJUiroihUHDnEryDUxx2GVy7dhIxsSaFRJhSKkIig==" saltValue="f5eLl15DjdcrjbQJUMBwo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8DlZ8TQ0M5Kqw9+NJWsM992OU0Sx2wfy263dLXrlqNCIfs7BiHGEYADiTtSHsSgLBVyuRFyJ+B/gEabrEnHExA==" saltValue="PBws80Pjd+773I5SbmGIw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Y22" zoomScale="130" zoomScaleNormal="130" workbookViewId="0">
      <selection activeCell="AH34" sqref="AH34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1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9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2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5">
        <v>42460</v>
      </c>
      <c r="AH27" s="52">
        <f>SUM(AH28:AH30)</f>
        <v>21243</v>
      </c>
      <c r="AI27" s="71">
        <f>AH27/COUNTA(C28:AG28)</f>
        <v>685.25806451612902</v>
      </c>
      <c r="AJ27" s="55">
        <f>AI27*31</f>
        <v>21243</v>
      </c>
    </row>
    <row r="28" spans="2:36" x14ac:dyDescent="0.25">
      <c r="B28" s="153" t="s">
        <v>19</v>
      </c>
      <c r="C28" s="157">
        <v>6</v>
      </c>
      <c r="D28" s="157">
        <v>10</v>
      </c>
      <c r="E28" s="157">
        <v>6</v>
      </c>
      <c r="F28" s="157">
        <v>9</v>
      </c>
      <c r="G28" s="157">
        <v>3</v>
      </c>
      <c r="H28" s="157">
        <v>1</v>
      </c>
      <c r="I28" s="157">
        <v>8</v>
      </c>
      <c r="J28" s="157">
        <v>6</v>
      </c>
      <c r="K28" s="157">
        <v>9</v>
      </c>
      <c r="L28" s="157">
        <v>10</v>
      </c>
      <c r="M28" s="157">
        <v>6</v>
      </c>
      <c r="N28" s="157">
        <v>0</v>
      </c>
      <c r="O28" s="157">
        <v>2</v>
      </c>
      <c r="P28" s="157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8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3" t="s">
        <v>20</v>
      </c>
      <c r="C29" s="157">
        <v>664</v>
      </c>
      <c r="D29" s="157">
        <v>719</v>
      </c>
      <c r="E29" s="157">
        <v>536</v>
      </c>
      <c r="F29" s="157">
        <v>583</v>
      </c>
      <c r="G29" s="157">
        <v>103</v>
      </c>
      <c r="H29" s="157">
        <v>70</v>
      </c>
      <c r="I29" s="157">
        <v>600</v>
      </c>
      <c r="J29" s="157">
        <v>467</v>
      </c>
      <c r="K29" s="157">
        <v>560</v>
      </c>
      <c r="L29" s="157">
        <v>480</v>
      </c>
      <c r="M29" s="157">
        <v>451</v>
      </c>
      <c r="N29" s="157">
        <v>123</v>
      </c>
      <c r="O29" s="157">
        <v>37</v>
      </c>
      <c r="P29" s="157">
        <v>534</v>
      </c>
      <c r="Q29" s="24">
        <v>542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432</v>
      </c>
      <c r="Y29" s="24">
        <v>412</v>
      </c>
      <c r="Z29" s="24">
        <v>412</v>
      </c>
      <c r="AA29" s="24">
        <v>111</v>
      </c>
      <c r="AB29" s="24">
        <v>121</v>
      </c>
      <c r="AC29" s="24">
        <v>36</v>
      </c>
      <c r="AD29" s="24">
        <v>614</v>
      </c>
      <c r="AE29" s="24">
        <v>449</v>
      </c>
      <c r="AF29" s="24">
        <v>444</v>
      </c>
      <c r="AG29" s="158">
        <v>628</v>
      </c>
      <c r="AH29" s="53">
        <f>SUM(C29:AG29)</f>
        <v>12076</v>
      </c>
      <c r="AI29" s="38">
        <f>AH29/COUNTA(C29:AG29)</f>
        <v>389.54838709677421</v>
      </c>
      <c r="AJ29" s="56">
        <f>AI29*31</f>
        <v>12076</v>
      </c>
    </row>
    <row r="30" spans="2:36" ht="15.75" thickBot="1" x14ac:dyDescent="0.3">
      <c r="B30" s="154" t="s">
        <v>21</v>
      </c>
      <c r="C30" s="156">
        <v>574</v>
      </c>
      <c r="D30" s="156">
        <v>464</v>
      </c>
      <c r="E30" s="156">
        <v>389</v>
      </c>
      <c r="F30" s="156">
        <v>377</v>
      </c>
      <c r="G30" s="156">
        <v>79</v>
      </c>
      <c r="H30" s="156">
        <v>40</v>
      </c>
      <c r="I30" s="156">
        <v>549</v>
      </c>
      <c r="J30" s="156">
        <v>390</v>
      </c>
      <c r="K30" s="156">
        <v>407</v>
      </c>
      <c r="L30" s="156">
        <v>363</v>
      </c>
      <c r="M30" s="156">
        <v>317</v>
      </c>
      <c r="N30" s="156">
        <v>100</v>
      </c>
      <c r="O30" s="156">
        <v>39</v>
      </c>
      <c r="P30" s="156">
        <v>478</v>
      </c>
      <c r="Q30" s="25">
        <v>392</v>
      </c>
      <c r="R30" s="25">
        <v>331</v>
      </c>
      <c r="S30" s="25">
        <v>322</v>
      </c>
      <c r="T30" s="25">
        <v>288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383</v>
      </c>
      <c r="AE30" s="25">
        <v>353</v>
      </c>
      <c r="AF30" s="25">
        <v>319</v>
      </c>
      <c r="AG30" s="160">
        <v>380</v>
      </c>
      <c r="AH30" s="54">
        <f>SUM(C30:AG30)</f>
        <v>8987</v>
      </c>
      <c r="AI30" s="37">
        <f>AH30/COUNTA(C30:AG30)</f>
        <v>289.90322580645159</v>
      </c>
      <c r="AJ30" s="57">
        <f>AI30*31</f>
        <v>8987</v>
      </c>
    </row>
    <row r="31" spans="2:36" ht="15.75" thickBot="1" x14ac:dyDescent="0.3"/>
    <row r="32" spans="2:36" ht="15.75" x14ac:dyDescent="0.25">
      <c r="B32" s="164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9"/>
      <c r="AH32" s="165" t="s">
        <v>7</v>
      </c>
      <c r="AI32" s="166" t="s">
        <v>17</v>
      </c>
      <c r="AJ32" s="64" t="s">
        <v>18</v>
      </c>
    </row>
    <row r="33" spans="2:36" x14ac:dyDescent="0.25">
      <c r="B33" s="161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5"/>
      <c r="AH33" s="52">
        <f>SUM(AH34:AH36)</f>
        <v>1603</v>
      </c>
      <c r="AI33" s="71">
        <f>AH33/COUNTA(C34:AG34)</f>
        <v>534.33333333333337</v>
      </c>
      <c r="AJ33" s="55">
        <f>AI33*31</f>
        <v>16564.333333333336</v>
      </c>
    </row>
    <row r="34" spans="2:36" x14ac:dyDescent="0.25">
      <c r="B34" s="162" t="s">
        <v>19</v>
      </c>
      <c r="C34" s="157">
        <v>11</v>
      </c>
      <c r="D34" s="157">
        <v>7</v>
      </c>
      <c r="E34" s="157">
        <v>7</v>
      </c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8"/>
      <c r="AH34" s="53">
        <f>SUM(C34:AG34)</f>
        <v>25</v>
      </c>
      <c r="AI34" s="38">
        <f>AH34/COUNTA(C34:AG34)</f>
        <v>8.3333333333333339</v>
      </c>
      <c r="AJ34" s="56">
        <f>AI34*30</f>
        <v>250.00000000000003</v>
      </c>
    </row>
    <row r="35" spans="2:36" x14ac:dyDescent="0.25">
      <c r="B35" s="162" t="s">
        <v>20</v>
      </c>
      <c r="C35" s="157">
        <v>687</v>
      </c>
      <c r="D35" s="157">
        <v>151</v>
      </c>
      <c r="E35" s="157">
        <v>63</v>
      </c>
      <c r="F35" s="157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8"/>
      <c r="AH35" s="53">
        <f>SUM(C35:AG35)</f>
        <v>901</v>
      </c>
      <c r="AI35" s="38">
        <f>AH35/COUNTA(C35:AG35)</f>
        <v>300.33333333333331</v>
      </c>
      <c r="AJ35" s="56">
        <f>AI35*30</f>
        <v>9010</v>
      </c>
    </row>
    <row r="36" spans="2:36" ht="15.75" thickBot="1" x14ac:dyDescent="0.3">
      <c r="B36" s="163" t="s">
        <v>21</v>
      </c>
      <c r="C36" s="156">
        <v>455</v>
      </c>
      <c r="D36" s="156">
        <v>181</v>
      </c>
      <c r="E36" s="156">
        <v>41</v>
      </c>
      <c r="F36" s="156"/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60"/>
      <c r="AH36" s="54">
        <f>SUM(C36:AG36)</f>
        <v>677</v>
      </c>
      <c r="AI36" s="37">
        <f>AH36/COUNTA(C36:AG36)</f>
        <v>225.66666666666666</v>
      </c>
      <c r="AJ36" s="57">
        <f>AI36*30</f>
        <v>6770</v>
      </c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C9" zoomScaleNormal="100" workbookViewId="0">
      <selection activeCell="C25" sqref="C25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1603</v>
      </c>
      <c r="AJ3" s="66">
        <f>Indicadores!AI33</f>
        <v>534.33333333333337</v>
      </c>
      <c r="AK3" s="55">
        <f>Indicadores!AJ33</f>
        <v>16564.333333333336</v>
      </c>
    </row>
    <row r="4" spans="1:16384" x14ac:dyDescent="0.25">
      <c r="B4" s="192" t="s">
        <v>19</v>
      </c>
      <c r="C4" s="193"/>
      <c r="D4" s="39">
        <f>IF(Indicadores!C34,Indicadores!C34,"")</f>
        <v>11</v>
      </c>
      <c r="E4" s="39">
        <f>IF(Indicadores!D34,Indicadores!D34,"")</f>
        <v>7</v>
      </c>
      <c r="F4" s="39">
        <f>IF(Indicadores!E34,Indicadores!E34,"")</f>
        <v>7</v>
      </c>
      <c r="G4" s="39" t="str">
        <f>IF(Indicadores!F34,Indicadores!F34,"")</f>
        <v/>
      </c>
      <c r="H4" s="39" t="str">
        <f>IF(Indicadores!G34,Indicadores!G34,"")</f>
        <v/>
      </c>
      <c r="I4" s="39" t="str">
        <f>IF(Indicadores!H34,Indicadores!H34,"")</f>
        <v/>
      </c>
      <c r="J4" s="39" t="str">
        <f>IF(Indicadores!I34,Indicadores!I34,"")</f>
        <v/>
      </c>
      <c r="K4" s="39" t="str">
        <f>IF(Indicadores!J34,Indicadores!J34,"")</f>
        <v/>
      </c>
      <c r="L4" s="39" t="str">
        <f>IF(Indicadores!K34,Indicadores!K34,"")</f>
        <v/>
      </c>
      <c r="M4" s="39" t="str">
        <f>IF(Indicadores!L34,Indicadores!L34,"")</f>
        <v/>
      </c>
      <c r="N4" s="39" t="str">
        <f>IF(Indicadores!M34,Indicadores!M34,"")</f>
        <v/>
      </c>
      <c r="O4" s="39" t="str">
        <f>IF(Indicadores!N34,Indicadores!N34,"")</f>
        <v/>
      </c>
      <c r="P4" s="39" t="str">
        <f>IF(Indicadores!O34,Indicadores!O34,"")</f>
        <v/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25</v>
      </c>
      <c r="AJ4" s="75">
        <f>Indicadores!AI34</f>
        <v>8.3333333333333339</v>
      </c>
      <c r="AK4" s="56">
        <f>Indicadores!AJ34</f>
        <v>250.00000000000003</v>
      </c>
    </row>
    <row r="5" spans="1:16384" x14ac:dyDescent="0.25">
      <c r="B5" s="192" t="s">
        <v>20</v>
      </c>
      <c r="C5" s="193"/>
      <c r="D5" s="39">
        <f>IF(Indicadores!C35,Indicadores!C35,"")</f>
        <v>687</v>
      </c>
      <c r="E5" s="39">
        <f>IF(Indicadores!D35,Indicadores!D35,"")</f>
        <v>151</v>
      </c>
      <c r="F5" s="39">
        <f>IF(Indicadores!E35,Indicadores!E35,"")</f>
        <v>63</v>
      </c>
      <c r="G5" s="39" t="str">
        <f>IF(Indicadores!F35,Indicadores!F35,"")</f>
        <v/>
      </c>
      <c r="H5" s="39" t="str">
        <f>IF(Indicadores!G35,Indicadores!G35,"")</f>
        <v/>
      </c>
      <c r="I5" s="39" t="str">
        <f>IF(Indicadores!H35,Indicadores!H35,"")</f>
        <v/>
      </c>
      <c r="J5" s="39" t="str">
        <f>IF(Indicadores!I35,Indicadores!I35,"")</f>
        <v/>
      </c>
      <c r="K5" s="39" t="str">
        <f>IF(Indicadores!J35,Indicadores!J35,"")</f>
        <v/>
      </c>
      <c r="L5" s="39" t="str">
        <f>IF(Indicadores!K35,Indicadores!K35,"")</f>
        <v/>
      </c>
      <c r="M5" s="39" t="str">
        <f>IF(Indicadores!L35,Indicadores!L35,"")</f>
        <v/>
      </c>
      <c r="N5" s="39" t="str">
        <f>IF(Indicadores!M35,Indicadores!M35,"")</f>
        <v/>
      </c>
      <c r="O5" s="39" t="str">
        <f>IF(Indicadores!N35,Indicadores!N35,"")</f>
        <v/>
      </c>
      <c r="P5" s="39" t="str">
        <f>IF(Indicadores!O35,Indicadores!O35,"")</f>
        <v/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901</v>
      </c>
      <c r="AJ5" s="75">
        <f>Indicadores!AI35</f>
        <v>300.33333333333331</v>
      </c>
      <c r="AK5" s="56">
        <f>Indicadores!AJ35</f>
        <v>9010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455</v>
      </c>
      <c r="E6" s="40">
        <f>IF(Indicadores!D36,Indicadores!D36,"")</f>
        <v>181</v>
      </c>
      <c r="F6" s="40">
        <f>IF(Indicadores!E36,Indicadores!E36,"")</f>
        <v>41</v>
      </c>
      <c r="G6" s="40" t="str">
        <f>IF(Indicadores!F36,Indicadores!F36,"")</f>
        <v/>
      </c>
      <c r="H6" s="40" t="str">
        <f>IF(Indicadores!G36,Indicadores!G36,"")</f>
        <v/>
      </c>
      <c r="I6" s="40" t="str">
        <f>IF(Indicadores!H36,Indicadores!H36,"")</f>
        <v/>
      </c>
      <c r="J6" s="40" t="str">
        <f>IF(Indicadores!I36,Indicadores!I36,"")</f>
        <v/>
      </c>
      <c r="K6" s="40" t="str">
        <f>IF(Indicadores!J36,Indicadores!J36,"")</f>
        <v/>
      </c>
      <c r="L6" s="40" t="str">
        <f>IF(Indicadores!K36,Indicadores!K36,"")</f>
        <v/>
      </c>
      <c r="M6" s="40" t="str">
        <f>IF(Indicadores!L36,Indicadores!L36,"")</f>
        <v/>
      </c>
      <c r="N6" s="40" t="str">
        <f>IF(Indicadores!M36,Indicadores!M36,"")</f>
        <v/>
      </c>
      <c r="O6" s="40" t="str">
        <f>IF(Indicadores!N36,Indicadores!N36,"")</f>
        <v/>
      </c>
      <c r="P6" s="40" t="str">
        <f>IF(Indicadores!O36,Indicadores!O36,"")</f>
        <v/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677</v>
      </c>
      <c r="AJ6" s="42">
        <f>Indicadores!AI36</f>
        <v>225.66666666666666</v>
      </c>
      <c r="AK6" s="56">
        <f>Indicadores!AJ36</f>
        <v>6770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0</v>
      </c>
      <c r="AJ9" s="66">
        <f>SUM(AJ10:AJ12)</f>
        <v>0</v>
      </c>
      <c r="AK9" s="55">
        <f>SUM(AK10:AK12)</f>
        <v>0</v>
      </c>
    </row>
    <row r="10" spans="1:16384" x14ac:dyDescent="0.25">
      <c r="B10" s="101" t="s">
        <v>19</v>
      </c>
      <c r="C10" s="103" t="s">
        <v>35</v>
      </c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43"/>
      <c r="AH10" s="44"/>
      <c r="AI10" s="105">
        <f>SUM(D10:AH10)</f>
        <v>0</v>
      </c>
      <c r="AJ10" s="106">
        <f>AI10/COUNTA(C10:AG10)</f>
        <v>0</v>
      </c>
      <c r="AK10" s="107">
        <f>AJ10*30</f>
        <v>0</v>
      </c>
    </row>
    <row r="11" spans="1:16384" x14ac:dyDescent="0.25">
      <c r="B11" s="101" t="s">
        <v>20</v>
      </c>
      <c r="C11" s="103" t="s">
        <v>35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43"/>
      <c r="AH11" s="44"/>
      <c r="AI11" s="105">
        <f>SUM(D11:AH11)</f>
        <v>0</v>
      </c>
      <c r="AJ11" s="106">
        <f>AI11/COUNTA(C11:AG11)</f>
        <v>0</v>
      </c>
      <c r="AK11" s="107">
        <f>AJ11*30</f>
        <v>0</v>
      </c>
    </row>
    <row r="12" spans="1:16384" ht="15.75" thickBot="1" x14ac:dyDescent="0.3">
      <c r="B12" s="102" t="s">
        <v>21</v>
      </c>
      <c r="C12" s="104" t="s">
        <v>35</v>
      </c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45"/>
      <c r="AH12" s="46"/>
      <c r="AI12" s="108">
        <f>SUM(D12:AH12)</f>
        <v>0</v>
      </c>
      <c r="AJ12" s="109">
        <f>AI12/COUNTA(C12:AG12)</f>
        <v>0</v>
      </c>
      <c r="AK12" s="110">
        <f>AJ12*30</f>
        <v>0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1603</v>
      </c>
      <c r="AJ15" s="66">
        <f>SUM(AJ16:AJ18)</f>
        <v>51.70967741935484</v>
      </c>
      <c r="AK15" s="55">
        <f>SUM(AK16:AK18)</f>
        <v>0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11</v>
      </c>
      <c r="E16" s="137">
        <f t="shared" ref="E16:AH16" si="4">IF(E4&lt;&gt;"",E4,E10)</f>
        <v>7</v>
      </c>
      <c r="F16" s="137">
        <f t="shared" si="4"/>
        <v>7</v>
      </c>
      <c r="G16" s="137">
        <f t="shared" si="4"/>
        <v>0</v>
      </c>
      <c r="H16" s="137">
        <f t="shared" si="4"/>
        <v>0</v>
      </c>
      <c r="I16" s="137">
        <f t="shared" si="4"/>
        <v>0</v>
      </c>
      <c r="J16" s="137">
        <f t="shared" si="4"/>
        <v>0</v>
      </c>
      <c r="K16" s="137">
        <f t="shared" si="4"/>
        <v>0</v>
      </c>
      <c r="L16" s="137">
        <f t="shared" si="4"/>
        <v>0</v>
      </c>
      <c r="M16" s="137">
        <f t="shared" si="4"/>
        <v>0</v>
      </c>
      <c r="N16" s="137">
        <f t="shared" si="4"/>
        <v>0</v>
      </c>
      <c r="O16" s="137">
        <f t="shared" si="4"/>
        <v>0</v>
      </c>
      <c r="P16" s="137">
        <f t="shared" si="4"/>
        <v>0</v>
      </c>
      <c r="Q16" s="137">
        <f t="shared" si="4"/>
        <v>0</v>
      </c>
      <c r="R16" s="137">
        <f t="shared" si="4"/>
        <v>0</v>
      </c>
      <c r="S16" s="137">
        <f t="shared" si="4"/>
        <v>0</v>
      </c>
      <c r="T16" s="137">
        <f t="shared" si="4"/>
        <v>0</v>
      </c>
      <c r="U16" s="137">
        <f t="shared" si="4"/>
        <v>0</v>
      </c>
      <c r="V16" s="137">
        <f t="shared" si="4"/>
        <v>0</v>
      </c>
      <c r="W16" s="137">
        <f t="shared" si="4"/>
        <v>0</v>
      </c>
      <c r="X16" s="137">
        <f t="shared" si="4"/>
        <v>0</v>
      </c>
      <c r="Y16" s="137">
        <f t="shared" si="4"/>
        <v>0</v>
      </c>
      <c r="Z16" s="137">
        <f t="shared" si="4"/>
        <v>0</v>
      </c>
      <c r="AA16" s="137">
        <f t="shared" si="4"/>
        <v>0</v>
      </c>
      <c r="AB16" s="137">
        <f t="shared" si="4"/>
        <v>0</v>
      </c>
      <c r="AC16" s="137">
        <f t="shared" si="4"/>
        <v>0</v>
      </c>
      <c r="AD16" s="137">
        <f t="shared" si="4"/>
        <v>0</v>
      </c>
      <c r="AE16" s="137">
        <f t="shared" si="4"/>
        <v>0</v>
      </c>
      <c r="AF16" s="137">
        <f t="shared" si="4"/>
        <v>0</v>
      </c>
      <c r="AG16" s="137">
        <f t="shared" si="4"/>
        <v>0</v>
      </c>
      <c r="AH16" s="137">
        <f t="shared" si="4"/>
        <v>0</v>
      </c>
      <c r="AI16" s="105">
        <f>SUM(D16:AH16)</f>
        <v>25</v>
      </c>
      <c r="AJ16" s="106">
        <f>AI16/COUNTA(C16:AG16)</f>
        <v>0.80645161290322576</v>
      </c>
      <c r="AK16" s="107">
        <f t="shared" ref="AK16" si="5">AK10</f>
        <v>0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687</v>
      </c>
      <c r="E17" s="137">
        <f t="shared" ref="E17:AH17" si="6">IF(E5&lt;&gt;"",E5,E11)</f>
        <v>151</v>
      </c>
      <c r="F17" s="137">
        <f t="shared" si="6"/>
        <v>63</v>
      </c>
      <c r="G17" s="137">
        <f t="shared" si="6"/>
        <v>0</v>
      </c>
      <c r="H17" s="137">
        <f t="shared" si="6"/>
        <v>0</v>
      </c>
      <c r="I17" s="137">
        <f t="shared" si="6"/>
        <v>0</v>
      </c>
      <c r="J17" s="137">
        <f t="shared" si="6"/>
        <v>0</v>
      </c>
      <c r="K17" s="137">
        <f t="shared" si="6"/>
        <v>0</v>
      </c>
      <c r="L17" s="137">
        <f t="shared" si="6"/>
        <v>0</v>
      </c>
      <c r="M17" s="137">
        <f t="shared" si="6"/>
        <v>0</v>
      </c>
      <c r="N17" s="137">
        <f t="shared" si="6"/>
        <v>0</v>
      </c>
      <c r="O17" s="137">
        <f t="shared" si="6"/>
        <v>0</v>
      </c>
      <c r="P17" s="137">
        <f t="shared" si="6"/>
        <v>0</v>
      </c>
      <c r="Q17" s="137">
        <f t="shared" si="6"/>
        <v>0</v>
      </c>
      <c r="R17" s="137">
        <f t="shared" si="6"/>
        <v>0</v>
      </c>
      <c r="S17" s="137">
        <f t="shared" si="6"/>
        <v>0</v>
      </c>
      <c r="T17" s="137">
        <f t="shared" si="6"/>
        <v>0</v>
      </c>
      <c r="U17" s="137">
        <f t="shared" si="6"/>
        <v>0</v>
      </c>
      <c r="V17" s="137">
        <f t="shared" si="6"/>
        <v>0</v>
      </c>
      <c r="W17" s="137">
        <f t="shared" si="6"/>
        <v>0</v>
      </c>
      <c r="X17" s="137">
        <f t="shared" si="6"/>
        <v>0</v>
      </c>
      <c r="Y17" s="137">
        <f t="shared" si="6"/>
        <v>0</v>
      </c>
      <c r="Z17" s="137">
        <f t="shared" si="6"/>
        <v>0</v>
      </c>
      <c r="AA17" s="137">
        <f t="shared" si="6"/>
        <v>0</v>
      </c>
      <c r="AB17" s="137">
        <f t="shared" si="6"/>
        <v>0</v>
      </c>
      <c r="AC17" s="137">
        <f t="shared" si="6"/>
        <v>0</v>
      </c>
      <c r="AD17" s="137">
        <f t="shared" si="6"/>
        <v>0</v>
      </c>
      <c r="AE17" s="137">
        <f t="shared" si="6"/>
        <v>0</v>
      </c>
      <c r="AF17" s="137">
        <f t="shared" si="6"/>
        <v>0</v>
      </c>
      <c r="AG17" s="137">
        <f t="shared" si="6"/>
        <v>0</v>
      </c>
      <c r="AH17" s="137">
        <f t="shared" si="6"/>
        <v>0</v>
      </c>
      <c r="AI17" s="105">
        <f>SUM(D17:AH17)</f>
        <v>901</v>
      </c>
      <c r="AJ17" s="106">
        <f>AI17/COUNTA(C17:AG17)</f>
        <v>29.06451612903226</v>
      </c>
      <c r="AK17" s="107">
        <f t="shared" ref="AK17" si="7">AK11</f>
        <v>0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9">
        <f>IF(D6&lt;&gt;"",D6,D12)</f>
        <v>455</v>
      </c>
      <c r="E18" s="149">
        <f t="shared" ref="E18:AH18" si="8">IF(E6&lt;&gt;"",E6,E12)</f>
        <v>181</v>
      </c>
      <c r="F18" s="149">
        <f t="shared" si="8"/>
        <v>41</v>
      </c>
      <c r="G18" s="149">
        <f t="shared" si="8"/>
        <v>0</v>
      </c>
      <c r="H18" s="149">
        <f t="shared" si="8"/>
        <v>0</v>
      </c>
      <c r="I18" s="149">
        <f t="shared" si="8"/>
        <v>0</v>
      </c>
      <c r="J18" s="149">
        <f t="shared" si="8"/>
        <v>0</v>
      </c>
      <c r="K18" s="149">
        <f t="shared" si="8"/>
        <v>0</v>
      </c>
      <c r="L18" s="149">
        <f t="shared" si="8"/>
        <v>0</v>
      </c>
      <c r="M18" s="149">
        <f t="shared" si="8"/>
        <v>0</v>
      </c>
      <c r="N18" s="149">
        <f t="shared" si="8"/>
        <v>0</v>
      </c>
      <c r="O18" s="149">
        <f t="shared" si="8"/>
        <v>0</v>
      </c>
      <c r="P18" s="149">
        <f t="shared" si="8"/>
        <v>0</v>
      </c>
      <c r="Q18" s="149">
        <f t="shared" si="8"/>
        <v>0</v>
      </c>
      <c r="R18" s="149">
        <f t="shared" si="8"/>
        <v>0</v>
      </c>
      <c r="S18" s="149">
        <f t="shared" si="8"/>
        <v>0</v>
      </c>
      <c r="T18" s="149">
        <f t="shared" si="8"/>
        <v>0</v>
      </c>
      <c r="U18" s="149">
        <f t="shared" si="8"/>
        <v>0</v>
      </c>
      <c r="V18" s="149">
        <f t="shared" si="8"/>
        <v>0</v>
      </c>
      <c r="W18" s="149">
        <f t="shared" si="8"/>
        <v>0</v>
      </c>
      <c r="X18" s="149">
        <f t="shared" si="8"/>
        <v>0</v>
      </c>
      <c r="Y18" s="149">
        <f t="shared" si="8"/>
        <v>0</v>
      </c>
      <c r="Z18" s="149">
        <f t="shared" si="8"/>
        <v>0</v>
      </c>
      <c r="AA18" s="149">
        <f t="shared" si="8"/>
        <v>0</v>
      </c>
      <c r="AB18" s="149">
        <f t="shared" si="8"/>
        <v>0</v>
      </c>
      <c r="AC18" s="149">
        <f t="shared" si="8"/>
        <v>0</v>
      </c>
      <c r="AD18" s="149">
        <f t="shared" si="8"/>
        <v>0</v>
      </c>
      <c r="AE18" s="149">
        <f t="shared" si="8"/>
        <v>0</v>
      </c>
      <c r="AF18" s="149">
        <f t="shared" si="8"/>
        <v>0</v>
      </c>
      <c r="AG18" s="149">
        <f t="shared" si="8"/>
        <v>0</v>
      </c>
      <c r="AH18" s="149">
        <f t="shared" si="8"/>
        <v>0</v>
      </c>
      <c r="AI18" s="108">
        <f>SUM(D18:AH18)</f>
        <v>677</v>
      </c>
      <c r="AJ18" s="109">
        <f>AI18/COUNTA(C18:AG18)</f>
        <v>21.838709677419356</v>
      </c>
      <c r="AK18" s="110">
        <f t="shared" ref="AK18" si="9">AK12</f>
        <v>0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7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1603</v>
      </c>
      <c r="D21" s="142">
        <f>SUM(D22:D24)</f>
        <v>1603</v>
      </c>
      <c r="E21" s="143">
        <f>SUM(E22:E24)</f>
        <v>19807.816666666666</v>
      </c>
      <c r="F21" s="138">
        <f>(D21-E21)/E21</f>
        <v>-0.91907235274962995</v>
      </c>
      <c r="G21" s="133">
        <f>F21</f>
        <v>-0.91907235274962995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25</v>
      </c>
      <c r="D22" s="145">
        <f>AI16</f>
        <v>25</v>
      </c>
      <c r="E22" s="143">
        <f>AVERAGE(Indicadores!AH16,Indicadores!AH22,Indicadores!AH28)*0.95</f>
        <v>188.1</v>
      </c>
      <c r="F22" s="139">
        <f t="shared" ref="F22:F24" si="10">(D22-E22)/E22</f>
        <v>-0.86709197235513025</v>
      </c>
      <c r="G22" s="133">
        <f>F22</f>
        <v>-0.86709197235513025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901</v>
      </c>
      <c r="D23" s="145">
        <f>AI17</f>
        <v>901</v>
      </c>
      <c r="E23" s="143">
        <f>AVERAGE(Indicadores!AH17,Indicadores!AH23,Indicadores!AH29)*0.95</f>
        <v>11655.866666666667</v>
      </c>
      <c r="F23" s="139">
        <f t="shared" si="10"/>
        <v>-0.92269987073748272</v>
      </c>
      <c r="G23" s="133">
        <f>F23</f>
        <v>-0.92269987073748272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677</v>
      </c>
      <c r="D24" s="147">
        <f>AI18</f>
        <v>677</v>
      </c>
      <c r="E24" s="148">
        <f>AVERAGE(Indicadores!AH18,Indicadores!AH24,Indicadores!AH30)*0.95</f>
        <v>7963.8499999999995</v>
      </c>
      <c r="F24" s="140">
        <f t="shared" si="10"/>
        <v>-0.91499086497108806</v>
      </c>
      <c r="G24" s="136">
        <f>F24</f>
        <v>-0.91499086497108806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8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1603</v>
      </c>
      <c r="D6" s="7">
        <f>'Dados - Gráficos'!D21</f>
        <v>1603</v>
      </c>
      <c r="E6" s="93">
        <f>'Dados - Gráficos'!E21</f>
        <v>19807.816666666666</v>
      </c>
      <c r="F6" s="118">
        <f>'Dados - Gráficos'!F21</f>
        <v>-0.91907235274962995</v>
      </c>
      <c r="G6" s="119">
        <f>'Dados - Gráficos'!G21</f>
        <v>-0.91907235274962995</v>
      </c>
      <c r="H6" s="32"/>
      <c r="I6" s="19">
        <f>K9</f>
        <v>415</v>
      </c>
      <c r="J6" s="83">
        <f>Indicadores!AH10</f>
        <v>294</v>
      </c>
      <c r="K6" s="88">
        <f>E7</f>
        <v>188.1</v>
      </c>
    </row>
    <row r="7" spans="2:11" x14ac:dyDescent="0.25">
      <c r="B7" s="15" t="str">
        <f>'Dados - Gráficos'!B22</f>
        <v>Alto</v>
      </c>
      <c r="C7" s="99">
        <f>'Dados - Gráficos'!C22</f>
        <v>25</v>
      </c>
      <c r="D7" s="8">
        <f>'Dados - Gráficos'!D22</f>
        <v>25</v>
      </c>
      <c r="E7" s="93">
        <f>'Dados - Gráficos'!E22</f>
        <v>188.1</v>
      </c>
      <c r="F7" s="120">
        <f>'Dados - Gráficos'!F22</f>
        <v>-0.86709197235513025</v>
      </c>
      <c r="G7" s="119">
        <f>'Dados - Gráficos'!G22</f>
        <v>-0.86709197235513025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901</v>
      </c>
      <c r="D8" s="8">
        <f>'Dados - Gráficos'!D23</f>
        <v>901</v>
      </c>
      <c r="E8" s="93">
        <f>'Dados - Gráficos'!E23</f>
        <v>11655.866666666667</v>
      </c>
      <c r="F8" s="120">
        <f>'Dados - Gráficos'!F23</f>
        <v>-0.92269987073748272</v>
      </c>
      <c r="G8" s="119">
        <f>'Dados - Gráficos'!G23</f>
        <v>-0.92269987073748272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677</v>
      </c>
      <c r="D9" s="17">
        <f>'Dados - Gráficos'!D24</f>
        <v>677</v>
      </c>
      <c r="E9" s="94">
        <f>'Dados - Gráficos'!E24</f>
        <v>7963.8499999999995</v>
      </c>
      <c r="F9" s="121">
        <f>'Dados - Gráficos'!F24</f>
        <v>-0.91499086497108806</v>
      </c>
      <c r="G9" s="122">
        <f>'Dados - Gráficos'!G24</f>
        <v>-0.91499086497108806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-0.54674698795180721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bv5UnrieNqc4q/1+HW3UZg9o7kE8zdgZKvOtuOS/hR9UGszcGikY7GGrIYEoQuO4ELjFe3OVukQvIyoOpchM1A==" saltValue="7QmWkdIUK2650YV6RShtz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2016-04-04T13:38:41Z</dcterms:modified>
</cp:coreProperties>
</file>