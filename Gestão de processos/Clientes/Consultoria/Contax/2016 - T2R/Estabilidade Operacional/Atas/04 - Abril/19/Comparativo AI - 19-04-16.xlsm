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<sst xmlns="http://schemas.openxmlformats.org/spreadsheetml/2006/main" count="318" uniqueCount="38">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</sst>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581</c:v>
                </c:pt>
                <c:pt idx="1">
                  <c:v>124</c:v>
                </c:pt>
                <c:pt idx="2">
                  <c:v>49</c:v>
                </c:pt>
                <c:pt idx="3">
                  <c:v>614</c:v>
                </c:pt>
                <c:pt idx="4">
                  <c:v>582</c:v>
                </c:pt>
                <c:pt idx="5">
                  <c:v>446</c:v>
                </c:pt>
                <c:pt idx="6">
                  <c:v>520</c:v>
                </c:pt>
                <c:pt idx="7">
                  <c:v>509</c:v>
                </c:pt>
                <c:pt idx="8">
                  <c:v>121</c:v>
                </c:pt>
                <c:pt idx="9">
                  <c:v>39</c:v>
                </c:pt>
                <c:pt idx="10">
                  <c:v>551</c:v>
                </c:pt>
                <c:pt idx="11">
                  <c:v>601</c:v>
                </c:pt>
                <c:pt idx="12">
                  <c:v>590</c:v>
                </c:pt>
                <c:pt idx="13">
                  <c:v>507</c:v>
                </c:pt>
                <c:pt idx="14">
                  <c:v>414</c:v>
                </c:pt>
                <c:pt idx="15">
                  <c:v>108</c:v>
                </c:pt>
                <c:pt idx="16">
                  <c:v>21</c:v>
                </c:pt>
                <c:pt idx="17">
                  <c:v>588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584</c:v>
                </c:pt>
                <c:pt idx="4">
                  <c:v>494</c:v>
                </c:pt>
                <c:pt idx="5">
                  <c:v>444</c:v>
                </c:pt>
                <c:pt idx="6">
                  <c:v>424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554</c:v>
                </c:pt>
                <c:pt idx="11">
                  <c:v>511</c:v>
                </c:pt>
                <c:pt idx="12">
                  <c:v>447</c:v>
                </c:pt>
                <c:pt idx="13">
                  <c:v>382</c:v>
                </c:pt>
                <c:pt idx="14">
                  <c:v>328</c:v>
                </c:pt>
                <c:pt idx="15">
                  <c:v>85</c:v>
                </c:pt>
                <c:pt idx="16">
                  <c:v>35</c:v>
                </c:pt>
                <c:pt idx="17">
                  <c:v>421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dnQdTUQbYzulda2hGaeP0drp1rVmI2/UOQ4eMO7eQgExGkX2etxFVy7kt0NILTUUSwbWe/zuBPGQ/sGx6/hzyQ==" saltValue="KsBPJ2wldp/ZmQ6GW4W08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hZWmBUZDl6mW1JaXJiqGcSU6PRICT96UuH08EkHJluTV7clEQjTSyK/8VcY/R+yDMu5KT9Iw7iHj0J6ic8NZQ==" saltValue="wAI2p8BRor5DnKIk4W/yK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7ZFXtbERYG6Fq6ASzgZ0SgLNnXR/QQgV12I7RsApTglV0GNqmzSygRodWPwxpIVcoHlh/wNJ/whEmbPjzBgytg==" saltValue="NkhP1MoIYz1mka1d1nO2z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4" sqref="C34:T34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13066</v>
      </c>
      <c r="AI33" s="71">
        <f>AH33/COUNTA(C34:AG34)</f>
        <v>725.88888888888891</v>
      </c>
      <c r="AJ33" s="55">
        <f>AI33*31</f>
        <v>22502.555555555555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11</v>
      </c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126</v>
      </c>
      <c r="AI34" s="38">
        <f>AH34/COUNTA(C34:AG34)</f>
        <v>7</v>
      </c>
      <c r="AJ34" s="56">
        <f>AI34*30</f>
        <v>210</v>
      </c>
    </row>
    <row r="35" spans="2:36" x14ac:dyDescent="0.25">
      <c r="B35" s="161" t="s">
        <v>20</v>
      </c>
      <c r="C35" s="156">
        <v>581</v>
      </c>
      <c r="D35" s="156">
        <v>124</v>
      </c>
      <c r="E35" s="156">
        <v>49</v>
      </c>
      <c r="F35" s="156">
        <v>614</v>
      </c>
      <c r="G35" s="156">
        <v>582</v>
      </c>
      <c r="H35" s="156">
        <v>446</v>
      </c>
      <c r="I35" s="156">
        <v>520</v>
      </c>
      <c r="J35" s="156">
        <v>509</v>
      </c>
      <c r="K35" s="156">
        <v>121</v>
      </c>
      <c r="L35" s="156">
        <v>39</v>
      </c>
      <c r="M35" s="156">
        <v>551</v>
      </c>
      <c r="N35" s="156">
        <v>601</v>
      </c>
      <c r="O35" s="156">
        <v>590</v>
      </c>
      <c r="P35" s="156">
        <v>507</v>
      </c>
      <c r="Q35" s="24">
        <v>414</v>
      </c>
      <c r="R35" s="24">
        <v>108</v>
      </c>
      <c r="S35" s="24">
        <v>21</v>
      </c>
      <c r="T35" s="24">
        <v>588</v>
      </c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6965</v>
      </c>
      <c r="AI35" s="38">
        <f>AH35/COUNTA(C35:AG35)</f>
        <v>386.94444444444446</v>
      </c>
      <c r="AJ35" s="56">
        <f>AI35*30</f>
        <v>11608.333333333334</v>
      </c>
    </row>
    <row r="36" spans="2:36" ht="15.75" thickBot="1" x14ac:dyDescent="0.3">
      <c r="B36" s="162" t="s">
        <v>21</v>
      </c>
      <c r="C36" s="155">
        <v>499</v>
      </c>
      <c r="D36" s="155">
        <v>162</v>
      </c>
      <c r="E36" s="155">
        <v>40</v>
      </c>
      <c r="F36" s="155">
        <v>584</v>
      </c>
      <c r="G36" s="155">
        <v>494</v>
      </c>
      <c r="H36" s="155">
        <v>444</v>
      </c>
      <c r="I36" s="155">
        <v>424</v>
      </c>
      <c r="J36" s="155">
        <v>407</v>
      </c>
      <c r="K36" s="155">
        <v>108</v>
      </c>
      <c r="L36" s="155">
        <v>50</v>
      </c>
      <c r="M36" s="155">
        <v>554</v>
      </c>
      <c r="N36" s="155">
        <v>511</v>
      </c>
      <c r="O36" s="155">
        <v>447</v>
      </c>
      <c r="P36" s="155">
        <v>382</v>
      </c>
      <c r="Q36" s="25">
        <v>328</v>
      </c>
      <c r="R36" s="25">
        <v>85</v>
      </c>
      <c r="S36" s="25">
        <v>35</v>
      </c>
      <c r="T36" s="25">
        <v>421</v>
      </c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5975</v>
      </c>
      <c r="AI36" s="37">
        <f>AH36/COUNTA(C36:AG36)</f>
        <v>331.94444444444446</v>
      </c>
      <c r="AJ36" s="57">
        <f>AI36*30</f>
        <v>9958.3333333333339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13066</v>
      </c>
      <c r="AJ3" s="66">
        <f>Indicadores!AI33</f>
        <v>725.88888888888891</v>
      </c>
      <c r="AK3" s="55">
        <f>Indicadores!AJ33</f>
        <v>22502.555555555555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11</v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126</v>
      </c>
      <c r="AJ4" s="75">
        <f>Indicadores!AI34</f>
        <v>7</v>
      </c>
      <c r="AK4" s="56">
        <f>Indicadores!AJ34</f>
        <v>210</v>
      </c>
    </row>
    <row r="5" spans="1:16384" x14ac:dyDescent="0.25">
      <c r="B5" s="209" t="s">
        <v>20</v>
      </c>
      <c r="C5" s="210"/>
      <c r="D5" s="39">
        <f>IF(Indicadores!C35,Indicadores!C35,"")</f>
        <v>581</v>
      </c>
      <c r="E5" s="39">
        <f>IF(Indicadores!D35,Indicadores!D35,"")</f>
        <v>124</v>
      </c>
      <c r="F5" s="39">
        <f>IF(Indicadores!E35,Indicadores!E35,"")</f>
        <v>49</v>
      </c>
      <c r="G5" s="39">
        <f>IF(Indicadores!F35,Indicadores!F35,"")</f>
        <v>614</v>
      </c>
      <c r="H5" s="39">
        <f>IF(Indicadores!G35,Indicadores!G35,"")</f>
        <v>582</v>
      </c>
      <c r="I5" s="39">
        <f>IF(Indicadores!H35,Indicadores!H35,"")</f>
        <v>446</v>
      </c>
      <c r="J5" s="39">
        <f>IF(Indicadores!I35,Indicadores!I35,"")</f>
        <v>520</v>
      </c>
      <c r="K5" s="39">
        <f>IF(Indicadores!J35,Indicadores!J35,"")</f>
        <v>509</v>
      </c>
      <c r="L5" s="39">
        <f>IF(Indicadores!K35,Indicadores!K35,"")</f>
        <v>121</v>
      </c>
      <c r="M5" s="39">
        <f>IF(Indicadores!L35,Indicadores!L35,"")</f>
        <v>39</v>
      </c>
      <c r="N5" s="39">
        <f>IF(Indicadores!M35,Indicadores!M35,"")</f>
        <v>551</v>
      </c>
      <c r="O5" s="39">
        <f>IF(Indicadores!N35,Indicadores!N35,"")</f>
        <v>601</v>
      </c>
      <c r="P5" s="39">
        <f>IF(Indicadores!O35,Indicadores!O35,"")</f>
        <v>590</v>
      </c>
      <c r="Q5" s="39">
        <f>IF(Indicadores!P35,Indicadores!P35,"")</f>
        <v>507</v>
      </c>
      <c r="R5" s="39">
        <f>IF(Indicadores!Q35,Indicadores!Q35,"")</f>
        <v>414</v>
      </c>
      <c r="S5" s="39">
        <f>IF(Indicadores!R35,Indicadores!R35,"")</f>
        <v>108</v>
      </c>
      <c r="T5" s="39">
        <f>IF(Indicadores!S35,Indicadores!S35,"")</f>
        <v>21</v>
      </c>
      <c r="U5" s="39">
        <f>IF(Indicadores!T35,Indicadores!T35,"")</f>
        <v>588</v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6965</v>
      </c>
      <c r="AJ5" s="75">
        <f>Indicadores!AI35</f>
        <v>386.94444444444446</v>
      </c>
      <c r="AK5" s="56">
        <f>Indicadores!AJ35</f>
        <v>11608.333333333334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499</v>
      </c>
      <c r="E6" s="40">
        <f>IF(Indicadores!D36,Indicadores!D36,"")</f>
        <v>162</v>
      </c>
      <c r="F6" s="40">
        <f>IF(Indicadores!E36,Indicadores!E36,"")</f>
        <v>40</v>
      </c>
      <c r="G6" s="40">
        <f>IF(Indicadores!F36,Indicadores!F36,"")</f>
        <v>584</v>
      </c>
      <c r="H6" s="40">
        <f>IF(Indicadores!G36,Indicadores!G36,"")</f>
        <v>494</v>
      </c>
      <c r="I6" s="40">
        <f>IF(Indicadores!H36,Indicadores!H36,"")</f>
        <v>444</v>
      </c>
      <c r="J6" s="40">
        <f>IF(Indicadores!I36,Indicadores!I36,"")</f>
        <v>424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50</v>
      </c>
      <c r="N6" s="40">
        <f>IF(Indicadores!M36,Indicadores!M36,"")</f>
        <v>554</v>
      </c>
      <c r="O6" s="40">
        <f>IF(Indicadores!N36,Indicadores!N36,"")</f>
        <v>511</v>
      </c>
      <c r="P6" s="40">
        <f>IF(Indicadores!O36,Indicadores!O36,"")</f>
        <v>447</v>
      </c>
      <c r="Q6" s="40">
        <f>IF(Indicadores!P36,Indicadores!P36,"")</f>
        <v>382</v>
      </c>
      <c r="R6" s="40">
        <f>IF(Indicadores!Q36,Indicadores!Q36,"")</f>
        <v>328</v>
      </c>
      <c r="S6" s="40">
        <f>IF(Indicadores!R36,Indicadores!R36,"")</f>
        <v>85</v>
      </c>
      <c r="T6" s="40">
        <f>IF(Indicadores!S36,Indicadores!S36,"")</f>
        <v>35</v>
      </c>
      <c r="U6" s="40">
        <f>IF(Indicadores!T36,Indicadores!T36,"")</f>
        <v>421</v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5975</v>
      </c>
      <c r="AJ6" s="42">
        <f>Indicadores!AI36</f>
        <v>331.94444444444446</v>
      </c>
      <c r="AK6" s="56">
        <f>Indicadores!AJ36</f>
        <v>9958.3333333333339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20432.631723934377</v>
      </c>
      <c r="AJ15" s="66">
        <f>SUM(AJ16:AJ18)</f>
        <v>659.11715238497982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11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205.43230016313211</v>
      </c>
      <c r="AJ16" s="106">
        <f>AI16/COUNTA(C16:AG16)</f>
        <v>6.6268483923591006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581</v>
      </c>
      <c r="E17" s="137">
        <f t="shared" ref="E17:AH17" si="6">IF(E5&lt;&gt;"",E5,E11)</f>
        <v>124</v>
      </c>
      <c r="F17" s="137">
        <f t="shared" si="6"/>
        <v>49</v>
      </c>
      <c r="G17" s="137">
        <f t="shared" si="6"/>
        <v>614</v>
      </c>
      <c r="H17" s="137">
        <f t="shared" si="6"/>
        <v>582</v>
      </c>
      <c r="I17" s="137">
        <f t="shared" si="6"/>
        <v>446</v>
      </c>
      <c r="J17" s="137">
        <f t="shared" si="6"/>
        <v>520</v>
      </c>
      <c r="K17" s="137">
        <f t="shared" si="6"/>
        <v>509</v>
      </c>
      <c r="L17" s="137">
        <f t="shared" si="6"/>
        <v>121</v>
      </c>
      <c r="M17" s="137">
        <f t="shared" si="6"/>
        <v>39</v>
      </c>
      <c r="N17" s="137">
        <f t="shared" si="6"/>
        <v>551</v>
      </c>
      <c r="O17" s="137">
        <f t="shared" si="6"/>
        <v>601</v>
      </c>
      <c r="P17" s="137">
        <f t="shared" si="6"/>
        <v>590</v>
      </c>
      <c r="Q17" s="137">
        <f t="shared" si="6"/>
        <v>507</v>
      </c>
      <c r="R17" s="137">
        <f t="shared" si="6"/>
        <v>414</v>
      </c>
      <c r="S17" s="137">
        <f t="shared" si="6"/>
        <v>108</v>
      </c>
      <c r="T17" s="137">
        <f t="shared" si="6"/>
        <v>21</v>
      </c>
      <c r="U17" s="137">
        <f t="shared" si="6"/>
        <v>588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11432.652029812878</v>
      </c>
      <c r="AJ17" s="106">
        <f>AI17/COUNTA(C17:AG17)</f>
        <v>368.79522676815736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499</v>
      </c>
      <c r="E18" s="148">
        <f t="shared" ref="E18:AH18" si="8">IF(E6&lt;&gt;"",E6,E12)</f>
        <v>162</v>
      </c>
      <c r="F18" s="148">
        <f t="shared" si="8"/>
        <v>40</v>
      </c>
      <c r="G18" s="148">
        <f t="shared" si="8"/>
        <v>584</v>
      </c>
      <c r="H18" s="148">
        <f t="shared" si="8"/>
        <v>494</v>
      </c>
      <c r="I18" s="148">
        <f t="shared" si="8"/>
        <v>444</v>
      </c>
      <c r="J18" s="148">
        <f t="shared" si="8"/>
        <v>424</v>
      </c>
      <c r="K18" s="148">
        <f t="shared" si="8"/>
        <v>407</v>
      </c>
      <c r="L18" s="148">
        <f t="shared" si="8"/>
        <v>108</v>
      </c>
      <c r="M18" s="148">
        <f t="shared" si="8"/>
        <v>50</v>
      </c>
      <c r="N18" s="148">
        <f t="shared" si="8"/>
        <v>554</v>
      </c>
      <c r="O18" s="148">
        <f t="shared" si="8"/>
        <v>511</v>
      </c>
      <c r="P18" s="148">
        <f t="shared" si="8"/>
        <v>447</v>
      </c>
      <c r="Q18" s="148">
        <f t="shared" si="8"/>
        <v>382</v>
      </c>
      <c r="R18" s="148">
        <f t="shared" si="8"/>
        <v>328</v>
      </c>
      <c r="S18" s="148">
        <f t="shared" si="8"/>
        <v>85</v>
      </c>
      <c r="T18" s="148">
        <f t="shared" si="8"/>
        <v>35</v>
      </c>
      <c r="U18" s="148">
        <f t="shared" si="8"/>
        <v>421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8794.5473939583662</v>
      </c>
      <c r="AJ18" s="109">
        <f>AI18/COUNTA(C18:AG18)</f>
        <v>283.69507722446343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13066</v>
      </c>
      <c r="D21" s="142">
        <f>SUM(D22:D24)</f>
        <v>20432.631723934377</v>
      </c>
      <c r="E21" s="143">
        <f>SUM(E22:E24)</f>
        <v>18666.200000000004</v>
      </c>
      <c r="F21" s="138">
        <f>(D21-E21)/E21</f>
        <v>9.4632636740974177E-2</v>
      </c>
      <c r="G21" s="133">
        <f>F21</f>
        <v>9.4632636740974177E-2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126</v>
      </c>
      <c r="D22" s="145">
        <f>AI16</f>
        <v>205.43230016313211</v>
      </c>
      <c r="E22" s="143">
        <f>$AI$10</f>
        <v>188.00000000000003</v>
      </c>
      <c r="F22" s="139">
        <f t="shared" ref="F22:F24" si="10">(D22-E22)/E22</f>
        <v>9.2725000867723839E-2</v>
      </c>
      <c r="G22" s="133">
        <f>F22</f>
        <v>9.2725000867723839E-2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6965</v>
      </c>
      <c r="D23" s="145">
        <f>AI17</f>
        <v>11432.652029812878</v>
      </c>
      <c r="E23" s="143">
        <f>AI11</f>
        <v>11005.800000000003</v>
      </c>
      <c r="F23" s="139">
        <f t="shared" si="10"/>
        <v>3.8784280089850354E-2</v>
      </c>
      <c r="G23" s="133">
        <f>F23</f>
        <v>3.8784280089850354E-2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5975</v>
      </c>
      <c r="D24" s="147">
        <f>AI18</f>
        <v>8794.5473939583662</v>
      </c>
      <c r="E24" s="168">
        <f>AI12</f>
        <v>7472.4000000000005</v>
      </c>
      <c r="F24" s="140">
        <f t="shared" si="10"/>
        <v>0.17693744900679376</v>
      </c>
      <c r="G24" s="136">
        <f>F24</f>
        <v>0.17693744900679376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13066</v>
      </c>
      <c r="D6" s="7">
        <f>'Dados - Gráficos'!D21</f>
        <v>20432.631723934377</v>
      </c>
      <c r="E6" s="93">
        <f>'Dados - Gráficos'!E21</f>
        <v>18666.200000000004</v>
      </c>
      <c r="F6" s="118">
        <f>'Dados - Gráficos'!F21</f>
        <v>9.4632636740974177E-2</v>
      </c>
      <c r="G6" s="119">
        <f>'Dados - Gráficos'!G21</f>
        <v>9.4632636740974177E-2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126</v>
      </c>
      <c r="D7" s="8">
        <f>'Dados - Gráficos'!D22</f>
        <v>205.43230016313211</v>
      </c>
      <c r="E7" s="93">
        <f>'Dados - Gráficos'!E22</f>
        <v>188.00000000000003</v>
      </c>
      <c r="F7" s="120">
        <f>'Dados - Gráficos'!F22</f>
        <v>9.2725000867723839E-2</v>
      </c>
      <c r="G7" s="119">
        <f>'Dados - Gráficos'!G22</f>
        <v>9.2725000867723839E-2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6965</v>
      </c>
      <c r="D8" s="8">
        <f>'Dados - Gráficos'!D23</f>
        <v>11432.652029812878</v>
      </c>
      <c r="E8" s="93">
        <f>'Dados - Gráficos'!E23</f>
        <v>11005.800000000003</v>
      </c>
      <c r="F8" s="120">
        <f>'Dados - Gráficos'!F23</f>
        <v>3.8784280089850354E-2</v>
      </c>
      <c r="G8" s="119">
        <f>'Dados - Gráficos'!G23</f>
        <v>3.8784280089850354E-2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5975</v>
      </c>
      <c r="D9" s="17">
        <f>'Dados - Gráficos'!D24</f>
        <v>8794.5473939583662</v>
      </c>
      <c r="E9" s="94">
        <f>'Dados - Gráficos'!E24</f>
        <v>7472.4000000000005</v>
      </c>
      <c r="F9" s="121">
        <f>'Dados - Gráficos'!F24</f>
        <v>0.17693744900679376</v>
      </c>
      <c r="G9" s="122">
        <f>'Dados - Gráficos'!G24</f>
        <v>0.17693744900679376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2016-04-19T12:40:09Z</dcterms:modified>
</cp:coreProperties>
</file>