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D16" i="7" l="1"/>
  <c r="AC16" i="7"/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16" i="7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<sst xmlns="http://schemas.openxmlformats.org/spreadsheetml/2006/main" count="345" uniqueCount="37">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</sst>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BD-4525-98ED-AF2575181242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6</c:v>
                </c:pt>
                <c:pt idx="23">
                  <c:v>6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664</c:v>
                </c:pt>
                <c:pt idx="1">
                  <c:v>719</c:v>
                </c:pt>
                <c:pt idx="2">
                  <c:v>536</c:v>
                </c:pt>
                <c:pt idx="3">
                  <c:v>583</c:v>
                </c:pt>
                <c:pt idx="4">
                  <c:v>103</c:v>
                </c:pt>
                <c:pt idx="5">
                  <c:v>70</c:v>
                </c:pt>
                <c:pt idx="6">
                  <c:v>600</c:v>
                </c:pt>
                <c:pt idx="7">
                  <c:v>467</c:v>
                </c:pt>
                <c:pt idx="8">
                  <c:v>560</c:v>
                </c:pt>
                <c:pt idx="9">
                  <c:v>480</c:v>
                </c:pt>
                <c:pt idx="10">
                  <c:v>451</c:v>
                </c:pt>
                <c:pt idx="11">
                  <c:v>123</c:v>
                </c:pt>
                <c:pt idx="12">
                  <c:v>37</c:v>
                </c:pt>
                <c:pt idx="13">
                  <c:v>534</c:v>
                </c:pt>
                <c:pt idx="14">
                  <c:v>542</c:v>
                </c:pt>
                <c:pt idx="15">
                  <c:v>403</c:v>
                </c:pt>
                <c:pt idx="16">
                  <c:v>473</c:v>
                </c:pt>
                <c:pt idx="17">
                  <c:v>335</c:v>
                </c:pt>
                <c:pt idx="18">
                  <c:v>118</c:v>
                </c:pt>
                <c:pt idx="19">
                  <c:v>44</c:v>
                </c:pt>
                <c:pt idx="20">
                  <c:v>575</c:v>
                </c:pt>
                <c:pt idx="21">
                  <c:v>432</c:v>
                </c:pt>
                <c:pt idx="22">
                  <c:v>412</c:v>
                </c:pt>
                <c:pt idx="23">
                  <c:v>412</c:v>
                </c:pt>
                <c:pt idx="24">
                  <c:v>111</c:v>
                </c:pt>
                <c:pt idx="25">
                  <c:v>121</c:v>
                </c:pt>
                <c:pt idx="26">
                  <c:v>36</c:v>
                </c:pt>
                <c:pt idx="27">
                  <c:v>614</c:v>
                </c:pt>
                <c:pt idx="28">
                  <c:v>449</c:v>
                </c:pt>
                <c:pt idx="29">
                  <c:v>444</c:v>
                </c:pt>
                <c:pt idx="30">
                  <c:v>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464</c:v>
                </c:pt>
                <c:pt idx="2">
                  <c:v>389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549</c:v>
                </c:pt>
                <c:pt idx="7">
                  <c:v>390</c:v>
                </c:pt>
                <c:pt idx="8">
                  <c:v>407</c:v>
                </c:pt>
                <c:pt idx="9">
                  <c:v>363</c:v>
                </c:pt>
                <c:pt idx="10">
                  <c:v>317</c:v>
                </c:pt>
                <c:pt idx="11">
                  <c:v>100</c:v>
                </c:pt>
                <c:pt idx="12">
                  <c:v>39</c:v>
                </c:pt>
                <c:pt idx="13">
                  <c:v>478</c:v>
                </c:pt>
                <c:pt idx="14">
                  <c:v>392</c:v>
                </c:pt>
                <c:pt idx="15">
                  <c:v>331</c:v>
                </c:pt>
                <c:pt idx="16">
                  <c:v>322</c:v>
                </c:pt>
                <c:pt idx="17">
                  <c:v>288</c:v>
                </c:pt>
                <c:pt idx="18">
                  <c:v>115</c:v>
                </c:pt>
                <c:pt idx="19">
                  <c:v>53</c:v>
                </c:pt>
                <c:pt idx="20">
                  <c:v>391</c:v>
                </c:pt>
                <c:pt idx="21">
                  <c:v>332</c:v>
                </c:pt>
                <c:pt idx="22">
                  <c:v>311</c:v>
                </c:pt>
                <c:pt idx="23">
                  <c:v>235</c:v>
                </c:pt>
                <c:pt idx="24">
                  <c:v>73</c:v>
                </c:pt>
                <c:pt idx="25">
                  <c:v>110</c:v>
                </c:pt>
                <c:pt idx="26">
                  <c:v>33</c:v>
                </c:pt>
                <c:pt idx="27">
                  <c:v>383</c:v>
                </c:pt>
                <c:pt idx="28">
                  <c:v>353</c:v>
                </c:pt>
                <c:pt idx="29">
                  <c:v>319</c:v>
                </c:pt>
                <c:pt idx="30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zwmFQMfOfqra0dA2iiqx9YpE4CWssa7Sxk2JlhiYy6u2i88xNuwE9Mi5wEr7M+jCpjmeYogczTk/KpDN5iC0wQ==" saltValue="7gb2EXB5DZmc/p3km4kUP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YABYYnpTaVld/Zo/K/AFer0NAsC8/JI3Q2nxfmw7YwlostCEloZJTya/k+er3B5iDQxQpIMohBrbPbBAr22sqg==" saltValue="DnBnWgI5rVVXUJO/GZ+HS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JsopcY7RSmVP7opKhybdWvLoQbOHoHlmZofoEol0VOutMAMT680SYDrcXYw3j/WYfArV9WxpApARRxO5H0339w==" saltValue="FyjVQKJgGey1fHhTOBceU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Q18" zoomScale="130" zoomScaleNormal="130" workbookViewId="0">
      <selection activeCell="C28" sqref="C28:AG28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21243</v>
      </c>
      <c r="AI27" s="71">
        <f>AH27/COUNTA(C28:AG28)</f>
        <v>685.25806451612902</v>
      </c>
      <c r="AJ27" s="55">
        <f>AI27*31</f>
        <v>21243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60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5" t="s">
        <v>20</v>
      </c>
      <c r="C29" s="159">
        <v>664</v>
      </c>
      <c r="D29" s="159">
        <v>719</v>
      </c>
      <c r="E29" s="159">
        <v>536</v>
      </c>
      <c r="F29" s="159">
        <v>583</v>
      </c>
      <c r="G29" s="159">
        <v>103</v>
      </c>
      <c r="H29" s="159">
        <v>70</v>
      </c>
      <c r="I29" s="159">
        <v>600</v>
      </c>
      <c r="J29" s="159">
        <v>467</v>
      </c>
      <c r="K29" s="159">
        <v>560</v>
      </c>
      <c r="L29" s="159">
        <v>480</v>
      </c>
      <c r="M29" s="159">
        <v>451</v>
      </c>
      <c r="N29" s="159">
        <v>123</v>
      </c>
      <c r="O29" s="159">
        <v>37</v>
      </c>
      <c r="P29" s="159">
        <v>534</v>
      </c>
      <c r="Q29" s="24">
        <v>542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432</v>
      </c>
      <c r="Y29" s="24">
        <v>412</v>
      </c>
      <c r="Z29" s="24">
        <v>412</v>
      </c>
      <c r="AA29" s="24">
        <v>111</v>
      </c>
      <c r="AB29" s="24">
        <v>121</v>
      </c>
      <c r="AC29" s="24">
        <v>36</v>
      </c>
      <c r="AD29" s="24">
        <v>614</v>
      </c>
      <c r="AE29" s="24">
        <v>449</v>
      </c>
      <c r="AF29" s="24">
        <v>444</v>
      </c>
      <c r="AG29" s="160">
        <v>628</v>
      </c>
      <c r="AH29" s="53">
        <f>SUM(C29:AG29)</f>
        <v>12076</v>
      </c>
      <c r="AI29" s="38">
        <f>AH29/COUNTA(C29:AG29)</f>
        <v>389.54838709677421</v>
      </c>
      <c r="AJ29" s="56">
        <f>AI29*31</f>
        <v>12076</v>
      </c>
    </row>
    <row r="30" spans="2:36" ht="15.75" thickBot="1" x14ac:dyDescent="0.3">
      <c r="B30" s="156" t="s">
        <v>21</v>
      </c>
      <c r="C30" s="158">
        <v>574</v>
      </c>
      <c r="D30" s="158">
        <v>464</v>
      </c>
      <c r="E30" s="158">
        <v>389</v>
      </c>
      <c r="F30" s="158">
        <v>377</v>
      </c>
      <c r="G30" s="158">
        <v>79</v>
      </c>
      <c r="H30" s="158">
        <v>40</v>
      </c>
      <c r="I30" s="158">
        <v>549</v>
      </c>
      <c r="J30" s="158">
        <v>390</v>
      </c>
      <c r="K30" s="158">
        <v>407</v>
      </c>
      <c r="L30" s="158">
        <v>363</v>
      </c>
      <c r="M30" s="158">
        <v>317</v>
      </c>
      <c r="N30" s="158">
        <v>100</v>
      </c>
      <c r="O30" s="158">
        <v>39</v>
      </c>
      <c r="P30" s="158">
        <v>478</v>
      </c>
      <c r="Q30" s="25">
        <v>392</v>
      </c>
      <c r="R30" s="25">
        <v>331</v>
      </c>
      <c r="S30" s="25">
        <v>322</v>
      </c>
      <c r="T30" s="25">
        <v>288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383</v>
      </c>
      <c r="AE30" s="25">
        <v>353</v>
      </c>
      <c r="AF30" s="25">
        <v>319</v>
      </c>
      <c r="AG30" s="162">
        <v>380</v>
      </c>
      <c r="AH30" s="54">
        <f>SUM(C30:AG30)</f>
        <v>8987</v>
      </c>
      <c r="AI30" s="37">
        <f>AH30/COUNTA(C30:AG30)</f>
        <v>289.90322580645159</v>
      </c>
      <c r="AJ30" s="57">
        <f>AI30*31</f>
        <v>8987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O4" sqref="O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</row>
    <row r="2" spans="1:16384" ht="15" customHeight="1" x14ac:dyDescent="0.25">
      <c r="B2" s="182" t="s">
        <v>36</v>
      </c>
      <c r="C2" s="183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4" t="s">
        <v>22</v>
      </c>
      <c r="C3" s="185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186" t="s">
        <v>19</v>
      </c>
      <c r="C4" s="187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>
        <v>0</v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12</v>
      </c>
      <c r="S4" s="39">
        <f>IF(Indicadores!R28,Indicadores!R28,"")</f>
        <v>7</v>
      </c>
      <c r="T4" s="39">
        <f>IF(Indicadores!S28,Indicadores!S28,"")</f>
        <v>6</v>
      </c>
      <c r="U4" s="39">
        <f>IF(Indicadores!T28,Indicadores!T28,"")</f>
        <v>6</v>
      </c>
      <c r="V4" s="39">
        <f>IF(Indicadores!U28,Indicadores!U28,"")</f>
        <v>2</v>
      </c>
      <c r="W4" s="39">
        <f>IF(Indicadores!V28,Indicadores!V28,"")</f>
        <v>1</v>
      </c>
      <c r="X4" s="39">
        <f>IF(Indicadores!W28,Indicadores!W28,"")</f>
        <v>6</v>
      </c>
      <c r="Y4" s="39">
        <f>IF(Indicadores!X28,Indicadores!X28,"")</f>
        <v>11</v>
      </c>
      <c r="Z4" s="39">
        <f>IF(Indicadores!Y28,Indicadores!Y28,"")</f>
        <v>6</v>
      </c>
      <c r="AA4" s="39">
        <f>IF(Indicadores!Z28,Indicadores!Z28,"")</f>
        <v>6</v>
      </c>
      <c r="AB4" s="39">
        <f>IF(Indicadores!AA28,Indicadores!AA28,"")</f>
        <v>3</v>
      </c>
      <c r="AC4" s="39">
        <v>0</v>
      </c>
      <c r="AD4" s="39">
        <v>0</v>
      </c>
      <c r="AE4" s="39">
        <f>IF(Indicadores!AD28,Indicadores!AD28,"")</f>
        <v>9</v>
      </c>
      <c r="AF4" s="39">
        <f>IF(Indicadores!AE28,Indicadores!AE28,"")</f>
        <v>9</v>
      </c>
      <c r="AG4" s="39">
        <f>IF(Indicadores!AF28,Indicadores!AF28,"")</f>
        <v>9</v>
      </c>
      <c r="AH4" s="39">
        <f>IF(Indicadores!AG28,Indicadores!AG28,"")</f>
        <v>8</v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186" t="s">
        <v>20</v>
      </c>
      <c r="C5" s="187"/>
      <c r="D5" s="39">
        <f>IF(Indicadores!C29,Indicadores!C29,"")</f>
        <v>664</v>
      </c>
      <c r="E5" s="39">
        <f>IF(Indicadores!D29,Indicadores!D29,"")</f>
        <v>719</v>
      </c>
      <c r="F5" s="39">
        <f>IF(Indicadores!E29,Indicadores!E29,"")</f>
        <v>536</v>
      </c>
      <c r="G5" s="39">
        <f>IF(Indicadores!F29,Indicadores!F29,"")</f>
        <v>583</v>
      </c>
      <c r="H5" s="39">
        <f>IF(Indicadores!G29,Indicadores!G29,"")</f>
        <v>103</v>
      </c>
      <c r="I5" s="39">
        <f>IF(Indicadores!H29,Indicadores!H29,"")</f>
        <v>70</v>
      </c>
      <c r="J5" s="39">
        <f>IF(Indicadores!I29,Indicadores!I29,"")</f>
        <v>600</v>
      </c>
      <c r="K5" s="39">
        <f>IF(Indicadores!J29,Indicadores!J29,"")</f>
        <v>467</v>
      </c>
      <c r="L5" s="39">
        <f>IF(Indicadores!K29,Indicadores!K29,"")</f>
        <v>560</v>
      </c>
      <c r="M5" s="39">
        <f>IF(Indicadores!L29,Indicadores!L29,"")</f>
        <v>480</v>
      </c>
      <c r="N5" s="39">
        <f>IF(Indicadores!M29,Indicadores!M29,"")</f>
        <v>451</v>
      </c>
      <c r="O5" s="39">
        <f>IF(Indicadores!N29,Indicadores!N29,"")</f>
        <v>123</v>
      </c>
      <c r="P5" s="39">
        <f>IF(Indicadores!O29,Indicadores!O29,"")</f>
        <v>37</v>
      </c>
      <c r="Q5" s="39">
        <f>IF(Indicadores!P29,Indicadores!P29,"")</f>
        <v>534</v>
      </c>
      <c r="R5" s="39">
        <f>IF(Indicadores!Q29,Indicadores!Q29,"")</f>
        <v>542</v>
      </c>
      <c r="S5" s="39">
        <f>IF(Indicadores!R29,Indicadores!R29,"")</f>
        <v>403</v>
      </c>
      <c r="T5" s="39">
        <f>IF(Indicadores!S29,Indicadores!S29,"")</f>
        <v>473</v>
      </c>
      <c r="U5" s="39">
        <f>IF(Indicadores!T29,Indicadores!T29,"")</f>
        <v>335</v>
      </c>
      <c r="V5" s="39">
        <f>IF(Indicadores!U29,Indicadores!U29,"")</f>
        <v>118</v>
      </c>
      <c r="W5" s="39">
        <f>IF(Indicadores!V29,Indicadores!V29,"")</f>
        <v>44</v>
      </c>
      <c r="X5" s="39">
        <f>IF(Indicadores!W29,Indicadores!W29,"")</f>
        <v>575</v>
      </c>
      <c r="Y5" s="39">
        <f>IF(Indicadores!X29,Indicadores!X29,"")</f>
        <v>432</v>
      </c>
      <c r="Z5" s="39">
        <f>IF(Indicadores!Y29,Indicadores!Y29,"")</f>
        <v>412</v>
      </c>
      <c r="AA5" s="39">
        <f>IF(Indicadores!Z29,Indicadores!Z29,"")</f>
        <v>412</v>
      </c>
      <c r="AB5" s="39">
        <f>IF(Indicadores!AA29,Indicadores!AA29,"")</f>
        <v>111</v>
      </c>
      <c r="AC5" s="39">
        <f>IF(Indicadores!AB29,Indicadores!AB29,"")</f>
        <v>121</v>
      </c>
      <c r="AD5" s="39">
        <f>IF(Indicadores!AC29,Indicadores!AC29,"")</f>
        <v>36</v>
      </c>
      <c r="AE5" s="39">
        <f>IF(Indicadores!AD29,Indicadores!AD29,"")</f>
        <v>614</v>
      </c>
      <c r="AF5" s="39">
        <f>IF(Indicadores!AE29,Indicadores!AE29,"")</f>
        <v>449</v>
      </c>
      <c r="AG5" s="39">
        <f>IF(Indicadores!AF29,Indicadores!AF29,"")</f>
        <v>444</v>
      </c>
      <c r="AH5" s="39">
        <f>IF(Indicadores!AG29,Indicadores!AG29,"")</f>
        <v>628</v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188" t="s">
        <v>21</v>
      </c>
      <c r="C6" s="189"/>
      <c r="D6" s="40">
        <f>IF(Indicadores!C30,Indicadores!C30,"")</f>
        <v>574</v>
      </c>
      <c r="E6" s="40">
        <f>IF(Indicadores!D30,Indicadores!D30,"")</f>
        <v>464</v>
      </c>
      <c r="F6" s="40">
        <f>IF(Indicadores!E30,Indicadores!E30,"")</f>
        <v>389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549</v>
      </c>
      <c r="K6" s="40">
        <f>IF(Indicadores!J30,Indicadores!J30,"")</f>
        <v>390</v>
      </c>
      <c r="L6" s="40">
        <f>IF(Indicadores!K30,Indicadores!K30,"")</f>
        <v>407</v>
      </c>
      <c r="M6" s="40">
        <f>IF(Indicadores!L30,Indicadores!L30,"")</f>
        <v>363</v>
      </c>
      <c r="N6" s="40">
        <f>IF(Indicadores!M30,Indicadores!M30,"")</f>
        <v>317</v>
      </c>
      <c r="O6" s="40">
        <f>IF(Indicadores!N30,Indicadores!N30,"")</f>
        <v>100</v>
      </c>
      <c r="P6" s="40">
        <f>IF(Indicadores!O30,Indicadores!O30,"")</f>
        <v>39</v>
      </c>
      <c r="Q6" s="40">
        <f>IF(Indicadores!P30,Indicadores!P30,"")</f>
        <v>478</v>
      </c>
      <c r="R6" s="40">
        <f>IF(Indicadores!Q30,Indicadores!Q30,"")</f>
        <v>392</v>
      </c>
      <c r="S6" s="40">
        <f>IF(Indicadores!R30,Indicadores!R30,"")</f>
        <v>331</v>
      </c>
      <c r="T6" s="40">
        <f>IF(Indicadores!S30,Indicadores!S30,"")</f>
        <v>322</v>
      </c>
      <c r="U6" s="40">
        <f>IF(Indicadores!T30,Indicadores!T30,"")</f>
        <v>288</v>
      </c>
      <c r="V6" s="40">
        <f>IF(Indicadores!U30,Indicadores!U30,"")</f>
        <v>115</v>
      </c>
      <c r="W6" s="40">
        <f>IF(Indicadores!V30,Indicadores!V30,"")</f>
        <v>53</v>
      </c>
      <c r="X6" s="40">
        <f>IF(Indicadores!W30,Indicadores!W30,"")</f>
        <v>391</v>
      </c>
      <c r="Y6" s="40">
        <f>IF(Indicadores!X30,Indicadores!X30,"")</f>
        <v>332</v>
      </c>
      <c r="Z6" s="40">
        <f>IF(Indicadores!Y30,Indicadores!Y30,"")</f>
        <v>311</v>
      </c>
      <c r="AA6" s="40">
        <f>IF(Indicadores!Z30,Indicadores!Z30,"")</f>
        <v>235</v>
      </c>
      <c r="AB6" s="40">
        <f>IF(Indicadores!AA30,Indicadores!AA30,"")</f>
        <v>73</v>
      </c>
      <c r="AC6" s="40">
        <f>IF(Indicadores!AB30,Indicadores!AB30,"")</f>
        <v>110</v>
      </c>
      <c r="AD6" s="40">
        <f>IF(Indicadores!AC30,Indicadores!AC30,"")</f>
        <v>33</v>
      </c>
      <c r="AE6" s="40">
        <f>IF(Indicadores!AD30,Indicadores!AD30,"")</f>
        <v>383</v>
      </c>
      <c r="AF6" s="40">
        <f>IF(Indicadores!AE30,Indicadores!AE30,"")</f>
        <v>353</v>
      </c>
      <c r="AG6" s="40">
        <f>IF(Indicadores!AF30,Indicadores!AF30,"")</f>
        <v>319</v>
      </c>
      <c r="AH6" s="40">
        <f>IF(Indicadores!AG30,Indicadores!AG30,"")</f>
        <v>380</v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67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9"/>
      <c r="AJ7" s="169"/>
      <c r="AK7" s="169"/>
    </row>
    <row r="8" spans="1:16384" ht="15" customHeight="1" x14ac:dyDescent="0.25">
      <c r="B8" s="182" t="s">
        <v>36</v>
      </c>
      <c r="C8" s="183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4" t="s">
        <v>27</v>
      </c>
      <c r="C9" s="185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82" t="s">
        <v>36</v>
      </c>
      <c r="C14" s="183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84" t="s">
        <v>27</v>
      </c>
      <c r="C15" s="185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21243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0</v>
      </c>
      <c r="P16" s="139">
        <f t="shared" si="4"/>
        <v>2</v>
      </c>
      <c r="Q16" s="139">
        <f t="shared" si="4"/>
        <v>3</v>
      </c>
      <c r="R16" s="139">
        <f t="shared" si="4"/>
        <v>12</v>
      </c>
      <c r="S16" s="139">
        <f t="shared" si="4"/>
        <v>7</v>
      </c>
      <c r="T16" s="139">
        <f t="shared" si="4"/>
        <v>6</v>
      </c>
      <c r="U16" s="139">
        <f t="shared" si="4"/>
        <v>6</v>
      </c>
      <c r="V16" s="139">
        <f t="shared" si="4"/>
        <v>2</v>
      </c>
      <c r="W16" s="139">
        <f t="shared" si="4"/>
        <v>1</v>
      </c>
      <c r="X16" s="139">
        <f t="shared" si="4"/>
        <v>6</v>
      </c>
      <c r="Y16" s="139">
        <f t="shared" si="4"/>
        <v>11</v>
      </c>
      <c r="Z16" s="139">
        <f t="shared" si="4"/>
        <v>6</v>
      </c>
      <c r="AA16" s="139">
        <f t="shared" si="4"/>
        <v>6</v>
      </c>
      <c r="AB16" s="139">
        <f t="shared" si="4"/>
        <v>3</v>
      </c>
      <c r="AC16" s="139">
        <f t="shared" si="4"/>
        <v>0</v>
      </c>
      <c r="AD16" s="139">
        <f t="shared" si="4"/>
        <v>0</v>
      </c>
      <c r="AE16" s="139">
        <f t="shared" si="4"/>
        <v>9</v>
      </c>
      <c r="AF16" s="139">
        <f t="shared" si="4"/>
        <v>9</v>
      </c>
      <c r="AG16" s="139">
        <f t="shared" si="4"/>
        <v>9</v>
      </c>
      <c r="AH16" s="139">
        <f t="shared" si="4"/>
        <v>8</v>
      </c>
      <c r="AI16" s="105">
        <f>SUM(D16:AH16)</f>
        <v>180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664</v>
      </c>
      <c r="E17" s="139">
        <f t="shared" ref="E17:AH17" si="6">IF(E5&lt;&gt;"",E5,E11)</f>
        <v>719</v>
      </c>
      <c r="F17" s="139">
        <f t="shared" si="6"/>
        <v>536</v>
      </c>
      <c r="G17" s="139">
        <f t="shared" si="6"/>
        <v>583</v>
      </c>
      <c r="H17" s="139">
        <f t="shared" si="6"/>
        <v>103</v>
      </c>
      <c r="I17" s="139">
        <f t="shared" si="6"/>
        <v>70</v>
      </c>
      <c r="J17" s="139">
        <f t="shared" si="6"/>
        <v>600</v>
      </c>
      <c r="K17" s="139">
        <f t="shared" si="6"/>
        <v>467</v>
      </c>
      <c r="L17" s="139">
        <f t="shared" si="6"/>
        <v>560</v>
      </c>
      <c r="M17" s="139">
        <f t="shared" si="6"/>
        <v>480</v>
      </c>
      <c r="N17" s="139">
        <f t="shared" si="6"/>
        <v>451</v>
      </c>
      <c r="O17" s="139">
        <f t="shared" si="6"/>
        <v>123</v>
      </c>
      <c r="P17" s="139">
        <f t="shared" si="6"/>
        <v>37</v>
      </c>
      <c r="Q17" s="139">
        <f t="shared" si="6"/>
        <v>534</v>
      </c>
      <c r="R17" s="139">
        <f t="shared" si="6"/>
        <v>542</v>
      </c>
      <c r="S17" s="139">
        <f t="shared" si="6"/>
        <v>403</v>
      </c>
      <c r="T17" s="139">
        <f t="shared" si="6"/>
        <v>473</v>
      </c>
      <c r="U17" s="139">
        <f t="shared" si="6"/>
        <v>335</v>
      </c>
      <c r="V17" s="139">
        <f t="shared" si="6"/>
        <v>118</v>
      </c>
      <c r="W17" s="139">
        <f t="shared" si="6"/>
        <v>44</v>
      </c>
      <c r="X17" s="139">
        <f t="shared" si="6"/>
        <v>575</v>
      </c>
      <c r="Y17" s="139">
        <f t="shared" si="6"/>
        <v>432</v>
      </c>
      <c r="Z17" s="139">
        <f t="shared" si="6"/>
        <v>412</v>
      </c>
      <c r="AA17" s="139">
        <f t="shared" si="6"/>
        <v>412</v>
      </c>
      <c r="AB17" s="139">
        <f t="shared" si="6"/>
        <v>111</v>
      </c>
      <c r="AC17" s="139">
        <f t="shared" si="6"/>
        <v>121</v>
      </c>
      <c r="AD17" s="139">
        <f t="shared" si="6"/>
        <v>36</v>
      </c>
      <c r="AE17" s="139">
        <f t="shared" si="6"/>
        <v>614</v>
      </c>
      <c r="AF17" s="139">
        <f t="shared" si="6"/>
        <v>449</v>
      </c>
      <c r="AG17" s="139">
        <f t="shared" si="6"/>
        <v>444</v>
      </c>
      <c r="AH17" s="139">
        <f t="shared" si="6"/>
        <v>628</v>
      </c>
      <c r="AI17" s="105">
        <f>SUM(D17:AH17)</f>
        <v>12076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574</v>
      </c>
      <c r="E18" s="151">
        <f t="shared" ref="E18:AH18" si="8">IF(E6&lt;&gt;"",E6,E12)</f>
        <v>464</v>
      </c>
      <c r="F18" s="151">
        <f t="shared" si="8"/>
        <v>389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549</v>
      </c>
      <c r="K18" s="151">
        <f t="shared" si="8"/>
        <v>390</v>
      </c>
      <c r="L18" s="151">
        <f t="shared" si="8"/>
        <v>407</v>
      </c>
      <c r="M18" s="151">
        <f t="shared" si="8"/>
        <v>363</v>
      </c>
      <c r="N18" s="151">
        <f t="shared" si="8"/>
        <v>317</v>
      </c>
      <c r="O18" s="151">
        <f t="shared" si="8"/>
        <v>100</v>
      </c>
      <c r="P18" s="151">
        <f t="shared" si="8"/>
        <v>39</v>
      </c>
      <c r="Q18" s="151">
        <f t="shared" si="8"/>
        <v>478</v>
      </c>
      <c r="R18" s="151">
        <f t="shared" si="8"/>
        <v>392</v>
      </c>
      <c r="S18" s="151">
        <f t="shared" si="8"/>
        <v>331</v>
      </c>
      <c r="T18" s="151">
        <f t="shared" si="8"/>
        <v>322</v>
      </c>
      <c r="U18" s="151">
        <f t="shared" si="8"/>
        <v>288</v>
      </c>
      <c r="V18" s="151">
        <f t="shared" si="8"/>
        <v>115</v>
      </c>
      <c r="W18" s="151">
        <f t="shared" si="8"/>
        <v>53</v>
      </c>
      <c r="X18" s="151">
        <f t="shared" si="8"/>
        <v>391</v>
      </c>
      <c r="Y18" s="151">
        <f t="shared" si="8"/>
        <v>332</v>
      </c>
      <c r="Z18" s="151">
        <f t="shared" si="8"/>
        <v>311</v>
      </c>
      <c r="AA18" s="151">
        <f t="shared" si="8"/>
        <v>235</v>
      </c>
      <c r="AB18" s="151">
        <f t="shared" si="8"/>
        <v>73</v>
      </c>
      <c r="AC18" s="151">
        <f t="shared" si="8"/>
        <v>110</v>
      </c>
      <c r="AD18" s="151">
        <f t="shared" si="8"/>
        <v>33</v>
      </c>
      <c r="AE18" s="151">
        <f t="shared" si="8"/>
        <v>383</v>
      </c>
      <c r="AF18" s="151">
        <f t="shared" si="8"/>
        <v>353</v>
      </c>
      <c r="AG18" s="151">
        <f t="shared" si="8"/>
        <v>319</v>
      </c>
      <c r="AH18" s="151">
        <f t="shared" si="8"/>
        <v>380</v>
      </c>
      <c r="AI18" s="108">
        <f>SUM(D18:AH18)</f>
        <v>8987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70" t="s">
        <v>30</v>
      </c>
      <c r="K20" s="171"/>
      <c r="L20" s="190" t="s">
        <v>32</v>
      </c>
      <c r="M20" s="190"/>
      <c r="N20" s="176" t="s">
        <v>32</v>
      </c>
      <c r="O20" s="177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21243</v>
      </c>
      <c r="D21" s="144">
        <f>SUM(D22:D24)</f>
        <v>21243</v>
      </c>
      <c r="E21" s="145">
        <f>SUM(E22:E24)</f>
        <v>19245.566666666666</v>
      </c>
      <c r="F21" s="140">
        <f>(D21-E21)/E21</f>
        <v>0.10378667294805563</v>
      </c>
      <c r="G21" s="135">
        <f>F21</f>
        <v>0.10378667294805563</v>
      </c>
      <c r="H21" s="12"/>
      <c r="I21" s="32"/>
      <c r="J21" s="172">
        <v>7.22</v>
      </c>
      <c r="K21" s="173"/>
      <c r="L21" s="203">
        <v>207</v>
      </c>
      <c r="M21" s="203"/>
      <c r="N21" s="178">
        <v>15639</v>
      </c>
      <c r="O21" s="17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180</v>
      </c>
      <c r="D22" s="147">
        <f>AI16</f>
        <v>180</v>
      </c>
      <c r="E22" s="145">
        <v>250</v>
      </c>
      <c r="F22" s="141">
        <f t="shared" ref="F22:F24" si="10">(D22-E22)/E22</f>
        <v>-0.28000000000000003</v>
      </c>
      <c r="G22" s="135">
        <f>F22</f>
        <v>-0.28000000000000003</v>
      </c>
      <c r="H22" s="12"/>
      <c r="I22" s="32"/>
      <c r="J22" s="174" t="s">
        <v>13</v>
      </c>
      <c r="K22" s="175"/>
      <c r="L22" s="204" t="s">
        <v>13</v>
      </c>
      <c r="M22" s="204"/>
      <c r="N22" s="180" t="s">
        <v>15</v>
      </c>
      <c r="O22" s="181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12076</v>
      </c>
      <c r="D23" s="147">
        <f>AI17</f>
        <v>12076</v>
      </c>
      <c r="E23" s="145">
        <f>AVERAGE(Indicadores!AJ11,Indicadores!AJ17,Indicadores!AJ23)*0.95</f>
        <v>11401.9</v>
      </c>
      <c r="F23" s="141">
        <f t="shared" si="10"/>
        <v>5.912172532648071E-2</v>
      </c>
      <c r="G23" s="135">
        <f>F23</f>
        <v>5.912172532648071E-2</v>
      </c>
      <c r="H23" s="12"/>
      <c r="I23" s="32"/>
      <c r="J23" s="197" t="s">
        <v>31</v>
      </c>
      <c r="K23" s="198"/>
      <c r="L23" s="205" t="s">
        <v>33</v>
      </c>
      <c r="M23" s="205"/>
      <c r="N23" s="191" t="s">
        <v>33</v>
      </c>
      <c r="O23" s="192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8987</v>
      </c>
      <c r="D24" s="149">
        <f>AI18</f>
        <v>8987</v>
      </c>
      <c r="E24" s="150">
        <f>AVERAGE(Indicadores!AJ12,Indicadores!AJ18,Indicadores!AJ24)*0.95</f>
        <v>7593.6666666666661</v>
      </c>
      <c r="F24" s="142">
        <f t="shared" si="10"/>
        <v>0.18348623853211019</v>
      </c>
      <c r="G24" s="138">
        <f>F24</f>
        <v>0.18348623853211019</v>
      </c>
      <c r="H24" s="12"/>
      <c r="I24" s="32"/>
      <c r="J24" s="172">
        <v>6.77</v>
      </c>
      <c r="K24" s="173"/>
      <c r="L24" s="203">
        <v>210</v>
      </c>
      <c r="M24" s="203"/>
      <c r="N24" s="178">
        <v>21648</v>
      </c>
      <c r="O24" s="179"/>
      <c r="AI24" s="29"/>
      <c r="AJ24" s="34"/>
      <c r="AK24" s="51"/>
      <c r="AL24" s="34"/>
    </row>
    <row r="25" spans="1:38" ht="26.25" x14ac:dyDescent="0.25">
      <c r="H25" s="114"/>
      <c r="I25" s="32"/>
      <c r="J25" s="199" t="s">
        <v>26</v>
      </c>
      <c r="K25" s="200"/>
      <c r="L25" s="206" t="str">
        <f>J25</f>
        <v>Redução</v>
      </c>
      <c r="M25" s="206"/>
      <c r="N25" s="193" t="str">
        <f>L25</f>
        <v>Redução</v>
      </c>
      <c r="O25" s="194"/>
      <c r="AI25" s="29"/>
      <c r="AJ25" s="34"/>
      <c r="AK25" s="51"/>
      <c r="AL25" s="34"/>
    </row>
    <row r="26" spans="1:38" ht="27" thickBot="1" x14ac:dyDescent="0.3">
      <c r="G26" s="12"/>
      <c r="I26" s="33"/>
      <c r="J26" s="201">
        <f>(J21/J24)-1</f>
        <v>6.6469719350073841E-2</v>
      </c>
      <c r="K26" s="202"/>
      <c r="L26" s="207">
        <f>(L21/L24)-1</f>
        <v>-1.4285714285714235E-2</v>
      </c>
      <c r="M26" s="207"/>
      <c r="N26" s="195">
        <f>(N21/N24)-1</f>
        <v>-0.27757760532150777</v>
      </c>
      <c r="O26" s="196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>
      <selection activeCell="A6" sqref="A6"/>
    </sheetView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21243</v>
      </c>
      <c r="D6" s="7">
        <f>'Dados - Gráficos'!D21</f>
        <v>21243</v>
      </c>
      <c r="E6" s="93">
        <f>'Dados - Gráficos'!E21</f>
        <v>19245.566666666666</v>
      </c>
      <c r="F6" s="119">
        <f>'Dados - Gráficos'!F21</f>
        <v>0.10378667294805563</v>
      </c>
      <c r="G6" s="120">
        <f>'Dados - Gráficos'!G21</f>
        <v>0.10378667294805563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180</v>
      </c>
      <c r="D7" s="8">
        <f>'Dados - Gráficos'!D22</f>
        <v>180</v>
      </c>
      <c r="E7" s="93">
        <f>'Dados - Gráficos'!E22</f>
        <v>250</v>
      </c>
      <c r="F7" s="121">
        <f>'Dados - Gráficos'!F22</f>
        <v>-0.28000000000000003</v>
      </c>
      <c r="G7" s="120">
        <f>'Dados - Gráficos'!G22</f>
        <v>-0.28000000000000003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12076</v>
      </c>
      <c r="D8" s="8">
        <f>'Dados - Gráficos'!D23</f>
        <v>12076</v>
      </c>
      <c r="E8" s="93">
        <f>'Dados - Gráficos'!E23</f>
        <v>11401.9</v>
      </c>
      <c r="F8" s="121">
        <f>'Dados - Gráficos'!F23</f>
        <v>5.912172532648071E-2</v>
      </c>
      <c r="G8" s="120">
        <f>'Dados - Gráficos'!G23</f>
        <v>5.912172532648071E-2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8987</v>
      </c>
      <c r="D9" s="17">
        <f>'Dados - Gráficos'!D24</f>
        <v>8987</v>
      </c>
      <c r="E9" s="94">
        <f>'Dados - Gráficos'!E24</f>
        <v>7593.6666666666661</v>
      </c>
      <c r="F9" s="122">
        <f>'Dados - Gráficos'!F24</f>
        <v>0.18348623853211019</v>
      </c>
      <c r="G9" s="123">
        <f>'Dados - Gráficos'!G24</f>
        <v>0.18348623853211019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2016-04-01T13:45:44Z</dcterms:modified>
</cp:coreProperties>
</file>