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<sst xmlns="http://schemas.openxmlformats.org/spreadsheetml/2006/main" count="318" uniqueCount="38">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</sst>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7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10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541</c:v>
                </c:pt>
                <c:pt idx="1">
                  <c:v>121</c:v>
                </c:pt>
                <c:pt idx="2">
                  <c:v>43</c:v>
                </c:pt>
                <c:pt idx="3">
                  <c:v>586</c:v>
                </c:pt>
                <c:pt idx="4">
                  <c:v>548</c:v>
                </c:pt>
                <c:pt idx="5">
                  <c:v>433</c:v>
                </c:pt>
                <c:pt idx="6">
                  <c:v>504</c:v>
                </c:pt>
                <c:pt idx="7">
                  <c:v>486</c:v>
                </c:pt>
                <c:pt idx="8">
                  <c:v>116</c:v>
                </c:pt>
                <c:pt idx="9">
                  <c:v>34</c:v>
                </c:pt>
                <c:pt idx="10">
                  <c:v>524</c:v>
                </c:pt>
                <c:pt idx="11">
                  <c:v>577</c:v>
                </c:pt>
                <c:pt idx="12">
                  <c:v>578</c:v>
                </c:pt>
                <c:pt idx="13">
                  <c:v>487</c:v>
                </c:pt>
                <c:pt idx="14">
                  <c:v>399</c:v>
                </c:pt>
                <c:pt idx="15">
                  <c:v>104</c:v>
                </c:pt>
                <c:pt idx="16">
                  <c:v>20</c:v>
                </c:pt>
                <c:pt idx="17">
                  <c:v>537</c:v>
                </c:pt>
                <c:pt idx="18">
                  <c:v>473</c:v>
                </c:pt>
                <c:pt idx="19">
                  <c:v>388</c:v>
                </c:pt>
                <c:pt idx="20">
                  <c:v>109</c:v>
                </c:pt>
                <c:pt idx="21">
                  <c:v>411</c:v>
                </c:pt>
                <c:pt idx="22">
                  <c:v>104</c:v>
                </c:pt>
                <c:pt idx="23">
                  <c:v>27</c:v>
                </c:pt>
                <c:pt idx="24">
                  <c:v>580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497</c:v>
                </c:pt>
                <c:pt idx="1">
                  <c:v>153</c:v>
                </c:pt>
                <c:pt idx="2">
                  <c:v>40</c:v>
                </c:pt>
                <c:pt idx="3">
                  <c:v>583</c:v>
                </c:pt>
                <c:pt idx="4">
                  <c:v>489</c:v>
                </c:pt>
                <c:pt idx="5">
                  <c:v>443</c:v>
                </c:pt>
                <c:pt idx="6">
                  <c:v>425</c:v>
                </c:pt>
                <c:pt idx="7">
                  <c:v>406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515</c:v>
                </c:pt>
                <c:pt idx="12">
                  <c:v>447</c:v>
                </c:pt>
                <c:pt idx="13">
                  <c:v>382</c:v>
                </c:pt>
                <c:pt idx="14">
                  <c:v>333</c:v>
                </c:pt>
                <c:pt idx="15">
                  <c:v>86</c:v>
                </c:pt>
                <c:pt idx="16">
                  <c:v>34</c:v>
                </c:pt>
                <c:pt idx="17">
                  <c:v>447</c:v>
                </c:pt>
                <c:pt idx="18">
                  <c:v>439</c:v>
                </c:pt>
                <c:pt idx="19">
                  <c:v>371</c:v>
                </c:pt>
                <c:pt idx="20">
                  <c:v>92</c:v>
                </c:pt>
                <c:pt idx="21">
                  <c:v>285</c:v>
                </c:pt>
                <c:pt idx="22">
                  <c:v>152</c:v>
                </c:pt>
                <c:pt idx="23">
                  <c:v>43</c:v>
                </c:pt>
                <c:pt idx="24">
                  <c:v>444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XExECce61954rqpfhkkgSqok/vVn9S9/PiNE1e2PFgCc7sqmpaV56XupFMiASHPumkZU+8A4CoNtd8rpO/64hA==" saltValue="4Y2w8UnVUT5SNjnMoubAN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CmkluZkvx2v4mIA2sZLNGn3GbQ8t5ZJUb59R1q614tBmQKMOnfSfI3eSxiSexw0U4CIUsaRHH6DOnaihrsWFxg==" saltValue="9Dm+OFKGdtG0fkP3Omd1L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tTc3wwyt6DkaiESZBhZZ4kHz7jjD4bA6JUU+wTWyd6WJl5E5Q9q9T+3hDvuU5YgswubrmH4/cKDtO0xW/1mrKQ==" saltValue="OuUmY2D7APZbHjY4WBcgk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AA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16716</v>
      </c>
      <c r="AI33" s="71">
        <f>AH33/COUNTA(C34:AG34)</f>
        <v>668.64</v>
      </c>
      <c r="AJ33" s="55">
        <f>AI33*31</f>
        <v>20727.84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4</v>
      </c>
      <c r="L34" s="156">
        <v>1</v>
      </c>
      <c r="M34" s="156">
        <v>13</v>
      </c>
      <c r="N34" s="156">
        <v>11</v>
      </c>
      <c r="O34" s="156">
        <v>7</v>
      </c>
      <c r="P34" s="156">
        <v>14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7</v>
      </c>
      <c r="X34" s="24">
        <v>8</v>
      </c>
      <c r="Y34" s="24">
        <v>1</v>
      </c>
      <c r="Z34" s="24">
        <v>0</v>
      </c>
      <c r="AA34" s="24">
        <v>10</v>
      </c>
      <c r="AB34" s="24"/>
      <c r="AC34" s="24"/>
      <c r="AD34" s="24"/>
      <c r="AE34" s="24"/>
      <c r="AF34" s="24"/>
      <c r="AG34" s="157"/>
      <c r="AH34" s="53">
        <f>SUM(C34:AG34)</f>
        <v>167</v>
      </c>
      <c r="AI34" s="38">
        <f>AH34/COUNTA(C34:AG34)</f>
        <v>6.68</v>
      </c>
      <c r="AJ34" s="56">
        <f>AI34*30</f>
        <v>200.39999999999998</v>
      </c>
    </row>
    <row r="35" spans="2:36" x14ac:dyDescent="0.25">
      <c r="B35" s="161" t="s">
        <v>20</v>
      </c>
      <c r="C35" s="156">
        <v>541</v>
      </c>
      <c r="D35" s="156">
        <v>121</v>
      </c>
      <c r="E35" s="156">
        <v>43</v>
      </c>
      <c r="F35" s="156">
        <v>586</v>
      </c>
      <c r="G35" s="156">
        <v>548</v>
      </c>
      <c r="H35" s="156">
        <v>433</v>
      </c>
      <c r="I35" s="156">
        <v>504</v>
      </c>
      <c r="J35" s="156">
        <v>486</v>
      </c>
      <c r="K35" s="156">
        <v>116</v>
      </c>
      <c r="L35" s="156">
        <v>34</v>
      </c>
      <c r="M35" s="156">
        <v>524</v>
      </c>
      <c r="N35" s="156">
        <v>577</v>
      </c>
      <c r="O35" s="156">
        <v>578</v>
      </c>
      <c r="P35" s="156">
        <v>487</v>
      </c>
      <c r="Q35" s="24">
        <v>399</v>
      </c>
      <c r="R35" s="24">
        <v>104</v>
      </c>
      <c r="S35" s="24">
        <v>20</v>
      </c>
      <c r="T35" s="24">
        <v>537</v>
      </c>
      <c r="U35" s="24">
        <v>473</v>
      </c>
      <c r="V35" s="24">
        <v>388</v>
      </c>
      <c r="W35" s="24">
        <v>109</v>
      </c>
      <c r="X35" s="24">
        <v>411</v>
      </c>
      <c r="Y35" s="24">
        <v>104</v>
      </c>
      <c r="Z35" s="24">
        <v>27</v>
      </c>
      <c r="AA35" s="24">
        <v>580</v>
      </c>
      <c r="AB35" s="24"/>
      <c r="AC35" s="24"/>
      <c r="AD35" s="24"/>
      <c r="AE35" s="24"/>
      <c r="AF35" s="24"/>
      <c r="AG35" s="157"/>
      <c r="AH35" s="53">
        <f>SUM(C35:AG35)</f>
        <v>8730</v>
      </c>
      <c r="AI35" s="38">
        <f>AH35/COUNTA(C35:AG35)</f>
        <v>349.2</v>
      </c>
      <c r="AJ35" s="56">
        <f>AI35*30</f>
        <v>10476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40</v>
      </c>
      <c r="F36" s="155">
        <v>583</v>
      </c>
      <c r="G36" s="155">
        <v>489</v>
      </c>
      <c r="H36" s="155">
        <v>443</v>
      </c>
      <c r="I36" s="155">
        <v>425</v>
      </c>
      <c r="J36" s="155">
        <v>406</v>
      </c>
      <c r="K36" s="155">
        <v>108</v>
      </c>
      <c r="L36" s="155">
        <v>51</v>
      </c>
      <c r="M36" s="155">
        <v>554</v>
      </c>
      <c r="N36" s="155">
        <v>515</v>
      </c>
      <c r="O36" s="155">
        <v>447</v>
      </c>
      <c r="P36" s="155">
        <v>382</v>
      </c>
      <c r="Q36" s="25">
        <v>333</v>
      </c>
      <c r="R36" s="25">
        <v>86</v>
      </c>
      <c r="S36" s="25">
        <v>34</v>
      </c>
      <c r="T36" s="25">
        <v>447</v>
      </c>
      <c r="U36" s="25">
        <v>439</v>
      </c>
      <c r="V36" s="25">
        <v>371</v>
      </c>
      <c r="W36" s="25">
        <v>92</v>
      </c>
      <c r="X36" s="25">
        <v>285</v>
      </c>
      <c r="Y36" s="25">
        <v>152</v>
      </c>
      <c r="Z36" s="25">
        <v>43</v>
      </c>
      <c r="AA36" s="25">
        <v>444</v>
      </c>
      <c r="AB36" s="25"/>
      <c r="AC36" s="25"/>
      <c r="AD36" s="25"/>
      <c r="AE36" s="25"/>
      <c r="AF36" s="25"/>
      <c r="AG36" s="159"/>
      <c r="AH36" s="54">
        <f>SUM(C36:AG36)</f>
        <v>7819</v>
      </c>
      <c r="AI36" s="37">
        <f>AH36/COUNTA(C36:AG36)</f>
        <v>312.76</v>
      </c>
      <c r="AJ36" s="57">
        <f>AI36*30</f>
        <v>9382.7999999999993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16716</v>
      </c>
      <c r="AJ3" s="66">
        <f>Indicadores!AI33</f>
        <v>668.64</v>
      </c>
      <c r="AK3" s="55">
        <f>Indicadores!AJ33</f>
        <v>20727.84</v>
      </c>
    </row>
    <row r="4" spans="1:16384" x14ac:dyDescent="0.25">
      <c r="B4" s="192" t="s">
        <v>19</v>
      </c>
      <c r="C4" s="193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4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11</v>
      </c>
      <c r="P4" s="39">
        <f>IF(Indicadores!O34,Indicadores!O34,"")</f>
        <v>7</v>
      </c>
      <c r="Q4" s="39">
        <f>IF(Indicadores!P34,Indicadores!P34,"")</f>
        <v>14</v>
      </c>
      <c r="R4" s="39">
        <f>IF(Indicadores!Q34,Indicadores!Q34,"")</f>
        <v>9</v>
      </c>
      <c r="S4" s="39" t="str">
        <f>IF(Indicadores!R34,Indicadores!R34,"")</f>
        <v/>
      </c>
      <c r="T4" s="39" t="str">
        <f>IF(Indicadores!S34,Indicadores!S34,"")</f>
        <v/>
      </c>
      <c r="U4" s="39">
        <f>IF(Indicadores!T34,Indicadores!T34,"")</f>
        <v>6</v>
      </c>
      <c r="V4" s="39">
        <f>IF(Indicadores!U34,Indicadores!U34,"")</f>
        <v>7</v>
      </c>
      <c r="W4" s="39">
        <f>IF(Indicadores!V34,Indicadores!V34,"")</f>
        <v>13</v>
      </c>
      <c r="X4" s="39">
        <f>IF(Indicadores!W34,Indicadores!W34,"")</f>
        <v>7</v>
      </c>
      <c r="Y4" s="39">
        <f>IF(Indicadores!X34,Indicadores!X34,"")</f>
        <v>8</v>
      </c>
      <c r="Z4" s="39">
        <f>IF(Indicadores!Y34,Indicadores!Y34,"")</f>
        <v>1</v>
      </c>
      <c r="AA4" s="39" t="str">
        <f>IF(Indicadores!Z34,Indicadores!Z34,"")</f>
        <v/>
      </c>
      <c r="AB4" s="39">
        <f>IF(Indicadores!AA34,Indicadores!AA34,"")</f>
        <v>10</v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167</v>
      </c>
      <c r="AJ4" s="75">
        <f>Indicadores!AI34</f>
        <v>6.68</v>
      </c>
      <c r="AK4" s="56">
        <f>Indicadores!AJ34</f>
        <v>200.39999999999998</v>
      </c>
    </row>
    <row r="5" spans="1:16384" x14ac:dyDescent="0.25">
      <c r="B5" s="192" t="s">
        <v>20</v>
      </c>
      <c r="C5" s="193"/>
      <c r="D5" s="39">
        <f>IF(Indicadores!C35,Indicadores!C35,"")</f>
        <v>541</v>
      </c>
      <c r="E5" s="39">
        <f>IF(Indicadores!D35,Indicadores!D35,"")</f>
        <v>121</v>
      </c>
      <c r="F5" s="39">
        <f>IF(Indicadores!E35,Indicadores!E35,"")</f>
        <v>43</v>
      </c>
      <c r="G5" s="39">
        <f>IF(Indicadores!F35,Indicadores!F35,"")</f>
        <v>586</v>
      </c>
      <c r="H5" s="39">
        <f>IF(Indicadores!G35,Indicadores!G35,"")</f>
        <v>548</v>
      </c>
      <c r="I5" s="39">
        <f>IF(Indicadores!H35,Indicadores!H35,"")</f>
        <v>433</v>
      </c>
      <c r="J5" s="39">
        <f>IF(Indicadores!I35,Indicadores!I35,"")</f>
        <v>504</v>
      </c>
      <c r="K5" s="39">
        <f>IF(Indicadores!J35,Indicadores!J35,"")</f>
        <v>486</v>
      </c>
      <c r="L5" s="39">
        <f>IF(Indicadores!K35,Indicadores!K35,"")</f>
        <v>116</v>
      </c>
      <c r="M5" s="39">
        <f>IF(Indicadores!L35,Indicadores!L35,"")</f>
        <v>34</v>
      </c>
      <c r="N5" s="39">
        <f>IF(Indicadores!M35,Indicadores!M35,"")</f>
        <v>524</v>
      </c>
      <c r="O5" s="39">
        <f>IF(Indicadores!N35,Indicadores!N35,"")</f>
        <v>577</v>
      </c>
      <c r="P5" s="39">
        <f>IF(Indicadores!O35,Indicadores!O35,"")</f>
        <v>578</v>
      </c>
      <c r="Q5" s="39">
        <f>IF(Indicadores!P35,Indicadores!P35,"")</f>
        <v>487</v>
      </c>
      <c r="R5" s="39">
        <f>IF(Indicadores!Q35,Indicadores!Q35,"")</f>
        <v>399</v>
      </c>
      <c r="S5" s="39">
        <f>IF(Indicadores!R35,Indicadores!R35,"")</f>
        <v>104</v>
      </c>
      <c r="T5" s="39">
        <f>IF(Indicadores!S35,Indicadores!S35,"")</f>
        <v>20</v>
      </c>
      <c r="U5" s="39">
        <f>IF(Indicadores!T35,Indicadores!T35,"")</f>
        <v>537</v>
      </c>
      <c r="V5" s="39">
        <f>IF(Indicadores!U35,Indicadores!U35,"")</f>
        <v>473</v>
      </c>
      <c r="W5" s="39">
        <f>IF(Indicadores!V35,Indicadores!V35,"")</f>
        <v>388</v>
      </c>
      <c r="X5" s="39">
        <f>IF(Indicadores!W35,Indicadores!W35,"")</f>
        <v>109</v>
      </c>
      <c r="Y5" s="39">
        <f>IF(Indicadores!X35,Indicadores!X35,"")</f>
        <v>411</v>
      </c>
      <c r="Z5" s="39">
        <f>IF(Indicadores!Y35,Indicadores!Y35,"")</f>
        <v>104</v>
      </c>
      <c r="AA5" s="39">
        <f>IF(Indicadores!Z35,Indicadores!Z35,"")</f>
        <v>27</v>
      </c>
      <c r="AB5" s="39">
        <f>IF(Indicadores!AA35,Indicadores!AA35,"")</f>
        <v>580</v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8730</v>
      </c>
      <c r="AJ5" s="75">
        <f>Indicadores!AI35</f>
        <v>349.2</v>
      </c>
      <c r="AK5" s="56">
        <f>Indicadores!AJ35</f>
        <v>10476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497</v>
      </c>
      <c r="E6" s="40">
        <f>IF(Indicadores!D36,Indicadores!D36,"")</f>
        <v>153</v>
      </c>
      <c r="F6" s="40">
        <f>IF(Indicadores!E36,Indicadores!E36,"")</f>
        <v>40</v>
      </c>
      <c r="G6" s="40">
        <f>IF(Indicadores!F36,Indicadores!F36,"")</f>
        <v>583</v>
      </c>
      <c r="H6" s="40">
        <f>IF(Indicadores!G36,Indicadores!G36,"")</f>
        <v>489</v>
      </c>
      <c r="I6" s="40">
        <f>IF(Indicadores!H36,Indicadores!H36,"")</f>
        <v>443</v>
      </c>
      <c r="J6" s="40">
        <f>IF(Indicadores!I36,Indicadores!I36,"")</f>
        <v>425</v>
      </c>
      <c r="K6" s="40">
        <f>IF(Indicadores!J36,Indicadores!J36,"")</f>
        <v>406</v>
      </c>
      <c r="L6" s="40">
        <f>IF(Indicadores!K36,Indicadores!K36,"")</f>
        <v>108</v>
      </c>
      <c r="M6" s="40">
        <f>IF(Indicadores!L36,Indicadores!L36,"")</f>
        <v>51</v>
      </c>
      <c r="N6" s="40">
        <f>IF(Indicadores!M36,Indicadores!M36,"")</f>
        <v>554</v>
      </c>
      <c r="O6" s="40">
        <f>IF(Indicadores!N36,Indicadores!N36,"")</f>
        <v>515</v>
      </c>
      <c r="P6" s="40">
        <f>IF(Indicadores!O36,Indicadores!O36,"")</f>
        <v>447</v>
      </c>
      <c r="Q6" s="40">
        <f>IF(Indicadores!P36,Indicadores!P36,"")</f>
        <v>382</v>
      </c>
      <c r="R6" s="40">
        <f>IF(Indicadores!Q36,Indicadores!Q36,"")</f>
        <v>333</v>
      </c>
      <c r="S6" s="40">
        <f>IF(Indicadores!R36,Indicadores!R36,"")</f>
        <v>86</v>
      </c>
      <c r="T6" s="40">
        <f>IF(Indicadores!S36,Indicadores!S36,"")</f>
        <v>34</v>
      </c>
      <c r="U6" s="40">
        <f>IF(Indicadores!T36,Indicadores!T36,"")</f>
        <v>447</v>
      </c>
      <c r="V6" s="40">
        <f>IF(Indicadores!U36,Indicadores!U36,"")</f>
        <v>439</v>
      </c>
      <c r="W6" s="40">
        <f>IF(Indicadores!V36,Indicadores!V36,"")</f>
        <v>371</v>
      </c>
      <c r="X6" s="40">
        <f>IF(Indicadores!W36,Indicadores!W36,"")</f>
        <v>92</v>
      </c>
      <c r="Y6" s="40">
        <f>IF(Indicadores!X36,Indicadores!X36,"")</f>
        <v>285</v>
      </c>
      <c r="Z6" s="40">
        <f>IF(Indicadores!Y36,Indicadores!Y36,"")</f>
        <v>152</v>
      </c>
      <c r="AA6" s="40">
        <f>IF(Indicadores!Z36,Indicadores!Z36,"")</f>
        <v>43</v>
      </c>
      <c r="AB6" s="40">
        <f>IF(Indicadores!AA36,Indicadores!AA36,"")</f>
        <v>444</v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7819</v>
      </c>
      <c r="AJ6" s="42">
        <f>Indicadores!AI36</f>
        <v>312.76</v>
      </c>
      <c r="AK6" s="56">
        <f>Indicadores!AJ36</f>
        <v>9382.7999999999993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19899.113083892997</v>
      </c>
      <c r="AJ15" s="66">
        <f>SUM(AJ16:AJ18)</f>
        <v>641.90687367396765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4</v>
      </c>
      <c r="M16" s="137">
        <f t="shared" si="4"/>
        <v>1</v>
      </c>
      <c r="N16" s="137">
        <f t="shared" si="4"/>
        <v>13</v>
      </c>
      <c r="O16" s="137">
        <f t="shared" si="4"/>
        <v>11</v>
      </c>
      <c r="P16" s="137">
        <f t="shared" si="4"/>
        <v>7</v>
      </c>
      <c r="Q16" s="137">
        <f t="shared" si="4"/>
        <v>14</v>
      </c>
      <c r="R16" s="137">
        <f t="shared" si="4"/>
        <v>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6</v>
      </c>
      <c r="V16" s="137">
        <f t="shared" si="4"/>
        <v>7</v>
      </c>
      <c r="W16" s="137">
        <f t="shared" si="4"/>
        <v>13</v>
      </c>
      <c r="X16" s="137">
        <f t="shared" si="4"/>
        <v>7</v>
      </c>
      <c r="Y16" s="137">
        <f t="shared" si="4"/>
        <v>8</v>
      </c>
      <c r="Z16" s="137">
        <f t="shared" si="4"/>
        <v>1</v>
      </c>
      <c r="AA16" s="137">
        <f t="shared" si="4"/>
        <v>1.2267536704730833</v>
      </c>
      <c r="AB16" s="137">
        <f t="shared" si="4"/>
        <v>10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203.18923327895592</v>
      </c>
      <c r="AJ16" s="106">
        <f>AI16/COUNTA(C16:AG16)</f>
        <v>6.5544913960953526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541</v>
      </c>
      <c r="E17" s="137">
        <f t="shared" ref="E17:AH17" si="6">IF(E5&lt;&gt;"",E5,E11)</f>
        <v>121</v>
      </c>
      <c r="F17" s="137">
        <f t="shared" si="6"/>
        <v>43</v>
      </c>
      <c r="G17" s="137">
        <f t="shared" si="6"/>
        <v>586</v>
      </c>
      <c r="H17" s="137">
        <f t="shared" si="6"/>
        <v>548</v>
      </c>
      <c r="I17" s="137">
        <f t="shared" si="6"/>
        <v>433</v>
      </c>
      <c r="J17" s="137">
        <f t="shared" si="6"/>
        <v>504</v>
      </c>
      <c r="K17" s="137">
        <f t="shared" si="6"/>
        <v>486</v>
      </c>
      <c r="L17" s="137">
        <f t="shared" si="6"/>
        <v>116</v>
      </c>
      <c r="M17" s="137">
        <f t="shared" si="6"/>
        <v>34</v>
      </c>
      <c r="N17" s="137">
        <f t="shared" si="6"/>
        <v>524</v>
      </c>
      <c r="O17" s="137">
        <f t="shared" si="6"/>
        <v>577</v>
      </c>
      <c r="P17" s="137">
        <f t="shared" si="6"/>
        <v>578</v>
      </c>
      <c r="Q17" s="137">
        <f t="shared" si="6"/>
        <v>487</v>
      </c>
      <c r="R17" s="137">
        <f t="shared" si="6"/>
        <v>399</v>
      </c>
      <c r="S17" s="137">
        <f t="shared" si="6"/>
        <v>104</v>
      </c>
      <c r="T17" s="137">
        <f t="shared" si="6"/>
        <v>20</v>
      </c>
      <c r="U17" s="137">
        <f t="shared" si="6"/>
        <v>537</v>
      </c>
      <c r="V17" s="137">
        <f t="shared" si="6"/>
        <v>473</v>
      </c>
      <c r="W17" s="137">
        <f t="shared" si="6"/>
        <v>388</v>
      </c>
      <c r="X17" s="137">
        <f t="shared" si="6"/>
        <v>109</v>
      </c>
      <c r="Y17" s="137">
        <f t="shared" si="6"/>
        <v>411</v>
      </c>
      <c r="Z17" s="137">
        <f t="shared" si="6"/>
        <v>104</v>
      </c>
      <c r="AA17" s="137">
        <f t="shared" si="6"/>
        <v>27</v>
      </c>
      <c r="AB17" s="137">
        <f t="shared" si="6"/>
        <v>580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10663.199777989217</v>
      </c>
      <c r="AJ17" s="106">
        <f>AI17/COUNTA(C17:AG17)</f>
        <v>343.97418638674895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497</v>
      </c>
      <c r="E18" s="148">
        <f t="shared" ref="E18:AH18" si="8">IF(E6&lt;&gt;"",E6,E12)</f>
        <v>153</v>
      </c>
      <c r="F18" s="148">
        <f t="shared" si="8"/>
        <v>40</v>
      </c>
      <c r="G18" s="148">
        <f t="shared" si="8"/>
        <v>583</v>
      </c>
      <c r="H18" s="148">
        <f t="shared" si="8"/>
        <v>489</v>
      </c>
      <c r="I18" s="148">
        <f t="shared" si="8"/>
        <v>443</v>
      </c>
      <c r="J18" s="148">
        <f t="shared" si="8"/>
        <v>425</v>
      </c>
      <c r="K18" s="148">
        <f t="shared" si="8"/>
        <v>406</v>
      </c>
      <c r="L18" s="148">
        <f t="shared" si="8"/>
        <v>108</v>
      </c>
      <c r="M18" s="148">
        <f t="shared" si="8"/>
        <v>51</v>
      </c>
      <c r="N18" s="148">
        <f t="shared" si="8"/>
        <v>554</v>
      </c>
      <c r="O18" s="148">
        <f t="shared" si="8"/>
        <v>515</v>
      </c>
      <c r="P18" s="148">
        <f t="shared" si="8"/>
        <v>447</v>
      </c>
      <c r="Q18" s="148">
        <f t="shared" si="8"/>
        <v>382</v>
      </c>
      <c r="R18" s="148">
        <f t="shared" si="8"/>
        <v>333</v>
      </c>
      <c r="S18" s="148">
        <f t="shared" si="8"/>
        <v>86</v>
      </c>
      <c r="T18" s="148">
        <f t="shared" si="8"/>
        <v>34</v>
      </c>
      <c r="U18" s="148">
        <f t="shared" si="8"/>
        <v>447</v>
      </c>
      <c r="V18" s="148">
        <f t="shared" si="8"/>
        <v>439</v>
      </c>
      <c r="W18" s="148">
        <f t="shared" si="8"/>
        <v>371</v>
      </c>
      <c r="X18" s="148">
        <f t="shared" si="8"/>
        <v>92</v>
      </c>
      <c r="Y18" s="148">
        <f t="shared" si="8"/>
        <v>285</v>
      </c>
      <c r="Z18" s="148">
        <f t="shared" si="8"/>
        <v>152</v>
      </c>
      <c r="AA18" s="148">
        <f t="shared" si="8"/>
        <v>43</v>
      </c>
      <c r="AB18" s="148">
        <f t="shared" si="8"/>
        <v>444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9032.7240726248237</v>
      </c>
      <c r="AJ18" s="109">
        <f>AI18/COUNTA(C18:AG18)</f>
        <v>291.37819589112337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16716</v>
      </c>
      <c r="D21" s="142">
        <f>SUM(D22:D24)</f>
        <v>19899.113083892997</v>
      </c>
      <c r="E21" s="143">
        <f>SUM(E22:E24)</f>
        <v>18666.200000000004</v>
      </c>
      <c r="F21" s="138">
        <f>(D21-E21)/E21</f>
        <v>6.6050566472714956E-2</v>
      </c>
      <c r="G21" s="133">
        <f>F21</f>
        <v>6.6050566472714956E-2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167</v>
      </c>
      <c r="D22" s="145">
        <f>AI16</f>
        <v>203.18923327895592</v>
      </c>
      <c r="E22" s="143">
        <f>$AI$10</f>
        <v>188.00000000000003</v>
      </c>
      <c r="F22" s="139">
        <f t="shared" ref="F22:F24" si="10">(D22-E22)/E22</f>
        <v>8.0793794036999433E-2</v>
      </c>
      <c r="G22" s="133">
        <f>F22</f>
        <v>8.0793794036999433E-2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8730</v>
      </c>
      <c r="D23" s="145">
        <f>AI17</f>
        <v>10663.199777989217</v>
      </c>
      <c r="E23" s="143">
        <f>AI11</f>
        <v>11005.800000000003</v>
      </c>
      <c r="F23" s="139">
        <f t="shared" si="10"/>
        <v>-3.112906122324462E-2</v>
      </c>
      <c r="G23" s="133">
        <f>F23</f>
        <v>-3.112906122324462E-2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7819</v>
      </c>
      <c r="D24" s="147">
        <f>AI18</f>
        <v>9032.7240726248237</v>
      </c>
      <c r="E24" s="168">
        <f>AI12</f>
        <v>7472.4000000000005</v>
      </c>
      <c r="F24" s="140">
        <f t="shared" si="10"/>
        <v>0.20881163650565054</v>
      </c>
      <c r="G24" s="136">
        <f>F24</f>
        <v>0.20881163650565054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16716</v>
      </c>
      <c r="D6" s="7">
        <f>'Dados - Gráficos'!D21</f>
        <v>19899.113083892997</v>
      </c>
      <c r="E6" s="93">
        <f>'Dados - Gráficos'!E21</f>
        <v>18666.200000000004</v>
      </c>
      <c r="F6" s="118">
        <f>'Dados - Gráficos'!F21</f>
        <v>6.6050566472714956E-2</v>
      </c>
      <c r="G6" s="119">
        <f>'Dados - Gráficos'!G21</f>
        <v>6.6050566472714956E-2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167</v>
      </c>
      <c r="D7" s="8">
        <f>'Dados - Gráficos'!D22</f>
        <v>203.18923327895592</v>
      </c>
      <c r="E7" s="93">
        <f>'Dados - Gráficos'!E22</f>
        <v>188.00000000000003</v>
      </c>
      <c r="F7" s="120">
        <f>'Dados - Gráficos'!F22</f>
        <v>8.0793794036999433E-2</v>
      </c>
      <c r="G7" s="119">
        <f>'Dados - Gráficos'!G22</f>
        <v>8.0793794036999433E-2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8730</v>
      </c>
      <c r="D8" s="8">
        <f>'Dados - Gráficos'!D23</f>
        <v>10663.199777989217</v>
      </c>
      <c r="E8" s="93">
        <f>'Dados - Gráficos'!E23</f>
        <v>11005.800000000003</v>
      </c>
      <c r="F8" s="120">
        <f>'Dados - Gráficos'!F23</f>
        <v>-3.112906122324462E-2</v>
      </c>
      <c r="G8" s="119">
        <f>'Dados - Gráficos'!G23</f>
        <v>-3.112906122324462E-2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7819</v>
      </c>
      <c r="D9" s="17">
        <f>'Dados - Gráficos'!D24</f>
        <v>9032.7240726248237</v>
      </c>
      <c r="E9" s="94">
        <f>'Dados - Gráficos'!E24</f>
        <v>7472.4000000000005</v>
      </c>
      <c r="F9" s="121">
        <f>'Dados - Gráficos'!F24</f>
        <v>0.20881163650565054</v>
      </c>
      <c r="G9" s="122">
        <f>'Dados - Gráficos'!G24</f>
        <v>0.20881163650565054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2016-04-26T12:39:50Z</dcterms:modified>
</cp:coreProperties>
</file>