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<sst xmlns="http://schemas.openxmlformats.org/spreadsheetml/2006/main" count="418" uniqueCount="39">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</sst>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6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25</c:v>
                </c:pt>
                <c:pt idx="1">
                  <c:v>588</c:v>
                </c:pt>
                <c:pt idx="2">
                  <c:v>608</c:v>
                </c:pt>
                <c:pt idx="3">
                  <c:v>538</c:v>
                </c:pt>
                <c:pt idx="4">
                  <c:v>488</c:v>
                </c:pt>
                <c:pt idx="5">
                  <c:v>397</c:v>
                </c:pt>
                <c:pt idx="6">
                  <c:v>100</c:v>
                </c:pt>
                <c:pt idx="7">
                  <c:v>29</c:v>
                </c:pt>
                <c:pt idx="8">
                  <c:v>562</c:v>
                </c:pt>
                <c:pt idx="9">
                  <c:v>590</c:v>
                </c:pt>
                <c:pt idx="10">
                  <c:v>560</c:v>
                </c:pt>
                <c:pt idx="11">
                  <c:v>447</c:v>
                </c:pt>
                <c:pt idx="12">
                  <c:v>470</c:v>
                </c:pt>
                <c:pt idx="13">
                  <c:v>144</c:v>
                </c:pt>
                <c:pt idx="14">
                  <c:v>40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668</c:v>
                </c:pt>
                <c:pt idx="2">
                  <c:v>569</c:v>
                </c:pt>
                <c:pt idx="3">
                  <c:v>490</c:v>
                </c:pt>
                <c:pt idx="4">
                  <c:v>391</c:v>
                </c:pt>
                <c:pt idx="5">
                  <c:v>341</c:v>
                </c:pt>
                <c:pt idx="6">
                  <c:v>92</c:v>
                </c:pt>
                <c:pt idx="7">
                  <c:v>24</c:v>
                </c:pt>
                <c:pt idx="8">
                  <c:v>412</c:v>
                </c:pt>
                <c:pt idx="9">
                  <c:v>370</c:v>
                </c:pt>
                <c:pt idx="10">
                  <c:v>383</c:v>
                </c:pt>
                <c:pt idx="11">
                  <c:v>393</c:v>
                </c:pt>
                <c:pt idx="12">
                  <c:v>342</c:v>
                </c:pt>
                <c:pt idx="13">
                  <c:v>97</c:v>
                </c:pt>
                <c:pt idx="14">
                  <c:v>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DimYW73IuILULewu4Lbk0THVqdJcXH/kjS/6uKeQ8S89QTSVY8Y7Y/+jbAr669TFcSr72f3WlPsiihsvJTpOzA==" saltValue="RQVHn+4LNIZn8e+MjLaAL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ByA/g2nLlug4KPtAmYUFfZ3Q0AK08N85Ql8X7AibofL4svJAreQ1Z1mCzUWtsMp3cFnUnym5YHVAhxgVwn+WwA==" saltValue="AdO1fKRqFR6a0nve3IyqC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T66qtinfKFKcS3JJXPv0tky6S+GQvVLw9vwClIr8o/qTowAYkUyKHHSu+jAJD/rmMuWjNJh/6aoXrNzzxoV1ew==" saltValue="afyIi6loSGCrHtEghbw9P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Q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10341</v>
      </c>
      <c r="AI39" s="71">
        <f>AH39/COUNTA(C40:AG40)</f>
        <v>689.4</v>
      </c>
      <c r="AJ39" s="55">
        <f>AI39*31</f>
        <v>21371.399999999998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8</v>
      </c>
      <c r="P40" s="156">
        <v>6</v>
      </c>
      <c r="Q40" s="24">
        <v>5</v>
      </c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94</v>
      </c>
      <c r="AI40" s="38">
        <f>AH40/COUNTA(C40:AG40)</f>
        <v>6.2666666666666666</v>
      </c>
      <c r="AJ40" s="56">
        <f>AI40*31</f>
        <v>194.26666666666665</v>
      </c>
    </row>
    <row r="41" spans="2:36" x14ac:dyDescent="0.25">
      <c r="B41" s="168" t="s">
        <v>20</v>
      </c>
      <c r="C41" s="156">
        <v>25</v>
      </c>
      <c r="D41" s="156">
        <v>588</v>
      </c>
      <c r="E41" s="156">
        <v>608</v>
      </c>
      <c r="F41" s="156">
        <v>538</v>
      </c>
      <c r="G41" s="156">
        <v>488</v>
      </c>
      <c r="H41" s="156">
        <v>397</v>
      </c>
      <c r="I41" s="156">
        <v>100</v>
      </c>
      <c r="J41" s="156">
        <v>29</v>
      </c>
      <c r="K41" s="156">
        <v>562</v>
      </c>
      <c r="L41" s="156">
        <v>590</v>
      </c>
      <c r="M41" s="156">
        <v>560</v>
      </c>
      <c r="N41" s="156">
        <v>447</v>
      </c>
      <c r="O41" s="156">
        <v>470</v>
      </c>
      <c r="P41" s="156">
        <v>144</v>
      </c>
      <c r="Q41" s="24">
        <v>40</v>
      </c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5586</v>
      </c>
      <c r="AI41" s="38">
        <f>AH41/COUNTA(C41:AG41)</f>
        <v>372.4</v>
      </c>
      <c r="AJ41" s="56">
        <f>AI41*31</f>
        <v>11544.4</v>
      </c>
    </row>
    <row r="42" spans="2:36" ht="15.75" thickBot="1" x14ac:dyDescent="0.3">
      <c r="B42" s="169" t="s">
        <v>21</v>
      </c>
      <c r="C42" s="155">
        <v>46</v>
      </c>
      <c r="D42" s="155">
        <v>668</v>
      </c>
      <c r="E42" s="155">
        <v>569</v>
      </c>
      <c r="F42" s="155">
        <v>490</v>
      </c>
      <c r="G42" s="155">
        <v>391</v>
      </c>
      <c r="H42" s="155">
        <v>341</v>
      </c>
      <c r="I42" s="155">
        <v>92</v>
      </c>
      <c r="J42" s="155">
        <v>24</v>
      </c>
      <c r="K42" s="155">
        <v>412</v>
      </c>
      <c r="L42" s="155">
        <v>370</v>
      </c>
      <c r="M42" s="155">
        <v>383</v>
      </c>
      <c r="N42" s="155">
        <v>393</v>
      </c>
      <c r="O42" s="155">
        <v>342</v>
      </c>
      <c r="P42" s="155">
        <v>97</v>
      </c>
      <c r="Q42" s="25">
        <v>43</v>
      </c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4661</v>
      </c>
      <c r="AI42" s="37">
        <f>AH42/COUNTA(C42:AG42)</f>
        <v>310.73333333333335</v>
      </c>
      <c r="AJ42" s="57">
        <f>AI42*31</f>
        <v>9632.7333333333336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8</v>
      </c>
      <c r="Q4" s="39">
        <f>IF(Indicadores!P40,Indicadores!P40,"")</f>
        <v>6</v>
      </c>
      <c r="R4" s="39">
        <f>IF(Indicadores!Q40,Indicadores!Q40,"")</f>
        <v>5</v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94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25</v>
      </c>
      <c r="E5" s="39">
        <f>IF(Indicadores!D41,Indicadores!D41,"")</f>
        <v>588</v>
      </c>
      <c r="F5" s="39">
        <f>IF(Indicadores!E41,Indicadores!E41,"")</f>
        <v>608</v>
      </c>
      <c r="G5" s="39">
        <f>IF(Indicadores!F41,Indicadores!F41,"")</f>
        <v>538</v>
      </c>
      <c r="H5" s="39">
        <f>IF(Indicadores!G41,Indicadores!G41,"")</f>
        <v>488</v>
      </c>
      <c r="I5" s="39">
        <f>IF(Indicadores!H41,Indicadores!H41,"")</f>
        <v>397</v>
      </c>
      <c r="J5" s="39">
        <f>IF(Indicadores!I41,Indicadores!I41,"")</f>
        <v>100</v>
      </c>
      <c r="K5" s="39">
        <f>IF(Indicadores!J41,Indicadores!J41,"")</f>
        <v>29</v>
      </c>
      <c r="L5" s="39">
        <f>IF(Indicadores!K41,Indicadores!K41,"")</f>
        <v>562</v>
      </c>
      <c r="M5" s="39">
        <f>IF(Indicadores!L41,Indicadores!L41,"")</f>
        <v>590</v>
      </c>
      <c r="N5" s="39">
        <f>IF(Indicadores!M41,Indicadores!M41,"")</f>
        <v>560</v>
      </c>
      <c r="O5" s="39">
        <f>IF(Indicadores!N41,Indicadores!N41,"")</f>
        <v>447</v>
      </c>
      <c r="P5" s="39">
        <f>IF(Indicadores!O41,Indicadores!O41,"")</f>
        <v>470</v>
      </c>
      <c r="Q5" s="39">
        <f>IF(Indicadores!P41,Indicadores!P41,"")</f>
        <v>144</v>
      </c>
      <c r="R5" s="39">
        <f>IF(Indicadores!Q41,Indicadores!Q41,"")</f>
        <v>40</v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5586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46</v>
      </c>
      <c r="E6" s="40">
        <f>IF(Indicadores!D42,Indicadores!D42,"")</f>
        <v>668</v>
      </c>
      <c r="F6" s="40">
        <f>IF(Indicadores!E42,Indicadores!E42,"")</f>
        <v>569</v>
      </c>
      <c r="G6" s="40">
        <f>IF(Indicadores!F42,Indicadores!F42,"")</f>
        <v>490</v>
      </c>
      <c r="H6" s="40">
        <f>IF(Indicadores!G42,Indicadores!G42,"")</f>
        <v>391</v>
      </c>
      <c r="I6" s="40">
        <f>IF(Indicadores!H42,Indicadores!H42,"")</f>
        <v>341</v>
      </c>
      <c r="J6" s="40">
        <f>IF(Indicadores!I42,Indicadores!I42,"")</f>
        <v>92</v>
      </c>
      <c r="K6" s="40">
        <f>IF(Indicadores!J42,Indicadores!J42,"")</f>
        <v>24</v>
      </c>
      <c r="L6" s="40">
        <f>IF(Indicadores!K42,Indicadores!K42,"")</f>
        <v>412</v>
      </c>
      <c r="M6" s="40">
        <f>IF(Indicadores!L42,Indicadores!L42,"")</f>
        <v>370</v>
      </c>
      <c r="N6" s="40">
        <f>IF(Indicadores!M42,Indicadores!M42,"")</f>
        <v>383</v>
      </c>
      <c r="O6" s="40">
        <f>IF(Indicadores!N42,Indicadores!N42,"")</f>
        <v>393</v>
      </c>
      <c r="P6" s="40">
        <f>IF(Indicadores!O42,Indicadores!O42,"")</f>
        <v>342</v>
      </c>
      <c r="Q6" s="40">
        <f>IF(Indicadores!P42,Indicadores!P42,"")</f>
        <v>97</v>
      </c>
      <c r="R6" s="40">
        <f>IF(Indicadores!Q42,Indicadores!Q42,"")</f>
        <v>43</v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4661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19708.310705481457</v>
      </c>
      <c r="AJ15" s="66">
        <f>SUM(AJ16:AJ18)</f>
        <v>635.75195824133743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8</v>
      </c>
      <c r="Q16" s="137">
        <f t="shared" si="2"/>
        <v>6</v>
      </c>
      <c r="R16" s="137">
        <f t="shared" si="2"/>
        <v>5</v>
      </c>
      <c r="S16" s="137">
        <f t="shared" si="2"/>
        <v>9.3587521663778155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181.97227036395151</v>
      </c>
      <c r="AJ16" s="106">
        <f>AI16/COUNTA(C16:AG16)</f>
        <v>5.8700732375468228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25</v>
      </c>
      <c r="E17" s="137">
        <f t="shared" ref="E17:AG17" si="5">IF(E5&lt;&gt;"",E5,E11)</f>
        <v>588</v>
      </c>
      <c r="F17" s="137">
        <f t="shared" si="5"/>
        <v>608</v>
      </c>
      <c r="G17" s="137">
        <f t="shared" si="5"/>
        <v>538</v>
      </c>
      <c r="H17" s="137">
        <f t="shared" si="5"/>
        <v>488</v>
      </c>
      <c r="I17" s="137">
        <f t="shared" si="5"/>
        <v>397</v>
      </c>
      <c r="J17" s="137">
        <f t="shared" si="5"/>
        <v>100</v>
      </c>
      <c r="K17" s="137">
        <f t="shared" si="5"/>
        <v>29</v>
      </c>
      <c r="L17" s="137">
        <f t="shared" si="5"/>
        <v>562</v>
      </c>
      <c r="M17" s="137">
        <f t="shared" si="5"/>
        <v>590</v>
      </c>
      <c r="N17" s="137">
        <f t="shared" si="5"/>
        <v>560</v>
      </c>
      <c r="O17" s="137">
        <f t="shared" si="5"/>
        <v>447</v>
      </c>
      <c r="P17" s="137">
        <f t="shared" si="5"/>
        <v>470</v>
      </c>
      <c r="Q17" s="137">
        <f t="shared" si="5"/>
        <v>144</v>
      </c>
      <c r="R17" s="137">
        <f t="shared" si="5"/>
        <v>40</v>
      </c>
      <c r="S17" s="137">
        <f t="shared" si="5"/>
        <v>540.69168065212182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10740.699112922561</v>
      </c>
      <c r="AJ17" s="106">
        <f>AI17/COUNTA(C17:AG17)</f>
        <v>346.47416493298584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668</v>
      </c>
      <c r="F18" s="148">
        <f t="shared" si="8"/>
        <v>569</v>
      </c>
      <c r="G18" s="148">
        <f t="shared" si="8"/>
        <v>490</v>
      </c>
      <c r="H18" s="148">
        <f t="shared" si="8"/>
        <v>391</v>
      </c>
      <c r="I18" s="148">
        <f t="shared" si="8"/>
        <v>341</v>
      </c>
      <c r="J18" s="148">
        <f t="shared" si="8"/>
        <v>92</v>
      </c>
      <c r="K18" s="148">
        <f t="shared" si="8"/>
        <v>24</v>
      </c>
      <c r="L18" s="148">
        <f t="shared" si="8"/>
        <v>412</v>
      </c>
      <c r="M18" s="148">
        <f t="shared" si="8"/>
        <v>370</v>
      </c>
      <c r="N18" s="148">
        <f t="shared" si="8"/>
        <v>383</v>
      </c>
      <c r="O18" s="148">
        <f t="shared" si="8"/>
        <v>393</v>
      </c>
      <c r="P18" s="148">
        <f t="shared" si="8"/>
        <v>342</v>
      </c>
      <c r="Q18" s="148">
        <f t="shared" si="8"/>
        <v>97</v>
      </c>
      <c r="R18" s="148">
        <f t="shared" si="8"/>
        <v>43</v>
      </c>
      <c r="S18" s="148">
        <f t="shared" si="8"/>
        <v>451.47628474146802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8785.6393221949456</v>
      </c>
      <c r="AJ18" s="109">
        <f>AI18/COUNTA(C18:AG18)</f>
        <v>283.40772007080471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10341</v>
      </c>
      <c r="D21" s="142">
        <f>SUM(D22:D24)</f>
        <v>19708.310705481457</v>
      </c>
      <c r="E21" s="143">
        <f>SUM(E22:E24)</f>
        <v>19121.999999999996</v>
      </c>
      <c r="F21" s="138">
        <f>(D21-E21)/E21</f>
        <v>3.0661578573447392E-2</v>
      </c>
      <c r="G21" s="133">
        <f>F21</f>
        <v>3.0661578573447392E-2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94</v>
      </c>
      <c r="D22" s="145">
        <f>AI16</f>
        <v>181.97227036395151</v>
      </c>
      <c r="E22" s="143">
        <f>$AI$10</f>
        <v>180.00000000000003</v>
      </c>
      <c r="F22" s="139">
        <f t="shared" ref="F22:F24" si="11">(D22-E22)/E22</f>
        <v>1.0957057577508223E-2</v>
      </c>
      <c r="G22" s="133">
        <f>F22</f>
        <v>1.0957057577508223E-2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5586</v>
      </c>
      <c r="D23" s="145">
        <f>AI17</f>
        <v>10740.699112922561</v>
      </c>
      <c r="E23" s="143">
        <f>AI11</f>
        <v>10520</v>
      </c>
      <c r="F23" s="139">
        <f t="shared" si="11"/>
        <v>2.0979003129520984E-2</v>
      </c>
      <c r="G23" s="133">
        <f>F23</f>
        <v>2.0979003129520984E-2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4661</v>
      </c>
      <c r="D24" s="147">
        <f>AI18</f>
        <v>8785.6393221949456</v>
      </c>
      <c r="E24" s="166">
        <f>AI12</f>
        <v>8421.9999999999964</v>
      </c>
      <c r="F24" s="140">
        <f t="shared" si="11"/>
        <v>4.317731206304315E-2</v>
      </c>
      <c r="G24" s="136">
        <f>F24</f>
        <v>4.317731206304315E-2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10341</v>
      </c>
      <c r="D6" s="7">
        <f>'Dados - Gráficos'!D21</f>
        <v>19708.310705481457</v>
      </c>
      <c r="E6" s="93">
        <f>'Dados - Gráficos'!E21</f>
        <v>19121.999999999996</v>
      </c>
      <c r="F6" s="118">
        <f>'Dados - Gráficos'!F21</f>
        <v>3.0661578573447392E-2</v>
      </c>
      <c r="G6" s="119">
        <f>'Dados - Gráficos'!G21</f>
        <v>3.0661578573447392E-2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94</v>
      </c>
      <c r="D7" s="8">
        <f>'Dados - Gráficos'!D22</f>
        <v>181.97227036395151</v>
      </c>
      <c r="E7" s="93">
        <f>'Dados - Gráficos'!E22</f>
        <v>180.00000000000003</v>
      </c>
      <c r="F7" s="120">
        <f>'Dados - Gráficos'!F22</f>
        <v>1.0957057577508223E-2</v>
      </c>
      <c r="G7" s="119">
        <f>'Dados - Gráficos'!G22</f>
        <v>1.0957057577508223E-2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5586</v>
      </c>
      <c r="D8" s="8">
        <f>'Dados - Gráficos'!D23</f>
        <v>10740.699112922561</v>
      </c>
      <c r="E8" s="93">
        <f>'Dados - Gráficos'!E23</f>
        <v>10520</v>
      </c>
      <c r="F8" s="120">
        <f>'Dados - Gráficos'!F23</f>
        <v>2.0979003129520984E-2</v>
      </c>
      <c r="G8" s="119">
        <f>'Dados - Gráficos'!G23</f>
        <v>2.0979003129520984E-2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4661</v>
      </c>
      <c r="D9" s="17">
        <f>'Dados - Gráficos'!D24</f>
        <v>8785.6393221949456</v>
      </c>
      <c r="E9" s="94">
        <f>'Dados - Gráficos'!E24</f>
        <v>8421.9999999999964</v>
      </c>
      <c r="F9" s="121">
        <f>'Dados - Gráficos'!F24</f>
        <v>4.317731206304315E-2</v>
      </c>
      <c r="G9" s="122">
        <f>'Dados - Gráficos'!G24</f>
        <v>4.317731206304315E-2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2016-05-16T12:47:34Z</dcterms:modified>
</cp:coreProperties>
</file>