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<sst xmlns="http://schemas.openxmlformats.org/spreadsheetml/2006/main" count="418" uniqueCount="39">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</sst>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15</c:v>
                </c:pt>
                <c:pt idx="25">
                  <c:v>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535</c:v>
                </c:pt>
                <c:pt idx="9">
                  <c:v>544</c:v>
                </c:pt>
                <c:pt idx="10">
                  <c:v>524</c:v>
                </c:pt>
                <c:pt idx="11">
                  <c:v>396</c:v>
                </c:pt>
                <c:pt idx="12">
                  <c:v>411</c:v>
                </c:pt>
                <c:pt idx="13">
                  <c:v>108</c:v>
                </c:pt>
                <c:pt idx="14">
                  <c:v>27</c:v>
                </c:pt>
                <c:pt idx="15">
                  <c:v>515</c:v>
                </c:pt>
                <c:pt idx="16">
                  <c:v>512</c:v>
                </c:pt>
                <c:pt idx="17">
                  <c:v>449</c:v>
                </c:pt>
                <c:pt idx="18">
                  <c:v>416</c:v>
                </c:pt>
                <c:pt idx="19">
                  <c:v>384</c:v>
                </c:pt>
                <c:pt idx="20">
                  <c:v>79</c:v>
                </c:pt>
                <c:pt idx="21">
                  <c:v>34</c:v>
                </c:pt>
                <c:pt idx="22">
                  <c:v>528</c:v>
                </c:pt>
                <c:pt idx="23">
                  <c:v>548</c:v>
                </c:pt>
                <c:pt idx="24">
                  <c:v>498</c:v>
                </c:pt>
                <c:pt idx="25">
                  <c:v>237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437</c:v>
                </c:pt>
                <c:pt idx="17">
                  <c:v>427</c:v>
                </c:pt>
                <c:pt idx="18">
                  <c:v>314</c:v>
                </c:pt>
                <c:pt idx="19">
                  <c:v>265</c:v>
                </c:pt>
                <c:pt idx="20">
                  <c:v>85</c:v>
                </c:pt>
                <c:pt idx="21">
                  <c:v>34</c:v>
                </c:pt>
                <c:pt idx="22">
                  <c:v>391</c:v>
                </c:pt>
                <c:pt idx="23">
                  <c:v>354</c:v>
                </c:pt>
                <c:pt idx="24">
                  <c:v>323</c:v>
                </c:pt>
                <c:pt idx="25">
                  <c:v>129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UEcthRVdE26mmQM97I4WZPbvjpb2V5U9lMDBoaqv5ba2/uByICtp55v2gOF8KwsOwrORdKhKajqXRuTidvqRzA==" saltValue="KUmkU1V8hDb1DfBvcZFML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GRtK31H7/9LbOzR7wHpDQhs24YBFfasbxkojXolwjKbhmilTfuafnDyMnN4qIocITd0i6TWYx1dOR+5SKIUjeA==" saltValue="jzU8ihbgji+Muc1BrCJpx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E3e9Fx9trsFRnnoa6QD2qVtH3HX9BROFP5NcBsNe5QNFeJw3AwsC1leOZwys3kNQE/G+KsNFJ3jgNAH3ZkcXKA==" saltValue="NczLFyaKQGUrSlm5HfX3q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B31" zoomScale="130" zoomScaleNormal="130" workbookViewId="0">
      <selection activeCell="C42" sqref="C42:AB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17352</v>
      </c>
      <c r="AI39" s="71">
        <f>AH39/COUNTA(C40:AG40)</f>
        <v>667.38461538461536</v>
      </c>
      <c r="AJ39" s="55">
        <f>AI39*31</f>
        <v>20688.923076923074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8</v>
      </c>
      <c r="S40" s="24">
        <v>8</v>
      </c>
      <c r="T40" s="24">
        <v>5</v>
      </c>
      <c r="U40" s="24">
        <v>7</v>
      </c>
      <c r="V40" s="24">
        <v>12</v>
      </c>
      <c r="W40" s="24">
        <v>1</v>
      </c>
      <c r="X40" s="24">
        <v>3</v>
      </c>
      <c r="Y40" s="24">
        <v>13</v>
      </c>
      <c r="Z40" s="24">
        <v>3</v>
      </c>
      <c r="AA40" s="24">
        <v>15</v>
      </c>
      <c r="AB40" s="24">
        <v>5</v>
      </c>
      <c r="AC40" s="24"/>
      <c r="AD40" s="24"/>
      <c r="AE40" s="24"/>
      <c r="AF40" s="24"/>
      <c r="AG40" s="157"/>
      <c r="AH40" s="53">
        <f>SUM(C40:AG40)</f>
        <v>168</v>
      </c>
      <c r="AI40" s="38">
        <f>AH40/COUNTA(C40:AG40)</f>
        <v>6.4615384615384617</v>
      </c>
      <c r="AJ40" s="56">
        <f>AI40*31</f>
        <v>200.30769230769232</v>
      </c>
    </row>
    <row r="41" spans="2:36" x14ac:dyDescent="0.25">
      <c r="B41" s="168" t="s">
        <v>20</v>
      </c>
      <c r="C41" s="156">
        <v>24</v>
      </c>
      <c r="D41" s="156">
        <v>576</v>
      </c>
      <c r="E41" s="156">
        <v>584</v>
      </c>
      <c r="F41" s="156">
        <v>529</v>
      </c>
      <c r="G41" s="156">
        <v>461</v>
      </c>
      <c r="H41" s="156">
        <v>382</v>
      </c>
      <c r="I41" s="156">
        <v>98</v>
      </c>
      <c r="J41" s="156">
        <v>29</v>
      </c>
      <c r="K41" s="156">
        <v>535</v>
      </c>
      <c r="L41" s="156">
        <v>544</v>
      </c>
      <c r="M41" s="156">
        <v>524</v>
      </c>
      <c r="N41" s="156">
        <v>396</v>
      </c>
      <c r="O41" s="156">
        <v>411</v>
      </c>
      <c r="P41" s="156">
        <v>108</v>
      </c>
      <c r="Q41" s="24">
        <v>27</v>
      </c>
      <c r="R41" s="24">
        <v>515</v>
      </c>
      <c r="S41" s="24">
        <v>512</v>
      </c>
      <c r="T41" s="24">
        <v>449</v>
      </c>
      <c r="U41" s="24">
        <v>416</v>
      </c>
      <c r="V41" s="24">
        <v>384</v>
      </c>
      <c r="W41" s="24">
        <v>79</v>
      </c>
      <c r="X41" s="24">
        <v>34</v>
      </c>
      <c r="Y41" s="24">
        <v>528</v>
      </c>
      <c r="Z41" s="24">
        <v>548</v>
      </c>
      <c r="AA41" s="24">
        <v>498</v>
      </c>
      <c r="AB41" s="24">
        <v>237</v>
      </c>
      <c r="AC41" s="24"/>
      <c r="AD41" s="24"/>
      <c r="AE41" s="24"/>
      <c r="AF41" s="24"/>
      <c r="AG41" s="157"/>
      <c r="AH41" s="53">
        <f>SUM(C41:AG41)</f>
        <v>9428</v>
      </c>
      <c r="AI41" s="38">
        <f>AH41/COUNTA(C41:AG41)</f>
        <v>362.61538461538464</v>
      </c>
      <c r="AJ41" s="56">
        <f>AI41*31</f>
        <v>11241.076923076924</v>
      </c>
    </row>
    <row r="42" spans="2:36" ht="15.75" thickBot="1" x14ac:dyDescent="0.3">
      <c r="B42" s="169" t="s">
        <v>21</v>
      </c>
      <c r="C42" s="155">
        <v>46</v>
      </c>
      <c r="D42" s="155">
        <v>657</v>
      </c>
      <c r="E42" s="155">
        <v>566</v>
      </c>
      <c r="F42" s="155">
        <v>485</v>
      </c>
      <c r="G42" s="155">
        <v>389</v>
      </c>
      <c r="H42" s="155">
        <v>335</v>
      </c>
      <c r="I42" s="155">
        <v>90</v>
      </c>
      <c r="J42" s="155">
        <v>24</v>
      </c>
      <c r="K42" s="155">
        <v>410</v>
      </c>
      <c r="L42" s="155">
        <v>363</v>
      </c>
      <c r="M42" s="155">
        <v>382</v>
      </c>
      <c r="N42" s="155">
        <v>382</v>
      </c>
      <c r="O42" s="155">
        <v>335</v>
      </c>
      <c r="P42" s="155">
        <v>89</v>
      </c>
      <c r="Q42" s="25">
        <v>38</v>
      </c>
      <c r="R42" s="25">
        <v>406</v>
      </c>
      <c r="S42" s="25">
        <v>437</v>
      </c>
      <c r="T42" s="25">
        <v>427</v>
      </c>
      <c r="U42" s="25">
        <v>314</v>
      </c>
      <c r="V42" s="25">
        <v>265</v>
      </c>
      <c r="W42" s="25">
        <v>85</v>
      </c>
      <c r="X42" s="25">
        <v>34</v>
      </c>
      <c r="Y42" s="25">
        <v>391</v>
      </c>
      <c r="Z42" s="25">
        <v>354</v>
      </c>
      <c r="AA42" s="25">
        <v>323</v>
      </c>
      <c r="AB42" s="25">
        <v>129</v>
      </c>
      <c r="AC42" s="25"/>
      <c r="AD42" s="25"/>
      <c r="AE42" s="25"/>
      <c r="AF42" s="25"/>
      <c r="AG42" s="159"/>
      <c r="AH42" s="54">
        <f>SUM(C42:AG42)</f>
        <v>7756</v>
      </c>
      <c r="AI42" s="37">
        <f>AH42/COUNTA(C42:AG42)</f>
        <v>298.30769230769232</v>
      </c>
      <c r="AJ42" s="57">
        <f>AI42*31</f>
        <v>9247.5384615384628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8</v>
      </c>
      <c r="T4" s="39">
        <f>IF(Indicadores!S40,Indicadores!S40,"")</f>
        <v>8</v>
      </c>
      <c r="U4" s="39">
        <f>IF(Indicadores!T40,Indicadores!T40,"")</f>
        <v>5</v>
      </c>
      <c r="V4" s="39">
        <f>IF(Indicadores!U40,Indicadores!U40,"")</f>
        <v>7</v>
      </c>
      <c r="W4" s="39">
        <f>IF(Indicadores!V40,Indicadores!V40,"")</f>
        <v>12</v>
      </c>
      <c r="X4" s="39">
        <f>IF(Indicadores!W40,Indicadores!W40,"")</f>
        <v>1</v>
      </c>
      <c r="Y4" s="39">
        <f>IF(Indicadores!X40,Indicadores!X40,"")</f>
        <v>3</v>
      </c>
      <c r="Z4" s="39">
        <f>IF(Indicadores!Y40,Indicadores!Y40,"")</f>
        <v>13</v>
      </c>
      <c r="AA4" s="39">
        <f>IF(Indicadores!Z40,Indicadores!Z40,"")</f>
        <v>3</v>
      </c>
      <c r="AB4" s="39">
        <f>IF(Indicadores!AA40,Indicadores!AA40,"")</f>
        <v>15</v>
      </c>
      <c r="AC4" s="39">
        <f>IF(Indicadores!AB40,Indicadores!AB40,"")</f>
        <v>5</v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168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24</v>
      </c>
      <c r="E5" s="39">
        <f>IF(Indicadores!D41,Indicadores!D41,"")</f>
        <v>576</v>
      </c>
      <c r="F5" s="39">
        <f>IF(Indicadores!E41,Indicadores!E41,"")</f>
        <v>584</v>
      </c>
      <c r="G5" s="39">
        <f>IF(Indicadores!F41,Indicadores!F41,"")</f>
        <v>529</v>
      </c>
      <c r="H5" s="39">
        <f>IF(Indicadores!G41,Indicadores!G41,"")</f>
        <v>461</v>
      </c>
      <c r="I5" s="39">
        <f>IF(Indicadores!H41,Indicadores!H41,"")</f>
        <v>382</v>
      </c>
      <c r="J5" s="39">
        <f>IF(Indicadores!I41,Indicadores!I41,"")</f>
        <v>98</v>
      </c>
      <c r="K5" s="39">
        <f>IF(Indicadores!J41,Indicadores!J41,"")</f>
        <v>29</v>
      </c>
      <c r="L5" s="39">
        <f>IF(Indicadores!K41,Indicadores!K41,"")</f>
        <v>535</v>
      </c>
      <c r="M5" s="39">
        <f>IF(Indicadores!L41,Indicadores!L41,"")</f>
        <v>544</v>
      </c>
      <c r="N5" s="39">
        <f>IF(Indicadores!M41,Indicadores!M41,"")</f>
        <v>524</v>
      </c>
      <c r="O5" s="39">
        <f>IF(Indicadores!N41,Indicadores!N41,"")</f>
        <v>396</v>
      </c>
      <c r="P5" s="39">
        <f>IF(Indicadores!O41,Indicadores!O41,"")</f>
        <v>411</v>
      </c>
      <c r="Q5" s="39">
        <f>IF(Indicadores!P41,Indicadores!P41,"")</f>
        <v>108</v>
      </c>
      <c r="R5" s="39">
        <f>IF(Indicadores!Q41,Indicadores!Q41,"")</f>
        <v>27</v>
      </c>
      <c r="S5" s="39">
        <f>IF(Indicadores!R41,Indicadores!R41,"")</f>
        <v>515</v>
      </c>
      <c r="T5" s="39">
        <f>IF(Indicadores!S41,Indicadores!S41,"")</f>
        <v>512</v>
      </c>
      <c r="U5" s="39">
        <f>IF(Indicadores!T41,Indicadores!T41,"")</f>
        <v>449</v>
      </c>
      <c r="V5" s="39">
        <f>IF(Indicadores!U41,Indicadores!U41,"")</f>
        <v>416</v>
      </c>
      <c r="W5" s="39">
        <f>IF(Indicadores!V41,Indicadores!V41,"")</f>
        <v>384</v>
      </c>
      <c r="X5" s="39">
        <f>IF(Indicadores!W41,Indicadores!W41,"")</f>
        <v>79</v>
      </c>
      <c r="Y5" s="39">
        <f>IF(Indicadores!X41,Indicadores!X41,"")</f>
        <v>34</v>
      </c>
      <c r="Z5" s="39">
        <f>IF(Indicadores!Y41,Indicadores!Y41,"")</f>
        <v>528</v>
      </c>
      <c r="AA5" s="39">
        <f>IF(Indicadores!Z41,Indicadores!Z41,"")</f>
        <v>548</v>
      </c>
      <c r="AB5" s="39">
        <f>IF(Indicadores!AA41,Indicadores!AA41,"")</f>
        <v>498</v>
      </c>
      <c r="AC5" s="39">
        <f>IF(Indicadores!AB41,Indicadores!AB41,"")</f>
        <v>237</v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9428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657</v>
      </c>
      <c r="F6" s="40">
        <f>IF(Indicadores!E42,Indicadores!E42,"")</f>
        <v>566</v>
      </c>
      <c r="G6" s="40">
        <f>IF(Indicadores!F42,Indicadores!F42,"")</f>
        <v>485</v>
      </c>
      <c r="H6" s="40">
        <f>IF(Indicadores!G42,Indicadores!G42,"")</f>
        <v>389</v>
      </c>
      <c r="I6" s="40">
        <f>IF(Indicadores!H42,Indicadores!H42,"")</f>
        <v>335</v>
      </c>
      <c r="J6" s="40">
        <f>IF(Indicadores!I42,Indicadores!I42,"")</f>
        <v>90</v>
      </c>
      <c r="K6" s="40">
        <f>IF(Indicadores!J42,Indicadores!J42,"")</f>
        <v>24</v>
      </c>
      <c r="L6" s="40">
        <f>IF(Indicadores!K42,Indicadores!K42,"")</f>
        <v>410</v>
      </c>
      <c r="M6" s="40">
        <f>IF(Indicadores!L42,Indicadores!L42,"")</f>
        <v>363</v>
      </c>
      <c r="N6" s="40">
        <f>IF(Indicadores!M42,Indicadores!M42,"")</f>
        <v>382</v>
      </c>
      <c r="O6" s="40">
        <f>IF(Indicadores!N42,Indicadores!N42,"")</f>
        <v>382</v>
      </c>
      <c r="P6" s="40">
        <f>IF(Indicadores!O42,Indicadores!O42,"")</f>
        <v>335</v>
      </c>
      <c r="Q6" s="40">
        <f>IF(Indicadores!P42,Indicadores!P42,"")</f>
        <v>89</v>
      </c>
      <c r="R6" s="40">
        <f>IF(Indicadores!Q42,Indicadores!Q42,"")</f>
        <v>38</v>
      </c>
      <c r="S6" s="40">
        <f>IF(Indicadores!R42,Indicadores!R42,"")</f>
        <v>406</v>
      </c>
      <c r="T6" s="40">
        <f>IF(Indicadores!S42,Indicadores!S42,"")</f>
        <v>437</v>
      </c>
      <c r="U6" s="40">
        <f>IF(Indicadores!T42,Indicadores!T42,"")</f>
        <v>427</v>
      </c>
      <c r="V6" s="40">
        <f>IF(Indicadores!U42,Indicadores!U42,"")</f>
        <v>314</v>
      </c>
      <c r="W6" s="40">
        <f>IF(Indicadores!V42,Indicadores!V42,"")</f>
        <v>265</v>
      </c>
      <c r="X6" s="40">
        <f>IF(Indicadores!W42,Indicadores!W42,"")</f>
        <v>85</v>
      </c>
      <c r="Y6" s="40">
        <f>IF(Indicadores!X42,Indicadores!X42,"")</f>
        <v>34</v>
      </c>
      <c r="Z6" s="40">
        <f>IF(Indicadores!Y42,Indicadores!Y42,"")</f>
        <v>391</v>
      </c>
      <c r="AA6" s="40">
        <f>IF(Indicadores!Z42,Indicadores!Z42,"")</f>
        <v>354</v>
      </c>
      <c r="AB6" s="40">
        <f>IF(Indicadores!AA42,Indicadores!AA42,"")</f>
        <v>323</v>
      </c>
      <c r="AC6" s="40">
        <f>IF(Indicadores!AB42,Indicadores!AB42,"")</f>
        <v>129</v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7756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18875.156950399312</v>
      </c>
      <c r="AJ15" s="66">
        <f>SUM(AJ16:AJ18)</f>
        <v>608.87603065804228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8</v>
      </c>
      <c r="T16" s="137">
        <f t="shared" si="2"/>
        <v>8</v>
      </c>
      <c r="U16" s="137">
        <f t="shared" si="2"/>
        <v>5</v>
      </c>
      <c r="V16" s="137">
        <f t="shared" si="2"/>
        <v>7</v>
      </c>
      <c r="W16" s="137">
        <f t="shared" si="2"/>
        <v>12</v>
      </c>
      <c r="X16" s="137">
        <f t="shared" si="2"/>
        <v>1</v>
      </c>
      <c r="Y16" s="137">
        <f t="shared" si="2"/>
        <v>3</v>
      </c>
      <c r="Z16" s="137">
        <f t="shared" si="2"/>
        <v>13</v>
      </c>
      <c r="AA16" s="137">
        <f t="shared" si="2"/>
        <v>3</v>
      </c>
      <c r="AB16" s="137">
        <f t="shared" si="2"/>
        <v>15</v>
      </c>
      <c r="AC16" s="137">
        <f t="shared" si="2"/>
        <v>5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186.09358752166381</v>
      </c>
      <c r="AJ16" s="106">
        <f>AI16/COUNTA(C16:AG16)</f>
        <v>6.0030189523117361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576</v>
      </c>
      <c r="F17" s="137">
        <f t="shared" si="5"/>
        <v>584</v>
      </c>
      <c r="G17" s="137">
        <f t="shared" si="5"/>
        <v>529</v>
      </c>
      <c r="H17" s="137">
        <f t="shared" si="5"/>
        <v>461</v>
      </c>
      <c r="I17" s="137">
        <f t="shared" si="5"/>
        <v>382</v>
      </c>
      <c r="J17" s="137">
        <f t="shared" si="5"/>
        <v>98</v>
      </c>
      <c r="K17" s="137">
        <f t="shared" si="5"/>
        <v>29</v>
      </c>
      <c r="L17" s="137">
        <f t="shared" si="5"/>
        <v>535</v>
      </c>
      <c r="M17" s="137">
        <f t="shared" si="5"/>
        <v>544</v>
      </c>
      <c r="N17" s="137">
        <f t="shared" si="5"/>
        <v>524</v>
      </c>
      <c r="O17" s="137">
        <f t="shared" si="5"/>
        <v>396</v>
      </c>
      <c r="P17" s="137">
        <f t="shared" si="5"/>
        <v>411</v>
      </c>
      <c r="Q17" s="137">
        <f t="shared" si="5"/>
        <v>108</v>
      </c>
      <c r="R17" s="137">
        <f t="shared" si="5"/>
        <v>27</v>
      </c>
      <c r="S17" s="137">
        <f t="shared" si="5"/>
        <v>515</v>
      </c>
      <c r="T17" s="137">
        <f t="shared" si="5"/>
        <v>512</v>
      </c>
      <c r="U17" s="137">
        <f t="shared" si="5"/>
        <v>449</v>
      </c>
      <c r="V17" s="137">
        <f t="shared" si="5"/>
        <v>416</v>
      </c>
      <c r="W17" s="137">
        <f t="shared" si="5"/>
        <v>384</v>
      </c>
      <c r="X17" s="137">
        <f t="shared" si="5"/>
        <v>79</v>
      </c>
      <c r="Y17" s="137">
        <f t="shared" si="5"/>
        <v>34</v>
      </c>
      <c r="Z17" s="137">
        <f t="shared" si="5"/>
        <v>528</v>
      </c>
      <c r="AA17" s="137">
        <f t="shared" si="5"/>
        <v>548</v>
      </c>
      <c r="AB17" s="137">
        <f t="shared" si="5"/>
        <v>498</v>
      </c>
      <c r="AC17" s="137">
        <f t="shared" si="5"/>
        <v>237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10239.510429153681</v>
      </c>
      <c r="AJ17" s="106">
        <f>AI17/COUNTA(C17:AG17)</f>
        <v>330.30678803721554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657</v>
      </c>
      <c r="F18" s="148">
        <f t="shared" si="8"/>
        <v>566</v>
      </c>
      <c r="G18" s="148">
        <f t="shared" si="8"/>
        <v>485</v>
      </c>
      <c r="H18" s="148">
        <f t="shared" si="8"/>
        <v>389</v>
      </c>
      <c r="I18" s="148">
        <f t="shared" si="8"/>
        <v>335</v>
      </c>
      <c r="J18" s="148">
        <f t="shared" si="8"/>
        <v>90</v>
      </c>
      <c r="K18" s="148">
        <f t="shared" si="8"/>
        <v>24</v>
      </c>
      <c r="L18" s="148">
        <f t="shared" si="8"/>
        <v>410</v>
      </c>
      <c r="M18" s="148">
        <f t="shared" si="8"/>
        <v>363</v>
      </c>
      <c r="N18" s="148">
        <f t="shared" si="8"/>
        <v>382</v>
      </c>
      <c r="O18" s="148">
        <f t="shared" si="8"/>
        <v>382</v>
      </c>
      <c r="P18" s="148">
        <f t="shared" si="8"/>
        <v>335</v>
      </c>
      <c r="Q18" s="148">
        <f t="shared" si="8"/>
        <v>89</v>
      </c>
      <c r="R18" s="148">
        <f t="shared" si="8"/>
        <v>38</v>
      </c>
      <c r="S18" s="148">
        <f t="shared" si="8"/>
        <v>406</v>
      </c>
      <c r="T18" s="148">
        <f t="shared" si="8"/>
        <v>437</v>
      </c>
      <c r="U18" s="148">
        <f t="shared" si="8"/>
        <v>427</v>
      </c>
      <c r="V18" s="148">
        <f t="shared" si="8"/>
        <v>314</v>
      </c>
      <c r="W18" s="148">
        <f t="shared" si="8"/>
        <v>265</v>
      </c>
      <c r="X18" s="148">
        <f t="shared" si="8"/>
        <v>85</v>
      </c>
      <c r="Y18" s="148">
        <f t="shared" si="8"/>
        <v>34</v>
      </c>
      <c r="Z18" s="148">
        <f t="shared" si="8"/>
        <v>391</v>
      </c>
      <c r="AA18" s="148">
        <f t="shared" si="8"/>
        <v>354</v>
      </c>
      <c r="AB18" s="148">
        <f t="shared" si="8"/>
        <v>323</v>
      </c>
      <c r="AC18" s="148">
        <f t="shared" si="8"/>
        <v>129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8449.5529337239677</v>
      </c>
      <c r="AJ18" s="109">
        <f>AI18/COUNTA(C18:AG18)</f>
        <v>272.56622366851508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17352</v>
      </c>
      <c r="D21" s="142">
        <f>SUM(D22:D24)</f>
        <v>18875.156950399312</v>
      </c>
      <c r="E21" s="143">
        <f>SUM(E22:E24)</f>
        <v>19121.999999999996</v>
      </c>
      <c r="F21" s="138">
        <f>(D21-E21)/E21</f>
        <v>-1.2908851040721895E-2</v>
      </c>
      <c r="G21" s="133">
        <f>F21</f>
        <v>-1.2908851040721895E-2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168</v>
      </c>
      <c r="D22" s="145">
        <f>AI16</f>
        <v>186.09358752166381</v>
      </c>
      <c r="E22" s="143">
        <f>$AI$10</f>
        <v>180.00000000000003</v>
      </c>
      <c r="F22" s="139">
        <f t="shared" ref="F22:F24" si="11">(D22-E22)/E22</f>
        <v>3.3853264009243204E-2</v>
      </c>
      <c r="G22" s="133">
        <f>F22</f>
        <v>3.3853264009243204E-2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9428</v>
      </c>
      <c r="D23" s="145">
        <f>AI17</f>
        <v>10239.510429153681</v>
      </c>
      <c r="E23" s="143">
        <f>AI11</f>
        <v>10520</v>
      </c>
      <c r="F23" s="139">
        <f t="shared" si="11"/>
        <v>-2.6662506734440979E-2</v>
      </c>
      <c r="G23" s="133">
        <f>F23</f>
        <v>-2.6662506734440979E-2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7756</v>
      </c>
      <c r="D24" s="147">
        <f>AI18</f>
        <v>8449.5529337239677</v>
      </c>
      <c r="E24" s="166">
        <f>AI12</f>
        <v>8421.9999999999964</v>
      </c>
      <c r="F24" s="140">
        <f t="shared" si="11"/>
        <v>3.2715428311530961E-3</v>
      </c>
      <c r="G24" s="136">
        <f>F24</f>
        <v>3.2715428311530961E-3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17352</v>
      </c>
      <c r="D6" s="7">
        <f>'Dados - Gráficos'!D21</f>
        <v>18875.156950399312</v>
      </c>
      <c r="E6" s="93">
        <f>'Dados - Gráficos'!E21</f>
        <v>19121.999999999996</v>
      </c>
      <c r="F6" s="118">
        <f>'Dados - Gráficos'!F21</f>
        <v>-1.2908851040721895E-2</v>
      </c>
      <c r="G6" s="119">
        <f>'Dados - Gráficos'!G21</f>
        <v>-1.2908851040721895E-2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168</v>
      </c>
      <c r="D7" s="8">
        <f>'Dados - Gráficos'!D22</f>
        <v>186.09358752166381</v>
      </c>
      <c r="E7" s="93">
        <f>'Dados - Gráficos'!E22</f>
        <v>180.00000000000003</v>
      </c>
      <c r="F7" s="120">
        <f>'Dados - Gráficos'!F22</f>
        <v>3.3853264009243204E-2</v>
      </c>
      <c r="G7" s="119">
        <f>'Dados - Gráficos'!G22</f>
        <v>3.3853264009243204E-2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9428</v>
      </c>
      <c r="D8" s="8">
        <f>'Dados - Gráficos'!D23</f>
        <v>10239.510429153681</v>
      </c>
      <c r="E8" s="93">
        <f>'Dados - Gráficos'!E23</f>
        <v>10520</v>
      </c>
      <c r="F8" s="120">
        <f>'Dados - Gráficos'!F23</f>
        <v>-2.6662506734440979E-2</v>
      </c>
      <c r="G8" s="119">
        <f>'Dados - Gráficos'!G23</f>
        <v>-2.6662506734440979E-2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7756</v>
      </c>
      <c r="D9" s="17">
        <f>'Dados - Gráficos'!D24</f>
        <v>8449.5529337239677</v>
      </c>
      <c r="E9" s="94">
        <f>'Dados - Gráficos'!E24</f>
        <v>8421.9999999999964</v>
      </c>
      <c r="F9" s="121">
        <f>'Dados - Gráficos'!F24</f>
        <v>3.2715428311530961E-3</v>
      </c>
      <c r="G9" s="122">
        <f>'Dados - Gráficos'!G24</f>
        <v>3.2715428311530961E-3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2016-05-27T14:59:08Z</dcterms:modified>
</cp:coreProperties>
</file>