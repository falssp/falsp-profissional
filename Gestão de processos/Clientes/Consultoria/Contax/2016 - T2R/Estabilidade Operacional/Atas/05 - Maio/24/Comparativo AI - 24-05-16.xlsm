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18435" windowHeight="570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<sst xmlns="http://schemas.openxmlformats.org/spreadsheetml/2006/main" count="418" uniqueCount="39">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</sst>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536</c:v>
                </c:pt>
                <c:pt idx="9">
                  <c:v>545</c:v>
                </c:pt>
                <c:pt idx="10">
                  <c:v>525</c:v>
                </c:pt>
                <c:pt idx="11">
                  <c:v>400</c:v>
                </c:pt>
                <c:pt idx="12">
                  <c:v>414</c:v>
                </c:pt>
                <c:pt idx="13">
                  <c:v>108</c:v>
                </c:pt>
                <c:pt idx="14">
                  <c:v>27</c:v>
                </c:pt>
                <c:pt idx="15">
                  <c:v>517</c:v>
                </c:pt>
                <c:pt idx="16">
                  <c:v>517</c:v>
                </c:pt>
                <c:pt idx="17">
                  <c:v>449</c:v>
                </c:pt>
                <c:pt idx="18">
                  <c:v>422</c:v>
                </c:pt>
                <c:pt idx="19">
                  <c:v>400</c:v>
                </c:pt>
                <c:pt idx="20">
                  <c:v>84</c:v>
                </c:pt>
                <c:pt idx="21">
                  <c:v>39</c:v>
                </c:pt>
                <c:pt idx="22">
                  <c:v>589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365</c:v>
                </c:pt>
                <c:pt idx="10">
                  <c:v>382</c:v>
                </c:pt>
                <c:pt idx="11">
                  <c:v>382</c:v>
                </c:pt>
                <c:pt idx="12">
                  <c:v>334</c:v>
                </c:pt>
                <c:pt idx="13">
                  <c:v>89</c:v>
                </c:pt>
                <c:pt idx="14">
                  <c:v>38</c:v>
                </c:pt>
                <c:pt idx="15">
                  <c:v>407</c:v>
                </c:pt>
                <c:pt idx="16">
                  <c:v>437</c:v>
                </c:pt>
                <c:pt idx="17">
                  <c:v>428</c:v>
                </c:pt>
                <c:pt idx="18">
                  <c:v>311</c:v>
                </c:pt>
                <c:pt idx="19">
                  <c:v>264</c:v>
                </c:pt>
                <c:pt idx="20">
                  <c:v>85</c:v>
                </c:pt>
                <c:pt idx="21">
                  <c:v>34</c:v>
                </c:pt>
                <c:pt idx="22">
                  <c:v>386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waWCgkm084Xc3CJuZ/SNbkbjLAgClI7cVs48UNlI6Dh+QU3eze9bP/yvavLy92Gt37padbJQAV8uLge7gm9x3Q==" saltValue="9lAShxJpBYR4UVOGBPDvK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lTYJh+4wxpXMaEv9XwwRfGSTGtIfYx95K3xAz4zJwy7aixxSQVucHFX83FFpfrkJimSICxSZ5WrLOq1M9ipuSA==" saltValue="TkCa7SwvW7wVvJ17qE4UM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v8Z+uDKugEzD0/lsrBHoSqRT+v0v7W2hVjLI6RZTTYXg1eP/c1dRo+ijhc91Dt7MAelm0Ev1FFdd68DiO+KdnQ==" saltValue="C34DlaXryghoN8M/uaXKx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Y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15353</v>
      </c>
      <c r="AI39" s="71">
        <f>AH39/COUNTA(C40:AG40)</f>
        <v>667.52173913043475</v>
      </c>
      <c r="AJ39" s="55">
        <f>AI39*31</f>
        <v>20693.173913043476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8</v>
      </c>
      <c r="S40" s="24">
        <v>8</v>
      </c>
      <c r="T40" s="24">
        <v>5</v>
      </c>
      <c r="U40" s="24">
        <v>7</v>
      </c>
      <c r="V40" s="24">
        <v>12</v>
      </c>
      <c r="W40" s="24">
        <v>1</v>
      </c>
      <c r="X40" s="24">
        <v>3</v>
      </c>
      <c r="Y40" s="24">
        <v>18</v>
      </c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150</v>
      </c>
      <c r="AI40" s="38">
        <f>AH40/COUNTA(C40:AG40)</f>
        <v>6.5217391304347823</v>
      </c>
      <c r="AJ40" s="56">
        <f>AI40*31</f>
        <v>202.17391304347825</v>
      </c>
    </row>
    <row r="41" spans="2:36" x14ac:dyDescent="0.25">
      <c r="B41" s="168" t="s">
        <v>20</v>
      </c>
      <c r="C41" s="156">
        <v>24</v>
      </c>
      <c r="D41" s="156">
        <v>576</v>
      </c>
      <c r="E41" s="156">
        <v>584</v>
      </c>
      <c r="F41" s="156">
        <v>529</v>
      </c>
      <c r="G41" s="156">
        <v>461</v>
      </c>
      <c r="H41" s="156">
        <v>382</v>
      </c>
      <c r="I41" s="156">
        <v>98</v>
      </c>
      <c r="J41" s="156">
        <v>29</v>
      </c>
      <c r="K41" s="156">
        <v>536</v>
      </c>
      <c r="L41" s="156">
        <v>545</v>
      </c>
      <c r="M41" s="156">
        <v>525</v>
      </c>
      <c r="N41" s="156">
        <v>400</v>
      </c>
      <c r="O41" s="156">
        <v>414</v>
      </c>
      <c r="P41" s="156">
        <v>108</v>
      </c>
      <c r="Q41" s="24">
        <v>27</v>
      </c>
      <c r="R41" s="24">
        <v>517</v>
      </c>
      <c r="S41" s="24">
        <v>517</v>
      </c>
      <c r="T41" s="24">
        <v>449</v>
      </c>
      <c r="U41" s="24">
        <v>422</v>
      </c>
      <c r="V41" s="24">
        <v>400</v>
      </c>
      <c r="W41" s="24">
        <v>84</v>
      </c>
      <c r="X41" s="24">
        <v>39</v>
      </c>
      <c r="Y41" s="24">
        <v>589</v>
      </c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8255</v>
      </c>
      <c r="AI41" s="38">
        <f>AH41/COUNTA(C41:AG41)</f>
        <v>358.91304347826087</v>
      </c>
      <c r="AJ41" s="56">
        <f>AI41*31</f>
        <v>11126.304347826088</v>
      </c>
    </row>
    <row r="42" spans="2:36" ht="15.75" thickBot="1" x14ac:dyDescent="0.3">
      <c r="B42" s="169" t="s">
        <v>21</v>
      </c>
      <c r="C42" s="155">
        <v>46</v>
      </c>
      <c r="D42" s="155">
        <v>661</v>
      </c>
      <c r="E42" s="155">
        <v>566</v>
      </c>
      <c r="F42" s="155">
        <v>485</v>
      </c>
      <c r="G42" s="155">
        <v>389</v>
      </c>
      <c r="H42" s="155">
        <v>335</v>
      </c>
      <c r="I42" s="155">
        <v>90</v>
      </c>
      <c r="J42" s="155">
        <v>24</v>
      </c>
      <c r="K42" s="155">
        <v>410</v>
      </c>
      <c r="L42" s="155">
        <v>365</v>
      </c>
      <c r="M42" s="155">
        <v>382</v>
      </c>
      <c r="N42" s="155">
        <v>382</v>
      </c>
      <c r="O42" s="155">
        <v>334</v>
      </c>
      <c r="P42" s="155">
        <v>89</v>
      </c>
      <c r="Q42" s="25">
        <v>38</v>
      </c>
      <c r="R42" s="25">
        <v>407</v>
      </c>
      <c r="S42" s="25">
        <v>437</v>
      </c>
      <c r="T42" s="25">
        <v>428</v>
      </c>
      <c r="U42" s="25">
        <v>311</v>
      </c>
      <c r="V42" s="25">
        <v>264</v>
      </c>
      <c r="W42" s="25">
        <v>85</v>
      </c>
      <c r="X42" s="25">
        <v>34</v>
      </c>
      <c r="Y42" s="25">
        <v>386</v>
      </c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6948</v>
      </c>
      <c r="AI42" s="37">
        <f>AH42/COUNTA(C42:AG42)</f>
        <v>302.08695652173913</v>
      </c>
      <c r="AJ42" s="57">
        <f>AI42*31</f>
        <v>9364.6956521739121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5</v>
      </c>
      <c r="V4" s="39">
        <f>IF(Indicadores!U40,Indicadores!U40,"")</f>
        <v>7</v>
      </c>
      <c r="W4" s="39">
        <f>IF(Indicadores!V40,Indicadores!V40,"")</f>
        <v>12</v>
      </c>
      <c r="X4" s="39">
        <f>IF(Indicadores!W40,Indicadores!W40,"")</f>
        <v>1</v>
      </c>
      <c r="Y4" s="39">
        <f>IF(Indicadores!X40,Indicadores!X40,"")</f>
        <v>3</v>
      </c>
      <c r="Z4" s="39">
        <f>IF(Indicadores!Y40,Indicadores!Y40,"")</f>
        <v>18</v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150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24</v>
      </c>
      <c r="E5" s="39">
        <f>IF(Indicadores!D41,Indicadores!D41,"")</f>
        <v>576</v>
      </c>
      <c r="F5" s="39">
        <f>IF(Indicadores!E41,Indicadores!E41,"")</f>
        <v>584</v>
      </c>
      <c r="G5" s="39">
        <f>IF(Indicadores!F41,Indicadores!F41,"")</f>
        <v>529</v>
      </c>
      <c r="H5" s="39">
        <f>IF(Indicadores!G41,Indicadores!G41,"")</f>
        <v>461</v>
      </c>
      <c r="I5" s="39">
        <f>IF(Indicadores!H41,Indicadores!H41,"")</f>
        <v>382</v>
      </c>
      <c r="J5" s="39">
        <f>IF(Indicadores!I41,Indicadores!I41,"")</f>
        <v>98</v>
      </c>
      <c r="K5" s="39">
        <f>IF(Indicadores!J41,Indicadores!J41,"")</f>
        <v>29</v>
      </c>
      <c r="L5" s="39">
        <f>IF(Indicadores!K41,Indicadores!K41,"")</f>
        <v>536</v>
      </c>
      <c r="M5" s="39">
        <f>IF(Indicadores!L41,Indicadores!L41,"")</f>
        <v>545</v>
      </c>
      <c r="N5" s="39">
        <f>IF(Indicadores!M41,Indicadores!M41,"")</f>
        <v>525</v>
      </c>
      <c r="O5" s="39">
        <f>IF(Indicadores!N41,Indicadores!N41,"")</f>
        <v>400</v>
      </c>
      <c r="P5" s="39">
        <f>IF(Indicadores!O41,Indicadores!O41,"")</f>
        <v>414</v>
      </c>
      <c r="Q5" s="39">
        <f>IF(Indicadores!P41,Indicadores!P41,"")</f>
        <v>108</v>
      </c>
      <c r="R5" s="39">
        <f>IF(Indicadores!Q41,Indicadores!Q41,"")</f>
        <v>27</v>
      </c>
      <c r="S5" s="39">
        <f>IF(Indicadores!R41,Indicadores!R41,"")</f>
        <v>517</v>
      </c>
      <c r="T5" s="39">
        <f>IF(Indicadores!S41,Indicadores!S41,"")</f>
        <v>517</v>
      </c>
      <c r="U5" s="39">
        <f>IF(Indicadores!T41,Indicadores!T41,"")</f>
        <v>449</v>
      </c>
      <c r="V5" s="39">
        <f>IF(Indicadores!U41,Indicadores!U41,"")</f>
        <v>422</v>
      </c>
      <c r="W5" s="39">
        <f>IF(Indicadores!V41,Indicadores!V41,"")</f>
        <v>400</v>
      </c>
      <c r="X5" s="39">
        <f>IF(Indicadores!W41,Indicadores!W41,"")</f>
        <v>84</v>
      </c>
      <c r="Y5" s="39">
        <f>IF(Indicadores!X41,Indicadores!X41,"")</f>
        <v>39</v>
      </c>
      <c r="Z5" s="39">
        <f>IF(Indicadores!Y41,Indicadores!Y41,"")</f>
        <v>589</v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8255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661</v>
      </c>
      <c r="F6" s="40">
        <f>IF(Indicadores!E42,Indicadores!E42,"")</f>
        <v>566</v>
      </c>
      <c r="G6" s="40">
        <f>IF(Indicadores!F42,Indicadores!F42,"")</f>
        <v>485</v>
      </c>
      <c r="H6" s="40">
        <f>IF(Indicadores!G42,Indicadores!G42,"")</f>
        <v>389</v>
      </c>
      <c r="I6" s="40">
        <f>IF(Indicadores!H42,Indicadores!H42,"")</f>
        <v>335</v>
      </c>
      <c r="J6" s="40">
        <f>IF(Indicadores!I42,Indicadores!I42,"")</f>
        <v>90</v>
      </c>
      <c r="K6" s="40">
        <f>IF(Indicadores!J42,Indicadores!J42,"")</f>
        <v>24</v>
      </c>
      <c r="L6" s="40">
        <f>IF(Indicadores!K42,Indicadores!K42,"")</f>
        <v>410</v>
      </c>
      <c r="M6" s="40">
        <f>IF(Indicadores!L42,Indicadores!L42,"")</f>
        <v>365</v>
      </c>
      <c r="N6" s="40">
        <f>IF(Indicadores!M42,Indicadores!M42,"")</f>
        <v>382</v>
      </c>
      <c r="O6" s="40">
        <f>IF(Indicadores!N42,Indicadores!N42,"")</f>
        <v>382</v>
      </c>
      <c r="P6" s="40">
        <f>IF(Indicadores!O42,Indicadores!O42,"")</f>
        <v>334</v>
      </c>
      <c r="Q6" s="40">
        <f>IF(Indicadores!P42,Indicadores!P42,"")</f>
        <v>89</v>
      </c>
      <c r="R6" s="40">
        <f>IF(Indicadores!Q42,Indicadores!Q42,"")</f>
        <v>38</v>
      </c>
      <c r="S6" s="40">
        <f>IF(Indicadores!R42,Indicadores!R42,"")</f>
        <v>407</v>
      </c>
      <c r="T6" s="40">
        <f>IF(Indicadores!S42,Indicadores!S42,"")</f>
        <v>437</v>
      </c>
      <c r="U6" s="40">
        <f>IF(Indicadores!T42,Indicadores!T42,"")</f>
        <v>428</v>
      </c>
      <c r="V6" s="40">
        <f>IF(Indicadores!U42,Indicadores!U42,"")</f>
        <v>311</v>
      </c>
      <c r="W6" s="40">
        <f>IF(Indicadores!V42,Indicadores!V42,"")</f>
        <v>264</v>
      </c>
      <c r="X6" s="40">
        <f>IF(Indicadores!W42,Indicadores!W42,"")</f>
        <v>85</v>
      </c>
      <c r="Y6" s="40">
        <f>IF(Indicadores!X42,Indicadores!X42,"")</f>
        <v>34</v>
      </c>
      <c r="Z6" s="40">
        <f>IF(Indicadores!Y42,Indicadores!Y42,"")</f>
        <v>386</v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6948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19411.71747568576</v>
      </c>
      <c r="AJ15" s="66">
        <f>SUM(AJ16:AJ18)</f>
        <v>626.18443469954059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8</v>
      </c>
      <c r="T16" s="137">
        <f t="shared" si="2"/>
        <v>8</v>
      </c>
      <c r="U16" s="137">
        <f t="shared" si="2"/>
        <v>5</v>
      </c>
      <c r="V16" s="137">
        <f t="shared" si="2"/>
        <v>7</v>
      </c>
      <c r="W16" s="137">
        <f t="shared" si="2"/>
        <v>12</v>
      </c>
      <c r="X16" s="137">
        <f t="shared" si="2"/>
        <v>1</v>
      </c>
      <c r="Y16" s="137">
        <f t="shared" si="2"/>
        <v>3</v>
      </c>
      <c r="Z16" s="137">
        <f t="shared" si="2"/>
        <v>18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188.37088388214909</v>
      </c>
      <c r="AJ16" s="106">
        <f>AI16/COUNTA(C16:AG16)</f>
        <v>6.0764801252306153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576</v>
      </c>
      <c r="F17" s="137">
        <f t="shared" si="5"/>
        <v>584</v>
      </c>
      <c r="G17" s="137">
        <f t="shared" si="5"/>
        <v>529</v>
      </c>
      <c r="H17" s="137">
        <f t="shared" si="5"/>
        <v>461</v>
      </c>
      <c r="I17" s="137">
        <f t="shared" si="5"/>
        <v>382</v>
      </c>
      <c r="J17" s="137">
        <f t="shared" si="5"/>
        <v>98</v>
      </c>
      <c r="K17" s="137">
        <f t="shared" si="5"/>
        <v>29</v>
      </c>
      <c r="L17" s="137">
        <f t="shared" si="5"/>
        <v>536</v>
      </c>
      <c r="M17" s="137">
        <f t="shared" si="5"/>
        <v>545</v>
      </c>
      <c r="N17" s="137">
        <f t="shared" si="5"/>
        <v>525</v>
      </c>
      <c r="O17" s="137">
        <f t="shared" si="5"/>
        <v>400</v>
      </c>
      <c r="P17" s="137">
        <f t="shared" si="5"/>
        <v>414</v>
      </c>
      <c r="Q17" s="137">
        <f t="shared" si="5"/>
        <v>108</v>
      </c>
      <c r="R17" s="137">
        <f t="shared" si="5"/>
        <v>27</v>
      </c>
      <c r="S17" s="137">
        <f t="shared" si="5"/>
        <v>517</v>
      </c>
      <c r="T17" s="137">
        <f t="shared" si="5"/>
        <v>517</v>
      </c>
      <c r="U17" s="137">
        <f t="shared" si="5"/>
        <v>449</v>
      </c>
      <c r="V17" s="137">
        <f t="shared" si="5"/>
        <v>422</v>
      </c>
      <c r="W17" s="137">
        <f t="shared" si="5"/>
        <v>400</v>
      </c>
      <c r="X17" s="137">
        <f t="shared" si="5"/>
        <v>84</v>
      </c>
      <c r="Y17" s="137">
        <f t="shared" si="5"/>
        <v>39</v>
      </c>
      <c r="Z17" s="137">
        <f t="shared" si="5"/>
        <v>589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10475.776792136179</v>
      </c>
      <c r="AJ17" s="106">
        <f>AI17/COUNTA(C17:AG17)</f>
        <v>337.92828361729613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661</v>
      </c>
      <c r="F18" s="148">
        <f t="shared" si="8"/>
        <v>566</v>
      </c>
      <c r="G18" s="148">
        <f t="shared" si="8"/>
        <v>485</v>
      </c>
      <c r="H18" s="148">
        <f t="shared" si="8"/>
        <v>389</v>
      </c>
      <c r="I18" s="148">
        <f t="shared" si="8"/>
        <v>335</v>
      </c>
      <c r="J18" s="148">
        <f t="shared" si="8"/>
        <v>90</v>
      </c>
      <c r="K18" s="148">
        <f t="shared" si="8"/>
        <v>24</v>
      </c>
      <c r="L18" s="148">
        <f t="shared" si="8"/>
        <v>410</v>
      </c>
      <c r="M18" s="148">
        <f t="shared" si="8"/>
        <v>365</v>
      </c>
      <c r="N18" s="148">
        <f t="shared" si="8"/>
        <v>382</v>
      </c>
      <c r="O18" s="148">
        <f t="shared" si="8"/>
        <v>382</v>
      </c>
      <c r="P18" s="148">
        <f t="shared" si="8"/>
        <v>334</v>
      </c>
      <c r="Q18" s="148">
        <f t="shared" si="8"/>
        <v>89</v>
      </c>
      <c r="R18" s="148">
        <f t="shared" si="8"/>
        <v>38</v>
      </c>
      <c r="S18" s="148">
        <f t="shared" si="8"/>
        <v>407</v>
      </c>
      <c r="T18" s="148">
        <f t="shared" si="8"/>
        <v>437</v>
      </c>
      <c r="U18" s="148">
        <f t="shared" si="8"/>
        <v>428</v>
      </c>
      <c r="V18" s="148">
        <f t="shared" si="8"/>
        <v>311</v>
      </c>
      <c r="W18" s="148">
        <f t="shared" si="8"/>
        <v>264</v>
      </c>
      <c r="X18" s="148">
        <f t="shared" si="8"/>
        <v>85</v>
      </c>
      <c r="Y18" s="148">
        <f t="shared" si="8"/>
        <v>34</v>
      </c>
      <c r="Z18" s="148">
        <f t="shared" si="8"/>
        <v>386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8747.5697996674317</v>
      </c>
      <c r="AJ18" s="109">
        <f>AI18/COUNTA(C18:AG18)</f>
        <v>282.17967095701391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15353</v>
      </c>
      <c r="D21" s="142">
        <f>SUM(D22:D24)</f>
        <v>19411.71747568576</v>
      </c>
      <c r="E21" s="143">
        <f>SUM(E22:E24)</f>
        <v>19121.999999999996</v>
      </c>
      <c r="F21" s="138">
        <f>(D21-E21)/E21</f>
        <v>1.5151002807539169E-2</v>
      </c>
      <c r="G21" s="133">
        <f>F21</f>
        <v>1.5151002807539169E-2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150</v>
      </c>
      <c r="D22" s="145">
        <f>AI16</f>
        <v>188.37088388214909</v>
      </c>
      <c r="E22" s="143">
        <f>$AI$10</f>
        <v>180.00000000000003</v>
      </c>
      <c r="F22" s="139">
        <f t="shared" ref="F22:F24" si="11">(D22-E22)/E22</f>
        <v>4.650491045638365E-2</v>
      </c>
      <c r="G22" s="133">
        <f>F22</f>
        <v>4.650491045638365E-2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8255</v>
      </c>
      <c r="D23" s="145">
        <f>AI17</f>
        <v>10475.776792136179</v>
      </c>
      <c r="E23" s="143">
        <f>AI11</f>
        <v>10520</v>
      </c>
      <c r="F23" s="139">
        <f t="shared" si="11"/>
        <v>-4.2037269832529266E-3</v>
      </c>
      <c r="G23" s="133">
        <f>F23</f>
        <v>-4.2037269832529266E-3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6948</v>
      </c>
      <c r="D24" s="147">
        <f>AI18</f>
        <v>8747.5697996674317</v>
      </c>
      <c r="E24" s="166">
        <f>AI12</f>
        <v>8421.9999999999964</v>
      </c>
      <c r="F24" s="140">
        <f t="shared" si="11"/>
        <v>3.8657064790719002E-2</v>
      </c>
      <c r="G24" s="136">
        <f>F24</f>
        <v>3.8657064790719002E-2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15353</v>
      </c>
      <c r="D6" s="7">
        <f>'Dados - Gráficos'!D21</f>
        <v>19411.71747568576</v>
      </c>
      <c r="E6" s="93">
        <f>'Dados - Gráficos'!E21</f>
        <v>19121.999999999996</v>
      </c>
      <c r="F6" s="118">
        <f>'Dados - Gráficos'!F21</f>
        <v>1.5151002807539169E-2</v>
      </c>
      <c r="G6" s="119">
        <f>'Dados - Gráficos'!G21</f>
        <v>1.5151002807539169E-2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150</v>
      </c>
      <c r="D7" s="8">
        <f>'Dados - Gráficos'!D22</f>
        <v>188.37088388214909</v>
      </c>
      <c r="E7" s="93">
        <f>'Dados - Gráficos'!E22</f>
        <v>180.00000000000003</v>
      </c>
      <c r="F7" s="120">
        <f>'Dados - Gráficos'!F22</f>
        <v>4.650491045638365E-2</v>
      </c>
      <c r="G7" s="119">
        <f>'Dados - Gráficos'!G22</f>
        <v>4.650491045638365E-2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8255</v>
      </c>
      <c r="D8" s="8">
        <f>'Dados - Gráficos'!D23</f>
        <v>10475.776792136179</v>
      </c>
      <c r="E8" s="93">
        <f>'Dados - Gráficos'!E23</f>
        <v>10520</v>
      </c>
      <c r="F8" s="120">
        <f>'Dados - Gráficos'!F23</f>
        <v>-4.2037269832529266E-3</v>
      </c>
      <c r="G8" s="119">
        <f>'Dados - Gráficos'!G23</f>
        <v>-4.2037269832529266E-3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6948</v>
      </c>
      <c r="D9" s="17">
        <f>'Dados - Gráficos'!D24</f>
        <v>8747.5697996674317</v>
      </c>
      <c r="E9" s="94">
        <f>'Dados - Gráficos'!E24</f>
        <v>8421.9999999999964</v>
      </c>
      <c r="F9" s="121">
        <f>'Dados - Gráficos'!F24</f>
        <v>3.8657064790719002E-2</v>
      </c>
      <c r="G9" s="122">
        <f>'Dados - Gráficos'!G24</f>
        <v>3.8657064790719002E-2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2016-05-24T12:53:16Z</dcterms:modified>
</cp:coreProperties>
</file>