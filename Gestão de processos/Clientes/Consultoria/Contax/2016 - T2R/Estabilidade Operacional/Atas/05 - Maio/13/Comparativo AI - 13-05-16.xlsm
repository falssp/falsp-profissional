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<sst xmlns="http://schemas.openxmlformats.org/spreadsheetml/2006/main" count="418" uniqueCount="39">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</sst>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8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25</c:v>
                </c:pt>
                <c:pt idx="1">
                  <c:v>596</c:v>
                </c:pt>
                <c:pt idx="2">
                  <c:v>613</c:v>
                </c:pt>
                <c:pt idx="3">
                  <c:v>541</c:v>
                </c:pt>
                <c:pt idx="4">
                  <c:v>497</c:v>
                </c:pt>
                <c:pt idx="5">
                  <c:v>406</c:v>
                </c:pt>
                <c:pt idx="6">
                  <c:v>102</c:v>
                </c:pt>
                <c:pt idx="7">
                  <c:v>30</c:v>
                </c:pt>
                <c:pt idx="8">
                  <c:v>575</c:v>
                </c:pt>
                <c:pt idx="9">
                  <c:v>610</c:v>
                </c:pt>
                <c:pt idx="10">
                  <c:v>600</c:v>
                </c:pt>
                <c:pt idx="11">
                  <c:v>482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668</c:v>
                </c:pt>
                <c:pt idx="2">
                  <c:v>570</c:v>
                </c:pt>
                <c:pt idx="3">
                  <c:v>490</c:v>
                </c:pt>
                <c:pt idx="4">
                  <c:v>396</c:v>
                </c:pt>
                <c:pt idx="5">
                  <c:v>340</c:v>
                </c:pt>
                <c:pt idx="6">
                  <c:v>92</c:v>
                </c:pt>
                <c:pt idx="7">
                  <c:v>24</c:v>
                </c:pt>
                <c:pt idx="8">
                  <c:v>412</c:v>
                </c:pt>
                <c:pt idx="9">
                  <c:v>376</c:v>
                </c:pt>
                <c:pt idx="10">
                  <c:v>388</c:v>
                </c:pt>
                <c:pt idx="11">
                  <c:v>398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iyTZYsAdbINJ2nA8zT/0Jvi+l33VlI4egldsK0R/YYZLipk/jzk2nDr61r43J0OppvxT8p0IrSiMRDuPjb6E1w==" saltValue="Cd3Bxu+3J6pgCOeFTanaw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iBoew78AbOAmRhzWJrsWi5EvAQ66yxY7TvnaHH4NU0gXe0BNEdEJddy5SMunO6qeBqv/hvRlvU4VVZ22WkYfWg==" saltValue="q0Rgaopd0MZpc+9TsudgS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eEIXiq5W9tOCs55/NULygOW+d2A2gk7eQTIVl7Ne4vOI9JdFt05KkbFejJEziV22OZyWZYj93jSv1BH0kEa4Gw==" saltValue="V/6mk6rQk1So0YDGwrivE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N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9355</v>
      </c>
      <c r="AI39" s="71">
        <f>AH39/COUNTA(C40:AG40)</f>
        <v>779.58333333333337</v>
      </c>
      <c r="AJ39" s="55">
        <f>AI39*31</f>
        <v>24167.083333333336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8</v>
      </c>
      <c r="N40" s="156">
        <v>8</v>
      </c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78</v>
      </c>
      <c r="AI40" s="38">
        <f>AH40/COUNTA(C40:AG40)</f>
        <v>6.5</v>
      </c>
      <c r="AJ40" s="56">
        <f>AI40*31</f>
        <v>201.5</v>
      </c>
    </row>
    <row r="41" spans="2:36" x14ac:dyDescent="0.25">
      <c r="B41" s="168" t="s">
        <v>20</v>
      </c>
      <c r="C41" s="156">
        <v>25</v>
      </c>
      <c r="D41" s="156">
        <v>596</v>
      </c>
      <c r="E41" s="156">
        <v>613</v>
      </c>
      <c r="F41" s="156">
        <v>541</v>
      </c>
      <c r="G41" s="156">
        <v>497</v>
      </c>
      <c r="H41" s="156">
        <v>406</v>
      </c>
      <c r="I41" s="156">
        <v>102</v>
      </c>
      <c r="J41" s="156">
        <v>30</v>
      </c>
      <c r="K41" s="156">
        <v>575</v>
      </c>
      <c r="L41" s="156">
        <v>610</v>
      </c>
      <c r="M41" s="156">
        <v>600</v>
      </c>
      <c r="N41" s="156">
        <v>482</v>
      </c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5077</v>
      </c>
      <c r="AI41" s="38">
        <f>AH41/COUNTA(C41:AG41)</f>
        <v>423.08333333333331</v>
      </c>
      <c r="AJ41" s="56">
        <f>AI41*31</f>
        <v>13115.583333333332</v>
      </c>
    </row>
    <row r="42" spans="2:36" ht="15.75" thickBot="1" x14ac:dyDescent="0.3">
      <c r="B42" s="169" t="s">
        <v>21</v>
      </c>
      <c r="C42" s="155">
        <v>46</v>
      </c>
      <c r="D42" s="155">
        <v>668</v>
      </c>
      <c r="E42" s="155">
        <v>570</v>
      </c>
      <c r="F42" s="155">
        <v>490</v>
      </c>
      <c r="G42" s="155">
        <v>396</v>
      </c>
      <c r="H42" s="155">
        <v>340</v>
      </c>
      <c r="I42" s="155">
        <v>92</v>
      </c>
      <c r="J42" s="155">
        <v>24</v>
      </c>
      <c r="K42" s="155">
        <v>412</v>
      </c>
      <c r="L42" s="155">
        <v>376</v>
      </c>
      <c r="M42" s="155">
        <v>388</v>
      </c>
      <c r="N42" s="155">
        <v>398</v>
      </c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4200</v>
      </c>
      <c r="AI42" s="37">
        <f>AH42/COUNTA(C42:AG42)</f>
        <v>350</v>
      </c>
      <c r="AJ42" s="57">
        <f>AI42*31</f>
        <v>10850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8</v>
      </c>
      <c r="O4" s="39">
        <f>IF(Indicadores!N40,Indicadores!N40,"")</f>
        <v>8</v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78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25</v>
      </c>
      <c r="E5" s="39">
        <f>IF(Indicadores!D41,Indicadores!D41,"")</f>
        <v>596</v>
      </c>
      <c r="F5" s="39">
        <f>IF(Indicadores!E41,Indicadores!E41,"")</f>
        <v>613</v>
      </c>
      <c r="G5" s="39">
        <f>IF(Indicadores!F41,Indicadores!F41,"")</f>
        <v>541</v>
      </c>
      <c r="H5" s="39">
        <f>IF(Indicadores!G41,Indicadores!G41,"")</f>
        <v>497</v>
      </c>
      <c r="I5" s="39">
        <f>IF(Indicadores!H41,Indicadores!H41,"")</f>
        <v>406</v>
      </c>
      <c r="J5" s="39">
        <f>IF(Indicadores!I41,Indicadores!I41,"")</f>
        <v>102</v>
      </c>
      <c r="K5" s="39">
        <f>IF(Indicadores!J41,Indicadores!J41,"")</f>
        <v>30</v>
      </c>
      <c r="L5" s="39">
        <f>IF(Indicadores!K41,Indicadores!K41,"")</f>
        <v>575</v>
      </c>
      <c r="M5" s="39">
        <f>IF(Indicadores!L41,Indicadores!L41,"")</f>
        <v>610</v>
      </c>
      <c r="N5" s="39">
        <f>IF(Indicadores!M41,Indicadores!M41,"")</f>
        <v>600</v>
      </c>
      <c r="O5" s="39">
        <f>IF(Indicadores!N41,Indicadores!N41,"")</f>
        <v>482</v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5077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668</v>
      </c>
      <c r="F6" s="40">
        <f>IF(Indicadores!E42,Indicadores!E42,"")</f>
        <v>570</v>
      </c>
      <c r="G6" s="40">
        <f>IF(Indicadores!F42,Indicadores!F42,"")</f>
        <v>490</v>
      </c>
      <c r="H6" s="40">
        <f>IF(Indicadores!G42,Indicadores!G42,"")</f>
        <v>396</v>
      </c>
      <c r="I6" s="40">
        <f>IF(Indicadores!H42,Indicadores!H42,"")</f>
        <v>340</v>
      </c>
      <c r="J6" s="40">
        <f>IF(Indicadores!I42,Indicadores!I42,"")</f>
        <v>92</v>
      </c>
      <c r="K6" s="40">
        <f>IF(Indicadores!J42,Indicadores!J42,"")</f>
        <v>24</v>
      </c>
      <c r="L6" s="40">
        <f>IF(Indicadores!K42,Indicadores!K42,"")</f>
        <v>412</v>
      </c>
      <c r="M6" s="40">
        <f>IF(Indicadores!L42,Indicadores!L42,"")</f>
        <v>376</v>
      </c>
      <c r="N6" s="40">
        <f>IF(Indicadores!M42,Indicadores!M42,"")</f>
        <v>388</v>
      </c>
      <c r="O6" s="40">
        <f>IF(Indicadores!N42,Indicadores!N42,"")</f>
        <v>398</v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4200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19794.321650149548</v>
      </c>
      <c r="AJ15" s="66">
        <f>SUM(AJ16:AJ18)</f>
        <v>638.52650484353376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8</v>
      </c>
      <c r="O16" s="137">
        <f t="shared" si="2"/>
        <v>8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175.0190641247834</v>
      </c>
      <c r="AJ16" s="106">
        <f>AI16/COUNTA(C16:AG16)</f>
        <v>5.6457762620897869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25</v>
      </c>
      <c r="E17" s="137">
        <f t="shared" ref="E17:AG17" si="5">IF(E5&lt;&gt;"",E5,E11)</f>
        <v>596</v>
      </c>
      <c r="F17" s="137">
        <f t="shared" si="5"/>
        <v>613</v>
      </c>
      <c r="G17" s="137">
        <f t="shared" si="5"/>
        <v>541</v>
      </c>
      <c r="H17" s="137">
        <f t="shared" si="5"/>
        <v>497</v>
      </c>
      <c r="I17" s="137">
        <f t="shared" si="5"/>
        <v>406</v>
      </c>
      <c r="J17" s="137">
        <f t="shared" si="5"/>
        <v>102</v>
      </c>
      <c r="K17" s="137">
        <f t="shared" si="5"/>
        <v>30</v>
      </c>
      <c r="L17" s="137">
        <f t="shared" si="5"/>
        <v>575</v>
      </c>
      <c r="M17" s="137">
        <f t="shared" si="5"/>
        <v>610</v>
      </c>
      <c r="N17" s="137">
        <f t="shared" si="5"/>
        <v>600</v>
      </c>
      <c r="O17" s="137">
        <f t="shared" si="5"/>
        <v>482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10834.184128506355</v>
      </c>
      <c r="AJ17" s="106">
        <f>AI17/COUNTA(C17:AG17)</f>
        <v>349.48981059697917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668</v>
      </c>
      <c r="F18" s="148">
        <f t="shared" si="8"/>
        <v>570</v>
      </c>
      <c r="G18" s="148">
        <f t="shared" si="8"/>
        <v>490</v>
      </c>
      <c r="H18" s="148">
        <f t="shared" si="8"/>
        <v>396</v>
      </c>
      <c r="I18" s="148">
        <f t="shared" si="8"/>
        <v>340</v>
      </c>
      <c r="J18" s="148">
        <f t="shared" si="8"/>
        <v>92</v>
      </c>
      <c r="K18" s="148">
        <f t="shared" si="8"/>
        <v>24</v>
      </c>
      <c r="L18" s="148">
        <f t="shared" si="8"/>
        <v>412</v>
      </c>
      <c r="M18" s="148">
        <f t="shared" si="8"/>
        <v>376</v>
      </c>
      <c r="N18" s="148">
        <f t="shared" si="8"/>
        <v>388</v>
      </c>
      <c r="O18" s="148">
        <f t="shared" si="8"/>
        <v>398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8785.1184575184088</v>
      </c>
      <c r="AJ18" s="109">
        <f>AI18/COUNTA(C18:AG18)</f>
        <v>283.39091798446481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9355</v>
      </c>
      <c r="D21" s="142">
        <f>SUM(D22:D24)</f>
        <v>19794.321650149548</v>
      </c>
      <c r="E21" s="143">
        <f>SUM(E22:E24)</f>
        <v>19121.999999999996</v>
      </c>
      <c r="F21" s="138">
        <f>(D21-E21)/E21</f>
        <v>3.5159588439993297E-2</v>
      </c>
      <c r="G21" s="133">
        <f>F21</f>
        <v>3.5159588439993297E-2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78</v>
      </c>
      <c r="D22" s="145">
        <f>AI16</f>
        <v>175.0190641247834</v>
      </c>
      <c r="E22" s="143">
        <f>$AI$10</f>
        <v>180.00000000000003</v>
      </c>
      <c r="F22" s="139">
        <f t="shared" ref="F22:F24" si="11">(D22-E22)/E22</f>
        <v>-2.7671865973425719E-2</v>
      </c>
      <c r="G22" s="133">
        <f>F22</f>
        <v>-2.7671865973425719E-2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5077</v>
      </c>
      <c r="D23" s="145">
        <f>AI17</f>
        <v>10834.184128506355</v>
      </c>
      <c r="E23" s="143">
        <f>AI11</f>
        <v>10520</v>
      </c>
      <c r="F23" s="139">
        <f t="shared" si="11"/>
        <v>2.9865411454976679E-2</v>
      </c>
      <c r="G23" s="133">
        <f>F23</f>
        <v>2.9865411454976679E-2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4200</v>
      </c>
      <c r="D24" s="147">
        <f>AI18</f>
        <v>8785.1184575184088</v>
      </c>
      <c r="E24" s="166">
        <f>AI12</f>
        <v>8421.9999999999964</v>
      </c>
      <c r="F24" s="140">
        <f t="shared" si="11"/>
        <v>4.3115466340348213E-2</v>
      </c>
      <c r="G24" s="136">
        <f>F24</f>
        <v>4.3115466340348213E-2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9355</v>
      </c>
      <c r="D6" s="7">
        <f>'Dados - Gráficos'!D21</f>
        <v>19794.321650149548</v>
      </c>
      <c r="E6" s="93">
        <f>'Dados - Gráficos'!E21</f>
        <v>19121.999999999996</v>
      </c>
      <c r="F6" s="118">
        <f>'Dados - Gráficos'!F21</f>
        <v>3.5159588439993297E-2</v>
      </c>
      <c r="G6" s="119">
        <f>'Dados - Gráficos'!G21</f>
        <v>3.5159588439993297E-2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78</v>
      </c>
      <c r="D7" s="8">
        <f>'Dados - Gráficos'!D22</f>
        <v>175.0190641247834</v>
      </c>
      <c r="E7" s="93">
        <f>'Dados - Gráficos'!E22</f>
        <v>180.00000000000003</v>
      </c>
      <c r="F7" s="120">
        <f>'Dados - Gráficos'!F22</f>
        <v>-2.7671865973425719E-2</v>
      </c>
      <c r="G7" s="119">
        <f>'Dados - Gráficos'!G22</f>
        <v>-2.7671865973425719E-2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5077</v>
      </c>
      <c r="D8" s="8">
        <f>'Dados - Gráficos'!D23</f>
        <v>10834.184128506355</v>
      </c>
      <c r="E8" s="93">
        <f>'Dados - Gráficos'!E23</f>
        <v>10520</v>
      </c>
      <c r="F8" s="120">
        <f>'Dados - Gráficos'!F23</f>
        <v>2.9865411454976679E-2</v>
      </c>
      <c r="G8" s="119">
        <f>'Dados - Gráficos'!G23</f>
        <v>2.9865411454976679E-2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4200</v>
      </c>
      <c r="D9" s="17">
        <f>'Dados - Gráficos'!D24</f>
        <v>8785.1184575184088</v>
      </c>
      <c r="E9" s="94">
        <f>'Dados - Gráficos'!E24</f>
        <v>8421.9999999999964</v>
      </c>
      <c r="F9" s="121">
        <f>'Dados - Gráficos'!F24</f>
        <v>4.3115466340348213E-2</v>
      </c>
      <c r="G9" s="122">
        <f>'Dados - Gráficos'!G24</f>
        <v>4.3115466340348213E-2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2016-05-13T12:43:42Z</dcterms:modified>
</cp:coreProperties>
</file>