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<sst xmlns="http://schemas.openxmlformats.org/spreadsheetml/2006/main" count="418" uniqueCount="39">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</sst>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9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577</c:v>
                </c:pt>
                <c:pt idx="2">
                  <c:v>586</c:v>
                </c:pt>
                <c:pt idx="3">
                  <c:v>531</c:v>
                </c:pt>
                <c:pt idx="4">
                  <c:v>477</c:v>
                </c:pt>
                <c:pt idx="5">
                  <c:v>386</c:v>
                </c:pt>
                <c:pt idx="6">
                  <c:v>100</c:v>
                </c:pt>
                <c:pt idx="7">
                  <c:v>29</c:v>
                </c:pt>
                <c:pt idx="8">
                  <c:v>555</c:v>
                </c:pt>
                <c:pt idx="9">
                  <c:v>579</c:v>
                </c:pt>
                <c:pt idx="10">
                  <c:v>550</c:v>
                </c:pt>
                <c:pt idx="11">
                  <c:v>437</c:v>
                </c:pt>
                <c:pt idx="12">
                  <c:v>440</c:v>
                </c:pt>
                <c:pt idx="13">
                  <c:v>122</c:v>
                </c:pt>
                <c:pt idx="14">
                  <c:v>28</c:v>
                </c:pt>
                <c:pt idx="15">
                  <c:v>584</c:v>
                </c:pt>
                <c:pt idx="16">
                  <c:v>617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565</c:v>
                </c:pt>
                <c:pt idx="3">
                  <c:v>487</c:v>
                </c:pt>
                <c:pt idx="4">
                  <c:v>389</c:v>
                </c:pt>
                <c:pt idx="5">
                  <c:v>339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368</c:v>
                </c:pt>
                <c:pt idx="10">
                  <c:v>379</c:v>
                </c:pt>
                <c:pt idx="11">
                  <c:v>385</c:v>
                </c:pt>
                <c:pt idx="12">
                  <c:v>336</c:v>
                </c:pt>
                <c:pt idx="13">
                  <c:v>84</c:v>
                </c:pt>
                <c:pt idx="14">
                  <c:v>38</c:v>
                </c:pt>
                <c:pt idx="15">
                  <c:v>404</c:v>
                </c:pt>
                <c:pt idx="16">
                  <c:v>432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EpJrLZ+4jQXKDGX5T2OF2DGSl7DZto+lXZQdrx46O1Y1hZu+R5CUMZ0S3h0tS65QjwXxwZXoKmMdXvtxYeVGdg==" saltValue="2PjDbUfv7SRH8IfRcgHTV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I77keO9O7n5414QIHZmmJfr3PJK4NMNxXKmhXpplpJDT2g5/t3UQ9SPY6G0cSbXmIxCcbXTGb/aOzELlHTTL7g==" saltValue="2agtqYo6ibQFIO0PV9LpO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XjV2X/bTE6h+fEEKvr64MLjmtLLNuWh60Ij7obGVLqwtkJaQsr7ci+V0XBggF3X8GbLhIpDyCBtBP1pAOzte0w==" saltValue="72dcAAVhNVE1DCAKwo7Vh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S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12169</v>
      </c>
      <c r="AI39" s="71">
        <f>AH39/COUNTA(C40:AG40)</f>
        <v>715.82352941176475</v>
      </c>
      <c r="AJ39" s="55">
        <f>AI39*31</f>
        <v>22190.529411764706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9</v>
      </c>
      <c r="S40" s="24">
        <v>13</v>
      </c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110</v>
      </c>
      <c r="AI40" s="38">
        <f>AH40/COUNTA(C40:AG40)</f>
        <v>6.4705882352941178</v>
      </c>
      <c r="AJ40" s="56">
        <f>AI40*31</f>
        <v>200.58823529411765</v>
      </c>
    </row>
    <row r="41" spans="2:36" x14ac:dyDescent="0.25">
      <c r="B41" s="168" t="s">
        <v>20</v>
      </c>
      <c r="C41" s="156">
        <v>24</v>
      </c>
      <c r="D41" s="156">
        <v>577</v>
      </c>
      <c r="E41" s="156">
        <v>586</v>
      </c>
      <c r="F41" s="156">
        <v>531</v>
      </c>
      <c r="G41" s="156">
        <v>477</v>
      </c>
      <c r="H41" s="156">
        <v>386</v>
      </c>
      <c r="I41" s="156">
        <v>100</v>
      </c>
      <c r="J41" s="156">
        <v>29</v>
      </c>
      <c r="K41" s="156">
        <v>555</v>
      </c>
      <c r="L41" s="156">
        <v>579</v>
      </c>
      <c r="M41" s="156">
        <v>550</v>
      </c>
      <c r="N41" s="156">
        <v>437</v>
      </c>
      <c r="O41" s="156">
        <v>440</v>
      </c>
      <c r="P41" s="156">
        <v>122</v>
      </c>
      <c r="Q41" s="24">
        <v>28</v>
      </c>
      <c r="R41" s="24">
        <v>584</v>
      </c>
      <c r="S41" s="24">
        <v>617</v>
      </c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6622</v>
      </c>
      <c r="AI41" s="38">
        <f>AH41/COUNTA(C41:AG41)</f>
        <v>389.52941176470586</v>
      </c>
      <c r="AJ41" s="56">
        <f>AI41*31</f>
        <v>12075.411764705881</v>
      </c>
    </row>
    <row r="42" spans="2:36" ht="15.75" thickBot="1" x14ac:dyDescent="0.3">
      <c r="B42" s="169" t="s">
        <v>21</v>
      </c>
      <c r="C42" s="155">
        <v>46</v>
      </c>
      <c r="D42" s="155">
        <v>661</v>
      </c>
      <c r="E42" s="155">
        <v>565</v>
      </c>
      <c r="F42" s="155">
        <v>487</v>
      </c>
      <c r="G42" s="155">
        <v>389</v>
      </c>
      <c r="H42" s="155">
        <v>339</v>
      </c>
      <c r="I42" s="155">
        <v>90</v>
      </c>
      <c r="J42" s="155">
        <v>24</v>
      </c>
      <c r="K42" s="155">
        <v>410</v>
      </c>
      <c r="L42" s="155">
        <v>368</v>
      </c>
      <c r="M42" s="155">
        <v>379</v>
      </c>
      <c r="N42" s="155">
        <v>385</v>
      </c>
      <c r="O42" s="155">
        <v>336</v>
      </c>
      <c r="P42" s="155">
        <v>84</v>
      </c>
      <c r="Q42" s="25">
        <v>38</v>
      </c>
      <c r="R42" s="25">
        <v>404</v>
      </c>
      <c r="S42" s="25">
        <v>432</v>
      </c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5437</v>
      </c>
      <c r="AI42" s="37">
        <f>AH42/COUNTA(C42:AG42)</f>
        <v>319.8235294117647</v>
      </c>
      <c r="AJ42" s="57">
        <f>AI42*31</f>
        <v>9914.5294117647063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9</v>
      </c>
      <c r="T4" s="39">
        <f>IF(Indicadores!S40,Indicadores!S40,"")</f>
        <v>13</v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110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24</v>
      </c>
      <c r="E5" s="39">
        <f>IF(Indicadores!D41,Indicadores!D41,"")</f>
        <v>577</v>
      </c>
      <c r="F5" s="39">
        <f>IF(Indicadores!E41,Indicadores!E41,"")</f>
        <v>586</v>
      </c>
      <c r="G5" s="39">
        <f>IF(Indicadores!F41,Indicadores!F41,"")</f>
        <v>531</v>
      </c>
      <c r="H5" s="39">
        <f>IF(Indicadores!G41,Indicadores!G41,"")</f>
        <v>477</v>
      </c>
      <c r="I5" s="39">
        <f>IF(Indicadores!H41,Indicadores!H41,"")</f>
        <v>386</v>
      </c>
      <c r="J5" s="39">
        <f>IF(Indicadores!I41,Indicadores!I41,"")</f>
        <v>100</v>
      </c>
      <c r="K5" s="39">
        <f>IF(Indicadores!J41,Indicadores!J41,"")</f>
        <v>29</v>
      </c>
      <c r="L5" s="39">
        <f>IF(Indicadores!K41,Indicadores!K41,"")</f>
        <v>555</v>
      </c>
      <c r="M5" s="39">
        <f>IF(Indicadores!L41,Indicadores!L41,"")</f>
        <v>579</v>
      </c>
      <c r="N5" s="39">
        <f>IF(Indicadores!M41,Indicadores!M41,"")</f>
        <v>550</v>
      </c>
      <c r="O5" s="39">
        <f>IF(Indicadores!N41,Indicadores!N41,"")</f>
        <v>437</v>
      </c>
      <c r="P5" s="39">
        <f>IF(Indicadores!O41,Indicadores!O41,"")</f>
        <v>440</v>
      </c>
      <c r="Q5" s="39">
        <f>IF(Indicadores!P41,Indicadores!P41,"")</f>
        <v>122</v>
      </c>
      <c r="R5" s="39">
        <f>IF(Indicadores!Q41,Indicadores!Q41,"")</f>
        <v>28</v>
      </c>
      <c r="S5" s="39">
        <f>IF(Indicadores!R41,Indicadores!R41,"")</f>
        <v>584</v>
      </c>
      <c r="T5" s="39">
        <f>IF(Indicadores!S41,Indicadores!S41,"")</f>
        <v>617</v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6622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46</v>
      </c>
      <c r="E6" s="40">
        <f>IF(Indicadores!D42,Indicadores!D42,"")</f>
        <v>661</v>
      </c>
      <c r="F6" s="40">
        <f>IF(Indicadores!E42,Indicadores!E42,"")</f>
        <v>565</v>
      </c>
      <c r="G6" s="40">
        <f>IF(Indicadores!F42,Indicadores!F42,"")</f>
        <v>487</v>
      </c>
      <c r="H6" s="40">
        <f>IF(Indicadores!G42,Indicadores!G42,"")</f>
        <v>389</v>
      </c>
      <c r="I6" s="40">
        <f>IF(Indicadores!H42,Indicadores!H42,"")</f>
        <v>339</v>
      </c>
      <c r="J6" s="40">
        <f>IF(Indicadores!I42,Indicadores!I42,"")</f>
        <v>90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368</v>
      </c>
      <c r="N6" s="40">
        <f>IF(Indicadores!M42,Indicadores!M42,"")</f>
        <v>379</v>
      </c>
      <c r="O6" s="40">
        <f>IF(Indicadores!N42,Indicadores!N42,"")</f>
        <v>385</v>
      </c>
      <c r="P6" s="40">
        <f>IF(Indicadores!O42,Indicadores!O42,"")</f>
        <v>336</v>
      </c>
      <c r="Q6" s="40">
        <f>IF(Indicadores!P42,Indicadores!P42,"")</f>
        <v>84</v>
      </c>
      <c r="R6" s="40">
        <f>IF(Indicadores!Q42,Indicadores!Q42,"")</f>
        <v>38</v>
      </c>
      <c r="S6" s="40">
        <f>IF(Indicadores!R42,Indicadores!R42,"")</f>
        <v>404</v>
      </c>
      <c r="T6" s="40">
        <f>IF(Indicadores!S42,Indicadores!S42,"")</f>
        <v>432</v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5437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19629.730613393527</v>
      </c>
      <c r="AJ15" s="66">
        <f>SUM(AJ16:AJ18)</f>
        <v>633.21711656108141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9</v>
      </c>
      <c r="T16" s="137">
        <f t="shared" si="2"/>
        <v>13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178.3188908145581</v>
      </c>
      <c r="AJ16" s="106">
        <f>AI16/COUNTA(C16:AG16)</f>
        <v>5.7522222843405837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577</v>
      </c>
      <c r="F17" s="137">
        <f t="shared" si="5"/>
        <v>586</v>
      </c>
      <c r="G17" s="137">
        <f t="shared" si="5"/>
        <v>531</v>
      </c>
      <c r="H17" s="137">
        <f t="shared" si="5"/>
        <v>477</v>
      </c>
      <c r="I17" s="137">
        <f t="shared" si="5"/>
        <v>386</v>
      </c>
      <c r="J17" s="137">
        <f t="shared" si="5"/>
        <v>100</v>
      </c>
      <c r="K17" s="137">
        <f t="shared" si="5"/>
        <v>29</v>
      </c>
      <c r="L17" s="137">
        <f t="shared" si="5"/>
        <v>555</v>
      </c>
      <c r="M17" s="137">
        <f t="shared" si="5"/>
        <v>579</v>
      </c>
      <c r="N17" s="137">
        <f t="shared" si="5"/>
        <v>550</v>
      </c>
      <c r="O17" s="137">
        <f t="shared" si="5"/>
        <v>437</v>
      </c>
      <c r="P17" s="137">
        <f t="shared" si="5"/>
        <v>440</v>
      </c>
      <c r="Q17" s="137">
        <f t="shared" si="5"/>
        <v>122</v>
      </c>
      <c r="R17" s="137">
        <f t="shared" si="5"/>
        <v>28</v>
      </c>
      <c r="S17" s="137">
        <f t="shared" si="5"/>
        <v>584</v>
      </c>
      <c r="T17" s="137">
        <f t="shared" si="5"/>
        <v>617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10735.040038360106</v>
      </c>
      <c r="AJ17" s="106">
        <f>AI17/COUNTA(C17:AG17)</f>
        <v>346.29161414064862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661</v>
      </c>
      <c r="F18" s="148">
        <f t="shared" si="8"/>
        <v>565</v>
      </c>
      <c r="G18" s="148">
        <f t="shared" si="8"/>
        <v>487</v>
      </c>
      <c r="H18" s="148">
        <f t="shared" si="8"/>
        <v>389</v>
      </c>
      <c r="I18" s="148">
        <f t="shared" si="8"/>
        <v>339</v>
      </c>
      <c r="J18" s="148">
        <f t="shared" si="8"/>
        <v>90</v>
      </c>
      <c r="K18" s="148">
        <f t="shared" si="8"/>
        <v>24</v>
      </c>
      <c r="L18" s="148">
        <f t="shared" si="8"/>
        <v>410</v>
      </c>
      <c r="M18" s="148">
        <f t="shared" si="8"/>
        <v>368</v>
      </c>
      <c r="N18" s="148">
        <f t="shared" si="8"/>
        <v>379</v>
      </c>
      <c r="O18" s="148">
        <f t="shared" si="8"/>
        <v>385</v>
      </c>
      <c r="P18" s="148">
        <f t="shared" si="8"/>
        <v>336</v>
      </c>
      <c r="Q18" s="148">
        <f t="shared" si="8"/>
        <v>84</v>
      </c>
      <c r="R18" s="148">
        <f t="shared" si="8"/>
        <v>38</v>
      </c>
      <c r="S18" s="148">
        <f t="shared" si="8"/>
        <v>404</v>
      </c>
      <c r="T18" s="148">
        <f t="shared" si="8"/>
        <v>432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8716.3716842188605</v>
      </c>
      <c r="AJ18" s="109">
        <f>AI18/COUNTA(C18:AG18)</f>
        <v>281.17328013609227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12169</v>
      </c>
      <c r="D21" s="142">
        <f>SUM(D22:D24)</f>
        <v>19629.730613393527</v>
      </c>
      <c r="E21" s="143">
        <f>SUM(E22:E24)</f>
        <v>19121.999999999996</v>
      </c>
      <c r="F21" s="138">
        <f>(D21-E21)/E21</f>
        <v>2.6552170975501041E-2</v>
      </c>
      <c r="G21" s="133">
        <f>F21</f>
        <v>2.6552170975501041E-2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110</v>
      </c>
      <c r="D22" s="145">
        <f>AI16</f>
        <v>178.3188908145581</v>
      </c>
      <c r="E22" s="143">
        <f>$AI$10</f>
        <v>180.00000000000003</v>
      </c>
      <c r="F22" s="139">
        <f t="shared" ref="F22:F24" si="11">(D22-E22)/E22</f>
        <v>-9.3394954746773649E-3</v>
      </c>
      <c r="G22" s="133">
        <f>F22</f>
        <v>-9.3394954746773649E-3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6622</v>
      </c>
      <c r="D23" s="145">
        <f>AI17</f>
        <v>10735.040038360106</v>
      </c>
      <c r="E23" s="143">
        <f>AI11</f>
        <v>10520</v>
      </c>
      <c r="F23" s="139">
        <f t="shared" si="11"/>
        <v>2.0441068285181212E-2</v>
      </c>
      <c r="G23" s="133">
        <f>F23</f>
        <v>2.0441068285181212E-2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5437</v>
      </c>
      <c r="D24" s="147">
        <f>AI18</f>
        <v>8716.3716842188605</v>
      </c>
      <c r="E24" s="166">
        <f>AI12</f>
        <v>8421.9999999999964</v>
      </c>
      <c r="F24" s="140">
        <f t="shared" si="11"/>
        <v>3.495270532164145E-2</v>
      </c>
      <c r="G24" s="136">
        <f>F24</f>
        <v>3.495270532164145E-2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12169</v>
      </c>
      <c r="D6" s="7">
        <f>'Dados - Gráficos'!D21</f>
        <v>19629.730613393527</v>
      </c>
      <c r="E6" s="93">
        <f>'Dados - Gráficos'!E21</f>
        <v>19121.999999999996</v>
      </c>
      <c r="F6" s="118">
        <f>'Dados - Gráficos'!F21</f>
        <v>2.6552170975501041E-2</v>
      </c>
      <c r="G6" s="119">
        <f>'Dados - Gráficos'!G21</f>
        <v>2.6552170975501041E-2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110</v>
      </c>
      <c r="D7" s="8">
        <f>'Dados - Gráficos'!D22</f>
        <v>178.3188908145581</v>
      </c>
      <c r="E7" s="93">
        <f>'Dados - Gráficos'!E22</f>
        <v>180.00000000000003</v>
      </c>
      <c r="F7" s="120">
        <f>'Dados - Gráficos'!F22</f>
        <v>-9.3394954746773649E-3</v>
      </c>
      <c r="G7" s="119">
        <f>'Dados - Gráficos'!G22</f>
        <v>-9.3394954746773649E-3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6622</v>
      </c>
      <c r="D8" s="8">
        <f>'Dados - Gráficos'!D23</f>
        <v>10735.040038360106</v>
      </c>
      <c r="E8" s="93">
        <f>'Dados - Gráficos'!E23</f>
        <v>10520</v>
      </c>
      <c r="F8" s="120">
        <f>'Dados - Gráficos'!F23</f>
        <v>2.0441068285181212E-2</v>
      </c>
      <c r="G8" s="119">
        <f>'Dados - Gráficos'!G23</f>
        <v>2.0441068285181212E-2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5437</v>
      </c>
      <c r="D9" s="17">
        <f>'Dados - Gráficos'!D24</f>
        <v>8716.3716842188605</v>
      </c>
      <c r="E9" s="94">
        <f>'Dados - Gráficos'!E24</f>
        <v>8421.9999999999964</v>
      </c>
      <c r="F9" s="121">
        <f>'Dados - Gráficos'!F24</f>
        <v>3.495270532164145E-2</v>
      </c>
      <c r="G9" s="122">
        <f>'Dados - Gráficos'!G24</f>
        <v>3.495270532164145E-2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2016-05-18T13:05:52Z</dcterms:modified>
</cp:coreProperties>
</file>