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AH18" i="7" l="1"/>
  <c r="AH17" i="7"/>
  <c r="AH16" i="7"/>
  <c r="AH6" i="7" l="1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B2" i="7"/>
  <c r="AH42" i="1"/>
  <c r="AI42" i="1" s="1"/>
  <c r="AJ42" i="1" s="1"/>
  <c r="AH41" i="1"/>
  <c r="AI41" i="1" s="1"/>
  <c r="AJ41" i="1" s="1"/>
  <c r="AH40" i="1"/>
  <c r="AI6" i="7" l="1"/>
  <c r="AH39" i="1"/>
  <c r="AI39" i="1" s="1"/>
  <c r="AJ39" i="1" s="1"/>
  <c r="AI5" i="7"/>
  <c r="AI4" i="7"/>
  <c r="AI40" i="1"/>
  <c r="AJ40" i="1" s="1"/>
  <c r="B8" i="7" l="1"/>
  <c r="B14" i="7" s="1"/>
  <c r="B20" i="7" s="1"/>
  <c r="AI12" i="7"/>
  <c r="AI11" i="7"/>
  <c r="AI10" i="7"/>
  <c r="AH3" i="7"/>
  <c r="D16" i="7"/>
  <c r="AH36" i="1"/>
  <c r="AI36" i="1" s="1"/>
  <c r="AJ36" i="1" s="1"/>
  <c r="AK6" i="7" s="1"/>
  <c r="AH35" i="1"/>
  <c r="AI35" i="1" s="1"/>
  <c r="AJ5" i="7" s="1"/>
  <c r="AH34" i="1"/>
  <c r="C22" i="7" s="1"/>
  <c r="AJ12" i="7" l="1"/>
  <c r="AK12" i="7" s="1"/>
  <c r="E24" i="7"/>
  <c r="AJ10" i="7"/>
  <c r="AK10" i="7" s="1"/>
  <c r="E22" i="7"/>
  <c r="AJ11" i="7"/>
  <c r="AK11" i="7" s="1"/>
  <c r="E23" i="7"/>
  <c r="AJ6" i="7"/>
  <c r="C24" i="7"/>
  <c r="AJ35" i="1"/>
  <c r="AK5" i="7" s="1"/>
  <c r="C23" i="7"/>
  <c r="AI9" i="7"/>
  <c r="AH33" i="1"/>
  <c r="AI34" i="1"/>
  <c r="AD16" i="7"/>
  <c r="AC16" i="7"/>
  <c r="AK9" i="7" l="1"/>
  <c r="C21" i="7"/>
  <c r="AJ9" i="7"/>
  <c r="E21" i="7"/>
  <c r="AJ4" i="7"/>
  <c r="AJ34" i="1"/>
  <c r="AK4" i="7" s="1"/>
  <c r="AI33" i="1"/>
  <c r="AJ33" i="1" s="1"/>
  <c r="AI3" i="7"/>
  <c r="J18" i="7"/>
  <c r="J17" i="7"/>
  <c r="J16" i="7"/>
  <c r="AK3" i="7" l="1"/>
  <c r="AJ3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<sst xmlns="http://schemas.openxmlformats.org/spreadsheetml/2006/main" count="418" uniqueCount="39">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</sst>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2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2" fontId="26" fillId="17" borderId="27" xfId="0" applyNumberFormat="1" applyFont="1" applyFill="1" applyBorder="1" applyAlignment="1">
      <alignment horizontal="center" vertical="center"/>
    </xf>
    <xf numFmtId="0" fontId="16" fillId="17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57-41B9-92DF-7C4BADEE5571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2B4-4477-BD6A-5FB474E6F28A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2B4-4477-BD6A-5FB474E6F28A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2B4-4477-BD6A-5FB474E6F28A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2B4-4477-BD6A-5FB474E6F28A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2B4-4477-BD6A-5FB474E6F28A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2B4-4477-BD6A-5FB474E6F28A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57-41B9-92DF-7C4BADEE5571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2B4-4477-BD6A-5FB474E6F28A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2B4-4477-BD6A-5FB474E6F28A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2B4-4477-BD6A-5FB474E6F28A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2B4-4477-BD6A-5FB474E6F28A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2B4-4477-BD6A-5FB474E6F28A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2B4-4477-BD6A-5FB474E6F28A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2B4-4477-BD6A-5FB474E6F28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83319168"/>
        <c:axId val="2113834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1.2478336221837087</c:v>
                </c:pt>
                <c:pt idx="1">
                  <c:v>9.6707105719237436</c:v>
                </c:pt>
                <c:pt idx="2">
                  <c:v>9.98266897746967</c:v>
                </c:pt>
                <c:pt idx="3">
                  <c:v>7.4870017331022538</c:v>
                </c:pt>
                <c:pt idx="4">
                  <c:v>8.734835355285961</c:v>
                </c:pt>
                <c:pt idx="5">
                  <c:v>8.4228769497400346</c:v>
                </c:pt>
                <c:pt idx="6">
                  <c:v>3.4315424610051992</c:v>
                </c:pt>
                <c:pt idx="7">
                  <c:v>1.2478336221837087</c:v>
                </c:pt>
                <c:pt idx="8">
                  <c:v>8.734835355285961</c:v>
                </c:pt>
                <c:pt idx="9">
                  <c:v>5.9272097053726167</c:v>
                </c:pt>
                <c:pt idx="10">
                  <c:v>7.1750433275563257</c:v>
                </c:pt>
                <c:pt idx="11">
                  <c:v>10.918544194107453</c:v>
                </c:pt>
                <c:pt idx="12">
                  <c:v>7.1750433275563257</c:v>
                </c:pt>
                <c:pt idx="13">
                  <c:v>0.62391681109185437</c:v>
                </c:pt>
                <c:pt idx="14">
                  <c:v>1.2478336221837087</c:v>
                </c:pt>
                <c:pt idx="15">
                  <c:v>9.3587521663778155</c:v>
                </c:pt>
                <c:pt idx="16">
                  <c:v>10.294627383015598</c:v>
                </c:pt>
                <c:pt idx="17">
                  <c:v>9.0467937608318891</c:v>
                </c:pt>
                <c:pt idx="18">
                  <c:v>6.5511265164644712</c:v>
                </c:pt>
                <c:pt idx="19">
                  <c:v>6.5511265164644712</c:v>
                </c:pt>
                <c:pt idx="20">
                  <c:v>1.8717504332755635</c:v>
                </c:pt>
                <c:pt idx="21">
                  <c:v>0.62391681109185437</c:v>
                </c:pt>
                <c:pt idx="22">
                  <c:v>5.3032928942807631</c:v>
                </c:pt>
                <c:pt idx="23">
                  <c:v>6.5511265164644712</c:v>
                </c:pt>
                <c:pt idx="24">
                  <c:v>6.5511265164644712</c:v>
                </c:pt>
                <c:pt idx="25">
                  <c:v>7.1750433275563257</c:v>
                </c:pt>
                <c:pt idx="26">
                  <c:v>6.5511265164644712</c:v>
                </c:pt>
                <c:pt idx="27">
                  <c:v>4.6793760831889077</c:v>
                </c:pt>
                <c:pt idx="28">
                  <c:v>0.93587521663778173</c:v>
                </c:pt>
                <c:pt idx="29">
                  <c:v>2.8076256499133447</c:v>
                </c:pt>
                <c:pt idx="30">
                  <c:v>3.119584055459272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319168"/>
        <c:axId val="211383424"/>
      </c:lineChart>
      <c:dateAx>
        <c:axId val="1833191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383424"/>
        <c:crosses val="autoZero"/>
        <c:auto val="1"/>
        <c:lblOffset val="100"/>
        <c:baseTimeUnit val="days"/>
      </c:dateAx>
      <c:valAx>
        <c:axId val="211383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33191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E4-4BF0-A644-C0330DD66C39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DE4-4BF0-A644-C0330DD66C39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E4-4BF0-A644-C0330DD66C39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E4-4BF0-A644-C0330DD66C3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E4-4BF0-A644-C0330DD66C39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E4-4BF0-A644-C0330DD66C39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E4-4BF0-A644-C0330DD66C39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E4-4BF0-A644-C0330DD66C3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E4-4BF0-A644-C0330DD66C3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E4-4BF0-A644-C0330DD66C3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E4-4BF0-A644-C0330DD66C3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E4-4BF0-A644-C0330DD66C3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E4-4BF0-A644-C0330DD66C3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E4-4BF0-A644-C0330DD66C3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E4-4BF0-A644-C0330DD66C3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25</c:v>
                </c:pt>
                <c:pt idx="1">
                  <c:v>588</c:v>
                </c:pt>
                <c:pt idx="2">
                  <c:v>599</c:v>
                </c:pt>
                <c:pt idx="3">
                  <c:v>531</c:v>
                </c:pt>
                <c:pt idx="4">
                  <c:v>477</c:v>
                </c:pt>
                <c:pt idx="5">
                  <c:v>387</c:v>
                </c:pt>
                <c:pt idx="6">
                  <c:v>100</c:v>
                </c:pt>
                <c:pt idx="7">
                  <c:v>29</c:v>
                </c:pt>
                <c:pt idx="8">
                  <c:v>557</c:v>
                </c:pt>
                <c:pt idx="9">
                  <c:v>581</c:v>
                </c:pt>
                <c:pt idx="10">
                  <c:v>559</c:v>
                </c:pt>
                <c:pt idx="11">
                  <c:v>440</c:v>
                </c:pt>
                <c:pt idx="12">
                  <c:v>455</c:v>
                </c:pt>
                <c:pt idx="13">
                  <c:v>128</c:v>
                </c:pt>
                <c:pt idx="14">
                  <c:v>35</c:v>
                </c:pt>
                <c:pt idx="15">
                  <c:v>672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619968"/>
        <c:axId val="14362150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46.029729081754972</c:v>
                </c:pt>
                <c:pt idx="1">
                  <c:v>488.98705346439704</c:v>
                </c:pt>
                <c:pt idx="2">
                  <c:v>612.57372332773912</c:v>
                </c:pt>
                <c:pt idx="3">
                  <c:v>576.63270198993052</c:v>
                </c:pt>
                <c:pt idx="4">
                  <c:v>514.52409494126107</c:v>
                </c:pt>
                <c:pt idx="5">
                  <c:v>504.43538719731475</c:v>
                </c:pt>
                <c:pt idx="6">
                  <c:v>102.46343802445458</c:v>
                </c:pt>
                <c:pt idx="7">
                  <c:v>46.029729081754972</c:v>
                </c:pt>
                <c:pt idx="8">
                  <c:v>435.07552145768398</c:v>
                </c:pt>
                <c:pt idx="9">
                  <c:v>383.37089426995919</c:v>
                </c:pt>
                <c:pt idx="10">
                  <c:v>550.14984416207153</c:v>
                </c:pt>
                <c:pt idx="11">
                  <c:v>502.54375449532489</c:v>
                </c:pt>
                <c:pt idx="12">
                  <c:v>458.40565811555985</c:v>
                </c:pt>
                <c:pt idx="13">
                  <c:v>113.18269000239751</c:v>
                </c:pt>
                <c:pt idx="14">
                  <c:v>30.896667465835527</c:v>
                </c:pt>
                <c:pt idx="15">
                  <c:v>540.69168065212182</c:v>
                </c:pt>
                <c:pt idx="16">
                  <c:v>500.96739391033321</c:v>
                </c:pt>
                <c:pt idx="17">
                  <c:v>406.38575881083676</c:v>
                </c:pt>
                <c:pt idx="18">
                  <c:v>362.87820666506832</c:v>
                </c:pt>
                <c:pt idx="19">
                  <c:v>382.74035003596259</c:v>
                </c:pt>
                <c:pt idx="20">
                  <c:v>108.13833613042436</c:v>
                </c:pt>
                <c:pt idx="21">
                  <c:v>36.256293454807</c:v>
                </c:pt>
                <c:pt idx="22">
                  <c:v>595.86430112682808</c:v>
                </c:pt>
                <c:pt idx="23">
                  <c:v>479.21361783744902</c:v>
                </c:pt>
                <c:pt idx="24">
                  <c:v>464.39582833852791</c:v>
                </c:pt>
                <c:pt idx="25">
                  <c:v>465.65691680652122</c:v>
                </c:pt>
                <c:pt idx="26">
                  <c:v>329.77463438024455</c:v>
                </c:pt>
                <c:pt idx="27">
                  <c:v>133.67537760728842</c:v>
                </c:pt>
                <c:pt idx="28">
                  <c:v>24.90649724286742</c:v>
                </c:pt>
                <c:pt idx="29">
                  <c:v>190.10908654998804</c:v>
                </c:pt>
                <c:pt idx="30">
                  <c:v>133.04483337329179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19968"/>
        <c:axId val="143621504"/>
      </c:lineChart>
      <c:dateAx>
        <c:axId val="143619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621504"/>
        <c:crosses val="autoZero"/>
        <c:auto val="1"/>
        <c:lblOffset val="100"/>
        <c:baseTimeUnit val="days"/>
      </c:dateAx>
      <c:valAx>
        <c:axId val="1436215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6199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8B-4686-B2A6-76008087528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D8B-4686-B2A6-76008087528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8B-4686-B2A6-76008087528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8B-4686-B2A6-76008087528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8B-4686-B2A6-76008087528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8B-4686-B2A6-76008087528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8B-4686-B2A6-76008087528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8B-4686-B2A6-76008087528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8B-4686-B2A6-76008087528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8B-4686-B2A6-76008087528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8B-4686-B2A6-76008087528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8B-4686-B2A6-76008087528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8B-4686-B2A6-76008087528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8B-4686-B2A6-76008087528F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8B-4686-B2A6-76008087528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46</c:v>
                </c:pt>
                <c:pt idx="1">
                  <c:v>668</c:v>
                </c:pt>
                <c:pt idx="2">
                  <c:v>565</c:v>
                </c:pt>
                <c:pt idx="3">
                  <c:v>487</c:v>
                </c:pt>
                <c:pt idx="4">
                  <c:v>389</c:v>
                </c:pt>
                <c:pt idx="5">
                  <c:v>339</c:v>
                </c:pt>
                <c:pt idx="6">
                  <c:v>92</c:v>
                </c:pt>
                <c:pt idx="7">
                  <c:v>24</c:v>
                </c:pt>
                <c:pt idx="8">
                  <c:v>411</c:v>
                </c:pt>
                <c:pt idx="9">
                  <c:v>368</c:v>
                </c:pt>
                <c:pt idx="10">
                  <c:v>380</c:v>
                </c:pt>
                <c:pt idx="11">
                  <c:v>388</c:v>
                </c:pt>
                <c:pt idx="12">
                  <c:v>343</c:v>
                </c:pt>
                <c:pt idx="13">
                  <c:v>103</c:v>
                </c:pt>
                <c:pt idx="14">
                  <c:v>40</c:v>
                </c:pt>
                <c:pt idx="15">
                  <c:v>415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910400"/>
        <c:axId val="1439119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40.012669253305887</c:v>
                </c:pt>
                <c:pt idx="1">
                  <c:v>388.45633066751128</c:v>
                </c:pt>
                <c:pt idx="2">
                  <c:v>521.83189484519755</c:v>
                </c:pt>
                <c:pt idx="3">
                  <c:v>452.14316256235651</c:v>
                </c:pt>
                <c:pt idx="4">
                  <c:v>411.46361548816219</c:v>
                </c:pt>
                <c:pt idx="5">
                  <c:v>362.11465674241828</c:v>
                </c:pt>
                <c:pt idx="6">
                  <c:v>89.695066909494017</c:v>
                </c:pt>
                <c:pt idx="7">
                  <c:v>39.345791432417457</c:v>
                </c:pt>
                <c:pt idx="8">
                  <c:v>414.13112677171586</c:v>
                </c:pt>
                <c:pt idx="9">
                  <c:v>335.77298281732516</c:v>
                </c:pt>
                <c:pt idx="10">
                  <c:v>407.79578747327577</c:v>
                </c:pt>
                <c:pt idx="11">
                  <c:v>374.11845751841003</c:v>
                </c:pt>
                <c:pt idx="12">
                  <c:v>329.43764351888507</c:v>
                </c:pt>
                <c:pt idx="13">
                  <c:v>90.361944730382461</c:v>
                </c:pt>
                <c:pt idx="14">
                  <c:v>40.679547074194311</c:v>
                </c:pt>
                <c:pt idx="15">
                  <c:v>451.47628474146802</c:v>
                </c:pt>
                <c:pt idx="16">
                  <c:v>393.79135323461873</c:v>
                </c:pt>
                <c:pt idx="17">
                  <c:v>338.77393301132315</c:v>
                </c:pt>
                <c:pt idx="18">
                  <c:v>252.41325520627126</c:v>
                </c:pt>
                <c:pt idx="19">
                  <c:v>289.75841317602345</c:v>
                </c:pt>
                <c:pt idx="20">
                  <c:v>127.3736637896904</c:v>
                </c:pt>
                <c:pt idx="21">
                  <c:v>47.681764193522845</c:v>
                </c:pt>
                <c:pt idx="22">
                  <c:v>423.80085517459815</c:v>
                </c:pt>
                <c:pt idx="23">
                  <c:v>364.11529020508357</c:v>
                </c:pt>
                <c:pt idx="24">
                  <c:v>343.77551666798638</c:v>
                </c:pt>
                <c:pt idx="25">
                  <c:v>398.12605907039352</c:v>
                </c:pt>
                <c:pt idx="26">
                  <c:v>275.4205400269222</c:v>
                </c:pt>
                <c:pt idx="27">
                  <c:v>134.37588090901892</c:v>
                </c:pt>
                <c:pt idx="28">
                  <c:v>27.008551745981471</c:v>
                </c:pt>
                <c:pt idx="29">
                  <c:v>130.37461398368833</c:v>
                </c:pt>
                <c:pt idx="30">
                  <c:v>126.37334705835775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10400"/>
        <c:axId val="143911936"/>
      </c:lineChart>
      <c:dateAx>
        <c:axId val="1439104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11936"/>
        <c:crosses val="autoZero"/>
        <c:auto val="1"/>
        <c:lblOffset val="100"/>
        <c:baseTimeUnit val="days"/>
      </c:dateAx>
      <c:valAx>
        <c:axId val="14391193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9104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gphq+Xq88dhMXff83yIzfTumKVQ2Pel04GayQfjdFIS02sqd5lIB4Kf9alqdWQ8GPsw5OQsUHIZMrwGEeJQvKg==" saltValue="tHsG7cabD0HQdK//ZMEo3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MrysyqsaGA3WRQyPEgz0T310Qe++R1l3NmQTeIqq8iHNrdcsRTy/avWEwIA0A48DiBtY2jr9euNuyBB6HHChKQ==" saltValue="UTUkAYflKd6q+35vatWY0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fQnwXj5N4GQ+wUPD0ZG+dWYxa8eVcG6fcyCPDfnrq93vH2EMJkF3PTddA/S99IIdk6nVDMAzxMt1TUInfSeRwA==" saltValue="T373ptBtmhzrpplorPhJC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42</xdr:row>
      <xdr:rowOff>146538</xdr:rowOff>
    </xdr:from>
    <xdr:to>
      <xdr:col>2</xdr:col>
      <xdr:colOff>153866</xdr:colOff>
      <xdr:row>44</xdr:row>
      <xdr:rowOff>109904</xdr:rowOff>
    </xdr:to>
    <xdr:sp macro="[0]!formatar_graficos" textlink="">
      <xdr:nvSpPr>
        <xdr:cNvPr id="2" name="Retângulo de cantos arredondados 1"/>
        <xdr:cNvSpPr/>
      </xdr:nvSpPr>
      <xdr:spPr>
        <a:xfrm>
          <a:off x="95250" y="7964365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42"/>
  <sheetViews>
    <sheetView showGridLines="0" topLeftCell="A31" zoomScale="130" zoomScaleNormal="130" workbookViewId="0">
      <selection activeCell="C42" sqref="C42:R42"/>
    </sheetView>
  </sheetViews>
  <sheetFormatPr defaultColWidth="9.140625" defaultRowHeight="15" x14ac:dyDescent="0.25"/>
  <cols>
    <col min="1" max="1" width="1.28515625" style="175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75" bestFit="1" customWidth="1"/>
    <col min="40" max="16384" width="9.140625" style="175"/>
  </cols>
  <sheetData>
    <row r="1" spans="2:36" ht="15.75" thickBot="1" x14ac:dyDescent="0.3"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6"/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176"/>
      <c r="Z13" s="176"/>
      <c r="AA13" s="176"/>
      <c r="AB13" s="176"/>
      <c r="AC13" s="176"/>
      <c r="AD13" s="176"/>
      <c r="AE13" s="176"/>
      <c r="AF13" s="176"/>
      <c r="AG13" s="176"/>
      <c r="AH13" s="176"/>
      <c r="AI13" s="176"/>
      <c r="AJ13" s="176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7"/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77"/>
      <c r="AJ19" s="177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20388</v>
      </c>
      <c r="AI33" s="71">
        <f>AH33/COUNTA(C34:AG34)</f>
        <v>679.6</v>
      </c>
      <c r="AJ33" s="55">
        <f>AI33*30</f>
        <v>20388</v>
      </c>
    </row>
    <row r="34" spans="2:36" x14ac:dyDescent="0.25">
      <c r="B34" s="161" t="s">
        <v>19</v>
      </c>
      <c r="C34" s="156">
        <v>6</v>
      </c>
      <c r="D34" s="156">
        <v>6</v>
      </c>
      <c r="E34" s="156">
        <v>2</v>
      </c>
      <c r="F34" s="156">
        <v>7</v>
      </c>
      <c r="G34" s="156">
        <v>12</v>
      </c>
      <c r="H34" s="156">
        <v>4</v>
      </c>
      <c r="I34" s="156">
        <v>3</v>
      </c>
      <c r="J34" s="156">
        <v>7</v>
      </c>
      <c r="K34" s="156">
        <v>4</v>
      </c>
      <c r="L34" s="156">
        <v>1</v>
      </c>
      <c r="M34" s="156">
        <v>13</v>
      </c>
      <c r="N34" s="156">
        <v>9</v>
      </c>
      <c r="O34" s="156">
        <v>6</v>
      </c>
      <c r="P34" s="156">
        <v>11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6</v>
      </c>
      <c r="X34" s="24">
        <v>8</v>
      </c>
      <c r="Y34" s="24">
        <v>1</v>
      </c>
      <c r="Z34" s="24">
        <v>0</v>
      </c>
      <c r="AA34" s="24">
        <v>5</v>
      </c>
      <c r="AB34" s="24">
        <v>5</v>
      </c>
      <c r="AC34" s="24">
        <v>9</v>
      </c>
      <c r="AD34" s="24">
        <v>7</v>
      </c>
      <c r="AE34" s="24">
        <v>8</v>
      </c>
      <c r="AF34" s="24">
        <v>8</v>
      </c>
      <c r="AG34" s="157"/>
      <c r="AH34" s="53">
        <f>SUM(C34:AG34)</f>
        <v>183</v>
      </c>
      <c r="AI34" s="38">
        <f>AH34/COUNTA(C34:AG34)</f>
        <v>6.1</v>
      </c>
      <c r="AJ34" s="56">
        <f>AI34*30</f>
        <v>183</v>
      </c>
    </row>
    <row r="35" spans="2:36" x14ac:dyDescent="0.25">
      <c r="B35" s="161" t="s">
        <v>20</v>
      </c>
      <c r="C35" s="156">
        <v>539</v>
      </c>
      <c r="D35" s="156">
        <v>121</v>
      </c>
      <c r="E35" s="156">
        <v>44</v>
      </c>
      <c r="F35" s="156">
        <v>586</v>
      </c>
      <c r="G35" s="156">
        <v>542</v>
      </c>
      <c r="H35" s="156">
        <v>431</v>
      </c>
      <c r="I35" s="156">
        <v>499</v>
      </c>
      <c r="J35" s="156">
        <v>482</v>
      </c>
      <c r="K35" s="156">
        <v>114</v>
      </c>
      <c r="L35" s="156">
        <v>33</v>
      </c>
      <c r="M35" s="156">
        <v>522</v>
      </c>
      <c r="N35" s="156">
        <v>563</v>
      </c>
      <c r="O35" s="156">
        <v>562</v>
      </c>
      <c r="P35" s="156">
        <v>479</v>
      </c>
      <c r="Q35" s="24">
        <v>385</v>
      </c>
      <c r="R35" s="24">
        <v>98</v>
      </c>
      <c r="S35" s="24">
        <v>20</v>
      </c>
      <c r="T35" s="24">
        <v>515</v>
      </c>
      <c r="U35" s="24">
        <v>448</v>
      </c>
      <c r="V35" s="24">
        <v>371</v>
      </c>
      <c r="W35" s="24">
        <v>105</v>
      </c>
      <c r="X35" s="24">
        <v>383</v>
      </c>
      <c r="Y35" s="24">
        <v>98</v>
      </c>
      <c r="Z35" s="24">
        <v>24</v>
      </c>
      <c r="AA35" s="24">
        <v>551</v>
      </c>
      <c r="AB35" s="24">
        <v>432</v>
      </c>
      <c r="AC35" s="24">
        <v>463</v>
      </c>
      <c r="AD35" s="24">
        <v>455</v>
      </c>
      <c r="AE35" s="24">
        <v>477</v>
      </c>
      <c r="AF35" s="24">
        <v>122</v>
      </c>
      <c r="AG35" s="157"/>
      <c r="AH35" s="53">
        <f>SUM(C35:AG35)</f>
        <v>10464</v>
      </c>
      <c r="AI35" s="38">
        <f>AH35/COUNTA(C35:AG35)</f>
        <v>348.8</v>
      </c>
      <c r="AJ35" s="56">
        <f>AI35*30</f>
        <v>10464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39</v>
      </c>
      <c r="F36" s="155">
        <v>582</v>
      </c>
      <c r="G36" s="155">
        <v>487</v>
      </c>
      <c r="H36" s="155">
        <v>445</v>
      </c>
      <c r="I36" s="155">
        <v>425</v>
      </c>
      <c r="J36" s="155">
        <v>408</v>
      </c>
      <c r="K36" s="155">
        <v>108</v>
      </c>
      <c r="L36" s="155">
        <v>51</v>
      </c>
      <c r="M36" s="155">
        <v>554</v>
      </c>
      <c r="N36" s="155">
        <v>518</v>
      </c>
      <c r="O36" s="155">
        <v>451</v>
      </c>
      <c r="P36" s="155">
        <v>382</v>
      </c>
      <c r="Q36" s="25">
        <v>335</v>
      </c>
      <c r="R36" s="25">
        <v>86</v>
      </c>
      <c r="S36" s="25">
        <v>34</v>
      </c>
      <c r="T36" s="25">
        <v>444</v>
      </c>
      <c r="U36" s="25">
        <v>440</v>
      </c>
      <c r="V36" s="25">
        <v>371</v>
      </c>
      <c r="W36" s="25">
        <v>90</v>
      </c>
      <c r="X36" s="25">
        <v>291</v>
      </c>
      <c r="Y36" s="25">
        <v>149</v>
      </c>
      <c r="Z36" s="25">
        <v>44</v>
      </c>
      <c r="AA36" s="25">
        <v>448</v>
      </c>
      <c r="AB36" s="25">
        <v>410</v>
      </c>
      <c r="AC36" s="25">
        <v>366</v>
      </c>
      <c r="AD36" s="25">
        <v>541</v>
      </c>
      <c r="AE36" s="25">
        <v>425</v>
      </c>
      <c r="AF36" s="25">
        <v>167</v>
      </c>
      <c r="AG36" s="159"/>
      <c r="AH36" s="54">
        <f>SUM(C36:AG36)</f>
        <v>9741</v>
      </c>
      <c r="AI36" s="37">
        <f>AH36/COUNTA(C36:AG36)</f>
        <v>324.7</v>
      </c>
      <c r="AJ36" s="57">
        <f>AI36*30</f>
        <v>9741</v>
      </c>
    </row>
    <row r="37" spans="2:36" ht="15.75" thickBot="1" x14ac:dyDescent="0.3"/>
    <row r="38" spans="2:36" ht="15.75" x14ac:dyDescent="0.25">
      <c r="B38" s="170" t="s">
        <v>38</v>
      </c>
      <c r="C38" s="1" t="s">
        <v>0</v>
      </c>
      <c r="D38" s="1" t="s">
        <v>1</v>
      </c>
      <c r="E38" s="1" t="s">
        <v>2</v>
      </c>
      <c r="F38" s="1" t="s">
        <v>3</v>
      </c>
      <c r="G38" s="1" t="s">
        <v>4</v>
      </c>
      <c r="H38" s="1" t="s">
        <v>5</v>
      </c>
      <c r="I38" s="1" t="s">
        <v>10</v>
      </c>
      <c r="J38" s="1" t="s">
        <v>0</v>
      </c>
      <c r="K38" s="1" t="s">
        <v>1</v>
      </c>
      <c r="L38" s="1" t="s">
        <v>2</v>
      </c>
      <c r="M38" s="1" t="s">
        <v>3</v>
      </c>
      <c r="N38" s="1" t="s">
        <v>4</v>
      </c>
      <c r="O38" s="1" t="s">
        <v>5</v>
      </c>
      <c r="P38" s="1" t="s">
        <v>10</v>
      </c>
      <c r="Q38" s="1" t="s">
        <v>0</v>
      </c>
      <c r="R38" s="1" t="s">
        <v>1</v>
      </c>
      <c r="S38" s="1" t="s">
        <v>2</v>
      </c>
      <c r="T38" s="1" t="s">
        <v>3</v>
      </c>
      <c r="U38" s="1" t="s">
        <v>4</v>
      </c>
      <c r="V38" s="1" t="s">
        <v>5</v>
      </c>
      <c r="W38" s="1" t="s">
        <v>10</v>
      </c>
      <c r="X38" s="1" t="s">
        <v>0</v>
      </c>
      <c r="Y38" s="1" t="s">
        <v>1</v>
      </c>
      <c r="Z38" s="1" t="s">
        <v>2</v>
      </c>
      <c r="AA38" s="1" t="s">
        <v>3</v>
      </c>
      <c r="AB38" s="1" t="s">
        <v>4</v>
      </c>
      <c r="AC38" s="1" t="s">
        <v>5</v>
      </c>
      <c r="AD38" s="1" t="s">
        <v>10</v>
      </c>
      <c r="AE38" s="1" t="s">
        <v>0</v>
      </c>
      <c r="AF38" s="1" t="s">
        <v>1</v>
      </c>
      <c r="AG38" s="1" t="s">
        <v>2</v>
      </c>
      <c r="AH38" s="171" t="s">
        <v>7</v>
      </c>
      <c r="AI38" s="172" t="s">
        <v>17</v>
      </c>
      <c r="AJ38" s="64" t="s">
        <v>18</v>
      </c>
    </row>
    <row r="39" spans="2:36" x14ac:dyDescent="0.25">
      <c r="B39" s="167" t="s">
        <v>22</v>
      </c>
      <c r="C39" s="49">
        <v>42461</v>
      </c>
      <c r="D39" s="49">
        <v>42462</v>
      </c>
      <c r="E39" s="49">
        <v>42463</v>
      </c>
      <c r="F39" s="49">
        <v>42464</v>
      </c>
      <c r="G39" s="49">
        <v>42465</v>
      </c>
      <c r="H39" s="49">
        <v>42466</v>
      </c>
      <c r="I39" s="49">
        <v>42467</v>
      </c>
      <c r="J39" s="49">
        <v>42468</v>
      </c>
      <c r="K39" s="49">
        <v>42469</v>
      </c>
      <c r="L39" s="49">
        <v>42470</v>
      </c>
      <c r="M39" s="49">
        <v>42471</v>
      </c>
      <c r="N39" s="49">
        <v>42472</v>
      </c>
      <c r="O39" s="49">
        <v>42473</v>
      </c>
      <c r="P39" s="49">
        <v>42474</v>
      </c>
      <c r="Q39" s="49">
        <v>42475</v>
      </c>
      <c r="R39" s="49">
        <v>42476</v>
      </c>
      <c r="S39" s="49">
        <v>42477</v>
      </c>
      <c r="T39" s="49">
        <v>42478</v>
      </c>
      <c r="U39" s="49">
        <v>42479</v>
      </c>
      <c r="V39" s="49">
        <v>42480</v>
      </c>
      <c r="W39" s="49">
        <v>42481</v>
      </c>
      <c r="X39" s="49">
        <v>42482</v>
      </c>
      <c r="Y39" s="49">
        <v>42483</v>
      </c>
      <c r="Z39" s="49">
        <v>42484</v>
      </c>
      <c r="AA39" s="49">
        <v>42485</v>
      </c>
      <c r="AB39" s="49">
        <v>42486</v>
      </c>
      <c r="AC39" s="49">
        <v>42487</v>
      </c>
      <c r="AD39" s="49">
        <v>42488</v>
      </c>
      <c r="AE39" s="49">
        <v>42489</v>
      </c>
      <c r="AF39" s="49">
        <v>42490</v>
      </c>
      <c r="AG39" s="154">
        <v>31</v>
      </c>
      <c r="AH39" s="52">
        <f>SUM(AH40:AH42)</f>
        <v>11318</v>
      </c>
      <c r="AI39" s="71">
        <f>AH39/COUNTA(C40:AG40)</f>
        <v>707.375</v>
      </c>
      <c r="AJ39" s="55">
        <f>AI39*31</f>
        <v>21928.625</v>
      </c>
    </row>
    <row r="40" spans="2:36" x14ac:dyDescent="0.25">
      <c r="B40" s="168" t="s">
        <v>19</v>
      </c>
      <c r="C40" s="156">
        <v>0</v>
      </c>
      <c r="D40" s="156">
        <v>13</v>
      </c>
      <c r="E40" s="156">
        <v>5</v>
      </c>
      <c r="F40" s="156">
        <v>6</v>
      </c>
      <c r="G40" s="156">
        <v>5</v>
      </c>
      <c r="H40" s="156">
        <v>9</v>
      </c>
      <c r="I40" s="156">
        <v>3</v>
      </c>
      <c r="J40" s="156">
        <v>2</v>
      </c>
      <c r="K40" s="156">
        <v>9</v>
      </c>
      <c r="L40" s="156">
        <v>10</v>
      </c>
      <c r="M40" s="156">
        <v>6</v>
      </c>
      <c r="N40" s="156">
        <v>7</v>
      </c>
      <c r="O40" s="156">
        <v>6</v>
      </c>
      <c r="P40" s="156">
        <v>4</v>
      </c>
      <c r="Q40" s="24">
        <v>3</v>
      </c>
      <c r="R40" s="24">
        <v>9</v>
      </c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157"/>
      <c r="AH40" s="53">
        <f>SUM(C40:AG40)</f>
        <v>97</v>
      </c>
      <c r="AI40" s="38">
        <f>AH40/COUNTA(C40:AG40)</f>
        <v>6.0625</v>
      </c>
      <c r="AJ40" s="56">
        <f>AI40*31</f>
        <v>187.9375</v>
      </c>
    </row>
    <row r="41" spans="2:36" x14ac:dyDescent="0.25">
      <c r="B41" s="168" t="s">
        <v>20</v>
      </c>
      <c r="C41" s="156">
        <v>25</v>
      </c>
      <c r="D41" s="156">
        <v>588</v>
      </c>
      <c r="E41" s="156">
        <v>599</v>
      </c>
      <c r="F41" s="156">
        <v>531</v>
      </c>
      <c r="G41" s="156">
        <v>477</v>
      </c>
      <c r="H41" s="156">
        <v>387</v>
      </c>
      <c r="I41" s="156">
        <v>100</v>
      </c>
      <c r="J41" s="156">
        <v>29</v>
      </c>
      <c r="K41" s="156">
        <v>557</v>
      </c>
      <c r="L41" s="156">
        <v>581</v>
      </c>
      <c r="M41" s="156">
        <v>559</v>
      </c>
      <c r="N41" s="156">
        <v>440</v>
      </c>
      <c r="O41" s="156">
        <v>455</v>
      </c>
      <c r="P41" s="156">
        <v>128</v>
      </c>
      <c r="Q41" s="24">
        <v>35</v>
      </c>
      <c r="R41" s="24">
        <v>672</v>
      </c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157"/>
      <c r="AH41" s="53">
        <f>SUM(C41:AG41)</f>
        <v>6163</v>
      </c>
      <c r="AI41" s="38">
        <f>AH41/COUNTA(C41:AG41)</f>
        <v>385.1875</v>
      </c>
      <c r="AJ41" s="56">
        <f>AI41*31</f>
        <v>11940.8125</v>
      </c>
    </row>
    <row r="42" spans="2:36" ht="15.75" thickBot="1" x14ac:dyDescent="0.3">
      <c r="B42" s="169" t="s">
        <v>21</v>
      </c>
      <c r="C42" s="155">
        <v>46</v>
      </c>
      <c r="D42" s="155">
        <v>668</v>
      </c>
      <c r="E42" s="155">
        <v>565</v>
      </c>
      <c r="F42" s="155">
        <v>487</v>
      </c>
      <c r="G42" s="155">
        <v>389</v>
      </c>
      <c r="H42" s="155">
        <v>339</v>
      </c>
      <c r="I42" s="155">
        <v>92</v>
      </c>
      <c r="J42" s="155">
        <v>24</v>
      </c>
      <c r="K42" s="155">
        <v>411</v>
      </c>
      <c r="L42" s="155">
        <v>368</v>
      </c>
      <c r="M42" s="155">
        <v>380</v>
      </c>
      <c r="N42" s="155">
        <v>388</v>
      </c>
      <c r="O42" s="155">
        <v>343</v>
      </c>
      <c r="P42" s="155">
        <v>103</v>
      </c>
      <c r="Q42" s="25">
        <v>40</v>
      </c>
      <c r="R42" s="25">
        <v>415</v>
      </c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159"/>
      <c r="AH42" s="54">
        <f>SUM(C42:AG42)</f>
        <v>5058</v>
      </c>
      <c r="AI42" s="37">
        <f>AH42/COUNTA(C42:AG42)</f>
        <v>316.125</v>
      </c>
      <c r="AJ42" s="57">
        <f>AI42*31</f>
        <v>9799.875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zoomScaleNormal="100" workbookViewId="0"/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75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</row>
    <row r="2" spans="1:16384" ht="15" customHeight="1" x14ac:dyDescent="0.25">
      <c r="B2" s="186" t="str">
        <f>Indicadores!B38</f>
        <v>Mai - 31 dias</v>
      </c>
      <c r="C2" s="187"/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</v>
      </c>
      <c r="K2" s="1" t="s">
        <v>0</v>
      </c>
      <c r="L2" s="1" t="s">
        <v>1</v>
      </c>
      <c r="M2" s="1" t="s">
        <v>2</v>
      </c>
      <c r="N2" s="1" t="s">
        <v>3</v>
      </c>
      <c r="O2" s="1" t="s">
        <v>4</v>
      </c>
      <c r="P2" s="1" t="s">
        <v>5</v>
      </c>
      <c r="Q2" s="1" t="s">
        <v>10</v>
      </c>
      <c r="R2" s="1" t="s">
        <v>0</v>
      </c>
      <c r="S2" s="1" t="s">
        <v>1</v>
      </c>
      <c r="T2" s="1" t="s">
        <v>2</v>
      </c>
      <c r="U2" s="1" t="s">
        <v>3</v>
      </c>
      <c r="V2" s="1" t="s">
        <v>4</v>
      </c>
      <c r="W2" s="1" t="s">
        <v>5</v>
      </c>
      <c r="X2" s="1" t="s">
        <v>10</v>
      </c>
      <c r="Y2" s="1" t="s">
        <v>0</v>
      </c>
      <c r="Z2" s="1" t="s">
        <v>1</v>
      </c>
      <c r="AA2" s="1" t="s">
        <v>2</v>
      </c>
      <c r="AB2" s="1" t="s">
        <v>3</v>
      </c>
      <c r="AC2" s="1" t="s">
        <v>4</v>
      </c>
      <c r="AD2" s="1" t="s">
        <v>5</v>
      </c>
      <c r="AE2" s="1" t="s">
        <v>10</v>
      </c>
      <c r="AF2" s="1" t="s">
        <v>0</v>
      </c>
      <c r="AG2" s="1" t="s">
        <v>1</v>
      </c>
      <c r="AH2" s="1" t="s">
        <v>2</v>
      </c>
      <c r="AI2" s="171" t="s">
        <v>7</v>
      </c>
      <c r="AJ2" s="172" t="s">
        <v>17</v>
      </c>
      <c r="AK2" s="64" t="s">
        <v>18</v>
      </c>
    </row>
    <row r="3" spans="1:16384" s="50" customFormat="1" x14ac:dyDescent="0.25">
      <c r="A3" s="10"/>
      <c r="B3" s="188" t="s">
        <v>22</v>
      </c>
      <c r="C3" s="189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20388</v>
      </c>
      <c r="AJ3" s="66">
        <f>Indicadores!AI33</f>
        <v>679.6</v>
      </c>
      <c r="AK3" s="55">
        <f>Indicadores!AJ33</f>
        <v>20388</v>
      </c>
    </row>
    <row r="4" spans="1:16384" x14ac:dyDescent="0.25">
      <c r="B4" s="215" t="s">
        <v>19</v>
      </c>
      <c r="C4" s="216"/>
      <c r="D4" s="39">
        <v>0</v>
      </c>
      <c r="E4" s="39">
        <f>IF(Indicadores!D40,Indicadores!D40,"")</f>
        <v>13</v>
      </c>
      <c r="F4" s="39">
        <f>IF(Indicadores!E40,Indicadores!E40,"")</f>
        <v>5</v>
      </c>
      <c r="G4" s="39">
        <f>IF(Indicadores!F40,Indicadores!F40,"")</f>
        <v>6</v>
      </c>
      <c r="H4" s="39">
        <f>IF(Indicadores!G40,Indicadores!G40,"")</f>
        <v>5</v>
      </c>
      <c r="I4" s="39">
        <f>IF(Indicadores!H40,Indicadores!H40,"")</f>
        <v>9</v>
      </c>
      <c r="J4" s="39">
        <f>IF(Indicadores!I40,Indicadores!I40,"")</f>
        <v>3</v>
      </c>
      <c r="K4" s="39">
        <f>IF(Indicadores!J40,Indicadores!J40,"")</f>
        <v>2</v>
      </c>
      <c r="L4" s="39">
        <f>IF(Indicadores!K40,Indicadores!K40,"")</f>
        <v>9</v>
      </c>
      <c r="M4" s="39">
        <f>IF(Indicadores!L40,Indicadores!L40,"")</f>
        <v>10</v>
      </c>
      <c r="N4" s="39">
        <f>IF(Indicadores!M40,Indicadores!M40,"")</f>
        <v>6</v>
      </c>
      <c r="O4" s="39">
        <f>IF(Indicadores!N40,Indicadores!N40,"")</f>
        <v>7</v>
      </c>
      <c r="P4" s="39">
        <f>IF(Indicadores!O40,Indicadores!O40,"")</f>
        <v>6</v>
      </c>
      <c r="Q4" s="39">
        <f>IF(Indicadores!P40,Indicadores!P40,"")</f>
        <v>4</v>
      </c>
      <c r="R4" s="39">
        <f>IF(Indicadores!Q40,Indicadores!Q40,"")</f>
        <v>3</v>
      </c>
      <c r="S4" s="39">
        <f>IF(Indicadores!R40,Indicadores!R40,"")</f>
        <v>9</v>
      </c>
      <c r="T4" s="39" t="str">
        <f>IF(Indicadores!S40,Indicadores!S40,"")</f>
        <v/>
      </c>
      <c r="U4" s="39" t="str">
        <f>IF(Indicadores!T40,Indicadores!T40,"")</f>
        <v/>
      </c>
      <c r="V4" s="39" t="str">
        <f>IF(Indicadores!U40,Indicadores!U40,"")</f>
        <v/>
      </c>
      <c r="W4" s="39" t="str">
        <f>IF(Indicadores!V40,Indicadores!V40,"")</f>
        <v/>
      </c>
      <c r="X4" s="39" t="str">
        <f>IF(Indicadores!W40,Indicadores!W40,"")</f>
        <v/>
      </c>
      <c r="Y4" s="39" t="str">
        <f>IF(Indicadores!X40,Indicadores!X40,"")</f>
        <v/>
      </c>
      <c r="Z4" s="39" t="str">
        <f>IF(Indicadores!Y40,Indicadores!Y40,"")</f>
        <v/>
      </c>
      <c r="AA4" s="39" t="str">
        <f>IF(Indicadores!Z40,Indicadores!Z40,"")</f>
        <v/>
      </c>
      <c r="AB4" s="39" t="str">
        <f>IF(Indicadores!AA40,Indicadores!AA40,"")</f>
        <v/>
      </c>
      <c r="AC4" s="39" t="str">
        <f>IF(Indicadores!AB40,Indicadores!AB40,"")</f>
        <v/>
      </c>
      <c r="AD4" s="39" t="str">
        <f>IF(Indicadores!AC40,Indicadores!AC40,"")</f>
        <v/>
      </c>
      <c r="AE4" s="39" t="str">
        <f>IF(Indicadores!AD40,Indicadores!AD40,"")</f>
        <v/>
      </c>
      <c r="AF4" s="39" t="str">
        <f>IF(Indicadores!AE40,Indicadores!AE40,"")</f>
        <v/>
      </c>
      <c r="AG4" s="39" t="str">
        <f>IF(Indicadores!AF40,Indicadores!AF40,"")</f>
        <v/>
      </c>
      <c r="AH4" s="39" t="str">
        <f>IF(Indicadores!AG40,Indicadores!AG40,"")</f>
        <v/>
      </c>
      <c r="AI4" s="53">
        <f>Indicadores!AH40</f>
        <v>97</v>
      </c>
      <c r="AJ4" s="75">
        <f>Indicadores!AI34</f>
        <v>6.1</v>
      </c>
      <c r="AK4" s="56">
        <f>Indicadores!AJ34</f>
        <v>183</v>
      </c>
    </row>
    <row r="5" spans="1:16384" x14ac:dyDescent="0.25">
      <c r="B5" s="215" t="s">
        <v>20</v>
      </c>
      <c r="C5" s="216"/>
      <c r="D5" s="39">
        <f>IF(Indicadores!C41,Indicadores!C41,"")</f>
        <v>25</v>
      </c>
      <c r="E5" s="39">
        <f>IF(Indicadores!D41,Indicadores!D41,"")</f>
        <v>588</v>
      </c>
      <c r="F5" s="39">
        <f>IF(Indicadores!E41,Indicadores!E41,"")</f>
        <v>599</v>
      </c>
      <c r="G5" s="39">
        <f>IF(Indicadores!F41,Indicadores!F41,"")</f>
        <v>531</v>
      </c>
      <c r="H5" s="39">
        <f>IF(Indicadores!G41,Indicadores!G41,"")</f>
        <v>477</v>
      </c>
      <c r="I5" s="39">
        <f>IF(Indicadores!H41,Indicadores!H41,"")</f>
        <v>387</v>
      </c>
      <c r="J5" s="39">
        <f>IF(Indicadores!I41,Indicadores!I41,"")</f>
        <v>100</v>
      </c>
      <c r="K5" s="39">
        <f>IF(Indicadores!J41,Indicadores!J41,"")</f>
        <v>29</v>
      </c>
      <c r="L5" s="39">
        <f>IF(Indicadores!K41,Indicadores!K41,"")</f>
        <v>557</v>
      </c>
      <c r="M5" s="39">
        <f>IF(Indicadores!L41,Indicadores!L41,"")</f>
        <v>581</v>
      </c>
      <c r="N5" s="39">
        <f>IF(Indicadores!M41,Indicadores!M41,"")</f>
        <v>559</v>
      </c>
      <c r="O5" s="39">
        <f>IF(Indicadores!N41,Indicadores!N41,"")</f>
        <v>440</v>
      </c>
      <c r="P5" s="39">
        <f>IF(Indicadores!O41,Indicadores!O41,"")</f>
        <v>455</v>
      </c>
      <c r="Q5" s="39">
        <f>IF(Indicadores!P41,Indicadores!P41,"")</f>
        <v>128</v>
      </c>
      <c r="R5" s="39">
        <f>IF(Indicadores!Q41,Indicadores!Q41,"")</f>
        <v>35</v>
      </c>
      <c r="S5" s="39">
        <f>IF(Indicadores!R41,Indicadores!R41,"")</f>
        <v>672</v>
      </c>
      <c r="T5" s="39" t="str">
        <f>IF(Indicadores!S41,Indicadores!S41,"")</f>
        <v/>
      </c>
      <c r="U5" s="39" t="str">
        <f>IF(Indicadores!T41,Indicadores!T41,"")</f>
        <v/>
      </c>
      <c r="V5" s="39" t="str">
        <f>IF(Indicadores!U41,Indicadores!U41,"")</f>
        <v/>
      </c>
      <c r="W5" s="39" t="str">
        <f>IF(Indicadores!V41,Indicadores!V41,"")</f>
        <v/>
      </c>
      <c r="X5" s="39" t="str">
        <f>IF(Indicadores!W41,Indicadores!W41,"")</f>
        <v/>
      </c>
      <c r="Y5" s="39" t="str">
        <f>IF(Indicadores!X41,Indicadores!X41,"")</f>
        <v/>
      </c>
      <c r="Z5" s="39" t="str">
        <f>IF(Indicadores!Y41,Indicadores!Y41,"")</f>
        <v/>
      </c>
      <c r="AA5" s="39" t="str">
        <f>IF(Indicadores!Z41,Indicadores!Z41,"")</f>
        <v/>
      </c>
      <c r="AB5" s="39" t="str">
        <f>IF(Indicadores!AA41,Indicadores!AA41,"")</f>
        <v/>
      </c>
      <c r="AC5" s="39" t="str">
        <f>IF(Indicadores!AB41,Indicadores!AB41,"")</f>
        <v/>
      </c>
      <c r="AD5" s="39" t="str">
        <f>IF(Indicadores!AC41,Indicadores!AC41,"")</f>
        <v/>
      </c>
      <c r="AE5" s="39" t="str">
        <f>IF(Indicadores!AD41,Indicadores!AD41,"")</f>
        <v/>
      </c>
      <c r="AF5" s="39" t="str">
        <f>IF(Indicadores!AE41,Indicadores!AE41,"")</f>
        <v/>
      </c>
      <c r="AG5" s="39" t="str">
        <f>IF(Indicadores!AF41,Indicadores!AF41,"")</f>
        <v/>
      </c>
      <c r="AH5" s="39" t="str">
        <f>IF(Indicadores!AG41,Indicadores!AG41,"")</f>
        <v/>
      </c>
      <c r="AI5" s="53">
        <f>Indicadores!AH41</f>
        <v>6163</v>
      </c>
      <c r="AJ5" s="75">
        <f>Indicadores!AI35</f>
        <v>348.8</v>
      </c>
      <c r="AK5" s="56">
        <f>Indicadores!AJ35</f>
        <v>10464</v>
      </c>
    </row>
    <row r="6" spans="1:16384" ht="15.75" thickBot="1" x14ac:dyDescent="0.3">
      <c r="B6" s="217" t="s">
        <v>21</v>
      </c>
      <c r="C6" s="218"/>
      <c r="D6" s="40">
        <f>IF(Indicadores!C42,Indicadores!C42,"")</f>
        <v>46</v>
      </c>
      <c r="E6" s="40">
        <f>IF(Indicadores!D42,Indicadores!D42,"")</f>
        <v>668</v>
      </c>
      <c r="F6" s="40">
        <f>IF(Indicadores!E42,Indicadores!E42,"")</f>
        <v>565</v>
      </c>
      <c r="G6" s="40">
        <f>IF(Indicadores!F42,Indicadores!F42,"")</f>
        <v>487</v>
      </c>
      <c r="H6" s="40">
        <f>IF(Indicadores!G42,Indicadores!G42,"")</f>
        <v>389</v>
      </c>
      <c r="I6" s="40">
        <f>IF(Indicadores!H42,Indicadores!H42,"")</f>
        <v>339</v>
      </c>
      <c r="J6" s="40">
        <f>IF(Indicadores!I42,Indicadores!I42,"")</f>
        <v>92</v>
      </c>
      <c r="K6" s="40">
        <f>IF(Indicadores!J42,Indicadores!J42,"")</f>
        <v>24</v>
      </c>
      <c r="L6" s="40">
        <f>IF(Indicadores!K42,Indicadores!K42,"")</f>
        <v>411</v>
      </c>
      <c r="M6" s="40">
        <f>IF(Indicadores!L42,Indicadores!L42,"")</f>
        <v>368</v>
      </c>
      <c r="N6" s="40">
        <f>IF(Indicadores!M42,Indicadores!M42,"")</f>
        <v>380</v>
      </c>
      <c r="O6" s="40">
        <f>IF(Indicadores!N42,Indicadores!N42,"")</f>
        <v>388</v>
      </c>
      <c r="P6" s="40">
        <f>IF(Indicadores!O42,Indicadores!O42,"")</f>
        <v>343</v>
      </c>
      <c r="Q6" s="40">
        <f>IF(Indicadores!P42,Indicadores!P42,"")</f>
        <v>103</v>
      </c>
      <c r="R6" s="40">
        <f>IF(Indicadores!Q42,Indicadores!Q42,"")</f>
        <v>40</v>
      </c>
      <c r="S6" s="40">
        <f>IF(Indicadores!R42,Indicadores!R42,"")</f>
        <v>415</v>
      </c>
      <c r="T6" s="40" t="str">
        <f>IF(Indicadores!S42,Indicadores!S42,"")</f>
        <v/>
      </c>
      <c r="U6" s="40" t="str">
        <f>IF(Indicadores!T42,Indicadores!T42,"")</f>
        <v/>
      </c>
      <c r="V6" s="40" t="str">
        <f>IF(Indicadores!U42,Indicadores!U42,"")</f>
        <v/>
      </c>
      <c r="W6" s="40" t="str">
        <f>IF(Indicadores!V42,Indicadores!V42,"")</f>
        <v/>
      </c>
      <c r="X6" s="40" t="str">
        <f>IF(Indicadores!W42,Indicadores!W42,"")</f>
        <v/>
      </c>
      <c r="Y6" s="40" t="str">
        <f>IF(Indicadores!X42,Indicadores!X42,"")</f>
        <v/>
      </c>
      <c r="Z6" s="40" t="str">
        <f>IF(Indicadores!Y42,Indicadores!Y42,"")</f>
        <v/>
      </c>
      <c r="AA6" s="40" t="str">
        <f>IF(Indicadores!Z42,Indicadores!Z42,"")</f>
        <v/>
      </c>
      <c r="AB6" s="40" t="str">
        <f>IF(Indicadores!AA42,Indicadores!AA42,"")</f>
        <v/>
      </c>
      <c r="AC6" s="40" t="str">
        <f>IF(Indicadores!AB42,Indicadores!AB42,"")</f>
        <v/>
      </c>
      <c r="AD6" s="40" t="str">
        <f>IF(Indicadores!AC42,Indicadores!AC42,"")</f>
        <v/>
      </c>
      <c r="AE6" s="40" t="str">
        <f>IF(Indicadores!AD42,Indicadores!AD42,"")</f>
        <v/>
      </c>
      <c r="AF6" s="40" t="str">
        <f>IF(Indicadores!AE42,Indicadores!AE42,"")</f>
        <v/>
      </c>
      <c r="AG6" s="40" t="str">
        <f>IF(Indicadores!AF42,Indicadores!AF42,"")</f>
        <v/>
      </c>
      <c r="AH6" s="40" t="str">
        <f>IF(Indicadores!AG42,Indicadores!AG42,"")</f>
        <v/>
      </c>
      <c r="AI6" s="54">
        <f>Indicadores!AH42</f>
        <v>5058</v>
      </c>
      <c r="AJ6" s="42">
        <f>Indicadores!AI36</f>
        <v>324.7</v>
      </c>
      <c r="AK6" s="56">
        <f>Indicadores!AJ36</f>
        <v>9741</v>
      </c>
    </row>
    <row r="7" spans="1:16384" ht="15.75" thickBot="1" x14ac:dyDescent="0.3">
      <c r="C7" s="204"/>
      <c r="D7" s="205"/>
      <c r="E7" s="205"/>
      <c r="F7" s="205"/>
      <c r="G7" s="205"/>
      <c r="H7" s="205"/>
      <c r="I7" s="205"/>
      <c r="J7" s="205"/>
      <c r="K7" s="205"/>
      <c r="L7" s="205"/>
      <c r="M7" s="205"/>
      <c r="N7" s="205"/>
      <c r="O7" s="205"/>
      <c r="P7" s="205"/>
      <c r="Q7" s="205"/>
      <c r="R7" s="205"/>
      <c r="S7" s="205"/>
      <c r="T7" s="205"/>
      <c r="U7" s="205"/>
      <c r="V7" s="205"/>
      <c r="W7" s="205"/>
      <c r="X7" s="205"/>
      <c r="Y7" s="205"/>
      <c r="Z7" s="205"/>
      <c r="AA7" s="205"/>
      <c r="AB7" s="205"/>
      <c r="AC7" s="205"/>
      <c r="AD7" s="205"/>
      <c r="AE7" s="205"/>
      <c r="AF7" s="205"/>
      <c r="AG7" s="205"/>
      <c r="AH7" s="205"/>
      <c r="AI7" s="206"/>
      <c r="AJ7" s="206"/>
      <c r="AK7" s="206"/>
    </row>
    <row r="8" spans="1:16384" ht="15" customHeight="1" x14ac:dyDescent="0.25">
      <c r="B8" s="186" t="str">
        <f>B2</f>
        <v>Mai - 31 dias</v>
      </c>
      <c r="C8" s="187"/>
      <c r="D8" s="1" t="s">
        <v>0</v>
      </c>
      <c r="E8" s="1" t="s">
        <v>1</v>
      </c>
      <c r="F8" s="1" t="s">
        <v>2</v>
      </c>
      <c r="G8" s="1" t="s">
        <v>3</v>
      </c>
      <c r="H8" s="1" t="s">
        <v>4</v>
      </c>
      <c r="I8" s="1" t="s">
        <v>5</v>
      </c>
      <c r="J8" s="1" t="s">
        <v>10</v>
      </c>
      <c r="K8" s="1" t="s">
        <v>0</v>
      </c>
      <c r="L8" s="1" t="s">
        <v>1</v>
      </c>
      <c r="M8" s="1" t="s">
        <v>2</v>
      </c>
      <c r="N8" s="1" t="s">
        <v>3</v>
      </c>
      <c r="O8" s="1" t="s">
        <v>4</v>
      </c>
      <c r="P8" s="1" t="s">
        <v>5</v>
      </c>
      <c r="Q8" s="1" t="s">
        <v>10</v>
      </c>
      <c r="R8" s="1" t="s">
        <v>0</v>
      </c>
      <c r="S8" s="1" t="s">
        <v>1</v>
      </c>
      <c r="T8" s="1" t="s">
        <v>2</v>
      </c>
      <c r="U8" s="1" t="s">
        <v>3</v>
      </c>
      <c r="V8" s="1" t="s">
        <v>4</v>
      </c>
      <c r="W8" s="1" t="s">
        <v>5</v>
      </c>
      <c r="X8" s="1" t="s">
        <v>10</v>
      </c>
      <c r="Y8" s="1" t="s">
        <v>0</v>
      </c>
      <c r="Z8" s="1" t="s">
        <v>1</v>
      </c>
      <c r="AA8" s="1" t="s">
        <v>2</v>
      </c>
      <c r="AB8" s="1" t="s">
        <v>3</v>
      </c>
      <c r="AC8" s="1" t="s">
        <v>4</v>
      </c>
      <c r="AD8" s="1" t="s">
        <v>5</v>
      </c>
      <c r="AE8" s="1" t="s">
        <v>10</v>
      </c>
      <c r="AF8" s="1" t="s">
        <v>0</v>
      </c>
      <c r="AG8" s="1" t="s">
        <v>1</v>
      </c>
      <c r="AH8" s="1" t="s">
        <v>2</v>
      </c>
      <c r="AI8" s="171" t="s">
        <v>7</v>
      </c>
      <c r="AJ8" s="172" t="s">
        <v>17</v>
      </c>
      <c r="AK8" s="64" t="s">
        <v>18</v>
      </c>
    </row>
    <row r="9" spans="1:16384" s="50" customFormat="1" x14ac:dyDescent="0.25">
      <c r="A9" s="10"/>
      <c r="B9" s="188" t="s">
        <v>27</v>
      </c>
      <c r="C9" s="189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>SUM(AI10:AI12)</f>
        <v>19121.999999999996</v>
      </c>
      <c r="AJ9" s="66">
        <f>SUM(AJ10:AJ12)</f>
        <v>616.83870967741927</v>
      </c>
      <c r="AK9" s="55">
        <f>SUM(AK10:AK12)</f>
        <v>18505.16129032258</v>
      </c>
    </row>
    <row r="10" spans="1:16384" x14ac:dyDescent="0.25">
      <c r="B10" s="101" t="s">
        <v>19</v>
      </c>
      <c r="C10" s="103" t="s">
        <v>35</v>
      </c>
      <c r="D10" s="51">
        <v>1.2478336221837087</v>
      </c>
      <c r="E10" s="51">
        <v>9.6707105719237436</v>
      </c>
      <c r="F10" s="51">
        <v>9.98266897746967</v>
      </c>
      <c r="G10" s="51">
        <v>7.4870017331022538</v>
      </c>
      <c r="H10" s="51">
        <v>8.734835355285961</v>
      </c>
      <c r="I10" s="51">
        <v>8.4228769497400346</v>
      </c>
      <c r="J10" s="51">
        <v>3.4315424610051992</v>
      </c>
      <c r="K10" s="51">
        <v>1.2478336221837087</v>
      </c>
      <c r="L10" s="51">
        <v>8.734835355285961</v>
      </c>
      <c r="M10" s="51">
        <v>5.9272097053726167</v>
      </c>
      <c r="N10" s="51">
        <v>7.1750433275563257</v>
      </c>
      <c r="O10" s="51">
        <v>10.918544194107453</v>
      </c>
      <c r="P10" s="51">
        <v>7.1750433275563257</v>
      </c>
      <c r="Q10" s="51">
        <v>0.62391681109185437</v>
      </c>
      <c r="R10" s="51">
        <v>1.2478336221837087</v>
      </c>
      <c r="S10" s="51">
        <v>9.3587521663778155</v>
      </c>
      <c r="T10" s="51">
        <v>10.294627383015598</v>
      </c>
      <c r="U10" s="51">
        <v>9.0467937608318891</v>
      </c>
      <c r="V10" s="51">
        <v>6.5511265164644712</v>
      </c>
      <c r="W10" s="51">
        <v>6.5511265164644712</v>
      </c>
      <c r="X10" s="51">
        <v>1.8717504332755635</v>
      </c>
      <c r="Y10" s="51">
        <v>0.62391681109185437</v>
      </c>
      <c r="Z10" s="51">
        <v>5.3032928942807631</v>
      </c>
      <c r="AA10" s="51">
        <v>6.5511265164644712</v>
      </c>
      <c r="AB10" s="51">
        <v>6.5511265164644712</v>
      </c>
      <c r="AC10" s="51">
        <v>7.1750433275563257</v>
      </c>
      <c r="AD10" s="51">
        <v>6.5511265164644712</v>
      </c>
      <c r="AE10" s="51">
        <v>4.6793760831889077</v>
      </c>
      <c r="AF10" s="51">
        <v>0.93587521663778173</v>
      </c>
      <c r="AG10" s="43">
        <v>2.8076256499133447</v>
      </c>
      <c r="AH10" s="44">
        <v>3.119584055459272</v>
      </c>
      <c r="AI10" s="105">
        <f>SUM(D10:AH10)</f>
        <v>180.00000000000003</v>
      </c>
      <c r="AJ10" s="106">
        <f>AI10/COUNTA(C10:AG10)</f>
        <v>5.8064516129032269</v>
      </c>
      <c r="AK10" s="107">
        <f>AJ10*30</f>
        <v>174.1935483870968</v>
      </c>
    </row>
    <row r="11" spans="1:16384" x14ac:dyDescent="0.25">
      <c r="B11" s="101" t="s">
        <v>20</v>
      </c>
      <c r="C11" s="103" t="s">
        <v>35</v>
      </c>
      <c r="D11" s="51">
        <v>46.029729081754972</v>
      </c>
      <c r="E11" s="51">
        <v>488.98705346439704</v>
      </c>
      <c r="F11" s="51">
        <v>612.57372332773912</v>
      </c>
      <c r="G11" s="51">
        <v>576.63270198993052</v>
      </c>
      <c r="H11" s="51">
        <v>514.52409494126107</v>
      </c>
      <c r="I11" s="51">
        <v>504.43538719731475</v>
      </c>
      <c r="J11" s="51">
        <v>102.46343802445458</v>
      </c>
      <c r="K11" s="51">
        <v>46.029729081754972</v>
      </c>
      <c r="L11" s="51">
        <v>435.07552145768398</v>
      </c>
      <c r="M11" s="51">
        <v>383.37089426995919</v>
      </c>
      <c r="N11" s="51">
        <v>550.14984416207153</v>
      </c>
      <c r="O11" s="51">
        <v>502.54375449532489</v>
      </c>
      <c r="P11" s="51">
        <v>458.40565811555985</v>
      </c>
      <c r="Q11" s="51">
        <v>113.18269000239751</v>
      </c>
      <c r="R11" s="51">
        <v>30.896667465835527</v>
      </c>
      <c r="S11" s="51">
        <v>540.69168065212182</v>
      </c>
      <c r="T11" s="51">
        <v>500.96739391033321</v>
      </c>
      <c r="U11" s="51">
        <v>406.38575881083676</v>
      </c>
      <c r="V11" s="51">
        <v>362.87820666506832</v>
      </c>
      <c r="W11" s="51">
        <v>382.74035003596259</v>
      </c>
      <c r="X11" s="51">
        <v>108.13833613042436</v>
      </c>
      <c r="Y11" s="51">
        <v>36.256293454807</v>
      </c>
      <c r="Z11" s="51">
        <v>595.86430112682808</v>
      </c>
      <c r="AA11" s="51">
        <v>479.21361783744902</v>
      </c>
      <c r="AB11" s="51">
        <v>464.39582833852791</v>
      </c>
      <c r="AC11" s="51">
        <v>465.65691680652122</v>
      </c>
      <c r="AD11" s="51">
        <v>329.77463438024455</v>
      </c>
      <c r="AE11" s="51">
        <v>133.67537760728842</v>
      </c>
      <c r="AF11" s="51">
        <v>24.90649724286742</v>
      </c>
      <c r="AG11" s="43">
        <v>190.10908654998804</v>
      </c>
      <c r="AH11" s="44">
        <v>133.04483337329179</v>
      </c>
      <c r="AI11" s="105">
        <f>SUM(D11:AH11)</f>
        <v>10520</v>
      </c>
      <c r="AJ11" s="106">
        <f>AI11/COUNTA(C11:AG11)</f>
        <v>339.35483870967744</v>
      </c>
      <c r="AK11" s="107">
        <f>AJ11*30</f>
        <v>10180.645161290324</v>
      </c>
    </row>
    <row r="12" spans="1:16384" ht="15.75" thickBot="1" x14ac:dyDescent="0.3">
      <c r="B12" s="102" t="s">
        <v>21</v>
      </c>
      <c r="C12" s="104" t="s">
        <v>35</v>
      </c>
      <c r="D12" s="149">
        <v>40.012669253305887</v>
      </c>
      <c r="E12" s="149">
        <v>388.45633066751128</v>
      </c>
      <c r="F12" s="149">
        <v>521.83189484519755</v>
      </c>
      <c r="G12" s="149">
        <v>452.14316256235651</v>
      </c>
      <c r="H12" s="149">
        <v>411.46361548816219</v>
      </c>
      <c r="I12" s="149">
        <v>362.11465674241828</v>
      </c>
      <c r="J12" s="149">
        <v>89.695066909494017</v>
      </c>
      <c r="K12" s="149">
        <v>39.345791432417457</v>
      </c>
      <c r="L12" s="149">
        <v>414.13112677171586</v>
      </c>
      <c r="M12" s="149">
        <v>335.77298281732516</v>
      </c>
      <c r="N12" s="149">
        <v>407.79578747327577</v>
      </c>
      <c r="O12" s="149">
        <v>374.11845751841003</v>
      </c>
      <c r="P12" s="149">
        <v>329.43764351888507</v>
      </c>
      <c r="Q12" s="149">
        <v>90.361944730382461</v>
      </c>
      <c r="R12" s="149">
        <v>40.679547074194311</v>
      </c>
      <c r="S12" s="149">
        <v>451.47628474146802</v>
      </c>
      <c r="T12" s="149">
        <v>393.79135323461873</v>
      </c>
      <c r="U12" s="149">
        <v>338.77393301132315</v>
      </c>
      <c r="V12" s="149">
        <v>252.41325520627126</v>
      </c>
      <c r="W12" s="149">
        <v>289.75841317602345</v>
      </c>
      <c r="X12" s="149">
        <v>127.3736637896904</v>
      </c>
      <c r="Y12" s="149">
        <v>47.681764193522845</v>
      </c>
      <c r="Z12" s="149">
        <v>423.80085517459815</v>
      </c>
      <c r="AA12" s="149">
        <v>364.11529020508357</v>
      </c>
      <c r="AB12" s="149">
        <v>343.77551666798638</v>
      </c>
      <c r="AC12" s="149">
        <v>398.12605907039352</v>
      </c>
      <c r="AD12" s="149">
        <v>275.4205400269222</v>
      </c>
      <c r="AE12" s="149">
        <v>134.37588090901892</v>
      </c>
      <c r="AF12" s="149">
        <v>27.008551745981471</v>
      </c>
      <c r="AG12" s="45">
        <v>130.37461398368833</v>
      </c>
      <c r="AH12" s="46">
        <v>126.37334705835775</v>
      </c>
      <c r="AI12" s="108">
        <f>SUM(D12:AH12)</f>
        <v>8421.9999999999964</v>
      </c>
      <c r="AJ12" s="109">
        <f>AI12/COUNTA(C12:AG12)</f>
        <v>271.67741935483861</v>
      </c>
      <c r="AK12" s="110">
        <f>AJ12*30</f>
        <v>8150.3225806451583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6" t="str">
        <f>B8</f>
        <v>Mai - 31 dias</v>
      </c>
      <c r="C14" s="187"/>
      <c r="D14" s="1" t="s">
        <v>0</v>
      </c>
      <c r="E14" s="1" t="s">
        <v>1</v>
      </c>
      <c r="F14" s="1" t="s">
        <v>2</v>
      </c>
      <c r="G14" s="1" t="s">
        <v>3</v>
      </c>
      <c r="H14" s="1" t="s">
        <v>4</v>
      </c>
      <c r="I14" s="1" t="s">
        <v>5</v>
      </c>
      <c r="J14" s="1" t="s">
        <v>10</v>
      </c>
      <c r="K14" s="1" t="s">
        <v>0</v>
      </c>
      <c r="L14" s="1" t="s">
        <v>1</v>
      </c>
      <c r="M14" s="1" t="s">
        <v>2</v>
      </c>
      <c r="N14" s="1" t="s">
        <v>3</v>
      </c>
      <c r="O14" s="1" t="s">
        <v>4</v>
      </c>
      <c r="P14" s="1" t="s">
        <v>5</v>
      </c>
      <c r="Q14" s="1" t="s">
        <v>10</v>
      </c>
      <c r="R14" s="1" t="s">
        <v>0</v>
      </c>
      <c r="S14" s="1" t="s">
        <v>1</v>
      </c>
      <c r="T14" s="1" t="s">
        <v>2</v>
      </c>
      <c r="U14" s="1" t="s">
        <v>3</v>
      </c>
      <c r="V14" s="1" t="s">
        <v>4</v>
      </c>
      <c r="W14" s="1" t="s">
        <v>5</v>
      </c>
      <c r="X14" s="1" t="s">
        <v>10</v>
      </c>
      <c r="Y14" s="1" t="s">
        <v>0</v>
      </c>
      <c r="Z14" s="1" t="s">
        <v>1</v>
      </c>
      <c r="AA14" s="1" t="s">
        <v>2</v>
      </c>
      <c r="AB14" s="1" t="s">
        <v>3</v>
      </c>
      <c r="AC14" s="1" t="s">
        <v>4</v>
      </c>
      <c r="AD14" s="1" t="s">
        <v>5</v>
      </c>
      <c r="AE14" s="1" t="s">
        <v>10</v>
      </c>
      <c r="AF14" s="1" t="s">
        <v>0</v>
      </c>
      <c r="AG14" s="1" t="s">
        <v>1</v>
      </c>
      <c r="AH14" s="1" t="s">
        <v>2</v>
      </c>
      <c r="AI14" s="171" t="s">
        <v>7</v>
      </c>
      <c r="AJ14" s="172" t="s">
        <v>17</v>
      </c>
      <c r="AK14" s="64" t="s">
        <v>18</v>
      </c>
    </row>
    <row r="15" spans="1:16384" s="114" customFormat="1" x14ac:dyDescent="0.25">
      <c r="A15" s="10"/>
      <c r="B15" s="188" t="s">
        <v>18</v>
      </c>
      <c r="C15" s="189"/>
      <c r="D15" s="49">
        <f>D9</f>
        <v>42430</v>
      </c>
      <c r="E15" s="49">
        <f>E9</f>
        <v>42431</v>
      </c>
      <c r="F15" s="49">
        <f t="shared" ref="F15:AH15" si="1">F9</f>
        <v>42432</v>
      </c>
      <c r="G15" s="49">
        <f t="shared" si="1"/>
        <v>42433</v>
      </c>
      <c r="H15" s="49">
        <f t="shared" si="1"/>
        <v>42434</v>
      </c>
      <c r="I15" s="49">
        <f t="shared" si="1"/>
        <v>42435</v>
      </c>
      <c r="J15" s="49">
        <f t="shared" si="1"/>
        <v>42436</v>
      </c>
      <c r="K15" s="49">
        <f t="shared" si="1"/>
        <v>42437</v>
      </c>
      <c r="L15" s="49">
        <f t="shared" si="1"/>
        <v>42438</v>
      </c>
      <c r="M15" s="49">
        <f t="shared" si="1"/>
        <v>42439</v>
      </c>
      <c r="N15" s="49">
        <f t="shared" si="1"/>
        <v>42440</v>
      </c>
      <c r="O15" s="49">
        <f t="shared" si="1"/>
        <v>42441</v>
      </c>
      <c r="P15" s="49">
        <f t="shared" si="1"/>
        <v>42442</v>
      </c>
      <c r="Q15" s="49">
        <f t="shared" si="1"/>
        <v>42443</v>
      </c>
      <c r="R15" s="49">
        <f t="shared" si="1"/>
        <v>42444</v>
      </c>
      <c r="S15" s="49">
        <f t="shared" si="1"/>
        <v>42445</v>
      </c>
      <c r="T15" s="49">
        <f t="shared" si="1"/>
        <v>42446</v>
      </c>
      <c r="U15" s="49">
        <f t="shared" si="1"/>
        <v>42447</v>
      </c>
      <c r="V15" s="49">
        <f t="shared" si="1"/>
        <v>42448</v>
      </c>
      <c r="W15" s="49">
        <f t="shared" si="1"/>
        <v>42449</v>
      </c>
      <c r="X15" s="49">
        <f t="shared" si="1"/>
        <v>42450</v>
      </c>
      <c r="Y15" s="49">
        <f t="shared" si="1"/>
        <v>42451</v>
      </c>
      <c r="Z15" s="49">
        <f t="shared" si="1"/>
        <v>42452</v>
      </c>
      <c r="AA15" s="49">
        <f t="shared" si="1"/>
        <v>42453</v>
      </c>
      <c r="AB15" s="49">
        <f t="shared" si="1"/>
        <v>42454</v>
      </c>
      <c r="AC15" s="49">
        <f t="shared" si="1"/>
        <v>42455</v>
      </c>
      <c r="AD15" s="49">
        <f t="shared" si="1"/>
        <v>42456</v>
      </c>
      <c r="AE15" s="49">
        <f t="shared" si="1"/>
        <v>42457</v>
      </c>
      <c r="AF15" s="49">
        <f t="shared" si="1"/>
        <v>42458</v>
      </c>
      <c r="AG15" s="49">
        <f t="shared" si="1"/>
        <v>42459</v>
      </c>
      <c r="AH15" s="49">
        <f t="shared" si="1"/>
        <v>42460</v>
      </c>
      <c r="AI15" s="52">
        <f>SUM(AI16:AI18)</f>
        <v>19683.783987921488</v>
      </c>
      <c r="AJ15" s="66">
        <f>SUM(AJ16:AJ18)</f>
        <v>634.96077380391898</v>
      </c>
      <c r="AK15" s="55">
        <f>SUM(AK16:AK18)</f>
        <v>18505.16129032258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0</v>
      </c>
      <c r="E16" s="137">
        <f t="shared" ref="E16:AG16" si="2">IF(E4&lt;&gt;"",E4,E10)</f>
        <v>13</v>
      </c>
      <c r="F16" s="137">
        <f t="shared" si="2"/>
        <v>5</v>
      </c>
      <c r="G16" s="137">
        <f t="shared" si="2"/>
        <v>6</v>
      </c>
      <c r="H16" s="137">
        <f t="shared" si="2"/>
        <v>5</v>
      </c>
      <c r="I16" s="137">
        <f t="shared" si="2"/>
        <v>9</v>
      </c>
      <c r="J16" s="137">
        <f t="shared" si="2"/>
        <v>3</v>
      </c>
      <c r="K16" s="137">
        <f t="shared" si="2"/>
        <v>2</v>
      </c>
      <c r="L16" s="137">
        <f t="shared" si="2"/>
        <v>9</v>
      </c>
      <c r="M16" s="137">
        <f t="shared" si="2"/>
        <v>10</v>
      </c>
      <c r="N16" s="137">
        <f t="shared" si="2"/>
        <v>6</v>
      </c>
      <c r="O16" s="137">
        <f t="shared" si="2"/>
        <v>7</v>
      </c>
      <c r="P16" s="137">
        <f t="shared" si="2"/>
        <v>6</v>
      </c>
      <c r="Q16" s="137">
        <f t="shared" si="2"/>
        <v>4</v>
      </c>
      <c r="R16" s="137">
        <f t="shared" si="2"/>
        <v>3</v>
      </c>
      <c r="S16" s="137">
        <f t="shared" si="2"/>
        <v>9</v>
      </c>
      <c r="T16" s="137">
        <f t="shared" si="2"/>
        <v>10.294627383015598</v>
      </c>
      <c r="U16" s="137">
        <f t="shared" si="2"/>
        <v>9.0467937608318891</v>
      </c>
      <c r="V16" s="137">
        <f t="shared" si="2"/>
        <v>6.5511265164644712</v>
      </c>
      <c r="W16" s="137">
        <f t="shared" si="2"/>
        <v>6.5511265164644712</v>
      </c>
      <c r="X16" s="137">
        <f t="shared" si="2"/>
        <v>1.8717504332755635</v>
      </c>
      <c r="Y16" s="137">
        <f t="shared" si="2"/>
        <v>0.62391681109185437</v>
      </c>
      <c r="Z16" s="137">
        <f t="shared" si="2"/>
        <v>5.3032928942807631</v>
      </c>
      <c r="AA16" s="137">
        <f t="shared" si="2"/>
        <v>6.5511265164644712</v>
      </c>
      <c r="AB16" s="137">
        <f t="shared" si="2"/>
        <v>6.5511265164644712</v>
      </c>
      <c r="AC16" s="137">
        <f t="shared" si="2"/>
        <v>7.1750433275563257</v>
      </c>
      <c r="AD16" s="137">
        <f t="shared" si="2"/>
        <v>6.5511265164644712</v>
      </c>
      <c r="AE16" s="137">
        <f t="shared" si="2"/>
        <v>4.6793760831889077</v>
      </c>
      <c r="AF16" s="137">
        <f t="shared" si="2"/>
        <v>0.93587521663778173</v>
      </c>
      <c r="AG16" s="137">
        <f t="shared" si="2"/>
        <v>2.8076256499133447</v>
      </c>
      <c r="AH16" s="137">
        <f t="shared" ref="AH16" si="3">IF(AH4&lt;&gt;"",AH4,AH10)</f>
        <v>3.119584055459272</v>
      </c>
      <c r="AI16" s="105">
        <f>SUM(D16:AH16)</f>
        <v>175.61351819757368</v>
      </c>
      <c r="AJ16" s="106">
        <f>AI16/COUNTA(C16:AG16)</f>
        <v>5.664952199921732</v>
      </c>
      <c r="AK16" s="107">
        <f t="shared" ref="AK16" si="4">AK10</f>
        <v>174.1935483870968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25</v>
      </c>
      <c r="E17" s="137">
        <f t="shared" ref="E17:AG17" si="5">IF(E5&lt;&gt;"",E5,E11)</f>
        <v>588</v>
      </c>
      <c r="F17" s="137">
        <f t="shared" si="5"/>
        <v>599</v>
      </c>
      <c r="G17" s="137">
        <f t="shared" si="5"/>
        <v>531</v>
      </c>
      <c r="H17" s="137">
        <f t="shared" si="5"/>
        <v>477</v>
      </c>
      <c r="I17" s="137">
        <f t="shared" si="5"/>
        <v>387</v>
      </c>
      <c r="J17" s="137">
        <f t="shared" si="5"/>
        <v>100</v>
      </c>
      <c r="K17" s="137">
        <f t="shared" si="5"/>
        <v>29</v>
      </c>
      <c r="L17" s="137">
        <f t="shared" si="5"/>
        <v>557</v>
      </c>
      <c r="M17" s="137">
        <f t="shared" si="5"/>
        <v>581</v>
      </c>
      <c r="N17" s="137">
        <f t="shared" si="5"/>
        <v>559</v>
      </c>
      <c r="O17" s="137">
        <f t="shared" si="5"/>
        <v>440</v>
      </c>
      <c r="P17" s="137">
        <f t="shared" si="5"/>
        <v>455</v>
      </c>
      <c r="Q17" s="137">
        <f t="shared" si="5"/>
        <v>128</v>
      </c>
      <c r="R17" s="137">
        <f t="shared" si="5"/>
        <v>35</v>
      </c>
      <c r="S17" s="137">
        <f t="shared" si="5"/>
        <v>672</v>
      </c>
      <c r="T17" s="137">
        <f t="shared" si="5"/>
        <v>500.96739391033321</v>
      </c>
      <c r="U17" s="137">
        <f t="shared" si="5"/>
        <v>406.38575881083676</v>
      </c>
      <c r="V17" s="137">
        <f t="shared" si="5"/>
        <v>362.87820666506832</v>
      </c>
      <c r="W17" s="137">
        <f t="shared" si="5"/>
        <v>382.74035003596259</v>
      </c>
      <c r="X17" s="137">
        <f t="shared" si="5"/>
        <v>108.13833613042436</v>
      </c>
      <c r="Y17" s="137">
        <f t="shared" si="5"/>
        <v>36.256293454807</v>
      </c>
      <c r="Z17" s="137">
        <f t="shared" si="5"/>
        <v>595.86430112682808</v>
      </c>
      <c r="AA17" s="137">
        <f t="shared" si="5"/>
        <v>479.21361783744902</v>
      </c>
      <c r="AB17" s="137">
        <f t="shared" si="5"/>
        <v>464.39582833852791</v>
      </c>
      <c r="AC17" s="137">
        <f t="shared" si="5"/>
        <v>465.65691680652122</v>
      </c>
      <c r="AD17" s="137">
        <f t="shared" si="5"/>
        <v>329.77463438024455</v>
      </c>
      <c r="AE17" s="137">
        <f t="shared" si="5"/>
        <v>133.67537760728842</v>
      </c>
      <c r="AF17" s="137">
        <f t="shared" si="5"/>
        <v>24.90649724286742</v>
      </c>
      <c r="AG17" s="137">
        <f t="shared" si="5"/>
        <v>190.10908654998804</v>
      </c>
      <c r="AH17" s="137">
        <f t="shared" ref="AH17" si="6">IF(AH5&lt;&gt;"",AH5,AH11)</f>
        <v>133.04483337329179</v>
      </c>
      <c r="AI17" s="105">
        <f>SUM(D17:AH17)</f>
        <v>10777.007432270439</v>
      </c>
      <c r="AJ17" s="106">
        <f>AI17/COUNTA(C17:AG17)</f>
        <v>347.64540104098188</v>
      </c>
      <c r="AK17" s="107">
        <f t="shared" ref="AK17" si="7">AK11</f>
        <v>10180.645161290324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46</v>
      </c>
      <c r="E18" s="148">
        <f t="shared" ref="E18:AG18" si="8">IF(E6&lt;&gt;"",E6,E12)</f>
        <v>668</v>
      </c>
      <c r="F18" s="148">
        <f t="shared" si="8"/>
        <v>565</v>
      </c>
      <c r="G18" s="148">
        <f t="shared" si="8"/>
        <v>487</v>
      </c>
      <c r="H18" s="148">
        <f t="shared" si="8"/>
        <v>389</v>
      </c>
      <c r="I18" s="148">
        <f t="shared" si="8"/>
        <v>339</v>
      </c>
      <c r="J18" s="148">
        <f t="shared" si="8"/>
        <v>92</v>
      </c>
      <c r="K18" s="148">
        <f t="shared" si="8"/>
        <v>24</v>
      </c>
      <c r="L18" s="148">
        <f t="shared" si="8"/>
        <v>411</v>
      </c>
      <c r="M18" s="148">
        <f t="shared" si="8"/>
        <v>368</v>
      </c>
      <c r="N18" s="148">
        <f t="shared" si="8"/>
        <v>380</v>
      </c>
      <c r="O18" s="148">
        <f t="shared" si="8"/>
        <v>388</v>
      </c>
      <c r="P18" s="148">
        <f t="shared" si="8"/>
        <v>343</v>
      </c>
      <c r="Q18" s="148">
        <f t="shared" si="8"/>
        <v>103</v>
      </c>
      <c r="R18" s="148">
        <f t="shared" si="8"/>
        <v>40</v>
      </c>
      <c r="S18" s="148">
        <f t="shared" si="8"/>
        <v>415</v>
      </c>
      <c r="T18" s="148">
        <f t="shared" si="8"/>
        <v>393.79135323461873</v>
      </c>
      <c r="U18" s="148">
        <f t="shared" si="8"/>
        <v>338.77393301132315</v>
      </c>
      <c r="V18" s="148">
        <f t="shared" si="8"/>
        <v>252.41325520627126</v>
      </c>
      <c r="W18" s="148">
        <f t="shared" si="8"/>
        <v>289.75841317602345</v>
      </c>
      <c r="X18" s="148">
        <f t="shared" si="8"/>
        <v>127.3736637896904</v>
      </c>
      <c r="Y18" s="148">
        <f t="shared" si="8"/>
        <v>47.681764193522845</v>
      </c>
      <c r="Z18" s="148">
        <f t="shared" si="8"/>
        <v>423.80085517459815</v>
      </c>
      <c r="AA18" s="148">
        <f t="shared" si="8"/>
        <v>364.11529020508357</v>
      </c>
      <c r="AB18" s="148">
        <f t="shared" si="8"/>
        <v>343.77551666798638</v>
      </c>
      <c r="AC18" s="148">
        <f t="shared" si="8"/>
        <v>398.12605907039352</v>
      </c>
      <c r="AD18" s="148">
        <f t="shared" si="8"/>
        <v>275.4205400269222</v>
      </c>
      <c r="AE18" s="148">
        <f t="shared" si="8"/>
        <v>134.37588090901892</v>
      </c>
      <c r="AF18" s="148">
        <f t="shared" si="8"/>
        <v>27.008551745981471</v>
      </c>
      <c r="AG18" s="148">
        <f t="shared" si="8"/>
        <v>130.37461398368833</v>
      </c>
      <c r="AH18" s="148">
        <f t="shared" ref="AH18" si="9">IF(AH6&lt;&gt;"",AH6,AH12)</f>
        <v>126.37334705835775</v>
      </c>
      <c r="AI18" s="108">
        <f>SUM(D18:AH18)</f>
        <v>8731.163037453478</v>
      </c>
      <c r="AJ18" s="109">
        <f>AI18/COUNTA(C18:AG18)</f>
        <v>281.65042056301542</v>
      </c>
      <c r="AK18" s="110">
        <f t="shared" ref="AK18" si="10">AK12</f>
        <v>8150.3225806451583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73" t="str">
        <f>B14</f>
        <v>Mai - 31 dias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207" t="s">
        <v>30</v>
      </c>
      <c r="K20" s="208"/>
      <c r="L20" s="219" t="s">
        <v>32</v>
      </c>
      <c r="M20" s="219"/>
      <c r="N20" s="211" t="s">
        <v>32</v>
      </c>
      <c r="O20" s="212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11318</v>
      </c>
      <c r="D21" s="142">
        <f>SUM(D22:D24)</f>
        <v>19683.783987921488</v>
      </c>
      <c r="E21" s="143">
        <f>SUM(E22:E24)</f>
        <v>19121.999999999996</v>
      </c>
      <c r="F21" s="138">
        <f>(D21-E21)/E21</f>
        <v>2.9378934626163151E-2</v>
      </c>
      <c r="G21" s="133">
        <f>F21</f>
        <v>2.9378934626163151E-2</v>
      </c>
      <c r="H21" s="12"/>
      <c r="I21" s="32"/>
      <c r="J21" s="192">
        <v>7.22</v>
      </c>
      <c r="K21" s="193"/>
      <c r="L21" s="198">
        <v>207</v>
      </c>
      <c r="M21" s="198"/>
      <c r="N21" s="180">
        <v>15639</v>
      </c>
      <c r="O21" s="181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97</v>
      </c>
      <c r="D22" s="145">
        <f>AI16</f>
        <v>175.61351819757368</v>
      </c>
      <c r="E22" s="143">
        <f>$AI$10</f>
        <v>180.00000000000003</v>
      </c>
      <c r="F22" s="139">
        <f t="shared" ref="F22:F24" si="11">(D22-E22)/E22</f>
        <v>-2.4369343346813028E-2</v>
      </c>
      <c r="G22" s="133">
        <f>F22</f>
        <v>-2.4369343346813028E-2</v>
      </c>
      <c r="H22" s="12"/>
      <c r="I22" s="32"/>
      <c r="J22" s="209" t="s">
        <v>13</v>
      </c>
      <c r="K22" s="210"/>
      <c r="L22" s="199" t="s">
        <v>13</v>
      </c>
      <c r="M22" s="199"/>
      <c r="N22" s="213" t="s">
        <v>15</v>
      </c>
      <c r="O22" s="214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6163</v>
      </c>
      <c r="D23" s="145">
        <f>AI17</f>
        <v>10777.007432270439</v>
      </c>
      <c r="E23" s="143">
        <f>AI11</f>
        <v>10520</v>
      </c>
      <c r="F23" s="139">
        <f t="shared" si="11"/>
        <v>2.4430364284262224E-2</v>
      </c>
      <c r="G23" s="133">
        <f>F23</f>
        <v>2.4430364284262224E-2</v>
      </c>
      <c r="H23" s="12"/>
      <c r="I23" s="32"/>
      <c r="J23" s="190" t="s">
        <v>31</v>
      </c>
      <c r="K23" s="191"/>
      <c r="L23" s="200" t="s">
        <v>33</v>
      </c>
      <c r="M23" s="200"/>
      <c r="N23" s="178" t="s">
        <v>33</v>
      </c>
      <c r="O23" s="179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5058</v>
      </c>
      <c r="D24" s="147">
        <f>AI18</f>
        <v>8731.163037453478</v>
      </c>
      <c r="E24" s="166">
        <f>AI12</f>
        <v>8421.9999999999964</v>
      </c>
      <c r="F24" s="140">
        <f t="shared" si="11"/>
        <v>3.6708980937245513E-2</v>
      </c>
      <c r="G24" s="136">
        <f>F24</f>
        <v>3.6708980937245513E-2</v>
      </c>
      <c r="H24" s="12"/>
      <c r="I24" s="32"/>
      <c r="J24" s="192">
        <v>6.77</v>
      </c>
      <c r="K24" s="193"/>
      <c r="L24" s="198">
        <v>210</v>
      </c>
      <c r="M24" s="198"/>
      <c r="N24" s="180">
        <v>21648</v>
      </c>
      <c r="O24" s="181"/>
      <c r="AI24" s="29"/>
      <c r="AJ24" s="34"/>
      <c r="AK24" s="51"/>
      <c r="AL24" s="34"/>
    </row>
    <row r="25" spans="1:38" ht="26.25" x14ac:dyDescent="0.25">
      <c r="H25" s="113"/>
      <c r="I25" s="32"/>
      <c r="J25" s="194" t="s">
        <v>26</v>
      </c>
      <c r="K25" s="195"/>
      <c r="L25" s="201" t="str">
        <f>J25</f>
        <v>Redução</v>
      </c>
      <c r="M25" s="201"/>
      <c r="N25" s="182" t="str">
        <f>L25</f>
        <v>Redução</v>
      </c>
      <c r="O25" s="183"/>
      <c r="AI25" s="29"/>
      <c r="AJ25" s="34"/>
      <c r="AK25" s="51"/>
      <c r="AL25" s="34"/>
    </row>
    <row r="26" spans="1:38" ht="27" thickBot="1" x14ac:dyDescent="0.3">
      <c r="G26" s="12"/>
      <c r="I26" s="33"/>
      <c r="J26" s="196">
        <f>(J21/J24)-1</f>
        <v>6.6469719350073841E-2</v>
      </c>
      <c r="K26" s="197"/>
      <c r="L26" s="202">
        <f>(L21/L24)-1</f>
        <v>-1.4285714285714235E-2</v>
      </c>
      <c r="M26" s="202"/>
      <c r="N26" s="184">
        <f>(N21/N24)-1</f>
        <v>-0.27757760532150777</v>
      </c>
      <c r="O26" s="185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74" t="str">
        <f>'Dados - Gráficos'!B20</f>
        <v>Mai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11318</v>
      </c>
      <c r="D6" s="7">
        <f>'Dados - Gráficos'!D21</f>
        <v>19683.783987921488</v>
      </c>
      <c r="E6" s="93">
        <f>'Dados - Gráficos'!E21</f>
        <v>19121.999999999996</v>
      </c>
      <c r="F6" s="118">
        <f>'Dados - Gráficos'!F21</f>
        <v>2.9378934626163151E-2</v>
      </c>
      <c r="G6" s="119">
        <f>'Dados - Gráficos'!G21</f>
        <v>2.9378934626163151E-2</v>
      </c>
      <c r="H6" s="32"/>
      <c r="I6" s="19">
        <f>K9</f>
        <v>415</v>
      </c>
      <c r="J6" s="83">
        <f>Indicadores!AH10</f>
        <v>294</v>
      </c>
      <c r="K6" s="88">
        <f>E7</f>
        <v>180.00000000000003</v>
      </c>
    </row>
    <row r="7" spans="2:11" x14ac:dyDescent="0.25">
      <c r="B7" s="15" t="str">
        <f>'Dados - Gráficos'!B22</f>
        <v>Alto</v>
      </c>
      <c r="C7" s="99">
        <f>'Dados - Gráficos'!C22</f>
        <v>97</v>
      </c>
      <c r="D7" s="8">
        <f>'Dados - Gráficos'!D22</f>
        <v>175.61351819757368</v>
      </c>
      <c r="E7" s="93">
        <f>'Dados - Gráficos'!E22</f>
        <v>180.00000000000003</v>
      </c>
      <c r="F7" s="120">
        <f>'Dados - Gráficos'!F22</f>
        <v>-2.4369343346813028E-2</v>
      </c>
      <c r="G7" s="119">
        <f>'Dados - Gráficos'!G22</f>
        <v>-2.4369343346813028E-2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6163</v>
      </c>
      <c r="D8" s="8">
        <f>'Dados - Gráficos'!D23</f>
        <v>10777.007432270439</v>
      </c>
      <c r="E8" s="93">
        <f>'Dados - Gráficos'!E23</f>
        <v>10520</v>
      </c>
      <c r="F8" s="120">
        <f>'Dados - Gráficos'!F23</f>
        <v>2.4430364284262224E-2</v>
      </c>
      <c r="G8" s="119">
        <f>'Dados - Gráficos'!G23</f>
        <v>2.4430364284262224E-2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5058</v>
      </c>
      <c r="D9" s="17">
        <f>'Dados - Gráficos'!D24</f>
        <v>8731.163037453478</v>
      </c>
      <c r="E9" s="94">
        <f>'Dados - Gráficos'!E24</f>
        <v>8421.9999999999964</v>
      </c>
      <c r="F9" s="121">
        <f>'Dados - Gráficos'!F24</f>
        <v>3.6708980937245513E-2</v>
      </c>
      <c r="G9" s="122">
        <f>'Dados - Gráficos'!G24</f>
        <v>3.6708980937245513E-2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-0.56626506024096379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KtnDaAA++mMtYZgMzM0MbuNzVpzi6oIeynqHCLzWAiR/ZtWWGm0I9i7SRUcwgJWMVwGDXiaRIHO0gS4BxcbvAw==" saltValue="CpjGqg/+1rwyFISgQH+jgQ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2016-05-17T12:52:00Z</dcterms:modified>
</cp:coreProperties>
</file>