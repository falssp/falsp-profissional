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3BBC38B-C2DA-FC69-06AC-9F67D96B632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activeTab="2"/>
  </bookViews>
  <sheets>
    <sheet name="Indicadores" sheetId="1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G6" i="4" l="1"/>
  <c r="E24" i="7" l="1"/>
  <c r="E23" i="7"/>
  <c r="E21" i="7"/>
  <c r="J6" i="7" l="1"/>
  <c r="J18" i="7" s="1"/>
  <c r="J5" i="7"/>
  <c r="J17" i="7" s="1"/>
  <c r="J4" i="7"/>
  <c r="J16" i="7" s="1"/>
  <c r="AH6" i="7" l="1"/>
  <c r="AH18" i="7" s="1"/>
  <c r="AG6" i="7"/>
  <c r="AG18" i="7" s="1"/>
  <c r="AF6" i="7"/>
  <c r="AF18" i="7" s="1"/>
  <c r="AE6" i="7"/>
  <c r="AE18" i="7" s="1"/>
  <c r="AD6" i="7"/>
  <c r="AD18" i="7" s="1"/>
  <c r="AC6" i="7"/>
  <c r="AC18" i="7" s="1"/>
  <c r="AB6" i="7"/>
  <c r="AB18" i="7" s="1"/>
  <c r="AA6" i="7"/>
  <c r="AA18" i="7" s="1"/>
  <c r="Z6" i="7"/>
  <c r="Z18" i="7" s="1"/>
  <c r="Y6" i="7"/>
  <c r="Y18" i="7" s="1"/>
  <c r="X6" i="7"/>
  <c r="X18" i="7" s="1"/>
  <c r="W6" i="7"/>
  <c r="W18" i="7" s="1"/>
  <c r="V6" i="7"/>
  <c r="V18" i="7" s="1"/>
  <c r="U6" i="7"/>
  <c r="U18" i="7" s="1"/>
  <c r="T6" i="7"/>
  <c r="T18" i="7" s="1"/>
  <c r="S6" i="7"/>
  <c r="S18" i="7" s="1"/>
  <c r="R6" i="7"/>
  <c r="R18" i="7" s="1"/>
  <c r="Q6" i="7"/>
  <c r="Q18" i="7" s="1"/>
  <c r="P6" i="7"/>
  <c r="P18" i="7" s="1"/>
  <c r="O6" i="7"/>
  <c r="O18" i="7" s="1"/>
  <c r="N6" i="7"/>
  <c r="N18" i="7" s="1"/>
  <c r="M6" i="7"/>
  <c r="M18" i="7" s="1"/>
  <c r="L6" i="7"/>
  <c r="L18" i="7" s="1"/>
  <c r="K6" i="7"/>
  <c r="K18" i="7" s="1"/>
  <c r="I6" i="7"/>
  <c r="I18" i="7" s="1"/>
  <c r="H6" i="7"/>
  <c r="H18" i="7" s="1"/>
  <c r="G6" i="7"/>
  <c r="G18" i="7" s="1"/>
  <c r="F6" i="7"/>
  <c r="F18" i="7" s="1"/>
  <c r="E6" i="7"/>
  <c r="E18" i="7" s="1"/>
  <c r="D6" i="7"/>
  <c r="D18" i="7" s="1"/>
  <c r="AH5" i="7"/>
  <c r="AH17" i="7" s="1"/>
  <c r="AG5" i="7"/>
  <c r="AG17" i="7" s="1"/>
  <c r="AF5" i="7"/>
  <c r="AF17" i="7" s="1"/>
  <c r="AE5" i="7"/>
  <c r="AE17" i="7" s="1"/>
  <c r="AD5" i="7"/>
  <c r="AD17" i="7" s="1"/>
  <c r="AC5" i="7"/>
  <c r="AC17" i="7" s="1"/>
  <c r="AB5" i="7"/>
  <c r="AB17" i="7" s="1"/>
  <c r="AA5" i="7"/>
  <c r="AA17" i="7" s="1"/>
  <c r="Z5" i="7"/>
  <c r="Z17" i="7" s="1"/>
  <c r="Y5" i="7"/>
  <c r="Y17" i="7" s="1"/>
  <c r="X5" i="7"/>
  <c r="X17" i="7" s="1"/>
  <c r="W5" i="7"/>
  <c r="W17" i="7" s="1"/>
  <c r="V5" i="7"/>
  <c r="V17" i="7" s="1"/>
  <c r="U5" i="7"/>
  <c r="U17" i="7" s="1"/>
  <c r="T5" i="7"/>
  <c r="T17" i="7" s="1"/>
  <c r="S5" i="7"/>
  <c r="S17" i="7" s="1"/>
  <c r="R5" i="7"/>
  <c r="R17" i="7" s="1"/>
  <c r="Q5" i="7"/>
  <c r="Q17" i="7" s="1"/>
  <c r="P5" i="7"/>
  <c r="P17" i="7" s="1"/>
  <c r="O5" i="7"/>
  <c r="O17" i="7" s="1"/>
  <c r="N5" i="7"/>
  <c r="N17" i="7" s="1"/>
  <c r="M5" i="7"/>
  <c r="M17" i="7" s="1"/>
  <c r="L5" i="7"/>
  <c r="L17" i="7" s="1"/>
  <c r="K5" i="7"/>
  <c r="K17" i="7" s="1"/>
  <c r="I5" i="7"/>
  <c r="I17" i="7" s="1"/>
  <c r="H5" i="7"/>
  <c r="H17" i="7" s="1"/>
  <c r="G5" i="7"/>
  <c r="G17" i="7" s="1"/>
  <c r="F5" i="7"/>
  <c r="F17" i="7" s="1"/>
  <c r="E5" i="7"/>
  <c r="E17" i="7" s="1"/>
  <c r="D5" i="7"/>
  <c r="D17" i="7" s="1"/>
  <c r="AH4" i="7"/>
  <c r="AH16" i="7" s="1"/>
  <c r="AG4" i="7"/>
  <c r="AG16" i="7" s="1"/>
  <c r="AF4" i="7"/>
  <c r="AF16" i="7" s="1"/>
  <c r="AE4" i="7"/>
  <c r="AE16" i="7" s="1"/>
  <c r="AD4" i="7"/>
  <c r="AD16" i="7" s="1"/>
  <c r="AC4" i="7"/>
  <c r="AC16" i="7" s="1"/>
  <c r="AB4" i="7"/>
  <c r="AB16" i="7" s="1"/>
  <c r="AA4" i="7"/>
  <c r="AA16" i="7" s="1"/>
  <c r="Z4" i="7"/>
  <c r="Z16" i="7" s="1"/>
  <c r="Y4" i="7"/>
  <c r="Y16" i="7" s="1"/>
  <c r="X4" i="7"/>
  <c r="X16" i="7" s="1"/>
  <c r="W4" i="7"/>
  <c r="W16" i="7" s="1"/>
  <c r="V4" i="7"/>
  <c r="V16" i="7" s="1"/>
  <c r="U4" i="7"/>
  <c r="U16" i="7" s="1"/>
  <c r="T4" i="7"/>
  <c r="T16" i="7" s="1"/>
  <c r="S4" i="7"/>
  <c r="S16" i="7" s="1"/>
  <c r="R4" i="7"/>
  <c r="R16" i="7" s="1"/>
  <c r="Q4" i="7"/>
  <c r="Q16" i="7" s="1"/>
  <c r="P4" i="7"/>
  <c r="P16" i="7" s="1"/>
  <c r="O4" i="7"/>
  <c r="O16" i="7" s="1"/>
  <c r="N4" i="7"/>
  <c r="N16" i="7" s="1"/>
  <c r="M4" i="7"/>
  <c r="M16" i="7" s="1"/>
  <c r="L4" i="7"/>
  <c r="L16" i="7" s="1"/>
  <c r="K4" i="7"/>
  <c r="K16" i="7" s="1"/>
  <c r="I4" i="7"/>
  <c r="I16" i="7" s="1"/>
  <c r="H4" i="7"/>
  <c r="H16" i="7" s="1"/>
  <c r="G4" i="7"/>
  <c r="G16" i="7" s="1"/>
  <c r="F4" i="7"/>
  <c r="F16" i="7" s="1"/>
  <c r="E4" i="7"/>
  <c r="E16" i="7" s="1"/>
  <c r="D4" i="7"/>
  <c r="D16" i="7" s="1"/>
  <c r="AI16" i="7" l="1"/>
  <c r="AI18" i="7"/>
  <c r="D24" i="7" s="1"/>
  <c r="AI17" i="7"/>
  <c r="D23" i="7" s="1"/>
  <c r="D22" i="7"/>
  <c r="F22" i="7" s="1"/>
  <c r="AI15" i="7" l="1"/>
  <c r="D21" i="7"/>
  <c r="E7" i="4"/>
  <c r="D3" i="7" l="1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3" i="7"/>
  <c r="AH9" i="7" s="1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C22" i="7" s="1"/>
  <c r="AI29" i="1" l="1"/>
  <c r="AJ29" i="1" s="1"/>
  <c r="C23" i="7"/>
  <c r="C8" i="4" s="1"/>
  <c r="AI30" i="1"/>
  <c r="AJ30" i="1" s="1"/>
  <c r="C24" i="7"/>
  <c r="C9" i="4" s="1"/>
  <c r="AI28" i="1"/>
  <c r="C7" i="4"/>
  <c r="AH27" i="1"/>
  <c r="C21" i="7" l="1"/>
  <c r="C6" i="4" s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4" i="7" l="1"/>
  <c r="AI24" i="1"/>
  <c r="AI6" i="7"/>
  <c r="AI23" i="1"/>
  <c r="AI5" i="7"/>
  <c r="AH21" i="1"/>
  <c r="AI22" i="1"/>
  <c r="AJ24" i="1" l="1"/>
  <c r="AJ6" i="7"/>
  <c r="AJ12" i="7" s="1"/>
  <c r="AJ18" i="7" s="1"/>
  <c r="AJ23" i="1"/>
  <c r="AJ5" i="7"/>
  <c r="AJ11" i="7" s="1"/>
  <c r="AJ17" i="7" s="1"/>
  <c r="AJ22" i="1"/>
  <c r="AJ4" i="7"/>
  <c r="AJ10" i="7" s="1"/>
  <c r="AJ16" i="7" s="1"/>
  <c r="AI21" i="1"/>
  <c r="AI3" i="7"/>
  <c r="AI9" i="7" s="1"/>
  <c r="AH6" i="1"/>
  <c r="AH5" i="1"/>
  <c r="AH4" i="1"/>
  <c r="K9" i="4" s="1"/>
  <c r="N26" i="7" l="1"/>
  <c r="I6" i="4"/>
  <c r="AK6" i="7"/>
  <c r="AK12" i="7" s="1"/>
  <c r="AK18" i="7" s="1"/>
  <c r="AK5" i="7"/>
  <c r="AK11" i="7" s="1"/>
  <c r="AK17" i="7" s="1"/>
  <c r="AJ21" i="1"/>
  <c r="AJ3" i="7"/>
  <c r="AJ9" i="7" s="1"/>
  <c r="AJ15" i="7" s="1"/>
  <c r="AK4" i="7"/>
  <c r="AK10" i="7" s="1"/>
  <c r="AK16" i="7" s="1"/>
  <c r="K11" i="4"/>
  <c r="I11" i="4"/>
  <c r="AK3" i="7" l="1"/>
  <c r="AK9" i="7" s="1"/>
  <c r="AK15" i="7" s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</calcChain>
</file>

<file path=xl/sharedStrings.xml><?xml version="1.0" encoding="utf-8"?>
<sst xmlns="http://schemas.openxmlformats.org/spreadsheetml/2006/main" count="345" uniqueCount="37">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</sst>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02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16" fillId="15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6" fillId="15" borderId="27" xfId="0" applyNumberFormat="1" applyFont="1" applyFill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3A-4CAE-92AC-4CF33B6D0315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3A-4CAE-92AC-4CF33B6D031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83A-4CAE-92AC-4CF33B6D031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83A-4CAE-92AC-4CF33B6D0315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3A-4CAE-92AC-4CF33B6D0315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3A-4CAE-92AC-4CF33B6D031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3A-4CAE-92AC-4CF33B6D031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3A-4CAE-92AC-4CF33B6D031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3A-4CAE-92AC-4CF33B6D031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83A-4CAE-92AC-4CF33B6D031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83A-4CAE-92AC-4CF33B6D0315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3A-4CAE-92AC-4CF33B6D0315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3A-4CAE-92AC-4CF33B6D0315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3A-4CAE-92AC-4CF33B6D0315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3A-4CAE-92AC-4CF33B6D0315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83A-4CAE-92AC-4CF33B6D0315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83A-4CAE-92AC-4CF33B6D0315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83A-4CAE-92AC-4CF33B6D0315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83A-4CAE-92AC-4CF33B6D0315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83A-4CAE-92AC-4CF33B6D031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83A-4CAE-92AC-4CF33B6D0315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83A-4CAE-92AC-4CF33B6D031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7</c:v>
                </c:pt>
                <c:pt idx="8">
                  <c:v>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2032"/>
        <c:axId val="193251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11.217680681812055</c:v>
                </c:pt>
                <c:pt idx="1">
                  <c:v>12.93969306717794</c:v>
                </c:pt>
                <c:pt idx="2">
                  <c:v>12.792092005575151</c:v>
                </c:pt>
                <c:pt idx="3">
                  <c:v>9.5448686503137665</c:v>
                </c:pt>
                <c:pt idx="4">
                  <c:v>4.9200353867596736</c:v>
                </c:pt>
                <c:pt idx="5">
                  <c:v>2.4108173395122403</c:v>
                </c:pt>
                <c:pt idx="6">
                  <c:v>10.374848953068486</c:v>
                </c:pt>
                <c:pt idx="7">
                  <c:v>9.8152097979237141</c:v>
                </c:pt>
                <c:pt idx="8">
                  <c:v>11.321930600236563</c:v>
                </c:pt>
                <c:pt idx="9">
                  <c:v>11.192783102895463</c:v>
                </c:pt>
                <c:pt idx="10">
                  <c:v>8.3515381613912307</c:v>
                </c:pt>
                <c:pt idx="11">
                  <c:v>4.3049165780367167</c:v>
                </c:pt>
                <c:pt idx="12">
                  <c:v>2.1094091232379912</c:v>
                </c:pt>
                <c:pt idx="13">
                  <c:v>9.1658760349339445</c:v>
                </c:pt>
                <c:pt idx="14">
                  <c:v>8.6714511865765118</c:v>
                </c:pt>
                <c:pt idx="15">
                  <c:v>10.002595009077289</c:v>
                </c:pt>
                <c:pt idx="16">
                  <c:v>9.8884969671486527</c:v>
                </c:pt>
                <c:pt idx="17">
                  <c:v>7.3783400447186107</c:v>
                </c:pt>
                <c:pt idx="18">
                  <c:v>3.8032680642879435</c:v>
                </c:pt>
                <c:pt idx="19">
                  <c:v>1.8636013515010923</c:v>
                </c:pt>
                <c:pt idx="20">
                  <c:v>9.1230922432305341</c:v>
                </c:pt>
                <c:pt idx="21">
                  <c:v>8.6309752342595925</c:v>
                </c:pt>
                <c:pt idx="22">
                  <c:v>9.9559056430275099</c:v>
                </c:pt>
                <c:pt idx="23">
                  <c:v>9.8423401794188319</c:v>
                </c:pt>
                <c:pt idx="24">
                  <c:v>7.3438999800278983</c:v>
                </c:pt>
                <c:pt idx="25">
                  <c:v>3.7855154536226281</c:v>
                </c:pt>
                <c:pt idx="26">
                  <c:v>1.8549025722750878</c:v>
                </c:pt>
                <c:pt idx="27">
                  <c:v>9.1230922432305341</c:v>
                </c:pt>
                <c:pt idx="28">
                  <c:v>8.6309752342595925</c:v>
                </c:pt>
                <c:pt idx="29">
                  <c:v>9.9559056430275099</c:v>
                </c:pt>
                <c:pt idx="30">
                  <c:v>9.8423401794188319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2032"/>
        <c:axId val="193251008"/>
      </c:lineChart>
      <c:dateAx>
        <c:axId val="19697203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1008"/>
        <c:crosses val="autoZero"/>
        <c:auto val="1"/>
        <c:lblOffset val="100"/>
        <c:baseTimeUnit val="days"/>
      </c:dateAx>
      <c:valAx>
        <c:axId val="193251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20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1D5-4CF9-907D-06F4FF8883B4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D5-4CF9-907D-06F4FF8883B4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1D5-4CF9-907D-06F4FF8883B4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1D5-4CF9-907D-06F4FF8883B4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1D5-4CF9-907D-06F4FF8883B4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1D5-4CF9-907D-06F4FF8883B4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1D5-4CF9-907D-06F4FF8883B4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1D5-4CF9-907D-06F4FF8883B4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1D5-4CF9-907D-06F4FF8883B4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1D5-4CF9-907D-06F4FF8883B4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1D5-4CF9-907D-06F4FF8883B4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1D5-4CF9-907D-06F4FF8883B4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1D5-4CF9-907D-06F4FF8883B4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1D5-4CF9-907D-06F4FF8883B4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1D5-4CF9-907D-06F4FF8883B4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1D5-4CF9-907D-06F4FF8883B4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1D5-4CF9-907D-06F4FF8883B4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1D5-4CF9-907D-06F4FF8883B4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1D5-4CF9-907D-06F4FF8883B4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1D5-4CF9-907D-06F4FF8883B4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1D5-4CF9-907D-06F4FF8883B4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1D5-4CF9-907D-06F4FF8883B4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709</c:v>
                </c:pt>
                <c:pt idx="1">
                  <c:v>757</c:v>
                </c:pt>
                <c:pt idx="2">
                  <c:v>574</c:v>
                </c:pt>
                <c:pt idx="3">
                  <c:v>598</c:v>
                </c:pt>
                <c:pt idx="4">
                  <c:v>107</c:v>
                </c:pt>
                <c:pt idx="5">
                  <c:v>70</c:v>
                </c:pt>
                <c:pt idx="6">
                  <c:v>636</c:v>
                </c:pt>
                <c:pt idx="7">
                  <c:v>489</c:v>
                </c:pt>
                <c:pt idx="8">
                  <c:v>632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78780416"/>
        <c:axId val="19325446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609.1711955461559</c:v>
                </c:pt>
                <c:pt idx="1">
                  <c:v>607.60365288144885</c:v>
                </c:pt>
                <c:pt idx="2">
                  <c:v>563.59187806467389</c:v>
                </c:pt>
                <c:pt idx="3">
                  <c:v>476.8344205833875</c:v>
                </c:pt>
                <c:pt idx="4">
                  <c:v>147.52988078992908</c:v>
                </c:pt>
                <c:pt idx="5">
                  <c:v>56.069795314521464</c:v>
                </c:pt>
                <c:pt idx="6">
                  <c:v>609.17119554615579</c:v>
                </c:pt>
                <c:pt idx="7">
                  <c:v>536.76338709325535</c:v>
                </c:pt>
                <c:pt idx="8">
                  <c:v>535.38216697603207</c:v>
                </c:pt>
                <c:pt idx="9">
                  <c:v>496.60175599245355</c:v>
                </c:pt>
                <c:pt idx="10">
                  <c:v>420.15653488920793</c:v>
                </c:pt>
                <c:pt idx="11">
                  <c:v>129.99406257098136</c:v>
                </c:pt>
                <c:pt idx="12">
                  <c:v>49.405181116065656</c:v>
                </c:pt>
                <c:pt idx="13">
                  <c:v>563.59187806467378</c:v>
                </c:pt>
                <c:pt idx="14">
                  <c:v>496.60175599245355</c:v>
                </c:pt>
                <c:pt idx="15">
                  <c:v>495.32388132343101</c:v>
                </c:pt>
                <c:pt idx="16">
                  <c:v>459.44509253933649</c:v>
                </c:pt>
                <c:pt idx="17">
                  <c:v>388.71964451151183</c:v>
                </c:pt>
                <c:pt idx="18">
                  <c:v>120.26766596531411</c:v>
                </c:pt>
                <c:pt idx="19">
                  <c:v>45.708593930421785</c:v>
                </c:pt>
                <c:pt idx="20">
                  <c:v>563.59187806467378</c:v>
                </c:pt>
                <c:pt idx="21">
                  <c:v>496.60175599245355</c:v>
                </c:pt>
                <c:pt idx="22">
                  <c:v>495.32388132343101</c:v>
                </c:pt>
                <c:pt idx="23">
                  <c:v>459.44509253933649</c:v>
                </c:pt>
                <c:pt idx="24">
                  <c:v>388.71964451151183</c:v>
                </c:pt>
                <c:pt idx="25">
                  <c:v>120.26766596531411</c:v>
                </c:pt>
                <c:pt idx="26">
                  <c:v>45.708593930421785</c:v>
                </c:pt>
                <c:pt idx="27">
                  <c:v>476.83442058338744</c:v>
                </c:pt>
                <c:pt idx="28">
                  <c:v>420.15653488920793</c:v>
                </c:pt>
                <c:pt idx="29">
                  <c:v>419.07537199262049</c:v>
                </c:pt>
                <c:pt idx="30">
                  <c:v>388.71964451151183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780416"/>
        <c:axId val="193254464"/>
      </c:lineChart>
      <c:dateAx>
        <c:axId val="7878041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4464"/>
        <c:crosses val="autoZero"/>
        <c:auto val="1"/>
        <c:lblOffset val="100"/>
        <c:baseTimeUnit val="days"/>
      </c:dateAx>
      <c:valAx>
        <c:axId val="19325446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787804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12A-424F-925E-F8E04FB80AFD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12A-424F-925E-F8E04FB80AF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12A-424F-925E-F8E04FB80AF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12A-424F-925E-F8E04FB80AF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12A-424F-925E-F8E04FB80AF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12A-424F-925E-F8E04FB80AF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12A-424F-925E-F8E04FB80AF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12A-424F-925E-F8E04FB80AF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12A-424F-925E-F8E04FB80AF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12A-424F-925E-F8E04FB80AF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12A-424F-925E-F8E04FB80AFD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12A-424F-925E-F8E04FB80AFD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12A-424F-925E-F8E04FB80AF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12A-424F-925E-F8E04FB80AF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12A-424F-925E-F8E04FB80AF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12A-424F-925E-F8E04FB80AF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12A-424F-925E-F8E04FB80AF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12A-424F-925E-F8E04FB80AF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12A-424F-925E-F8E04FB80AF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12A-424F-925E-F8E04FB80AF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12A-424F-925E-F8E04FB80AFD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12A-424F-925E-F8E04FB80AF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583</c:v>
                </c:pt>
                <c:pt idx="1">
                  <c:v>471</c:v>
                </c:pt>
                <c:pt idx="2">
                  <c:v>399</c:v>
                </c:pt>
                <c:pt idx="3">
                  <c:v>380</c:v>
                </c:pt>
                <c:pt idx="4">
                  <c:v>80</c:v>
                </c:pt>
                <c:pt idx="5">
                  <c:v>40</c:v>
                </c:pt>
                <c:pt idx="6">
                  <c:v>549</c:v>
                </c:pt>
                <c:pt idx="7">
                  <c:v>399</c:v>
                </c:pt>
                <c:pt idx="8">
                  <c:v>414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0496"/>
        <c:axId val="199467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407.30605968415819</c:v>
                </c:pt>
                <c:pt idx="1">
                  <c:v>390.79192858550493</c:v>
                </c:pt>
                <c:pt idx="2">
                  <c:v>370.83469679446841</c:v>
                </c:pt>
                <c:pt idx="3">
                  <c:v>302.80157755793164</c:v>
                </c:pt>
                <c:pt idx="4">
                  <c:v>112.66590598965367</c:v>
                </c:pt>
                <c:pt idx="5">
                  <c:v>51.391465890017457</c:v>
                </c:pt>
                <c:pt idx="6">
                  <c:v>407.30605968415824</c:v>
                </c:pt>
                <c:pt idx="7">
                  <c:v>357.64551330067394</c:v>
                </c:pt>
                <c:pt idx="8">
                  <c:v>343.14485770504547</c:v>
                </c:pt>
                <c:pt idx="9">
                  <c:v>325.62089939835937</c:v>
                </c:pt>
                <c:pt idx="10">
                  <c:v>265.88267731134948</c:v>
                </c:pt>
                <c:pt idx="11">
                  <c:v>98.929183156275968</c:v>
                </c:pt>
                <c:pt idx="12">
                  <c:v>45.125592316897809</c:v>
                </c:pt>
                <c:pt idx="13">
                  <c:v>390.79192858550493</c:v>
                </c:pt>
                <c:pt idx="14">
                  <c:v>343.14485770504547</c:v>
                </c:pt>
                <c:pt idx="15">
                  <c:v>329.23212787636561</c:v>
                </c:pt>
                <c:pt idx="16">
                  <c:v>312.41867445406143</c:v>
                </c:pt>
                <c:pt idx="17">
                  <c:v>255.10252492818736</c:v>
                </c:pt>
                <c:pt idx="18">
                  <c:v>94.918122035819565</c:v>
                </c:pt>
                <c:pt idx="19">
                  <c:v>43.295985490022957</c:v>
                </c:pt>
                <c:pt idx="20">
                  <c:v>370.83469679446847</c:v>
                </c:pt>
                <c:pt idx="21">
                  <c:v>325.62089939835937</c:v>
                </c:pt>
                <c:pt idx="22">
                  <c:v>312.41867445406149</c:v>
                </c:pt>
                <c:pt idx="23">
                  <c:v>296.46386206963967</c:v>
                </c:pt>
                <c:pt idx="24">
                  <c:v>242.07477320645097</c:v>
                </c:pt>
                <c:pt idx="25">
                  <c:v>90.070777901831732</c:v>
                </c:pt>
                <c:pt idx="26">
                  <c:v>41.084916235923245</c:v>
                </c:pt>
                <c:pt idx="27">
                  <c:v>302.80157755793169</c:v>
                </c:pt>
                <c:pt idx="28">
                  <c:v>265.88267731134948</c:v>
                </c:pt>
                <c:pt idx="29">
                  <c:v>255.10252492818739</c:v>
                </c:pt>
                <c:pt idx="30">
                  <c:v>242.07477320645097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0496"/>
        <c:axId val="199467008"/>
      </c:lineChart>
      <c:dateAx>
        <c:axId val="19697049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467008"/>
        <c:crosses val="autoZero"/>
        <c:auto val="1"/>
        <c:lblOffset val="100"/>
        <c:baseTimeUnit val="days"/>
      </c:dateAx>
      <c:valAx>
        <c:axId val="199467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04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U2oMmPFnQuQykn53tlE1PFEVTIoN/BBgFC0wkalFc6/pN5qSdGLWKVTtx+huI8Kb/47ZLhL+76jWlar9iJajlg==" saltValue="lZg2QkNgN4qLHOg5iai3x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Bx3o0Bj9znUR45fNz/RRvAPeu1DUvuVSMXZJSwooTclG2/i91H7jEiulWyISIGtP+a44VjRFXlXNxq/uZHH6Dw==" saltValue="Nvo+rYQQ7+9LBfj6bHz4B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e+LegrD0s8Yyhk+ZvC2WcsgF2Do5NNG0JFnT/ZTTxd0ldbp57dsuTZ4qXXixrdB2fwOd1fJXdPUuo05Wt5S/kw==" saltValue="gQqLegq857JbjpjWEfVuv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7328</xdr:colOff>
      <xdr:row>31</xdr:row>
      <xdr:rowOff>36634</xdr:rowOff>
    </xdr:from>
    <xdr:to>
      <xdr:col>2</xdr:col>
      <xdr:colOff>153867</xdr:colOff>
      <xdr:row>32</xdr:row>
      <xdr:rowOff>183173</xdr:rowOff>
    </xdr:to>
    <xdr:sp macro="[0]!formatar_graficos" textlink="">
      <xdr:nvSpPr>
        <xdr:cNvPr id="2" name="Retângulo de cantos arredondados 1"/>
        <xdr:cNvSpPr/>
      </xdr:nvSpPr>
      <xdr:spPr>
        <a:xfrm>
          <a:off x="95251" y="5714999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17" zoomScale="130" zoomScaleNormal="130" workbookViewId="0">
      <selection activeCell="C30" sqref="C30:K30"/>
    </sheetView>
  </sheetViews>
  <sheetFormatPr defaultColWidth="9.140625" defaultRowHeight="15" x14ac:dyDescent="0.25"/>
  <cols>
    <col min="1" max="1" width="1.28515625" style="157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57" bestFit="1" customWidth="1"/>
    <col min="40" max="16384" width="9.140625" style="157"/>
  </cols>
  <sheetData>
    <row r="1" spans="2:36" ht="15.75" thickBot="1" x14ac:dyDescent="0.3"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57"/>
      <c r="AF1" s="157"/>
      <c r="AG1" s="157"/>
      <c r="AH1" s="157"/>
      <c r="AI1" s="157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58"/>
      <c r="C7" s="158"/>
      <c r="D7" s="158"/>
      <c r="E7" s="158"/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59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19903</v>
      </c>
      <c r="AI21" s="71">
        <f>AH21/COUNTA(C22:AG22)</f>
        <v>686.31034482758616</v>
      </c>
      <c r="AJ21" s="55">
        <f>AI21*29</f>
        <v>19903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7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14</v>
      </c>
      <c r="AF22" s="24"/>
      <c r="AG22" s="24"/>
      <c r="AH22" s="53">
        <f>SUM(C22:AG22)</f>
        <v>207</v>
      </c>
      <c r="AI22" s="38">
        <f>AH22/COUNTA(C22:AG22)</f>
        <v>7.1379310344827589</v>
      </c>
      <c r="AJ22" s="56">
        <f>AI22*29</f>
        <v>207</v>
      </c>
    </row>
    <row r="23" spans="2:36" x14ac:dyDescent="0.25">
      <c r="B23" s="2" t="s">
        <v>20</v>
      </c>
      <c r="C23" s="24">
        <v>824</v>
      </c>
      <c r="D23" s="24">
        <v>638</v>
      </c>
      <c r="E23" s="24">
        <v>579</v>
      </c>
      <c r="F23" s="24">
        <v>518</v>
      </c>
      <c r="G23" s="24">
        <v>466</v>
      </c>
      <c r="H23" s="24">
        <v>97</v>
      </c>
      <c r="I23" s="24">
        <v>41</v>
      </c>
      <c r="J23" s="24">
        <v>163</v>
      </c>
      <c r="K23" s="24">
        <v>125</v>
      </c>
      <c r="L23" s="24">
        <v>556</v>
      </c>
      <c r="M23" s="24">
        <v>580</v>
      </c>
      <c r="N23" s="24">
        <v>552</v>
      </c>
      <c r="O23" s="24">
        <v>130</v>
      </c>
      <c r="P23" s="24">
        <v>33</v>
      </c>
      <c r="Q23" s="24">
        <v>617</v>
      </c>
      <c r="R23" s="24">
        <v>541</v>
      </c>
      <c r="S23" s="24">
        <v>445</v>
      </c>
      <c r="T23" s="24">
        <v>538</v>
      </c>
      <c r="U23" s="24">
        <v>463</v>
      </c>
      <c r="V23" s="24">
        <v>129</v>
      </c>
      <c r="W23" s="24">
        <v>48</v>
      </c>
      <c r="X23" s="24">
        <v>719</v>
      </c>
      <c r="Y23" s="24">
        <v>628</v>
      </c>
      <c r="Z23" s="24">
        <v>600</v>
      </c>
      <c r="AA23" s="24">
        <v>581</v>
      </c>
      <c r="AB23" s="24">
        <v>420</v>
      </c>
      <c r="AC23" s="24">
        <v>209</v>
      </c>
      <c r="AD23" s="24">
        <v>50</v>
      </c>
      <c r="AE23" s="24">
        <v>893</v>
      </c>
      <c r="AF23" s="24"/>
      <c r="AG23" s="24"/>
      <c r="AH23" s="53">
        <f>SUM(C23:AG23)</f>
        <v>12183</v>
      </c>
      <c r="AI23" s="38">
        <f>AH23/COUNTA(C23:AG23)</f>
        <v>420.10344827586209</v>
      </c>
      <c r="AJ23" s="56">
        <f>AI23*29</f>
        <v>12183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330</v>
      </c>
      <c r="M24" s="25">
        <v>345</v>
      </c>
      <c r="N24" s="25">
        <v>314</v>
      </c>
      <c r="O24" s="25">
        <v>78</v>
      </c>
      <c r="P24" s="25">
        <v>45</v>
      </c>
      <c r="Q24" s="25">
        <v>398</v>
      </c>
      <c r="R24" s="25">
        <v>311</v>
      </c>
      <c r="S24" s="25">
        <v>271</v>
      </c>
      <c r="T24" s="25">
        <v>322</v>
      </c>
      <c r="U24" s="25">
        <v>269</v>
      </c>
      <c r="V24" s="25">
        <v>118</v>
      </c>
      <c r="W24" s="25">
        <v>46</v>
      </c>
      <c r="X24" s="25">
        <v>395</v>
      </c>
      <c r="Y24" s="25">
        <v>320</v>
      </c>
      <c r="Z24" s="25">
        <v>341</v>
      </c>
      <c r="AA24" s="25">
        <v>389</v>
      </c>
      <c r="AB24" s="25">
        <v>322</v>
      </c>
      <c r="AC24" s="25">
        <v>125</v>
      </c>
      <c r="AD24" s="25">
        <v>52</v>
      </c>
      <c r="AE24" s="25">
        <v>449</v>
      </c>
      <c r="AF24" s="25"/>
      <c r="AG24" s="25"/>
      <c r="AH24" s="54">
        <f>SUM(C24:AG24)</f>
        <v>7513</v>
      </c>
      <c r="AI24" s="37">
        <f>AH24/COUNTA(C24:AG24)</f>
        <v>259.06896551724139</v>
      </c>
      <c r="AJ24" s="57">
        <f>AI24*29</f>
        <v>7513</v>
      </c>
    </row>
    <row r="25" spans="2:36" ht="15.75" thickBot="1" x14ac:dyDescent="0.3">
      <c r="AE25" s="11"/>
      <c r="AF25" s="11"/>
    </row>
    <row r="26" spans="2:36" ht="11.25" customHeight="1" x14ac:dyDescent="0.25">
      <c r="B26" s="114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" t="s">
        <v>4</v>
      </c>
      <c r="AH26" s="115" t="s">
        <v>7</v>
      </c>
      <c r="AI26" s="116" t="s">
        <v>17</v>
      </c>
      <c r="AJ26" s="64" t="s">
        <v>18</v>
      </c>
    </row>
    <row r="27" spans="2:36" x14ac:dyDescent="0.25">
      <c r="B27" s="11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49">
        <v>42460</v>
      </c>
      <c r="AH27" s="52">
        <f>SUM(AH28:AH30)</f>
        <v>7946</v>
      </c>
      <c r="AI27" s="71">
        <f>AH27/COUNTA(C28:AG28)</f>
        <v>882.88888888888891</v>
      </c>
      <c r="AJ27" s="55">
        <f>AI27*31</f>
        <v>27369.555555555555</v>
      </c>
    </row>
    <row r="28" spans="2:36" x14ac:dyDescent="0.25">
      <c r="B28" s="112" t="s">
        <v>19</v>
      </c>
      <c r="C28" s="24">
        <v>6</v>
      </c>
      <c r="D28" s="24">
        <v>10</v>
      </c>
      <c r="E28" s="24">
        <v>6</v>
      </c>
      <c r="F28" s="24">
        <v>9</v>
      </c>
      <c r="G28" s="24">
        <v>3</v>
      </c>
      <c r="H28" s="24">
        <v>1</v>
      </c>
      <c r="I28" s="24">
        <v>8</v>
      </c>
      <c r="J28" s="24">
        <v>7</v>
      </c>
      <c r="K28" s="24">
        <v>9</v>
      </c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53">
        <f>SUM(C28:AG28)</f>
        <v>59</v>
      </c>
      <c r="AI28" s="38">
        <f>AH28/COUNTA(C28:AG28)</f>
        <v>6.5555555555555554</v>
      </c>
      <c r="AJ28" s="56">
        <f>AI28*31</f>
        <v>203.22222222222223</v>
      </c>
    </row>
    <row r="29" spans="2:36" x14ac:dyDescent="0.25">
      <c r="B29" s="112" t="s">
        <v>20</v>
      </c>
      <c r="C29" s="24">
        <v>709</v>
      </c>
      <c r="D29" s="24">
        <v>757</v>
      </c>
      <c r="E29" s="24">
        <v>574</v>
      </c>
      <c r="F29" s="24">
        <v>598</v>
      </c>
      <c r="G29" s="24">
        <v>107</v>
      </c>
      <c r="H29" s="24">
        <v>70</v>
      </c>
      <c r="I29" s="24">
        <v>636</v>
      </c>
      <c r="J29" s="24">
        <v>489</v>
      </c>
      <c r="K29" s="24">
        <v>632</v>
      </c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53">
        <f>SUM(C29:AG29)</f>
        <v>4572</v>
      </c>
      <c r="AI29" s="38">
        <f>AH29/COUNTA(C29:AG29)</f>
        <v>508</v>
      </c>
      <c r="AJ29" s="56">
        <f>AI29*31</f>
        <v>15748</v>
      </c>
    </row>
    <row r="30" spans="2:36" ht="15.75" thickBot="1" x14ac:dyDescent="0.3">
      <c r="B30" s="113" t="s">
        <v>21</v>
      </c>
      <c r="C30" s="25">
        <v>583</v>
      </c>
      <c r="D30" s="25">
        <v>471</v>
      </c>
      <c r="E30" s="25">
        <v>399</v>
      </c>
      <c r="F30" s="25">
        <v>380</v>
      </c>
      <c r="G30" s="25">
        <v>80</v>
      </c>
      <c r="H30" s="25">
        <v>40</v>
      </c>
      <c r="I30" s="25">
        <v>549</v>
      </c>
      <c r="J30" s="25">
        <v>399</v>
      </c>
      <c r="K30" s="25">
        <v>414</v>
      </c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54">
        <f>SUM(C30:AG30)</f>
        <v>3315</v>
      </c>
      <c r="AI30" s="37">
        <f>AH30/COUNTA(C30:AG30)</f>
        <v>368.33333333333331</v>
      </c>
      <c r="AJ30" s="57">
        <f>AI30*31</f>
        <v>11418.333333333332</v>
      </c>
    </row>
    <row r="36" spans="8:8" x14ac:dyDescent="0.25">
      <c r="H36" s="12"/>
    </row>
  </sheetData>
  <sheetProtection insertRows="0"/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A9" zoomScaleNormal="100" workbookViewId="0">
      <selection activeCell="G21" sqref="G21:G24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57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  <c r="AE1" s="160"/>
      <c r="AF1" s="160"/>
      <c r="AG1" s="160"/>
      <c r="AH1" s="160"/>
      <c r="AI1" s="160"/>
      <c r="AJ1" s="160"/>
      <c r="AK1" s="160"/>
    </row>
    <row r="2" spans="1:16384" ht="15" customHeight="1" x14ac:dyDescent="0.25">
      <c r="B2" s="176" t="s">
        <v>36</v>
      </c>
      <c r="C2" s="177"/>
      <c r="D2" s="1" t="s">
        <v>2</v>
      </c>
      <c r="E2" s="1" t="s">
        <v>3</v>
      </c>
      <c r="F2" s="1" t="s">
        <v>4</v>
      </c>
      <c r="G2" s="1" t="s">
        <v>5</v>
      </c>
      <c r="H2" s="1" t="s">
        <v>10</v>
      </c>
      <c r="I2" s="1" t="s">
        <v>0</v>
      </c>
      <c r="J2" s="1" t="s">
        <v>1</v>
      </c>
      <c r="K2" s="1" t="s">
        <v>2</v>
      </c>
      <c r="L2" s="1" t="s">
        <v>3</v>
      </c>
      <c r="M2" s="1" t="s">
        <v>4</v>
      </c>
      <c r="N2" s="1" t="s">
        <v>5</v>
      </c>
      <c r="O2" s="1" t="s">
        <v>10</v>
      </c>
      <c r="P2" s="1" t="s">
        <v>0</v>
      </c>
      <c r="Q2" s="1" t="s">
        <v>1</v>
      </c>
      <c r="R2" s="1" t="s">
        <v>2</v>
      </c>
      <c r="S2" s="1" t="s">
        <v>3</v>
      </c>
      <c r="T2" s="1" t="s">
        <v>4</v>
      </c>
      <c r="U2" s="1" t="s">
        <v>5</v>
      </c>
      <c r="V2" s="1" t="s">
        <v>10</v>
      </c>
      <c r="W2" s="1" t="s">
        <v>0</v>
      </c>
      <c r="X2" s="1" t="s">
        <v>1</v>
      </c>
      <c r="Y2" s="1" t="s">
        <v>2</v>
      </c>
      <c r="Z2" s="1" t="s">
        <v>3</v>
      </c>
      <c r="AA2" s="1" t="s">
        <v>4</v>
      </c>
      <c r="AB2" s="1" t="s">
        <v>5</v>
      </c>
      <c r="AC2" s="1" t="s">
        <v>10</v>
      </c>
      <c r="AD2" s="1" t="s">
        <v>0</v>
      </c>
      <c r="AE2" s="1" t="s">
        <v>1</v>
      </c>
      <c r="AF2" s="1" t="s">
        <v>2</v>
      </c>
      <c r="AG2" s="1" t="s">
        <v>3</v>
      </c>
      <c r="AH2" s="1" t="s">
        <v>4</v>
      </c>
      <c r="AI2" s="115" t="s">
        <v>7</v>
      </c>
      <c r="AJ2" s="116" t="s">
        <v>17</v>
      </c>
      <c r="AK2" s="64" t="s">
        <v>18</v>
      </c>
    </row>
    <row r="3" spans="1:16384" s="50" customFormat="1" x14ac:dyDescent="0.25">
      <c r="A3" s="10"/>
      <c r="B3" s="178" t="s">
        <v>22</v>
      </c>
      <c r="C3" s="179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Indicadores!AH21</f>
        <v>19903</v>
      </c>
      <c r="AJ3" s="66">
        <f>Indicadores!AI21</f>
        <v>686.31034482758616</v>
      </c>
      <c r="AK3" s="55">
        <f>Indicadores!AJ21</f>
        <v>19903</v>
      </c>
    </row>
    <row r="4" spans="1:16384" x14ac:dyDescent="0.25">
      <c r="B4" s="180" t="s">
        <v>19</v>
      </c>
      <c r="C4" s="181"/>
      <c r="D4" s="39">
        <f>IF(Indicadores!C28,Indicadores!C28,"")</f>
        <v>6</v>
      </c>
      <c r="E4" s="39">
        <f>IF(Indicadores!D28,Indicadores!D28,"")</f>
        <v>10</v>
      </c>
      <c r="F4" s="39">
        <f>IF(Indicadores!E28,Indicadores!E28,"")</f>
        <v>6</v>
      </c>
      <c r="G4" s="39">
        <f>IF(Indicadores!F28,Indicadores!F28,"")</f>
        <v>9</v>
      </c>
      <c r="H4" s="39">
        <f>IF(Indicadores!G28,Indicadores!G28,"")</f>
        <v>3</v>
      </c>
      <c r="I4" s="39">
        <f>IF(Indicadores!H28,Indicadores!H28,"")</f>
        <v>1</v>
      </c>
      <c r="J4" s="39">
        <f>IF(Indicadores!I28,Indicadores!I28,"")</f>
        <v>8</v>
      </c>
      <c r="K4" s="39">
        <f>IF(Indicadores!J28,Indicadores!J28,"")</f>
        <v>7</v>
      </c>
      <c r="L4" s="39">
        <f>IF(Indicadores!K28,Indicadores!K28,"")</f>
        <v>9</v>
      </c>
      <c r="M4" s="39" t="str">
        <f>IF(Indicadores!L28,Indicadores!L28,"")</f>
        <v/>
      </c>
      <c r="N4" s="39" t="str">
        <f>IF(Indicadores!M28,Indicadores!M28,"")</f>
        <v/>
      </c>
      <c r="O4" s="39" t="str">
        <f>IF(Indicadores!N28,Indicadores!N28,"")</f>
        <v/>
      </c>
      <c r="P4" s="39" t="str">
        <f>IF(Indicadores!O28,Indicadores!O28,"")</f>
        <v/>
      </c>
      <c r="Q4" s="39" t="str">
        <f>IF(Indicadores!P28,Indicadores!P28,"")</f>
        <v/>
      </c>
      <c r="R4" s="39" t="str">
        <f>IF(Indicadores!Q28,Indicadores!Q28,"")</f>
        <v/>
      </c>
      <c r="S4" s="39" t="str">
        <f>IF(Indicadores!R28,Indicadores!R28,"")</f>
        <v/>
      </c>
      <c r="T4" s="39" t="str">
        <f>IF(Indicadores!S28,Indicadores!S28,"")</f>
        <v/>
      </c>
      <c r="U4" s="39" t="str">
        <f>IF(Indicadores!T28,Indicadores!T28,"")</f>
        <v/>
      </c>
      <c r="V4" s="39" t="str">
        <f>IF(Indicadores!U28,Indicadores!U28,"")</f>
        <v/>
      </c>
      <c r="W4" s="39" t="str">
        <f>IF(Indicadores!V28,Indicadores!V28,"")</f>
        <v/>
      </c>
      <c r="X4" s="39" t="str">
        <f>IF(Indicadores!W28,Indicadores!W28,"")</f>
        <v/>
      </c>
      <c r="Y4" s="39" t="str">
        <f>IF(Indicadores!X28,Indicadores!X28,"")</f>
        <v/>
      </c>
      <c r="Z4" s="39" t="str">
        <f>IF(Indicadores!Y28,Indicadores!Y28,"")</f>
        <v/>
      </c>
      <c r="AA4" s="39" t="str">
        <f>IF(Indicadores!Z28,Indicadores!Z28,"")</f>
        <v/>
      </c>
      <c r="AB4" s="39" t="str">
        <f>IF(Indicadores!AA28,Indicadores!AA28,"")</f>
        <v/>
      </c>
      <c r="AC4" s="39" t="str">
        <f>IF(Indicadores!AB28,Indicadores!AB28,"")</f>
        <v/>
      </c>
      <c r="AD4" s="39" t="str">
        <f>IF(Indicadores!AC28,Indicadores!AC28,"")</f>
        <v/>
      </c>
      <c r="AE4" s="39" t="str">
        <f>IF(Indicadores!AD28,Indicadores!AD28,"")</f>
        <v/>
      </c>
      <c r="AF4" s="39" t="str">
        <f>IF(Indicadores!AE28,Indicadores!AE28,"")</f>
        <v/>
      </c>
      <c r="AG4" s="39" t="str">
        <f>IF(Indicadores!AF28,Indicadores!AF28,"")</f>
        <v/>
      </c>
      <c r="AH4" s="39" t="str">
        <f>IF(Indicadores!AG28,Indicadores!AG28,"")</f>
        <v/>
      </c>
      <c r="AI4" s="53">
        <f>Indicadores!AH22</f>
        <v>207</v>
      </c>
      <c r="AJ4" s="75">
        <f>Indicadores!AI22</f>
        <v>7.1379310344827589</v>
      </c>
      <c r="AK4" s="56">
        <f>Indicadores!AJ22</f>
        <v>207</v>
      </c>
    </row>
    <row r="5" spans="1:16384" x14ac:dyDescent="0.25">
      <c r="B5" s="180" t="s">
        <v>20</v>
      </c>
      <c r="C5" s="181"/>
      <c r="D5" s="39">
        <f>IF(Indicadores!C29,Indicadores!C29,"")</f>
        <v>709</v>
      </c>
      <c r="E5" s="39">
        <f>IF(Indicadores!D29,Indicadores!D29,"")</f>
        <v>757</v>
      </c>
      <c r="F5" s="39">
        <f>IF(Indicadores!E29,Indicadores!E29,"")</f>
        <v>574</v>
      </c>
      <c r="G5" s="39">
        <f>IF(Indicadores!F29,Indicadores!F29,"")</f>
        <v>598</v>
      </c>
      <c r="H5" s="39">
        <f>IF(Indicadores!G29,Indicadores!G29,"")</f>
        <v>107</v>
      </c>
      <c r="I5" s="39">
        <f>IF(Indicadores!H29,Indicadores!H29,"")</f>
        <v>70</v>
      </c>
      <c r="J5" s="39">
        <f>IF(Indicadores!I29,Indicadores!I29,"")</f>
        <v>636</v>
      </c>
      <c r="K5" s="39">
        <f>IF(Indicadores!J29,Indicadores!J29,"")</f>
        <v>489</v>
      </c>
      <c r="L5" s="39">
        <f>IF(Indicadores!K29,Indicadores!K29,"")</f>
        <v>632</v>
      </c>
      <c r="M5" s="39" t="str">
        <f>IF(Indicadores!L29,Indicadores!L29,"")</f>
        <v/>
      </c>
      <c r="N5" s="39" t="str">
        <f>IF(Indicadores!M29,Indicadores!M29,"")</f>
        <v/>
      </c>
      <c r="O5" s="39" t="str">
        <f>IF(Indicadores!N29,Indicadores!N29,"")</f>
        <v/>
      </c>
      <c r="P5" s="39" t="str">
        <f>IF(Indicadores!O29,Indicadores!O29,"")</f>
        <v/>
      </c>
      <c r="Q5" s="39" t="str">
        <f>IF(Indicadores!P29,Indicadores!P29,"")</f>
        <v/>
      </c>
      <c r="R5" s="39" t="str">
        <f>IF(Indicadores!Q29,Indicadores!Q29,"")</f>
        <v/>
      </c>
      <c r="S5" s="39" t="str">
        <f>IF(Indicadores!R29,Indicadores!R29,"")</f>
        <v/>
      </c>
      <c r="T5" s="39" t="str">
        <f>IF(Indicadores!S29,Indicadores!S29,"")</f>
        <v/>
      </c>
      <c r="U5" s="39" t="str">
        <f>IF(Indicadores!T29,Indicadores!T29,"")</f>
        <v/>
      </c>
      <c r="V5" s="39" t="str">
        <f>IF(Indicadores!U29,Indicadores!U29,"")</f>
        <v/>
      </c>
      <c r="W5" s="39" t="str">
        <f>IF(Indicadores!V29,Indicadores!V29,"")</f>
        <v/>
      </c>
      <c r="X5" s="39" t="str">
        <f>IF(Indicadores!W29,Indicadores!W29,"")</f>
        <v/>
      </c>
      <c r="Y5" s="39" t="str">
        <f>IF(Indicadores!X29,Indicadores!X29,"")</f>
        <v/>
      </c>
      <c r="Z5" s="39" t="str">
        <f>IF(Indicadores!Y29,Indicadores!Y29,"")</f>
        <v/>
      </c>
      <c r="AA5" s="39" t="str">
        <f>IF(Indicadores!Z29,Indicadores!Z29,"")</f>
        <v/>
      </c>
      <c r="AB5" s="39" t="str">
        <f>IF(Indicadores!AA29,Indicadores!AA29,"")</f>
        <v/>
      </c>
      <c r="AC5" s="39" t="str">
        <f>IF(Indicadores!AB29,Indicadores!AB29,"")</f>
        <v/>
      </c>
      <c r="AD5" s="39" t="str">
        <f>IF(Indicadores!AC29,Indicadores!AC29,"")</f>
        <v/>
      </c>
      <c r="AE5" s="39" t="str">
        <f>IF(Indicadores!AD29,Indicadores!AD29,"")</f>
        <v/>
      </c>
      <c r="AF5" s="39" t="str">
        <f>IF(Indicadores!AE29,Indicadores!AE29,"")</f>
        <v/>
      </c>
      <c r="AG5" s="39" t="str">
        <f>IF(Indicadores!AF29,Indicadores!AF29,"")</f>
        <v/>
      </c>
      <c r="AH5" s="39" t="str">
        <f>IF(Indicadores!AG29,Indicadores!AG29,"")</f>
        <v/>
      </c>
      <c r="AI5" s="53">
        <f>Indicadores!AH23</f>
        <v>12183</v>
      </c>
      <c r="AJ5" s="75">
        <f>Indicadores!AI23</f>
        <v>420.10344827586209</v>
      </c>
      <c r="AK5" s="56">
        <f>Indicadores!AJ23</f>
        <v>12183</v>
      </c>
    </row>
    <row r="6" spans="1:16384" ht="15.75" thickBot="1" x14ac:dyDescent="0.3">
      <c r="B6" s="182" t="s">
        <v>21</v>
      </c>
      <c r="C6" s="183"/>
      <c r="D6" s="40">
        <f>IF(Indicadores!C30,Indicadores!C30,"")</f>
        <v>583</v>
      </c>
      <c r="E6" s="40">
        <f>IF(Indicadores!D30,Indicadores!D30,"")</f>
        <v>471</v>
      </c>
      <c r="F6" s="40">
        <f>IF(Indicadores!E30,Indicadores!E30,"")</f>
        <v>399</v>
      </c>
      <c r="G6" s="40">
        <f>IF(Indicadores!F30,Indicadores!F30,"")</f>
        <v>380</v>
      </c>
      <c r="H6" s="40">
        <f>IF(Indicadores!G30,Indicadores!G30,"")</f>
        <v>80</v>
      </c>
      <c r="I6" s="40">
        <f>IF(Indicadores!H30,Indicadores!H30,"")</f>
        <v>40</v>
      </c>
      <c r="J6" s="40">
        <f>IF(Indicadores!I30,Indicadores!I30,"")</f>
        <v>549</v>
      </c>
      <c r="K6" s="40">
        <f>IF(Indicadores!J30,Indicadores!J30,"")</f>
        <v>399</v>
      </c>
      <c r="L6" s="40">
        <f>IF(Indicadores!K30,Indicadores!K30,"")</f>
        <v>414</v>
      </c>
      <c r="M6" s="40" t="str">
        <f>IF(Indicadores!L30,Indicadores!L30,"")</f>
        <v/>
      </c>
      <c r="N6" s="40" t="str">
        <f>IF(Indicadores!M30,Indicadores!M30,"")</f>
        <v/>
      </c>
      <c r="O6" s="40" t="str">
        <f>IF(Indicadores!N30,Indicadores!N30,"")</f>
        <v/>
      </c>
      <c r="P6" s="40" t="str">
        <f>IF(Indicadores!O30,Indicadores!O30,"")</f>
        <v/>
      </c>
      <c r="Q6" s="40" t="str">
        <f>IF(Indicadores!P30,Indicadores!P30,"")</f>
        <v/>
      </c>
      <c r="R6" s="40" t="str">
        <f>IF(Indicadores!Q30,Indicadores!Q30,"")</f>
        <v/>
      </c>
      <c r="S6" s="40" t="str">
        <f>IF(Indicadores!R30,Indicadores!R30,"")</f>
        <v/>
      </c>
      <c r="T6" s="40" t="str">
        <f>IF(Indicadores!S30,Indicadores!S30,"")</f>
        <v/>
      </c>
      <c r="U6" s="40" t="str">
        <f>IF(Indicadores!T30,Indicadores!T30,"")</f>
        <v/>
      </c>
      <c r="V6" s="40" t="str">
        <f>IF(Indicadores!U30,Indicadores!U30,"")</f>
        <v/>
      </c>
      <c r="W6" s="40" t="str">
        <f>IF(Indicadores!V30,Indicadores!V30,"")</f>
        <v/>
      </c>
      <c r="X6" s="40" t="str">
        <f>IF(Indicadores!W30,Indicadores!W30,"")</f>
        <v/>
      </c>
      <c r="Y6" s="40" t="str">
        <f>IF(Indicadores!X30,Indicadores!X30,"")</f>
        <v/>
      </c>
      <c r="Z6" s="40" t="str">
        <f>IF(Indicadores!Y30,Indicadores!Y30,"")</f>
        <v/>
      </c>
      <c r="AA6" s="40" t="str">
        <f>IF(Indicadores!Z30,Indicadores!Z30,"")</f>
        <v/>
      </c>
      <c r="AB6" s="40" t="str">
        <f>IF(Indicadores!AA30,Indicadores!AA30,"")</f>
        <v/>
      </c>
      <c r="AC6" s="40" t="str">
        <f>IF(Indicadores!AB30,Indicadores!AB30,"")</f>
        <v/>
      </c>
      <c r="AD6" s="40" t="str">
        <f>IF(Indicadores!AC30,Indicadores!AC30,"")</f>
        <v/>
      </c>
      <c r="AE6" s="40" t="str">
        <f>IF(Indicadores!AD30,Indicadores!AD30,"")</f>
        <v/>
      </c>
      <c r="AF6" s="40" t="str">
        <f>IF(Indicadores!AE30,Indicadores!AE30,"")</f>
        <v/>
      </c>
      <c r="AG6" s="40" t="str">
        <f>IF(Indicadores!AF30,Indicadores!AF30,"")</f>
        <v/>
      </c>
      <c r="AH6" s="40" t="str">
        <f>IF(Indicadores!AG30,Indicadores!AG30,"")</f>
        <v/>
      </c>
      <c r="AI6" s="54">
        <f>Indicadores!AH24</f>
        <v>7513</v>
      </c>
      <c r="AJ6" s="42">
        <f>Indicadores!AI24</f>
        <v>259.06896551724139</v>
      </c>
      <c r="AK6" s="56">
        <f>Indicadores!AJ24</f>
        <v>7513</v>
      </c>
    </row>
    <row r="7" spans="1:16384" ht="15.75" thickBot="1" x14ac:dyDescent="0.3">
      <c r="C7" s="161"/>
      <c r="D7" s="162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2"/>
      <c r="AA7" s="162"/>
      <c r="AB7" s="162"/>
      <c r="AC7" s="162"/>
      <c r="AD7" s="162"/>
      <c r="AE7" s="162"/>
      <c r="AF7" s="162"/>
      <c r="AG7" s="162"/>
      <c r="AH7" s="162"/>
      <c r="AI7" s="163"/>
      <c r="AJ7" s="163"/>
      <c r="AK7" s="163"/>
    </row>
    <row r="8" spans="1:16384" ht="15" customHeight="1" x14ac:dyDescent="0.25">
      <c r="B8" s="176" t="s">
        <v>36</v>
      </c>
      <c r="C8" s="177"/>
      <c r="D8" s="1" t="s">
        <v>2</v>
      </c>
      <c r="E8" s="1" t="s">
        <v>3</v>
      </c>
      <c r="F8" s="1" t="s">
        <v>4</v>
      </c>
      <c r="G8" s="1" t="s">
        <v>5</v>
      </c>
      <c r="H8" s="1" t="s">
        <v>10</v>
      </c>
      <c r="I8" s="1" t="s">
        <v>0</v>
      </c>
      <c r="J8" s="1" t="s">
        <v>1</v>
      </c>
      <c r="K8" s="1" t="s">
        <v>2</v>
      </c>
      <c r="L8" s="1" t="s">
        <v>3</v>
      </c>
      <c r="M8" s="1" t="s">
        <v>4</v>
      </c>
      <c r="N8" s="1" t="s">
        <v>5</v>
      </c>
      <c r="O8" s="1" t="s">
        <v>10</v>
      </c>
      <c r="P8" s="1" t="s">
        <v>0</v>
      </c>
      <c r="Q8" s="1" t="s">
        <v>1</v>
      </c>
      <c r="R8" s="1" t="s">
        <v>2</v>
      </c>
      <c r="S8" s="1" t="s">
        <v>3</v>
      </c>
      <c r="T8" s="1" t="s">
        <v>4</v>
      </c>
      <c r="U8" s="1" t="s">
        <v>5</v>
      </c>
      <c r="V8" s="1" t="s">
        <v>10</v>
      </c>
      <c r="W8" s="1" t="s">
        <v>0</v>
      </c>
      <c r="X8" s="1" t="s">
        <v>1</v>
      </c>
      <c r="Y8" s="1" t="s">
        <v>2</v>
      </c>
      <c r="Z8" s="1" t="s">
        <v>3</v>
      </c>
      <c r="AA8" s="1" t="s">
        <v>4</v>
      </c>
      <c r="AB8" s="1" t="s">
        <v>5</v>
      </c>
      <c r="AC8" s="1" t="s">
        <v>10</v>
      </c>
      <c r="AD8" s="1" t="s">
        <v>0</v>
      </c>
      <c r="AE8" s="1" t="s">
        <v>1</v>
      </c>
      <c r="AF8" s="1" t="s">
        <v>2</v>
      </c>
      <c r="AG8" s="1" t="s">
        <v>3</v>
      </c>
      <c r="AH8" s="1" t="s">
        <v>4</v>
      </c>
      <c r="AI8" s="115" t="s">
        <v>7</v>
      </c>
      <c r="AJ8" s="116" t="s">
        <v>17</v>
      </c>
      <c r="AK8" s="64" t="s">
        <v>18</v>
      </c>
    </row>
    <row r="9" spans="1:16384" s="50" customFormat="1" x14ac:dyDescent="0.25">
      <c r="A9" s="10"/>
      <c r="B9" s="178" t="s">
        <v>27</v>
      </c>
      <c r="C9" s="179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 t="shared" ref="AI9:AK10" si="1">AI3</f>
        <v>19903</v>
      </c>
      <c r="AJ9" s="66">
        <f t="shared" si="1"/>
        <v>686.31034482758616</v>
      </c>
      <c r="AK9" s="55">
        <f t="shared" si="1"/>
        <v>19903</v>
      </c>
    </row>
    <row r="10" spans="1:16384" x14ac:dyDescent="0.25">
      <c r="B10" s="101" t="s">
        <v>19</v>
      </c>
      <c r="C10" s="103" t="s">
        <v>35</v>
      </c>
      <c r="D10" s="51">
        <v>11.217680681812055</v>
      </c>
      <c r="E10" s="51">
        <v>12.93969306717794</v>
      </c>
      <c r="F10" s="51">
        <v>12.792092005575151</v>
      </c>
      <c r="G10" s="51">
        <v>9.5448686503137665</v>
      </c>
      <c r="H10" s="51">
        <v>4.9200353867596736</v>
      </c>
      <c r="I10" s="51">
        <v>2.4108173395122403</v>
      </c>
      <c r="J10" s="51">
        <v>10.374848953068486</v>
      </c>
      <c r="K10" s="51">
        <v>9.8152097979237141</v>
      </c>
      <c r="L10" s="51">
        <v>11.321930600236563</v>
      </c>
      <c r="M10" s="51">
        <v>11.192783102895463</v>
      </c>
      <c r="N10" s="51">
        <v>8.3515381613912307</v>
      </c>
      <c r="O10" s="51">
        <v>4.3049165780367167</v>
      </c>
      <c r="P10" s="51">
        <v>2.1094091232379912</v>
      </c>
      <c r="Q10" s="51">
        <v>9.1658760349339445</v>
      </c>
      <c r="R10" s="51">
        <v>8.6714511865765118</v>
      </c>
      <c r="S10" s="51">
        <v>10.002595009077289</v>
      </c>
      <c r="T10" s="51">
        <v>9.8884969671486527</v>
      </c>
      <c r="U10" s="51">
        <v>7.3783400447186107</v>
      </c>
      <c r="V10" s="51">
        <v>3.8032680642879435</v>
      </c>
      <c r="W10" s="51">
        <v>1.8636013515010923</v>
      </c>
      <c r="X10" s="51">
        <v>9.1230922432305341</v>
      </c>
      <c r="Y10" s="51">
        <v>8.6309752342595925</v>
      </c>
      <c r="Z10" s="51">
        <v>9.9559056430275099</v>
      </c>
      <c r="AA10" s="51">
        <v>9.8423401794188319</v>
      </c>
      <c r="AB10" s="51">
        <v>7.3438999800278983</v>
      </c>
      <c r="AC10" s="51">
        <v>3.7855154536226281</v>
      </c>
      <c r="AD10" s="51">
        <v>1.8549025722750878</v>
      </c>
      <c r="AE10" s="51">
        <v>9.1230922432305341</v>
      </c>
      <c r="AF10" s="51">
        <v>8.6309752342595925</v>
      </c>
      <c r="AG10" s="43">
        <v>9.9559056430275099</v>
      </c>
      <c r="AH10" s="44">
        <v>9.8423401794188319</v>
      </c>
      <c r="AI10" s="105">
        <v>250.15839671198356</v>
      </c>
      <c r="AJ10" s="106">
        <f t="shared" si="1"/>
        <v>7.1379310344827589</v>
      </c>
      <c r="AK10" s="107">
        <f t="shared" si="1"/>
        <v>207</v>
      </c>
    </row>
    <row r="11" spans="1:16384" x14ac:dyDescent="0.25">
      <c r="B11" s="101" t="s">
        <v>20</v>
      </c>
      <c r="C11" s="103" t="s">
        <v>35</v>
      </c>
      <c r="D11" s="51">
        <v>609.1711955461559</v>
      </c>
      <c r="E11" s="51">
        <v>607.60365288144885</v>
      </c>
      <c r="F11" s="51">
        <v>563.59187806467389</v>
      </c>
      <c r="G11" s="51">
        <v>476.8344205833875</v>
      </c>
      <c r="H11" s="51">
        <v>147.52988078992908</v>
      </c>
      <c r="I11" s="51">
        <v>56.069795314521464</v>
      </c>
      <c r="J11" s="51">
        <v>609.17119554615579</v>
      </c>
      <c r="K11" s="51">
        <v>536.76338709325535</v>
      </c>
      <c r="L11" s="51">
        <v>535.38216697603207</v>
      </c>
      <c r="M11" s="51">
        <v>496.60175599245355</v>
      </c>
      <c r="N11" s="51">
        <v>420.15653488920793</v>
      </c>
      <c r="O11" s="51">
        <v>129.99406257098136</v>
      </c>
      <c r="P11" s="51">
        <v>49.405181116065656</v>
      </c>
      <c r="Q11" s="51">
        <v>563.59187806467378</v>
      </c>
      <c r="R11" s="51">
        <v>496.60175599245355</v>
      </c>
      <c r="S11" s="51">
        <v>495.32388132343101</v>
      </c>
      <c r="T11" s="51">
        <v>459.44509253933649</v>
      </c>
      <c r="U11" s="51">
        <v>388.71964451151183</v>
      </c>
      <c r="V11" s="51">
        <v>120.26766596531411</v>
      </c>
      <c r="W11" s="51">
        <v>45.708593930421785</v>
      </c>
      <c r="X11" s="51">
        <v>563.59187806467378</v>
      </c>
      <c r="Y11" s="51">
        <v>496.60175599245355</v>
      </c>
      <c r="Z11" s="51">
        <v>495.32388132343101</v>
      </c>
      <c r="AA11" s="51">
        <v>459.44509253933649</v>
      </c>
      <c r="AB11" s="51">
        <v>388.71964451151183</v>
      </c>
      <c r="AC11" s="51">
        <v>120.26766596531411</v>
      </c>
      <c r="AD11" s="51">
        <v>45.708593930421785</v>
      </c>
      <c r="AE11" s="51">
        <v>476.83442058338744</v>
      </c>
      <c r="AF11" s="51">
        <v>420.15653488920793</v>
      </c>
      <c r="AG11" s="43">
        <v>419.07537199262049</v>
      </c>
      <c r="AH11" s="44">
        <v>388.71964451151183</v>
      </c>
      <c r="AI11" s="105">
        <v>12082.378103995277</v>
      </c>
      <c r="AJ11" s="106">
        <f t="shared" ref="AJ11:AK12" si="2">AJ5</f>
        <v>420.10344827586209</v>
      </c>
      <c r="AK11" s="107">
        <f t="shared" si="2"/>
        <v>12183</v>
      </c>
    </row>
    <row r="12" spans="1:16384" ht="15.75" thickBot="1" x14ac:dyDescent="0.3">
      <c r="B12" s="102" t="s">
        <v>21</v>
      </c>
      <c r="C12" s="104" t="s">
        <v>35</v>
      </c>
      <c r="D12" s="156">
        <v>407.30605968415819</v>
      </c>
      <c r="E12" s="156">
        <v>390.79192858550493</v>
      </c>
      <c r="F12" s="156">
        <v>370.83469679446841</v>
      </c>
      <c r="G12" s="156">
        <v>302.80157755793164</v>
      </c>
      <c r="H12" s="156">
        <v>112.66590598965367</v>
      </c>
      <c r="I12" s="156">
        <v>51.391465890017457</v>
      </c>
      <c r="J12" s="156">
        <v>407.30605968415824</v>
      </c>
      <c r="K12" s="156">
        <v>357.64551330067394</v>
      </c>
      <c r="L12" s="156">
        <v>343.14485770504547</v>
      </c>
      <c r="M12" s="156">
        <v>325.62089939835937</v>
      </c>
      <c r="N12" s="156">
        <v>265.88267731134948</v>
      </c>
      <c r="O12" s="156">
        <v>98.929183156275968</v>
      </c>
      <c r="P12" s="156">
        <v>45.125592316897809</v>
      </c>
      <c r="Q12" s="156">
        <v>390.79192858550493</v>
      </c>
      <c r="R12" s="156">
        <v>343.14485770504547</v>
      </c>
      <c r="S12" s="156">
        <v>329.23212787636561</v>
      </c>
      <c r="T12" s="156">
        <v>312.41867445406143</v>
      </c>
      <c r="U12" s="156">
        <v>255.10252492818736</v>
      </c>
      <c r="V12" s="156">
        <v>94.918122035819565</v>
      </c>
      <c r="W12" s="156">
        <v>43.295985490022957</v>
      </c>
      <c r="X12" s="156">
        <v>370.83469679446847</v>
      </c>
      <c r="Y12" s="156">
        <v>325.62089939835937</v>
      </c>
      <c r="Z12" s="156">
        <v>312.41867445406149</v>
      </c>
      <c r="AA12" s="156">
        <v>296.46386206963967</v>
      </c>
      <c r="AB12" s="156">
        <v>242.07477320645097</v>
      </c>
      <c r="AC12" s="156">
        <v>90.070777901831732</v>
      </c>
      <c r="AD12" s="156">
        <v>41.084916235923245</v>
      </c>
      <c r="AE12" s="156">
        <v>302.80157755793169</v>
      </c>
      <c r="AF12" s="156">
        <v>265.88267731134948</v>
      </c>
      <c r="AG12" s="45">
        <v>255.10252492818739</v>
      </c>
      <c r="AH12" s="46">
        <v>242.07477320645097</v>
      </c>
      <c r="AI12" s="108">
        <v>7992.7807915141566</v>
      </c>
      <c r="AJ12" s="109">
        <f t="shared" si="2"/>
        <v>259.06896551724139</v>
      </c>
      <c r="AK12" s="110">
        <f t="shared" si="2"/>
        <v>7513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9" customFormat="1" ht="15.75" x14ac:dyDescent="0.25">
      <c r="A14" s="10"/>
      <c r="B14" s="176" t="s">
        <v>36</v>
      </c>
      <c r="C14" s="177"/>
      <c r="D14" s="1" t="s">
        <v>2</v>
      </c>
      <c r="E14" s="1" t="s">
        <v>3</v>
      </c>
      <c r="F14" s="1" t="s">
        <v>4</v>
      </c>
      <c r="G14" s="1" t="s">
        <v>5</v>
      </c>
      <c r="H14" s="1" t="s">
        <v>10</v>
      </c>
      <c r="I14" s="1" t="s">
        <v>0</v>
      </c>
      <c r="J14" s="1" t="s">
        <v>1</v>
      </c>
      <c r="K14" s="1" t="s">
        <v>2</v>
      </c>
      <c r="L14" s="1" t="s">
        <v>3</v>
      </c>
      <c r="M14" s="1" t="s">
        <v>4</v>
      </c>
      <c r="N14" s="1" t="s">
        <v>5</v>
      </c>
      <c r="O14" s="1" t="s">
        <v>10</v>
      </c>
      <c r="P14" s="1" t="s">
        <v>0</v>
      </c>
      <c r="Q14" s="1" t="s">
        <v>1</v>
      </c>
      <c r="R14" s="1" t="s">
        <v>2</v>
      </c>
      <c r="S14" s="1" t="s">
        <v>3</v>
      </c>
      <c r="T14" s="1" t="s">
        <v>4</v>
      </c>
      <c r="U14" s="1" t="s">
        <v>5</v>
      </c>
      <c r="V14" s="1" t="s">
        <v>10</v>
      </c>
      <c r="W14" s="1" t="s">
        <v>0</v>
      </c>
      <c r="X14" s="1" t="s">
        <v>1</v>
      </c>
      <c r="Y14" s="1" t="s">
        <v>2</v>
      </c>
      <c r="Z14" s="1" t="s">
        <v>3</v>
      </c>
      <c r="AA14" s="1" t="s">
        <v>4</v>
      </c>
      <c r="AB14" s="1" t="s">
        <v>5</v>
      </c>
      <c r="AC14" s="1" t="s">
        <v>10</v>
      </c>
      <c r="AD14" s="1" t="s">
        <v>0</v>
      </c>
      <c r="AE14" s="1" t="s">
        <v>1</v>
      </c>
      <c r="AF14" s="1" t="s">
        <v>2</v>
      </c>
      <c r="AG14" s="1" t="s">
        <v>3</v>
      </c>
      <c r="AH14" s="1" t="s">
        <v>4</v>
      </c>
      <c r="AI14" s="115" t="s">
        <v>7</v>
      </c>
      <c r="AJ14" s="116" t="s">
        <v>17</v>
      </c>
      <c r="AK14" s="64" t="s">
        <v>18</v>
      </c>
    </row>
    <row r="15" spans="1:16384" s="119" customFormat="1" x14ac:dyDescent="0.25">
      <c r="A15" s="10"/>
      <c r="B15" s="178" t="s">
        <v>27</v>
      </c>
      <c r="C15" s="179"/>
      <c r="D15" s="49">
        <f>D9</f>
        <v>42430</v>
      </c>
      <c r="E15" s="49">
        <f>E9</f>
        <v>42431</v>
      </c>
      <c r="F15" s="49">
        <f t="shared" ref="F15:AK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21299.974477751861</v>
      </c>
      <c r="AJ15" s="66">
        <f t="shared" si="3"/>
        <v>686.31034482758616</v>
      </c>
      <c r="AK15" s="55">
        <f t="shared" si="3"/>
        <v>19903</v>
      </c>
    </row>
    <row r="16" spans="1:16384" s="119" customFormat="1" x14ac:dyDescent="0.25">
      <c r="A16" s="10"/>
      <c r="B16" s="128" t="s">
        <v>19</v>
      </c>
      <c r="C16" s="129" t="s">
        <v>35</v>
      </c>
      <c r="D16" s="143">
        <f>IF(D4&lt;&gt;"",D4,D10)</f>
        <v>6</v>
      </c>
      <c r="E16" s="143">
        <f t="shared" ref="E16:AH16" si="4">IF(E4&lt;&gt;"",E4,E10)</f>
        <v>10</v>
      </c>
      <c r="F16" s="143">
        <f t="shared" si="4"/>
        <v>6</v>
      </c>
      <c r="G16" s="143">
        <f t="shared" si="4"/>
        <v>9</v>
      </c>
      <c r="H16" s="143">
        <f t="shared" si="4"/>
        <v>3</v>
      </c>
      <c r="I16" s="143">
        <f t="shared" si="4"/>
        <v>1</v>
      </c>
      <c r="J16" s="143">
        <f t="shared" si="4"/>
        <v>8</v>
      </c>
      <c r="K16" s="143">
        <f t="shared" si="4"/>
        <v>7</v>
      </c>
      <c r="L16" s="143">
        <f t="shared" si="4"/>
        <v>9</v>
      </c>
      <c r="M16" s="143">
        <f t="shared" si="4"/>
        <v>11.192783102895463</v>
      </c>
      <c r="N16" s="143">
        <f t="shared" si="4"/>
        <v>8.3515381613912307</v>
      </c>
      <c r="O16" s="143">
        <f t="shared" si="4"/>
        <v>4.3049165780367167</v>
      </c>
      <c r="P16" s="143">
        <f t="shared" si="4"/>
        <v>2.1094091232379912</v>
      </c>
      <c r="Q16" s="143">
        <f t="shared" si="4"/>
        <v>9.1658760349339445</v>
      </c>
      <c r="R16" s="143">
        <f t="shared" si="4"/>
        <v>8.6714511865765118</v>
      </c>
      <c r="S16" s="143">
        <f t="shared" si="4"/>
        <v>10.002595009077289</v>
      </c>
      <c r="T16" s="143">
        <f t="shared" si="4"/>
        <v>9.8884969671486527</v>
      </c>
      <c r="U16" s="143">
        <f t="shared" si="4"/>
        <v>7.3783400447186107</v>
      </c>
      <c r="V16" s="143">
        <f t="shared" si="4"/>
        <v>3.8032680642879435</v>
      </c>
      <c r="W16" s="143">
        <f t="shared" si="4"/>
        <v>1.8636013515010923</v>
      </c>
      <c r="X16" s="143">
        <f t="shared" si="4"/>
        <v>9.1230922432305341</v>
      </c>
      <c r="Y16" s="143">
        <f t="shared" si="4"/>
        <v>8.6309752342595925</v>
      </c>
      <c r="Z16" s="143">
        <f t="shared" si="4"/>
        <v>9.9559056430275099</v>
      </c>
      <c r="AA16" s="143">
        <f t="shared" si="4"/>
        <v>9.8423401794188319</v>
      </c>
      <c r="AB16" s="143">
        <f t="shared" si="4"/>
        <v>7.3438999800278983</v>
      </c>
      <c r="AC16" s="143">
        <f t="shared" si="4"/>
        <v>3.7855154536226281</v>
      </c>
      <c r="AD16" s="143">
        <f t="shared" si="4"/>
        <v>1.8549025722750878</v>
      </c>
      <c r="AE16" s="143">
        <f t="shared" si="4"/>
        <v>9.1230922432305341</v>
      </c>
      <c r="AF16" s="143">
        <f t="shared" si="4"/>
        <v>8.6309752342595925</v>
      </c>
      <c r="AG16" s="143">
        <f t="shared" si="4"/>
        <v>9.9559056430275099</v>
      </c>
      <c r="AH16" s="143">
        <f t="shared" si="4"/>
        <v>9.8423401794188319</v>
      </c>
      <c r="AI16" s="105">
        <f>SUM(D16:AH16)</f>
        <v>223.82122022960397</v>
      </c>
      <c r="AJ16" s="106">
        <f t="shared" ref="AJ16:AK16" si="5">AJ10</f>
        <v>7.1379310344827589</v>
      </c>
      <c r="AK16" s="107">
        <f t="shared" si="5"/>
        <v>207</v>
      </c>
    </row>
    <row r="17" spans="1:38" s="119" customFormat="1" x14ac:dyDescent="0.25">
      <c r="A17" s="10"/>
      <c r="B17" s="128" t="s">
        <v>20</v>
      </c>
      <c r="C17" s="129" t="s">
        <v>35</v>
      </c>
      <c r="D17" s="143">
        <f>IF(D5&lt;&gt;"",D5,D11)</f>
        <v>709</v>
      </c>
      <c r="E17" s="143">
        <f t="shared" ref="E17:AH17" si="6">IF(E5&lt;&gt;"",E5,E11)</f>
        <v>757</v>
      </c>
      <c r="F17" s="143">
        <f t="shared" si="6"/>
        <v>574</v>
      </c>
      <c r="G17" s="143">
        <f t="shared" si="6"/>
        <v>598</v>
      </c>
      <c r="H17" s="143">
        <f t="shared" si="6"/>
        <v>107</v>
      </c>
      <c r="I17" s="143">
        <f t="shared" si="6"/>
        <v>70</v>
      </c>
      <c r="J17" s="143">
        <f t="shared" si="6"/>
        <v>636</v>
      </c>
      <c r="K17" s="143">
        <f t="shared" si="6"/>
        <v>489</v>
      </c>
      <c r="L17" s="143">
        <f t="shared" si="6"/>
        <v>632</v>
      </c>
      <c r="M17" s="143">
        <f t="shared" si="6"/>
        <v>496.60175599245355</v>
      </c>
      <c r="N17" s="143">
        <f t="shared" si="6"/>
        <v>420.15653488920793</v>
      </c>
      <c r="O17" s="143">
        <f t="shared" si="6"/>
        <v>129.99406257098136</v>
      </c>
      <c r="P17" s="143">
        <f t="shared" si="6"/>
        <v>49.405181116065656</v>
      </c>
      <c r="Q17" s="143">
        <f t="shared" si="6"/>
        <v>563.59187806467378</v>
      </c>
      <c r="R17" s="143">
        <f t="shared" si="6"/>
        <v>496.60175599245355</v>
      </c>
      <c r="S17" s="143">
        <f t="shared" si="6"/>
        <v>495.32388132343101</v>
      </c>
      <c r="T17" s="143">
        <f t="shared" si="6"/>
        <v>459.44509253933649</v>
      </c>
      <c r="U17" s="143">
        <f t="shared" si="6"/>
        <v>388.71964451151183</v>
      </c>
      <c r="V17" s="143">
        <f t="shared" si="6"/>
        <v>120.26766596531411</v>
      </c>
      <c r="W17" s="143">
        <f t="shared" si="6"/>
        <v>45.708593930421785</v>
      </c>
      <c r="X17" s="143">
        <f t="shared" si="6"/>
        <v>563.59187806467378</v>
      </c>
      <c r="Y17" s="143">
        <f t="shared" si="6"/>
        <v>496.60175599245355</v>
      </c>
      <c r="Z17" s="143">
        <f t="shared" si="6"/>
        <v>495.32388132343101</v>
      </c>
      <c r="AA17" s="143">
        <f t="shared" si="6"/>
        <v>459.44509253933649</v>
      </c>
      <c r="AB17" s="143">
        <f t="shared" si="6"/>
        <v>388.71964451151183</v>
      </c>
      <c r="AC17" s="143">
        <f t="shared" si="6"/>
        <v>120.26766596531411</v>
      </c>
      <c r="AD17" s="143">
        <f t="shared" si="6"/>
        <v>45.708593930421785</v>
      </c>
      <c r="AE17" s="143">
        <f t="shared" si="6"/>
        <v>476.83442058338744</v>
      </c>
      <c r="AF17" s="143">
        <f t="shared" si="6"/>
        <v>420.15653488920793</v>
      </c>
      <c r="AG17" s="143">
        <f t="shared" si="6"/>
        <v>419.07537199262049</v>
      </c>
      <c r="AH17" s="143">
        <f t="shared" si="6"/>
        <v>388.71964451151183</v>
      </c>
      <c r="AI17" s="105">
        <f>SUM(D17:AH17)</f>
        <v>12512.260531199716</v>
      </c>
      <c r="AJ17" s="106">
        <f t="shared" ref="AJ17:AK17" si="7">AJ11</f>
        <v>420.10344827586209</v>
      </c>
      <c r="AK17" s="107">
        <f t="shared" si="7"/>
        <v>12183</v>
      </c>
    </row>
    <row r="18" spans="1:38" s="119" customFormat="1" ht="15.75" thickBot="1" x14ac:dyDescent="0.3">
      <c r="A18" s="10"/>
      <c r="B18" s="130" t="s">
        <v>21</v>
      </c>
      <c r="C18" s="131" t="s">
        <v>35</v>
      </c>
      <c r="D18" s="155">
        <f>IF(D6&lt;&gt;"",D6,D12)</f>
        <v>583</v>
      </c>
      <c r="E18" s="155">
        <f t="shared" ref="E18:AH18" si="8">IF(E6&lt;&gt;"",E6,E12)</f>
        <v>471</v>
      </c>
      <c r="F18" s="155">
        <f t="shared" si="8"/>
        <v>399</v>
      </c>
      <c r="G18" s="155">
        <f t="shared" si="8"/>
        <v>380</v>
      </c>
      <c r="H18" s="155">
        <f t="shared" si="8"/>
        <v>80</v>
      </c>
      <c r="I18" s="155">
        <f t="shared" si="8"/>
        <v>40</v>
      </c>
      <c r="J18" s="155">
        <f t="shared" si="8"/>
        <v>549</v>
      </c>
      <c r="K18" s="155">
        <f t="shared" si="8"/>
        <v>399</v>
      </c>
      <c r="L18" s="155">
        <f t="shared" si="8"/>
        <v>414</v>
      </c>
      <c r="M18" s="155">
        <f t="shared" si="8"/>
        <v>325.62089939835937</v>
      </c>
      <c r="N18" s="155">
        <f t="shared" si="8"/>
        <v>265.88267731134948</v>
      </c>
      <c r="O18" s="155">
        <f t="shared" si="8"/>
        <v>98.929183156275968</v>
      </c>
      <c r="P18" s="155">
        <f t="shared" si="8"/>
        <v>45.125592316897809</v>
      </c>
      <c r="Q18" s="155">
        <f t="shared" si="8"/>
        <v>390.79192858550493</v>
      </c>
      <c r="R18" s="155">
        <f t="shared" si="8"/>
        <v>343.14485770504547</v>
      </c>
      <c r="S18" s="155">
        <f t="shared" si="8"/>
        <v>329.23212787636561</v>
      </c>
      <c r="T18" s="155">
        <f t="shared" si="8"/>
        <v>312.41867445406143</v>
      </c>
      <c r="U18" s="155">
        <f t="shared" si="8"/>
        <v>255.10252492818736</v>
      </c>
      <c r="V18" s="155">
        <f t="shared" si="8"/>
        <v>94.918122035819565</v>
      </c>
      <c r="W18" s="155">
        <f t="shared" si="8"/>
        <v>43.295985490022957</v>
      </c>
      <c r="X18" s="155">
        <f t="shared" si="8"/>
        <v>370.83469679446847</v>
      </c>
      <c r="Y18" s="155">
        <f t="shared" si="8"/>
        <v>325.62089939835937</v>
      </c>
      <c r="Z18" s="155">
        <f t="shared" si="8"/>
        <v>312.41867445406149</v>
      </c>
      <c r="AA18" s="155">
        <f t="shared" si="8"/>
        <v>296.46386206963967</v>
      </c>
      <c r="AB18" s="155">
        <f t="shared" si="8"/>
        <v>242.07477320645097</v>
      </c>
      <c r="AC18" s="155">
        <f t="shared" si="8"/>
        <v>90.070777901831732</v>
      </c>
      <c r="AD18" s="155">
        <f t="shared" si="8"/>
        <v>41.084916235923245</v>
      </c>
      <c r="AE18" s="155">
        <f t="shared" si="8"/>
        <v>302.80157755793169</v>
      </c>
      <c r="AF18" s="155">
        <f t="shared" si="8"/>
        <v>265.88267731134948</v>
      </c>
      <c r="AG18" s="155">
        <f t="shared" si="8"/>
        <v>255.10252492818739</v>
      </c>
      <c r="AH18" s="155">
        <f t="shared" si="8"/>
        <v>242.07477320645097</v>
      </c>
      <c r="AI18" s="108">
        <f>SUM(D18:AH18)</f>
        <v>8563.8927263225414</v>
      </c>
      <c r="AJ18" s="109">
        <f t="shared" ref="AJ18:AK18" si="9">AJ12</f>
        <v>259.06896551724139</v>
      </c>
      <c r="AK18" s="110">
        <f t="shared" si="9"/>
        <v>7513</v>
      </c>
    </row>
    <row r="19" spans="1:38" ht="17.25" thickBot="1" x14ac:dyDescent="0.3">
      <c r="B19" s="119"/>
      <c r="C19" s="120"/>
      <c r="D19" s="31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0"/>
      <c r="T19" s="120"/>
      <c r="U19" s="120"/>
      <c r="V19" s="120"/>
      <c r="W19" s="120"/>
      <c r="X19" s="120"/>
      <c r="Y19" s="120"/>
      <c r="Z19" s="120"/>
      <c r="AA19" s="120"/>
      <c r="AB19" s="120"/>
      <c r="AC19" s="120"/>
      <c r="AD19" s="120"/>
      <c r="AE19" s="120"/>
      <c r="AF19" s="30"/>
      <c r="AG19" s="30"/>
      <c r="AH19" s="120"/>
      <c r="AI19" s="74"/>
      <c r="AJ19" s="43"/>
      <c r="AK19" s="74"/>
    </row>
    <row r="20" spans="1:38" ht="26.25" x14ac:dyDescent="0.25">
      <c r="B20" s="132" t="s">
        <v>36</v>
      </c>
      <c r="C20" s="133" t="s">
        <v>34</v>
      </c>
      <c r="D20" s="134" t="s">
        <v>18</v>
      </c>
      <c r="E20" s="135" t="s">
        <v>23</v>
      </c>
      <c r="F20" s="136" t="s">
        <v>24</v>
      </c>
      <c r="G20" s="137" t="s">
        <v>25</v>
      </c>
      <c r="H20" s="119"/>
      <c r="I20" s="32"/>
      <c r="J20" s="164" t="s">
        <v>30</v>
      </c>
      <c r="K20" s="165"/>
      <c r="L20" s="184" t="s">
        <v>32</v>
      </c>
      <c r="M20" s="184"/>
      <c r="N20" s="170" t="s">
        <v>32</v>
      </c>
      <c r="O20" s="171"/>
      <c r="P20" s="120"/>
      <c r="Q20" s="120"/>
      <c r="R20" s="120"/>
      <c r="S20" s="119"/>
      <c r="T20" s="120"/>
      <c r="U20" s="120"/>
      <c r="V20" s="120"/>
      <c r="W20" s="120"/>
      <c r="X20" s="120"/>
      <c r="Y20" s="120"/>
      <c r="Z20" s="120"/>
      <c r="AA20" s="120"/>
      <c r="AB20" s="120"/>
      <c r="AC20" s="120"/>
      <c r="AD20" s="120"/>
      <c r="AE20" s="120"/>
      <c r="AF20" s="120"/>
      <c r="AG20" s="120"/>
      <c r="AH20" s="120"/>
      <c r="AI20" s="120"/>
      <c r="AJ20" s="34"/>
      <c r="AK20" s="51"/>
      <c r="AL20" s="34"/>
    </row>
    <row r="21" spans="1:38" ht="26.25" x14ac:dyDescent="0.25">
      <c r="B21" s="138" t="s">
        <v>7</v>
      </c>
      <c r="C21" s="147">
        <f>Indicadores!AH27</f>
        <v>7946</v>
      </c>
      <c r="D21" s="148">
        <f>SUM(D22:D24)</f>
        <v>21299.974477751861</v>
      </c>
      <c r="E21" s="149">
        <f>AVERAGE(Indicadores!AJ9,Indicadores!AJ15,Indicadores!AJ21)*0.95</f>
        <v>19296.716666666664</v>
      </c>
      <c r="F21" s="144">
        <f>(D21-E21)/E21</f>
        <v>0.10381340233624534</v>
      </c>
      <c r="G21" s="139">
        <f>F21</f>
        <v>0.10381340233624534</v>
      </c>
      <c r="H21" s="12"/>
      <c r="I21" s="32"/>
      <c r="J21" s="166">
        <v>7.22</v>
      </c>
      <c r="K21" s="167"/>
      <c r="L21" s="197">
        <v>207</v>
      </c>
      <c r="M21" s="197"/>
      <c r="N21" s="172">
        <v>15639</v>
      </c>
      <c r="O21" s="173"/>
      <c r="P21" s="120"/>
      <c r="Q21" s="120"/>
      <c r="R21" s="120"/>
      <c r="S21" s="119"/>
      <c r="T21" s="120"/>
      <c r="U21" s="120"/>
      <c r="V21" s="120"/>
      <c r="W21" s="120"/>
      <c r="X21" s="120"/>
      <c r="Y21" s="120"/>
      <c r="Z21" s="120"/>
      <c r="AA21" s="120"/>
      <c r="AB21" s="120"/>
      <c r="AC21" s="120"/>
      <c r="AD21" s="120"/>
      <c r="AE21" s="120"/>
      <c r="AF21" s="120"/>
      <c r="AG21" s="120"/>
      <c r="AH21" s="120"/>
      <c r="AI21" s="120"/>
      <c r="AJ21" s="34"/>
      <c r="AK21" s="51"/>
      <c r="AL21" s="34"/>
    </row>
    <row r="22" spans="1:38" ht="26.25" x14ac:dyDescent="0.25">
      <c r="B22" s="140" t="s">
        <v>19</v>
      </c>
      <c r="C22" s="150">
        <f>Indicadores!AH28</f>
        <v>59</v>
      </c>
      <c r="D22" s="151">
        <f>AI16</f>
        <v>223.82122022960397</v>
      </c>
      <c r="E22" s="149">
        <v>250</v>
      </c>
      <c r="F22" s="145">
        <f t="shared" ref="F22:F24" si="10">(D22-E22)/E22</f>
        <v>-0.10471511908158414</v>
      </c>
      <c r="G22" s="139">
        <f>F22</f>
        <v>-0.10471511908158414</v>
      </c>
      <c r="H22" s="12"/>
      <c r="I22" s="32"/>
      <c r="J22" s="168" t="s">
        <v>13</v>
      </c>
      <c r="K22" s="169"/>
      <c r="L22" s="198" t="s">
        <v>13</v>
      </c>
      <c r="M22" s="198"/>
      <c r="N22" s="174" t="s">
        <v>15</v>
      </c>
      <c r="O22" s="175"/>
      <c r="P22" s="120"/>
      <c r="Q22" s="120"/>
      <c r="R22" s="120"/>
      <c r="S22" s="119"/>
      <c r="T22" s="120"/>
      <c r="U22" s="120"/>
      <c r="V22" s="120"/>
      <c r="W22" s="120"/>
      <c r="X22" s="120"/>
      <c r="Y22" s="120"/>
      <c r="Z22" s="120"/>
      <c r="AA22" s="120"/>
      <c r="AB22" s="120"/>
      <c r="AC22" s="120"/>
      <c r="AD22" s="120"/>
      <c r="AE22" s="120"/>
      <c r="AF22" s="120"/>
      <c r="AG22" s="120"/>
      <c r="AH22" s="120"/>
      <c r="AI22" s="120"/>
      <c r="AJ22" s="34"/>
      <c r="AK22" s="51"/>
      <c r="AL22" s="34"/>
    </row>
    <row r="23" spans="1:38" ht="26.25" x14ac:dyDescent="0.25">
      <c r="B23" s="140" t="s">
        <v>20</v>
      </c>
      <c r="C23" s="150">
        <f>Indicadores!AH29</f>
        <v>4572</v>
      </c>
      <c r="D23" s="151">
        <f>AI17</f>
        <v>12512.260531199716</v>
      </c>
      <c r="E23" s="149">
        <f>AVERAGE(Indicadores!AJ11,Indicadores!AJ17,Indicadores!AJ23)*0.95</f>
        <v>11478.533333333333</v>
      </c>
      <c r="F23" s="145">
        <f t="shared" si="10"/>
        <v>9.0057428753939212E-2</v>
      </c>
      <c r="G23" s="139">
        <f>F23</f>
        <v>9.0057428753939212E-2</v>
      </c>
      <c r="H23" s="12"/>
      <c r="I23" s="32"/>
      <c r="J23" s="191" t="s">
        <v>31</v>
      </c>
      <c r="K23" s="192"/>
      <c r="L23" s="199" t="s">
        <v>33</v>
      </c>
      <c r="M23" s="199"/>
      <c r="N23" s="185" t="s">
        <v>33</v>
      </c>
      <c r="O23" s="186"/>
      <c r="AI23" s="29"/>
      <c r="AJ23" s="34"/>
      <c r="AK23" s="51"/>
      <c r="AL23" s="34"/>
    </row>
    <row r="24" spans="1:38" ht="27" thickBot="1" x14ac:dyDescent="0.3">
      <c r="B24" s="141" t="s">
        <v>21</v>
      </c>
      <c r="C24" s="152">
        <f>Indicadores!AH30</f>
        <v>3315</v>
      </c>
      <c r="D24" s="153">
        <f>AI18</f>
        <v>8563.8927263225414</v>
      </c>
      <c r="E24" s="154">
        <f>AVERAGE(Indicadores!AJ12,Indicadores!AJ18,Indicadores!AJ24)*0.95</f>
        <v>7593.0333333333328</v>
      </c>
      <c r="F24" s="146">
        <f t="shared" si="10"/>
        <v>0.1278618636806382</v>
      </c>
      <c r="G24" s="142">
        <f>F24</f>
        <v>0.1278618636806382</v>
      </c>
      <c r="H24" s="12"/>
      <c r="I24" s="32"/>
      <c r="J24" s="166">
        <v>6.77</v>
      </c>
      <c r="K24" s="167"/>
      <c r="L24" s="197">
        <v>210</v>
      </c>
      <c r="M24" s="197"/>
      <c r="N24" s="172">
        <v>21648</v>
      </c>
      <c r="O24" s="173"/>
      <c r="AI24" s="29"/>
      <c r="AJ24" s="34"/>
      <c r="AK24" s="51"/>
      <c r="AL24" s="34"/>
    </row>
    <row r="25" spans="1:38" ht="26.25" x14ac:dyDescent="0.25">
      <c r="H25" s="118"/>
      <c r="I25" s="32"/>
      <c r="J25" s="193" t="s">
        <v>26</v>
      </c>
      <c r="K25" s="194"/>
      <c r="L25" s="200" t="str">
        <f>J25</f>
        <v>Redução</v>
      </c>
      <c r="M25" s="200"/>
      <c r="N25" s="187" t="str">
        <f>L25</f>
        <v>Redução</v>
      </c>
      <c r="O25" s="188"/>
      <c r="AI25" s="29"/>
      <c r="AJ25" s="34"/>
      <c r="AK25" s="51"/>
      <c r="AL25" s="34"/>
    </row>
    <row r="26" spans="1:38" ht="27" thickBot="1" x14ac:dyDescent="0.3">
      <c r="G26" s="12"/>
      <c r="I26" s="33"/>
      <c r="J26" s="195">
        <f>(J21/J24)-1</f>
        <v>6.6469719350073841E-2</v>
      </c>
      <c r="K26" s="196"/>
      <c r="L26" s="201">
        <f>(L21/L24)-1</f>
        <v>-1.4285714285714235E-2</v>
      </c>
      <c r="M26" s="201"/>
      <c r="N26" s="189">
        <f>(N21/N24)-1</f>
        <v>-0.27757760532150777</v>
      </c>
      <c r="O26" s="190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sheetProtection insertRows="0"/>
  <mergeCells count="32"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17" t="str">
        <f>'Dados - Gráficos'!B20</f>
        <v>Mar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21" t="str">
        <f>'Dados - Gráficos'!F20</f>
        <v>Desvio</v>
      </c>
      <c r="G5" s="122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7946</v>
      </c>
      <c r="D6" s="7">
        <f>'Dados - Gráficos'!D21</f>
        <v>21299.974477751861</v>
      </c>
      <c r="E6" s="93">
        <f>'Dados - Gráficos'!E21</f>
        <v>19296.716666666664</v>
      </c>
      <c r="F6" s="123">
        <f>'Dados - Gráficos'!F21</f>
        <v>0.10381340233624534</v>
      </c>
      <c r="G6" s="124">
        <f>'Dados - Gráficos'!G21</f>
        <v>0.10381340233624534</v>
      </c>
      <c r="H6" s="32"/>
      <c r="I6" s="19">
        <f>K9</f>
        <v>415</v>
      </c>
      <c r="J6" s="83">
        <f>Indicadores!AH10</f>
        <v>294</v>
      </c>
      <c r="K6" s="88">
        <f>E7</f>
        <v>250</v>
      </c>
    </row>
    <row r="7" spans="2:11" x14ac:dyDescent="0.25">
      <c r="B7" s="15" t="str">
        <f>'Dados - Gráficos'!B22</f>
        <v>Alto</v>
      </c>
      <c r="C7" s="99">
        <f>'Dados - Gráficos'!C22</f>
        <v>59</v>
      </c>
      <c r="D7" s="8">
        <f>'Dados - Gráficos'!D22</f>
        <v>223.82122022960397</v>
      </c>
      <c r="E7" s="93">
        <f>'Dados - Gráficos'!E22</f>
        <v>250</v>
      </c>
      <c r="F7" s="125">
        <f>'Dados - Gráficos'!F22</f>
        <v>-0.10471511908158414</v>
      </c>
      <c r="G7" s="124">
        <f>'Dados - Gráficos'!G22</f>
        <v>-0.10471511908158414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4572</v>
      </c>
      <c r="D8" s="8">
        <f>'Dados - Gráficos'!D23</f>
        <v>12512.260531199716</v>
      </c>
      <c r="E8" s="93">
        <f>'Dados - Gráficos'!E23</f>
        <v>11478.533333333333</v>
      </c>
      <c r="F8" s="125">
        <f>'Dados - Gráficos'!F23</f>
        <v>9.0057428753939212E-2</v>
      </c>
      <c r="G8" s="124">
        <f>'Dados - Gráficos'!G23</f>
        <v>9.0057428753939212E-2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3315</v>
      </c>
      <c r="D9" s="17">
        <f>'Dados - Gráficos'!D24</f>
        <v>8563.8927263225414</v>
      </c>
      <c r="E9" s="94">
        <f>'Dados - Gráficos'!E24</f>
        <v>7593.0333333333328</v>
      </c>
      <c r="F9" s="126">
        <f>'Dados - Gráficos'!F24</f>
        <v>0.1278618636806382</v>
      </c>
      <c r="G9" s="127">
        <f>'Dados - Gráficos'!G24</f>
        <v>0.1278618636806382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-0.39759036144578308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nCR4rezDqgI0c0xQpRnngV7gU5QwuoYQF77TujdHtxwbOeNUtE/GfSjgwr/nu1YTF3K0gnhrOTzbcNXD5g+jtw==" saltValue="F/qY5LzwUuOGyBCqhYanxw==" spinCount="100000" sheet="1" objects="1" scenarios="1"/>
  <conditionalFormatting sqref="G6:G9">
    <cfRule type="iconSet" priority="1">
      <iconSet iconSet="3Symbols" showValue="0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2016-03-10T14:03:34Z</dcterms:modified>
</cp:coreProperties>
</file>