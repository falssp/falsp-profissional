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<sst xmlns="http://schemas.openxmlformats.org/spreadsheetml/2006/main" count="345" uniqueCount="37">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</sst>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2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3A-4CAE-92AC-4CF33B6D031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3A-4CAE-92AC-4CF33B6D031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3A-4CAE-92AC-4CF33B6D031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3A-4CAE-92AC-4CF33B6D031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3A-4CAE-92AC-4CF33B6D031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83A-4CAE-92AC-4CF33B6D031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3A-4CAE-92AC-4CF33B6D031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3A-4CAE-92AC-4CF33B6D031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3A-4CAE-92AC-4CF33B6D031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7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D5-4CF9-907D-06F4FF8883B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D5-4CF9-907D-06F4FF8883B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D5-4CF9-907D-06F4FF8883B4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D5-4CF9-907D-06F4FF8883B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D5-4CF9-907D-06F4FF8883B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D5-4CF9-907D-06F4FF8883B4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D5-4CF9-907D-06F4FF8883B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D5-4CF9-907D-06F4FF8883B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5-4CF9-907D-06F4FF8883B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717</c:v>
                </c:pt>
                <c:pt idx="1">
                  <c:v>760</c:v>
                </c:pt>
                <c:pt idx="2">
                  <c:v>582</c:v>
                </c:pt>
                <c:pt idx="3">
                  <c:v>599</c:v>
                </c:pt>
                <c:pt idx="4">
                  <c:v>110</c:v>
                </c:pt>
                <c:pt idx="5">
                  <c:v>70</c:v>
                </c:pt>
                <c:pt idx="6">
                  <c:v>633</c:v>
                </c:pt>
                <c:pt idx="7">
                  <c:v>484</c:v>
                </c:pt>
                <c:pt idx="8">
                  <c:v>587</c:v>
                </c:pt>
                <c:pt idx="9">
                  <c:v>527</c:v>
                </c:pt>
                <c:pt idx="10">
                  <c:v>499</c:v>
                </c:pt>
                <c:pt idx="11">
                  <c:v>149</c:v>
                </c:pt>
                <c:pt idx="12">
                  <c:v>52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2A-424F-925E-F8E04FB80AF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2A-424F-925E-F8E04FB80AF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12A-424F-925E-F8E04FB80AF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12A-424F-925E-F8E04FB80AF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12A-424F-925E-F8E04FB80AF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12A-424F-925E-F8E04FB80AF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12A-424F-925E-F8E04FB80AF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12A-424F-925E-F8E04FB80AF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2A-424F-925E-F8E04FB80AF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468</c:v>
                </c:pt>
                <c:pt idx="2">
                  <c:v>390</c:v>
                </c:pt>
                <c:pt idx="3">
                  <c:v>377</c:v>
                </c:pt>
                <c:pt idx="4">
                  <c:v>77</c:v>
                </c:pt>
                <c:pt idx="5">
                  <c:v>40</c:v>
                </c:pt>
                <c:pt idx="6">
                  <c:v>548</c:v>
                </c:pt>
                <c:pt idx="7">
                  <c:v>391</c:v>
                </c:pt>
                <c:pt idx="8">
                  <c:v>406</c:v>
                </c:pt>
                <c:pt idx="9">
                  <c:v>355</c:v>
                </c:pt>
                <c:pt idx="10">
                  <c:v>322</c:v>
                </c:pt>
                <c:pt idx="11">
                  <c:v>93</c:v>
                </c:pt>
                <c:pt idx="12">
                  <c:v>39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130" workbookViewId="0"/>
  </sheetViews>
  <sheetProtection algorithmName="SHA-512" hashValue="VCcjqVgqR8JfnLs+FM75Hjhc7AG2BQTKRIGRiEaQ22W6zTjPZtOZUapMd0FofzeYduiZ2AatBbCSwbz/+Eb84g==" saltValue="Y60faDU1phYzwmJ+I1Ujk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130" workbookViewId="0"/>
  </sheetViews>
  <sheetProtection algorithmName="SHA-512" hashValue="NxFzonnuNiXB0erGzPbiFdZ8vsCetirfwLkqey4vskzbHgc2/fsZkp2DiQVxJYhMUdygS0yh+/Plbernj80b0w==" saltValue="7iFpoXo47kSS53RY4mf0x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140" workbookViewId="0"/>
  </sheetViews>
  <sheetProtection algorithmName="SHA-512" hashValue="ZOD1U7ZDmLkvXv2hyDVWw29CbNBYxwlXFjDzTbTu++/nnzaq1A2lWCAwuJHJUlRlOvwslufVvDmKvJCri5yc6g==" saltValue="GvyBY39/0Y+bUiO9Y7CAA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O30"/>
    </sheetView>
  </sheetViews>
  <sheetFormatPr defaultColWidth="9.140625" defaultRowHeight="15" x14ac:dyDescent="0.25"/>
  <cols>
    <col min="1" max="1" width="1.28515625" style="157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57" bestFit="1" customWidth="1"/>
    <col min="40" max="16384" width="9.140625" style="157"/>
  </cols>
  <sheetData>
    <row r="1" spans="2:36" ht="15.75" thickBot="1" x14ac:dyDescent="0.3"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58"/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59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14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" t="s">
        <v>4</v>
      </c>
      <c r="AH26" s="115" t="s">
        <v>7</v>
      </c>
      <c r="AI26" s="116" t="s">
        <v>17</v>
      </c>
      <c r="AJ26" s="64" t="s">
        <v>18</v>
      </c>
    </row>
    <row r="27" spans="2:36" x14ac:dyDescent="0.25">
      <c r="B27" s="11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49">
        <v>42460</v>
      </c>
      <c r="AH27" s="52">
        <f>SUM(AH28:AH30)</f>
        <v>9929</v>
      </c>
      <c r="AI27" s="71">
        <f>AH27/COUNTA(C28:AG28)</f>
        <v>763.76923076923072</v>
      </c>
      <c r="AJ27" s="55">
        <f>AI27*31</f>
        <v>23676.846153846152</v>
      </c>
    </row>
    <row r="28" spans="2:36" x14ac:dyDescent="0.25">
      <c r="B28" s="112" t="s">
        <v>19</v>
      </c>
      <c r="C28" s="24">
        <v>6</v>
      </c>
      <c r="D28" s="24">
        <v>10</v>
      </c>
      <c r="E28" s="24">
        <v>6</v>
      </c>
      <c r="F28" s="24">
        <v>9</v>
      </c>
      <c r="G28" s="24">
        <v>3</v>
      </c>
      <c r="H28" s="24">
        <v>1</v>
      </c>
      <c r="I28" s="24">
        <v>8</v>
      </c>
      <c r="J28" s="24">
        <v>6</v>
      </c>
      <c r="K28" s="24">
        <v>9</v>
      </c>
      <c r="L28" s="24">
        <v>10</v>
      </c>
      <c r="M28" s="24">
        <v>7</v>
      </c>
      <c r="N28" s="24">
        <v>2</v>
      </c>
      <c r="O28" s="24">
        <v>3</v>
      </c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53">
        <f>SUM(C28:AG28)</f>
        <v>80</v>
      </c>
      <c r="AI28" s="38">
        <f>AH28/COUNTA(C28:AG28)</f>
        <v>6.1538461538461542</v>
      </c>
      <c r="AJ28" s="56">
        <f>AI28*31</f>
        <v>190.76923076923077</v>
      </c>
    </row>
    <row r="29" spans="2:36" x14ac:dyDescent="0.25">
      <c r="B29" s="112" t="s">
        <v>20</v>
      </c>
      <c r="C29" s="24">
        <v>717</v>
      </c>
      <c r="D29" s="24">
        <v>760</v>
      </c>
      <c r="E29" s="24">
        <v>582</v>
      </c>
      <c r="F29" s="24">
        <v>599</v>
      </c>
      <c r="G29" s="24">
        <v>110</v>
      </c>
      <c r="H29" s="24">
        <v>70</v>
      </c>
      <c r="I29" s="24">
        <v>633</v>
      </c>
      <c r="J29" s="24">
        <v>484</v>
      </c>
      <c r="K29" s="24">
        <v>587</v>
      </c>
      <c r="L29" s="24">
        <v>527</v>
      </c>
      <c r="M29" s="24">
        <v>499</v>
      </c>
      <c r="N29" s="24">
        <v>149</v>
      </c>
      <c r="O29" s="24">
        <v>52</v>
      </c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53">
        <f>SUM(C29:AG29)</f>
        <v>5769</v>
      </c>
      <c r="AI29" s="38">
        <f>AH29/COUNTA(C29:AG29)</f>
        <v>443.76923076923077</v>
      </c>
      <c r="AJ29" s="56">
        <f>AI29*31</f>
        <v>13756.846153846154</v>
      </c>
    </row>
    <row r="30" spans="2:36" ht="15.75" thickBot="1" x14ac:dyDescent="0.3">
      <c r="B30" s="113" t="s">
        <v>21</v>
      </c>
      <c r="C30" s="25">
        <v>574</v>
      </c>
      <c r="D30" s="25">
        <v>468</v>
      </c>
      <c r="E30" s="25">
        <v>390</v>
      </c>
      <c r="F30" s="25">
        <v>377</v>
      </c>
      <c r="G30" s="25">
        <v>77</v>
      </c>
      <c r="H30" s="25">
        <v>40</v>
      </c>
      <c r="I30" s="25">
        <v>548</v>
      </c>
      <c r="J30" s="25">
        <v>391</v>
      </c>
      <c r="K30" s="25">
        <v>406</v>
      </c>
      <c r="L30" s="25">
        <v>355</v>
      </c>
      <c r="M30" s="25">
        <v>322</v>
      </c>
      <c r="N30" s="25">
        <v>93</v>
      </c>
      <c r="O30" s="25">
        <v>39</v>
      </c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54">
        <f>SUM(C30:AG30)</f>
        <v>4080</v>
      </c>
      <c r="AI30" s="37">
        <f>AH30/COUNTA(C30:AG30)</f>
        <v>313.84615384615387</v>
      </c>
      <c r="AJ30" s="57">
        <f>AI30*31</f>
        <v>9729.2307692307695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57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</row>
    <row r="2" spans="1:16384" ht="15" customHeight="1" x14ac:dyDescent="0.25">
      <c r="B2" s="168" t="s">
        <v>36</v>
      </c>
      <c r="C2" s="169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5" t="s">
        <v>7</v>
      </c>
      <c r="AJ2" s="116" t="s">
        <v>17</v>
      </c>
      <c r="AK2" s="64" t="s">
        <v>18</v>
      </c>
    </row>
    <row r="3" spans="1:16384" s="50" customFormat="1" x14ac:dyDescent="0.25">
      <c r="A3" s="10"/>
      <c r="B3" s="170" t="s">
        <v>22</v>
      </c>
      <c r="C3" s="17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197" t="s">
        <v>19</v>
      </c>
      <c r="C4" s="198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7</v>
      </c>
      <c r="O4" s="39">
        <f>IF(Indicadores!N28,Indicadores!N28,"")</f>
        <v>2</v>
      </c>
      <c r="P4" s="39">
        <f>IF(Indicadores!O28,Indicadores!O28,"")</f>
        <v>3</v>
      </c>
      <c r="Q4" s="39" t="str">
        <f>IF(Indicadores!P28,Indicadores!P28,"")</f>
        <v/>
      </c>
      <c r="R4" s="39" t="str">
        <f>IF(Indicadores!Q28,Indicadores!Q28,"")</f>
        <v/>
      </c>
      <c r="S4" s="39" t="str">
        <f>IF(Indicadores!R28,Indicadores!R28,"")</f>
        <v/>
      </c>
      <c r="T4" s="39" t="str">
        <f>IF(Indicadores!S28,Indicadores!S28,"")</f>
        <v/>
      </c>
      <c r="U4" s="39" t="str">
        <f>IF(Indicadores!T28,Indicadores!T28,"")</f>
        <v/>
      </c>
      <c r="V4" s="39" t="str">
        <f>IF(Indicadores!U28,Indicadores!U28,"")</f>
        <v/>
      </c>
      <c r="W4" s="39" t="str">
        <f>IF(Indicadores!V28,Indicadores!V28,"")</f>
        <v/>
      </c>
      <c r="X4" s="39" t="str">
        <f>IF(Indicadores!W28,Indicadores!W28,"")</f>
        <v/>
      </c>
      <c r="Y4" s="39" t="str">
        <f>IF(Indicadores!X28,Indicadores!X28,"")</f>
        <v/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197" t="s">
        <v>20</v>
      </c>
      <c r="C5" s="198"/>
      <c r="D5" s="39">
        <f>IF(Indicadores!C29,Indicadores!C29,"")</f>
        <v>717</v>
      </c>
      <c r="E5" s="39">
        <f>IF(Indicadores!D29,Indicadores!D29,"")</f>
        <v>760</v>
      </c>
      <c r="F5" s="39">
        <f>IF(Indicadores!E29,Indicadores!E29,"")</f>
        <v>582</v>
      </c>
      <c r="G5" s="39">
        <f>IF(Indicadores!F29,Indicadores!F29,"")</f>
        <v>599</v>
      </c>
      <c r="H5" s="39">
        <f>IF(Indicadores!G29,Indicadores!G29,"")</f>
        <v>110</v>
      </c>
      <c r="I5" s="39">
        <f>IF(Indicadores!H29,Indicadores!H29,"")</f>
        <v>70</v>
      </c>
      <c r="J5" s="39">
        <f>IF(Indicadores!I29,Indicadores!I29,"")</f>
        <v>633</v>
      </c>
      <c r="K5" s="39">
        <f>IF(Indicadores!J29,Indicadores!J29,"")</f>
        <v>484</v>
      </c>
      <c r="L5" s="39">
        <f>IF(Indicadores!K29,Indicadores!K29,"")</f>
        <v>587</v>
      </c>
      <c r="M5" s="39">
        <f>IF(Indicadores!L29,Indicadores!L29,"")</f>
        <v>527</v>
      </c>
      <c r="N5" s="39">
        <f>IF(Indicadores!M29,Indicadores!M29,"")</f>
        <v>499</v>
      </c>
      <c r="O5" s="39">
        <f>IF(Indicadores!N29,Indicadores!N29,"")</f>
        <v>149</v>
      </c>
      <c r="P5" s="39">
        <f>IF(Indicadores!O29,Indicadores!O29,"")</f>
        <v>52</v>
      </c>
      <c r="Q5" s="39" t="str">
        <f>IF(Indicadores!P29,Indicadores!P29,"")</f>
        <v/>
      </c>
      <c r="R5" s="39" t="str">
        <f>IF(Indicadores!Q29,Indicadores!Q29,"")</f>
        <v/>
      </c>
      <c r="S5" s="39" t="str">
        <f>IF(Indicadores!R29,Indicadores!R29,"")</f>
        <v/>
      </c>
      <c r="T5" s="39" t="str">
        <f>IF(Indicadores!S29,Indicadores!S29,"")</f>
        <v/>
      </c>
      <c r="U5" s="39" t="str">
        <f>IF(Indicadores!T29,Indicadores!T29,"")</f>
        <v/>
      </c>
      <c r="V5" s="39" t="str">
        <f>IF(Indicadores!U29,Indicadores!U29,"")</f>
        <v/>
      </c>
      <c r="W5" s="39" t="str">
        <f>IF(Indicadores!V29,Indicadores!V29,"")</f>
        <v/>
      </c>
      <c r="X5" s="39" t="str">
        <f>IF(Indicadores!W29,Indicadores!W29,"")</f>
        <v/>
      </c>
      <c r="Y5" s="39" t="str">
        <f>IF(Indicadores!X29,Indicadores!X29,"")</f>
        <v/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199" t="s">
        <v>21</v>
      </c>
      <c r="C6" s="200"/>
      <c r="D6" s="40">
        <f>IF(Indicadores!C30,Indicadores!C30,"")</f>
        <v>574</v>
      </c>
      <c r="E6" s="40">
        <f>IF(Indicadores!D30,Indicadores!D30,"")</f>
        <v>468</v>
      </c>
      <c r="F6" s="40">
        <f>IF(Indicadores!E30,Indicadores!E30,"")</f>
        <v>390</v>
      </c>
      <c r="G6" s="40">
        <f>IF(Indicadores!F30,Indicadores!F30,"")</f>
        <v>377</v>
      </c>
      <c r="H6" s="40">
        <f>IF(Indicadores!G30,Indicadores!G30,"")</f>
        <v>77</v>
      </c>
      <c r="I6" s="40">
        <f>IF(Indicadores!H30,Indicadores!H30,"")</f>
        <v>40</v>
      </c>
      <c r="J6" s="40">
        <f>IF(Indicadores!I30,Indicadores!I30,"")</f>
        <v>548</v>
      </c>
      <c r="K6" s="40">
        <f>IF(Indicadores!J30,Indicadores!J30,"")</f>
        <v>391</v>
      </c>
      <c r="L6" s="40">
        <f>IF(Indicadores!K30,Indicadores!K30,"")</f>
        <v>406</v>
      </c>
      <c r="M6" s="40">
        <f>IF(Indicadores!L30,Indicadores!L30,"")</f>
        <v>355</v>
      </c>
      <c r="N6" s="40">
        <f>IF(Indicadores!M30,Indicadores!M30,"")</f>
        <v>322</v>
      </c>
      <c r="O6" s="40">
        <f>IF(Indicadores!N30,Indicadores!N30,"")</f>
        <v>93</v>
      </c>
      <c r="P6" s="40">
        <f>IF(Indicadores!O30,Indicadores!O30,"")</f>
        <v>39</v>
      </c>
      <c r="Q6" s="40" t="str">
        <f>IF(Indicadores!P30,Indicadores!P30,"")</f>
        <v/>
      </c>
      <c r="R6" s="40" t="str">
        <f>IF(Indicadores!Q30,Indicadores!Q30,"")</f>
        <v/>
      </c>
      <c r="S6" s="40" t="str">
        <f>IF(Indicadores!R30,Indicadores!R30,"")</f>
        <v/>
      </c>
      <c r="T6" s="40" t="str">
        <f>IF(Indicadores!S30,Indicadores!S30,"")</f>
        <v/>
      </c>
      <c r="U6" s="40" t="str">
        <f>IF(Indicadores!T30,Indicadores!T30,"")</f>
        <v/>
      </c>
      <c r="V6" s="40" t="str">
        <f>IF(Indicadores!U30,Indicadores!U30,"")</f>
        <v/>
      </c>
      <c r="W6" s="40" t="str">
        <f>IF(Indicadores!V30,Indicadores!V30,"")</f>
        <v/>
      </c>
      <c r="X6" s="40" t="str">
        <f>IF(Indicadores!W30,Indicadores!W30,"")</f>
        <v/>
      </c>
      <c r="Y6" s="40" t="str">
        <f>IF(Indicadores!X30,Indicadores!X30,"")</f>
        <v/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86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188"/>
      <c r="AJ7" s="188"/>
      <c r="AK7" s="188"/>
    </row>
    <row r="8" spans="1:16384" ht="15" customHeight="1" x14ac:dyDescent="0.25">
      <c r="B8" s="168" t="s">
        <v>36</v>
      </c>
      <c r="C8" s="169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5" t="s">
        <v>7</v>
      </c>
      <c r="AJ8" s="116" t="s">
        <v>17</v>
      </c>
      <c r="AK8" s="64" t="s">
        <v>18</v>
      </c>
    </row>
    <row r="9" spans="1:16384" s="50" customFormat="1" x14ac:dyDescent="0.25">
      <c r="A9" s="10"/>
      <c r="B9" s="170" t="s">
        <v>27</v>
      </c>
      <c r="C9" s="171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6">
        <v>407.30605968415819</v>
      </c>
      <c r="E12" s="156">
        <v>390.79192858550493</v>
      </c>
      <c r="F12" s="156">
        <v>370.83469679446841</v>
      </c>
      <c r="G12" s="156">
        <v>302.80157755793164</v>
      </c>
      <c r="H12" s="156">
        <v>112.66590598965367</v>
      </c>
      <c r="I12" s="156">
        <v>51.391465890017457</v>
      </c>
      <c r="J12" s="156">
        <v>407.30605968415824</v>
      </c>
      <c r="K12" s="156">
        <v>357.64551330067394</v>
      </c>
      <c r="L12" s="156">
        <v>343.14485770504547</v>
      </c>
      <c r="M12" s="156">
        <v>325.62089939835937</v>
      </c>
      <c r="N12" s="156">
        <v>265.88267731134948</v>
      </c>
      <c r="O12" s="156">
        <v>98.929183156275968</v>
      </c>
      <c r="P12" s="156">
        <v>45.125592316897809</v>
      </c>
      <c r="Q12" s="156">
        <v>390.79192858550493</v>
      </c>
      <c r="R12" s="156">
        <v>343.14485770504547</v>
      </c>
      <c r="S12" s="156">
        <v>329.23212787636561</v>
      </c>
      <c r="T12" s="156">
        <v>312.41867445406143</v>
      </c>
      <c r="U12" s="156">
        <v>255.10252492818736</v>
      </c>
      <c r="V12" s="156">
        <v>94.918122035819565</v>
      </c>
      <c r="W12" s="156">
        <v>43.295985490022957</v>
      </c>
      <c r="X12" s="156">
        <v>370.83469679446847</v>
      </c>
      <c r="Y12" s="156">
        <v>325.62089939835937</v>
      </c>
      <c r="Z12" s="156">
        <v>312.41867445406149</v>
      </c>
      <c r="AA12" s="156">
        <v>296.46386206963967</v>
      </c>
      <c r="AB12" s="156">
        <v>242.07477320645097</v>
      </c>
      <c r="AC12" s="156">
        <v>90.070777901831732</v>
      </c>
      <c r="AD12" s="156">
        <v>41.084916235923245</v>
      </c>
      <c r="AE12" s="156">
        <v>302.80157755793169</v>
      </c>
      <c r="AF12" s="156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9" customFormat="1" ht="15.75" x14ac:dyDescent="0.25">
      <c r="A14" s="10"/>
      <c r="B14" s="168" t="s">
        <v>36</v>
      </c>
      <c r="C14" s="169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5" t="s">
        <v>7</v>
      </c>
      <c r="AJ14" s="116" t="s">
        <v>17</v>
      </c>
      <c r="AK14" s="64" t="s">
        <v>18</v>
      </c>
    </row>
    <row r="15" spans="1:16384" s="119" customFormat="1" x14ac:dyDescent="0.25">
      <c r="A15" s="10"/>
      <c r="B15" s="170" t="s">
        <v>27</v>
      </c>
      <c r="C15" s="171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21425.299944034712</v>
      </c>
      <c r="AJ15" s="66">
        <f t="shared" si="3"/>
        <v>677.93103448275861</v>
      </c>
      <c r="AK15" s="55">
        <f t="shared" si="3"/>
        <v>19660</v>
      </c>
    </row>
    <row r="16" spans="1:16384" s="119" customFormat="1" x14ac:dyDescent="0.25">
      <c r="A16" s="10"/>
      <c r="B16" s="128" t="s">
        <v>19</v>
      </c>
      <c r="C16" s="129" t="s">
        <v>35</v>
      </c>
      <c r="D16" s="143">
        <f>IF(D4&lt;&gt;"",D4,D10)</f>
        <v>6</v>
      </c>
      <c r="E16" s="143">
        <f t="shared" ref="E16:AH16" si="4">IF(E4&lt;&gt;"",E4,E10)</f>
        <v>10</v>
      </c>
      <c r="F16" s="143">
        <f t="shared" si="4"/>
        <v>6</v>
      </c>
      <c r="G16" s="143">
        <f t="shared" si="4"/>
        <v>9</v>
      </c>
      <c r="H16" s="143">
        <f t="shared" si="4"/>
        <v>3</v>
      </c>
      <c r="I16" s="143">
        <f t="shared" si="4"/>
        <v>1</v>
      </c>
      <c r="J16" s="143">
        <f t="shared" si="4"/>
        <v>8</v>
      </c>
      <c r="K16" s="143">
        <f t="shared" si="4"/>
        <v>6</v>
      </c>
      <c r="L16" s="143">
        <f t="shared" si="4"/>
        <v>9</v>
      </c>
      <c r="M16" s="143">
        <f t="shared" si="4"/>
        <v>10</v>
      </c>
      <c r="N16" s="143">
        <f t="shared" si="4"/>
        <v>7</v>
      </c>
      <c r="O16" s="143">
        <f t="shared" si="4"/>
        <v>2</v>
      </c>
      <c r="P16" s="143">
        <f t="shared" si="4"/>
        <v>3</v>
      </c>
      <c r="Q16" s="143">
        <f t="shared" si="4"/>
        <v>9.1658760349339445</v>
      </c>
      <c r="R16" s="143">
        <f t="shared" si="4"/>
        <v>8.6714511865765118</v>
      </c>
      <c r="S16" s="143">
        <f t="shared" si="4"/>
        <v>10.002595009077289</v>
      </c>
      <c r="T16" s="143">
        <f t="shared" si="4"/>
        <v>9.8884969671486527</v>
      </c>
      <c r="U16" s="143">
        <f t="shared" si="4"/>
        <v>7.3783400447186107</v>
      </c>
      <c r="V16" s="143">
        <f t="shared" si="4"/>
        <v>3.8032680642879435</v>
      </c>
      <c r="W16" s="143">
        <f t="shared" si="4"/>
        <v>1.8636013515010923</v>
      </c>
      <c r="X16" s="143">
        <f t="shared" si="4"/>
        <v>9.1230922432305341</v>
      </c>
      <c r="Y16" s="143">
        <f t="shared" si="4"/>
        <v>8.6309752342595925</v>
      </c>
      <c r="Z16" s="143">
        <f t="shared" si="4"/>
        <v>9.9559056430275099</v>
      </c>
      <c r="AA16" s="143">
        <f t="shared" si="4"/>
        <v>9.8423401794188319</v>
      </c>
      <c r="AB16" s="143">
        <f t="shared" si="4"/>
        <v>7.3438999800278983</v>
      </c>
      <c r="AC16" s="143">
        <f t="shared" si="4"/>
        <v>3.7855154536226281</v>
      </c>
      <c r="AD16" s="143">
        <f t="shared" si="4"/>
        <v>1.8549025722750878</v>
      </c>
      <c r="AE16" s="143">
        <f t="shared" si="4"/>
        <v>9.1230922432305341</v>
      </c>
      <c r="AF16" s="143">
        <f t="shared" si="4"/>
        <v>8.6309752342595925</v>
      </c>
      <c r="AG16" s="143">
        <f t="shared" si="4"/>
        <v>9.9559056430275099</v>
      </c>
      <c r="AH16" s="143">
        <f t="shared" si="4"/>
        <v>9.8423401794188319</v>
      </c>
      <c r="AI16" s="105">
        <f>SUM(D16:AH16)</f>
        <v>218.86257326404257</v>
      </c>
      <c r="AJ16" s="106">
        <f t="shared" ref="AJ16:AK16" si="5">AJ10</f>
        <v>7.0344827586206895</v>
      </c>
      <c r="AK16" s="107">
        <f t="shared" si="5"/>
        <v>204</v>
      </c>
    </row>
    <row r="17" spans="1:38" s="119" customFormat="1" x14ac:dyDescent="0.25">
      <c r="A17" s="10"/>
      <c r="B17" s="128" t="s">
        <v>20</v>
      </c>
      <c r="C17" s="129" t="s">
        <v>35</v>
      </c>
      <c r="D17" s="143">
        <f>IF(D5&lt;&gt;"",D5,D11)</f>
        <v>717</v>
      </c>
      <c r="E17" s="143">
        <f t="shared" ref="E17:AH17" si="6">IF(E5&lt;&gt;"",E5,E11)</f>
        <v>760</v>
      </c>
      <c r="F17" s="143">
        <f t="shared" si="6"/>
        <v>582</v>
      </c>
      <c r="G17" s="143">
        <f t="shared" si="6"/>
        <v>599</v>
      </c>
      <c r="H17" s="143">
        <f t="shared" si="6"/>
        <v>110</v>
      </c>
      <c r="I17" s="143">
        <f t="shared" si="6"/>
        <v>70</v>
      </c>
      <c r="J17" s="143">
        <f t="shared" si="6"/>
        <v>633</v>
      </c>
      <c r="K17" s="143">
        <f t="shared" si="6"/>
        <v>484</v>
      </c>
      <c r="L17" s="143">
        <f t="shared" si="6"/>
        <v>587</v>
      </c>
      <c r="M17" s="143">
        <f t="shared" si="6"/>
        <v>527</v>
      </c>
      <c r="N17" s="143">
        <f t="shared" si="6"/>
        <v>499</v>
      </c>
      <c r="O17" s="143">
        <f t="shared" si="6"/>
        <v>149</v>
      </c>
      <c r="P17" s="143">
        <f t="shared" si="6"/>
        <v>52</v>
      </c>
      <c r="Q17" s="143">
        <f t="shared" si="6"/>
        <v>563.59187806467378</v>
      </c>
      <c r="R17" s="143">
        <f t="shared" si="6"/>
        <v>496.60175599245355</v>
      </c>
      <c r="S17" s="143">
        <f t="shared" si="6"/>
        <v>495.32388132343101</v>
      </c>
      <c r="T17" s="143">
        <f t="shared" si="6"/>
        <v>459.44509253933649</v>
      </c>
      <c r="U17" s="143">
        <f t="shared" si="6"/>
        <v>388.71964451151183</v>
      </c>
      <c r="V17" s="143">
        <f t="shared" si="6"/>
        <v>120.26766596531411</v>
      </c>
      <c r="W17" s="143">
        <f t="shared" si="6"/>
        <v>45.708593930421785</v>
      </c>
      <c r="X17" s="143">
        <f t="shared" si="6"/>
        <v>563.59187806467378</v>
      </c>
      <c r="Y17" s="143">
        <f t="shared" si="6"/>
        <v>496.60175599245355</v>
      </c>
      <c r="Z17" s="143">
        <f t="shared" si="6"/>
        <v>495.32388132343101</v>
      </c>
      <c r="AA17" s="143">
        <f t="shared" si="6"/>
        <v>459.44509253933649</v>
      </c>
      <c r="AB17" s="143">
        <f t="shared" si="6"/>
        <v>388.71964451151183</v>
      </c>
      <c r="AC17" s="143">
        <f t="shared" si="6"/>
        <v>120.26766596531411</v>
      </c>
      <c r="AD17" s="143">
        <f t="shared" si="6"/>
        <v>45.708593930421785</v>
      </c>
      <c r="AE17" s="143">
        <f t="shared" si="6"/>
        <v>476.83442058338744</v>
      </c>
      <c r="AF17" s="143">
        <f t="shared" si="6"/>
        <v>420.15653488920793</v>
      </c>
      <c r="AG17" s="143">
        <f t="shared" si="6"/>
        <v>419.07537199262049</v>
      </c>
      <c r="AH17" s="143">
        <f t="shared" si="6"/>
        <v>388.71964451151183</v>
      </c>
      <c r="AI17" s="105">
        <f>SUM(D17:AH17)</f>
        <v>12613.102996631007</v>
      </c>
      <c r="AJ17" s="106">
        <f t="shared" ref="AJ17:AK17" si="7">AJ11</f>
        <v>411.75862068965517</v>
      </c>
      <c r="AK17" s="107">
        <f t="shared" si="7"/>
        <v>11941</v>
      </c>
    </row>
    <row r="18" spans="1:38" s="119" customFormat="1" ht="15.75" thickBot="1" x14ac:dyDescent="0.3">
      <c r="A18" s="10"/>
      <c r="B18" s="130" t="s">
        <v>21</v>
      </c>
      <c r="C18" s="131" t="s">
        <v>35</v>
      </c>
      <c r="D18" s="155">
        <f>IF(D6&lt;&gt;"",D6,D12)</f>
        <v>574</v>
      </c>
      <c r="E18" s="155">
        <f t="shared" ref="E18:AH18" si="8">IF(E6&lt;&gt;"",E6,E12)</f>
        <v>468</v>
      </c>
      <c r="F18" s="155">
        <f t="shared" si="8"/>
        <v>390</v>
      </c>
      <c r="G18" s="155">
        <f t="shared" si="8"/>
        <v>377</v>
      </c>
      <c r="H18" s="155">
        <f t="shared" si="8"/>
        <v>77</v>
      </c>
      <c r="I18" s="155">
        <f t="shared" si="8"/>
        <v>40</v>
      </c>
      <c r="J18" s="155">
        <f t="shared" si="8"/>
        <v>548</v>
      </c>
      <c r="K18" s="155">
        <f t="shared" si="8"/>
        <v>391</v>
      </c>
      <c r="L18" s="155">
        <f t="shared" si="8"/>
        <v>406</v>
      </c>
      <c r="M18" s="155">
        <f t="shared" si="8"/>
        <v>355</v>
      </c>
      <c r="N18" s="155">
        <f t="shared" si="8"/>
        <v>322</v>
      </c>
      <c r="O18" s="155">
        <f t="shared" si="8"/>
        <v>93</v>
      </c>
      <c r="P18" s="155">
        <f t="shared" si="8"/>
        <v>39</v>
      </c>
      <c r="Q18" s="155">
        <f t="shared" si="8"/>
        <v>390.79192858550493</v>
      </c>
      <c r="R18" s="155">
        <f t="shared" si="8"/>
        <v>343.14485770504547</v>
      </c>
      <c r="S18" s="155">
        <f t="shared" si="8"/>
        <v>329.23212787636561</v>
      </c>
      <c r="T18" s="155">
        <f t="shared" si="8"/>
        <v>312.41867445406143</v>
      </c>
      <c r="U18" s="155">
        <f t="shared" si="8"/>
        <v>255.10252492818736</v>
      </c>
      <c r="V18" s="155">
        <f t="shared" si="8"/>
        <v>94.918122035819565</v>
      </c>
      <c r="W18" s="155">
        <f t="shared" si="8"/>
        <v>43.295985490022957</v>
      </c>
      <c r="X18" s="155">
        <f t="shared" si="8"/>
        <v>370.83469679446847</v>
      </c>
      <c r="Y18" s="155">
        <f t="shared" si="8"/>
        <v>325.62089939835937</v>
      </c>
      <c r="Z18" s="155">
        <f t="shared" si="8"/>
        <v>312.41867445406149</v>
      </c>
      <c r="AA18" s="155">
        <f t="shared" si="8"/>
        <v>296.46386206963967</v>
      </c>
      <c r="AB18" s="155">
        <f t="shared" si="8"/>
        <v>242.07477320645097</v>
      </c>
      <c r="AC18" s="155">
        <f t="shared" si="8"/>
        <v>90.070777901831732</v>
      </c>
      <c r="AD18" s="155">
        <f t="shared" si="8"/>
        <v>41.084916235923245</v>
      </c>
      <c r="AE18" s="155">
        <f t="shared" si="8"/>
        <v>302.80157755793169</v>
      </c>
      <c r="AF18" s="155">
        <f t="shared" si="8"/>
        <v>265.88267731134948</v>
      </c>
      <c r="AG18" s="155">
        <f t="shared" si="8"/>
        <v>255.10252492818739</v>
      </c>
      <c r="AH18" s="155">
        <f t="shared" si="8"/>
        <v>242.07477320645097</v>
      </c>
      <c r="AI18" s="108">
        <f>SUM(D18:AH18)</f>
        <v>8593.3343741396602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9"/>
      <c r="C19" s="120"/>
      <c r="D19" s="31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30"/>
      <c r="AG19" s="30"/>
      <c r="AH19" s="120"/>
      <c r="AI19" s="74"/>
      <c r="AJ19" s="43"/>
      <c r="AK19" s="74"/>
    </row>
    <row r="20" spans="1:38" ht="26.25" x14ac:dyDescent="0.25">
      <c r="B20" s="132" t="s">
        <v>36</v>
      </c>
      <c r="C20" s="133" t="s">
        <v>34</v>
      </c>
      <c r="D20" s="134" t="s">
        <v>18</v>
      </c>
      <c r="E20" s="135" t="s">
        <v>23</v>
      </c>
      <c r="F20" s="136" t="s">
        <v>24</v>
      </c>
      <c r="G20" s="137" t="s">
        <v>25</v>
      </c>
      <c r="H20" s="119"/>
      <c r="I20" s="32"/>
      <c r="J20" s="189" t="s">
        <v>30</v>
      </c>
      <c r="K20" s="190"/>
      <c r="L20" s="201" t="s">
        <v>32</v>
      </c>
      <c r="M20" s="201"/>
      <c r="N20" s="193" t="s">
        <v>32</v>
      </c>
      <c r="O20" s="194"/>
      <c r="P20" s="120"/>
      <c r="Q20" s="120"/>
      <c r="R20" s="120"/>
      <c r="S20" s="119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34"/>
      <c r="AK20" s="51"/>
      <c r="AL20" s="34"/>
    </row>
    <row r="21" spans="1:38" ht="26.25" x14ac:dyDescent="0.25">
      <c r="B21" s="138" t="s">
        <v>7</v>
      </c>
      <c r="C21" s="147">
        <f>Indicadores!AH27</f>
        <v>9929</v>
      </c>
      <c r="D21" s="148">
        <f>SUM(D22:D24)</f>
        <v>21425.299944034712</v>
      </c>
      <c r="E21" s="149">
        <f>SUM(E22:E24)</f>
        <v>19245.566666666666</v>
      </c>
      <c r="F21" s="144">
        <f>(D21-E21)/E21</f>
        <v>0.11325898141224108</v>
      </c>
      <c r="G21" s="139">
        <f>F21</f>
        <v>0.11325898141224108</v>
      </c>
      <c r="H21" s="12"/>
      <c r="I21" s="32"/>
      <c r="J21" s="174">
        <v>7.22</v>
      </c>
      <c r="K21" s="175"/>
      <c r="L21" s="180">
        <v>207</v>
      </c>
      <c r="M21" s="180"/>
      <c r="N21" s="162">
        <v>15639</v>
      </c>
      <c r="O21" s="163"/>
      <c r="P21" s="120"/>
      <c r="Q21" s="120"/>
      <c r="R21" s="120"/>
      <c r="S21" s="119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34"/>
      <c r="AK21" s="51"/>
      <c r="AL21" s="34"/>
    </row>
    <row r="22" spans="1:38" ht="26.25" x14ac:dyDescent="0.25">
      <c r="B22" s="140" t="s">
        <v>19</v>
      </c>
      <c r="C22" s="150">
        <f>Indicadores!AH28</f>
        <v>80</v>
      </c>
      <c r="D22" s="151">
        <f>AI16</f>
        <v>218.86257326404257</v>
      </c>
      <c r="E22" s="149">
        <v>250</v>
      </c>
      <c r="F22" s="145">
        <f t="shared" ref="F22:F24" si="10">(D22-E22)/E22</f>
        <v>-0.12454970694382973</v>
      </c>
      <c r="G22" s="139">
        <f>F22</f>
        <v>-0.12454970694382973</v>
      </c>
      <c r="H22" s="12"/>
      <c r="I22" s="32"/>
      <c r="J22" s="191" t="s">
        <v>13</v>
      </c>
      <c r="K22" s="192"/>
      <c r="L22" s="181" t="s">
        <v>13</v>
      </c>
      <c r="M22" s="181"/>
      <c r="N22" s="195" t="s">
        <v>15</v>
      </c>
      <c r="O22" s="196"/>
      <c r="P22" s="120"/>
      <c r="Q22" s="120"/>
      <c r="R22" s="120"/>
      <c r="S22" s="119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34"/>
      <c r="AK22" s="51"/>
      <c r="AL22" s="34"/>
    </row>
    <row r="23" spans="1:38" ht="26.25" x14ac:dyDescent="0.25">
      <c r="B23" s="140" t="s">
        <v>20</v>
      </c>
      <c r="C23" s="150">
        <f>Indicadores!AH29</f>
        <v>5769</v>
      </c>
      <c r="D23" s="151">
        <f>AI17</f>
        <v>12613.102996631007</v>
      </c>
      <c r="E23" s="149">
        <f>AVERAGE(Indicadores!AJ11,Indicadores!AJ17,Indicadores!AJ23)*0.95</f>
        <v>11401.9</v>
      </c>
      <c r="F23" s="145">
        <f t="shared" si="10"/>
        <v>0.10622817220208979</v>
      </c>
      <c r="G23" s="139">
        <f>F23</f>
        <v>0.10622817220208979</v>
      </c>
      <c r="H23" s="12"/>
      <c r="I23" s="32"/>
      <c r="J23" s="172" t="s">
        <v>31</v>
      </c>
      <c r="K23" s="173"/>
      <c r="L23" s="182" t="s">
        <v>33</v>
      </c>
      <c r="M23" s="182"/>
      <c r="N23" s="160" t="s">
        <v>33</v>
      </c>
      <c r="O23" s="161"/>
      <c r="AI23" s="29"/>
      <c r="AJ23" s="34"/>
      <c r="AK23" s="51"/>
      <c r="AL23" s="34"/>
    </row>
    <row r="24" spans="1:38" ht="27" thickBot="1" x14ac:dyDescent="0.3">
      <c r="B24" s="141" t="s">
        <v>21</v>
      </c>
      <c r="C24" s="152">
        <f>Indicadores!AH30</f>
        <v>4080</v>
      </c>
      <c r="D24" s="153">
        <f>AI18</f>
        <v>8593.3343741396602</v>
      </c>
      <c r="E24" s="154">
        <f>AVERAGE(Indicadores!AJ12,Indicadores!AJ18,Indicadores!AJ24)*0.95</f>
        <v>7593.6666666666661</v>
      </c>
      <c r="F24" s="146">
        <f t="shared" si="10"/>
        <v>0.13164492877481157</v>
      </c>
      <c r="G24" s="142">
        <f>F24</f>
        <v>0.13164492877481157</v>
      </c>
      <c r="H24" s="12"/>
      <c r="I24" s="32"/>
      <c r="J24" s="174">
        <v>6.77</v>
      </c>
      <c r="K24" s="175"/>
      <c r="L24" s="180">
        <v>210</v>
      </c>
      <c r="M24" s="180"/>
      <c r="N24" s="162">
        <v>21648</v>
      </c>
      <c r="O24" s="163"/>
      <c r="AI24" s="29"/>
      <c r="AJ24" s="34"/>
      <c r="AK24" s="51"/>
      <c r="AL24" s="34"/>
    </row>
    <row r="25" spans="1:38" ht="26.25" x14ac:dyDescent="0.25">
      <c r="H25" s="118"/>
      <c r="I25" s="32"/>
      <c r="J25" s="176" t="s">
        <v>26</v>
      </c>
      <c r="K25" s="177"/>
      <c r="L25" s="183" t="str">
        <f>J25</f>
        <v>Redução</v>
      </c>
      <c r="M25" s="183"/>
      <c r="N25" s="164" t="str">
        <f>L25</f>
        <v>Redução</v>
      </c>
      <c r="O25" s="165"/>
      <c r="AI25" s="29"/>
      <c r="AJ25" s="34"/>
      <c r="AK25" s="51"/>
      <c r="AL25" s="34"/>
    </row>
    <row r="26" spans="1:38" ht="27" thickBot="1" x14ac:dyDescent="0.3">
      <c r="G26" s="12"/>
      <c r="I26" s="33"/>
      <c r="J26" s="178">
        <f>(J21/J24)-1</f>
        <v>6.6469719350073841E-2</v>
      </c>
      <c r="K26" s="179"/>
      <c r="L26" s="184">
        <f>(L21/L24)-1</f>
        <v>-1.4285714285714235E-2</v>
      </c>
      <c r="M26" s="184"/>
      <c r="N26" s="166">
        <f>(N21/N24)-1</f>
        <v>-0.27757760532150777</v>
      </c>
      <c r="O26" s="167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7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21" t="str">
        <f>'Dados - Gráficos'!F20</f>
        <v>Desvio</v>
      </c>
      <c r="G5" s="122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9929</v>
      </c>
      <c r="D6" s="7">
        <f>'Dados - Gráficos'!D21</f>
        <v>21425.299944034712</v>
      </c>
      <c r="E6" s="93">
        <f>'Dados - Gráficos'!E21</f>
        <v>19245.566666666666</v>
      </c>
      <c r="F6" s="123">
        <f>'Dados - Gráficos'!F21</f>
        <v>0.11325898141224108</v>
      </c>
      <c r="G6" s="124">
        <f>'Dados - Gráficos'!G21</f>
        <v>0.11325898141224108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80</v>
      </c>
      <c r="D7" s="8">
        <f>'Dados - Gráficos'!D22</f>
        <v>218.86257326404257</v>
      </c>
      <c r="E7" s="93">
        <f>'Dados - Gráficos'!E22</f>
        <v>250</v>
      </c>
      <c r="F7" s="125">
        <f>'Dados - Gráficos'!F22</f>
        <v>-0.12454970694382973</v>
      </c>
      <c r="G7" s="124">
        <f>'Dados - Gráficos'!G22</f>
        <v>-0.12454970694382973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5769</v>
      </c>
      <c r="D8" s="8">
        <f>'Dados - Gráficos'!D23</f>
        <v>12613.102996631007</v>
      </c>
      <c r="E8" s="93">
        <f>'Dados - Gráficos'!E23</f>
        <v>11401.9</v>
      </c>
      <c r="F8" s="125">
        <f>'Dados - Gráficos'!F23</f>
        <v>0.10622817220208979</v>
      </c>
      <c r="G8" s="124">
        <f>'Dados - Gráficos'!G23</f>
        <v>0.10622817220208979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4080</v>
      </c>
      <c r="D9" s="17">
        <f>'Dados - Gráficos'!D24</f>
        <v>8593.3343741396602</v>
      </c>
      <c r="E9" s="94">
        <f>'Dados - Gráficos'!E24</f>
        <v>7593.6666666666661</v>
      </c>
      <c r="F9" s="126">
        <f>'Dados - Gráficos'!F24</f>
        <v>0.13164492877481157</v>
      </c>
      <c r="G9" s="127">
        <f>'Dados - Gráficos'!G24</f>
        <v>0.13164492877481157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2016-03-14T13:33:51Z</dcterms:modified>
</cp:coreProperties>
</file>