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<sst xmlns="http://schemas.openxmlformats.org/spreadsheetml/2006/main" count="345" uniqueCount="37">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</sst>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690</c:v>
                </c:pt>
                <c:pt idx="1">
                  <c:v>738</c:v>
                </c:pt>
                <c:pt idx="2">
                  <c:v>558</c:v>
                </c:pt>
                <c:pt idx="3">
                  <c:v>592</c:v>
                </c:pt>
                <c:pt idx="4">
                  <c:v>105</c:v>
                </c:pt>
                <c:pt idx="5">
                  <c:v>70</c:v>
                </c:pt>
                <c:pt idx="6">
                  <c:v>621</c:v>
                </c:pt>
                <c:pt idx="7">
                  <c:v>478</c:v>
                </c:pt>
                <c:pt idx="8">
                  <c:v>571</c:v>
                </c:pt>
                <c:pt idx="9">
                  <c:v>497</c:v>
                </c:pt>
                <c:pt idx="10">
                  <c:v>473</c:v>
                </c:pt>
                <c:pt idx="11">
                  <c:v>123</c:v>
                </c:pt>
                <c:pt idx="12">
                  <c:v>40</c:v>
                </c:pt>
                <c:pt idx="13">
                  <c:v>558</c:v>
                </c:pt>
                <c:pt idx="14">
                  <c:v>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391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390</c:v>
                </c:pt>
                <c:pt idx="8">
                  <c:v>406</c:v>
                </c:pt>
                <c:pt idx="9">
                  <c:v>357</c:v>
                </c:pt>
                <c:pt idx="10">
                  <c:v>317</c:v>
                </c:pt>
                <c:pt idx="11">
                  <c:v>100</c:v>
                </c:pt>
                <c:pt idx="12">
                  <c:v>40</c:v>
                </c:pt>
                <c:pt idx="13">
                  <c:v>473</c:v>
                </c:pt>
                <c:pt idx="14">
                  <c:v>369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iSSQDx4wFB7YE2hGLO4P8SGT98We7XfjPIc9ahvCckN2hlQ8sIIXRgkPpRvujLmDXSScTFwK2UT4jP0CtkThXg==" saltValue="f9Pce34McKZWlQrn4kJfG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SCSxYmYe5s5HvQY+5qWH5au+78TYWFYI4uupjdmwH5EmiDgRVpNtL3jpbfrvqMspPlackpfIpFU2clQXUnd+4g==" saltValue="6kRLuN6/Sxk9toCM4vEA0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20EGcFcRTle+agKkbCfTNN14joKv532E+lhT0YYmQl+ec7yexF4ibmCqlM3DDpEDvo9g/M9hkYfi6Ntnqo2Snw==" saltValue="VfCLWBvmavNVLx0iM/m4V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Q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11778</v>
      </c>
      <c r="AI27" s="71">
        <f>AH27/COUNTA(C28:AG28)</f>
        <v>785.2</v>
      </c>
      <c r="AJ27" s="55">
        <f>AI27*31</f>
        <v>24341.200000000001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14</v>
      </c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93</v>
      </c>
      <c r="AI28" s="38">
        <f>AH28/COUNTA(C28:AG28)</f>
        <v>6.2</v>
      </c>
      <c r="AJ28" s="56">
        <f>AI28*31</f>
        <v>192.20000000000002</v>
      </c>
    </row>
    <row r="29" spans="2:36" x14ac:dyDescent="0.25">
      <c r="B29" s="155" t="s">
        <v>20</v>
      </c>
      <c r="C29" s="159">
        <v>690</v>
      </c>
      <c r="D29" s="159">
        <v>738</v>
      </c>
      <c r="E29" s="159">
        <v>558</v>
      </c>
      <c r="F29" s="159">
        <v>592</v>
      </c>
      <c r="G29" s="159">
        <v>105</v>
      </c>
      <c r="H29" s="159">
        <v>70</v>
      </c>
      <c r="I29" s="159">
        <v>621</v>
      </c>
      <c r="J29" s="159">
        <v>478</v>
      </c>
      <c r="K29" s="159">
        <v>571</v>
      </c>
      <c r="L29" s="159">
        <v>497</v>
      </c>
      <c r="M29" s="159">
        <v>473</v>
      </c>
      <c r="N29" s="159">
        <v>123</v>
      </c>
      <c r="O29" s="159">
        <v>40</v>
      </c>
      <c r="P29" s="159">
        <v>558</v>
      </c>
      <c r="Q29" s="24">
        <v>641</v>
      </c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6755</v>
      </c>
      <c r="AI29" s="38">
        <f>AH29/COUNTA(C29:AG29)</f>
        <v>450.33333333333331</v>
      </c>
      <c r="AJ29" s="56">
        <f>AI29*31</f>
        <v>13960.333333333332</v>
      </c>
    </row>
    <row r="30" spans="2:36" ht="15.75" thickBot="1" x14ac:dyDescent="0.3">
      <c r="B30" s="156" t="s">
        <v>21</v>
      </c>
      <c r="C30" s="158">
        <v>574</v>
      </c>
      <c r="D30" s="158">
        <v>469</v>
      </c>
      <c r="E30" s="158">
        <v>391</v>
      </c>
      <c r="F30" s="158">
        <v>377</v>
      </c>
      <c r="G30" s="158">
        <v>79</v>
      </c>
      <c r="H30" s="158">
        <v>40</v>
      </c>
      <c r="I30" s="158">
        <v>548</v>
      </c>
      <c r="J30" s="158">
        <v>390</v>
      </c>
      <c r="K30" s="158">
        <v>406</v>
      </c>
      <c r="L30" s="158">
        <v>357</v>
      </c>
      <c r="M30" s="158">
        <v>317</v>
      </c>
      <c r="N30" s="158">
        <v>100</v>
      </c>
      <c r="O30" s="158">
        <v>40</v>
      </c>
      <c r="P30" s="158">
        <v>473</v>
      </c>
      <c r="Q30" s="25">
        <v>369</v>
      </c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4930</v>
      </c>
      <c r="AI30" s="37">
        <f>AH30/COUNTA(C30:AG30)</f>
        <v>328.66666666666669</v>
      </c>
      <c r="AJ30" s="57">
        <f>AI30*31</f>
        <v>10188.666666666668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14</v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690</v>
      </c>
      <c r="E5" s="39">
        <f>IF(Indicadores!D29,Indicadores!D29,"")</f>
        <v>738</v>
      </c>
      <c r="F5" s="39">
        <f>IF(Indicadores!E29,Indicadores!E29,"")</f>
        <v>558</v>
      </c>
      <c r="G5" s="39">
        <f>IF(Indicadores!F29,Indicadores!F29,"")</f>
        <v>592</v>
      </c>
      <c r="H5" s="39">
        <f>IF(Indicadores!G29,Indicadores!G29,"")</f>
        <v>105</v>
      </c>
      <c r="I5" s="39">
        <f>IF(Indicadores!H29,Indicadores!H29,"")</f>
        <v>70</v>
      </c>
      <c r="J5" s="39">
        <f>IF(Indicadores!I29,Indicadores!I29,"")</f>
        <v>621</v>
      </c>
      <c r="K5" s="39">
        <f>IF(Indicadores!J29,Indicadores!J29,"")</f>
        <v>478</v>
      </c>
      <c r="L5" s="39">
        <f>IF(Indicadores!K29,Indicadores!K29,"")</f>
        <v>571</v>
      </c>
      <c r="M5" s="39">
        <f>IF(Indicadores!L29,Indicadores!L29,"")</f>
        <v>497</v>
      </c>
      <c r="N5" s="39">
        <f>IF(Indicadores!M29,Indicadores!M29,"")</f>
        <v>473</v>
      </c>
      <c r="O5" s="39">
        <f>IF(Indicadores!N29,Indicadores!N29,"")</f>
        <v>123</v>
      </c>
      <c r="P5" s="39">
        <f>IF(Indicadores!O29,Indicadores!O29,"")</f>
        <v>40</v>
      </c>
      <c r="Q5" s="39">
        <f>IF(Indicadores!P29,Indicadores!P29,"")</f>
        <v>558</v>
      </c>
      <c r="R5" s="39">
        <f>IF(Indicadores!Q29,Indicadores!Q29,"")</f>
        <v>641</v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574</v>
      </c>
      <c r="E6" s="40">
        <f>IF(Indicadores!D30,Indicadores!D30,"")</f>
        <v>469</v>
      </c>
      <c r="F6" s="40">
        <f>IF(Indicadores!E30,Indicadores!E30,"")</f>
        <v>391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390</v>
      </c>
      <c r="L6" s="40">
        <f>IF(Indicadores!K30,Indicadores!K30,"")</f>
        <v>406</v>
      </c>
      <c r="M6" s="40">
        <f>IF(Indicadores!L30,Indicadores!L30,"")</f>
        <v>357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40</v>
      </c>
      <c r="Q6" s="40">
        <f>IF(Indicadores!P30,Indicadores!P30,"")</f>
        <v>473</v>
      </c>
      <c r="R6" s="40">
        <f>IF(Indicadores!Q30,Indicadores!Q30,"")</f>
        <v>369</v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21466.637113043558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14</v>
      </c>
      <c r="S16" s="139">
        <f t="shared" si="4"/>
        <v>10.002595009077289</v>
      </c>
      <c r="T16" s="139">
        <f t="shared" si="4"/>
        <v>9.8884969671486527</v>
      </c>
      <c r="U16" s="139">
        <f t="shared" si="4"/>
        <v>7.3783400447186107</v>
      </c>
      <c r="V16" s="139">
        <f t="shared" si="4"/>
        <v>3.8032680642879435</v>
      </c>
      <c r="W16" s="139">
        <f t="shared" si="4"/>
        <v>1.8636013515010923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218.33016262056881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690</v>
      </c>
      <c r="E17" s="139">
        <f t="shared" ref="E17:AH17" si="6">IF(E5&lt;&gt;"",E5,E11)</f>
        <v>738</v>
      </c>
      <c r="F17" s="139">
        <f t="shared" si="6"/>
        <v>558</v>
      </c>
      <c r="G17" s="139">
        <f t="shared" si="6"/>
        <v>592</v>
      </c>
      <c r="H17" s="139">
        <f t="shared" si="6"/>
        <v>105</v>
      </c>
      <c r="I17" s="139">
        <f t="shared" si="6"/>
        <v>70</v>
      </c>
      <c r="J17" s="139">
        <f t="shared" si="6"/>
        <v>621</v>
      </c>
      <c r="K17" s="139">
        <f t="shared" si="6"/>
        <v>478</v>
      </c>
      <c r="L17" s="139">
        <f t="shared" si="6"/>
        <v>571</v>
      </c>
      <c r="M17" s="139">
        <f t="shared" si="6"/>
        <v>497</v>
      </c>
      <c r="N17" s="139">
        <f t="shared" si="6"/>
        <v>473</v>
      </c>
      <c r="O17" s="139">
        <f t="shared" si="6"/>
        <v>123</v>
      </c>
      <c r="P17" s="139">
        <f t="shared" si="6"/>
        <v>40</v>
      </c>
      <c r="Q17" s="139">
        <f t="shared" si="6"/>
        <v>558</v>
      </c>
      <c r="R17" s="139">
        <f t="shared" si="6"/>
        <v>641</v>
      </c>
      <c r="S17" s="139">
        <f t="shared" si="6"/>
        <v>495.32388132343101</v>
      </c>
      <c r="T17" s="139">
        <f t="shared" si="6"/>
        <v>459.44509253933649</v>
      </c>
      <c r="U17" s="139">
        <f t="shared" si="6"/>
        <v>388.71964451151183</v>
      </c>
      <c r="V17" s="139">
        <f t="shared" si="6"/>
        <v>120.26766596531411</v>
      </c>
      <c r="W17" s="139">
        <f t="shared" si="6"/>
        <v>45.708593930421785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12538.909362573881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469</v>
      </c>
      <c r="F18" s="151">
        <f t="shared" si="8"/>
        <v>391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390</v>
      </c>
      <c r="L18" s="151">
        <f t="shared" si="8"/>
        <v>406</v>
      </c>
      <c r="M18" s="151">
        <f t="shared" si="8"/>
        <v>357</v>
      </c>
      <c r="N18" s="151">
        <f t="shared" si="8"/>
        <v>317</v>
      </c>
      <c r="O18" s="151">
        <f t="shared" si="8"/>
        <v>100</v>
      </c>
      <c r="P18" s="151">
        <f t="shared" si="8"/>
        <v>40</v>
      </c>
      <c r="Q18" s="151">
        <f t="shared" si="8"/>
        <v>473</v>
      </c>
      <c r="R18" s="151">
        <f t="shared" si="8"/>
        <v>369</v>
      </c>
      <c r="S18" s="151">
        <f t="shared" si="8"/>
        <v>329.23212787636561</v>
      </c>
      <c r="T18" s="151">
        <f t="shared" si="8"/>
        <v>312.41867445406143</v>
      </c>
      <c r="U18" s="151">
        <f t="shared" si="8"/>
        <v>255.10252492818736</v>
      </c>
      <c r="V18" s="151">
        <f t="shared" si="8"/>
        <v>94.918122035819565</v>
      </c>
      <c r="W18" s="151">
        <f t="shared" si="8"/>
        <v>43.295985490022957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8709.3975878491092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11778</v>
      </c>
      <c r="D21" s="144">
        <f>SUM(D22:D24)</f>
        <v>21466.637113043558</v>
      </c>
      <c r="E21" s="145">
        <f>SUM(E22:E24)</f>
        <v>19245.566666666666</v>
      </c>
      <c r="F21" s="140">
        <f>(D21-E21)/E21</f>
        <v>0.11540686147858603</v>
      </c>
      <c r="G21" s="135">
        <f>F21</f>
        <v>0.11540686147858603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93</v>
      </c>
      <c r="D22" s="147">
        <f>AI16</f>
        <v>218.33016262056881</v>
      </c>
      <c r="E22" s="145">
        <v>250</v>
      </c>
      <c r="F22" s="141">
        <f t="shared" ref="F22:F24" si="10">(D22-E22)/E22</f>
        <v>-0.12667934951772475</v>
      </c>
      <c r="G22" s="135">
        <f>F22</f>
        <v>-0.12667934951772475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6755</v>
      </c>
      <c r="D23" s="147">
        <f>AI17</f>
        <v>12538.909362573881</v>
      </c>
      <c r="E23" s="145">
        <f>AVERAGE(Indicadores!AJ11,Indicadores!AJ17,Indicadores!AJ23)*0.95</f>
        <v>11401.9</v>
      </c>
      <c r="F23" s="141">
        <f t="shared" si="10"/>
        <v>9.9721043209805474E-2</v>
      </c>
      <c r="G23" s="135">
        <f>F23</f>
        <v>9.9721043209805474E-2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4930</v>
      </c>
      <c r="D24" s="149">
        <f>AI18</f>
        <v>8709.3975878491092</v>
      </c>
      <c r="E24" s="150">
        <f>AVERAGE(Indicadores!AJ12,Indicadores!AJ18,Indicadores!AJ24)*0.95</f>
        <v>7593.6666666666661</v>
      </c>
      <c r="F24" s="142">
        <f t="shared" si="10"/>
        <v>0.14692914110650673</v>
      </c>
      <c r="G24" s="138">
        <f>F24</f>
        <v>0.14692914110650673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11778</v>
      </c>
      <c r="D6" s="7">
        <f>'Dados - Gráficos'!D21</f>
        <v>21466.637113043558</v>
      </c>
      <c r="E6" s="93">
        <f>'Dados - Gráficos'!E21</f>
        <v>19245.566666666666</v>
      </c>
      <c r="F6" s="119">
        <f>'Dados - Gráficos'!F21</f>
        <v>0.11540686147858603</v>
      </c>
      <c r="G6" s="120">
        <f>'Dados - Gráficos'!G21</f>
        <v>0.11540686147858603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93</v>
      </c>
      <c r="D7" s="8">
        <f>'Dados - Gráficos'!D22</f>
        <v>218.33016262056881</v>
      </c>
      <c r="E7" s="93">
        <f>'Dados - Gráficos'!E22</f>
        <v>250</v>
      </c>
      <c r="F7" s="121">
        <f>'Dados - Gráficos'!F22</f>
        <v>-0.12667934951772475</v>
      </c>
      <c r="G7" s="120">
        <f>'Dados - Gráficos'!G22</f>
        <v>-0.12667934951772475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6755</v>
      </c>
      <c r="D8" s="8">
        <f>'Dados - Gráficos'!D23</f>
        <v>12538.909362573881</v>
      </c>
      <c r="E8" s="93">
        <f>'Dados - Gráficos'!E23</f>
        <v>11401.9</v>
      </c>
      <c r="F8" s="121">
        <f>'Dados - Gráficos'!F23</f>
        <v>9.9721043209805474E-2</v>
      </c>
      <c r="G8" s="120">
        <f>'Dados - Gráficos'!G23</f>
        <v>9.9721043209805474E-2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4930</v>
      </c>
      <c r="D9" s="17">
        <f>'Dados - Gráficos'!D24</f>
        <v>8709.3975878491092</v>
      </c>
      <c r="E9" s="94">
        <f>'Dados - Gráficos'!E24</f>
        <v>7593.6666666666661</v>
      </c>
      <c r="F9" s="122">
        <f>'Dados - Gráficos'!F24</f>
        <v>0.14692914110650673</v>
      </c>
      <c r="G9" s="123">
        <f>'Dados - Gráficos'!G24</f>
        <v>0.14692914110650673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2016-03-16T12:33:33Z</dcterms:modified>
</cp:coreProperties>
</file>