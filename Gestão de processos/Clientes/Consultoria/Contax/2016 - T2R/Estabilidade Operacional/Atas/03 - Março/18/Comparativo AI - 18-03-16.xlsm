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<sst xmlns="http://schemas.openxmlformats.org/spreadsheetml/2006/main" count="345" uniqueCount="37">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</sst>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683</c:v>
                </c:pt>
                <c:pt idx="1">
                  <c:v>726</c:v>
                </c:pt>
                <c:pt idx="2">
                  <c:v>551</c:v>
                </c:pt>
                <c:pt idx="3">
                  <c:v>591</c:v>
                </c:pt>
                <c:pt idx="4">
                  <c:v>104</c:v>
                </c:pt>
                <c:pt idx="5">
                  <c:v>70</c:v>
                </c:pt>
                <c:pt idx="6">
                  <c:v>614</c:v>
                </c:pt>
                <c:pt idx="7">
                  <c:v>476</c:v>
                </c:pt>
                <c:pt idx="8">
                  <c:v>565</c:v>
                </c:pt>
                <c:pt idx="9">
                  <c:v>502</c:v>
                </c:pt>
                <c:pt idx="10">
                  <c:v>468</c:v>
                </c:pt>
                <c:pt idx="11">
                  <c:v>123</c:v>
                </c:pt>
                <c:pt idx="12">
                  <c:v>37</c:v>
                </c:pt>
                <c:pt idx="13">
                  <c:v>548</c:v>
                </c:pt>
                <c:pt idx="14">
                  <c:v>564</c:v>
                </c:pt>
                <c:pt idx="15">
                  <c:v>435</c:v>
                </c:pt>
                <c:pt idx="16">
                  <c:v>521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350</c:v>
                </c:pt>
                <c:pt idx="10">
                  <c:v>316</c:v>
                </c:pt>
                <c:pt idx="11">
                  <c:v>100</c:v>
                </c:pt>
                <c:pt idx="12">
                  <c:v>40</c:v>
                </c:pt>
                <c:pt idx="13">
                  <c:v>475</c:v>
                </c:pt>
                <c:pt idx="14">
                  <c:v>398</c:v>
                </c:pt>
                <c:pt idx="15">
                  <c:v>322</c:v>
                </c:pt>
                <c:pt idx="16">
                  <c:v>310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5YCDrF9AaRoLelYwRPE7kZxXSjxsw7Dqx6maEOcpN4tjpYdGUjIy0/HlIBcuqgbuQt06MoSwUjtMQxuy5hNqoA==" saltValue="Lyv66GMPsOgoJumCPPIqR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k9x+9Wbyot1tDk2RLbHL0NXTx5spxc8MCOG8PEKHHQ/ZGwaCZDHeiCwKaJFv+ZrfZWaDp26+H8rVxJUd5o/njg==" saltValue="ykZYcUkTykuK06OW20zlV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30" workbookViewId="0"/>
  </sheetViews>
  <sheetProtection algorithmName="SHA-512" hashValue="afGZw+S2M0GKZYiSX5sYwJPOP10Rfx8ZfHLivkNZiaVqE5lm4gdKbI3Fb+mnyf+Yc+ahh2Z89j6AOTCBlGd2UA==" saltValue="lHre3PdO4HQPDyh0P34qO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7464" cy="601435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S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13273</v>
      </c>
      <c r="AI27" s="71">
        <f>AH27/COUNTA(C28:AG28)</f>
        <v>780.76470588235293</v>
      </c>
      <c r="AJ27" s="55">
        <f>AI27*31</f>
        <v>24203.705882352941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10</v>
      </c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108</v>
      </c>
      <c r="AI28" s="38">
        <f>AH28/COUNTA(C28:AG28)</f>
        <v>6.3529411764705879</v>
      </c>
      <c r="AJ28" s="56">
        <f>AI28*31</f>
        <v>196.94117647058823</v>
      </c>
    </row>
    <row r="29" spans="2:36" x14ac:dyDescent="0.25">
      <c r="B29" s="155" t="s">
        <v>20</v>
      </c>
      <c r="C29" s="159">
        <v>683</v>
      </c>
      <c r="D29" s="159">
        <v>726</v>
      </c>
      <c r="E29" s="159">
        <v>551</v>
      </c>
      <c r="F29" s="159">
        <v>591</v>
      </c>
      <c r="G29" s="159">
        <v>104</v>
      </c>
      <c r="H29" s="159">
        <v>70</v>
      </c>
      <c r="I29" s="159">
        <v>614</v>
      </c>
      <c r="J29" s="159">
        <v>476</v>
      </c>
      <c r="K29" s="159">
        <v>565</v>
      </c>
      <c r="L29" s="159">
        <v>502</v>
      </c>
      <c r="M29" s="159">
        <v>468</v>
      </c>
      <c r="N29" s="159">
        <v>123</v>
      </c>
      <c r="O29" s="159">
        <v>37</v>
      </c>
      <c r="P29" s="159">
        <v>548</v>
      </c>
      <c r="Q29" s="24">
        <v>564</v>
      </c>
      <c r="R29" s="24">
        <v>435</v>
      </c>
      <c r="S29" s="24">
        <v>521</v>
      </c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7578</v>
      </c>
      <c r="AI29" s="38">
        <f>AH29/COUNTA(C29:AG29)</f>
        <v>445.76470588235293</v>
      </c>
      <c r="AJ29" s="56">
        <f>AI29*31</f>
        <v>13818.705882352941</v>
      </c>
    </row>
    <row r="30" spans="2:36" ht="15.75" thickBot="1" x14ac:dyDescent="0.3">
      <c r="B30" s="156" t="s">
        <v>21</v>
      </c>
      <c r="C30" s="158">
        <v>574</v>
      </c>
      <c r="D30" s="158">
        <v>470</v>
      </c>
      <c r="E30" s="158">
        <v>392</v>
      </c>
      <c r="F30" s="158">
        <v>377</v>
      </c>
      <c r="G30" s="158">
        <v>79</v>
      </c>
      <c r="H30" s="158">
        <v>40</v>
      </c>
      <c r="I30" s="158">
        <v>548</v>
      </c>
      <c r="J30" s="158">
        <v>389</v>
      </c>
      <c r="K30" s="158">
        <v>407</v>
      </c>
      <c r="L30" s="158">
        <v>350</v>
      </c>
      <c r="M30" s="158">
        <v>316</v>
      </c>
      <c r="N30" s="158">
        <v>100</v>
      </c>
      <c r="O30" s="158">
        <v>40</v>
      </c>
      <c r="P30" s="158">
        <v>475</v>
      </c>
      <c r="Q30" s="25">
        <v>398</v>
      </c>
      <c r="R30" s="25">
        <v>322</v>
      </c>
      <c r="S30" s="25">
        <v>310</v>
      </c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5587</v>
      </c>
      <c r="AI30" s="37">
        <f>AH30/COUNTA(C30:AG30)</f>
        <v>328.64705882352939</v>
      </c>
      <c r="AJ30" s="57">
        <f>AI30*31</f>
        <v>10188.058823529411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4" t="s">
        <v>22</v>
      </c>
      <c r="C3" s="185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6" t="s">
        <v>19</v>
      </c>
      <c r="C4" s="187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10</v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6" t="s">
        <v>20</v>
      </c>
      <c r="C5" s="187"/>
      <c r="D5" s="39">
        <f>IF(Indicadores!C29,Indicadores!C29,"")</f>
        <v>683</v>
      </c>
      <c r="E5" s="39">
        <f>IF(Indicadores!D29,Indicadores!D29,"")</f>
        <v>726</v>
      </c>
      <c r="F5" s="39">
        <f>IF(Indicadores!E29,Indicadores!E29,"")</f>
        <v>551</v>
      </c>
      <c r="G5" s="39">
        <f>IF(Indicadores!F29,Indicadores!F29,"")</f>
        <v>591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614</v>
      </c>
      <c r="K5" s="39">
        <f>IF(Indicadores!J29,Indicadores!J29,"")</f>
        <v>476</v>
      </c>
      <c r="L5" s="39">
        <f>IF(Indicadores!K29,Indicadores!K29,"")</f>
        <v>565</v>
      </c>
      <c r="M5" s="39">
        <f>IF(Indicadores!L29,Indicadores!L29,"")</f>
        <v>502</v>
      </c>
      <c r="N5" s="39">
        <f>IF(Indicadores!M29,Indicadores!M29,"")</f>
        <v>468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548</v>
      </c>
      <c r="R5" s="39">
        <f>IF(Indicadores!Q29,Indicadores!Q29,"")</f>
        <v>564</v>
      </c>
      <c r="S5" s="39">
        <f>IF(Indicadores!R29,Indicadores!R29,"")</f>
        <v>435</v>
      </c>
      <c r="T5" s="39">
        <f>IF(Indicadores!S29,Indicadores!S29,"")</f>
        <v>521</v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574</v>
      </c>
      <c r="E6" s="40">
        <f>IF(Indicadores!D30,Indicadores!D30,"")</f>
        <v>470</v>
      </c>
      <c r="F6" s="40">
        <f>IF(Indicadores!E30,Indicadores!E30,"")</f>
        <v>392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389</v>
      </c>
      <c r="L6" s="40">
        <f>IF(Indicadores!K30,Indicadores!K30,"")</f>
        <v>407</v>
      </c>
      <c r="M6" s="40">
        <f>IF(Indicadores!L30,Indicadores!L30,"")</f>
        <v>350</v>
      </c>
      <c r="N6" s="40">
        <f>IF(Indicadores!M30,Indicadores!M30,"")</f>
        <v>316</v>
      </c>
      <c r="O6" s="40">
        <f>IF(Indicadores!N30,Indicadores!N30,"")</f>
        <v>100</v>
      </c>
      <c r="P6" s="40">
        <f>IF(Indicadores!O30,Indicadores!O30,"")</f>
        <v>40</v>
      </c>
      <c r="Q6" s="40">
        <f>IF(Indicadores!P30,Indicadores!P30,"")</f>
        <v>475</v>
      </c>
      <c r="R6" s="40">
        <f>IF(Indicadores!Q30,Indicadores!Q30,"")</f>
        <v>398</v>
      </c>
      <c r="S6" s="40">
        <f>IF(Indicadores!R30,Indicadores!R30,"")</f>
        <v>322</v>
      </c>
      <c r="T6" s="40">
        <f>IF(Indicadores!S30,Indicadores!S30,"")</f>
        <v>310</v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4" t="s">
        <v>27</v>
      </c>
      <c r="C9" s="185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84" t="s">
        <v>27</v>
      </c>
      <c r="C15" s="185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21345.326244874137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10</v>
      </c>
      <c r="U16" s="139">
        <f t="shared" si="4"/>
        <v>7.3783400447186107</v>
      </c>
      <c r="V16" s="139">
        <f t="shared" si="4"/>
        <v>3.8032680642879435</v>
      </c>
      <c r="W16" s="139">
        <f t="shared" si="4"/>
        <v>1.8636013515010923</v>
      </c>
      <c r="X16" s="139">
        <f t="shared" si="4"/>
        <v>9.1230922432305341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213.43907064434288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683</v>
      </c>
      <c r="E17" s="139">
        <f t="shared" ref="E17:AH17" si="6">IF(E5&lt;&gt;"",E5,E11)</f>
        <v>726</v>
      </c>
      <c r="F17" s="139">
        <f t="shared" si="6"/>
        <v>551</v>
      </c>
      <c r="G17" s="139">
        <f t="shared" si="6"/>
        <v>591</v>
      </c>
      <c r="H17" s="139">
        <f t="shared" si="6"/>
        <v>104</v>
      </c>
      <c r="I17" s="139">
        <f t="shared" si="6"/>
        <v>70</v>
      </c>
      <c r="J17" s="139">
        <f t="shared" si="6"/>
        <v>614</v>
      </c>
      <c r="K17" s="139">
        <f t="shared" si="6"/>
        <v>476</v>
      </c>
      <c r="L17" s="139">
        <f t="shared" si="6"/>
        <v>565</v>
      </c>
      <c r="M17" s="139">
        <f t="shared" si="6"/>
        <v>502</v>
      </c>
      <c r="N17" s="139">
        <f t="shared" si="6"/>
        <v>468</v>
      </c>
      <c r="O17" s="139">
        <f t="shared" si="6"/>
        <v>123</v>
      </c>
      <c r="P17" s="139">
        <f t="shared" si="6"/>
        <v>37</v>
      </c>
      <c r="Q17" s="139">
        <f t="shared" si="6"/>
        <v>548</v>
      </c>
      <c r="R17" s="139">
        <f t="shared" si="6"/>
        <v>564</v>
      </c>
      <c r="S17" s="139">
        <f t="shared" si="6"/>
        <v>435</v>
      </c>
      <c r="T17" s="139">
        <f t="shared" si="6"/>
        <v>521</v>
      </c>
      <c r="U17" s="139">
        <f t="shared" si="6"/>
        <v>388.71964451151183</v>
      </c>
      <c r="V17" s="139">
        <f t="shared" si="6"/>
        <v>120.26766596531411</v>
      </c>
      <c r="W17" s="139">
        <f t="shared" si="6"/>
        <v>45.708593930421785</v>
      </c>
      <c r="X17" s="139">
        <f t="shared" si="6"/>
        <v>563.59187806467378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12407.140388711114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470</v>
      </c>
      <c r="F18" s="151">
        <f t="shared" si="8"/>
        <v>392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548</v>
      </c>
      <c r="K18" s="151">
        <f t="shared" si="8"/>
        <v>389</v>
      </c>
      <c r="L18" s="151">
        <f t="shared" si="8"/>
        <v>407</v>
      </c>
      <c r="M18" s="151">
        <f t="shared" si="8"/>
        <v>350</v>
      </c>
      <c r="N18" s="151">
        <f t="shared" si="8"/>
        <v>316</v>
      </c>
      <c r="O18" s="151">
        <f t="shared" si="8"/>
        <v>100</v>
      </c>
      <c r="P18" s="151">
        <f t="shared" si="8"/>
        <v>40</v>
      </c>
      <c r="Q18" s="151">
        <f t="shared" si="8"/>
        <v>475</v>
      </c>
      <c r="R18" s="151">
        <f t="shared" si="8"/>
        <v>398</v>
      </c>
      <c r="S18" s="151">
        <f t="shared" si="8"/>
        <v>322</v>
      </c>
      <c r="T18" s="151">
        <f t="shared" si="8"/>
        <v>310</v>
      </c>
      <c r="U18" s="151">
        <f t="shared" si="8"/>
        <v>255.10252492818736</v>
      </c>
      <c r="V18" s="151">
        <f t="shared" si="8"/>
        <v>94.918122035819565</v>
      </c>
      <c r="W18" s="151">
        <f t="shared" si="8"/>
        <v>43.295985490022957</v>
      </c>
      <c r="X18" s="151">
        <f t="shared" si="8"/>
        <v>370.83469679446847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8724.7467855186824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13273</v>
      </c>
      <c r="D21" s="144">
        <f>SUM(D22:D24)</f>
        <v>21345.326244874137</v>
      </c>
      <c r="E21" s="145">
        <f>SUM(E22:E24)</f>
        <v>19245.566666666666</v>
      </c>
      <c r="F21" s="140">
        <f>(D21-E21)/E21</f>
        <v>0.10910354652452278</v>
      </c>
      <c r="G21" s="135">
        <f>F21</f>
        <v>0.10910354652452278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108</v>
      </c>
      <c r="D22" s="147">
        <f>AI16</f>
        <v>213.43907064434288</v>
      </c>
      <c r="E22" s="145">
        <v>250</v>
      </c>
      <c r="F22" s="141">
        <f t="shared" ref="F22:F24" si="10">(D22-E22)/E22</f>
        <v>-0.14624371742262848</v>
      </c>
      <c r="G22" s="135">
        <f>F22</f>
        <v>-0.14624371742262848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7578</v>
      </c>
      <c r="D23" s="147">
        <f>AI17</f>
        <v>12407.140388711114</v>
      </c>
      <c r="E23" s="145">
        <f>AVERAGE(Indicadores!AJ11,Indicadores!AJ17,Indicadores!AJ23)*0.95</f>
        <v>11401.9</v>
      </c>
      <c r="F23" s="141">
        <f t="shared" si="10"/>
        <v>8.8164287417984211E-2</v>
      </c>
      <c r="G23" s="135">
        <f>F23</f>
        <v>8.8164287417984211E-2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5587</v>
      </c>
      <c r="D24" s="149">
        <f>AI18</f>
        <v>8724.7467855186824</v>
      </c>
      <c r="E24" s="150">
        <f>AVERAGE(Indicadores!AJ12,Indicadores!AJ18,Indicadores!AJ24)*0.95</f>
        <v>7593.6666666666661</v>
      </c>
      <c r="F24" s="142">
        <f t="shared" si="10"/>
        <v>0.14895045680857069</v>
      </c>
      <c r="G24" s="138">
        <f>F24</f>
        <v>0.14895045680857069</v>
      </c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51"/>
      <c r="AL24" s="34"/>
    </row>
    <row r="25" spans="1:38" ht="26.25" x14ac:dyDescent="0.25">
      <c r="H25" s="114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51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13273</v>
      </c>
      <c r="D6" s="7">
        <f>'Dados - Gráficos'!D21</f>
        <v>21345.326244874137</v>
      </c>
      <c r="E6" s="93">
        <f>'Dados - Gráficos'!E21</f>
        <v>19245.566666666666</v>
      </c>
      <c r="F6" s="119">
        <f>'Dados - Gráficos'!F21</f>
        <v>0.10910354652452278</v>
      </c>
      <c r="G6" s="120">
        <f>'Dados - Gráficos'!G21</f>
        <v>0.10910354652452278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108</v>
      </c>
      <c r="D7" s="8">
        <f>'Dados - Gráficos'!D22</f>
        <v>213.43907064434288</v>
      </c>
      <c r="E7" s="93">
        <f>'Dados - Gráficos'!E22</f>
        <v>250</v>
      </c>
      <c r="F7" s="121">
        <f>'Dados - Gráficos'!F22</f>
        <v>-0.14624371742262848</v>
      </c>
      <c r="G7" s="120">
        <f>'Dados - Gráficos'!G22</f>
        <v>-0.14624371742262848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7578</v>
      </c>
      <c r="D8" s="8">
        <f>'Dados - Gráficos'!D23</f>
        <v>12407.140388711114</v>
      </c>
      <c r="E8" s="93">
        <f>'Dados - Gráficos'!E23</f>
        <v>11401.9</v>
      </c>
      <c r="F8" s="121">
        <f>'Dados - Gráficos'!F23</f>
        <v>8.8164287417984211E-2</v>
      </c>
      <c r="G8" s="120">
        <f>'Dados - Gráficos'!G23</f>
        <v>8.8164287417984211E-2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5587</v>
      </c>
      <c r="D9" s="17">
        <f>'Dados - Gráficos'!D24</f>
        <v>8724.7467855186824</v>
      </c>
      <c r="E9" s="94">
        <f>'Dados - Gráficos'!E24</f>
        <v>7593.6666666666661</v>
      </c>
      <c r="F9" s="122">
        <f>'Dados - Gráficos'!F24</f>
        <v>0.14895045680857069</v>
      </c>
      <c r="G9" s="123">
        <f>'Dados - Gráficos'!G24</f>
        <v>0.14895045680857069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2016-03-18T12:23:03Z</dcterms:modified>
</cp:coreProperties>
</file>