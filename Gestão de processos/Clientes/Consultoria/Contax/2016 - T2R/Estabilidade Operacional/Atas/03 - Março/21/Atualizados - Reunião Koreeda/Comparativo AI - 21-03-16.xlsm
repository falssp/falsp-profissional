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<sst xmlns="http://schemas.openxmlformats.org/spreadsheetml/2006/main" count="345" uniqueCount="37">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</sst>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682</c:v>
                </c:pt>
                <c:pt idx="1">
                  <c:v>726</c:v>
                </c:pt>
                <c:pt idx="2">
                  <c:v>551</c:v>
                </c:pt>
                <c:pt idx="3">
                  <c:v>591</c:v>
                </c:pt>
                <c:pt idx="4">
                  <c:v>104</c:v>
                </c:pt>
                <c:pt idx="5">
                  <c:v>70</c:v>
                </c:pt>
                <c:pt idx="6">
                  <c:v>612</c:v>
                </c:pt>
                <c:pt idx="7">
                  <c:v>476</c:v>
                </c:pt>
                <c:pt idx="8">
                  <c:v>565</c:v>
                </c:pt>
                <c:pt idx="9">
                  <c:v>488</c:v>
                </c:pt>
                <c:pt idx="10">
                  <c:v>464</c:v>
                </c:pt>
                <c:pt idx="11">
                  <c:v>123</c:v>
                </c:pt>
                <c:pt idx="12">
                  <c:v>37</c:v>
                </c:pt>
                <c:pt idx="13">
                  <c:v>544</c:v>
                </c:pt>
                <c:pt idx="14">
                  <c:v>559</c:v>
                </c:pt>
                <c:pt idx="15">
                  <c:v>420</c:v>
                </c:pt>
                <c:pt idx="16">
                  <c:v>488</c:v>
                </c:pt>
                <c:pt idx="17">
                  <c:v>369</c:v>
                </c:pt>
                <c:pt idx="18">
                  <c:v>128</c:v>
                </c:pt>
                <c:pt idx="19">
                  <c:v>48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389</c:v>
                </c:pt>
                <c:pt idx="8">
                  <c:v>407</c:v>
                </c:pt>
                <c:pt idx="9">
                  <c:v>364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397</c:v>
                </c:pt>
                <c:pt idx="15">
                  <c:v>328</c:v>
                </c:pt>
                <c:pt idx="16">
                  <c:v>320</c:v>
                </c:pt>
                <c:pt idx="17">
                  <c:v>276</c:v>
                </c:pt>
                <c:pt idx="18">
                  <c:v>114</c:v>
                </c:pt>
                <c:pt idx="19">
                  <c:v>51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GbTOnX+7t6jIeYG2/cBDy5phDz0Qn2FZtpokzEUIuUVtpnDUNgB0iB6SHkQhcZUD+oihRxLJPpTRG1zQA0D/RA==" saltValue="UZgy12UrzGn1VaivmH3D2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70" workbookViewId="0"/>
  </sheetViews>
  <sheetProtection algorithmName="SHA-512" hashValue="Geq9w18B01+2CDvyI/OEKhaEKZ1upZWoOzhXw3++L4TLfmPf8AFr4yNvXg6GizsFKfsjlSRxi+yTxIoHlSoNEw==" saltValue="pkJc/ZIDo2BVgw/Yide9f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qJKHJvG4phsGgb6kXK67sLa4hq1lHtUbSEhVkJ1HVFDIZKlZfVleqxKaI6hxyKBZ1BqrgonBmQDhzDmaY8r70w==" saltValue="V5L4XIT1hgV4P1QudYShQ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V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14219</v>
      </c>
      <c r="AI27" s="71">
        <f>AH27/COUNTA(C28:AG28)</f>
        <v>710.95</v>
      </c>
      <c r="AJ27" s="55">
        <f>AI27*31</f>
        <v>22039.45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2</v>
      </c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160"/>
      <c r="AH28" s="53">
        <f>SUM(C28:AG28)</f>
        <v>114</v>
      </c>
      <c r="AI28" s="38">
        <f>AH28/COUNTA(C28:AG28)</f>
        <v>5.7</v>
      </c>
      <c r="AJ28" s="56">
        <f>AI28*31</f>
        <v>176.70000000000002</v>
      </c>
    </row>
    <row r="29" spans="2:36" x14ac:dyDescent="0.25">
      <c r="B29" s="155" t="s">
        <v>20</v>
      </c>
      <c r="C29" s="159">
        <v>682</v>
      </c>
      <c r="D29" s="159">
        <v>726</v>
      </c>
      <c r="E29" s="159">
        <v>551</v>
      </c>
      <c r="F29" s="159">
        <v>591</v>
      </c>
      <c r="G29" s="159">
        <v>104</v>
      </c>
      <c r="H29" s="159">
        <v>70</v>
      </c>
      <c r="I29" s="159">
        <v>612</v>
      </c>
      <c r="J29" s="159">
        <v>476</v>
      </c>
      <c r="K29" s="159">
        <v>565</v>
      </c>
      <c r="L29" s="159">
        <v>488</v>
      </c>
      <c r="M29" s="159">
        <v>464</v>
      </c>
      <c r="N29" s="159">
        <v>123</v>
      </c>
      <c r="O29" s="159">
        <v>37</v>
      </c>
      <c r="P29" s="159">
        <v>544</v>
      </c>
      <c r="Q29" s="24">
        <v>559</v>
      </c>
      <c r="R29" s="24">
        <v>420</v>
      </c>
      <c r="S29" s="24">
        <v>488</v>
      </c>
      <c r="T29" s="24">
        <v>369</v>
      </c>
      <c r="U29" s="24">
        <v>128</v>
      </c>
      <c r="V29" s="24">
        <v>48</v>
      </c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160"/>
      <c r="AH29" s="53">
        <f>SUM(C29:AG29)</f>
        <v>8045</v>
      </c>
      <c r="AI29" s="38">
        <f>AH29/COUNTA(C29:AG29)</f>
        <v>402.25</v>
      </c>
      <c r="AJ29" s="56">
        <f>AI29*31</f>
        <v>12469.75</v>
      </c>
    </row>
    <row r="30" spans="2:36" ht="15.75" thickBot="1" x14ac:dyDescent="0.3">
      <c r="B30" s="156" t="s">
        <v>21</v>
      </c>
      <c r="C30" s="158">
        <v>574</v>
      </c>
      <c r="D30" s="158">
        <v>470</v>
      </c>
      <c r="E30" s="158">
        <v>392</v>
      </c>
      <c r="F30" s="158">
        <v>377</v>
      </c>
      <c r="G30" s="158">
        <v>79</v>
      </c>
      <c r="H30" s="158">
        <v>40</v>
      </c>
      <c r="I30" s="158">
        <v>548</v>
      </c>
      <c r="J30" s="158">
        <v>389</v>
      </c>
      <c r="K30" s="158">
        <v>407</v>
      </c>
      <c r="L30" s="158">
        <v>364</v>
      </c>
      <c r="M30" s="158">
        <v>317</v>
      </c>
      <c r="N30" s="158">
        <v>100</v>
      </c>
      <c r="O30" s="158">
        <v>39</v>
      </c>
      <c r="P30" s="158">
        <v>478</v>
      </c>
      <c r="Q30" s="25">
        <v>397</v>
      </c>
      <c r="R30" s="25">
        <v>328</v>
      </c>
      <c r="S30" s="25">
        <v>320</v>
      </c>
      <c r="T30" s="25">
        <v>276</v>
      </c>
      <c r="U30" s="25">
        <v>114</v>
      </c>
      <c r="V30" s="25">
        <v>51</v>
      </c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162"/>
      <c r="AH30" s="54">
        <f>SUM(C30:AG30)</f>
        <v>6060</v>
      </c>
      <c r="AI30" s="37">
        <f>AH30/COUNTA(C30:AG30)</f>
        <v>303</v>
      </c>
      <c r="AJ30" s="57">
        <f>AI30*31</f>
        <v>9393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</row>
    <row r="2" spans="1:16384" ht="15" customHeight="1" x14ac:dyDescent="0.25">
      <c r="B2" s="182" t="s">
        <v>36</v>
      </c>
      <c r="C2" s="183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4" t="s">
        <v>22</v>
      </c>
      <c r="C3" s="185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86" t="s">
        <v>19</v>
      </c>
      <c r="C4" s="187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2</v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86" t="s">
        <v>20</v>
      </c>
      <c r="C5" s="187"/>
      <c r="D5" s="39">
        <f>IF(Indicadores!C29,Indicadores!C29,"")</f>
        <v>682</v>
      </c>
      <c r="E5" s="39">
        <f>IF(Indicadores!D29,Indicadores!D29,"")</f>
        <v>726</v>
      </c>
      <c r="F5" s="39">
        <f>IF(Indicadores!E29,Indicadores!E29,"")</f>
        <v>551</v>
      </c>
      <c r="G5" s="39">
        <f>IF(Indicadores!F29,Indicadores!F29,"")</f>
        <v>591</v>
      </c>
      <c r="H5" s="39">
        <f>IF(Indicadores!G29,Indicadores!G29,"")</f>
        <v>104</v>
      </c>
      <c r="I5" s="39">
        <f>IF(Indicadores!H29,Indicadores!H29,"")</f>
        <v>70</v>
      </c>
      <c r="J5" s="39">
        <f>IF(Indicadores!I29,Indicadores!I29,"")</f>
        <v>612</v>
      </c>
      <c r="K5" s="39">
        <f>IF(Indicadores!J29,Indicadores!J29,"")</f>
        <v>476</v>
      </c>
      <c r="L5" s="39">
        <f>IF(Indicadores!K29,Indicadores!K29,"")</f>
        <v>565</v>
      </c>
      <c r="M5" s="39">
        <f>IF(Indicadores!L29,Indicadores!L29,"")</f>
        <v>488</v>
      </c>
      <c r="N5" s="39">
        <f>IF(Indicadores!M29,Indicadores!M29,"")</f>
        <v>464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544</v>
      </c>
      <c r="R5" s="39">
        <f>IF(Indicadores!Q29,Indicadores!Q29,"")</f>
        <v>559</v>
      </c>
      <c r="S5" s="39">
        <f>IF(Indicadores!R29,Indicadores!R29,"")</f>
        <v>420</v>
      </c>
      <c r="T5" s="39">
        <f>IF(Indicadores!S29,Indicadores!S29,"")</f>
        <v>488</v>
      </c>
      <c r="U5" s="39">
        <f>IF(Indicadores!T29,Indicadores!T29,"")</f>
        <v>369</v>
      </c>
      <c r="V5" s="39">
        <f>IF(Indicadores!U29,Indicadores!U29,"")</f>
        <v>128</v>
      </c>
      <c r="W5" s="39">
        <f>IF(Indicadores!V29,Indicadores!V29,"")</f>
        <v>48</v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88" t="s">
        <v>21</v>
      </c>
      <c r="C6" s="189"/>
      <c r="D6" s="40">
        <f>IF(Indicadores!C30,Indicadores!C30,"")</f>
        <v>574</v>
      </c>
      <c r="E6" s="40">
        <f>IF(Indicadores!D30,Indicadores!D30,"")</f>
        <v>470</v>
      </c>
      <c r="F6" s="40">
        <f>IF(Indicadores!E30,Indicadores!E30,"")</f>
        <v>392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548</v>
      </c>
      <c r="K6" s="40">
        <f>IF(Indicadores!J30,Indicadores!J30,"")</f>
        <v>389</v>
      </c>
      <c r="L6" s="40">
        <f>IF(Indicadores!K30,Indicadores!K30,"")</f>
        <v>407</v>
      </c>
      <c r="M6" s="40">
        <f>IF(Indicadores!L30,Indicadores!L30,"")</f>
        <v>364</v>
      </c>
      <c r="N6" s="40">
        <f>IF(Indicadores!M30,Indicadores!M30,"")</f>
        <v>317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478</v>
      </c>
      <c r="R6" s="40">
        <f>IF(Indicadores!Q30,Indicadores!Q30,"")</f>
        <v>397</v>
      </c>
      <c r="S6" s="40">
        <f>IF(Indicadores!R30,Indicadores!R30,"")</f>
        <v>328</v>
      </c>
      <c r="T6" s="40">
        <f>IF(Indicadores!S30,Indicadores!S30,"")</f>
        <v>320</v>
      </c>
      <c r="U6" s="40">
        <f>IF(Indicadores!T30,Indicadores!T30,"")</f>
        <v>276</v>
      </c>
      <c r="V6" s="40">
        <f>IF(Indicadores!U30,Indicadores!U30,"")</f>
        <v>114</v>
      </c>
      <c r="W6" s="40">
        <f>IF(Indicadores!V30,Indicadores!V30,"")</f>
        <v>51</v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67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9"/>
      <c r="AJ7" s="169"/>
      <c r="AK7" s="169"/>
    </row>
    <row r="8" spans="1:16384" ht="15" customHeight="1" x14ac:dyDescent="0.25">
      <c r="B8" s="182" t="s">
        <v>36</v>
      </c>
      <c r="C8" s="183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4" t="s">
        <v>27</v>
      </c>
      <c r="C9" s="185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82" t="s">
        <v>36</v>
      </c>
      <c r="C14" s="183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84" t="s">
        <v>27</v>
      </c>
      <c r="C15" s="185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21330.268498552352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2</v>
      </c>
      <c r="X16" s="139">
        <f t="shared" si="4"/>
        <v>9.1230922432305341</v>
      </c>
      <c r="Y16" s="139">
        <f t="shared" si="4"/>
        <v>8.6309752342595925</v>
      </c>
      <c r="Z16" s="139">
        <f t="shared" si="4"/>
        <v>9.9559056430275099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206.39386118383521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682</v>
      </c>
      <c r="E17" s="139">
        <f t="shared" ref="E17:AH17" si="6">IF(E5&lt;&gt;"",E5,E11)</f>
        <v>726</v>
      </c>
      <c r="F17" s="139">
        <f t="shared" si="6"/>
        <v>551</v>
      </c>
      <c r="G17" s="139">
        <f t="shared" si="6"/>
        <v>591</v>
      </c>
      <c r="H17" s="139">
        <f t="shared" si="6"/>
        <v>104</v>
      </c>
      <c r="I17" s="139">
        <f t="shared" si="6"/>
        <v>70</v>
      </c>
      <c r="J17" s="139">
        <f t="shared" si="6"/>
        <v>612</v>
      </c>
      <c r="K17" s="139">
        <f t="shared" si="6"/>
        <v>476</v>
      </c>
      <c r="L17" s="139">
        <f t="shared" si="6"/>
        <v>565</v>
      </c>
      <c r="M17" s="139">
        <f t="shared" si="6"/>
        <v>488</v>
      </c>
      <c r="N17" s="139">
        <f t="shared" si="6"/>
        <v>464</v>
      </c>
      <c r="O17" s="139">
        <f t="shared" si="6"/>
        <v>123</v>
      </c>
      <c r="P17" s="139">
        <f t="shared" si="6"/>
        <v>37</v>
      </c>
      <c r="Q17" s="139">
        <f t="shared" si="6"/>
        <v>544</v>
      </c>
      <c r="R17" s="139">
        <f t="shared" si="6"/>
        <v>559</v>
      </c>
      <c r="S17" s="139">
        <f t="shared" si="6"/>
        <v>420</v>
      </c>
      <c r="T17" s="139">
        <f t="shared" si="6"/>
        <v>488</v>
      </c>
      <c r="U17" s="139">
        <f t="shared" si="6"/>
        <v>369</v>
      </c>
      <c r="V17" s="139">
        <f t="shared" si="6"/>
        <v>128</v>
      </c>
      <c r="W17" s="139">
        <f t="shared" si="6"/>
        <v>48</v>
      </c>
      <c r="X17" s="139">
        <f t="shared" si="6"/>
        <v>563.59187806467378</v>
      </c>
      <c r="Y17" s="139">
        <f t="shared" si="6"/>
        <v>496.60175599245355</v>
      </c>
      <c r="Z17" s="139">
        <f t="shared" si="6"/>
        <v>495.32388132343101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12319.444484303865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470</v>
      </c>
      <c r="F18" s="151">
        <f t="shared" si="8"/>
        <v>392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548</v>
      </c>
      <c r="K18" s="151">
        <f t="shared" si="8"/>
        <v>389</v>
      </c>
      <c r="L18" s="151">
        <f t="shared" si="8"/>
        <v>407</v>
      </c>
      <c r="M18" s="151">
        <f t="shared" si="8"/>
        <v>364</v>
      </c>
      <c r="N18" s="151">
        <f t="shared" si="8"/>
        <v>317</v>
      </c>
      <c r="O18" s="151">
        <f t="shared" si="8"/>
        <v>100</v>
      </c>
      <c r="P18" s="151">
        <f t="shared" si="8"/>
        <v>39</v>
      </c>
      <c r="Q18" s="151">
        <f t="shared" si="8"/>
        <v>478</v>
      </c>
      <c r="R18" s="151">
        <f t="shared" si="8"/>
        <v>397</v>
      </c>
      <c r="S18" s="151">
        <f t="shared" si="8"/>
        <v>328</v>
      </c>
      <c r="T18" s="151">
        <f t="shared" si="8"/>
        <v>320</v>
      </c>
      <c r="U18" s="151">
        <f t="shared" si="8"/>
        <v>276</v>
      </c>
      <c r="V18" s="151">
        <f t="shared" si="8"/>
        <v>114</v>
      </c>
      <c r="W18" s="151">
        <f t="shared" si="8"/>
        <v>51</v>
      </c>
      <c r="X18" s="151">
        <f t="shared" si="8"/>
        <v>370.83469679446847</v>
      </c>
      <c r="Y18" s="151">
        <f t="shared" si="8"/>
        <v>325.62089939835937</v>
      </c>
      <c r="Z18" s="151">
        <f t="shared" si="8"/>
        <v>312.41867445406149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8804.4301530646517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70" t="s">
        <v>30</v>
      </c>
      <c r="K20" s="171"/>
      <c r="L20" s="190" t="s">
        <v>32</v>
      </c>
      <c r="M20" s="190"/>
      <c r="N20" s="176" t="s">
        <v>32</v>
      </c>
      <c r="O20" s="177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14219</v>
      </c>
      <c r="D21" s="144">
        <f>SUM(D22:D24)</f>
        <v>21330.268498552352</v>
      </c>
      <c r="E21" s="145">
        <f>SUM(E22:E24)</f>
        <v>19245.566666666666</v>
      </c>
      <c r="F21" s="140">
        <f>(D21-E21)/E21</f>
        <v>0.10832114574710815</v>
      </c>
      <c r="G21" s="135">
        <f>F21</f>
        <v>0.10832114574710815</v>
      </c>
      <c r="H21" s="12"/>
      <c r="I21" s="32"/>
      <c r="J21" s="172">
        <v>7.22</v>
      </c>
      <c r="K21" s="173"/>
      <c r="L21" s="203">
        <v>207</v>
      </c>
      <c r="M21" s="203"/>
      <c r="N21" s="178">
        <v>15639</v>
      </c>
      <c r="O21" s="17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114</v>
      </c>
      <c r="D22" s="147">
        <f>AI16</f>
        <v>206.39386118383521</v>
      </c>
      <c r="E22" s="145">
        <v>250</v>
      </c>
      <c r="F22" s="141">
        <f t="shared" ref="F22:F24" si="10">(D22-E22)/E22</f>
        <v>-0.17442455526465914</v>
      </c>
      <c r="G22" s="135">
        <f>F22</f>
        <v>-0.17442455526465914</v>
      </c>
      <c r="H22" s="12"/>
      <c r="I22" s="32"/>
      <c r="J22" s="174" t="s">
        <v>13</v>
      </c>
      <c r="K22" s="175"/>
      <c r="L22" s="204" t="s">
        <v>13</v>
      </c>
      <c r="M22" s="204"/>
      <c r="N22" s="180" t="s">
        <v>15</v>
      </c>
      <c r="O22" s="181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8045</v>
      </c>
      <c r="D23" s="147">
        <f>AI17</f>
        <v>12319.444484303865</v>
      </c>
      <c r="E23" s="145">
        <f>AVERAGE(Indicadores!AJ11,Indicadores!AJ17,Indicadores!AJ23)*0.95</f>
        <v>11401.9</v>
      </c>
      <c r="F23" s="141">
        <f t="shared" si="10"/>
        <v>8.0472946114583166E-2</v>
      </c>
      <c r="G23" s="135">
        <f>F23</f>
        <v>8.0472946114583166E-2</v>
      </c>
      <c r="H23" s="12"/>
      <c r="I23" s="32"/>
      <c r="J23" s="197" t="s">
        <v>31</v>
      </c>
      <c r="K23" s="198"/>
      <c r="L23" s="205" t="s">
        <v>33</v>
      </c>
      <c r="M23" s="205"/>
      <c r="N23" s="191" t="s">
        <v>33</v>
      </c>
      <c r="O23" s="192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6060</v>
      </c>
      <c r="D24" s="149">
        <f>AI18</f>
        <v>8804.4301530646517</v>
      </c>
      <c r="E24" s="150">
        <f>AVERAGE(Indicadores!AJ12,Indicadores!AJ18,Indicadores!AJ24)*0.95</f>
        <v>7593.6666666666661</v>
      </c>
      <c r="F24" s="142">
        <f t="shared" si="10"/>
        <v>0.15944385493147611</v>
      </c>
      <c r="G24" s="138">
        <f>F24</f>
        <v>0.15944385493147611</v>
      </c>
      <c r="H24" s="12"/>
      <c r="I24" s="32"/>
      <c r="J24" s="172">
        <v>6.77</v>
      </c>
      <c r="K24" s="173"/>
      <c r="L24" s="203">
        <v>210</v>
      </c>
      <c r="M24" s="203"/>
      <c r="N24" s="178">
        <v>21648</v>
      </c>
      <c r="O24" s="179"/>
      <c r="AI24" s="29"/>
      <c r="AJ24" s="34"/>
      <c r="AK24" s="51"/>
      <c r="AL24" s="34"/>
    </row>
    <row r="25" spans="1:38" ht="26.25" x14ac:dyDescent="0.25">
      <c r="H25" s="114"/>
      <c r="I25" s="32"/>
      <c r="J25" s="199" t="s">
        <v>26</v>
      </c>
      <c r="K25" s="200"/>
      <c r="L25" s="206" t="str">
        <f>J25</f>
        <v>Redução</v>
      </c>
      <c r="M25" s="206"/>
      <c r="N25" s="193" t="str">
        <f>L25</f>
        <v>Redução</v>
      </c>
      <c r="O25" s="194"/>
      <c r="AI25" s="29"/>
      <c r="AJ25" s="34"/>
      <c r="AK25" s="51"/>
      <c r="AL25" s="34"/>
    </row>
    <row r="26" spans="1:38" ht="27" thickBot="1" x14ac:dyDescent="0.3">
      <c r="G26" s="12"/>
      <c r="I26" s="33"/>
      <c r="J26" s="201">
        <f>(J21/J24)-1</f>
        <v>6.6469719350073841E-2</v>
      </c>
      <c r="K26" s="202"/>
      <c r="L26" s="207">
        <f>(L21/L24)-1</f>
        <v>-1.4285714285714235E-2</v>
      </c>
      <c r="M26" s="207"/>
      <c r="N26" s="195">
        <f>(N21/N24)-1</f>
        <v>-0.27757760532150777</v>
      </c>
      <c r="O26" s="196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14219</v>
      </c>
      <c r="D6" s="7">
        <f>'Dados - Gráficos'!D21</f>
        <v>21330.268498552352</v>
      </c>
      <c r="E6" s="93">
        <f>'Dados - Gráficos'!E21</f>
        <v>19245.566666666666</v>
      </c>
      <c r="F6" s="119">
        <f>'Dados - Gráficos'!F21</f>
        <v>0.10832114574710815</v>
      </c>
      <c r="G6" s="120">
        <f>'Dados - Gráficos'!G21</f>
        <v>0.10832114574710815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114</v>
      </c>
      <c r="D7" s="8">
        <f>'Dados - Gráficos'!D22</f>
        <v>206.39386118383521</v>
      </c>
      <c r="E7" s="93">
        <f>'Dados - Gráficos'!E22</f>
        <v>250</v>
      </c>
      <c r="F7" s="121">
        <f>'Dados - Gráficos'!F22</f>
        <v>-0.17442455526465914</v>
      </c>
      <c r="G7" s="120">
        <f>'Dados - Gráficos'!G22</f>
        <v>-0.17442455526465914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8045</v>
      </c>
      <c r="D8" s="8">
        <f>'Dados - Gráficos'!D23</f>
        <v>12319.444484303865</v>
      </c>
      <c r="E8" s="93">
        <f>'Dados - Gráficos'!E23</f>
        <v>11401.9</v>
      </c>
      <c r="F8" s="121">
        <f>'Dados - Gráficos'!F23</f>
        <v>8.0472946114583166E-2</v>
      </c>
      <c r="G8" s="120">
        <f>'Dados - Gráficos'!G23</f>
        <v>8.0472946114583166E-2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6060</v>
      </c>
      <c r="D9" s="17">
        <f>'Dados - Gráficos'!D24</f>
        <v>8804.4301530646517</v>
      </c>
      <c r="E9" s="94">
        <f>'Dados - Gráficos'!E24</f>
        <v>7593.6666666666661</v>
      </c>
      <c r="F9" s="122">
        <f>'Dados - Gráficos'!F24</f>
        <v>0.15944385493147611</v>
      </c>
      <c r="G9" s="123">
        <f>'Dados - Gráficos'!G24</f>
        <v>0.15944385493147611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2016-03-21T15:24:20Z</dcterms:modified>
</cp:coreProperties>
</file>