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<sst xmlns="http://schemas.openxmlformats.org/spreadsheetml/2006/main" count="345" uniqueCount="37">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</sst>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A-4CAE-92AC-4CF33B6D031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5-4CF9-907D-06F4FF8883B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716</c:v>
                </c:pt>
                <c:pt idx="1">
                  <c:v>759</c:v>
                </c:pt>
                <c:pt idx="2">
                  <c:v>582</c:v>
                </c:pt>
                <c:pt idx="3">
                  <c:v>599</c:v>
                </c:pt>
                <c:pt idx="4">
                  <c:v>106</c:v>
                </c:pt>
                <c:pt idx="5">
                  <c:v>70</c:v>
                </c:pt>
                <c:pt idx="6">
                  <c:v>630</c:v>
                </c:pt>
                <c:pt idx="7">
                  <c:v>484</c:v>
                </c:pt>
                <c:pt idx="8">
                  <c:v>583</c:v>
                </c:pt>
                <c:pt idx="9">
                  <c:v>502</c:v>
                </c:pt>
                <c:pt idx="10">
                  <c:v>482</c:v>
                </c:pt>
                <c:pt idx="11">
                  <c:v>130</c:v>
                </c:pt>
                <c:pt idx="12">
                  <c:v>48</c:v>
                </c:pt>
                <c:pt idx="13">
                  <c:v>607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A-424F-925E-F8E04FB80AF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469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390</c:v>
                </c:pt>
                <c:pt idx="8">
                  <c:v>406</c:v>
                </c:pt>
                <c:pt idx="9">
                  <c:v>355</c:v>
                </c:pt>
                <c:pt idx="10">
                  <c:v>316</c:v>
                </c:pt>
                <c:pt idx="11">
                  <c:v>98</c:v>
                </c:pt>
                <c:pt idx="12">
                  <c:v>39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dMBQXqu78p8kWhPzpkq26iimq5aBMlQ3TOrXbBmyYOvUqzfw6HDRHX8NeY6nSk5DV4hN1GPbT0KhwxGPnGihGQ==" saltValue="OgOak7/sgjLlJL3BohCwb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Jl2NltWK16dfRu9vlrWuMWEnAW8AOUl6XU0IjDovLbX6trKjhyk/Djv83WoiCkIzj56j+vHyduK2uVmHb7zbMg==" saltValue="7fLTbY9/ufKpcHAqAFLq1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40" workbookViewId="0"/>
  </sheetViews>
  <sheetProtection algorithmName="SHA-512" hashValue="FmB29hg3ccyj5A/2/H+x0MdU/WdlZJCfdBeI78yOnGmndA5ddeOYpwzjBCeloq6xaPiEzpsr9+tmjVwiTN2wVg==" saltValue="s8WYcl3gSvH7S07ckOBxB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I28" sqref="I28"/>
    </sheetView>
  </sheetViews>
  <sheetFormatPr defaultColWidth="9.140625" defaultRowHeight="15" x14ac:dyDescent="0.25"/>
  <cols>
    <col min="1" max="1" width="1.28515625" style="157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57" bestFit="1" customWidth="1"/>
    <col min="40" max="16384" width="9.140625" style="157"/>
  </cols>
  <sheetData>
    <row r="1" spans="2:36" ht="15.75" thickBot="1" x14ac:dyDescent="0.3"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206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202">
        <v>42460</v>
      </c>
      <c r="AH27" s="52">
        <f>SUM(AH28:AH30)</f>
        <v>10909</v>
      </c>
      <c r="AI27" s="71">
        <f>AH27/COUNTA(C28:AG28)</f>
        <v>779.21428571428567</v>
      </c>
      <c r="AJ27" s="55">
        <f>AI27*31</f>
        <v>24155.642857142855</v>
      </c>
    </row>
    <row r="28" spans="2:36" x14ac:dyDescent="0.25">
      <c r="B28" s="155" t="s">
        <v>19</v>
      </c>
      <c r="C28" s="204">
        <v>6</v>
      </c>
      <c r="D28" s="204">
        <v>10</v>
      </c>
      <c r="E28" s="204">
        <v>6</v>
      </c>
      <c r="F28" s="204">
        <v>9</v>
      </c>
      <c r="G28" s="204">
        <v>3</v>
      </c>
      <c r="H28" s="204">
        <v>1</v>
      </c>
      <c r="I28" s="204">
        <v>8</v>
      </c>
      <c r="J28" s="204">
        <v>6</v>
      </c>
      <c r="K28" s="204">
        <v>9</v>
      </c>
      <c r="L28" s="204">
        <v>10</v>
      </c>
      <c r="M28" s="204">
        <v>6</v>
      </c>
      <c r="N28" s="204">
        <v>0</v>
      </c>
      <c r="O28" s="204">
        <v>2</v>
      </c>
      <c r="P28" s="204">
        <v>5</v>
      </c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05"/>
      <c r="AH28" s="53">
        <f>SUM(C28:AG28)</f>
        <v>81</v>
      </c>
      <c r="AI28" s="38">
        <f>AH28/COUNTA(C28:AG28)</f>
        <v>5.7857142857142856</v>
      </c>
      <c r="AJ28" s="56">
        <f>AI28*31</f>
        <v>179.35714285714286</v>
      </c>
    </row>
    <row r="29" spans="2:36" x14ac:dyDescent="0.25">
      <c r="B29" s="155" t="s">
        <v>20</v>
      </c>
      <c r="C29" s="204">
        <v>716</v>
      </c>
      <c r="D29" s="204">
        <v>759</v>
      </c>
      <c r="E29" s="204">
        <v>582</v>
      </c>
      <c r="F29" s="204">
        <v>599</v>
      </c>
      <c r="G29" s="204">
        <v>106</v>
      </c>
      <c r="H29" s="204">
        <v>70</v>
      </c>
      <c r="I29" s="204">
        <v>630</v>
      </c>
      <c r="J29" s="204">
        <v>484</v>
      </c>
      <c r="K29" s="204">
        <v>583</v>
      </c>
      <c r="L29" s="204">
        <v>502</v>
      </c>
      <c r="M29" s="204">
        <v>482</v>
      </c>
      <c r="N29" s="204">
        <v>130</v>
      </c>
      <c r="O29" s="204">
        <v>48</v>
      </c>
      <c r="P29" s="204">
        <v>607</v>
      </c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05"/>
      <c r="AH29" s="53">
        <f>SUM(C29:AG29)</f>
        <v>6298</v>
      </c>
      <c r="AI29" s="38">
        <f>AH29/COUNTA(C29:AG29)</f>
        <v>449.85714285714283</v>
      </c>
      <c r="AJ29" s="56">
        <f>AI29*31</f>
        <v>13945.571428571428</v>
      </c>
    </row>
    <row r="30" spans="2:36" ht="15.75" thickBot="1" x14ac:dyDescent="0.3">
      <c r="B30" s="156" t="s">
        <v>21</v>
      </c>
      <c r="C30" s="203">
        <v>574</v>
      </c>
      <c r="D30" s="203">
        <v>469</v>
      </c>
      <c r="E30" s="203">
        <v>390</v>
      </c>
      <c r="F30" s="203">
        <v>377</v>
      </c>
      <c r="G30" s="203">
        <v>79</v>
      </c>
      <c r="H30" s="203">
        <v>40</v>
      </c>
      <c r="I30" s="203">
        <v>547</v>
      </c>
      <c r="J30" s="203">
        <v>390</v>
      </c>
      <c r="K30" s="203">
        <v>406</v>
      </c>
      <c r="L30" s="203">
        <v>355</v>
      </c>
      <c r="M30" s="203">
        <v>316</v>
      </c>
      <c r="N30" s="203">
        <v>98</v>
      </c>
      <c r="O30" s="203">
        <v>39</v>
      </c>
      <c r="P30" s="203">
        <v>450</v>
      </c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07"/>
      <c r="AH30" s="54">
        <f>SUM(C30:AG30)</f>
        <v>4530</v>
      </c>
      <c r="AI30" s="37">
        <f>AH30/COUNTA(C30:AG30)</f>
        <v>323.57142857142856</v>
      </c>
      <c r="AJ30" s="57">
        <f>AI30*31</f>
        <v>10030.714285714284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7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</row>
    <row r="2" spans="1:16384" ht="15" customHeight="1" x14ac:dyDescent="0.25">
      <c r="B2" s="176" t="s">
        <v>36</v>
      </c>
      <c r="C2" s="177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8" t="s">
        <v>22</v>
      </c>
      <c r="C3" s="17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0" t="s">
        <v>19</v>
      </c>
      <c r="C4" s="181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5</v>
      </c>
      <c r="R4" s="39" t="str">
        <f>IF(Indicadores!Q28,Indicadores!Q28,"")</f>
        <v/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0" t="s">
        <v>20</v>
      </c>
      <c r="C5" s="181"/>
      <c r="D5" s="39">
        <f>IF(Indicadores!C29,Indicadores!C29,"")</f>
        <v>716</v>
      </c>
      <c r="E5" s="39">
        <f>IF(Indicadores!D29,Indicadores!D29,"")</f>
        <v>759</v>
      </c>
      <c r="F5" s="39">
        <f>IF(Indicadores!E29,Indicadores!E29,"")</f>
        <v>582</v>
      </c>
      <c r="G5" s="39">
        <f>IF(Indicadores!F29,Indicadores!F29,"")</f>
        <v>599</v>
      </c>
      <c r="H5" s="39">
        <f>IF(Indicadores!G29,Indicadores!G29,"")</f>
        <v>106</v>
      </c>
      <c r="I5" s="39">
        <f>IF(Indicadores!H29,Indicadores!H29,"")</f>
        <v>70</v>
      </c>
      <c r="J5" s="39">
        <f>IF(Indicadores!I29,Indicadores!I29,"")</f>
        <v>630</v>
      </c>
      <c r="K5" s="39">
        <f>IF(Indicadores!J29,Indicadores!J29,"")</f>
        <v>484</v>
      </c>
      <c r="L5" s="39">
        <f>IF(Indicadores!K29,Indicadores!K29,"")</f>
        <v>583</v>
      </c>
      <c r="M5" s="39">
        <f>IF(Indicadores!L29,Indicadores!L29,"")</f>
        <v>502</v>
      </c>
      <c r="N5" s="39">
        <f>IF(Indicadores!M29,Indicadores!M29,"")</f>
        <v>482</v>
      </c>
      <c r="O5" s="39">
        <f>IF(Indicadores!N29,Indicadores!N29,"")</f>
        <v>130</v>
      </c>
      <c r="P5" s="39">
        <f>IF(Indicadores!O29,Indicadores!O29,"")</f>
        <v>48</v>
      </c>
      <c r="Q5" s="39">
        <f>IF(Indicadores!P29,Indicadores!P29,"")</f>
        <v>607</v>
      </c>
      <c r="R5" s="39" t="str">
        <f>IF(Indicadores!Q29,Indicadores!Q29,"")</f>
        <v/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2" t="s">
        <v>21</v>
      </c>
      <c r="C6" s="183"/>
      <c r="D6" s="40">
        <f>IF(Indicadores!C30,Indicadores!C30,"")</f>
        <v>574</v>
      </c>
      <c r="E6" s="40">
        <f>IF(Indicadores!D30,Indicadores!D30,"")</f>
        <v>469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547</v>
      </c>
      <c r="K6" s="40">
        <f>IF(Indicadores!J30,Indicadores!J30,"")</f>
        <v>390</v>
      </c>
      <c r="L6" s="40">
        <f>IF(Indicadores!K30,Indicadores!K30,"")</f>
        <v>406</v>
      </c>
      <c r="M6" s="40">
        <f>IF(Indicadores!L30,Indicadores!L30,"")</f>
        <v>355</v>
      </c>
      <c r="N6" s="40">
        <f>IF(Indicadores!M30,Indicadores!M30,"")</f>
        <v>316</v>
      </c>
      <c r="O6" s="40">
        <f>IF(Indicadores!N30,Indicadores!N30,"")</f>
        <v>98</v>
      </c>
      <c r="P6" s="40">
        <f>IF(Indicadores!O30,Indicadores!O30,"")</f>
        <v>39</v>
      </c>
      <c r="Q6" s="40">
        <f>IF(Indicadores!P30,Indicadores!P30,"")</f>
        <v>450</v>
      </c>
      <c r="R6" s="40" t="str">
        <f>IF(Indicadores!Q30,Indicadores!Q30,"")</f>
        <v/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1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3"/>
      <c r="AJ7" s="163"/>
      <c r="AK7" s="163"/>
    </row>
    <row r="8" spans="1:16384" ht="15" customHeight="1" x14ac:dyDescent="0.25">
      <c r="B8" s="176" t="s">
        <v>36</v>
      </c>
      <c r="C8" s="177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8" t="s">
        <v>27</v>
      </c>
      <c r="C9" s="17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6" t="s">
        <v>36</v>
      </c>
      <c r="C14" s="177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8" t="s">
        <v>27</v>
      </c>
      <c r="C15" s="179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21446.055177927636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5</v>
      </c>
      <c r="R16" s="139">
        <f t="shared" si="4"/>
        <v>8.6714511865765118</v>
      </c>
      <c r="S16" s="139">
        <f t="shared" si="4"/>
        <v>10.002595009077289</v>
      </c>
      <c r="T16" s="139">
        <f t="shared" si="4"/>
        <v>9.8884969671486527</v>
      </c>
      <c r="U16" s="139">
        <f t="shared" si="4"/>
        <v>7.3783400447186107</v>
      </c>
      <c r="V16" s="139">
        <f t="shared" si="4"/>
        <v>3.8032680642879435</v>
      </c>
      <c r="W16" s="139">
        <f t="shared" si="4"/>
        <v>1.8636013515010923</v>
      </c>
      <c r="X16" s="139">
        <f t="shared" si="4"/>
        <v>9.1230922432305341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215.00161380714533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716</v>
      </c>
      <c r="E17" s="139">
        <f t="shared" ref="E17:AH17" si="6">IF(E5&lt;&gt;"",E5,E11)</f>
        <v>759</v>
      </c>
      <c r="F17" s="139">
        <f t="shared" si="6"/>
        <v>582</v>
      </c>
      <c r="G17" s="139">
        <f t="shared" si="6"/>
        <v>599</v>
      </c>
      <c r="H17" s="139">
        <f t="shared" si="6"/>
        <v>106</v>
      </c>
      <c r="I17" s="139">
        <f t="shared" si="6"/>
        <v>70</v>
      </c>
      <c r="J17" s="139">
        <f t="shared" si="6"/>
        <v>630</v>
      </c>
      <c r="K17" s="139">
        <f t="shared" si="6"/>
        <v>484</v>
      </c>
      <c r="L17" s="139">
        <f t="shared" si="6"/>
        <v>583</v>
      </c>
      <c r="M17" s="139">
        <f t="shared" si="6"/>
        <v>502</v>
      </c>
      <c r="N17" s="139">
        <f t="shared" si="6"/>
        <v>482</v>
      </c>
      <c r="O17" s="139">
        <f t="shared" si="6"/>
        <v>130</v>
      </c>
      <c r="P17" s="139">
        <f t="shared" si="6"/>
        <v>48</v>
      </c>
      <c r="Q17" s="139">
        <f t="shared" si="6"/>
        <v>607</v>
      </c>
      <c r="R17" s="139">
        <f t="shared" si="6"/>
        <v>496.60175599245355</v>
      </c>
      <c r="S17" s="139">
        <f t="shared" si="6"/>
        <v>495.32388132343101</v>
      </c>
      <c r="T17" s="139">
        <f t="shared" si="6"/>
        <v>459.44509253933649</v>
      </c>
      <c r="U17" s="139">
        <f t="shared" si="6"/>
        <v>388.71964451151183</v>
      </c>
      <c r="V17" s="139">
        <f t="shared" si="6"/>
        <v>120.26766596531411</v>
      </c>
      <c r="W17" s="139">
        <f t="shared" si="6"/>
        <v>45.708593930421785</v>
      </c>
      <c r="X17" s="139">
        <f t="shared" si="6"/>
        <v>563.59187806467378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12578.511118566334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469</v>
      </c>
      <c r="F18" s="151">
        <f t="shared" si="8"/>
        <v>390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547</v>
      </c>
      <c r="K18" s="151">
        <f t="shared" si="8"/>
        <v>390</v>
      </c>
      <c r="L18" s="151">
        <f t="shared" si="8"/>
        <v>406</v>
      </c>
      <c r="M18" s="151">
        <f t="shared" si="8"/>
        <v>355</v>
      </c>
      <c r="N18" s="151">
        <f t="shared" si="8"/>
        <v>316</v>
      </c>
      <c r="O18" s="151">
        <f t="shared" si="8"/>
        <v>98</v>
      </c>
      <c r="P18" s="151">
        <f t="shared" si="8"/>
        <v>39</v>
      </c>
      <c r="Q18" s="151">
        <f t="shared" si="8"/>
        <v>450</v>
      </c>
      <c r="R18" s="151">
        <f t="shared" si="8"/>
        <v>343.14485770504547</v>
      </c>
      <c r="S18" s="151">
        <f t="shared" si="8"/>
        <v>329.23212787636561</v>
      </c>
      <c r="T18" s="151">
        <f t="shared" si="8"/>
        <v>312.41867445406143</v>
      </c>
      <c r="U18" s="151">
        <f t="shared" si="8"/>
        <v>255.10252492818736</v>
      </c>
      <c r="V18" s="151">
        <f t="shared" si="8"/>
        <v>94.918122035819565</v>
      </c>
      <c r="W18" s="151">
        <f t="shared" si="8"/>
        <v>43.295985490022957</v>
      </c>
      <c r="X18" s="151">
        <f t="shared" si="8"/>
        <v>370.83469679446847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8652.5424455541543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64" t="s">
        <v>30</v>
      </c>
      <c r="K20" s="165"/>
      <c r="L20" s="184" t="s">
        <v>32</v>
      </c>
      <c r="M20" s="184"/>
      <c r="N20" s="170" t="s">
        <v>32</v>
      </c>
      <c r="O20" s="171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10909</v>
      </c>
      <c r="D21" s="144">
        <f>SUM(D22:D24)</f>
        <v>21446.055177927636</v>
      </c>
      <c r="E21" s="145">
        <f>SUM(E22:E24)</f>
        <v>19245.566666666666</v>
      </c>
      <c r="F21" s="140">
        <f>(D21-E21)/E21</f>
        <v>0.11433742374924286</v>
      </c>
      <c r="G21" s="135">
        <f>F21</f>
        <v>0.11433742374924286</v>
      </c>
      <c r="H21" s="12"/>
      <c r="I21" s="32"/>
      <c r="J21" s="166">
        <v>7.22</v>
      </c>
      <c r="K21" s="167"/>
      <c r="L21" s="197">
        <v>207</v>
      </c>
      <c r="M21" s="197"/>
      <c r="N21" s="172">
        <v>15639</v>
      </c>
      <c r="O21" s="173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81</v>
      </c>
      <c r="D22" s="147">
        <f>AI16</f>
        <v>215.00161380714533</v>
      </c>
      <c r="E22" s="145">
        <v>250</v>
      </c>
      <c r="F22" s="141">
        <f t="shared" ref="F22:F24" si="10">(D22-E22)/E22</f>
        <v>-0.13999354477141868</v>
      </c>
      <c r="G22" s="135">
        <f>F22</f>
        <v>-0.13999354477141868</v>
      </c>
      <c r="H22" s="12"/>
      <c r="I22" s="32"/>
      <c r="J22" s="168" t="s">
        <v>13</v>
      </c>
      <c r="K22" s="169"/>
      <c r="L22" s="198" t="s">
        <v>13</v>
      </c>
      <c r="M22" s="198"/>
      <c r="N22" s="174" t="s">
        <v>15</v>
      </c>
      <c r="O22" s="175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6298</v>
      </c>
      <c r="D23" s="147">
        <f>AI17</f>
        <v>12578.511118566334</v>
      </c>
      <c r="E23" s="145">
        <f>AVERAGE(Indicadores!AJ11,Indicadores!AJ17,Indicadores!AJ23)*0.95</f>
        <v>11401.9</v>
      </c>
      <c r="F23" s="141">
        <f t="shared" si="10"/>
        <v>0.10319430257819609</v>
      </c>
      <c r="G23" s="135">
        <f>F23</f>
        <v>0.10319430257819609</v>
      </c>
      <c r="H23" s="12"/>
      <c r="I23" s="32"/>
      <c r="J23" s="191" t="s">
        <v>31</v>
      </c>
      <c r="K23" s="192"/>
      <c r="L23" s="199" t="s">
        <v>33</v>
      </c>
      <c r="M23" s="199"/>
      <c r="N23" s="185" t="s">
        <v>33</v>
      </c>
      <c r="O23" s="186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4530</v>
      </c>
      <c r="D24" s="149">
        <f>AI18</f>
        <v>8652.5424455541543</v>
      </c>
      <c r="E24" s="150">
        <f>AVERAGE(Indicadores!AJ12,Indicadores!AJ18,Indicadores!AJ24)*0.95</f>
        <v>7593.6666666666661</v>
      </c>
      <c r="F24" s="142">
        <f t="shared" si="10"/>
        <v>0.13944196201494513</v>
      </c>
      <c r="G24" s="138">
        <f>F24</f>
        <v>0.13944196201494513</v>
      </c>
      <c r="H24" s="12"/>
      <c r="I24" s="32"/>
      <c r="J24" s="166">
        <v>6.77</v>
      </c>
      <c r="K24" s="167"/>
      <c r="L24" s="197">
        <v>210</v>
      </c>
      <c r="M24" s="197"/>
      <c r="N24" s="172">
        <v>21648</v>
      </c>
      <c r="O24" s="173"/>
      <c r="AI24" s="29"/>
      <c r="AJ24" s="34"/>
      <c r="AK24" s="51"/>
      <c r="AL24" s="34"/>
    </row>
    <row r="25" spans="1:38" ht="26.25" x14ac:dyDescent="0.25">
      <c r="H25" s="114"/>
      <c r="I25" s="32"/>
      <c r="J25" s="193" t="s">
        <v>26</v>
      </c>
      <c r="K25" s="194"/>
      <c r="L25" s="200" t="str">
        <f>J25</f>
        <v>Redução</v>
      </c>
      <c r="M25" s="200"/>
      <c r="N25" s="187" t="str">
        <f>L25</f>
        <v>Redução</v>
      </c>
      <c r="O25" s="188"/>
      <c r="AI25" s="29"/>
      <c r="AJ25" s="34"/>
      <c r="AK25" s="51"/>
      <c r="AL25" s="34"/>
    </row>
    <row r="26" spans="1:38" ht="27" thickBot="1" x14ac:dyDescent="0.3">
      <c r="G26" s="12"/>
      <c r="I26" s="33"/>
      <c r="J26" s="195">
        <f>(J21/J24)-1</f>
        <v>6.6469719350073841E-2</v>
      </c>
      <c r="K26" s="196"/>
      <c r="L26" s="201">
        <f>(L21/L24)-1</f>
        <v>-1.4285714285714235E-2</v>
      </c>
      <c r="M26" s="201"/>
      <c r="N26" s="189">
        <f>(N21/N24)-1</f>
        <v>-0.27757760532150777</v>
      </c>
      <c r="O26" s="190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10909</v>
      </c>
      <c r="D6" s="7">
        <f>'Dados - Gráficos'!D21</f>
        <v>21446.055177927636</v>
      </c>
      <c r="E6" s="93">
        <f>'Dados - Gráficos'!E21</f>
        <v>19245.566666666666</v>
      </c>
      <c r="F6" s="119">
        <f>'Dados - Gráficos'!F21</f>
        <v>0.11433742374924286</v>
      </c>
      <c r="G6" s="120">
        <f>'Dados - Gráficos'!G21</f>
        <v>0.11433742374924286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81</v>
      </c>
      <c r="D7" s="8">
        <f>'Dados - Gráficos'!D22</f>
        <v>215.00161380714533</v>
      </c>
      <c r="E7" s="93">
        <f>'Dados - Gráficos'!E22</f>
        <v>250</v>
      </c>
      <c r="F7" s="121">
        <f>'Dados - Gráficos'!F22</f>
        <v>-0.13999354477141868</v>
      </c>
      <c r="G7" s="120">
        <f>'Dados - Gráficos'!G22</f>
        <v>-0.13999354477141868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6298</v>
      </c>
      <c r="D8" s="8">
        <f>'Dados - Gráficos'!D23</f>
        <v>12578.511118566334</v>
      </c>
      <c r="E8" s="93">
        <f>'Dados - Gráficos'!E23</f>
        <v>11401.9</v>
      </c>
      <c r="F8" s="121">
        <f>'Dados - Gráficos'!F23</f>
        <v>0.10319430257819609</v>
      </c>
      <c r="G8" s="120">
        <f>'Dados - Gráficos'!G23</f>
        <v>0.10319430257819609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4530</v>
      </c>
      <c r="D9" s="17">
        <f>'Dados - Gráficos'!D24</f>
        <v>8652.5424455541543</v>
      </c>
      <c r="E9" s="94">
        <f>'Dados - Gráficos'!E24</f>
        <v>7593.6666666666661</v>
      </c>
      <c r="F9" s="122">
        <f>'Dados - Gráficos'!F24</f>
        <v>0.13944196201494513</v>
      </c>
      <c r="G9" s="123">
        <f>'Dados - Gráficos'!G24</f>
        <v>0.13944196201494513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2016-03-15T12:45:46Z</dcterms:modified>
</cp:coreProperties>
</file>