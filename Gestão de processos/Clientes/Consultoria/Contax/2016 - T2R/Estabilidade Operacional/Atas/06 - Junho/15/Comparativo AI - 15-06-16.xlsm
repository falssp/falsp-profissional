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<sst xmlns="http://schemas.openxmlformats.org/spreadsheetml/2006/main" count="351" uniqueCount="41">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</sst>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731</c:v>
                </c:pt>
                <c:pt idx="1">
                  <c:v>579</c:v>
                </c:pt>
                <c:pt idx="2">
                  <c:v>524</c:v>
                </c:pt>
                <c:pt idx="3">
                  <c:v>119</c:v>
                </c:pt>
                <c:pt idx="4">
                  <c:v>35</c:v>
                </c:pt>
                <c:pt idx="5">
                  <c:v>523</c:v>
                </c:pt>
                <c:pt idx="6">
                  <c:v>519</c:v>
                </c:pt>
                <c:pt idx="7">
                  <c:v>446</c:v>
                </c:pt>
                <c:pt idx="8">
                  <c:v>504</c:v>
                </c:pt>
                <c:pt idx="9">
                  <c:v>451</c:v>
                </c:pt>
                <c:pt idx="10">
                  <c:v>80</c:v>
                </c:pt>
                <c:pt idx="11">
                  <c:v>21</c:v>
                </c:pt>
                <c:pt idx="12">
                  <c:v>506</c:v>
                </c:pt>
                <c:pt idx="13">
                  <c:v>543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373</c:v>
                </c:pt>
                <c:pt idx="7">
                  <c:v>373</c:v>
                </c:pt>
                <c:pt idx="8">
                  <c:v>292</c:v>
                </c:pt>
                <c:pt idx="9">
                  <c:v>227</c:v>
                </c:pt>
                <c:pt idx="10">
                  <c:v>67</c:v>
                </c:pt>
                <c:pt idx="11">
                  <c:v>28</c:v>
                </c:pt>
                <c:pt idx="12">
                  <c:v>381</c:v>
                </c:pt>
                <c:pt idx="13">
                  <c:v>284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1290</c:v>
                </c:pt>
                <c:pt idx="1">
                  <c:v>1019</c:v>
                </c:pt>
                <c:pt idx="2">
                  <c:v>817</c:v>
                </c:pt>
                <c:pt idx="3">
                  <c:v>224</c:v>
                </c:pt>
                <c:pt idx="4">
                  <c:v>54</c:v>
                </c:pt>
                <c:pt idx="5">
                  <c:v>1004</c:v>
                </c:pt>
                <c:pt idx="6">
                  <c:v>892</c:v>
                </c:pt>
                <c:pt idx="7">
                  <c:v>819</c:v>
                </c:pt>
                <c:pt idx="8">
                  <c:v>796</c:v>
                </c:pt>
                <c:pt idx="9">
                  <c:v>678</c:v>
                </c:pt>
                <c:pt idx="10">
                  <c:v>147</c:v>
                </c:pt>
                <c:pt idx="11">
                  <c:v>49</c:v>
                </c:pt>
                <c:pt idx="12">
                  <c:v>887</c:v>
                </c:pt>
                <c:pt idx="13">
                  <c:v>827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n7rDAHCqCEXwi73ytLPdsT4tSw2VzosPEN/RkqP8anAb45BGa55ThOCt3WqZjnn1ewU7lb1jSRHI2W+IMRgDgg==" saltValue="QfVvVFIJqD7rDy0oxN+4P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hxSxNjf0DvSMp2VyYUA9b3C/pgvFsT8t4N44yZCS+mdYs5alxKo1K/+P7ONKDn4diGg3OaXEVBbrWvVHiOnBxQ==" saltValue="n7Efx+cmN7psa+eHpT7sQ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3zh8uTPM32Xl717FVAiV2OXvVdGng/GjSyeYvV2Yeubo/flEfwxRXBv4gZ29BdLeK0xqA3aauFeD6jxDPh3p7A==" saltValue="qWk8eqlFFFr6oEflR8Q7O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P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9591</v>
      </c>
      <c r="AI3" s="71">
        <f>AH3/COUNTA(C4:AF4)</f>
        <v>685.07142857142856</v>
      </c>
      <c r="AJ3" s="55">
        <f>AI3*30</f>
        <v>20552.142857142855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9</v>
      </c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88</v>
      </c>
      <c r="AI4" s="38">
        <f>AH4/COUNTA(C4:AF4)</f>
        <v>6.2857142857142856</v>
      </c>
      <c r="AJ4" s="56">
        <f>AI4*30</f>
        <v>188.57142857142856</v>
      </c>
    </row>
    <row r="5" spans="2:36" x14ac:dyDescent="0.25">
      <c r="B5" s="186" t="s">
        <v>40</v>
      </c>
      <c r="C5" s="188">
        <f>C6+C7</f>
        <v>1290</v>
      </c>
      <c r="D5" s="188">
        <f t="shared" ref="D5:F5" si="0">D6+D7</f>
        <v>1019</v>
      </c>
      <c r="E5" s="188">
        <f t="shared" si="0"/>
        <v>817</v>
      </c>
      <c r="F5" s="188">
        <f t="shared" si="0"/>
        <v>224</v>
      </c>
      <c r="G5" s="188">
        <f>G6+G7</f>
        <v>54</v>
      </c>
      <c r="H5" s="188">
        <f t="shared" ref="H5:AF5" si="1">H6+H7</f>
        <v>1004</v>
      </c>
      <c r="I5" s="188">
        <f t="shared" si="1"/>
        <v>892</v>
      </c>
      <c r="J5" s="188">
        <f t="shared" si="1"/>
        <v>819</v>
      </c>
      <c r="K5" s="188">
        <f t="shared" si="1"/>
        <v>796</v>
      </c>
      <c r="L5" s="188">
        <f t="shared" si="1"/>
        <v>678</v>
      </c>
      <c r="M5" s="188">
        <f t="shared" si="1"/>
        <v>147</v>
      </c>
      <c r="N5" s="188">
        <f t="shared" si="1"/>
        <v>49</v>
      </c>
      <c r="O5" s="188">
        <f t="shared" si="1"/>
        <v>887</v>
      </c>
      <c r="P5" s="188">
        <f t="shared" si="1"/>
        <v>827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9503</v>
      </c>
      <c r="AI5" s="38">
        <f>AH5/COUNTA(C5:AF5)</f>
        <v>316.76666666666665</v>
      </c>
      <c r="AJ5" s="56">
        <f>AI5*30</f>
        <v>9503</v>
      </c>
    </row>
    <row r="6" spans="2:36" x14ac:dyDescent="0.25">
      <c r="B6" s="174" t="s">
        <v>20</v>
      </c>
      <c r="C6" s="188">
        <v>731</v>
      </c>
      <c r="D6" s="188">
        <v>579</v>
      </c>
      <c r="E6" s="188">
        <v>524</v>
      </c>
      <c r="F6" s="188">
        <v>119</v>
      </c>
      <c r="G6" s="188">
        <v>35</v>
      </c>
      <c r="H6" s="188">
        <v>523</v>
      </c>
      <c r="I6" s="188">
        <v>519</v>
      </c>
      <c r="J6" s="188">
        <v>446</v>
      </c>
      <c r="K6" s="188">
        <v>504</v>
      </c>
      <c r="L6" s="188">
        <v>451</v>
      </c>
      <c r="M6" s="188">
        <v>80</v>
      </c>
      <c r="N6" s="188">
        <v>21</v>
      </c>
      <c r="O6" s="188">
        <v>506</v>
      </c>
      <c r="P6" s="188">
        <v>543</v>
      </c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5581</v>
      </c>
      <c r="AI6" s="38">
        <f>AH6/COUNTA(C6:AF6)</f>
        <v>398.64285714285717</v>
      </c>
      <c r="AJ6" s="56">
        <f>AI6*30</f>
        <v>11959.285714285716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293</v>
      </c>
      <c r="F7" s="189">
        <v>105</v>
      </c>
      <c r="G7" s="189">
        <v>19</v>
      </c>
      <c r="H7" s="189">
        <v>481</v>
      </c>
      <c r="I7" s="189">
        <v>373</v>
      </c>
      <c r="J7" s="189">
        <v>373</v>
      </c>
      <c r="K7" s="189">
        <v>292</v>
      </c>
      <c r="L7" s="189">
        <v>227</v>
      </c>
      <c r="M7" s="189">
        <v>67</v>
      </c>
      <c r="N7" s="189">
        <v>28</v>
      </c>
      <c r="O7" s="189">
        <v>381</v>
      </c>
      <c r="P7" s="189">
        <v>284</v>
      </c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3922</v>
      </c>
      <c r="AI7" s="37">
        <f>AH7/COUNTA(C7:AF7)</f>
        <v>280.14285714285717</v>
      </c>
      <c r="AJ7" s="57">
        <f>AI7*30</f>
        <v>8404.2857142857156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9591</v>
      </c>
      <c r="AJ3" s="66">
        <f>Indicadores!AI3</f>
        <v>685.07142857142856</v>
      </c>
      <c r="AK3" s="55">
        <f>Indicadores!AJ3</f>
        <v>20552.142857142855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9</v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88</v>
      </c>
      <c r="AJ4" s="75">
        <f>Indicadores!AI4</f>
        <v>6.2857142857142856</v>
      </c>
      <c r="AK4" s="56">
        <f>Indicadores!AJ4</f>
        <v>188.57142857142856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1290</v>
      </c>
      <c r="E5" s="39">
        <f>IF(Indicadores!D5,Indicadores!D5,"")</f>
        <v>1019</v>
      </c>
      <c r="F5" s="39">
        <f>IF(Indicadores!E5,Indicadores!E5,"")</f>
        <v>817</v>
      </c>
      <c r="G5" s="39">
        <f>IF(Indicadores!F5,Indicadores!F5,"")</f>
        <v>224</v>
      </c>
      <c r="H5" s="39">
        <f>IF(Indicadores!G5,Indicadores!G5,"")</f>
        <v>54</v>
      </c>
      <c r="I5" s="39">
        <f>IF(Indicadores!H5,Indicadores!H5,"")</f>
        <v>1004</v>
      </c>
      <c r="J5" s="39">
        <f>IF(Indicadores!I5,Indicadores!I5,"")</f>
        <v>892</v>
      </c>
      <c r="K5" s="39">
        <f>IF(Indicadores!J5,Indicadores!J5,"")</f>
        <v>819</v>
      </c>
      <c r="L5" s="39">
        <f>IF(Indicadores!K5,Indicadores!K5,"")</f>
        <v>796</v>
      </c>
      <c r="M5" s="39">
        <f>IF(Indicadores!L5,Indicadores!L5,"")</f>
        <v>678</v>
      </c>
      <c r="N5" s="39">
        <f>IF(Indicadores!M5,Indicadores!M5,"")</f>
        <v>147</v>
      </c>
      <c r="O5" s="39">
        <f>IF(Indicadores!N5,Indicadores!N5,"")</f>
        <v>49</v>
      </c>
      <c r="P5" s="39">
        <f>IF(Indicadores!O5,Indicadores!O5,"")</f>
        <v>887</v>
      </c>
      <c r="Q5" s="39">
        <f>IF(Indicadores!P5,Indicadores!P5,"")</f>
        <v>827</v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9503</v>
      </c>
      <c r="AJ5" s="75">
        <f>Indicadores!AI5</f>
        <v>316.76666666666665</v>
      </c>
      <c r="AK5" s="56">
        <f>Indicadores!AJ5</f>
        <v>9503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731</v>
      </c>
      <c r="E6" s="39">
        <f>IF(Indicadores!D6,Indicadores!D6,"")</f>
        <v>579</v>
      </c>
      <c r="F6" s="39">
        <f>IF(Indicadores!E6,Indicadores!E6,"")</f>
        <v>524</v>
      </c>
      <c r="G6" s="39">
        <f>IF(Indicadores!F6,Indicadores!F6,"")</f>
        <v>119</v>
      </c>
      <c r="H6" s="39">
        <f>IF(Indicadores!G6,Indicadores!G6,"")</f>
        <v>35</v>
      </c>
      <c r="I6" s="39">
        <f>IF(Indicadores!H6,Indicadores!H6,"")</f>
        <v>523</v>
      </c>
      <c r="J6" s="39">
        <f>IF(Indicadores!I6,Indicadores!I6,"")</f>
        <v>519</v>
      </c>
      <c r="K6" s="39">
        <f>IF(Indicadores!J6,Indicadores!J6,"")</f>
        <v>446</v>
      </c>
      <c r="L6" s="39">
        <f>IF(Indicadores!K6,Indicadores!K6,"")</f>
        <v>504</v>
      </c>
      <c r="M6" s="39">
        <f>IF(Indicadores!L6,Indicadores!L6,"")</f>
        <v>451</v>
      </c>
      <c r="N6" s="39">
        <f>IF(Indicadores!M6,Indicadores!M6,"")</f>
        <v>80</v>
      </c>
      <c r="O6" s="39">
        <f>IF(Indicadores!N6,Indicadores!N6,"")</f>
        <v>21</v>
      </c>
      <c r="P6" s="39">
        <f>IF(Indicadores!O6,Indicadores!O6,"")</f>
        <v>506</v>
      </c>
      <c r="Q6" s="39">
        <f>IF(Indicadores!P6,Indicadores!P6,"")</f>
        <v>543</v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5581</v>
      </c>
      <c r="AJ6" s="75">
        <f>Indicadores!AI6</f>
        <v>398.64285714285717</v>
      </c>
      <c r="AK6" s="56">
        <f>Indicadores!AJ6</f>
        <v>11959.285714285716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481</v>
      </c>
      <c r="J7" s="40">
        <f>IF(Indicadores!I7,Indicadores!I7,"")</f>
        <v>373</v>
      </c>
      <c r="K7" s="40">
        <f>IF(Indicadores!J7,Indicadores!J7,"")</f>
        <v>373</v>
      </c>
      <c r="L7" s="40">
        <f>IF(Indicadores!K7,Indicadores!K7,"")</f>
        <v>292</v>
      </c>
      <c r="M7" s="40">
        <f>IF(Indicadores!L7,Indicadores!L7,"")</f>
        <v>227</v>
      </c>
      <c r="N7" s="40">
        <f>IF(Indicadores!M7,Indicadores!M7,"")</f>
        <v>67</v>
      </c>
      <c r="O7" s="40">
        <f>IF(Indicadores!N7,Indicadores!N7,"")</f>
        <v>28</v>
      </c>
      <c r="P7" s="40">
        <f>IF(Indicadores!O7,Indicadores!O7,"")</f>
        <v>381</v>
      </c>
      <c r="Q7" s="40">
        <f>IF(Indicadores!P7,Indicadores!P7,"")</f>
        <v>284</v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3922</v>
      </c>
      <c r="AJ7" s="42">
        <f>Indicadores!AI7</f>
        <v>280.14285714285717</v>
      </c>
      <c r="AK7" s="56">
        <f>Indicadores!AJ7</f>
        <v>8404.2857142857156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28310.503937402103</v>
      </c>
      <c r="AJ17" s="66">
        <f>SUM(AJ18:AJ21)</f>
        <v>913.2420624968421</v>
      </c>
      <c r="AK17" s="55">
        <f>SUM(AK18:AK21)</f>
        <v>27397.261874905267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9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175.84630350194553</v>
      </c>
      <c r="AJ18" s="106">
        <f>AI18/COUNTA(C18:AG18)</f>
        <v>5.6724614032885654</v>
      </c>
      <c r="AK18" s="107">
        <f>AJ18*30</f>
        <v>170.17384209865696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1290</v>
      </c>
      <c r="E19" s="137">
        <f t="shared" si="6"/>
        <v>1019</v>
      </c>
      <c r="F19" s="137">
        <f t="shared" si="6"/>
        <v>817</v>
      </c>
      <c r="G19" s="137">
        <f t="shared" si="6"/>
        <v>224</v>
      </c>
      <c r="H19" s="137">
        <f t="shared" si="6"/>
        <v>54</v>
      </c>
      <c r="I19" s="137">
        <f t="shared" si="6"/>
        <v>1004</v>
      </c>
      <c r="J19" s="137">
        <f t="shared" si="6"/>
        <v>892</v>
      </c>
      <c r="K19" s="137">
        <f t="shared" si="6"/>
        <v>819</v>
      </c>
      <c r="L19" s="137">
        <f t="shared" si="6"/>
        <v>796</v>
      </c>
      <c r="M19" s="137">
        <f t="shared" si="6"/>
        <v>678</v>
      </c>
      <c r="N19" s="137">
        <f t="shared" si="6"/>
        <v>147</v>
      </c>
      <c r="O19" s="137">
        <f t="shared" si="6"/>
        <v>49</v>
      </c>
      <c r="P19" s="137">
        <f t="shared" si="6"/>
        <v>887</v>
      </c>
      <c r="Q19" s="137">
        <f t="shared" si="6"/>
        <v>827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18631.657633900159</v>
      </c>
      <c r="AJ19" s="106">
        <f>AI19/COUNTA(C19:AG19)</f>
        <v>601.02121399677935</v>
      </c>
      <c r="AK19" s="107">
        <f>AJ19*30</f>
        <v>18030.636419903381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731</v>
      </c>
      <c r="E20" s="137">
        <f t="shared" ref="E20:AG20" si="7">IF(E6&lt;&gt;"",E6,E13)</f>
        <v>579</v>
      </c>
      <c r="F20" s="137">
        <f t="shared" si="7"/>
        <v>524</v>
      </c>
      <c r="G20" s="137">
        <f t="shared" si="7"/>
        <v>119</v>
      </c>
      <c r="H20" s="137">
        <f t="shared" si="7"/>
        <v>35</v>
      </c>
      <c r="I20" s="137">
        <f t="shared" si="7"/>
        <v>523</v>
      </c>
      <c r="J20" s="137">
        <f t="shared" si="7"/>
        <v>519</v>
      </c>
      <c r="K20" s="137">
        <f t="shared" si="7"/>
        <v>446</v>
      </c>
      <c r="L20" s="137">
        <f t="shared" si="7"/>
        <v>504</v>
      </c>
      <c r="M20" s="137">
        <f t="shared" si="7"/>
        <v>451</v>
      </c>
      <c r="N20" s="137">
        <f t="shared" si="7"/>
        <v>80</v>
      </c>
      <c r="O20" s="137">
        <f t="shared" si="7"/>
        <v>21</v>
      </c>
      <c r="P20" s="137">
        <f t="shared" si="7"/>
        <v>506</v>
      </c>
      <c r="Q20" s="137">
        <f t="shared" si="7"/>
        <v>543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5581</v>
      </c>
      <c r="AJ20" s="106">
        <f>AI20/COUNTA(C20:AG20)</f>
        <v>180.03225806451613</v>
      </c>
      <c r="AK20" s="107">
        <f>AJ20*30</f>
        <v>5400.9677419354839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481</v>
      </c>
      <c r="J21" s="147">
        <f t="shared" si="9"/>
        <v>373</v>
      </c>
      <c r="K21" s="147">
        <f t="shared" si="9"/>
        <v>373</v>
      </c>
      <c r="L21" s="147">
        <f t="shared" si="9"/>
        <v>292</v>
      </c>
      <c r="M21" s="147">
        <f t="shared" si="9"/>
        <v>227</v>
      </c>
      <c r="N21" s="147">
        <f t="shared" si="9"/>
        <v>67</v>
      </c>
      <c r="O21" s="147">
        <f t="shared" si="9"/>
        <v>28</v>
      </c>
      <c r="P21" s="147">
        <f t="shared" si="9"/>
        <v>381</v>
      </c>
      <c r="Q21" s="147">
        <f t="shared" si="9"/>
        <v>284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3922</v>
      </c>
      <c r="AJ21" s="109">
        <f>AI21/COUNTA(C21:AG21)</f>
        <v>126.51612903225806</v>
      </c>
      <c r="AK21" s="110">
        <f>AJ21*30</f>
        <v>3795.483870967742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9591</v>
      </c>
      <c r="D24" s="141">
        <f>SUM(D25:D26)</f>
        <v>18807.503937402103</v>
      </c>
      <c r="E24" s="142">
        <f>SUM(E25:E28)</f>
        <v>19445.000000000004</v>
      </c>
      <c r="F24" s="138">
        <f>(D24-E24)/E24</f>
        <v>-3.278457508860376E-2</v>
      </c>
      <c r="G24" s="133">
        <f>F24</f>
        <v>-3.278457508860376E-2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88</v>
      </c>
      <c r="D25" s="144">
        <f>AI18</f>
        <v>175.84630350194553</v>
      </c>
      <c r="E25" s="142">
        <f>AI11</f>
        <v>173</v>
      </c>
      <c r="F25" s="139">
        <f t="shared" ref="F25:F28" si="11">(D25-E25)/E25</f>
        <v>1.6452621398529061E-2</v>
      </c>
      <c r="G25" s="133">
        <f>F25</f>
        <v>1.6452621398529061E-2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9503</v>
      </c>
      <c r="D26" s="144">
        <f>AI19</f>
        <v>18631.657633900159</v>
      </c>
      <c r="E26" s="142">
        <f>AI12</f>
        <v>19272.000000000004</v>
      </c>
      <c r="F26" s="139">
        <f t="shared" si="11"/>
        <v>-3.3226565281228984E-2</v>
      </c>
      <c r="G26" s="133">
        <f>F26</f>
        <v>-3.3226565281228984E-2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5581</v>
      </c>
      <c r="D27" s="144">
        <f>AI20</f>
        <v>5581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3922</v>
      </c>
      <c r="D28" s="146">
        <f>AI21</f>
        <v>3922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9591</v>
      </c>
      <c r="D6" s="7">
        <f>'Dados - Gráficos'!D24</f>
        <v>18807.503937402103</v>
      </c>
      <c r="E6" s="93">
        <f>'Dados - Gráficos'!E24</f>
        <v>19445.000000000004</v>
      </c>
      <c r="F6" s="118">
        <f>'Dados - Gráficos'!F24</f>
        <v>-3.278457508860376E-2</v>
      </c>
      <c r="G6" s="119">
        <f>'Dados - Gráficos'!G24</f>
        <v>-3.278457508860376E-2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88</v>
      </c>
      <c r="D7" s="8">
        <f>'Dados - Gráficos'!D25</f>
        <v>175.84630350194553</v>
      </c>
      <c r="E7" s="93">
        <f>'Dados - Gráficos'!E25</f>
        <v>173</v>
      </c>
      <c r="F7" s="120">
        <f>'Dados - Gráficos'!F25</f>
        <v>1.6452621398529061E-2</v>
      </c>
      <c r="G7" s="119">
        <f>'Dados - Gráficos'!G25</f>
        <v>1.6452621398529061E-2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9503</v>
      </c>
      <c r="D8" s="17">
        <f>'Dados - Gráficos'!D26</f>
        <v>18631.657633900159</v>
      </c>
      <c r="E8" s="94">
        <f>'Dados - Gráficos'!E26</f>
        <v>19272.000000000004</v>
      </c>
      <c r="F8" s="121">
        <f>'Dados - Gráficos'!F26</f>
        <v>-3.3226565281228984E-2</v>
      </c>
      <c r="G8" s="122">
        <f>'Dados - Gráficos'!G26</f>
        <v>-3.3226565281228984E-2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5581</v>
      </c>
      <c r="D9" s="192">
        <f>'Dados - Gráficos'!D27</f>
        <v>5581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3922</v>
      </c>
      <c r="D10" s="17">
        <f>'Dados - Gráficos'!D28</f>
        <v>3922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2016-06-15T12:54:57Z</dcterms:modified>
</cp:coreProperties>
</file>