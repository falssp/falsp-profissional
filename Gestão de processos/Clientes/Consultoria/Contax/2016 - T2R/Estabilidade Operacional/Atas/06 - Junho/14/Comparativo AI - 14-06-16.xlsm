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C5" i="1"/>
  <c r="G5" i="1"/>
  <c r="AH5" i="7" l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H19" i="7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<sst xmlns="http://schemas.openxmlformats.org/spreadsheetml/2006/main" count="351" uniqueCount="41">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</sst>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735</c:v>
                </c:pt>
                <c:pt idx="1">
                  <c:v>581</c:v>
                </c:pt>
                <c:pt idx="2">
                  <c:v>528</c:v>
                </c:pt>
                <c:pt idx="3">
                  <c:v>119</c:v>
                </c:pt>
                <c:pt idx="4">
                  <c:v>35</c:v>
                </c:pt>
                <c:pt idx="5">
                  <c:v>523</c:v>
                </c:pt>
                <c:pt idx="6">
                  <c:v>521</c:v>
                </c:pt>
                <c:pt idx="7">
                  <c:v>450</c:v>
                </c:pt>
                <c:pt idx="8">
                  <c:v>506</c:v>
                </c:pt>
                <c:pt idx="9">
                  <c:v>453</c:v>
                </c:pt>
                <c:pt idx="10">
                  <c:v>80</c:v>
                </c:pt>
                <c:pt idx="11">
                  <c:v>21</c:v>
                </c:pt>
                <c:pt idx="12">
                  <c:v>536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373</c:v>
                </c:pt>
                <c:pt idx="7">
                  <c:v>373</c:v>
                </c:pt>
                <c:pt idx="8">
                  <c:v>295</c:v>
                </c:pt>
                <c:pt idx="9">
                  <c:v>228</c:v>
                </c:pt>
                <c:pt idx="10">
                  <c:v>68</c:v>
                </c:pt>
                <c:pt idx="11">
                  <c:v>29</c:v>
                </c:pt>
                <c:pt idx="12">
                  <c:v>370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2B-4720-AE99-9237B92AA4B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1294</c:v>
                </c:pt>
                <c:pt idx="1">
                  <c:v>1021</c:v>
                </c:pt>
                <c:pt idx="2">
                  <c:v>821</c:v>
                </c:pt>
                <c:pt idx="3">
                  <c:v>224</c:v>
                </c:pt>
                <c:pt idx="4">
                  <c:v>54</c:v>
                </c:pt>
                <c:pt idx="5">
                  <c:v>1004</c:v>
                </c:pt>
                <c:pt idx="6">
                  <c:v>894</c:v>
                </c:pt>
                <c:pt idx="7">
                  <c:v>823</c:v>
                </c:pt>
                <c:pt idx="8">
                  <c:v>801</c:v>
                </c:pt>
                <c:pt idx="9">
                  <c:v>681</c:v>
                </c:pt>
                <c:pt idx="10">
                  <c:v>148</c:v>
                </c:pt>
                <c:pt idx="11">
                  <c:v>50</c:v>
                </c:pt>
                <c:pt idx="12">
                  <c:v>906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0t5K4KsIQoqh2S9kURsulWwo+lDbh9SHiqo3rliSV9tI6T6W96aDj8ruuKLQXZ7MyEoEfJW04XPoWA4t1m74Rw==" saltValue="YvYT5y7/vXtL4Nxv+Hjqm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+/P0xP0uvZfI4+2X9kX/oxziwOcyTFIEXnOWtCT1R22D4BIyAKMGNH3Q1NufcWimwMCYShDWZsdX9dCpA/C77Q==" saltValue="oeHOu6bJgXfITRqV6gNX7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brzsNQRDuP+vOaviFdW/vUtIjj2vpfeMpC16WxAG20BFO98ObfGWO0my70akT0tP/tJ483u5DXHIMPRh50biqg==" saltValue="4N6wXQoMNFuNexIyT6A2M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O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8801</v>
      </c>
      <c r="AI3" s="71">
        <f>AH3/COUNTA(C4:AF4)</f>
        <v>677</v>
      </c>
      <c r="AJ3" s="55">
        <f>AI3*30</f>
        <v>20310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9</v>
      </c>
      <c r="P4" s="188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80</v>
      </c>
      <c r="AI4" s="38">
        <f>AH4/COUNTA(C4:AF4)</f>
        <v>6.1538461538461542</v>
      </c>
      <c r="AJ4" s="56">
        <f>AI4*30</f>
        <v>184.61538461538461</v>
      </c>
    </row>
    <row r="5" spans="2:36" x14ac:dyDescent="0.25">
      <c r="B5" s="186" t="s">
        <v>40</v>
      </c>
      <c r="C5" s="188">
        <f>C6+C7</f>
        <v>1294</v>
      </c>
      <c r="D5" s="188">
        <f t="shared" ref="D5:F5" si="0">D6+D7</f>
        <v>1021</v>
      </c>
      <c r="E5" s="188">
        <f t="shared" si="0"/>
        <v>821</v>
      </c>
      <c r="F5" s="188">
        <f t="shared" si="0"/>
        <v>224</v>
      </c>
      <c r="G5" s="188">
        <f>G6+G7</f>
        <v>54</v>
      </c>
      <c r="H5" s="188">
        <f t="shared" ref="H5:AG5" si="1">H6+H7</f>
        <v>1004</v>
      </c>
      <c r="I5" s="188">
        <f t="shared" si="1"/>
        <v>894</v>
      </c>
      <c r="J5" s="188">
        <f t="shared" si="1"/>
        <v>823</v>
      </c>
      <c r="K5" s="188">
        <f t="shared" si="1"/>
        <v>801</v>
      </c>
      <c r="L5" s="188">
        <f t="shared" si="1"/>
        <v>681</v>
      </c>
      <c r="M5" s="188">
        <f t="shared" si="1"/>
        <v>148</v>
      </c>
      <c r="N5" s="188">
        <f t="shared" si="1"/>
        <v>50</v>
      </c>
      <c r="O5" s="188">
        <f t="shared" si="1"/>
        <v>906</v>
      </c>
      <c r="P5" s="188">
        <f t="shared" si="1"/>
        <v>0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>
        <f t="shared" si="1"/>
        <v>0</v>
      </c>
      <c r="AH5" s="53">
        <f>SUM(C5:AF5)</f>
        <v>8721</v>
      </c>
      <c r="AI5" s="38">
        <f>AH5/COUNTA(C5:AF5)</f>
        <v>290.7</v>
      </c>
      <c r="AJ5" s="56">
        <f>AI5*30</f>
        <v>8721</v>
      </c>
    </row>
    <row r="6" spans="2:36" x14ac:dyDescent="0.25">
      <c r="B6" s="174" t="s">
        <v>20</v>
      </c>
      <c r="C6" s="188">
        <v>735</v>
      </c>
      <c r="D6" s="188">
        <v>581</v>
      </c>
      <c r="E6" s="188">
        <v>528</v>
      </c>
      <c r="F6" s="188">
        <v>119</v>
      </c>
      <c r="G6" s="188">
        <v>35</v>
      </c>
      <c r="H6" s="188">
        <v>523</v>
      </c>
      <c r="I6" s="188">
        <v>521</v>
      </c>
      <c r="J6" s="188">
        <v>450</v>
      </c>
      <c r="K6" s="188">
        <v>506</v>
      </c>
      <c r="L6" s="188">
        <v>453</v>
      </c>
      <c r="M6" s="188">
        <v>80</v>
      </c>
      <c r="N6" s="188">
        <v>21</v>
      </c>
      <c r="O6" s="188">
        <v>536</v>
      </c>
      <c r="P6" s="188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5088</v>
      </c>
      <c r="AI6" s="38">
        <f>AH6/COUNTA(C6:AF6)</f>
        <v>391.38461538461536</v>
      </c>
      <c r="AJ6" s="56">
        <f>AI6*30</f>
        <v>11741.538461538461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293</v>
      </c>
      <c r="F7" s="189">
        <v>105</v>
      </c>
      <c r="G7" s="189">
        <v>19</v>
      </c>
      <c r="H7" s="189">
        <v>481</v>
      </c>
      <c r="I7" s="189">
        <v>373</v>
      </c>
      <c r="J7" s="189">
        <v>373</v>
      </c>
      <c r="K7" s="189">
        <v>295</v>
      </c>
      <c r="L7" s="189">
        <v>228</v>
      </c>
      <c r="M7" s="189">
        <v>68</v>
      </c>
      <c r="N7" s="189">
        <v>29</v>
      </c>
      <c r="O7" s="189">
        <v>370</v>
      </c>
      <c r="P7" s="189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3633</v>
      </c>
      <c r="AI7" s="37">
        <f>AH7/COUNTA(C7:AF7)</f>
        <v>279.46153846153845</v>
      </c>
      <c r="AJ7" s="57">
        <f>AI7*30</f>
        <v>8383.8461538461543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42461</v>
      </c>
      <c r="D12" s="49">
        <v>42462</v>
      </c>
      <c r="E12" s="49">
        <v>42463</v>
      </c>
      <c r="F12" s="49">
        <v>42464</v>
      </c>
      <c r="G12" s="49">
        <v>42465</v>
      </c>
      <c r="H12" s="49">
        <v>42466</v>
      </c>
      <c r="I12" s="49">
        <v>42467</v>
      </c>
      <c r="J12" s="49">
        <v>42468</v>
      </c>
      <c r="K12" s="49">
        <v>42469</v>
      </c>
      <c r="L12" s="49">
        <v>42470</v>
      </c>
      <c r="M12" s="49">
        <v>42471</v>
      </c>
      <c r="N12" s="49">
        <v>42472</v>
      </c>
      <c r="O12" s="49">
        <v>42473</v>
      </c>
      <c r="P12" s="49">
        <v>42474</v>
      </c>
      <c r="Q12" s="49">
        <v>42475</v>
      </c>
      <c r="R12" s="49">
        <v>42476</v>
      </c>
      <c r="S12" s="49">
        <v>42477</v>
      </c>
      <c r="T12" s="49">
        <v>42478</v>
      </c>
      <c r="U12" s="49">
        <v>42479</v>
      </c>
      <c r="V12" s="49">
        <v>42480</v>
      </c>
      <c r="W12" s="49">
        <v>42481</v>
      </c>
      <c r="X12" s="49">
        <v>42482</v>
      </c>
      <c r="Y12" s="49">
        <v>42483</v>
      </c>
      <c r="Z12" s="49">
        <v>42484</v>
      </c>
      <c r="AA12" s="49">
        <v>42485</v>
      </c>
      <c r="AB12" s="49">
        <v>42486</v>
      </c>
      <c r="AC12" s="49">
        <v>42487</v>
      </c>
      <c r="AD12" s="49">
        <v>42488</v>
      </c>
      <c r="AE12" s="49">
        <v>42489</v>
      </c>
      <c r="AF12" s="49">
        <v>42490</v>
      </c>
      <c r="AG12" s="153">
        <v>31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8801</v>
      </c>
      <c r="AJ3" s="66">
        <f>Indicadores!AI3</f>
        <v>677</v>
      </c>
      <c r="AK3" s="55">
        <f>Indicadores!AJ3</f>
        <v>20310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9</v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80</v>
      </c>
      <c r="AJ4" s="75">
        <f>Indicadores!AI4</f>
        <v>6.1538461538461542</v>
      </c>
      <c r="AK4" s="56">
        <f>Indicadores!AJ4</f>
        <v>184.61538461538461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1294</v>
      </c>
      <c r="E5" s="39">
        <f>IF(Indicadores!D5,Indicadores!D5,"")</f>
        <v>1021</v>
      </c>
      <c r="F5" s="39">
        <f>IF(Indicadores!E5,Indicadores!E5,"")</f>
        <v>821</v>
      </c>
      <c r="G5" s="39">
        <f>IF(Indicadores!F5,Indicadores!F5,"")</f>
        <v>224</v>
      </c>
      <c r="H5" s="39">
        <f>IF(Indicadores!G5,Indicadores!G5,"")</f>
        <v>54</v>
      </c>
      <c r="I5" s="39">
        <f>IF(Indicadores!H5,Indicadores!H5,"")</f>
        <v>1004</v>
      </c>
      <c r="J5" s="39">
        <f>IF(Indicadores!I5,Indicadores!I5,"")</f>
        <v>894</v>
      </c>
      <c r="K5" s="39">
        <f>IF(Indicadores!J5,Indicadores!J5,"")</f>
        <v>823</v>
      </c>
      <c r="L5" s="39">
        <f>IF(Indicadores!K5,Indicadores!K5,"")</f>
        <v>801</v>
      </c>
      <c r="M5" s="39">
        <f>IF(Indicadores!L5,Indicadores!L5,"")</f>
        <v>681</v>
      </c>
      <c r="N5" s="39">
        <f>IF(Indicadores!M5,Indicadores!M5,"")</f>
        <v>148</v>
      </c>
      <c r="O5" s="39">
        <f>IF(Indicadores!N5,Indicadores!N5,"")</f>
        <v>50</v>
      </c>
      <c r="P5" s="39">
        <f>IF(Indicadores!O5,Indicadores!O5,"")</f>
        <v>906</v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8721</v>
      </c>
      <c r="AJ5" s="75">
        <f>Indicadores!AI5</f>
        <v>290.7</v>
      </c>
      <c r="AK5" s="56">
        <f>Indicadores!AJ5</f>
        <v>8721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735</v>
      </c>
      <c r="E6" s="39">
        <f>IF(Indicadores!D6,Indicadores!D6,"")</f>
        <v>581</v>
      </c>
      <c r="F6" s="39">
        <f>IF(Indicadores!E6,Indicadores!E6,"")</f>
        <v>528</v>
      </c>
      <c r="G6" s="39">
        <f>IF(Indicadores!F6,Indicadores!F6,"")</f>
        <v>119</v>
      </c>
      <c r="H6" s="39">
        <f>IF(Indicadores!G6,Indicadores!G6,"")</f>
        <v>35</v>
      </c>
      <c r="I6" s="39">
        <f>IF(Indicadores!H6,Indicadores!H6,"")</f>
        <v>523</v>
      </c>
      <c r="J6" s="39">
        <f>IF(Indicadores!I6,Indicadores!I6,"")</f>
        <v>521</v>
      </c>
      <c r="K6" s="39">
        <f>IF(Indicadores!J6,Indicadores!J6,"")</f>
        <v>450</v>
      </c>
      <c r="L6" s="39">
        <f>IF(Indicadores!K6,Indicadores!K6,"")</f>
        <v>506</v>
      </c>
      <c r="M6" s="39">
        <f>IF(Indicadores!L6,Indicadores!L6,"")</f>
        <v>453</v>
      </c>
      <c r="N6" s="39">
        <f>IF(Indicadores!M6,Indicadores!M6,"")</f>
        <v>80</v>
      </c>
      <c r="O6" s="39">
        <f>IF(Indicadores!N6,Indicadores!N6,"")</f>
        <v>21</v>
      </c>
      <c r="P6" s="39">
        <f>IF(Indicadores!O6,Indicadores!O6,"")</f>
        <v>536</v>
      </c>
      <c r="Q6" s="39" t="str">
        <f>IF(Indicadores!P6,Indicadores!P6,"")</f>
        <v/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5088</v>
      </c>
      <c r="AJ6" s="75">
        <f>Indicadores!AI6</f>
        <v>391.38461538461536</v>
      </c>
      <c r="AK6" s="56">
        <f>Indicadores!AJ6</f>
        <v>11741.538461538461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481</v>
      </c>
      <c r="J7" s="40">
        <f>IF(Indicadores!I7,Indicadores!I7,"")</f>
        <v>373</v>
      </c>
      <c r="K7" s="40">
        <f>IF(Indicadores!J7,Indicadores!J7,"")</f>
        <v>373</v>
      </c>
      <c r="L7" s="40">
        <f>IF(Indicadores!K7,Indicadores!K7,"")</f>
        <v>295</v>
      </c>
      <c r="M7" s="40">
        <f>IF(Indicadores!L7,Indicadores!L7,"")</f>
        <v>228</v>
      </c>
      <c r="N7" s="40">
        <f>IF(Indicadores!M7,Indicadores!M7,"")</f>
        <v>68</v>
      </c>
      <c r="O7" s="40">
        <f>IF(Indicadores!N7,Indicadores!N7,"")</f>
        <v>29</v>
      </c>
      <c r="P7" s="40">
        <f>IF(Indicadores!O7,Indicadores!O7,"")</f>
        <v>370</v>
      </c>
      <c r="Q7" s="40" t="str">
        <f>IF(Indicadores!P7,Indicadores!P7,"")</f>
        <v/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3633</v>
      </c>
      <c r="AJ7" s="42">
        <f>Indicadores!AI7</f>
        <v>279.46153846153845</v>
      </c>
      <c r="AK7" s="56">
        <f>Indicadores!AJ7</f>
        <v>8383.8461538461543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27710.024535945249</v>
      </c>
      <c r="AJ17" s="66">
        <f>SUM(AJ18:AJ21)</f>
        <v>893.87175922404026</v>
      </c>
      <c r="AK17" s="55">
        <f>SUM(AK18:AK21)</f>
        <v>26816.152776721206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9</v>
      </c>
      <c r="Q18" s="137">
        <f t="shared" si="4"/>
        <v>9.7607003891050574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177.6070038910506</v>
      </c>
      <c r="AJ18" s="106">
        <f>AI18/COUNTA(C18:AG18)</f>
        <v>5.7292581900338906</v>
      </c>
      <c r="AK18" s="107">
        <f>AJ18*30</f>
        <v>171.87774570101672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1294</v>
      </c>
      <c r="E19" s="137">
        <f t="shared" si="6"/>
        <v>1021</v>
      </c>
      <c r="F19" s="137">
        <f t="shared" si="6"/>
        <v>821</v>
      </c>
      <c r="G19" s="137">
        <f t="shared" si="6"/>
        <v>224</v>
      </c>
      <c r="H19" s="137">
        <f t="shared" si="6"/>
        <v>54</v>
      </c>
      <c r="I19" s="137">
        <f t="shared" si="6"/>
        <v>1004</v>
      </c>
      <c r="J19" s="137">
        <f t="shared" si="6"/>
        <v>894</v>
      </c>
      <c r="K19" s="137">
        <f t="shared" si="6"/>
        <v>823</v>
      </c>
      <c r="L19" s="137">
        <f t="shared" si="6"/>
        <v>801</v>
      </c>
      <c r="M19" s="137">
        <f t="shared" si="6"/>
        <v>681</v>
      </c>
      <c r="N19" s="137">
        <f t="shared" si="6"/>
        <v>148</v>
      </c>
      <c r="O19" s="137">
        <f t="shared" si="6"/>
        <v>50</v>
      </c>
      <c r="P19" s="137">
        <f t="shared" si="6"/>
        <v>906</v>
      </c>
      <c r="Q19" s="137">
        <f t="shared" si="6"/>
        <v>961.75989815404193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18811.417532054198</v>
      </c>
      <c r="AJ19" s="106">
        <f>AI19/COUNTA(C19:AG19)</f>
        <v>606.81992038884505</v>
      </c>
      <c r="AK19" s="107">
        <f>AJ19*30</f>
        <v>18204.597611665351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735</v>
      </c>
      <c r="E20" s="137">
        <f t="shared" ref="E20:AG20" si="7">IF(E6&lt;&gt;"",E6,E13)</f>
        <v>581</v>
      </c>
      <c r="F20" s="137">
        <f t="shared" si="7"/>
        <v>528</v>
      </c>
      <c r="G20" s="137">
        <f t="shared" si="7"/>
        <v>119</v>
      </c>
      <c r="H20" s="137">
        <f t="shared" si="7"/>
        <v>35</v>
      </c>
      <c r="I20" s="137">
        <f t="shared" si="7"/>
        <v>523</v>
      </c>
      <c r="J20" s="137">
        <f t="shared" si="7"/>
        <v>521</v>
      </c>
      <c r="K20" s="137">
        <f t="shared" si="7"/>
        <v>450</v>
      </c>
      <c r="L20" s="137">
        <f t="shared" si="7"/>
        <v>506</v>
      </c>
      <c r="M20" s="137">
        <f t="shared" si="7"/>
        <v>453</v>
      </c>
      <c r="N20" s="137">
        <f t="shared" si="7"/>
        <v>80</v>
      </c>
      <c r="O20" s="137">
        <f t="shared" si="7"/>
        <v>21</v>
      </c>
      <c r="P20" s="137">
        <f t="shared" si="7"/>
        <v>536</v>
      </c>
      <c r="Q20" s="137">
        <f t="shared" si="7"/>
        <v>0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5088</v>
      </c>
      <c r="AJ20" s="106">
        <f>AI20/COUNTA(C20:AG20)</f>
        <v>164.12903225806451</v>
      </c>
      <c r="AK20" s="107">
        <f>AJ20*30</f>
        <v>4923.8709677419356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481</v>
      </c>
      <c r="J21" s="147">
        <f t="shared" si="9"/>
        <v>373</v>
      </c>
      <c r="K21" s="147">
        <f t="shared" si="9"/>
        <v>373</v>
      </c>
      <c r="L21" s="147">
        <f t="shared" si="9"/>
        <v>295</v>
      </c>
      <c r="M21" s="147">
        <f t="shared" si="9"/>
        <v>228</v>
      </c>
      <c r="N21" s="147">
        <f t="shared" si="9"/>
        <v>68</v>
      </c>
      <c r="O21" s="147">
        <f t="shared" si="9"/>
        <v>29</v>
      </c>
      <c r="P21" s="147">
        <f t="shared" si="9"/>
        <v>370</v>
      </c>
      <c r="Q21" s="147">
        <f t="shared" si="9"/>
        <v>0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3633</v>
      </c>
      <c r="AJ21" s="109">
        <f>AI21/COUNTA(C21:AG21)</f>
        <v>117.19354838709677</v>
      </c>
      <c r="AK21" s="110">
        <f>AJ21*30</f>
        <v>3515.8064516129029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8801</v>
      </c>
      <c r="D24" s="141">
        <f>SUM(D25:D26)</f>
        <v>18989.024535945249</v>
      </c>
      <c r="E24" s="142">
        <f>SUM(E25:E28)</f>
        <v>19445.000000000004</v>
      </c>
      <c r="F24" s="138">
        <f>(D24-E24)/E24</f>
        <v>-2.3449496737194875E-2</v>
      </c>
      <c r="G24" s="133">
        <f>F24</f>
        <v>-2.3449496737194875E-2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80</v>
      </c>
      <c r="D25" s="144">
        <f>AI18</f>
        <v>177.6070038910506</v>
      </c>
      <c r="E25" s="142">
        <f>AI11</f>
        <v>173</v>
      </c>
      <c r="F25" s="139">
        <f t="shared" ref="F25:F28" si="11">(D25-E25)/E25</f>
        <v>2.6630080295090147E-2</v>
      </c>
      <c r="G25" s="133">
        <f>F25</f>
        <v>2.6630080295090147E-2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8721</v>
      </c>
      <c r="D26" s="144">
        <f>AI19</f>
        <v>18811.417532054198</v>
      </c>
      <c r="E26" s="142">
        <f>AI12</f>
        <v>19272.000000000004</v>
      </c>
      <c r="F26" s="139">
        <f t="shared" si="11"/>
        <v>-2.3899048772613399E-2</v>
      </c>
      <c r="G26" s="133">
        <f>F26</f>
        <v>-2.3899048772613399E-2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5088</v>
      </c>
      <c r="D27" s="144">
        <f>AI20</f>
        <v>5088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3633</v>
      </c>
      <c r="D28" s="146">
        <f>AI21</f>
        <v>3633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8801</v>
      </c>
      <c r="D6" s="7">
        <f>'Dados - Gráficos'!D24</f>
        <v>18989.024535945249</v>
      </c>
      <c r="E6" s="93">
        <f>'Dados - Gráficos'!E24</f>
        <v>19445.000000000004</v>
      </c>
      <c r="F6" s="118">
        <f>'Dados - Gráficos'!F24</f>
        <v>-2.3449496737194875E-2</v>
      </c>
      <c r="G6" s="119">
        <f>'Dados - Gráficos'!G24</f>
        <v>-2.3449496737194875E-2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80</v>
      </c>
      <c r="D7" s="8">
        <f>'Dados - Gráficos'!D25</f>
        <v>177.6070038910506</v>
      </c>
      <c r="E7" s="93">
        <f>'Dados - Gráficos'!E25</f>
        <v>173</v>
      </c>
      <c r="F7" s="120">
        <f>'Dados - Gráficos'!F25</f>
        <v>2.6630080295090147E-2</v>
      </c>
      <c r="G7" s="119">
        <f>'Dados - Gráficos'!G25</f>
        <v>2.6630080295090147E-2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8721</v>
      </c>
      <c r="D8" s="17">
        <f>'Dados - Gráficos'!D26</f>
        <v>18811.417532054198</v>
      </c>
      <c r="E8" s="94">
        <f>'Dados - Gráficos'!E26</f>
        <v>19272.000000000004</v>
      </c>
      <c r="F8" s="121">
        <f>'Dados - Gráficos'!F26</f>
        <v>-2.3899048772613399E-2</v>
      </c>
      <c r="G8" s="122">
        <f>'Dados - Gráficos'!G26</f>
        <v>-2.3899048772613399E-2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5088</v>
      </c>
      <c r="D9" s="192">
        <f>'Dados - Gráficos'!D27</f>
        <v>5088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3633</v>
      </c>
      <c r="D10" s="17">
        <f>'Dados - Gráficos'!D28</f>
        <v>3633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2016-06-14T12:45:17Z</dcterms:modified>
</cp:coreProperties>
</file>