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E22" i="7" l="1"/>
  <c r="AI12" i="7" l="1"/>
  <c r="AI11" i="7"/>
  <c r="AI10" i="7"/>
  <c r="E14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AF14" i="7"/>
  <c r="AG14" i="7"/>
  <c r="AH14" i="7"/>
  <c r="D14" i="7"/>
  <c r="E8" i="7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T8" i="7"/>
  <c r="U8" i="7"/>
  <c r="V8" i="7"/>
  <c r="W8" i="7"/>
  <c r="X8" i="7"/>
  <c r="Y8" i="7"/>
  <c r="Z8" i="7"/>
  <c r="AA8" i="7"/>
  <c r="AB8" i="7"/>
  <c r="AC8" i="7"/>
  <c r="AD8" i="7"/>
  <c r="AE8" i="7"/>
  <c r="AF8" i="7"/>
  <c r="AG8" i="7"/>
  <c r="AH8" i="7"/>
  <c r="D8" i="7"/>
  <c r="B8" i="7"/>
  <c r="B2" i="7"/>
  <c r="AI6" i="1"/>
  <c r="AJ6" i="7" s="1"/>
  <c r="AH6" i="1"/>
  <c r="AI6" i="7" s="1"/>
  <c r="AH5" i="1"/>
  <c r="AI5" i="7" s="1"/>
  <c r="AH4" i="1"/>
  <c r="AI4" i="7" s="1"/>
  <c r="AH6" i="7"/>
  <c r="AH5" i="7"/>
  <c r="AH4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D6" i="7"/>
  <c r="D5" i="7"/>
  <c r="D4" i="7"/>
  <c r="AH48" i="1"/>
  <c r="AI5" i="1" l="1"/>
  <c r="AI4" i="1"/>
  <c r="AJ4" i="1" s="1"/>
  <c r="AK4" i="7" s="1"/>
  <c r="AJ6" i="1"/>
  <c r="AK6" i="7" s="1"/>
  <c r="AI48" i="1"/>
  <c r="AJ48" i="1" s="1"/>
  <c r="AH3" i="1"/>
  <c r="AH18" i="7"/>
  <c r="AH17" i="7"/>
  <c r="AH16" i="7"/>
  <c r="AH14" i="1"/>
  <c r="AI14" i="1" s="1"/>
  <c r="AJ14" i="1" s="1"/>
  <c r="AH13" i="1"/>
  <c r="AI13" i="1" s="1"/>
  <c r="AJ13" i="1" s="1"/>
  <c r="AH12" i="1"/>
  <c r="AI3" i="7" l="1"/>
  <c r="AI3" i="1"/>
  <c r="AJ4" i="7"/>
  <c r="AJ5" i="7"/>
  <c r="AJ5" i="1"/>
  <c r="AK5" i="7" s="1"/>
  <c r="AH11" i="1"/>
  <c r="AI11" i="1" s="1"/>
  <c r="AJ11" i="1" s="1"/>
  <c r="AI12" i="1"/>
  <c r="AJ12" i="1" s="1"/>
  <c r="AJ3" i="1" l="1"/>
  <c r="AK3" i="7" s="1"/>
  <c r="AJ3" i="7"/>
  <c r="B14" i="7"/>
  <c r="B20" i="7" s="1"/>
  <c r="D16" i="7"/>
  <c r="AI16" i="7" s="1"/>
  <c r="AH20" i="1"/>
  <c r="AI20" i="1" s="1"/>
  <c r="AJ20" i="1" s="1"/>
  <c r="AH19" i="1"/>
  <c r="AI19" i="1" s="1"/>
  <c r="AH18" i="1"/>
  <c r="C22" i="7" s="1"/>
  <c r="AJ12" i="7" l="1"/>
  <c r="AK12" i="7" s="1"/>
  <c r="E24" i="7"/>
  <c r="AJ10" i="7"/>
  <c r="AK10" i="7" s="1"/>
  <c r="AJ11" i="7"/>
  <c r="AK11" i="7" s="1"/>
  <c r="E23" i="7"/>
  <c r="C24" i="7"/>
  <c r="AJ19" i="1"/>
  <c r="C23" i="7"/>
  <c r="AI9" i="7"/>
  <c r="AH17" i="1"/>
  <c r="AI18" i="1"/>
  <c r="AD16" i="7"/>
  <c r="AC16" i="7"/>
  <c r="AK9" i="7" l="1"/>
  <c r="C21" i="7"/>
  <c r="AJ9" i="7"/>
  <c r="E21" i="7"/>
  <c r="AJ18" i="1"/>
  <c r="AI17" i="1"/>
  <c r="AJ17" i="1" s="1"/>
  <c r="J18" i="7"/>
  <c r="J17" i="7"/>
  <c r="J16" i="7"/>
  <c r="AG18" i="7" l="1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I18" i="7" s="1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I17" i="7" s="1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D24" i="7" l="1"/>
  <c r="AJ18" i="7"/>
  <c r="AK18" i="7" s="1"/>
  <c r="D23" i="7"/>
  <c r="AJ17" i="7"/>
  <c r="AK17" i="7" s="1"/>
  <c r="D22" i="7"/>
  <c r="AJ16" i="7"/>
  <c r="AK16" i="7" s="1"/>
  <c r="AI15" i="7"/>
  <c r="D21" i="7" l="1"/>
  <c r="D9" i="7"/>
  <c r="D15" i="7" s="1"/>
  <c r="AG9" i="7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26" i="1"/>
  <c r="AH25" i="1"/>
  <c r="AH24" i="1"/>
  <c r="E7" i="4" l="1"/>
  <c r="F22" i="7"/>
  <c r="AI25" i="1"/>
  <c r="AJ25" i="1" s="1"/>
  <c r="C8" i="4"/>
  <c r="AI26" i="1"/>
  <c r="AJ26" i="1" s="1"/>
  <c r="C9" i="4"/>
  <c r="AI24" i="1"/>
  <c r="C7" i="4"/>
  <c r="AH23" i="1"/>
  <c r="C6" i="4" l="1"/>
  <c r="AJ24" i="1"/>
  <c r="D7" i="4" s="1"/>
  <c r="D9" i="4"/>
  <c r="AI23" i="1"/>
  <c r="AJ23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32" i="1" l="1"/>
  <c r="AH31" i="1"/>
  <c r="AH30" i="1"/>
  <c r="AI32" i="1" l="1"/>
  <c r="AI31" i="1"/>
  <c r="AH29" i="1"/>
  <c r="AI30" i="1"/>
  <c r="AJ32" i="1" l="1"/>
  <c r="AJ31" i="1"/>
  <c r="AJ30" i="1"/>
  <c r="AJ15" i="7"/>
  <c r="AI29" i="1"/>
  <c r="AH50" i="1"/>
  <c r="AH49" i="1"/>
  <c r="AH47" i="1" s="1"/>
  <c r="AI47" i="1" s="1"/>
  <c r="AJ47" i="1" s="1"/>
  <c r="K9" i="4"/>
  <c r="N26" i="7" l="1"/>
  <c r="I6" i="4"/>
  <c r="I11" i="4" s="1"/>
  <c r="AJ29" i="1"/>
  <c r="K11" i="4"/>
  <c r="AK15" i="7" l="1"/>
  <c r="AI50" i="1"/>
  <c r="AJ50" i="1" s="1"/>
  <c r="AI49" i="1"/>
  <c r="AJ49" i="1" s="1"/>
  <c r="AH38" i="1"/>
  <c r="AH37" i="1"/>
  <c r="AH44" i="1"/>
  <c r="AH43" i="1"/>
  <c r="AI38" i="1" l="1"/>
  <c r="AI37" i="1"/>
  <c r="AI43" i="1"/>
  <c r="AJ43" i="1" s="1"/>
  <c r="AI44" i="1"/>
  <c r="AJ44" i="1" s="1"/>
  <c r="AH36" i="1"/>
  <c r="AI36" i="1" l="1"/>
  <c r="AJ37" i="1"/>
  <c r="AJ38" i="1"/>
  <c r="AH35" i="1"/>
  <c r="AH42" i="1"/>
  <c r="J6" i="4" s="1"/>
  <c r="J11" i="4" s="1"/>
  <c r="F24" i="7" l="1"/>
  <c r="E9" i="4"/>
  <c r="F23" i="7"/>
  <c r="F8" i="4" s="1"/>
  <c r="E8" i="4"/>
  <c r="AI35" i="1"/>
  <c r="AJ36" i="1"/>
  <c r="AH41" i="1"/>
  <c r="AI42" i="1"/>
  <c r="AJ42" i="1" s="1"/>
  <c r="G23" i="7" l="1"/>
  <c r="G8" i="4" s="1"/>
  <c r="G24" i="7"/>
  <c r="G9" i="4" s="1"/>
  <c r="F9" i="4"/>
  <c r="AJ35" i="1"/>
  <c r="AI41" i="1"/>
  <c r="AJ41" i="1" s="1"/>
  <c r="E6" i="4" l="1"/>
  <c r="F21" i="7"/>
  <c r="F6" i="4" l="1"/>
  <c r="G21" i="7"/>
  <c r="G6" i="4" s="1"/>
</calcChain>
</file>

<file path=xl/sharedStrings.xml><?xml version="1.0" encoding="utf-8"?>
<sst xmlns="http://schemas.openxmlformats.org/spreadsheetml/2006/main" count="363" uniqueCount="40">
  <si>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</si>
  <si>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</si>
  <si>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</si>
  <si>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</si>
  <si>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</si>
  <si>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</si>
  <si>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</si>
  <si>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</si>
  <si>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</si>
  <si>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</si>
  <si>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</si>
  <si>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</si>
  <si>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</si>
  <si>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</si>
  <si>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</si>
  <si>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</si>
  <si>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</si>
  <si>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</si>
  <si>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</si>
  <si>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</si>
  <si>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</si>
  <si>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</si>
  <si>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</si>
  <si>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</si>
  <si>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</si>
  <si>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</si>
  <si>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</si>
  <si>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</si>
  <si>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</si>
  <si>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</si>
  <si>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</si>
  <si>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</si>
  <si>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</si>
  <si>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</si>
  <si>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</si>
  <si>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</si>
  <si>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</si>
  <si>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</si>
  <si>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</si>
  <si>
    <t>Jun - 30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</si>
</sst>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9999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29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3" fontId="11" fillId="0" borderId="0" xfId="2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right" vertical="center"/>
    </xf>
    <xf numFmtId="3" fontId="13" fillId="11" borderId="0" xfId="2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2" fontId="26" fillId="18" borderId="27" xfId="0" applyNumberFormat="1" applyFont="1" applyFill="1" applyBorder="1" applyAlignment="1">
      <alignment horizontal="center" vertical="center"/>
    </xf>
    <xf numFmtId="0" fontId="16" fillId="18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0" fontId="9" fillId="18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3" fontId="4" fillId="18" borderId="9" xfId="0" applyNumberFormat="1" applyFont="1" applyFill="1" applyBorder="1" applyAlignment="1">
      <alignment horizontal="center" vertical="center"/>
    </xf>
    <xf numFmtId="4" fontId="4" fillId="18" borderId="2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B8-4594-8016-5EAE6C5EEF8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B8-4594-8016-5EAE6C5EEF80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B8-4594-8016-5EAE6C5EEF80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B8-4594-8016-5EAE6C5EEF80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B8-4594-8016-5EAE6C5EEF80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EB8-4594-8016-5EAE6C5EEF80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B8-4594-8016-5EAE6C5EEF80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B8-4594-8016-5EAE6C5EEF80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B8-4594-8016-5EAE6C5EEF8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EB8-4594-8016-5EAE6C5EEF80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B8-4594-8016-5EAE6C5EEF80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EB8-4594-8016-5EAE6C5EEF80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B8-4594-8016-5EAE6C5EEF80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EB8-4594-8016-5EAE6C5EEF80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EB8-4594-8016-5EAE6C5EEF80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EB8-4594-8016-5EAE6C5EEF80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EB8-4594-8016-5EAE6C5EEF80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EB8-4594-8016-5EAE6C5EEF80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EB8-4594-8016-5EAE6C5EEF8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EB8-4594-8016-5EAE6C5EEF80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EB8-4594-8016-5EAE6C5EEF80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EB8-4594-8016-5EAE6C5EEF80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3EB8-4594-8016-5EAE6C5EEF80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3EB8-4594-8016-5EAE6C5EEF80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3EB8-4594-8016-5EAE6C5EEF80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3EB8-4594-8016-5EAE6C5EEF80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EB8-4594-8016-5EAE6C5EEF80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3EB8-4594-8016-5EAE6C5EEF80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3EB8-4594-8016-5EAE6C5EEF8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Gráficos'!$D$9:$AH$9</c15:sqref>
                  </c15:fullRef>
                </c:ext>
              </c:extLst>
              <c:f>'Dados - Gráficos'!$D$9:$AG$9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Gráficos'!$D$4:$AH$4</c15:sqref>
                  </c15:fullRef>
                </c:ext>
              </c:extLst>
              <c:f>'Dados - Gráficos'!$D$4:$AG$4</c:f>
              <c:numCache>
                <c:formatCode>#,##0</c:formatCode>
                <c:ptCount val="30"/>
                <c:pt idx="0">
                  <c:v>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83319168"/>
        <c:axId val="2113834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Gráficos'!$D$3:$AG$3</c15:sqref>
                  </c15:fullRef>
                </c:ext>
              </c:extLst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Gráficos'!$D$10:$AG$10</c15:sqref>
                  </c15:fullRef>
                </c:ext>
              </c:extLst>
              <c:f>'Dados - Gráficos'!$D$10:$AG$10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19168"/>
        <c:axId val="211383424"/>
      </c:lineChart>
      <c:dateAx>
        <c:axId val="1833191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383424"/>
        <c:crosses val="autoZero"/>
        <c:auto val="1"/>
        <c:lblOffset val="100"/>
        <c:baseTimeUnit val="days"/>
      </c:dateAx>
      <c:valAx>
        <c:axId val="211383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33191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53-45D8-8585-2BEEEE025D3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53-45D8-8585-2BEEEE025D3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953-45D8-8585-2BEEEE025D3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53-45D8-8585-2BEEEE025D3B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953-45D8-8585-2BEEEE025D3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953-45D8-8585-2BEEEE025D3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953-45D8-8585-2BEEEE025D3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953-45D8-8585-2BEEEE025D3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953-45D8-8585-2BEEEE025D3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953-45D8-8585-2BEEEE025D3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953-45D8-8585-2BEEEE025D3B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953-45D8-8585-2BEEEE025D3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953-45D8-8585-2BEEEE025D3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953-45D8-8585-2BEEEE025D3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953-45D8-8585-2BEEEE025D3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953-45D8-8585-2BEEEE025D3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953-45D8-8585-2BEEEE025D3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953-45D8-8585-2BEEEE025D3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953-45D8-8585-2BEEEE025D3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953-45D8-8585-2BEEEE025D3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953-45D8-8585-2BEEEE025D3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953-45D8-8585-2BEEEE025D3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953-45D8-8585-2BEEEE025D3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953-45D8-8585-2BEEEE025D3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953-45D8-8585-2BEEEE025D3B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953-45D8-8585-2BEEEE025D3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953-45D8-8585-2BEEEE025D3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953-45D8-8585-2BEEEE025D3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953-45D8-8585-2BEEEE025D3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869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619968"/>
        <c:axId val="1436215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Gráficos'!$D$11:$AG$11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19968"/>
        <c:axId val="143621504"/>
      </c:lineChart>
      <c:dateAx>
        <c:axId val="143619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21504"/>
        <c:crosses val="autoZero"/>
        <c:auto val="1"/>
        <c:lblOffset val="100"/>
        <c:baseTimeUnit val="days"/>
      </c:dateAx>
      <c:valAx>
        <c:axId val="1436215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6199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A82-4365-8312-86A57C53A5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A82-4365-8312-86A57C53A5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A82-4365-8312-86A57C53A5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A82-4365-8312-86A57C53A57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A82-4365-8312-86A57C53A57C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A82-4365-8312-86A57C53A57C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A82-4365-8312-86A57C53A57C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A82-4365-8312-86A57C53A57C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A82-4365-8312-86A57C53A57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A82-4365-8312-86A57C53A57C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A82-4365-8312-86A57C53A57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A82-4365-8312-86A57C53A57C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A82-4365-8312-86A57C53A57C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A82-4365-8312-86A57C53A57C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A82-4365-8312-86A57C53A57C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A82-4365-8312-86A57C53A57C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A82-4365-8312-86A57C53A57C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A82-4365-8312-86A57C53A57C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A82-4365-8312-86A57C53A57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A82-4365-8312-86A57C53A57C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A82-4365-8312-86A57C53A57C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A82-4365-8312-86A57C53A57C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A82-4365-8312-86A57C53A57C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A82-4365-8312-86A57C53A57C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A82-4365-8312-86A57C53A57C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A82-4365-8312-86A57C53A57C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A82-4365-8312-86A57C53A57C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A82-4365-8312-86A57C53A57C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A82-4365-8312-86A57C53A57C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594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910400"/>
        <c:axId val="1439119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10400"/>
        <c:axId val="143911936"/>
      </c:lineChart>
      <c:dateAx>
        <c:axId val="1439104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11936"/>
        <c:crosses val="autoZero"/>
        <c:auto val="1"/>
        <c:lblOffset val="100"/>
        <c:baseTimeUnit val="days"/>
      </c:dateAx>
      <c:valAx>
        <c:axId val="14391193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9104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yN3uKGu3nOwV71X8f8veTOZi1QUZpRb8nD6XTJJV+1PyHU59KTA4rImRYS1n7Yi+eBE+ZnFgpS3H0Mr4VhW+pQ==" saltValue="+thPS/vPpYSzfbAoGboIe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9ycAhKC/Or/36gN5ziGSUaZUG1xlNmzi032efIAWVukz3hz2r3X7Yaye1J7IzT+GIzAC1G4Uc3Nsp3U+TeuoBA==" saltValue="6rpuSHDVhymp+ZgVhsfyX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MZkgY+MgcEEJoSYRhn//Qwp83QBA4GQlJCzPiW9+foYY23ulpvW+G+0VVZmSwsP7LwEEJNVxExnkCfdzgOt1cg==" saltValue="cl3D8kq9sOmbZXB3SUU/n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80596</xdr:rowOff>
    </xdr:from>
    <xdr:to>
      <xdr:col>2</xdr:col>
      <xdr:colOff>146539</xdr:colOff>
      <xdr:row>8</xdr:row>
      <xdr:rowOff>43962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1245577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59"/>
  <sheetViews>
    <sheetView showGridLines="0" zoomScale="130" zoomScaleNormal="130" workbookViewId="0">
      <selection activeCell="A2" sqref="A2"/>
    </sheetView>
  </sheetViews>
  <sheetFormatPr defaultColWidth="9.140625" defaultRowHeight="15" x14ac:dyDescent="0.25"/>
  <cols>
    <col min="1" max="1" width="1.28515625" style="10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0" bestFit="1" customWidth="1"/>
    <col min="40" max="16384" width="9.140625" style="10"/>
  </cols>
  <sheetData>
    <row r="1" spans="2:36" ht="15.75" thickBot="1" x14ac:dyDescent="0.3">
      <c r="C1" s="173"/>
      <c r="D1" s="173"/>
      <c r="E1" s="173"/>
      <c r="F1" s="173"/>
      <c r="G1" s="173"/>
      <c r="H1" s="173"/>
      <c r="I1" s="173"/>
    </row>
    <row r="2" spans="2:36" ht="15.75" x14ac:dyDescent="0.25">
      <c r="B2" s="181" t="s">
        <v>39</v>
      </c>
      <c r="C2" s="1" t="s">
        <v>3</v>
      </c>
      <c r="D2" s="1" t="s">
        <v>4</v>
      </c>
      <c r="E2" s="1" t="s">
        <v>5</v>
      </c>
      <c r="F2" s="1" t="s">
        <v>10</v>
      </c>
      <c r="G2" s="1" t="s">
        <v>0</v>
      </c>
      <c r="H2" s="1" t="s">
        <v>1</v>
      </c>
      <c r="I2" s="1" t="s">
        <v>2</v>
      </c>
      <c r="J2" s="1" t="s">
        <v>3</v>
      </c>
      <c r="K2" s="1" t="s">
        <v>4</v>
      </c>
      <c r="L2" s="1" t="s">
        <v>5</v>
      </c>
      <c r="M2" s="1" t="s">
        <v>10</v>
      </c>
      <c r="N2" s="1" t="s">
        <v>0</v>
      </c>
      <c r="O2" s="1" t="s">
        <v>1</v>
      </c>
      <c r="P2" s="1" t="s">
        <v>2</v>
      </c>
      <c r="Q2" s="1" t="s">
        <v>3</v>
      </c>
      <c r="R2" s="1" t="s">
        <v>4</v>
      </c>
      <c r="S2" s="1" t="s">
        <v>5</v>
      </c>
      <c r="T2" s="1" t="s">
        <v>10</v>
      </c>
      <c r="U2" s="1" t="s">
        <v>0</v>
      </c>
      <c r="V2" s="1" t="s">
        <v>1</v>
      </c>
      <c r="W2" s="1" t="s">
        <v>2</v>
      </c>
      <c r="X2" s="1" t="s">
        <v>3</v>
      </c>
      <c r="Y2" s="1" t="s">
        <v>4</v>
      </c>
      <c r="Z2" s="1" t="s">
        <v>5</v>
      </c>
      <c r="AA2" s="1" t="s">
        <v>10</v>
      </c>
      <c r="AB2" s="1" t="s">
        <v>0</v>
      </c>
      <c r="AC2" s="1" t="s">
        <v>1</v>
      </c>
      <c r="AD2" s="1" t="s">
        <v>2</v>
      </c>
      <c r="AE2" s="1" t="s">
        <v>3</v>
      </c>
      <c r="AF2" s="1" t="s">
        <v>4</v>
      </c>
      <c r="AG2" s="1"/>
      <c r="AH2" s="227" t="s">
        <v>7</v>
      </c>
      <c r="AI2" s="228" t="s">
        <v>17</v>
      </c>
      <c r="AJ2" s="64" t="s">
        <v>18</v>
      </c>
    </row>
    <row r="3" spans="2:36" x14ac:dyDescent="0.25">
      <c r="B3" s="174" t="s">
        <v>22</v>
      </c>
      <c r="C3" s="49">
        <v>42522</v>
      </c>
      <c r="D3" s="49">
        <v>42523</v>
      </c>
      <c r="E3" s="49">
        <v>42524</v>
      </c>
      <c r="F3" s="49">
        <v>42525</v>
      </c>
      <c r="G3" s="49">
        <v>42526</v>
      </c>
      <c r="H3" s="49">
        <v>42527</v>
      </c>
      <c r="I3" s="49">
        <v>42528</v>
      </c>
      <c r="J3" s="49">
        <v>42529</v>
      </c>
      <c r="K3" s="49">
        <v>42530</v>
      </c>
      <c r="L3" s="49">
        <v>42531</v>
      </c>
      <c r="M3" s="49">
        <v>42532</v>
      </c>
      <c r="N3" s="49">
        <v>42533</v>
      </c>
      <c r="O3" s="49">
        <v>42534</v>
      </c>
      <c r="P3" s="49">
        <v>42535</v>
      </c>
      <c r="Q3" s="49">
        <v>42536</v>
      </c>
      <c r="R3" s="49">
        <v>42537</v>
      </c>
      <c r="S3" s="49">
        <v>42538</v>
      </c>
      <c r="T3" s="49">
        <v>42539</v>
      </c>
      <c r="U3" s="49">
        <v>42540</v>
      </c>
      <c r="V3" s="49">
        <v>42541</v>
      </c>
      <c r="W3" s="49">
        <v>42542</v>
      </c>
      <c r="X3" s="49">
        <v>42543</v>
      </c>
      <c r="Y3" s="49">
        <v>42544</v>
      </c>
      <c r="Z3" s="49">
        <v>42545</v>
      </c>
      <c r="AA3" s="49">
        <v>42546</v>
      </c>
      <c r="AB3" s="49">
        <v>42547</v>
      </c>
      <c r="AC3" s="49">
        <v>42548</v>
      </c>
      <c r="AD3" s="49">
        <v>42549</v>
      </c>
      <c r="AE3" s="49">
        <v>42550</v>
      </c>
      <c r="AF3" s="49">
        <v>42551</v>
      </c>
      <c r="AG3" s="154"/>
      <c r="AH3" s="52">
        <f>SUM(AH4:AH6)</f>
        <v>1480</v>
      </c>
      <c r="AI3" s="71">
        <f>AH3/COUNTA(C4:AF4)</f>
        <v>1480</v>
      </c>
      <c r="AJ3" s="55">
        <f>AI3*30</f>
        <v>44400</v>
      </c>
    </row>
    <row r="4" spans="2:36" x14ac:dyDescent="0.25">
      <c r="B4" s="175" t="s">
        <v>19</v>
      </c>
      <c r="C4" s="156">
        <v>17</v>
      </c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157"/>
      <c r="AH4" s="53">
        <f>SUM(C4:AF4)</f>
        <v>17</v>
      </c>
      <c r="AI4" s="38">
        <f>AH4/COUNTA(C4:AF4)</f>
        <v>17</v>
      </c>
      <c r="AJ4" s="56">
        <f>AI4*30</f>
        <v>510</v>
      </c>
    </row>
    <row r="5" spans="2:36" x14ac:dyDescent="0.25">
      <c r="B5" s="175" t="s">
        <v>20</v>
      </c>
      <c r="C5" s="156">
        <v>869</v>
      </c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157"/>
      <c r="AH5" s="53">
        <f>SUM(C5:AF5)</f>
        <v>869</v>
      </c>
      <c r="AI5" s="38">
        <f>AH5/COUNTA(C5:AF5)</f>
        <v>869</v>
      </c>
      <c r="AJ5" s="56">
        <f>AI5*30</f>
        <v>26070</v>
      </c>
    </row>
    <row r="6" spans="2:36" ht="15.75" thickBot="1" x14ac:dyDescent="0.3">
      <c r="B6" s="177" t="s">
        <v>21</v>
      </c>
      <c r="C6" s="155">
        <v>594</v>
      </c>
      <c r="D6" s="155"/>
      <c r="E6" s="155"/>
      <c r="F6" s="155"/>
      <c r="G6" s="155"/>
      <c r="H6" s="155"/>
      <c r="I6" s="155"/>
      <c r="J6" s="155"/>
      <c r="K6" s="155"/>
      <c r="L6" s="155"/>
      <c r="M6" s="155"/>
      <c r="N6" s="155"/>
      <c r="O6" s="155"/>
      <c r="P6" s="15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159"/>
      <c r="AH6" s="54">
        <f>SUM(C6:AF6)</f>
        <v>594</v>
      </c>
      <c r="AI6" s="37">
        <f>AH6/COUNTA(C6:AF6)</f>
        <v>594</v>
      </c>
      <c r="AJ6" s="57">
        <f>AI6*30</f>
        <v>17820</v>
      </c>
    </row>
    <row r="7" spans="2:36" x14ac:dyDescent="0.25">
      <c r="B7" s="176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178"/>
      <c r="AI7" s="179"/>
      <c r="AJ7" s="180"/>
    </row>
    <row r="8" spans="2:36" x14ac:dyDescent="0.25">
      <c r="B8" s="176"/>
      <c r="C8" s="156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78"/>
      <c r="AI8" s="179"/>
      <c r="AJ8" s="180"/>
    </row>
    <row r="9" spans="2:36" ht="15.75" thickBot="1" x14ac:dyDescent="0.3">
      <c r="B9" s="176"/>
      <c r="C9" s="156"/>
      <c r="D9" s="156"/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178"/>
      <c r="AI9" s="179"/>
      <c r="AJ9" s="180"/>
    </row>
    <row r="10" spans="2:36" ht="15.75" x14ac:dyDescent="0.25">
      <c r="B10" s="170" t="s">
        <v>38</v>
      </c>
      <c r="C10" s="1" t="s">
        <v>0</v>
      </c>
      <c r="D10" s="1" t="s">
        <v>1</v>
      </c>
      <c r="E10" s="1" t="s">
        <v>2</v>
      </c>
      <c r="F10" s="1" t="s">
        <v>3</v>
      </c>
      <c r="G10" s="1" t="s">
        <v>4</v>
      </c>
      <c r="H10" s="1" t="s">
        <v>5</v>
      </c>
      <c r="I10" s="1" t="s">
        <v>10</v>
      </c>
      <c r="J10" s="1" t="s">
        <v>0</v>
      </c>
      <c r="K10" s="1" t="s">
        <v>1</v>
      </c>
      <c r="L10" s="1" t="s">
        <v>2</v>
      </c>
      <c r="M10" s="1" t="s">
        <v>3</v>
      </c>
      <c r="N10" s="1" t="s">
        <v>4</v>
      </c>
      <c r="O10" s="1" t="s">
        <v>5</v>
      </c>
      <c r="P10" s="1" t="s">
        <v>10</v>
      </c>
      <c r="Q10" s="1" t="s">
        <v>0</v>
      </c>
      <c r="R10" s="1" t="s">
        <v>1</v>
      </c>
      <c r="S10" s="1" t="s">
        <v>2</v>
      </c>
      <c r="T10" s="1" t="s">
        <v>3</v>
      </c>
      <c r="U10" s="1" t="s">
        <v>4</v>
      </c>
      <c r="V10" s="1" t="s">
        <v>5</v>
      </c>
      <c r="W10" s="1" t="s">
        <v>10</v>
      </c>
      <c r="X10" s="1" t="s">
        <v>0</v>
      </c>
      <c r="Y10" s="1" t="s">
        <v>1</v>
      </c>
      <c r="Z10" s="1" t="s">
        <v>2</v>
      </c>
      <c r="AA10" s="1" t="s">
        <v>3</v>
      </c>
      <c r="AB10" s="1" t="s">
        <v>4</v>
      </c>
      <c r="AC10" s="1" t="s">
        <v>5</v>
      </c>
      <c r="AD10" s="1" t="s">
        <v>10</v>
      </c>
      <c r="AE10" s="1" t="s">
        <v>0</v>
      </c>
      <c r="AF10" s="1" t="s">
        <v>1</v>
      </c>
      <c r="AG10" s="1" t="s">
        <v>2</v>
      </c>
      <c r="AH10" s="171" t="s">
        <v>7</v>
      </c>
      <c r="AI10" s="172" t="s">
        <v>17</v>
      </c>
      <c r="AJ10" s="64" t="s">
        <v>18</v>
      </c>
    </row>
    <row r="11" spans="2:36" x14ac:dyDescent="0.25">
      <c r="B11" s="167" t="s">
        <v>22</v>
      </c>
      <c r="C11" s="49">
        <v>42461</v>
      </c>
      <c r="D11" s="49">
        <v>42462</v>
      </c>
      <c r="E11" s="49">
        <v>42463</v>
      </c>
      <c r="F11" s="49">
        <v>42464</v>
      </c>
      <c r="G11" s="49">
        <v>42465</v>
      </c>
      <c r="H11" s="49">
        <v>42466</v>
      </c>
      <c r="I11" s="49">
        <v>42467</v>
      </c>
      <c r="J11" s="49">
        <v>42468</v>
      </c>
      <c r="K11" s="49">
        <v>42469</v>
      </c>
      <c r="L11" s="49">
        <v>42470</v>
      </c>
      <c r="M11" s="49">
        <v>42471</v>
      </c>
      <c r="N11" s="49">
        <v>42472</v>
      </c>
      <c r="O11" s="49">
        <v>42473</v>
      </c>
      <c r="P11" s="49">
        <v>42474</v>
      </c>
      <c r="Q11" s="49">
        <v>42475</v>
      </c>
      <c r="R11" s="49">
        <v>42476</v>
      </c>
      <c r="S11" s="49">
        <v>42477</v>
      </c>
      <c r="T11" s="49">
        <v>42478</v>
      </c>
      <c r="U11" s="49">
        <v>42479</v>
      </c>
      <c r="V11" s="49">
        <v>42480</v>
      </c>
      <c r="W11" s="49">
        <v>42481</v>
      </c>
      <c r="X11" s="49">
        <v>42482</v>
      </c>
      <c r="Y11" s="49">
        <v>42483</v>
      </c>
      <c r="Z11" s="49">
        <v>42484</v>
      </c>
      <c r="AA11" s="49">
        <v>42485</v>
      </c>
      <c r="AB11" s="49">
        <v>42486</v>
      </c>
      <c r="AC11" s="49">
        <v>42487</v>
      </c>
      <c r="AD11" s="49">
        <v>42488</v>
      </c>
      <c r="AE11" s="49">
        <v>42489</v>
      </c>
      <c r="AF11" s="49">
        <v>42490</v>
      </c>
      <c r="AG11" s="154">
        <v>31</v>
      </c>
      <c r="AH11" s="52">
        <f>SUM(AH12:AH14)</f>
        <v>19942</v>
      </c>
      <c r="AI11" s="71">
        <f>AH11/COUNTA(C12:AG12)</f>
        <v>643.29032258064512</v>
      </c>
      <c r="AJ11" s="55">
        <f>AI11*31</f>
        <v>19942</v>
      </c>
    </row>
    <row r="12" spans="2:36" x14ac:dyDescent="0.25">
      <c r="B12" s="168" t="s">
        <v>19</v>
      </c>
      <c r="C12" s="156">
        <v>0</v>
      </c>
      <c r="D12" s="156">
        <v>13</v>
      </c>
      <c r="E12" s="156">
        <v>5</v>
      </c>
      <c r="F12" s="156">
        <v>6</v>
      </c>
      <c r="G12" s="156">
        <v>5</v>
      </c>
      <c r="H12" s="156">
        <v>9</v>
      </c>
      <c r="I12" s="156">
        <v>3</v>
      </c>
      <c r="J12" s="156">
        <v>2</v>
      </c>
      <c r="K12" s="156">
        <v>9</v>
      </c>
      <c r="L12" s="156">
        <v>9</v>
      </c>
      <c r="M12" s="156">
        <v>6</v>
      </c>
      <c r="N12" s="156">
        <v>6</v>
      </c>
      <c r="O12" s="156">
        <v>6</v>
      </c>
      <c r="P12" s="156">
        <v>4</v>
      </c>
      <c r="Q12" s="24">
        <v>2</v>
      </c>
      <c r="R12" s="24">
        <v>8</v>
      </c>
      <c r="S12" s="24">
        <v>8</v>
      </c>
      <c r="T12" s="24">
        <v>5</v>
      </c>
      <c r="U12" s="24">
        <v>7</v>
      </c>
      <c r="V12" s="24">
        <v>12</v>
      </c>
      <c r="W12" s="24">
        <v>1</v>
      </c>
      <c r="X12" s="24">
        <v>3</v>
      </c>
      <c r="Y12" s="24">
        <v>13</v>
      </c>
      <c r="Z12" s="24">
        <v>3</v>
      </c>
      <c r="AA12" s="24">
        <v>13</v>
      </c>
      <c r="AB12" s="24">
        <v>4</v>
      </c>
      <c r="AC12" s="24">
        <v>6</v>
      </c>
      <c r="AD12" s="24">
        <v>1</v>
      </c>
      <c r="AE12" s="24">
        <v>2</v>
      </c>
      <c r="AF12" s="24">
        <v>7</v>
      </c>
      <c r="AG12" s="157">
        <v>5</v>
      </c>
      <c r="AH12" s="53">
        <f>SUM(C12:AG12)</f>
        <v>183</v>
      </c>
      <c r="AI12" s="38">
        <f>AH12/COUNTA(C12:AG12)</f>
        <v>5.903225806451613</v>
      </c>
      <c r="AJ12" s="56">
        <f>AI12*31</f>
        <v>183</v>
      </c>
    </row>
    <row r="13" spans="2:36" x14ac:dyDescent="0.25">
      <c r="B13" s="168" t="s">
        <v>20</v>
      </c>
      <c r="C13" s="156">
        <v>24</v>
      </c>
      <c r="D13" s="156">
        <v>575</v>
      </c>
      <c r="E13" s="156">
        <v>584</v>
      </c>
      <c r="F13" s="156">
        <v>528</v>
      </c>
      <c r="G13" s="156">
        <v>461</v>
      </c>
      <c r="H13" s="156">
        <v>381</v>
      </c>
      <c r="I13" s="156">
        <v>96</v>
      </c>
      <c r="J13" s="156">
        <v>29</v>
      </c>
      <c r="K13" s="156">
        <v>531</v>
      </c>
      <c r="L13" s="156">
        <v>539</v>
      </c>
      <c r="M13" s="156">
        <v>519</v>
      </c>
      <c r="N13" s="156">
        <v>393</v>
      </c>
      <c r="O13" s="156">
        <v>407</v>
      </c>
      <c r="P13" s="156">
        <v>107</v>
      </c>
      <c r="Q13" s="24">
        <v>27</v>
      </c>
      <c r="R13" s="24">
        <v>508</v>
      </c>
      <c r="S13" s="24">
        <v>510</v>
      </c>
      <c r="T13" s="24">
        <v>445</v>
      </c>
      <c r="U13" s="24">
        <v>408</v>
      </c>
      <c r="V13" s="24">
        <v>376</v>
      </c>
      <c r="W13" s="24">
        <v>71</v>
      </c>
      <c r="X13" s="24">
        <v>33</v>
      </c>
      <c r="Y13" s="24">
        <v>511</v>
      </c>
      <c r="Z13" s="24">
        <v>518</v>
      </c>
      <c r="AA13" s="24">
        <v>459</v>
      </c>
      <c r="AB13" s="24">
        <v>223</v>
      </c>
      <c r="AC13" s="24">
        <v>462</v>
      </c>
      <c r="AD13" s="24">
        <v>75</v>
      </c>
      <c r="AE13" s="24">
        <v>24</v>
      </c>
      <c r="AF13" s="24">
        <v>448</v>
      </c>
      <c r="AG13" s="157">
        <v>555</v>
      </c>
      <c r="AH13" s="53">
        <f>SUM(C13:AG13)</f>
        <v>10827</v>
      </c>
      <c r="AI13" s="38">
        <f>AH13/COUNTA(C13:AG13)</f>
        <v>349.25806451612902</v>
      </c>
      <c r="AJ13" s="56">
        <f>AI13*31</f>
        <v>10827</v>
      </c>
    </row>
    <row r="14" spans="2:36" ht="15.75" thickBot="1" x14ac:dyDescent="0.3">
      <c r="B14" s="169" t="s">
        <v>21</v>
      </c>
      <c r="C14" s="155">
        <v>46</v>
      </c>
      <c r="D14" s="155">
        <v>657</v>
      </c>
      <c r="E14" s="155">
        <v>566</v>
      </c>
      <c r="F14" s="155">
        <v>486</v>
      </c>
      <c r="G14" s="155">
        <v>389</v>
      </c>
      <c r="H14" s="155">
        <v>335</v>
      </c>
      <c r="I14" s="155">
        <v>89</v>
      </c>
      <c r="J14" s="155">
        <v>24</v>
      </c>
      <c r="K14" s="155">
        <v>410</v>
      </c>
      <c r="L14" s="155">
        <v>363</v>
      </c>
      <c r="M14" s="155">
        <v>382</v>
      </c>
      <c r="N14" s="155">
        <v>382</v>
      </c>
      <c r="O14" s="155">
        <v>335</v>
      </c>
      <c r="P14" s="155">
        <v>89</v>
      </c>
      <c r="Q14" s="25">
        <v>38</v>
      </c>
      <c r="R14" s="25">
        <v>406</v>
      </c>
      <c r="S14" s="25">
        <v>437</v>
      </c>
      <c r="T14" s="25">
        <v>425</v>
      </c>
      <c r="U14" s="25">
        <v>312</v>
      </c>
      <c r="V14" s="25">
        <v>265</v>
      </c>
      <c r="W14" s="25">
        <v>84</v>
      </c>
      <c r="X14" s="25">
        <v>34</v>
      </c>
      <c r="Y14" s="25">
        <v>390</v>
      </c>
      <c r="Z14" s="25">
        <v>349</v>
      </c>
      <c r="AA14" s="25">
        <v>314</v>
      </c>
      <c r="AB14" s="25">
        <v>126</v>
      </c>
      <c r="AC14" s="25">
        <v>295</v>
      </c>
      <c r="AD14" s="25">
        <v>84</v>
      </c>
      <c r="AE14" s="25">
        <v>33</v>
      </c>
      <c r="AF14" s="25">
        <v>339</v>
      </c>
      <c r="AG14" s="159">
        <v>448</v>
      </c>
      <c r="AH14" s="54">
        <f>SUM(C14:AG14)</f>
        <v>8932</v>
      </c>
      <c r="AI14" s="37">
        <f>AH14/COUNTA(C14:AG14)</f>
        <v>288.12903225806451</v>
      </c>
      <c r="AJ14" s="57">
        <f>AI14*31</f>
        <v>8932</v>
      </c>
    </row>
    <row r="15" spans="2:36" ht="15.75" thickBot="1" x14ac:dyDescent="0.3">
      <c r="B15" s="176"/>
      <c r="C15" s="156"/>
      <c r="D15" s="156"/>
      <c r="E15" s="156"/>
      <c r="F15" s="156"/>
      <c r="G15" s="156"/>
      <c r="H15" s="156"/>
      <c r="I15" s="156"/>
      <c r="J15" s="156"/>
      <c r="K15" s="156"/>
      <c r="L15" s="156"/>
      <c r="M15" s="156"/>
      <c r="N15" s="156"/>
      <c r="O15" s="156"/>
      <c r="P15" s="156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178"/>
      <c r="AI15" s="179"/>
      <c r="AJ15" s="180"/>
    </row>
    <row r="16" spans="2:36" ht="15.75" x14ac:dyDescent="0.25">
      <c r="B16" s="163" t="s">
        <v>37</v>
      </c>
      <c r="C16" s="1" t="s">
        <v>5</v>
      </c>
      <c r="D16" s="1" t="s">
        <v>10</v>
      </c>
      <c r="E16" s="1" t="s">
        <v>0</v>
      </c>
      <c r="F16" s="1" t="s">
        <v>1</v>
      </c>
      <c r="G16" s="1" t="s">
        <v>2</v>
      </c>
      <c r="H16" s="1" t="s">
        <v>3</v>
      </c>
      <c r="I16" s="1" t="s">
        <v>4</v>
      </c>
      <c r="J16" s="1" t="s">
        <v>5</v>
      </c>
      <c r="K16" s="1" t="s">
        <v>10</v>
      </c>
      <c r="L16" s="1" t="s">
        <v>0</v>
      </c>
      <c r="M16" s="1" t="s">
        <v>1</v>
      </c>
      <c r="N16" s="1" t="s">
        <v>2</v>
      </c>
      <c r="O16" s="1" t="s">
        <v>3</v>
      </c>
      <c r="P16" s="1" t="s">
        <v>4</v>
      </c>
      <c r="Q16" s="1" t="s">
        <v>5</v>
      </c>
      <c r="R16" s="1" t="s">
        <v>10</v>
      </c>
      <c r="S16" s="1" t="s">
        <v>0</v>
      </c>
      <c r="T16" s="1" t="s">
        <v>1</v>
      </c>
      <c r="U16" s="1" t="s">
        <v>2</v>
      </c>
      <c r="V16" s="1" t="s">
        <v>3</v>
      </c>
      <c r="W16" s="1" t="s">
        <v>4</v>
      </c>
      <c r="X16" s="1" t="s">
        <v>5</v>
      </c>
      <c r="Y16" s="1" t="s">
        <v>10</v>
      </c>
      <c r="Z16" s="1" t="s">
        <v>0</v>
      </c>
      <c r="AA16" s="1" t="s">
        <v>1</v>
      </c>
      <c r="AB16" s="1" t="s">
        <v>2</v>
      </c>
      <c r="AC16" s="1" t="s">
        <v>3</v>
      </c>
      <c r="AD16" s="1" t="s">
        <v>4</v>
      </c>
      <c r="AE16" s="1" t="s">
        <v>5</v>
      </c>
      <c r="AF16" s="1" t="s">
        <v>10</v>
      </c>
      <c r="AG16" s="158"/>
      <c r="AH16" s="164" t="s">
        <v>7</v>
      </c>
      <c r="AI16" s="165" t="s">
        <v>17</v>
      </c>
      <c r="AJ16" s="64" t="s">
        <v>18</v>
      </c>
    </row>
    <row r="17" spans="2:36" x14ac:dyDescent="0.25">
      <c r="B17" s="160" t="s">
        <v>22</v>
      </c>
      <c r="C17" s="49">
        <v>42461</v>
      </c>
      <c r="D17" s="49">
        <v>42462</v>
      </c>
      <c r="E17" s="49">
        <v>42463</v>
      </c>
      <c r="F17" s="49">
        <v>42464</v>
      </c>
      <c r="G17" s="49">
        <v>42465</v>
      </c>
      <c r="H17" s="49">
        <v>42466</v>
      </c>
      <c r="I17" s="49">
        <v>42467</v>
      </c>
      <c r="J17" s="49">
        <v>42468</v>
      </c>
      <c r="K17" s="49">
        <v>42469</v>
      </c>
      <c r="L17" s="49">
        <v>42470</v>
      </c>
      <c r="M17" s="49">
        <v>42471</v>
      </c>
      <c r="N17" s="49">
        <v>42472</v>
      </c>
      <c r="O17" s="49">
        <v>42473</v>
      </c>
      <c r="P17" s="49">
        <v>42474</v>
      </c>
      <c r="Q17" s="49">
        <v>42475</v>
      </c>
      <c r="R17" s="49">
        <v>42476</v>
      </c>
      <c r="S17" s="49">
        <v>42477</v>
      </c>
      <c r="T17" s="49">
        <v>42478</v>
      </c>
      <c r="U17" s="49">
        <v>42479</v>
      </c>
      <c r="V17" s="49">
        <v>42480</v>
      </c>
      <c r="W17" s="49">
        <v>42481</v>
      </c>
      <c r="X17" s="49">
        <v>42482</v>
      </c>
      <c r="Y17" s="49">
        <v>42483</v>
      </c>
      <c r="Z17" s="49">
        <v>42484</v>
      </c>
      <c r="AA17" s="49">
        <v>42485</v>
      </c>
      <c r="AB17" s="49">
        <v>42486</v>
      </c>
      <c r="AC17" s="49">
        <v>42487</v>
      </c>
      <c r="AD17" s="49">
        <v>42488</v>
      </c>
      <c r="AE17" s="49">
        <v>42489</v>
      </c>
      <c r="AF17" s="49">
        <v>42490</v>
      </c>
      <c r="AG17" s="154"/>
      <c r="AH17" s="52">
        <f>SUM(AH18:AH20)</f>
        <v>20388</v>
      </c>
      <c r="AI17" s="71">
        <f>AH17/COUNTA(C18:AG18)</f>
        <v>679.6</v>
      </c>
      <c r="AJ17" s="55">
        <f>AI17*30</f>
        <v>20388</v>
      </c>
    </row>
    <row r="18" spans="2:36" x14ac:dyDescent="0.25">
      <c r="B18" s="161" t="s">
        <v>19</v>
      </c>
      <c r="C18" s="156">
        <v>6</v>
      </c>
      <c r="D18" s="156">
        <v>6</v>
      </c>
      <c r="E18" s="156">
        <v>2</v>
      </c>
      <c r="F18" s="156">
        <v>7</v>
      </c>
      <c r="G18" s="156">
        <v>12</v>
      </c>
      <c r="H18" s="156">
        <v>4</v>
      </c>
      <c r="I18" s="156">
        <v>3</v>
      </c>
      <c r="J18" s="156">
        <v>7</v>
      </c>
      <c r="K18" s="156">
        <v>4</v>
      </c>
      <c r="L18" s="156">
        <v>1</v>
      </c>
      <c r="M18" s="156">
        <v>13</v>
      </c>
      <c r="N18" s="156">
        <v>9</v>
      </c>
      <c r="O18" s="156">
        <v>6</v>
      </c>
      <c r="P18" s="156">
        <v>11</v>
      </c>
      <c r="Q18" s="24">
        <v>9</v>
      </c>
      <c r="R18" s="24">
        <v>0</v>
      </c>
      <c r="S18" s="24">
        <v>0</v>
      </c>
      <c r="T18" s="24">
        <v>6</v>
      </c>
      <c r="U18" s="24">
        <v>7</v>
      </c>
      <c r="V18" s="24">
        <v>13</v>
      </c>
      <c r="W18" s="24">
        <v>6</v>
      </c>
      <c r="X18" s="24">
        <v>8</v>
      </c>
      <c r="Y18" s="24">
        <v>1</v>
      </c>
      <c r="Z18" s="24">
        <v>0</v>
      </c>
      <c r="AA18" s="24">
        <v>5</v>
      </c>
      <c r="AB18" s="24">
        <v>5</v>
      </c>
      <c r="AC18" s="24">
        <v>9</v>
      </c>
      <c r="AD18" s="24">
        <v>7</v>
      </c>
      <c r="AE18" s="24">
        <v>8</v>
      </c>
      <c r="AF18" s="24">
        <v>8</v>
      </c>
      <c r="AG18" s="157"/>
      <c r="AH18" s="53">
        <f>SUM(C18:AG18)</f>
        <v>183</v>
      </c>
      <c r="AI18" s="38">
        <f>AH18/COUNTA(C18:AG18)</f>
        <v>6.1</v>
      </c>
      <c r="AJ18" s="56">
        <f>AI18*30</f>
        <v>183</v>
      </c>
    </row>
    <row r="19" spans="2:36" x14ac:dyDescent="0.25">
      <c r="B19" s="161" t="s">
        <v>20</v>
      </c>
      <c r="C19" s="156">
        <v>539</v>
      </c>
      <c r="D19" s="156">
        <v>121</v>
      </c>
      <c r="E19" s="156">
        <v>44</v>
      </c>
      <c r="F19" s="156">
        <v>586</v>
      </c>
      <c r="G19" s="156">
        <v>542</v>
      </c>
      <c r="H19" s="156">
        <v>431</v>
      </c>
      <c r="I19" s="156">
        <v>499</v>
      </c>
      <c r="J19" s="156">
        <v>482</v>
      </c>
      <c r="K19" s="156">
        <v>114</v>
      </c>
      <c r="L19" s="156">
        <v>33</v>
      </c>
      <c r="M19" s="156">
        <v>522</v>
      </c>
      <c r="N19" s="156">
        <v>563</v>
      </c>
      <c r="O19" s="156">
        <v>562</v>
      </c>
      <c r="P19" s="156">
        <v>479</v>
      </c>
      <c r="Q19" s="24">
        <v>385</v>
      </c>
      <c r="R19" s="24">
        <v>98</v>
      </c>
      <c r="S19" s="24">
        <v>20</v>
      </c>
      <c r="T19" s="24">
        <v>515</v>
      </c>
      <c r="U19" s="24">
        <v>448</v>
      </c>
      <c r="V19" s="24">
        <v>371</v>
      </c>
      <c r="W19" s="24">
        <v>105</v>
      </c>
      <c r="X19" s="24">
        <v>383</v>
      </c>
      <c r="Y19" s="24">
        <v>98</v>
      </c>
      <c r="Z19" s="24">
        <v>24</v>
      </c>
      <c r="AA19" s="24">
        <v>551</v>
      </c>
      <c r="AB19" s="24">
        <v>432</v>
      </c>
      <c r="AC19" s="24">
        <v>463</v>
      </c>
      <c r="AD19" s="24">
        <v>455</v>
      </c>
      <c r="AE19" s="24">
        <v>477</v>
      </c>
      <c r="AF19" s="24">
        <v>122</v>
      </c>
      <c r="AG19" s="157"/>
      <c r="AH19" s="53">
        <f>SUM(C19:AG19)</f>
        <v>10464</v>
      </c>
      <c r="AI19" s="38">
        <f>AH19/COUNTA(C19:AG19)</f>
        <v>348.8</v>
      </c>
      <c r="AJ19" s="56">
        <f>AI19*30</f>
        <v>10464</v>
      </c>
    </row>
    <row r="20" spans="2:36" ht="15.75" thickBot="1" x14ac:dyDescent="0.3">
      <c r="B20" s="162" t="s">
        <v>21</v>
      </c>
      <c r="C20" s="155">
        <v>497</v>
      </c>
      <c r="D20" s="155">
        <v>153</v>
      </c>
      <c r="E20" s="155">
        <v>39</v>
      </c>
      <c r="F20" s="155">
        <v>582</v>
      </c>
      <c r="G20" s="155">
        <v>487</v>
      </c>
      <c r="H20" s="155">
        <v>445</v>
      </c>
      <c r="I20" s="155">
        <v>425</v>
      </c>
      <c r="J20" s="155">
        <v>408</v>
      </c>
      <c r="K20" s="155">
        <v>108</v>
      </c>
      <c r="L20" s="155">
        <v>51</v>
      </c>
      <c r="M20" s="155">
        <v>554</v>
      </c>
      <c r="N20" s="155">
        <v>518</v>
      </c>
      <c r="O20" s="155">
        <v>451</v>
      </c>
      <c r="P20" s="155">
        <v>382</v>
      </c>
      <c r="Q20" s="25">
        <v>335</v>
      </c>
      <c r="R20" s="25">
        <v>86</v>
      </c>
      <c r="S20" s="25">
        <v>34</v>
      </c>
      <c r="T20" s="25">
        <v>444</v>
      </c>
      <c r="U20" s="25">
        <v>440</v>
      </c>
      <c r="V20" s="25">
        <v>371</v>
      </c>
      <c r="W20" s="25">
        <v>90</v>
      </c>
      <c r="X20" s="25">
        <v>291</v>
      </c>
      <c r="Y20" s="25">
        <v>149</v>
      </c>
      <c r="Z20" s="25">
        <v>44</v>
      </c>
      <c r="AA20" s="25">
        <v>448</v>
      </c>
      <c r="AB20" s="25">
        <v>410</v>
      </c>
      <c r="AC20" s="25">
        <v>366</v>
      </c>
      <c r="AD20" s="25">
        <v>541</v>
      </c>
      <c r="AE20" s="25">
        <v>425</v>
      </c>
      <c r="AF20" s="25">
        <v>167</v>
      </c>
      <c r="AG20" s="159"/>
      <c r="AH20" s="54">
        <f>SUM(C20:AG20)</f>
        <v>9741</v>
      </c>
      <c r="AI20" s="37">
        <f>AH20/COUNTA(C20:AG20)</f>
        <v>324.7</v>
      </c>
      <c r="AJ20" s="57">
        <f>AI20*30</f>
        <v>9741</v>
      </c>
    </row>
    <row r="21" spans="2:36" ht="15.75" thickBot="1" x14ac:dyDescent="0.3">
      <c r="B21" s="176"/>
      <c r="C21" s="156"/>
      <c r="D21" s="156"/>
      <c r="E21" s="156"/>
      <c r="F21" s="156"/>
      <c r="G21" s="156"/>
      <c r="H21" s="156"/>
      <c r="I21" s="156"/>
      <c r="J21" s="156"/>
      <c r="K21" s="156"/>
      <c r="L21" s="156"/>
      <c r="M21" s="156"/>
      <c r="N21" s="156"/>
      <c r="O21" s="156"/>
      <c r="P21" s="156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178"/>
      <c r="AI21" s="179"/>
      <c r="AJ21" s="180"/>
    </row>
    <row r="22" spans="2:36" ht="15.75" x14ac:dyDescent="0.25">
      <c r="B22" s="150" t="s">
        <v>36</v>
      </c>
      <c r="C22" s="1" t="s">
        <v>2</v>
      </c>
      <c r="D22" s="1" t="s">
        <v>3</v>
      </c>
      <c r="E22" s="1" t="s">
        <v>4</v>
      </c>
      <c r="F22" s="1" t="s">
        <v>5</v>
      </c>
      <c r="G22" s="1" t="s">
        <v>10</v>
      </c>
      <c r="H22" s="1" t="s">
        <v>0</v>
      </c>
      <c r="I22" s="1" t="s">
        <v>1</v>
      </c>
      <c r="J22" s="1" t="s">
        <v>2</v>
      </c>
      <c r="K22" s="1" t="s">
        <v>3</v>
      </c>
      <c r="L22" s="1" t="s">
        <v>4</v>
      </c>
      <c r="M22" s="1" t="s">
        <v>5</v>
      </c>
      <c r="N22" s="1" t="s">
        <v>10</v>
      </c>
      <c r="O22" s="1" t="s">
        <v>0</v>
      </c>
      <c r="P22" s="1" t="s">
        <v>1</v>
      </c>
      <c r="Q22" s="1" t="s">
        <v>2</v>
      </c>
      <c r="R22" s="1" t="s">
        <v>3</v>
      </c>
      <c r="S22" s="1" t="s">
        <v>4</v>
      </c>
      <c r="T22" s="1" t="s">
        <v>5</v>
      </c>
      <c r="U22" s="1" t="s">
        <v>10</v>
      </c>
      <c r="V22" s="1" t="s">
        <v>0</v>
      </c>
      <c r="W22" s="1" t="s">
        <v>1</v>
      </c>
      <c r="X22" s="1" t="s">
        <v>2</v>
      </c>
      <c r="Y22" s="1" t="s">
        <v>3</v>
      </c>
      <c r="Z22" s="1" t="s">
        <v>4</v>
      </c>
      <c r="AA22" s="1" t="s">
        <v>5</v>
      </c>
      <c r="AB22" s="1" t="s">
        <v>10</v>
      </c>
      <c r="AC22" s="1" t="s">
        <v>0</v>
      </c>
      <c r="AD22" s="1" t="s">
        <v>1</v>
      </c>
      <c r="AE22" s="1" t="s">
        <v>2</v>
      </c>
      <c r="AF22" s="1" t="s">
        <v>3</v>
      </c>
      <c r="AG22" s="158" t="s">
        <v>4</v>
      </c>
      <c r="AH22" s="111" t="s">
        <v>7</v>
      </c>
      <c r="AI22" s="112" t="s">
        <v>17</v>
      </c>
      <c r="AJ22" s="64" t="s">
        <v>18</v>
      </c>
    </row>
    <row r="23" spans="2:36" x14ac:dyDescent="0.25">
      <c r="B23" s="151" t="s">
        <v>22</v>
      </c>
      <c r="C23" s="49">
        <v>42430</v>
      </c>
      <c r="D23" s="49">
        <v>42431</v>
      </c>
      <c r="E23" s="49">
        <v>42432</v>
      </c>
      <c r="F23" s="49">
        <v>42433</v>
      </c>
      <c r="G23" s="49">
        <v>42434</v>
      </c>
      <c r="H23" s="49">
        <v>42435</v>
      </c>
      <c r="I23" s="49">
        <v>42436</v>
      </c>
      <c r="J23" s="49">
        <v>42437</v>
      </c>
      <c r="K23" s="49">
        <v>42438</v>
      </c>
      <c r="L23" s="49">
        <v>42439</v>
      </c>
      <c r="M23" s="49">
        <v>42440</v>
      </c>
      <c r="N23" s="49">
        <v>42441</v>
      </c>
      <c r="O23" s="49">
        <v>42442</v>
      </c>
      <c r="P23" s="49">
        <v>42443</v>
      </c>
      <c r="Q23" s="49">
        <v>42444</v>
      </c>
      <c r="R23" s="49">
        <v>42445</v>
      </c>
      <c r="S23" s="49">
        <v>42446</v>
      </c>
      <c r="T23" s="49">
        <v>42447</v>
      </c>
      <c r="U23" s="49">
        <v>42448</v>
      </c>
      <c r="V23" s="49">
        <v>42449</v>
      </c>
      <c r="W23" s="49">
        <v>42450</v>
      </c>
      <c r="X23" s="49">
        <v>42451</v>
      </c>
      <c r="Y23" s="49">
        <v>42452</v>
      </c>
      <c r="Z23" s="49">
        <v>42453</v>
      </c>
      <c r="AA23" s="49">
        <v>42454</v>
      </c>
      <c r="AB23" s="49">
        <v>42455</v>
      </c>
      <c r="AC23" s="49">
        <v>42456</v>
      </c>
      <c r="AD23" s="49">
        <v>42457</v>
      </c>
      <c r="AE23" s="49">
        <v>42458</v>
      </c>
      <c r="AF23" s="49">
        <v>42459</v>
      </c>
      <c r="AG23" s="154">
        <v>42460</v>
      </c>
      <c r="AH23" s="52">
        <f>SUM(AH24:AH26)</f>
        <v>21144</v>
      </c>
      <c r="AI23" s="71">
        <f>AH23/COUNTA(C24:AG24)</f>
        <v>682.06451612903231</v>
      </c>
      <c r="AJ23" s="55">
        <f>AI23*31</f>
        <v>21144</v>
      </c>
    </row>
    <row r="24" spans="2:36" x14ac:dyDescent="0.25">
      <c r="B24" s="152" t="s">
        <v>19</v>
      </c>
      <c r="C24" s="156">
        <v>6</v>
      </c>
      <c r="D24" s="156">
        <v>10</v>
      </c>
      <c r="E24" s="156">
        <v>6</v>
      </c>
      <c r="F24" s="156">
        <v>9</v>
      </c>
      <c r="G24" s="156">
        <v>3</v>
      </c>
      <c r="H24" s="156">
        <v>1</v>
      </c>
      <c r="I24" s="156">
        <v>8</v>
      </c>
      <c r="J24" s="156">
        <v>6</v>
      </c>
      <c r="K24" s="156">
        <v>9</v>
      </c>
      <c r="L24" s="156">
        <v>10</v>
      </c>
      <c r="M24" s="156">
        <v>6</v>
      </c>
      <c r="N24" s="156">
        <v>0</v>
      </c>
      <c r="O24" s="156">
        <v>2</v>
      </c>
      <c r="P24" s="156">
        <v>3</v>
      </c>
      <c r="Q24" s="24">
        <v>12</v>
      </c>
      <c r="R24" s="24">
        <v>7</v>
      </c>
      <c r="S24" s="24">
        <v>6</v>
      </c>
      <c r="T24" s="24">
        <v>6</v>
      </c>
      <c r="U24" s="24">
        <v>2</v>
      </c>
      <c r="V24" s="24">
        <v>1</v>
      </c>
      <c r="W24" s="24">
        <v>6</v>
      </c>
      <c r="X24" s="24">
        <v>11</v>
      </c>
      <c r="Y24" s="24">
        <v>6</v>
      </c>
      <c r="Z24" s="24">
        <v>6</v>
      </c>
      <c r="AA24" s="24">
        <v>3</v>
      </c>
      <c r="AB24" s="24">
        <v>0</v>
      </c>
      <c r="AC24" s="24">
        <v>0</v>
      </c>
      <c r="AD24" s="24">
        <v>9</v>
      </c>
      <c r="AE24" s="24">
        <v>9</v>
      </c>
      <c r="AF24" s="24">
        <v>9</v>
      </c>
      <c r="AG24" s="157">
        <v>8</v>
      </c>
      <c r="AH24" s="53">
        <f>SUM(C24:AG24)</f>
        <v>180</v>
      </c>
      <c r="AI24" s="38">
        <f>AH24/COUNTA(C24:AG24)</f>
        <v>5.806451612903226</v>
      </c>
      <c r="AJ24" s="56">
        <f>AI24*31</f>
        <v>180</v>
      </c>
    </row>
    <row r="25" spans="2:36" x14ac:dyDescent="0.25">
      <c r="B25" s="152" t="s">
        <v>20</v>
      </c>
      <c r="C25" s="156">
        <v>663</v>
      </c>
      <c r="D25" s="156">
        <v>717</v>
      </c>
      <c r="E25" s="156">
        <v>534</v>
      </c>
      <c r="F25" s="156">
        <v>568</v>
      </c>
      <c r="G25" s="156">
        <v>103</v>
      </c>
      <c r="H25" s="156">
        <v>70</v>
      </c>
      <c r="I25" s="156">
        <v>599</v>
      </c>
      <c r="J25" s="156">
        <v>467</v>
      </c>
      <c r="K25" s="156">
        <v>560</v>
      </c>
      <c r="L25" s="156">
        <v>480</v>
      </c>
      <c r="M25" s="156">
        <v>451</v>
      </c>
      <c r="N25" s="156">
        <v>123</v>
      </c>
      <c r="O25" s="156">
        <v>37</v>
      </c>
      <c r="P25" s="156">
        <v>533</v>
      </c>
      <c r="Q25" s="24">
        <v>540</v>
      </c>
      <c r="R25" s="24">
        <v>403</v>
      </c>
      <c r="S25" s="24">
        <v>473</v>
      </c>
      <c r="T25" s="24">
        <v>335</v>
      </c>
      <c r="U25" s="24">
        <v>118</v>
      </c>
      <c r="V25" s="24">
        <v>44</v>
      </c>
      <c r="W25" s="24">
        <v>575</v>
      </c>
      <c r="X25" s="24">
        <v>431</v>
      </c>
      <c r="Y25" s="24">
        <v>412</v>
      </c>
      <c r="Z25" s="24">
        <v>408</v>
      </c>
      <c r="AA25" s="24">
        <v>111</v>
      </c>
      <c r="AB25" s="24">
        <v>121</v>
      </c>
      <c r="AC25" s="24">
        <v>36</v>
      </c>
      <c r="AD25" s="24">
        <v>609</v>
      </c>
      <c r="AE25" s="24">
        <v>445</v>
      </c>
      <c r="AF25" s="24">
        <v>430</v>
      </c>
      <c r="AG25" s="157">
        <v>610</v>
      </c>
      <c r="AH25" s="53">
        <f>SUM(C25:AG25)</f>
        <v>12006</v>
      </c>
      <c r="AI25" s="38">
        <f>AH25/COUNTA(C25:AG25)</f>
        <v>387.29032258064518</v>
      </c>
      <c r="AJ25" s="56">
        <f>AI25*31</f>
        <v>12006</v>
      </c>
    </row>
    <row r="26" spans="2:36" ht="15.75" thickBot="1" x14ac:dyDescent="0.3">
      <c r="B26" s="153" t="s">
        <v>21</v>
      </c>
      <c r="C26" s="155">
        <v>575</v>
      </c>
      <c r="D26" s="155">
        <v>461</v>
      </c>
      <c r="E26" s="155">
        <v>389</v>
      </c>
      <c r="F26" s="155">
        <v>377</v>
      </c>
      <c r="G26" s="155">
        <v>79</v>
      </c>
      <c r="H26" s="155">
        <v>40</v>
      </c>
      <c r="I26" s="155">
        <v>549</v>
      </c>
      <c r="J26" s="155">
        <v>390</v>
      </c>
      <c r="K26" s="155">
        <v>407</v>
      </c>
      <c r="L26" s="155">
        <v>363</v>
      </c>
      <c r="M26" s="155">
        <v>317</v>
      </c>
      <c r="N26" s="155">
        <v>100</v>
      </c>
      <c r="O26" s="155">
        <v>39</v>
      </c>
      <c r="P26" s="155">
        <v>479</v>
      </c>
      <c r="Q26" s="25">
        <v>393</v>
      </c>
      <c r="R26" s="25">
        <v>331</v>
      </c>
      <c r="S26" s="25">
        <v>322</v>
      </c>
      <c r="T26" s="25">
        <v>286</v>
      </c>
      <c r="U26" s="25">
        <v>115</v>
      </c>
      <c r="V26" s="25">
        <v>53</v>
      </c>
      <c r="W26" s="25">
        <v>391</v>
      </c>
      <c r="X26" s="25">
        <v>332</v>
      </c>
      <c r="Y26" s="25">
        <v>311</v>
      </c>
      <c r="Z26" s="25">
        <v>235</v>
      </c>
      <c r="AA26" s="25">
        <v>73</v>
      </c>
      <c r="AB26" s="25">
        <v>110</v>
      </c>
      <c r="AC26" s="25">
        <v>33</v>
      </c>
      <c r="AD26" s="25">
        <v>384</v>
      </c>
      <c r="AE26" s="25">
        <v>351</v>
      </c>
      <c r="AF26" s="25">
        <v>316</v>
      </c>
      <c r="AG26" s="159">
        <v>357</v>
      </c>
      <c r="AH26" s="54">
        <f>SUM(C26:AG26)</f>
        <v>8958</v>
      </c>
      <c r="AI26" s="37">
        <f>AH26/COUNTA(C26:AG26)</f>
        <v>288.96774193548384</v>
      </c>
      <c r="AJ26" s="57">
        <f>AI26*31</f>
        <v>8958</v>
      </c>
    </row>
    <row r="27" spans="2:36" ht="15.75" thickBot="1" x14ac:dyDescent="0.3">
      <c r="B27" s="17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178"/>
      <c r="AI27" s="179"/>
      <c r="AJ27" s="180"/>
    </row>
    <row r="28" spans="2:36" ht="15.75" x14ac:dyDescent="0.25">
      <c r="B28" s="28" t="s">
        <v>29</v>
      </c>
      <c r="C28" s="1" t="s">
        <v>1</v>
      </c>
      <c r="D28" s="1" t="s">
        <v>2</v>
      </c>
      <c r="E28" s="1" t="s">
        <v>3</v>
      </c>
      <c r="F28" s="1" t="s">
        <v>4</v>
      </c>
      <c r="G28" s="1" t="s">
        <v>5</v>
      </c>
      <c r="H28" s="1" t="s">
        <v>10</v>
      </c>
      <c r="I28" s="1" t="s">
        <v>0</v>
      </c>
      <c r="J28" s="1" t="s">
        <v>1</v>
      </c>
      <c r="K28" s="1" t="s">
        <v>2</v>
      </c>
      <c r="L28" s="1" t="s">
        <v>3</v>
      </c>
      <c r="M28" s="1" t="s">
        <v>4</v>
      </c>
      <c r="N28" s="1" t="s">
        <v>5</v>
      </c>
      <c r="O28" s="1" t="s">
        <v>10</v>
      </c>
      <c r="P28" s="1" t="s">
        <v>0</v>
      </c>
      <c r="Q28" s="1" t="s">
        <v>1</v>
      </c>
      <c r="R28" s="1" t="s">
        <v>2</v>
      </c>
      <c r="S28" s="1" t="s">
        <v>3</v>
      </c>
      <c r="T28" s="1" t="s">
        <v>4</v>
      </c>
      <c r="U28" s="1" t="s">
        <v>5</v>
      </c>
      <c r="V28" s="1" t="s">
        <v>10</v>
      </c>
      <c r="W28" s="1" t="s">
        <v>0</v>
      </c>
      <c r="X28" s="1" t="s">
        <v>1</v>
      </c>
      <c r="Y28" s="1" t="s">
        <v>2</v>
      </c>
      <c r="Z28" s="1" t="s">
        <v>3</v>
      </c>
      <c r="AA28" s="1" t="s">
        <v>4</v>
      </c>
      <c r="AB28" s="1" t="s">
        <v>5</v>
      </c>
      <c r="AC28" s="1" t="s">
        <v>10</v>
      </c>
      <c r="AD28" s="1" t="s">
        <v>0</v>
      </c>
      <c r="AE28" s="1" t="s">
        <v>1</v>
      </c>
      <c r="AF28" s="1"/>
      <c r="AG28" s="1"/>
      <c r="AH28" s="63" t="s">
        <v>7</v>
      </c>
      <c r="AI28" s="72" t="s">
        <v>17</v>
      </c>
      <c r="AJ28" s="64" t="s">
        <v>18</v>
      </c>
    </row>
    <row r="29" spans="2:36" x14ac:dyDescent="0.25">
      <c r="B29" s="48" t="s">
        <v>22</v>
      </c>
      <c r="C29" s="49">
        <v>42401</v>
      </c>
      <c r="D29" s="49">
        <v>42402</v>
      </c>
      <c r="E29" s="49">
        <v>42403</v>
      </c>
      <c r="F29" s="49">
        <v>42404</v>
      </c>
      <c r="G29" s="49">
        <v>42405</v>
      </c>
      <c r="H29" s="49">
        <v>42406</v>
      </c>
      <c r="I29" s="49">
        <v>42407</v>
      </c>
      <c r="J29" s="49">
        <v>42408</v>
      </c>
      <c r="K29" s="49">
        <v>42409</v>
      </c>
      <c r="L29" s="49">
        <v>42410</v>
      </c>
      <c r="M29" s="49">
        <v>42411</v>
      </c>
      <c r="N29" s="49">
        <v>42412</v>
      </c>
      <c r="O29" s="49">
        <v>42413</v>
      </c>
      <c r="P29" s="49">
        <v>42414</v>
      </c>
      <c r="Q29" s="49">
        <v>42415</v>
      </c>
      <c r="R29" s="49">
        <v>42416</v>
      </c>
      <c r="S29" s="49">
        <v>42417</v>
      </c>
      <c r="T29" s="49">
        <v>42418</v>
      </c>
      <c r="U29" s="49">
        <v>42419</v>
      </c>
      <c r="V29" s="49">
        <v>42420</v>
      </c>
      <c r="W29" s="49">
        <v>42421</v>
      </c>
      <c r="X29" s="49">
        <v>42422</v>
      </c>
      <c r="Y29" s="49">
        <v>42423</v>
      </c>
      <c r="Z29" s="49">
        <v>42424</v>
      </c>
      <c r="AA29" s="49">
        <v>42425</v>
      </c>
      <c r="AB29" s="49">
        <v>42426</v>
      </c>
      <c r="AC29" s="49">
        <v>42427</v>
      </c>
      <c r="AD29" s="49">
        <v>42428</v>
      </c>
      <c r="AE29" s="49">
        <v>42429</v>
      </c>
      <c r="AF29" s="49"/>
      <c r="AG29" s="49"/>
      <c r="AH29" s="52">
        <f>SUM(AH30:AH32)</f>
        <v>19660</v>
      </c>
      <c r="AI29" s="71">
        <f>AH29/COUNTA(C30:AG30)</f>
        <v>677.93103448275861</v>
      </c>
      <c r="AJ29" s="55">
        <f>AI29*29</f>
        <v>19660</v>
      </c>
    </row>
    <row r="30" spans="2:36" x14ac:dyDescent="0.25">
      <c r="B30" s="2" t="s">
        <v>19</v>
      </c>
      <c r="C30" s="24">
        <v>11</v>
      </c>
      <c r="D30" s="24">
        <v>10</v>
      </c>
      <c r="E30" s="24">
        <v>9</v>
      </c>
      <c r="F30" s="24">
        <v>14</v>
      </c>
      <c r="G30" s="24">
        <v>9</v>
      </c>
      <c r="H30" s="24">
        <v>4</v>
      </c>
      <c r="I30" s="24">
        <v>2</v>
      </c>
      <c r="J30" s="24">
        <v>4</v>
      </c>
      <c r="K30" s="24">
        <v>4</v>
      </c>
      <c r="L30" s="24">
        <v>7</v>
      </c>
      <c r="M30" s="24">
        <v>12</v>
      </c>
      <c r="N30" s="24">
        <v>8</v>
      </c>
      <c r="O30" s="24">
        <v>2</v>
      </c>
      <c r="P30" s="24">
        <v>2</v>
      </c>
      <c r="Q30" s="24">
        <v>13</v>
      </c>
      <c r="R30" s="24">
        <v>15</v>
      </c>
      <c r="S30" s="24">
        <v>6</v>
      </c>
      <c r="T30" s="24">
        <v>9</v>
      </c>
      <c r="U30" s="24">
        <v>6</v>
      </c>
      <c r="V30" s="24">
        <v>3</v>
      </c>
      <c r="W30" s="24">
        <v>1</v>
      </c>
      <c r="X30" s="24">
        <v>6</v>
      </c>
      <c r="Y30" s="24">
        <v>4</v>
      </c>
      <c r="Z30" s="24">
        <v>5</v>
      </c>
      <c r="AA30" s="24">
        <v>9</v>
      </c>
      <c r="AB30" s="24">
        <v>8</v>
      </c>
      <c r="AC30" s="24">
        <v>6</v>
      </c>
      <c r="AD30" s="24">
        <v>3</v>
      </c>
      <c r="AE30" s="24">
        <v>12</v>
      </c>
      <c r="AF30" s="24"/>
      <c r="AG30" s="24"/>
      <c r="AH30" s="53">
        <f>SUM(C30:AG30)</f>
        <v>204</v>
      </c>
      <c r="AI30" s="38">
        <f>AH30/COUNTA(C30:AG30)</f>
        <v>7.0344827586206895</v>
      </c>
      <c r="AJ30" s="56">
        <f>AI30*29</f>
        <v>204</v>
      </c>
    </row>
    <row r="31" spans="2:36" x14ac:dyDescent="0.25">
      <c r="B31" s="2" t="s">
        <v>20</v>
      </c>
      <c r="C31" s="24">
        <v>824</v>
      </c>
      <c r="D31" s="24">
        <v>627</v>
      </c>
      <c r="E31" s="24">
        <v>578</v>
      </c>
      <c r="F31" s="24">
        <v>515</v>
      </c>
      <c r="G31" s="24">
        <v>465</v>
      </c>
      <c r="H31" s="24">
        <v>97</v>
      </c>
      <c r="I31" s="24">
        <v>39</v>
      </c>
      <c r="J31" s="24">
        <v>161</v>
      </c>
      <c r="K31" s="24">
        <v>125</v>
      </c>
      <c r="L31" s="24">
        <v>554</v>
      </c>
      <c r="M31" s="24">
        <v>580</v>
      </c>
      <c r="N31" s="24">
        <v>551</v>
      </c>
      <c r="O31" s="24">
        <v>130</v>
      </c>
      <c r="P31" s="24">
        <v>33</v>
      </c>
      <c r="Q31" s="24">
        <v>612</v>
      </c>
      <c r="R31" s="24">
        <v>539</v>
      </c>
      <c r="S31" s="24">
        <v>444</v>
      </c>
      <c r="T31" s="24">
        <v>531</v>
      </c>
      <c r="U31" s="24">
        <v>454</v>
      </c>
      <c r="V31" s="24">
        <v>128</v>
      </c>
      <c r="W31" s="24">
        <v>48</v>
      </c>
      <c r="X31" s="24">
        <v>714</v>
      </c>
      <c r="Y31" s="24">
        <v>619</v>
      </c>
      <c r="Z31" s="24">
        <v>582</v>
      </c>
      <c r="AA31" s="24">
        <v>563</v>
      </c>
      <c r="AB31" s="24">
        <v>412</v>
      </c>
      <c r="AC31" s="24">
        <v>184</v>
      </c>
      <c r="AD31" s="24">
        <v>46</v>
      </c>
      <c r="AE31" s="24">
        <v>786</v>
      </c>
      <c r="AF31" s="24"/>
      <c r="AG31" s="24"/>
      <c r="AH31" s="53">
        <f>SUM(C31:AG31)</f>
        <v>11941</v>
      </c>
      <c r="AI31" s="38">
        <f>AH31/COUNTA(C31:AG31)</f>
        <v>411.75862068965517</v>
      </c>
      <c r="AJ31" s="56">
        <f>AI31*29</f>
        <v>11941</v>
      </c>
    </row>
    <row r="32" spans="2:36" ht="15.75" thickBot="1" x14ac:dyDescent="0.3">
      <c r="B32" s="6" t="s">
        <v>21</v>
      </c>
      <c r="C32" s="25">
        <v>514</v>
      </c>
      <c r="D32" s="25">
        <v>441</v>
      </c>
      <c r="E32" s="25">
        <v>407</v>
      </c>
      <c r="F32" s="25">
        <v>371</v>
      </c>
      <c r="G32" s="25">
        <v>261</v>
      </c>
      <c r="H32" s="25">
        <v>73</v>
      </c>
      <c r="I32" s="25">
        <v>23</v>
      </c>
      <c r="J32" s="25">
        <v>116</v>
      </c>
      <c r="K32" s="25">
        <v>67</v>
      </c>
      <c r="L32" s="25">
        <v>327</v>
      </c>
      <c r="M32" s="25">
        <v>344</v>
      </c>
      <c r="N32" s="25">
        <v>314</v>
      </c>
      <c r="O32" s="25">
        <v>78</v>
      </c>
      <c r="P32" s="25">
        <v>45</v>
      </c>
      <c r="Q32" s="25">
        <v>397</v>
      </c>
      <c r="R32" s="25">
        <v>311</v>
      </c>
      <c r="S32" s="25">
        <v>271</v>
      </c>
      <c r="T32" s="25">
        <v>321</v>
      </c>
      <c r="U32" s="25">
        <v>269</v>
      </c>
      <c r="V32" s="25">
        <v>117</v>
      </c>
      <c r="W32" s="25">
        <v>46</v>
      </c>
      <c r="X32" s="25">
        <v>393</v>
      </c>
      <c r="Y32" s="25">
        <v>316</v>
      </c>
      <c r="Z32" s="25">
        <v>339</v>
      </c>
      <c r="AA32" s="25">
        <v>393</v>
      </c>
      <c r="AB32" s="25">
        <v>321</v>
      </c>
      <c r="AC32" s="25">
        <v>121</v>
      </c>
      <c r="AD32" s="25">
        <v>47</v>
      </c>
      <c r="AE32" s="25">
        <v>472</v>
      </c>
      <c r="AF32" s="25"/>
      <c r="AG32" s="25"/>
      <c r="AH32" s="54">
        <f>SUM(C32:AG32)</f>
        <v>7515</v>
      </c>
      <c r="AI32" s="37">
        <f>AH32/COUNTA(C32:AG32)</f>
        <v>259.13793103448273</v>
      </c>
      <c r="AJ32" s="57">
        <f>AI32*29</f>
        <v>7514.9999999999991</v>
      </c>
    </row>
    <row r="33" spans="2:36" ht="15.75" thickBot="1" x14ac:dyDescent="0.3">
      <c r="B33" s="176"/>
      <c r="C33" s="156"/>
      <c r="D33" s="156"/>
      <c r="E33" s="156"/>
      <c r="F33" s="156"/>
      <c r="G33" s="156"/>
      <c r="H33" s="156"/>
      <c r="I33" s="156"/>
      <c r="J33" s="156"/>
      <c r="K33" s="156"/>
      <c r="L33" s="156"/>
      <c r="M33" s="156"/>
      <c r="N33" s="156"/>
      <c r="O33" s="156"/>
      <c r="P33" s="156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178"/>
      <c r="AI33" s="179"/>
      <c r="AJ33" s="180"/>
    </row>
    <row r="34" spans="2:36" ht="15.75" x14ac:dyDescent="0.25">
      <c r="B34" s="5" t="s">
        <v>16</v>
      </c>
      <c r="C34" s="1" t="s">
        <v>5</v>
      </c>
      <c r="D34" s="1" t="s">
        <v>6</v>
      </c>
      <c r="E34" s="1" t="s">
        <v>0</v>
      </c>
      <c r="F34" s="1" t="s">
        <v>1</v>
      </c>
      <c r="G34" s="1" t="s">
        <v>2</v>
      </c>
      <c r="H34" s="1" t="s">
        <v>3</v>
      </c>
      <c r="I34" s="1" t="s">
        <v>4</v>
      </c>
      <c r="J34" s="1" t="s">
        <v>5</v>
      </c>
      <c r="K34" s="1" t="s">
        <v>10</v>
      </c>
      <c r="L34" s="1" t="s">
        <v>0</v>
      </c>
      <c r="M34" s="1" t="s">
        <v>1</v>
      </c>
      <c r="N34" s="1" t="s">
        <v>2</v>
      </c>
      <c r="O34" s="1" t="s">
        <v>3</v>
      </c>
      <c r="P34" s="1" t="s">
        <v>4</v>
      </c>
      <c r="Q34" s="1" t="s">
        <v>5</v>
      </c>
      <c r="R34" s="1" t="s">
        <v>10</v>
      </c>
      <c r="S34" s="1" t="s">
        <v>0</v>
      </c>
      <c r="T34" s="1" t="s">
        <v>1</v>
      </c>
      <c r="U34" s="1" t="s">
        <v>2</v>
      </c>
      <c r="V34" s="1" t="s">
        <v>3</v>
      </c>
      <c r="W34" s="1" t="s">
        <v>4</v>
      </c>
      <c r="X34" s="1" t="s">
        <v>5</v>
      </c>
      <c r="Y34" s="1" t="s">
        <v>10</v>
      </c>
      <c r="Z34" s="1" t="s">
        <v>0</v>
      </c>
      <c r="AA34" s="1" t="s">
        <v>1</v>
      </c>
      <c r="AB34" s="1" t="s">
        <v>2</v>
      </c>
      <c r="AC34" s="1" t="s">
        <v>3</v>
      </c>
      <c r="AD34" s="1" t="s">
        <v>4</v>
      </c>
      <c r="AE34" s="1" t="s">
        <v>5</v>
      </c>
      <c r="AF34" s="1" t="s">
        <v>10</v>
      </c>
      <c r="AG34" s="1" t="s">
        <v>0</v>
      </c>
      <c r="AH34" s="62" t="s">
        <v>7</v>
      </c>
      <c r="AI34" s="70" t="s">
        <v>17</v>
      </c>
      <c r="AJ34" s="64" t="s">
        <v>18</v>
      </c>
    </row>
    <row r="35" spans="2:36" x14ac:dyDescent="0.25">
      <c r="B35" s="48" t="s">
        <v>22</v>
      </c>
      <c r="C35" s="49">
        <v>42370</v>
      </c>
      <c r="D35" s="49">
        <v>42371</v>
      </c>
      <c r="E35" s="49">
        <v>42372</v>
      </c>
      <c r="F35" s="49">
        <v>42373</v>
      </c>
      <c r="G35" s="49">
        <v>42374</v>
      </c>
      <c r="H35" s="49">
        <v>42375</v>
      </c>
      <c r="I35" s="49">
        <v>42376</v>
      </c>
      <c r="J35" s="49">
        <v>42377</v>
      </c>
      <c r="K35" s="49">
        <v>42378</v>
      </c>
      <c r="L35" s="49">
        <v>42379</v>
      </c>
      <c r="M35" s="49">
        <v>42380</v>
      </c>
      <c r="N35" s="49">
        <v>42381</v>
      </c>
      <c r="O35" s="49">
        <v>42382</v>
      </c>
      <c r="P35" s="49">
        <v>42383</v>
      </c>
      <c r="Q35" s="49">
        <v>42384</v>
      </c>
      <c r="R35" s="49">
        <v>42385</v>
      </c>
      <c r="S35" s="49">
        <v>42386</v>
      </c>
      <c r="T35" s="49">
        <v>42387</v>
      </c>
      <c r="U35" s="49">
        <v>42388</v>
      </c>
      <c r="V35" s="49">
        <v>42389</v>
      </c>
      <c r="W35" s="49">
        <v>42390</v>
      </c>
      <c r="X35" s="49">
        <v>42391</v>
      </c>
      <c r="Y35" s="49">
        <v>42392</v>
      </c>
      <c r="Z35" s="49">
        <v>42393</v>
      </c>
      <c r="AA35" s="49">
        <v>42394</v>
      </c>
      <c r="AB35" s="49">
        <v>42395</v>
      </c>
      <c r="AC35" s="49">
        <v>42396</v>
      </c>
      <c r="AD35" s="49">
        <v>42397</v>
      </c>
      <c r="AE35" s="49">
        <v>42398</v>
      </c>
      <c r="AF35" s="49">
        <v>42399</v>
      </c>
      <c r="AG35" s="49">
        <v>42400</v>
      </c>
      <c r="AH35" s="52">
        <f>SUM(AH36:AH38)</f>
        <v>21648</v>
      </c>
      <c r="AI35" s="71">
        <f>AH35/COUNTA(C36:AG36)</f>
        <v>698.32258064516134</v>
      </c>
      <c r="AJ35" s="55">
        <f>AI35*31</f>
        <v>21648</v>
      </c>
    </row>
    <row r="36" spans="2:36" x14ac:dyDescent="0.25">
      <c r="B36" s="2" t="s">
        <v>19</v>
      </c>
      <c r="C36" s="24">
        <v>2</v>
      </c>
      <c r="D36" s="24">
        <v>7</v>
      </c>
      <c r="E36" s="24">
        <v>0</v>
      </c>
      <c r="F36" s="24">
        <v>12</v>
      </c>
      <c r="G36" s="24">
        <v>6</v>
      </c>
      <c r="H36" s="24">
        <v>6</v>
      </c>
      <c r="I36" s="24">
        <v>16</v>
      </c>
      <c r="J36" s="24">
        <v>13</v>
      </c>
      <c r="K36" s="24">
        <v>3</v>
      </c>
      <c r="L36" s="24">
        <v>0</v>
      </c>
      <c r="M36" s="24">
        <v>9</v>
      </c>
      <c r="N36" s="24">
        <v>7</v>
      </c>
      <c r="O36" s="24">
        <v>8</v>
      </c>
      <c r="P36" s="24">
        <v>3</v>
      </c>
      <c r="Q36" s="24">
        <v>5</v>
      </c>
      <c r="R36" s="24">
        <v>4</v>
      </c>
      <c r="S36" s="24">
        <v>2</v>
      </c>
      <c r="T36" s="24">
        <v>10</v>
      </c>
      <c r="U36" s="24">
        <v>8</v>
      </c>
      <c r="V36" s="24">
        <v>8</v>
      </c>
      <c r="W36" s="24">
        <v>14</v>
      </c>
      <c r="X36" s="24">
        <v>8</v>
      </c>
      <c r="Y36" s="24">
        <v>5</v>
      </c>
      <c r="Z36" s="24">
        <v>2</v>
      </c>
      <c r="AA36" s="24">
        <v>12</v>
      </c>
      <c r="AB36" s="24">
        <v>10</v>
      </c>
      <c r="AC36" s="24">
        <v>9</v>
      </c>
      <c r="AD36" s="24">
        <v>7</v>
      </c>
      <c r="AE36" s="24">
        <v>9</v>
      </c>
      <c r="AF36" s="24">
        <v>4</v>
      </c>
      <c r="AG36" s="24">
        <v>1</v>
      </c>
      <c r="AH36" s="53">
        <f>SUM(C36:AG36)</f>
        <v>210</v>
      </c>
      <c r="AI36" s="38">
        <f>AH36/COUNTA(C36:AG36)</f>
        <v>6.774193548387097</v>
      </c>
      <c r="AJ36" s="56">
        <f>AI36*31</f>
        <v>210</v>
      </c>
    </row>
    <row r="37" spans="2:36" x14ac:dyDescent="0.25">
      <c r="B37" s="2" t="s">
        <v>20</v>
      </c>
      <c r="C37" s="24">
        <v>27</v>
      </c>
      <c r="D37" s="24">
        <v>69</v>
      </c>
      <c r="E37" s="24">
        <v>38</v>
      </c>
      <c r="F37" s="24">
        <v>726</v>
      </c>
      <c r="G37" s="24">
        <v>626</v>
      </c>
      <c r="H37" s="24">
        <v>640</v>
      </c>
      <c r="I37" s="24">
        <v>530</v>
      </c>
      <c r="J37" s="24">
        <v>524</v>
      </c>
      <c r="K37" s="24">
        <v>140</v>
      </c>
      <c r="L37" s="24">
        <v>67</v>
      </c>
      <c r="M37" s="24">
        <v>609</v>
      </c>
      <c r="N37" s="24">
        <v>530</v>
      </c>
      <c r="O37" s="24">
        <v>537</v>
      </c>
      <c r="P37" s="24">
        <v>515</v>
      </c>
      <c r="Q37" s="24">
        <v>481</v>
      </c>
      <c r="R37" s="24">
        <v>155</v>
      </c>
      <c r="S37" s="24">
        <v>32</v>
      </c>
      <c r="T37" s="24">
        <v>725</v>
      </c>
      <c r="U37" s="24">
        <v>552</v>
      </c>
      <c r="V37" s="24">
        <v>574</v>
      </c>
      <c r="W37" s="24">
        <v>589</v>
      </c>
      <c r="X37" s="24">
        <v>538</v>
      </c>
      <c r="Y37" s="26">
        <v>155</v>
      </c>
      <c r="Z37" s="24">
        <v>60</v>
      </c>
      <c r="AA37" s="24">
        <v>565</v>
      </c>
      <c r="AB37" s="24">
        <v>771</v>
      </c>
      <c r="AC37" s="24">
        <v>483</v>
      </c>
      <c r="AD37" s="24">
        <v>698</v>
      </c>
      <c r="AE37" s="24">
        <v>656</v>
      </c>
      <c r="AF37" s="24">
        <v>120</v>
      </c>
      <c r="AG37" s="24">
        <v>59</v>
      </c>
      <c r="AH37" s="53">
        <f>SUM(C37:AG37)</f>
        <v>12791</v>
      </c>
      <c r="AI37" s="38">
        <f>AH37/COUNTA(C37:AG37)</f>
        <v>412.61290322580646</v>
      </c>
      <c r="AJ37" s="56">
        <f>AI37*31</f>
        <v>12791</v>
      </c>
    </row>
    <row r="38" spans="2:36" ht="15.75" thickBot="1" x14ac:dyDescent="0.3">
      <c r="B38" s="6" t="s">
        <v>21</v>
      </c>
      <c r="C38" s="25">
        <v>30</v>
      </c>
      <c r="D38" s="25">
        <v>61</v>
      </c>
      <c r="E38" s="25">
        <v>45</v>
      </c>
      <c r="F38" s="25">
        <v>621</v>
      </c>
      <c r="G38" s="25">
        <v>640</v>
      </c>
      <c r="H38" s="25">
        <v>484</v>
      </c>
      <c r="I38" s="25">
        <v>469</v>
      </c>
      <c r="J38" s="25">
        <v>414</v>
      </c>
      <c r="K38" s="25">
        <v>101</v>
      </c>
      <c r="L38" s="25">
        <v>36</v>
      </c>
      <c r="M38" s="25">
        <v>419</v>
      </c>
      <c r="N38" s="25">
        <v>423</v>
      </c>
      <c r="O38" s="25">
        <v>421</v>
      </c>
      <c r="P38" s="25">
        <v>353</v>
      </c>
      <c r="Q38" s="25">
        <v>265</v>
      </c>
      <c r="R38" s="25">
        <v>89</v>
      </c>
      <c r="S38" s="25">
        <v>37</v>
      </c>
      <c r="T38" s="25">
        <v>417</v>
      </c>
      <c r="U38" s="25">
        <v>311</v>
      </c>
      <c r="V38" s="25">
        <v>314</v>
      </c>
      <c r="W38" s="25">
        <v>319</v>
      </c>
      <c r="X38" s="25">
        <v>304</v>
      </c>
      <c r="Y38" s="27">
        <v>104</v>
      </c>
      <c r="Z38" s="25">
        <v>30</v>
      </c>
      <c r="AA38" s="25">
        <v>364</v>
      </c>
      <c r="AB38" s="25">
        <v>381</v>
      </c>
      <c r="AC38" s="25">
        <v>361</v>
      </c>
      <c r="AD38" s="25">
        <v>328</v>
      </c>
      <c r="AE38" s="25">
        <v>356</v>
      </c>
      <c r="AF38" s="25">
        <v>105</v>
      </c>
      <c r="AG38" s="25">
        <v>45</v>
      </c>
      <c r="AH38" s="54">
        <f>SUM(C38:AG38)</f>
        <v>8647</v>
      </c>
      <c r="AI38" s="37">
        <f>AH38/COUNTA(C38:AG38)</f>
        <v>278.93548387096774</v>
      </c>
      <c r="AJ38" s="57">
        <f>AI38*31</f>
        <v>8647</v>
      </c>
    </row>
    <row r="39" spans="2:36" ht="15.75" thickBot="1" x14ac:dyDescent="0.3">
      <c r="B39" s="176"/>
      <c r="C39" s="156"/>
      <c r="D39" s="156"/>
      <c r="E39" s="156"/>
      <c r="F39" s="156"/>
      <c r="G39" s="156"/>
      <c r="H39" s="156"/>
      <c r="I39" s="156"/>
      <c r="J39" s="156"/>
      <c r="K39" s="156"/>
      <c r="L39" s="156"/>
      <c r="M39" s="156"/>
      <c r="N39" s="156"/>
      <c r="O39" s="156"/>
      <c r="P39" s="156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178"/>
      <c r="AI39" s="179"/>
      <c r="AJ39" s="180"/>
    </row>
    <row r="40" spans="2:36" ht="15.75" x14ac:dyDescent="0.25">
      <c r="B40" s="4" t="s">
        <v>9</v>
      </c>
      <c r="C40" s="1" t="s">
        <v>2</v>
      </c>
      <c r="D40" s="1" t="s">
        <v>3</v>
      </c>
      <c r="E40" s="1" t="s">
        <v>4</v>
      </c>
      <c r="F40" s="1" t="s">
        <v>5</v>
      </c>
      <c r="G40" s="1" t="s">
        <v>6</v>
      </c>
      <c r="H40" s="1" t="s">
        <v>0</v>
      </c>
      <c r="I40" s="1" t="s">
        <v>1</v>
      </c>
      <c r="J40" s="1" t="s">
        <v>2</v>
      </c>
      <c r="K40" s="1" t="s">
        <v>3</v>
      </c>
      <c r="L40" s="1" t="s">
        <v>4</v>
      </c>
      <c r="M40" s="1" t="s">
        <v>5</v>
      </c>
      <c r="N40" s="1" t="s">
        <v>10</v>
      </c>
      <c r="O40" s="1" t="s">
        <v>0</v>
      </c>
      <c r="P40" s="1" t="s">
        <v>1</v>
      </c>
      <c r="Q40" s="1" t="s">
        <v>2</v>
      </c>
      <c r="R40" s="1" t="s">
        <v>3</v>
      </c>
      <c r="S40" s="1" t="s">
        <v>4</v>
      </c>
      <c r="T40" s="1" t="s">
        <v>5</v>
      </c>
      <c r="U40" s="1" t="s">
        <v>10</v>
      </c>
      <c r="V40" s="1" t="s">
        <v>0</v>
      </c>
      <c r="W40" s="1" t="s">
        <v>1</v>
      </c>
      <c r="X40" s="1" t="s">
        <v>2</v>
      </c>
      <c r="Y40" s="1" t="s">
        <v>3</v>
      </c>
      <c r="Z40" s="1" t="s">
        <v>4</v>
      </c>
      <c r="AA40" s="1" t="s">
        <v>5</v>
      </c>
      <c r="AB40" s="1" t="s">
        <v>10</v>
      </c>
      <c r="AC40" s="1" t="s">
        <v>0</v>
      </c>
      <c r="AD40" s="1" t="s">
        <v>1</v>
      </c>
      <c r="AE40" s="1" t="s">
        <v>2</v>
      </c>
      <c r="AF40" s="1" t="s">
        <v>3</v>
      </c>
      <c r="AG40" s="1" t="s">
        <v>4</v>
      </c>
      <c r="AH40" s="61" t="s">
        <v>7</v>
      </c>
      <c r="AI40" s="69" t="s">
        <v>17</v>
      </c>
      <c r="AJ40" s="64" t="s">
        <v>18</v>
      </c>
    </row>
    <row r="41" spans="2:36" x14ac:dyDescent="0.25">
      <c r="B41" s="48" t="s">
        <v>22</v>
      </c>
      <c r="C41" s="49">
        <v>42339</v>
      </c>
      <c r="D41" s="49">
        <v>42340</v>
      </c>
      <c r="E41" s="49">
        <v>42341</v>
      </c>
      <c r="F41" s="49">
        <v>42342</v>
      </c>
      <c r="G41" s="49">
        <v>42343</v>
      </c>
      <c r="H41" s="49">
        <v>42344</v>
      </c>
      <c r="I41" s="49">
        <v>42345</v>
      </c>
      <c r="J41" s="49">
        <v>42346</v>
      </c>
      <c r="K41" s="49">
        <v>42347</v>
      </c>
      <c r="L41" s="49">
        <v>42348</v>
      </c>
      <c r="M41" s="49">
        <v>42349</v>
      </c>
      <c r="N41" s="49">
        <v>42350</v>
      </c>
      <c r="O41" s="49">
        <v>42351</v>
      </c>
      <c r="P41" s="49">
        <v>42352</v>
      </c>
      <c r="Q41" s="49">
        <v>42353</v>
      </c>
      <c r="R41" s="49">
        <v>42354</v>
      </c>
      <c r="S41" s="49">
        <v>42355</v>
      </c>
      <c r="T41" s="49">
        <v>42356</v>
      </c>
      <c r="U41" s="49">
        <v>42357</v>
      </c>
      <c r="V41" s="49">
        <v>42358</v>
      </c>
      <c r="W41" s="49">
        <v>42359</v>
      </c>
      <c r="X41" s="49">
        <v>42360</v>
      </c>
      <c r="Y41" s="49">
        <v>42361</v>
      </c>
      <c r="Z41" s="49">
        <v>42362</v>
      </c>
      <c r="AA41" s="49">
        <v>42363</v>
      </c>
      <c r="AB41" s="49">
        <v>42364</v>
      </c>
      <c r="AC41" s="49">
        <v>42365</v>
      </c>
      <c r="AD41" s="49">
        <v>42366</v>
      </c>
      <c r="AE41" s="49">
        <v>42367</v>
      </c>
      <c r="AF41" s="49">
        <v>42368</v>
      </c>
      <c r="AG41" s="49">
        <v>42369</v>
      </c>
      <c r="AH41" s="52">
        <f>SUM(AH42:AH44)</f>
        <v>19386</v>
      </c>
      <c r="AI41" s="66">
        <f>AH41/31</f>
        <v>625.35483870967744</v>
      </c>
      <c r="AJ41" s="55">
        <f>AI41*31</f>
        <v>19386</v>
      </c>
    </row>
    <row r="42" spans="2:36" x14ac:dyDescent="0.25">
      <c r="B42" s="2" t="s">
        <v>19</v>
      </c>
      <c r="C42" s="24">
        <v>26</v>
      </c>
      <c r="D42" s="24">
        <v>24</v>
      </c>
      <c r="E42" s="24">
        <v>15</v>
      </c>
      <c r="F42" s="24">
        <v>21</v>
      </c>
      <c r="G42" s="24">
        <v>9</v>
      </c>
      <c r="H42" s="24">
        <v>1</v>
      </c>
      <c r="I42" s="24">
        <v>11</v>
      </c>
      <c r="J42" s="24">
        <v>16</v>
      </c>
      <c r="K42" s="24">
        <v>18</v>
      </c>
      <c r="L42" s="24">
        <v>20</v>
      </c>
      <c r="M42" s="24">
        <v>13</v>
      </c>
      <c r="N42" s="24">
        <v>3</v>
      </c>
      <c r="O42" s="24">
        <v>1</v>
      </c>
      <c r="P42" s="24">
        <v>8</v>
      </c>
      <c r="Q42" s="24">
        <v>16</v>
      </c>
      <c r="R42" s="24">
        <v>17</v>
      </c>
      <c r="S42" s="24">
        <v>5</v>
      </c>
      <c r="T42" s="24">
        <v>9</v>
      </c>
      <c r="U42" s="24">
        <v>6</v>
      </c>
      <c r="V42" s="24">
        <v>0</v>
      </c>
      <c r="W42" s="24">
        <v>7</v>
      </c>
      <c r="X42" s="24">
        <v>5</v>
      </c>
      <c r="Y42" s="24">
        <v>4</v>
      </c>
      <c r="Z42" s="24">
        <v>6</v>
      </c>
      <c r="AA42" s="24">
        <v>4</v>
      </c>
      <c r="AB42" s="24">
        <v>2</v>
      </c>
      <c r="AC42" s="24">
        <v>3</v>
      </c>
      <c r="AD42" s="24">
        <v>8</v>
      </c>
      <c r="AE42" s="24">
        <v>7</v>
      </c>
      <c r="AF42" s="24">
        <v>5</v>
      </c>
      <c r="AG42" s="24">
        <v>4</v>
      </c>
      <c r="AH42" s="53">
        <f>SUM(C42:AG42)</f>
        <v>294</v>
      </c>
      <c r="AI42" s="41">
        <f>AH42/31</f>
        <v>9.4838709677419359</v>
      </c>
      <c r="AJ42" s="56">
        <f>AI42*31</f>
        <v>294</v>
      </c>
    </row>
    <row r="43" spans="2:36" x14ac:dyDescent="0.25">
      <c r="B43" s="2" t="s">
        <v>20</v>
      </c>
      <c r="C43" s="24">
        <v>807</v>
      </c>
      <c r="D43" s="24">
        <v>560</v>
      </c>
      <c r="E43" s="24">
        <v>611</v>
      </c>
      <c r="F43" s="24">
        <v>596</v>
      </c>
      <c r="G43" s="24">
        <v>158</v>
      </c>
      <c r="H43" s="24">
        <v>45</v>
      </c>
      <c r="I43" s="24">
        <v>662</v>
      </c>
      <c r="J43" s="24">
        <v>585</v>
      </c>
      <c r="K43" s="24">
        <v>641</v>
      </c>
      <c r="L43" s="24">
        <v>637</v>
      </c>
      <c r="M43" s="24">
        <v>495</v>
      </c>
      <c r="N43" s="24">
        <v>135</v>
      </c>
      <c r="O43" s="24">
        <v>60</v>
      </c>
      <c r="P43" s="24">
        <v>624</v>
      </c>
      <c r="Q43" s="24">
        <v>442</v>
      </c>
      <c r="R43" s="24">
        <v>451</v>
      </c>
      <c r="S43" s="24">
        <v>445</v>
      </c>
      <c r="T43" s="24">
        <v>322</v>
      </c>
      <c r="U43" s="24">
        <v>128</v>
      </c>
      <c r="V43" s="24">
        <v>44</v>
      </c>
      <c r="W43" s="24">
        <v>430</v>
      </c>
      <c r="X43" s="24">
        <v>391</v>
      </c>
      <c r="Y43" s="24">
        <v>308</v>
      </c>
      <c r="Z43" s="24">
        <v>117</v>
      </c>
      <c r="AA43" s="24">
        <v>32</v>
      </c>
      <c r="AB43" s="24">
        <v>82</v>
      </c>
      <c r="AC43" s="24">
        <v>31</v>
      </c>
      <c r="AD43" s="24">
        <v>545</v>
      </c>
      <c r="AE43" s="24">
        <v>401</v>
      </c>
      <c r="AF43" s="24">
        <v>358</v>
      </c>
      <c r="AG43" s="24">
        <v>131</v>
      </c>
      <c r="AH43" s="53">
        <f>SUM(C43:AG43)</f>
        <v>11274</v>
      </c>
      <c r="AI43" s="41">
        <f>AH43/31</f>
        <v>363.67741935483872</v>
      </c>
      <c r="AJ43" s="56">
        <f>AI43*31</f>
        <v>11274</v>
      </c>
    </row>
    <row r="44" spans="2:36" ht="15.75" thickBot="1" x14ac:dyDescent="0.3">
      <c r="B44" s="6" t="s">
        <v>21</v>
      </c>
      <c r="C44" s="25">
        <v>446</v>
      </c>
      <c r="D44" s="25">
        <v>423</v>
      </c>
      <c r="E44" s="25">
        <v>410</v>
      </c>
      <c r="F44" s="25">
        <v>387</v>
      </c>
      <c r="G44" s="25">
        <v>127</v>
      </c>
      <c r="H44" s="25">
        <v>46</v>
      </c>
      <c r="I44" s="25">
        <v>465</v>
      </c>
      <c r="J44" s="25">
        <v>454</v>
      </c>
      <c r="K44" s="25">
        <v>425</v>
      </c>
      <c r="L44" s="25">
        <v>389</v>
      </c>
      <c r="M44" s="25">
        <v>359</v>
      </c>
      <c r="N44" s="25">
        <v>143</v>
      </c>
      <c r="O44" s="25">
        <v>51</v>
      </c>
      <c r="P44" s="25">
        <v>505</v>
      </c>
      <c r="Q44" s="25">
        <v>311</v>
      </c>
      <c r="R44" s="25">
        <v>288</v>
      </c>
      <c r="S44" s="25">
        <v>331</v>
      </c>
      <c r="T44" s="25">
        <v>188</v>
      </c>
      <c r="U44" s="25">
        <v>93</v>
      </c>
      <c r="V44" s="25">
        <v>35</v>
      </c>
      <c r="W44" s="25">
        <v>292</v>
      </c>
      <c r="X44" s="25">
        <v>270</v>
      </c>
      <c r="Y44" s="25">
        <v>222</v>
      </c>
      <c r="Z44" s="25">
        <v>104</v>
      </c>
      <c r="AA44" s="25">
        <v>37</v>
      </c>
      <c r="AB44" s="25">
        <v>68</v>
      </c>
      <c r="AC44" s="25">
        <v>53</v>
      </c>
      <c r="AD44" s="25">
        <v>325</v>
      </c>
      <c r="AE44" s="25">
        <v>300</v>
      </c>
      <c r="AF44" s="25">
        <v>194</v>
      </c>
      <c r="AG44" s="25">
        <v>77</v>
      </c>
      <c r="AH44" s="54">
        <f>SUM(C44:AG44)</f>
        <v>7818</v>
      </c>
      <c r="AI44" s="42">
        <f>AH44/31</f>
        <v>252.19354838709677</v>
      </c>
      <c r="AJ44" s="57">
        <f>AI44*31</f>
        <v>7818</v>
      </c>
    </row>
    <row r="45" spans="2:36" ht="15.75" thickBot="1" x14ac:dyDescent="0.3">
      <c r="C45" s="173"/>
      <c r="D45" s="173"/>
      <c r="E45" s="173"/>
      <c r="F45" s="173"/>
      <c r="G45" s="173"/>
      <c r="H45" s="173"/>
      <c r="I45" s="173"/>
    </row>
    <row r="46" spans="2:36" ht="15.75" x14ac:dyDescent="0.25">
      <c r="B46" s="3" t="s">
        <v>8</v>
      </c>
      <c r="C46" s="1" t="s">
        <v>0</v>
      </c>
      <c r="D46" s="1" t="s">
        <v>1</v>
      </c>
      <c r="E46" s="1" t="s">
        <v>2</v>
      </c>
      <c r="F46" s="1" t="s">
        <v>3</v>
      </c>
      <c r="G46" s="1" t="s">
        <v>4</v>
      </c>
      <c r="H46" s="1" t="s">
        <v>5</v>
      </c>
      <c r="I46" s="1" t="s">
        <v>6</v>
      </c>
      <c r="J46" s="1" t="s">
        <v>0</v>
      </c>
      <c r="K46" s="1" t="s">
        <v>1</v>
      </c>
      <c r="L46" s="1" t="s">
        <v>2</v>
      </c>
      <c r="M46" s="1" t="s">
        <v>3</v>
      </c>
      <c r="N46" s="1" t="s">
        <v>4</v>
      </c>
      <c r="O46" s="1" t="s">
        <v>5</v>
      </c>
      <c r="P46" s="1" t="s">
        <v>10</v>
      </c>
      <c r="Q46" s="1" t="s">
        <v>0</v>
      </c>
      <c r="R46" s="1" t="s">
        <v>1</v>
      </c>
      <c r="S46" s="1" t="s">
        <v>2</v>
      </c>
      <c r="T46" s="1" t="s">
        <v>3</v>
      </c>
      <c r="U46" s="1" t="s">
        <v>4</v>
      </c>
      <c r="V46" s="1" t="s">
        <v>5</v>
      </c>
      <c r="W46" s="1" t="s">
        <v>10</v>
      </c>
      <c r="X46" s="1" t="s">
        <v>0</v>
      </c>
      <c r="Y46" s="1" t="s">
        <v>1</v>
      </c>
      <c r="Z46" s="1" t="s">
        <v>2</v>
      </c>
      <c r="AA46" s="1" t="s">
        <v>3</v>
      </c>
      <c r="AB46" s="1" t="s">
        <v>4</v>
      </c>
      <c r="AC46" s="1" t="s">
        <v>5</v>
      </c>
      <c r="AD46" s="1" t="s">
        <v>10</v>
      </c>
      <c r="AE46" s="1" t="s">
        <v>0</v>
      </c>
      <c r="AF46" s="1" t="s">
        <v>1</v>
      </c>
      <c r="AG46" s="1"/>
      <c r="AH46" s="58" t="s">
        <v>7</v>
      </c>
      <c r="AI46" s="65" t="s">
        <v>17</v>
      </c>
      <c r="AJ46" s="64" t="s">
        <v>18</v>
      </c>
    </row>
    <row r="47" spans="2:36" x14ac:dyDescent="0.25">
      <c r="B47" s="48" t="s">
        <v>22</v>
      </c>
      <c r="C47" s="49">
        <v>42309</v>
      </c>
      <c r="D47" s="49">
        <v>42310</v>
      </c>
      <c r="E47" s="49">
        <v>42311</v>
      </c>
      <c r="F47" s="49">
        <v>42312</v>
      </c>
      <c r="G47" s="49">
        <v>42313</v>
      </c>
      <c r="H47" s="49">
        <v>42314</v>
      </c>
      <c r="I47" s="49">
        <v>42315</v>
      </c>
      <c r="J47" s="49">
        <v>42316</v>
      </c>
      <c r="K47" s="49">
        <v>42317</v>
      </c>
      <c r="L47" s="49">
        <v>42318</v>
      </c>
      <c r="M47" s="49">
        <v>42319</v>
      </c>
      <c r="N47" s="49">
        <v>42320</v>
      </c>
      <c r="O47" s="49">
        <v>42321</v>
      </c>
      <c r="P47" s="49">
        <v>42322</v>
      </c>
      <c r="Q47" s="49">
        <v>42323</v>
      </c>
      <c r="R47" s="49">
        <v>42324</v>
      </c>
      <c r="S47" s="49">
        <v>42325</v>
      </c>
      <c r="T47" s="49">
        <v>42326</v>
      </c>
      <c r="U47" s="49">
        <v>42327</v>
      </c>
      <c r="V47" s="49">
        <v>42328</v>
      </c>
      <c r="W47" s="49">
        <v>42329</v>
      </c>
      <c r="X47" s="49">
        <v>42330</v>
      </c>
      <c r="Y47" s="49">
        <v>42331</v>
      </c>
      <c r="Z47" s="49">
        <v>42332</v>
      </c>
      <c r="AA47" s="49">
        <v>42333</v>
      </c>
      <c r="AB47" s="49">
        <v>42334</v>
      </c>
      <c r="AC47" s="49">
        <v>42335</v>
      </c>
      <c r="AD47" s="49">
        <v>42336</v>
      </c>
      <c r="AE47" s="49">
        <v>42337</v>
      </c>
      <c r="AF47" s="49">
        <v>42338</v>
      </c>
      <c r="AG47" s="49"/>
      <c r="AH47" s="52">
        <f>SUM(AH48:AH50)</f>
        <v>24028</v>
      </c>
      <c r="AI47" s="66">
        <f>AH47/30</f>
        <v>800.93333333333328</v>
      </c>
      <c r="AJ47" s="55">
        <f>AI47*31</f>
        <v>24828.933333333331</v>
      </c>
    </row>
    <row r="48" spans="2:36" x14ac:dyDescent="0.25">
      <c r="B48" s="2" t="s">
        <v>19</v>
      </c>
      <c r="C48" s="34">
        <v>2</v>
      </c>
      <c r="D48" s="34">
        <v>6</v>
      </c>
      <c r="E48" s="34">
        <v>23</v>
      </c>
      <c r="F48" s="34">
        <v>6</v>
      </c>
      <c r="G48" s="34">
        <v>21</v>
      </c>
      <c r="H48" s="34">
        <v>11</v>
      </c>
      <c r="I48" s="34">
        <v>6</v>
      </c>
      <c r="J48" s="34">
        <v>9</v>
      </c>
      <c r="K48" s="34">
        <v>10</v>
      </c>
      <c r="L48" s="34">
        <v>16</v>
      </c>
      <c r="M48" s="34">
        <v>27</v>
      </c>
      <c r="N48" s="34">
        <v>29</v>
      </c>
      <c r="O48" s="34">
        <v>16</v>
      </c>
      <c r="P48" s="34">
        <v>5</v>
      </c>
      <c r="Q48" s="34">
        <v>5</v>
      </c>
      <c r="R48" s="34">
        <v>21</v>
      </c>
      <c r="S48" s="34">
        <v>12</v>
      </c>
      <c r="T48" s="34">
        <v>19</v>
      </c>
      <c r="U48" s="34">
        <v>19</v>
      </c>
      <c r="V48" s="34">
        <v>14</v>
      </c>
      <c r="W48" s="34">
        <v>11</v>
      </c>
      <c r="X48" s="34">
        <v>5</v>
      </c>
      <c r="Y48" s="34">
        <v>20</v>
      </c>
      <c r="Z48" s="34">
        <v>16</v>
      </c>
      <c r="AA48" s="34">
        <v>19</v>
      </c>
      <c r="AB48" s="34">
        <v>19</v>
      </c>
      <c r="AC48" s="34">
        <v>15</v>
      </c>
      <c r="AD48" s="34">
        <v>10</v>
      </c>
      <c r="AE48" s="34">
        <v>6</v>
      </c>
      <c r="AF48" s="34">
        <v>17</v>
      </c>
      <c r="AG48" s="34"/>
      <c r="AH48" s="59">
        <f>SUM(C48:AG48)</f>
        <v>415</v>
      </c>
      <c r="AI48" s="67">
        <f>AH48/30</f>
        <v>13.833333333333334</v>
      </c>
      <c r="AJ48" s="56">
        <f>AI48*31</f>
        <v>428.83333333333337</v>
      </c>
    </row>
    <row r="49" spans="2:36" x14ac:dyDescent="0.25">
      <c r="B49" s="2" t="s">
        <v>20</v>
      </c>
      <c r="C49" s="34">
        <v>52</v>
      </c>
      <c r="D49" s="34">
        <v>89</v>
      </c>
      <c r="E49" s="34">
        <v>902</v>
      </c>
      <c r="F49" s="34">
        <v>922</v>
      </c>
      <c r="G49" s="34">
        <v>783</v>
      </c>
      <c r="H49" s="34">
        <v>706</v>
      </c>
      <c r="I49" s="34">
        <v>187</v>
      </c>
      <c r="J49" s="34">
        <v>59</v>
      </c>
      <c r="K49" s="34">
        <v>916</v>
      </c>
      <c r="L49" s="34">
        <v>722</v>
      </c>
      <c r="M49" s="34">
        <v>742</v>
      </c>
      <c r="N49" s="34">
        <v>690</v>
      </c>
      <c r="O49" s="34">
        <v>590</v>
      </c>
      <c r="P49" s="34">
        <v>150</v>
      </c>
      <c r="Q49" s="34">
        <v>47</v>
      </c>
      <c r="R49" s="34">
        <v>734</v>
      </c>
      <c r="S49" s="34">
        <v>661</v>
      </c>
      <c r="T49" s="34">
        <v>729</v>
      </c>
      <c r="U49" s="34">
        <v>617</v>
      </c>
      <c r="V49" s="34">
        <v>364</v>
      </c>
      <c r="W49" s="34">
        <v>197</v>
      </c>
      <c r="X49" s="34">
        <v>74</v>
      </c>
      <c r="Y49" s="34">
        <v>690</v>
      </c>
      <c r="Z49" s="34">
        <v>644</v>
      </c>
      <c r="AA49" s="34">
        <v>807</v>
      </c>
      <c r="AB49" s="34">
        <v>615</v>
      </c>
      <c r="AC49" s="34">
        <v>547</v>
      </c>
      <c r="AD49" s="34">
        <v>167</v>
      </c>
      <c r="AE49" s="34">
        <v>68</v>
      </c>
      <c r="AF49" s="34">
        <v>693</v>
      </c>
      <c r="AG49" s="35"/>
      <c r="AH49" s="59">
        <f>SUM(C49:AG49)</f>
        <v>15164</v>
      </c>
      <c r="AI49" s="67">
        <f>AH49/30</f>
        <v>505.46666666666664</v>
      </c>
      <c r="AJ49" s="56">
        <f>AI49*31</f>
        <v>15669.466666666665</v>
      </c>
    </row>
    <row r="50" spans="2:36" ht="15.75" thickBot="1" x14ac:dyDescent="0.3">
      <c r="B50" s="6" t="s">
        <v>21</v>
      </c>
      <c r="C50" s="36">
        <v>52</v>
      </c>
      <c r="D50" s="36">
        <v>96</v>
      </c>
      <c r="E50" s="36">
        <v>468</v>
      </c>
      <c r="F50" s="36">
        <v>472</v>
      </c>
      <c r="G50" s="36">
        <v>411</v>
      </c>
      <c r="H50" s="36">
        <v>303</v>
      </c>
      <c r="I50" s="36">
        <v>139</v>
      </c>
      <c r="J50" s="36">
        <v>43</v>
      </c>
      <c r="K50" s="36">
        <v>440</v>
      </c>
      <c r="L50" s="36">
        <v>420</v>
      </c>
      <c r="M50" s="36">
        <v>329</v>
      </c>
      <c r="N50" s="36">
        <v>391</v>
      </c>
      <c r="O50" s="36">
        <v>297</v>
      </c>
      <c r="P50" s="36">
        <v>102</v>
      </c>
      <c r="Q50" s="36">
        <v>53</v>
      </c>
      <c r="R50" s="36">
        <v>440</v>
      </c>
      <c r="S50" s="36">
        <v>391</v>
      </c>
      <c r="T50" s="36">
        <v>423</v>
      </c>
      <c r="U50" s="36">
        <v>328</v>
      </c>
      <c r="V50" s="36">
        <v>234</v>
      </c>
      <c r="W50" s="36">
        <v>90</v>
      </c>
      <c r="X50" s="36">
        <v>60</v>
      </c>
      <c r="Y50" s="36">
        <v>481</v>
      </c>
      <c r="Z50" s="36">
        <v>357</v>
      </c>
      <c r="AA50" s="36">
        <v>341</v>
      </c>
      <c r="AB50" s="36">
        <v>400</v>
      </c>
      <c r="AC50" s="36">
        <v>318</v>
      </c>
      <c r="AD50" s="36">
        <v>115</v>
      </c>
      <c r="AE50" s="36">
        <v>44</v>
      </c>
      <c r="AF50" s="36">
        <v>411</v>
      </c>
      <c r="AG50" s="36"/>
      <c r="AH50" s="60">
        <f>SUM(C50:AG50)</f>
        <v>8449</v>
      </c>
      <c r="AI50" s="68">
        <f>AH50/30</f>
        <v>281.63333333333333</v>
      </c>
      <c r="AJ50" s="57">
        <f>AI50*31</f>
        <v>8730.6333333333332</v>
      </c>
    </row>
    <row r="59" spans="2:36" x14ac:dyDescent="0.25">
      <c r="AE59" s="11"/>
      <c r="AF59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zoomScaleNormal="100" workbookViewId="0"/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84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</row>
    <row r="2" spans="1:16384" ht="15" customHeight="1" x14ac:dyDescent="0.25">
      <c r="B2" s="201" t="str">
        <f>Indicadores!B2</f>
        <v>Jun - 30 dias</v>
      </c>
      <c r="C2" s="202"/>
      <c r="D2" s="1" t="str">
        <f>Indicadores!C2</f>
        <v>Qua</v>
      </c>
      <c r="E2" s="1" t="str">
        <f>Indicadores!D2</f>
        <v>Qui</v>
      </c>
      <c r="F2" s="1" t="str">
        <f>Indicadores!E2</f>
        <v>Sex</v>
      </c>
      <c r="G2" s="1" t="str">
        <f>Indicadores!F2</f>
        <v>Sáb</v>
      </c>
      <c r="H2" s="1" t="str">
        <f>Indicadores!G2</f>
        <v>Dom</v>
      </c>
      <c r="I2" s="1" t="str">
        <f>Indicadores!H2</f>
        <v>Seg</v>
      </c>
      <c r="J2" s="1" t="str">
        <f>Indicadores!I2</f>
        <v>Ter</v>
      </c>
      <c r="K2" s="1" t="str">
        <f>Indicadores!J2</f>
        <v>Qua</v>
      </c>
      <c r="L2" s="1" t="str">
        <f>Indicadores!K2</f>
        <v>Qui</v>
      </c>
      <c r="M2" s="1" t="str">
        <f>Indicadores!L2</f>
        <v>Sex</v>
      </c>
      <c r="N2" s="1" t="str">
        <f>Indicadores!M2</f>
        <v>Sáb</v>
      </c>
      <c r="O2" s="1" t="str">
        <f>Indicadores!N2</f>
        <v>Dom</v>
      </c>
      <c r="P2" s="1" t="str">
        <f>Indicadores!O2</f>
        <v>Seg</v>
      </c>
      <c r="Q2" s="1" t="str">
        <f>Indicadores!P2</f>
        <v>Ter</v>
      </c>
      <c r="R2" s="1" t="str">
        <f>Indicadores!Q2</f>
        <v>Qua</v>
      </c>
      <c r="S2" s="1" t="str">
        <f>Indicadores!R2</f>
        <v>Qui</v>
      </c>
      <c r="T2" s="1" t="str">
        <f>Indicadores!S2</f>
        <v>Sex</v>
      </c>
      <c r="U2" s="1" t="str">
        <f>Indicadores!T2</f>
        <v>Sáb</v>
      </c>
      <c r="V2" s="1" t="str">
        <f>Indicadores!U2</f>
        <v>Dom</v>
      </c>
      <c r="W2" s="1" t="str">
        <f>Indicadores!V2</f>
        <v>Seg</v>
      </c>
      <c r="X2" s="1" t="str">
        <f>Indicadores!W2</f>
        <v>Ter</v>
      </c>
      <c r="Y2" s="1" t="str">
        <f>Indicadores!X2</f>
        <v>Qua</v>
      </c>
      <c r="Z2" s="1" t="str">
        <f>Indicadores!Y2</f>
        <v>Qui</v>
      </c>
      <c r="AA2" s="1" t="str">
        <f>Indicadores!Z2</f>
        <v>Sex</v>
      </c>
      <c r="AB2" s="1" t="str">
        <f>Indicadores!AA2</f>
        <v>Sáb</v>
      </c>
      <c r="AC2" s="1" t="str">
        <f>Indicadores!AB2</f>
        <v>Dom</v>
      </c>
      <c r="AD2" s="1" t="str">
        <f>Indicadores!AC2</f>
        <v>Seg</v>
      </c>
      <c r="AE2" s="1" t="str">
        <f>Indicadores!AD2</f>
        <v>Ter</v>
      </c>
      <c r="AF2" s="1" t="str">
        <f>Indicadores!AE2</f>
        <v>Qua</v>
      </c>
      <c r="AG2" s="1" t="str">
        <f>Indicadores!AF2</f>
        <v>Qui</v>
      </c>
      <c r="AH2" s="1">
        <f>Indicadores!AG2</f>
        <v>0</v>
      </c>
      <c r="AI2" s="227" t="s">
        <v>7</v>
      </c>
      <c r="AJ2" s="228" t="s">
        <v>17</v>
      </c>
      <c r="AK2" s="64" t="s">
        <v>18</v>
      </c>
    </row>
    <row r="3" spans="1:16384" s="50" customFormat="1" x14ac:dyDescent="0.25">
      <c r="A3" s="10"/>
      <c r="B3" s="203" t="s">
        <v>22</v>
      </c>
      <c r="C3" s="204"/>
      <c r="D3" s="49">
        <f>Indicadores!C3</f>
        <v>42522</v>
      </c>
      <c r="E3" s="49">
        <f>Indicadores!D3</f>
        <v>42523</v>
      </c>
      <c r="F3" s="49">
        <f>Indicadores!E3</f>
        <v>42524</v>
      </c>
      <c r="G3" s="49">
        <f>Indicadores!F3</f>
        <v>42525</v>
      </c>
      <c r="H3" s="49">
        <f>Indicadores!G3</f>
        <v>42526</v>
      </c>
      <c r="I3" s="49">
        <f>Indicadores!H3</f>
        <v>42527</v>
      </c>
      <c r="J3" s="49">
        <f>Indicadores!I3</f>
        <v>42528</v>
      </c>
      <c r="K3" s="49">
        <f>Indicadores!J3</f>
        <v>42529</v>
      </c>
      <c r="L3" s="49">
        <f>Indicadores!K3</f>
        <v>42530</v>
      </c>
      <c r="M3" s="49">
        <f>Indicadores!L3</f>
        <v>42531</v>
      </c>
      <c r="N3" s="49">
        <f>Indicadores!M3</f>
        <v>42532</v>
      </c>
      <c r="O3" s="49">
        <f>Indicadores!N3</f>
        <v>42533</v>
      </c>
      <c r="P3" s="49">
        <f>Indicadores!O3</f>
        <v>42534</v>
      </c>
      <c r="Q3" s="49">
        <f>Indicadores!P3</f>
        <v>42535</v>
      </c>
      <c r="R3" s="49">
        <f>Indicadores!Q3</f>
        <v>42536</v>
      </c>
      <c r="S3" s="49">
        <f>Indicadores!R3</f>
        <v>42537</v>
      </c>
      <c r="T3" s="49">
        <f>Indicadores!S3</f>
        <v>42538</v>
      </c>
      <c r="U3" s="49">
        <f>Indicadores!T3</f>
        <v>42539</v>
      </c>
      <c r="V3" s="49">
        <f>Indicadores!U3</f>
        <v>42540</v>
      </c>
      <c r="W3" s="49">
        <f>Indicadores!V3</f>
        <v>42541</v>
      </c>
      <c r="X3" s="49">
        <f>Indicadores!W3</f>
        <v>42542</v>
      </c>
      <c r="Y3" s="49">
        <f>Indicadores!X3</f>
        <v>42543</v>
      </c>
      <c r="Z3" s="49">
        <f>Indicadores!Y3</f>
        <v>42544</v>
      </c>
      <c r="AA3" s="49">
        <f>Indicadores!Z3</f>
        <v>42545</v>
      </c>
      <c r="AB3" s="49">
        <f>Indicadores!AA3</f>
        <v>42546</v>
      </c>
      <c r="AC3" s="49">
        <f>Indicadores!AB3</f>
        <v>42547</v>
      </c>
      <c r="AD3" s="49">
        <f>Indicadores!AC3</f>
        <v>42548</v>
      </c>
      <c r="AE3" s="49">
        <f>Indicadores!AD3</f>
        <v>42549</v>
      </c>
      <c r="AF3" s="49">
        <f>Indicadores!AE3</f>
        <v>42550</v>
      </c>
      <c r="AG3" s="49">
        <f>Indicadores!AF3</f>
        <v>42551</v>
      </c>
      <c r="AH3" s="49">
        <f>Indicadores!AG3</f>
        <v>0</v>
      </c>
      <c r="AI3" s="52">
        <f>Indicadores!AH3</f>
        <v>1480</v>
      </c>
      <c r="AJ3" s="66">
        <f>Indicadores!AI3</f>
        <v>1480</v>
      </c>
      <c r="AK3" s="55">
        <f>Indicadores!AJ3</f>
        <v>44400</v>
      </c>
    </row>
    <row r="4" spans="1:16384" x14ac:dyDescent="0.25">
      <c r="B4" s="205" t="s">
        <v>19</v>
      </c>
      <c r="C4" s="206"/>
      <c r="D4" s="39">
        <f>IF(Indicadores!C4,Indicadores!C4,"")</f>
        <v>17</v>
      </c>
      <c r="E4" s="39" t="str">
        <f>IF(Indicadores!D4,Indicadores!D4,"")</f>
        <v/>
      </c>
      <c r="F4" s="39" t="str">
        <f>IF(Indicadores!E4,Indicadores!E4,"")</f>
        <v/>
      </c>
      <c r="G4" s="39" t="str">
        <f>IF(Indicadores!F4,Indicadores!F4,"")</f>
        <v/>
      </c>
      <c r="H4" s="39" t="str">
        <f>IF(Indicadores!G4,Indicadores!G4,"")</f>
        <v/>
      </c>
      <c r="I4" s="39" t="str">
        <f>IF(Indicadores!H4,Indicadores!H4,"")</f>
        <v/>
      </c>
      <c r="J4" s="39" t="str">
        <f>IF(Indicadores!I4,Indicadores!I4,"")</f>
        <v/>
      </c>
      <c r="K4" s="39" t="str">
        <f>IF(Indicadores!J4,Indicadores!J4,"")</f>
        <v/>
      </c>
      <c r="L4" s="39" t="str">
        <f>IF(Indicadores!K4,Indicadores!K4,"")</f>
        <v/>
      </c>
      <c r="M4" s="39" t="str">
        <f>IF(Indicadores!L4,Indicadores!L4,"")</f>
        <v/>
      </c>
      <c r="N4" s="39" t="str">
        <f>IF(Indicadores!M4,Indicadores!M4,"")</f>
        <v/>
      </c>
      <c r="O4" s="39" t="str">
        <f>IF(Indicadores!N4,Indicadores!N4,"")</f>
        <v/>
      </c>
      <c r="P4" s="39" t="str">
        <f>IF(Indicadores!O4,Indicadores!O4,"")</f>
        <v/>
      </c>
      <c r="Q4" s="39" t="str">
        <f>IF(Indicadores!P4,Indicadores!P4,"")</f>
        <v/>
      </c>
      <c r="R4" s="39" t="str">
        <f>IF(Indicadores!Q4,Indicadores!Q4,"")</f>
        <v/>
      </c>
      <c r="S4" s="39" t="str">
        <f>IF(Indicadores!R4,Indicadores!R4,"")</f>
        <v/>
      </c>
      <c r="T4" s="39" t="str">
        <f>IF(Indicadores!S4,Indicadores!S4,"")</f>
        <v/>
      </c>
      <c r="U4" s="39" t="str">
        <f>IF(Indicadores!T4,Indicadores!T4,"")</f>
        <v/>
      </c>
      <c r="V4" s="39" t="str">
        <f>IF(Indicadores!U4,Indicadores!U4,"")</f>
        <v/>
      </c>
      <c r="W4" s="39" t="str">
        <f>IF(Indicadores!V4,Indicadores!V4,"")</f>
        <v/>
      </c>
      <c r="X4" s="39" t="str">
        <f>IF(Indicadores!W4,Indicadores!W4,"")</f>
        <v/>
      </c>
      <c r="Y4" s="39" t="str">
        <f>IF(Indicadores!X4,Indicadores!X4,"")</f>
        <v/>
      </c>
      <c r="Z4" s="39" t="str">
        <f>IF(Indicadores!Y4,Indicadores!Y4,"")</f>
        <v/>
      </c>
      <c r="AA4" s="39" t="str">
        <f>IF(Indicadores!Z4,Indicadores!Z4,"")</f>
        <v/>
      </c>
      <c r="AB4" s="39" t="str">
        <f>IF(Indicadores!AA4,Indicadores!AA4,"")</f>
        <v/>
      </c>
      <c r="AC4" s="39" t="str">
        <f>IF(Indicadores!AB4,Indicadores!AB4,"")</f>
        <v/>
      </c>
      <c r="AD4" s="39" t="str">
        <f>IF(Indicadores!AC4,Indicadores!AC4,"")</f>
        <v/>
      </c>
      <c r="AE4" s="39" t="str">
        <f>IF(Indicadores!AD4,Indicadores!AD4,"")</f>
        <v/>
      </c>
      <c r="AF4" s="39" t="str">
        <f>IF(Indicadores!AE4,Indicadores!AE4,"")</f>
        <v/>
      </c>
      <c r="AG4" s="39" t="str">
        <f>IF(Indicadores!AF4,Indicadores!AF4,"")</f>
        <v/>
      </c>
      <c r="AH4" s="39" t="str">
        <f>IF(Indicadores!AG4,Indicadores!AG4,"")</f>
        <v/>
      </c>
      <c r="AI4" s="53">
        <f>Indicadores!AH4</f>
        <v>17</v>
      </c>
      <c r="AJ4" s="75">
        <f>Indicadores!AI4</f>
        <v>17</v>
      </c>
      <c r="AK4" s="56">
        <f>Indicadores!AJ4</f>
        <v>510</v>
      </c>
    </row>
    <row r="5" spans="1:16384" x14ac:dyDescent="0.25">
      <c r="B5" s="205" t="s">
        <v>20</v>
      </c>
      <c r="C5" s="206"/>
      <c r="D5" s="39">
        <f>IF(Indicadores!C5,Indicadores!C5,"")</f>
        <v>869</v>
      </c>
      <c r="E5" s="39" t="str">
        <f>IF(Indicadores!D5,Indicadores!D5,"")</f>
        <v/>
      </c>
      <c r="F5" s="39" t="str">
        <f>IF(Indicadores!E5,Indicadores!E5,"")</f>
        <v/>
      </c>
      <c r="G5" s="39" t="str">
        <f>IF(Indicadores!F5,Indicadores!F5,"")</f>
        <v/>
      </c>
      <c r="H5" s="39" t="str">
        <f>IF(Indicadores!G5,Indicadores!G5,"")</f>
        <v/>
      </c>
      <c r="I5" s="39" t="str">
        <f>IF(Indicadores!H5,Indicadores!H5,"")</f>
        <v/>
      </c>
      <c r="J5" s="39" t="str">
        <f>IF(Indicadores!I5,Indicadores!I5,"")</f>
        <v/>
      </c>
      <c r="K5" s="39" t="str">
        <f>IF(Indicadores!J5,Indicadores!J5,"")</f>
        <v/>
      </c>
      <c r="L5" s="39" t="str">
        <f>IF(Indicadores!K5,Indicadores!K5,"")</f>
        <v/>
      </c>
      <c r="M5" s="39" t="str">
        <f>IF(Indicadores!L5,Indicadores!L5,"")</f>
        <v/>
      </c>
      <c r="N5" s="39" t="str">
        <f>IF(Indicadores!M5,Indicadores!M5,"")</f>
        <v/>
      </c>
      <c r="O5" s="39" t="str">
        <f>IF(Indicadores!N5,Indicadores!N5,"")</f>
        <v/>
      </c>
      <c r="P5" s="39" t="str">
        <f>IF(Indicadores!O5,Indicadores!O5,"")</f>
        <v/>
      </c>
      <c r="Q5" s="39" t="str">
        <f>IF(Indicadores!P5,Indicadores!P5,"")</f>
        <v/>
      </c>
      <c r="R5" s="39" t="str">
        <f>IF(Indicadores!Q5,Indicadores!Q5,"")</f>
        <v/>
      </c>
      <c r="S5" s="39" t="str">
        <f>IF(Indicadores!R5,Indicadores!R5,"")</f>
        <v/>
      </c>
      <c r="T5" s="39" t="str">
        <f>IF(Indicadores!S5,Indicadores!S5,"")</f>
        <v/>
      </c>
      <c r="U5" s="39" t="str">
        <f>IF(Indicadores!T5,Indicadores!T5,"")</f>
        <v/>
      </c>
      <c r="V5" s="39" t="str">
        <f>IF(Indicadores!U5,Indicadores!U5,"")</f>
        <v/>
      </c>
      <c r="W5" s="39" t="str">
        <f>IF(Indicadores!V5,Indicadores!V5,"")</f>
        <v/>
      </c>
      <c r="X5" s="39" t="str">
        <f>IF(Indicadores!W5,Indicadores!W5,"")</f>
        <v/>
      </c>
      <c r="Y5" s="39" t="str">
        <f>IF(Indicadores!X5,Indicadores!X5,"")</f>
        <v/>
      </c>
      <c r="Z5" s="39" t="str">
        <f>IF(Indicadores!Y5,Indicadores!Y5,"")</f>
        <v/>
      </c>
      <c r="AA5" s="39" t="str">
        <f>IF(Indicadores!Z5,Indicadores!Z5,"")</f>
        <v/>
      </c>
      <c r="AB5" s="39" t="str">
        <f>IF(Indicadores!AA5,Indicadores!AA5,"")</f>
        <v/>
      </c>
      <c r="AC5" s="39" t="str">
        <f>IF(Indicadores!AB5,Indicadores!AB5,"")</f>
        <v/>
      </c>
      <c r="AD5" s="39" t="str">
        <f>IF(Indicadores!AC5,Indicadores!AC5,"")</f>
        <v/>
      </c>
      <c r="AE5" s="39" t="str">
        <f>IF(Indicadores!AD5,Indicadores!AD5,"")</f>
        <v/>
      </c>
      <c r="AF5" s="39" t="str">
        <f>IF(Indicadores!AE5,Indicadores!AE5,"")</f>
        <v/>
      </c>
      <c r="AG5" s="39" t="str">
        <f>IF(Indicadores!AF5,Indicadores!AF5,"")</f>
        <v/>
      </c>
      <c r="AH5" s="39" t="str">
        <f>IF(Indicadores!AG5,Indicadores!AG5,"")</f>
        <v/>
      </c>
      <c r="AI5" s="53">
        <f>Indicadores!AH5</f>
        <v>869</v>
      </c>
      <c r="AJ5" s="75">
        <f>Indicadores!AI5</f>
        <v>869</v>
      </c>
      <c r="AK5" s="56">
        <f>Indicadores!AJ5</f>
        <v>26070</v>
      </c>
    </row>
    <row r="6" spans="1:16384" ht="15.75" thickBot="1" x14ac:dyDescent="0.3">
      <c r="B6" s="207" t="s">
        <v>21</v>
      </c>
      <c r="C6" s="208"/>
      <c r="D6" s="40">
        <f>IF(Indicadores!C6,Indicadores!C6,"")</f>
        <v>594</v>
      </c>
      <c r="E6" s="40" t="str">
        <f>IF(Indicadores!D6,Indicadores!D6,"")</f>
        <v/>
      </c>
      <c r="F6" s="40" t="str">
        <f>IF(Indicadores!E6,Indicadores!E6,"")</f>
        <v/>
      </c>
      <c r="G6" s="40" t="str">
        <f>IF(Indicadores!F6,Indicadores!F6,"")</f>
        <v/>
      </c>
      <c r="H6" s="40" t="str">
        <f>IF(Indicadores!G6,Indicadores!G6,"")</f>
        <v/>
      </c>
      <c r="I6" s="40" t="str">
        <f>IF(Indicadores!H6,Indicadores!H6,"")</f>
        <v/>
      </c>
      <c r="J6" s="40" t="str">
        <f>IF(Indicadores!I6,Indicadores!I6,"")</f>
        <v/>
      </c>
      <c r="K6" s="40" t="str">
        <f>IF(Indicadores!J6,Indicadores!J6,"")</f>
        <v/>
      </c>
      <c r="L6" s="40" t="str">
        <f>IF(Indicadores!K6,Indicadores!K6,"")</f>
        <v/>
      </c>
      <c r="M6" s="40" t="str">
        <f>IF(Indicadores!L6,Indicadores!L6,"")</f>
        <v/>
      </c>
      <c r="N6" s="40" t="str">
        <f>IF(Indicadores!M6,Indicadores!M6,"")</f>
        <v/>
      </c>
      <c r="O6" s="40" t="str">
        <f>IF(Indicadores!N6,Indicadores!N6,"")</f>
        <v/>
      </c>
      <c r="P6" s="40" t="str">
        <f>IF(Indicadores!O6,Indicadores!O6,"")</f>
        <v/>
      </c>
      <c r="Q6" s="40" t="str">
        <f>IF(Indicadores!P6,Indicadores!P6,"")</f>
        <v/>
      </c>
      <c r="R6" s="40" t="str">
        <f>IF(Indicadores!Q6,Indicadores!Q6,"")</f>
        <v/>
      </c>
      <c r="S6" s="40" t="str">
        <f>IF(Indicadores!R6,Indicadores!R6,"")</f>
        <v/>
      </c>
      <c r="T6" s="40" t="str">
        <f>IF(Indicadores!S6,Indicadores!S6,"")</f>
        <v/>
      </c>
      <c r="U6" s="40" t="str">
        <f>IF(Indicadores!T6,Indicadores!T6,"")</f>
        <v/>
      </c>
      <c r="V6" s="40" t="str">
        <f>IF(Indicadores!U6,Indicadores!U6,"")</f>
        <v/>
      </c>
      <c r="W6" s="40" t="str">
        <f>IF(Indicadores!V6,Indicadores!V6,"")</f>
        <v/>
      </c>
      <c r="X6" s="40" t="str">
        <f>IF(Indicadores!W6,Indicadores!W6,"")</f>
        <v/>
      </c>
      <c r="Y6" s="40" t="str">
        <f>IF(Indicadores!X6,Indicadores!X6,"")</f>
        <v/>
      </c>
      <c r="Z6" s="40" t="str">
        <f>IF(Indicadores!Y6,Indicadores!Y6,"")</f>
        <v/>
      </c>
      <c r="AA6" s="40" t="str">
        <f>IF(Indicadores!Z6,Indicadores!Z6,"")</f>
        <v/>
      </c>
      <c r="AB6" s="40" t="str">
        <f>IF(Indicadores!AA6,Indicadores!AA6,"")</f>
        <v/>
      </c>
      <c r="AC6" s="40" t="str">
        <f>IF(Indicadores!AB6,Indicadores!AB6,"")</f>
        <v/>
      </c>
      <c r="AD6" s="40" t="str">
        <f>IF(Indicadores!AC6,Indicadores!AC6,"")</f>
        <v/>
      </c>
      <c r="AE6" s="40" t="str">
        <f>IF(Indicadores!AD6,Indicadores!AD6,"")</f>
        <v/>
      </c>
      <c r="AF6" s="40" t="str">
        <f>IF(Indicadores!AE6,Indicadores!AE6,"")</f>
        <v/>
      </c>
      <c r="AG6" s="40" t="str">
        <f>IF(Indicadores!AF6,Indicadores!AF6,"")</f>
        <v/>
      </c>
      <c r="AH6" s="40" t="str">
        <f>IF(Indicadores!AG6,Indicadores!AG6,"")</f>
        <v/>
      </c>
      <c r="AI6" s="54">
        <f>Indicadores!AH6</f>
        <v>594</v>
      </c>
      <c r="AJ6" s="42">
        <f>Indicadores!AI6</f>
        <v>594</v>
      </c>
      <c r="AK6" s="56">
        <f>Indicadores!AJ6</f>
        <v>17820</v>
      </c>
    </row>
    <row r="7" spans="1:16384" ht="15.75" thickBot="1" x14ac:dyDescent="0.3">
      <c r="C7" s="186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187"/>
      <c r="Z7" s="187"/>
      <c r="AA7" s="187"/>
      <c r="AB7" s="187"/>
      <c r="AC7" s="187"/>
      <c r="AD7" s="187"/>
      <c r="AE7" s="187"/>
      <c r="AF7" s="187"/>
      <c r="AG7" s="187"/>
      <c r="AH7" s="187"/>
      <c r="AI7" s="188"/>
      <c r="AJ7" s="188"/>
      <c r="AK7" s="188"/>
    </row>
    <row r="8" spans="1:16384" ht="15" customHeight="1" x14ac:dyDescent="0.25">
      <c r="B8" s="201" t="str">
        <f>B2</f>
        <v>Jun - 30 dias</v>
      </c>
      <c r="C8" s="202"/>
      <c r="D8" s="1" t="str">
        <f>D2</f>
        <v>Qua</v>
      </c>
      <c r="E8" s="1" t="str">
        <f t="shared" ref="E8:AH8" si="0">E2</f>
        <v>Qui</v>
      </c>
      <c r="F8" s="1" t="str">
        <f t="shared" si="0"/>
        <v>Sex</v>
      </c>
      <c r="G8" s="1" t="str">
        <f t="shared" si="0"/>
        <v>Sáb</v>
      </c>
      <c r="H8" s="1" t="str">
        <f t="shared" si="0"/>
        <v>Dom</v>
      </c>
      <c r="I8" s="1" t="str">
        <f t="shared" si="0"/>
        <v>Seg</v>
      </c>
      <c r="J8" s="1" t="str">
        <f t="shared" si="0"/>
        <v>Ter</v>
      </c>
      <c r="K8" s="1" t="str">
        <f t="shared" si="0"/>
        <v>Qua</v>
      </c>
      <c r="L8" s="1" t="str">
        <f t="shared" si="0"/>
        <v>Qui</v>
      </c>
      <c r="M8" s="1" t="str">
        <f t="shared" si="0"/>
        <v>Sex</v>
      </c>
      <c r="N8" s="1" t="str">
        <f t="shared" si="0"/>
        <v>Sáb</v>
      </c>
      <c r="O8" s="1" t="str">
        <f t="shared" si="0"/>
        <v>Dom</v>
      </c>
      <c r="P8" s="1" t="str">
        <f t="shared" si="0"/>
        <v>Seg</v>
      </c>
      <c r="Q8" s="1" t="str">
        <f t="shared" si="0"/>
        <v>Ter</v>
      </c>
      <c r="R8" s="1" t="str">
        <f t="shared" si="0"/>
        <v>Qua</v>
      </c>
      <c r="S8" s="1" t="str">
        <f t="shared" si="0"/>
        <v>Qui</v>
      </c>
      <c r="T8" s="1" t="str">
        <f t="shared" si="0"/>
        <v>Sex</v>
      </c>
      <c r="U8" s="1" t="str">
        <f t="shared" si="0"/>
        <v>Sáb</v>
      </c>
      <c r="V8" s="1" t="str">
        <f t="shared" si="0"/>
        <v>Dom</v>
      </c>
      <c r="W8" s="1" t="str">
        <f t="shared" si="0"/>
        <v>Seg</v>
      </c>
      <c r="X8" s="1" t="str">
        <f t="shared" si="0"/>
        <v>Ter</v>
      </c>
      <c r="Y8" s="1" t="str">
        <f t="shared" si="0"/>
        <v>Qua</v>
      </c>
      <c r="Z8" s="1" t="str">
        <f t="shared" si="0"/>
        <v>Qui</v>
      </c>
      <c r="AA8" s="1" t="str">
        <f t="shared" si="0"/>
        <v>Sex</v>
      </c>
      <c r="AB8" s="1" t="str">
        <f t="shared" si="0"/>
        <v>Sáb</v>
      </c>
      <c r="AC8" s="1" t="str">
        <f t="shared" si="0"/>
        <v>Dom</v>
      </c>
      <c r="AD8" s="1" t="str">
        <f t="shared" si="0"/>
        <v>Seg</v>
      </c>
      <c r="AE8" s="1" t="str">
        <f t="shared" si="0"/>
        <v>Ter</v>
      </c>
      <c r="AF8" s="1" t="str">
        <f t="shared" si="0"/>
        <v>Qua</v>
      </c>
      <c r="AG8" s="1" t="str">
        <f t="shared" si="0"/>
        <v>Qui</v>
      </c>
      <c r="AH8" s="1">
        <f t="shared" si="0"/>
        <v>0</v>
      </c>
      <c r="AI8" s="227" t="s">
        <v>7</v>
      </c>
      <c r="AJ8" s="228" t="s">
        <v>17</v>
      </c>
      <c r="AK8" s="64" t="s">
        <v>18</v>
      </c>
    </row>
    <row r="9" spans="1:16384" s="50" customFormat="1" x14ac:dyDescent="0.25">
      <c r="A9" s="10"/>
      <c r="B9" s="203" t="s">
        <v>27</v>
      </c>
      <c r="C9" s="204"/>
      <c r="D9" s="49">
        <f>D3</f>
        <v>42522</v>
      </c>
      <c r="E9" s="49">
        <f>E3</f>
        <v>42523</v>
      </c>
      <c r="F9" s="49">
        <f t="shared" ref="F9:AH9" si="1">F3</f>
        <v>42524</v>
      </c>
      <c r="G9" s="49">
        <f t="shared" si="1"/>
        <v>42525</v>
      </c>
      <c r="H9" s="49">
        <f t="shared" si="1"/>
        <v>42526</v>
      </c>
      <c r="I9" s="49">
        <f t="shared" si="1"/>
        <v>42527</v>
      </c>
      <c r="J9" s="49">
        <f t="shared" si="1"/>
        <v>42528</v>
      </c>
      <c r="K9" s="49">
        <f t="shared" si="1"/>
        <v>42529</v>
      </c>
      <c r="L9" s="49">
        <f t="shared" si="1"/>
        <v>42530</v>
      </c>
      <c r="M9" s="49">
        <f t="shared" si="1"/>
        <v>42531</v>
      </c>
      <c r="N9" s="49">
        <f t="shared" si="1"/>
        <v>42532</v>
      </c>
      <c r="O9" s="49">
        <f t="shared" si="1"/>
        <v>42533</v>
      </c>
      <c r="P9" s="49">
        <f t="shared" si="1"/>
        <v>42534</v>
      </c>
      <c r="Q9" s="49">
        <f t="shared" si="1"/>
        <v>42535</v>
      </c>
      <c r="R9" s="49">
        <f t="shared" si="1"/>
        <v>42536</v>
      </c>
      <c r="S9" s="49">
        <f t="shared" si="1"/>
        <v>42537</v>
      </c>
      <c r="T9" s="49">
        <f t="shared" si="1"/>
        <v>42538</v>
      </c>
      <c r="U9" s="49">
        <f t="shared" si="1"/>
        <v>42539</v>
      </c>
      <c r="V9" s="49">
        <f t="shared" si="1"/>
        <v>42540</v>
      </c>
      <c r="W9" s="49">
        <f t="shared" si="1"/>
        <v>42541</v>
      </c>
      <c r="X9" s="49">
        <f t="shared" si="1"/>
        <v>42542</v>
      </c>
      <c r="Y9" s="49">
        <f t="shared" si="1"/>
        <v>42543</v>
      </c>
      <c r="Z9" s="49">
        <f t="shared" si="1"/>
        <v>42544</v>
      </c>
      <c r="AA9" s="49">
        <f t="shared" si="1"/>
        <v>42545</v>
      </c>
      <c r="AB9" s="49">
        <f t="shared" si="1"/>
        <v>42546</v>
      </c>
      <c r="AC9" s="49">
        <f t="shared" si="1"/>
        <v>42547</v>
      </c>
      <c r="AD9" s="49">
        <f t="shared" si="1"/>
        <v>42548</v>
      </c>
      <c r="AE9" s="49">
        <f t="shared" si="1"/>
        <v>42549</v>
      </c>
      <c r="AF9" s="49">
        <f t="shared" si="1"/>
        <v>42550</v>
      </c>
      <c r="AG9" s="49">
        <f t="shared" si="1"/>
        <v>42551</v>
      </c>
      <c r="AH9" s="49">
        <f t="shared" si="1"/>
        <v>0</v>
      </c>
      <c r="AI9" s="52">
        <f>SUM(AI10:AI12)</f>
        <v>0</v>
      </c>
      <c r="AJ9" s="66">
        <f>SUM(AJ10:AJ12)</f>
        <v>0</v>
      </c>
      <c r="AK9" s="55">
        <f>SUM(AK10:AK12)</f>
        <v>0</v>
      </c>
    </row>
    <row r="10" spans="1:16384" x14ac:dyDescent="0.25">
      <c r="B10" s="101" t="s">
        <v>19</v>
      </c>
      <c r="C10" s="103" t="s">
        <v>35</v>
      </c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43"/>
      <c r="AH10" s="44"/>
      <c r="AI10" s="105">
        <f>SUM(D10:AG10)</f>
        <v>0</v>
      </c>
      <c r="AJ10" s="106">
        <f>AI10/COUNTA(C10:AG10)</f>
        <v>0</v>
      </c>
      <c r="AK10" s="107">
        <f>AJ10*30</f>
        <v>0</v>
      </c>
    </row>
    <row r="11" spans="1:16384" x14ac:dyDescent="0.25">
      <c r="B11" s="101" t="s">
        <v>20</v>
      </c>
      <c r="C11" s="103" t="s">
        <v>35</v>
      </c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43"/>
      <c r="AH11" s="44"/>
      <c r="AI11" s="105">
        <f>SUM(D11:AG11)</f>
        <v>0</v>
      </c>
      <c r="AJ11" s="106">
        <f>AI11/COUNTA(C11:AG11)</f>
        <v>0</v>
      </c>
      <c r="AK11" s="107">
        <f>AJ11*30</f>
        <v>0</v>
      </c>
    </row>
    <row r="12" spans="1:16384" ht="15.75" thickBot="1" x14ac:dyDescent="0.3">
      <c r="B12" s="102" t="s">
        <v>21</v>
      </c>
      <c r="C12" s="104" t="s">
        <v>35</v>
      </c>
      <c r="D12" s="149"/>
      <c r="E12" s="149"/>
      <c r="F12" s="149"/>
      <c r="G12" s="149"/>
      <c r="H12" s="149"/>
      <c r="I12" s="149"/>
      <c r="J12" s="149"/>
      <c r="K12" s="149"/>
      <c r="L12" s="149"/>
      <c r="M12" s="149"/>
      <c r="N12" s="149"/>
      <c r="O12" s="149"/>
      <c r="P12" s="149"/>
      <c r="Q12" s="149"/>
      <c r="R12" s="149"/>
      <c r="S12" s="149"/>
      <c r="T12" s="149"/>
      <c r="U12" s="149"/>
      <c r="V12" s="149"/>
      <c r="W12" s="149"/>
      <c r="X12" s="149"/>
      <c r="Y12" s="149"/>
      <c r="Z12" s="149"/>
      <c r="AA12" s="149"/>
      <c r="AB12" s="149"/>
      <c r="AC12" s="149"/>
      <c r="AD12" s="149"/>
      <c r="AE12" s="149"/>
      <c r="AF12" s="149"/>
      <c r="AG12" s="45"/>
      <c r="AH12" s="46"/>
      <c r="AI12" s="108">
        <f>SUM(D12:AG12)</f>
        <v>0</v>
      </c>
      <c r="AJ12" s="109">
        <f>AI12/COUNTA(C12:AG12)</f>
        <v>0</v>
      </c>
      <c r="AK12" s="110">
        <f>AJ12*30</f>
        <v>0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201" t="str">
        <f>B8</f>
        <v>Jun - 30 dias</v>
      </c>
      <c r="C14" s="202"/>
      <c r="D14" s="1" t="str">
        <f>D8</f>
        <v>Qua</v>
      </c>
      <c r="E14" s="1" t="str">
        <f t="shared" ref="E14:AH14" si="2">E8</f>
        <v>Qui</v>
      </c>
      <c r="F14" s="1" t="str">
        <f t="shared" si="2"/>
        <v>Sex</v>
      </c>
      <c r="G14" s="1" t="str">
        <f t="shared" si="2"/>
        <v>Sáb</v>
      </c>
      <c r="H14" s="1" t="str">
        <f t="shared" si="2"/>
        <v>Dom</v>
      </c>
      <c r="I14" s="1" t="str">
        <f t="shared" si="2"/>
        <v>Seg</v>
      </c>
      <c r="J14" s="1" t="str">
        <f t="shared" si="2"/>
        <v>Ter</v>
      </c>
      <c r="K14" s="1" t="str">
        <f t="shared" si="2"/>
        <v>Qua</v>
      </c>
      <c r="L14" s="1" t="str">
        <f t="shared" si="2"/>
        <v>Qui</v>
      </c>
      <c r="M14" s="1" t="str">
        <f t="shared" si="2"/>
        <v>Sex</v>
      </c>
      <c r="N14" s="1" t="str">
        <f t="shared" si="2"/>
        <v>Sáb</v>
      </c>
      <c r="O14" s="1" t="str">
        <f t="shared" si="2"/>
        <v>Dom</v>
      </c>
      <c r="P14" s="1" t="str">
        <f t="shared" si="2"/>
        <v>Seg</v>
      </c>
      <c r="Q14" s="1" t="str">
        <f t="shared" si="2"/>
        <v>Ter</v>
      </c>
      <c r="R14" s="1" t="str">
        <f t="shared" si="2"/>
        <v>Qua</v>
      </c>
      <c r="S14" s="1" t="str">
        <f t="shared" si="2"/>
        <v>Qui</v>
      </c>
      <c r="T14" s="1" t="str">
        <f t="shared" si="2"/>
        <v>Sex</v>
      </c>
      <c r="U14" s="1" t="str">
        <f t="shared" si="2"/>
        <v>Sáb</v>
      </c>
      <c r="V14" s="1" t="str">
        <f t="shared" si="2"/>
        <v>Dom</v>
      </c>
      <c r="W14" s="1" t="str">
        <f t="shared" si="2"/>
        <v>Seg</v>
      </c>
      <c r="X14" s="1" t="str">
        <f t="shared" si="2"/>
        <v>Ter</v>
      </c>
      <c r="Y14" s="1" t="str">
        <f t="shared" si="2"/>
        <v>Qua</v>
      </c>
      <c r="Z14" s="1" t="str">
        <f t="shared" si="2"/>
        <v>Qui</v>
      </c>
      <c r="AA14" s="1" t="str">
        <f t="shared" si="2"/>
        <v>Sex</v>
      </c>
      <c r="AB14" s="1" t="str">
        <f t="shared" si="2"/>
        <v>Sáb</v>
      </c>
      <c r="AC14" s="1" t="str">
        <f t="shared" si="2"/>
        <v>Dom</v>
      </c>
      <c r="AD14" s="1" t="str">
        <f t="shared" si="2"/>
        <v>Seg</v>
      </c>
      <c r="AE14" s="1" t="str">
        <f t="shared" si="2"/>
        <v>Ter</v>
      </c>
      <c r="AF14" s="1" t="str">
        <f t="shared" si="2"/>
        <v>Qua</v>
      </c>
      <c r="AG14" s="1" t="str">
        <f t="shared" si="2"/>
        <v>Qui</v>
      </c>
      <c r="AH14" s="1">
        <f t="shared" si="2"/>
        <v>0</v>
      </c>
      <c r="AI14" s="227" t="s">
        <v>7</v>
      </c>
      <c r="AJ14" s="228" t="s">
        <v>17</v>
      </c>
      <c r="AK14" s="64" t="s">
        <v>18</v>
      </c>
    </row>
    <row r="15" spans="1:16384" s="114" customFormat="1" x14ac:dyDescent="0.25">
      <c r="A15" s="10"/>
      <c r="B15" s="203" t="s">
        <v>18</v>
      </c>
      <c r="C15" s="204"/>
      <c r="D15" s="49">
        <f>D9</f>
        <v>42522</v>
      </c>
      <c r="E15" s="49">
        <f>E9</f>
        <v>42523</v>
      </c>
      <c r="F15" s="49">
        <f t="shared" ref="F15:AH15" si="3">F9</f>
        <v>42524</v>
      </c>
      <c r="G15" s="49">
        <f t="shared" si="3"/>
        <v>42525</v>
      </c>
      <c r="H15" s="49">
        <f t="shared" si="3"/>
        <v>42526</v>
      </c>
      <c r="I15" s="49">
        <f t="shared" si="3"/>
        <v>42527</v>
      </c>
      <c r="J15" s="49">
        <f t="shared" si="3"/>
        <v>42528</v>
      </c>
      <c r="K15" s="49">
        <f t="shared" si="3"/>
        <v>42529</v>
      </c>
      <c r="L15" s="49">
        <f t="shared" si="3"/>
        <v>42530</v>
      </c>
      <c r="M15" s="49">
        <f t="shared" si="3"/>
        <v>42531</v>
      </c>
      <c r="N15" s="49">
        <f t="shared" si="3"/>
        <v>42532</v>
      </c>
      <c r="O15" s="49">
        <f t="shared" si="3"/>
        <v>42533</v>
      </c>
      <c r="P15" s="49">
        <f t="shared" si="3"/>
        <v>42534</v>
      </c>
      <c r="Q15" s="49">
        <f t="shared" si="3"/>
        <v>42535</v>
      </c>
      <c r="R15" s="49">
        <f t="shared" si="3"/>
        <v>42536</v>
      </c>
      <c r="S15" s="49">
        <f t="shared" si="3"/>
        <v>42537</v>
      </c>
      <c r="T15" s="49">
        <f t="shared" si="3"/>
        <v>42538</v>
      </c>
      <c r="U15" s="49">
        <f t="shared" si="3"/>
        <v>42539</v>
      </c>
      <c r="V15" s="49">
        <f t="shared" si="3"/>
        <v>42540</v>
      </c>
      <c r="W15" s="49">
        <f t="shared" si="3"/>
        <v>42541</v>
      </c>
      <c r="X15" s="49">
        <f t="shared" si="3"/>
        <v>42542</v>
      </c>
      <c r="Y15" s="49">
        <f t="shared" si="3"/>
        <v>42543</v>
      </c>
      <c r="Z15" s="49">
        <f t="shared" si="3"/>
        <v>42544</v>
      </c>
      <c r="AA15" s="49">
        <f t="shared" si="3"/>
        <v>42545</v>
      </c>
      <c r="AB15" s="49">
        <f t="shared" si="3"/>
        <v>42546</v>
      </c>
      <c r="AC15" s="49">
        <f t="shared" si="3"/>
        <v>42547</v>
      </c>
      <c r="AD15" s="49">
        <f t="shared" si="3"/>
        <v>42548</v>
      </c>
      <c r="AE15" s="49">
        <f t="shared" si="3"/>
        <v>42549</v>
      </c>
      <c r="AF15" s="49">
        <f t="shared" si="3"/>
        <v>42550</v>
      </c>
      <c r="AG15" s="49">
        <f t="shared" si="3"/>
        <v>42551</v>
      </c>
      <c r="AH15" s="49">
        <f t="shared" si="3"/>
        <v>0</v>
      </c>
      <c r="AI15" s="52">
        <f>SUM(AI16:AI18)</f>
        <v>1480</v>
      </c>
      <c r="AJ15" s="66">
        <f>SUM(AJ16:AJ18)</f>
        <v>47.741935483870961</v>
      </c>
      <c r="AK15" s="55">
        <f>SUM(AK16:AK18)</f>
        <v>1432.258064516129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17</v>
      </c>
      <c r="E16" s="137">
        <f t="shared" ref="E16:AG16" si="4">IF(E4&lt;&gt;"",E4,E10)</f>
        <v>0</v>
      </c>
      <c r="F16" s="137">
        <f t="shared" si="4"/>
        <v>0</v>
      </c>
      <c r="G16" s="137">
        <f t="shared" si="4"/>
        <v>0</v>
      </c>
      <c r="H16" s="137">
        <f t="shared" si="4"/>
        <v>0</v>
      </c>
      <c r="I16" s="137">
        <f t="shared" si="4"/>
        <v>0</v>
      </c>
      <c r="J16" s="137">
        <f t="shared" si="4"/>
        <v>0</v>
      </c>
      <c r="K16" s="137">
        <f t="shared" si="4"/>
        <v>0</v>
      </c>
      <c r="L16" s="137">
        <f t="shared" si="4"/>
        <v>0</v>
      </c>
      <c r="M16" s="137">
        <f t="shared" si="4"/>
        <v>0</v>
      </c>
      <c r="N16" s="137">
        <f t="shared" si="4"/>
        <v>0</v>
      </c>
      <c r="O16" s="137">
        <f t="shared" si="4"/>
        <v>0</v>
      </c>
      <c r="P16" s="137">
        <f t="shared" si="4"/>
        <v>0</v>
      </c>
      <c r="Q16" s="137">
        <f t="shared" si="4"/>
        <v>0</v>
      </c>
      <c r="R16" s="137">
        <f t="shared" si="4"/>
        <v>0</v>
      </c>
      <c r="S16" s="137">
        <f t="shared" si="4"/>
        <v>0</v>
      </c>
      <c r="T16" s="137">
        <f t="shared" si="4"/>
        <v>0</v>
      </c>
      <c r="U16" s="137">
        <f t="shared" si="4"/>
        <v>0</v>
      </c>
      <c r="V16" s="137">
        <f t="shared" si="4"/>
        <v>0</v>
      </c>
      <c r="W16" s="137">
        <f t="shared" si="4"/>
        <v>0</v>
      </c>
      <c r="X16" s="137">
        <f t="shared" si="4"/>
        <v>0</v>
      </c>
      <c r="Y16" s="137">
        <f t="shared" si="4"/>
        <v>0</v>
      </c>
      <c r="Z16" s="137">
        <f t="shared" si="4"/>
        <v>0</v>
      </c>
      <c r="AA16" s="137">
        <f t="shared" si="4"/>
        <v>0</v>
      </c>
      <c r="AB16" s="137">
        <f t="shared" si="4"/>
        <v>0</v>
      </c>
      <c r="AC16" s="137">
        <f t="shared" si="4"/>
        <v>0</v>
      </c>
      <c r="AD16" s="137">
        <f t="shared" si="4"/>
        <v>0</v>
      </c>
      <c r="AE16" s="137">
        <f t="shared" si="4"/>
        <v>0</v>
      </c>
      <c r="AF16" s="137">
        <f t="shared" si="4"/>
        <v>0</v>
      </c>
      <c r="AG16" s="137">
        <f t="shared" si="4"/>
        <v>0</v>
      </c>
      <c r="AH16" s="137">
        <f t="shared" ref="AH16" si="5">IF(AH4&lt;&gt;"",AH4,AH10)</f>
        <v>0</v>
      </c>
      <c r="AI16" s="105">
        <f>SUM(D16:AG16)</f>
        <v>17</v>
      </c>
      <c r="AJ16" s="106">
        <f>AI16/COUNTA(C16:AG16)</f>
        <v>0.54838709677419351</v>
      </c>
      <c r="AK16" s="107">
        <f>AJ16*30</f>
        <v>16.451612903225804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869</v>
      </c>
      <c r="E17" s="137">
        <f t="shared" ref="E17:AG17" si="6">IF(E5&lt;&gt;"",E5,E11)</f>
        <v>0</v>
      </c>
      <c r="F17" s="137">
        <f t="shared" si="6"/>
        <v>0</v>
      </c>
      <c r="G17" s="137">
        <f t="shared" si="6"/>
        <v>0</v>
      </c>
      <c r="H17" s="137">
        <f t="shared" si="6"/>
        <v>0</v>
      </c>
      <c r="I17" s="137">
        <f t="shared" si="6"/>
        <v>0</v>
      </c>
      <c r="J17" s="137">
        <f t="shared" si="6"/>
        <v>0</v>
      </c>
      <c r="K17" s="137">
        <f t="shared" si="6"/>
        <v>0</v>
      </c>
      <c r="L17" s="137">
        <f t="shared" si="6"/>
        <v>0</v>
      </c>
      <c r="M17" s="137">
        <f t="shared" si="6"/>
        <v>0</v>
      </c>
      <c r="N17" s="137">
        <f t="shared" si="6"/>
        <v>0</v>
      </c>
      <c r="O17" s="137">
        <f t="shared" si="6"/>
        <v>0</v>
      </c>
      <c r="P17" s="137">
        <f t="shared" si="6"/>
        <v>0</v>
      </c>
      <c r="Q17" s="137">
        <f t="shared" si="6"/>
        <v>0</v>
      </c>
      <c r="R17" s="137">
        <f t="shared" si="6"/>
        <v>0</v>
      </c>
      <c r="S17" s="137">
        <f t="shared" si="6"/>
        <v>0</v>
      </c>
      <c r="T17" s="137">
        <f t="shared" si="6"/>
        <v>0</v>
      </c>
      <c r="U17" s="137">
        <f t="shared" si="6"/>
        <v>0</v>
      </c>
      <c r="V17" s="137">
        <f t="shared" si="6"/>
        <v>0</v>
      </c>
      <c r="W17" s="137">
        <f t="shared" si="6"/>
        <v>0</v>
      </c>
      <c r="X17" s="137">
        <f t="shared" si="6"/>
        <v>0</v>
      </c>
      <c r="Y17" s="137">
        <f t="shared" si="6"/>
        <v>0</v>
      </c>
      <c r="Z17" s="137">
        <f t="shared" si="6"/>
        <v>0</v>
      </c>
      <c r="AA17" s="137">
        <f t="shared" si="6"/>
        <v>0</v>
      </c>
      <c r="AB17" s="137">
        <f t="shared" si="6"/>
        <v>0</v>
      </c>
      <c r="AC17" s="137">
        <f t="shared" si="6"/>
        <v>0</v>
      </c>
      <c r="AD17" s="137">
        <f t="shared" si="6"/>
        <v>0</v>
      </c>
      <c r="AE17" s="137">
        <f t="shared" si="6"/>
        <v>0</v>
      </c>
      <c r="AF17" s="137">
        <f t="shared" si="6"/>
        <v>0</v>
      </c>
      <c r="AG17" s="137">
        <f t="shared" si="6"/>
        <v>0</v>
      </c>
      <c r="AH17" s="137">
        <f t="shared" ref="AH17" si="7">IF(AH5&lt;&gt;"",AH5,AH11)</f>
        <v>0</v>
      </c>
      <c r="AI17" s="105">
        <f>SUM(D17:AG17)</f>
        <v>869</v>
      </c>
      <c r="AJ17" s="106">
        <f>AI17/COUNTA(C17:AG17)</f>
        <v>28.032258064516128</v>
      </c>
      <c r="AK17" s="107">
        <f>AJ17*30</f>
        <v>840.9677419354839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594</v>
      </c>
      <c r="E18" s="148">
        <f t="shared" ref="E18:AG18" si="8">IF(E6&lt;&gt;"",E6,E12)</f>
        <v>0</v>
      </c>
      <c r="F18" s="148">
        <f t="shared" si="8"/>
        <v>0</v>
      </c>
      <c r="G18" s="148">
        <f t="shared" si="8"/>
        <v>0</v>
      </c>
      <c r="H18" s="148">
        <f t="shared" si="8"/>
        <v>0</v>
      </c>
      <c r="I18" s="148">
        <f t="shared" si="8"/>
        <v>0</v>
      </c>
      <c r="J18" s="148">
        <f t="shared" si="8"/>
        <v>0</v>
      </c>
      <c r="K18" s="148">
        <f t="shared" si="8"/>
        <v>0</v>
      </c>
      <c r="L18" s="148">
        <f t="shared" si="8"/>
        <v>0</v>
      </c>
      <c r="M18" s="148">
        <f t="shared" si="8"/>
        <v>0</v>
      </c>
      <c r="N18" s="148">
        <f t="shared" si="8"/>
        <v>0</v>
      </c>
      <c r="O18" s="148">
        <f t="shared" si="8"/>
        <v>0</v>
      </c>
      <c r="P18" s="148">
        <f t="shared" si="8"/>
        <v>0</v>
      </c>
      <c r="Q18" s="148">
        <f t="shared" si="8"/>
        <v>0</v>
      </c>
      <c r="R18" s="148">
        <f t="shared" si="8"/>
        <v>0</v>
      </c>
      <c r="S18" s="148">
        <f t="shared" si="8"/>
        <v>0</v>
      </c>
      <c r="T18" s="148">
        <f t="shared" si="8"/>
        <v>0</v>
      </c>
      <c r="U18" s="148">
        <f t="shared" si="8"/>
        <v>0</v>
      </c>
      <c r="V18" s="148">
        <f t="shared" si="8"/>
        <v>0</v>
      </c>
      <c r="W18" s="148">
        <f t="shared" si="8"/>
        <v>0</v>
      </c>
      <c r="X18" s="148">
        <f t="shared" si="8"/>
        <v>0</v>
      </c>
      <c r="Y18" s="148">
        <f t="shared" si="8"/>
        <v>0</v>
      </c>
      <c r="Z18" s="148">
        <f t="shared" si="8"/>
        <v>0</v>
      </c>
      <c r="AA18" s="148">
        <f t="shared" si="8"/>
        <v>0</v>
      </c>
      <c r="AB18" s="148">
        <f t="shared" si="8"/>
        <v>0</v>
      </c>
      <c r="AC18" s="148">
        <f t="shared" si="8"/>
        <v>0</v>
      </c>
      <c r="AD18" s="148">
        <f t="shared" si="8"/>
        <v>0</v>
      </c>
      <c r="AE18" s="148">
        <f t="shared" si="8"/>
        <v>0</v>
      </c>
      <c r="AF18" s="148">
        <f t="shared" si="8"/>
        <v>0</v>
      </c>
      <c r="AG18" s="148">
        <f t="shared" si="8"/>
        <v>0</v>
      </c>
      <c r="AH18" s="148">
        <f t="shared" ref="AH18" si="9">IF(AH6&lt;&gt;"",AH6,AH12)</f>
        <v>0</v>
      </c>
      <c r="AI18" s="108">
        <f>SUM(D18:AG18)</f>
        <v>594</v>
      </c>
      <c r="AJ18" s="109">
        <f>AI18/COUNTA(C18:AG18)</f>
        <v>19.161290322580644</v>
      </c>
      <c r="AK18" s="110">
        <f>AJ18*30</f>
        <v>574.83870967741927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82" t="str">
        <f>B14</f>
        <v>Jun - 30 dias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189" t="s">
        <v>30</v>
      </c>
      <c r="K20" s="190"/>
      <c r="L20" s="209" t="s">
        <v>32</v>
      </c>
      <c r="M20" s="209"/>
      <c r="N20" s="195" t="s">
        <v>32</v>
      </c>
      <c r="O20" s="196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1480</v>
      </c>
      <c r="D21" s="142">
        <f>SUM(D22:D24)</f>
        <v>1480</v>
      </c>
      <c r="E21" s="143">
        <f>SUM(E22:E24)</f>
        <v>0</v>
      </c>
      <c r="F21" s="138" t="e">
        <f>(D21-E21)/E21</f>
        <v>#DIV/0!</v>
      </c>
      <c r="G21" s="133" t="e">
        <f>F21</f>
        <v>#DIV/0!</v>
      </c>
      <c r="H21" s="12"/>
      <c r="I21" s="32"/>
      <c r="J21" s="191">
        <v>7.22</v>
      </c>
      <c r="K21" s="192"/>
      <c r="L21" s="222">
        <v>207</v>
      </c>
      <c r="M21" s="222"/>
      <c r="N21" s="197">
        <v>15639</v>
      </c>
      <c r="O21" s="198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17</v>
      </c>
      <c r="D22" s="145">
        <f>AI16</f>
        <v>17</v>
      </c>
      <c r="E22" s="143">
        <f>AI10</f>
        <v>0</v>
      </c>
      <c r="F22" s="139" t="e">
        <f t="shared" ref="F22:F24" si="10">(D22-E22)/E22</f>
        <v>#DIV/0!</v>
      </c>
      <c r="G22" s="133" t="e">
        <f>F22</f>
        <v>#DIV/0!</v>
      </c>
      <c r="H22" s="12"/>
      <c r="I22" s="32"/>
      <c r="J22" s="193" t="s">
        <v>13</v>
      </c>
      <c r="K22" s="194"/>
      <c r="L22" s="223" t="s">
        <v>13</v>
      </c>
      <c r="M22" s="223"/>
      <c r="N22" s="199" t="s">
        <v>15</v>
      </c>
      <c r="O22" s="200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869</v>
      </c>
      <c r="D23" s="145">
        <f>AI17</f>
        <v>869</v>
      </c>
      <c r="E23" s="143">
        <f>AI11</f>
        <v>0</v>
      </c>
      <c r="F23" s="139" t="e">
        <f t="shared" si="10"/>
        <v>#DIV/0!</v>
      </c>
      <c r="G23" s="133" t="e">
        <f>F23</f>
        <v>#DIV/0!</v>
      </c>
      <c r="H23" s="12"/>
      <c r="I23" s="32"/>
      <c r="J23" s="216" t="s">
        <v>31</v>
      </c>
      <c r="K23" s="217"/>
      <c r="L23" s="224" t="s">
        <v>33</v>
      </c>
      <c r="M23" s="224"/>
      <c r="N23" s="210" t="s">
        <v>33</v>
      </c>
      <c r="O23" s="211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594</v>
      </c>
      <c r="D24" s="147">
        <f>AI18</f>
        <v>594</v>
      </c>
      <c r="E24" s="166">
        <f>AI12</f>
        <v>0</v>
      </c>
      <c r="F24" s="140" t="e">
        <f t="shared" si="10"/>
        <v>#DIV/0!</v>
      </c>
      <c r="G24" s="136" t="e">
        <f>F24</f>
        <v>#DIV/0!</v>
      </c>
      <c r="H24" s="12"/>
      <c r="I24" s="32"/>
      <c r="J24" s="191">
        <v>6.77</v>
      </c>
      <c r="K24" s="192"/>
      <c r="L24" s="222">
        <v>210</v>
      </c>
      <c r="M24" s="222"/>
      <c r="N24" s="197">
        <v>21648</v>
      </c>
      <c r="O24" s="198"/>
      <c r="AI24" s="29"/>
      <c r="AJ24" s="34"/>
      <c r="AK24" s="51"/>
      <c r="AL24" s="34"/>
    </row>
    <row r="25" spans="1:38" ht="26.25" x14ac:dyDescent="0.25">
      <c r="H25" s="113"/>
      <c r="I25" s="32"/>
      <c r="J25" s="218" t="s">
        <v>26</v>
      </c>
      <c r="K25" s="219"/>
      <c r="L25" s="225" t="str">
        <f>J25</f>
        <v>Redução</v>
      </c>
      <c r="M25" s="225"/>
      <c r="N25" s="212" t="str">
        <f>L25</f>
        <v>Redução</v>
      </c>
      <c r="O25" s="213"/>
      <c r="AI25" s="29"/>
      <c r="AJ25" s="34"/>
      <c r="AK25" s="51"/>
      <c r="AL25" s="34"/>
    </row>
    <row r="26" spans="1:38" ht="27" thickBot="1" x14ac:dyDescent="0.3">
      <c r="G26" s="12"/>
      <c r="I26" s="33"/>
      <c r="J26" s="220">
        <f>(J21/J24)-1</f>
        <v>6.6469719350073841E-2</v>
      </c>
      <c r="K26" s="221"/>
      <c r="L26" s="226">
        <f>(L21/L24)-1</f>
        <v>-1.4285714285714235E-2</v>
      </c>
      <c r="M26" s="226"/>
      <c r="N26" s="214">
        <f>(N21/N24)-1</f>
        <v>-0.27757760532150777</v>
      </c>
      <c r="O26" s="215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83" t="str">
        <f>'Dados - Gráficos'!B20</f>
        <v>Jun - 30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1480</v>
      </c>
      <c r="D6" s="7">
        <f>'Dados - Gráficos'!D21</f>
        <v>1480</v>
      </c>
      <c r="E6" s="93">
        <f>'Dados - Gráficos'!E21</f>
        <v>0</v>
      </c>
      <c r="F6" s="118" t="e">
        <f>'Dados - Gráficos'!F21</f>
        <v>#DIV/0!</v>
      </c>
      <c r="G6" s="119" t="e">
        <f>'Dados - Gráficos'!G21</f>
        <v>#DIV/0!</v>
      </c>
      <c r="H6" s="32"/>
      <c r="I6" s="19">
        <f>K9</f>
        <v>415</v>
      </c>
      <c r="J6" s="83">
        <f>Indicadores!AH42</f>
        <v>294</v>
      </c>
      <c r="K6" s="88">
        <f>E7</f>
        <v>0</v>
      </c>
    </row>
    <row r="7" spans="2:11" x14ac:dyDescent="0.25">
      <c r="B7" s="15" t="str">
        <f>'Dados - Gráficos'!B22</f>
        <v>Alto</v>
      </c>
      <c r="C7" s="99">
        <f>'Dados - Gráficos'!C22</f>
        <v>17</v>
      </c>
      <c r="D7" s="8">
        <f>'Dados - Gráficos'!D22</f>
        <v>17</v>
      </c>
      <c r="E7" s="93">
        <f>'Dados - Gráficos'!E22</f>
        <v>0</v>
      </c>
      <c r="F7" s="120" t="e">
        <f>'Dados - Gráficos'!F22</f>
        <v>#DIV/0!</v>
      </c>
      <c r="G7" s="119" t="e">
        <f>'Dados - Gráficos'!G22</f>
        <v>#DIV/0!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869</v>
      </c>
      <c r="D8" s="8">
        <f>'Dados - Gráficos'!D23</f>
        <v>869</v>
      </c>
      <c r="E8" s="93">
        <f>'Dados - Gráficos'!E23</f>
        <v>0</v>
      </c>
      <c r="F8" s="120" t="e">
        <f>'Dados - Gráficos'!F23</f>
        <v>#DIV/0!</v>
      </c>
      <c r="G8" s="119" t="e">
        <f>'Dados - Gráficos'!G23</f>
        <v>#DIV/0!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594</v>
      </c>
      <c r="D9" s="17">
        <f>'Dados - Gráficos'!D24</f>
        <v>594</v>
      </c>
      <c r="E9" s="94">
        <f>'Dados - Gráficos'!E24</f>
        <v>0</v>
      </c>
      <c r="F9" s="121" t="e">
        <f>'Dados - Gráficos'!F24</f>
        <v>#DIV/0!</v>
      </c>
      <c r="G9" s="122" t="e">
        <f>'Dados - Gráficos'!G24</f>
        <v>#DIV/0!</v>
      </c>
      <c r="H9" s="32"/>
      <c r="I9" s="19">
        <v>1494</v>
      </c>
      <c r="J9" s="83">
        <f>I9</f>
        <v>1494</v>
      </c>
      <c r="K9" s="88">
        <f>Indicadores!AH48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-1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IWuy4Fumg3rYT5mjPD1S+I28v/hrEcI/lQ65F7AahevT6sp0gzU8OpKS4Wtl14M6cCpHyLsT+9x34sjfJG5ycQ==" saltValue="Dpe2n6/+H0Exub+JbMoAOA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2016-06-02T14:13:47Z</dcterms:modified>
</cp:coreProperties>
</file>