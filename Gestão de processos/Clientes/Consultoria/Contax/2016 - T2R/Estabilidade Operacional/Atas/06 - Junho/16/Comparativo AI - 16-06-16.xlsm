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C5" i="1"/>
  <c r="G5" i="1"/>
  <c r="AH5" i="7" l="1"/>
  <c r="AH19" i="7" s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<sst xmlns="http://schemas.openxmlformats.org/spreadsheetml/2006/main" count="351" uniqueCount="41">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</sst>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BD-4848-9EBA-E7A13DC1685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BD-4848-9EBA-E7A13DC1685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BD-4848-9EBA-E7A13DC1685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BD-4848-9EBA-E7A13DC1685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9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AD-4C55-B926-9BC9904FA1C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D-4C55-B926-9BC9904FA1C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D-4C55-B926-9BC9904FA1C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AD-4C55-B926-9BC9904FA1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729</c:v>
                </c:pt>
                <c:pt idx="1">
                  <c:v>579</c:v>
                </c:pt>
                <c:pt idx="2">
                  <c:v>522</c:v>
                </c:pt>
                <c:pt idx="3">
                  <c:v>118</c:v>
                </c:pt>
                <c:pt idx="4">
                  <c:v>35</c:v>
                </c:pt>
                <c:pt idx="5">
                  <c:v>522</c:v>
                </c:pt>
                <c:pt idx="6">
                  <c:v>519</c:v>
                </c:pt>
                <c:pt idx="7">
                  <c:v>439</c:v>
                </c:pt>
                <c:pt idx="8">
                  <c:v>498</c:v>
                </c:pt>
                <c:pt idx="9">
                  <c:v>448</c:v>
                </c:pt>
                <c:pt idx="10">
                  <c:v>76</c:v>
                </c:pt>
                <c:pt idx="11">
                  <c:v>21</c:v>
                </c:pt>
                <c:pt idx="12">
                  <c:v>496</c:v>
                </c:pt>
                <c:pt idx="13">
                  <c:v>504</c:v>
                </c:pt>
                <c:pt idx="14">
                  <c:v>496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2A-4C27-BA56-8F3FEC0D1C7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2A-4C27-BA56-8F3FEC0D1C7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2A-4C27-BA56-8F3FEC0D1C7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2A-4C27-BA56-8F3FEC0D1C7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294</c:v>
                </c:pt>
                <c:pt idx="3">
                  <c:v>105</c:v>
                </c:pt>
                <c:pt idx="4">
                  <c:v>19</c:v>
                </c:pt>
                <c:pt idx="5">
                  <c:v>481</c:v>
                </c:pt>
                <c:pt idx="6">
                  <c:v>372</c:v>
                </c:pt>
                <c:pt idx="7">
                  <c:v>374</c:v>
                </c:pt>
                <c:pt idx="8">
                  <c:v>292</c:v>
                </c:pt>
                <c:pt idx="9">
                  <c:v>228</c:v>
                </c:pt>
                <c:pt idx="10">
                  <c:v>65</c:v>
                </c:pt>
                <c:pt idx="11">
                  <c:v>28</c:v>
                </c:pt>
                <c:pt idx="12">
                  <c:v>377</c:v>
                </c:pt>
                <c:pt idx="13">
                  <c:v>279</c:v>
                </c:pt>
                <c:pt idx="14">
                  <c:v>247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2B-4720-AE99-9237B92AA4B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2B-4720-AE99-9237B92AA4B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2B-4720-AE99-9237B92AA4B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2B-4720-AE99-9237B92AA4B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2B-4720-AE99-9237B92AA4B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1288</c:v>
                </c:pt>
                <c:pt idx="1">
                  <c:v>1019</c:v>
                </c:pt>
                <c:pt idx="2">
                  <c:v>816</c:v>
                </c:pt>
                <c:pt idx="3">
                  <c:v>223</c:v>
                </c:pt>
                <c:pt idx="4">
                  <c:v>54</c:v>
                </c:pt>
                <c:pt idx="5">
                  <c:v>1003</c:v>
                </c:pt>
                <c:pt idx="6">
                  <c:v>891</c:v>
                </c:pt>
                <c:pt idx="7">
                  <c:v>813</c:v>
                </c:pt>
                <c:pt idx="8">
                  <c:v>790</c:v>
                </c:pt>
                <c:pt idx="9">
                  <c:v>676</c:v>
                </c:pt>
                <c:pt idx="10">
                  <c:v>141</c:v>
                </c:pt>
                <c:pt idx="11">
                  <c:v>49</c:v>
                </c:pt>
                <c:pt idx="12">
                  <c:v>873</c:v>
                </c:pt>
                <c:pt idx="13">
                  <c:v>783</c:v>
                </c:pt>
                <c:pt idx="14">
                  <c:v>743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vdv/KjEZro1A1NTdb6sWsFVPMAznlhpIxwwGVqW56GP7bz1EcIyHb2+MrBIvGuNVYsyNAXthXcxXQz/QXa8aUg==" saltValue="junKt4BLY600VBgxJ5S5P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NGf8HaAybsyv+JskLd3GG5v1V8HmQ5VVSM1oZc3RTttLjDNWITEFVsCSp+jPi/jVAfqKaCHIe1+LbPxd0hPcBA==" saltValue="Xg8TFAVhc4VpCUpEWoThz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NrwSMYIBrbvnvOC+zu34/hZo9eQMO0IEr43xROT9W+6Cypde0hAj5b7ZXnfC4KX8E2w+HD1vdY1/QOxkEQOynw==" saltValue="g84EKeYNxXFLkaCYt41FJ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7" sqref="C7:Q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10254</v>
      </c>
      <c r="AI3" s="71">
        <f>AH3/COUNTA(C4:AF4)</f>
        <v>683.6</v>
      </c>
      <c r="AJ3" s="55">
        <f>AI3*30</f>
        <v>20508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9</v>
      </c>
      <c r="Q4" s="24">
        <v>4</v>
      </c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92</v>
      </c>
      <c r="AI4" s="38">
        <f>AH4/COUNTA(C4:AF4)</f>
        <v>6.1333333333333337</v>
      </c>
      <c r="AJ4" s="56">
        <f>AI4*30</f>
        <v>184</v>
      </c>
    </row>
    <row r="5" spans="2:36" x14ac:dyDescent="0.25">
      <c r="B5" s="186" t="s">
        <v>40</v>
      </c>
      <c r="C5" s="188">
        <f>C6+C7</f>
        <v>1288</v>
      </c>
      <c r="D5" s="188">
        <f t="shared" ref="D5:F5" si="0">D6+D7</f>
        <v>1019</v>
      </c>
      <c r="E5" s="188">
        <f t="shared" si="0"/>
        <v>816</v>
      </c>
      <c r="F5" s="188">
        <f t="shared" si="0"/>
        <v>223</v>
      </c>
      <c r="G5" s="188">
        <f>G6+G7</f>
        <v>54</v>
      </c>
      <c r="H5" s="188">
        <f t="shared" ref="H5:AF5" si="1">H6+H7</f>
        <v>1003</v>
      </c>
      <c r="I5" s="188">
        <f t="shared" si="1"/>
        <v>891</v>
      </c>
      <c r="J5" s="188">
        <f t="shared" si="1"/>
        <v>813</v>
      </c>
      <c r="K5" s="188">
        <f t="shared" si="1"/>
        <v>790</v>
      </c>
      <c r="L5" s="188">
        <f t="shared" si="1"/>
        <v>676</v>
      </c>
      <c r="M5" s="188">
        <f t="shared" si="1"/>
        <v>141</v>
      </c>
      <c r="N5" s="188">
        <f t="shared" si="1"/>
        <v>49</v>
      </c>
      <c r="O5" s="188">
        <f t="shared" si="1"/>
        <v>873</v>
      </c>
      <c r="P5" s="188">
        <f t="shared" si="1"/>
        <v>783</v>
      </c>
      <c r="Q5" s="188">
        <f t="shared" si="1"/>
        <v>743</v>
      </c>
      <c r="R5" s="188">
        <f t="shared" si="1"/>
        <v>0</v>
      </c>
      <c r="S5" s="188">
        <f t="shared" si="1"/>
        <v>0</v>
      </c>
      <c r="T5" s="188">
        <f t="shared" si="1"/>
        <v>0</v>
      </c>
      <c r="U5" s="188">
        <f t="shared" si="1"/>
        <v>0</v>
      </c>
      <c r="V5" s="188">
        <f t="shared" si="1"/>
        <v>0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/>
      <c r="AH5" s="53">
        <f>SUM(C5:AF5)</f>
        <v>10162</v>
      </c>
      <c r="AI5" s="38">
        <f>AH5/COUNTA(C5:AF5)</f>
        <v>338.73333333333335</v>
      </c>
      <c r="AJ5" s="56">
        <f>AI5*30</f>
        <v>10162</v>
      </c>
    </row>
    <row r="6" spans="2:36" x14ac:dyDescent="0.25">
      <c r="B6" s="174" t="s">
        <v>20</v>
      </c>
      <c r="C6" s="188">
        <v>729</v>
      </c>
      <c r="D6" s="188">
        <v>579</v>
      </c>
      <c r="E6" s="188">
        <v>522</v>
      </c>
      <c r="F6" s="188">
        <v>118</v>
      </c>
      <c r="G6" s="188">
        <v>35</v>
      </c>
      <c r="H6" s="188">
        <v>522</v>
      </c>
      <c r="I6" s="188">
        <v>519</v>
      </c>
      <c r="J6" s="188">
        <v>439</v>
      </c>
      <c r="K6" s="188">
        <v>498</v>
      </c>
      <c r="L6" s="188">
        <v>448</v>
      </c>
      <c r="M6" s="188">
        <v>76</v>
      </c>
      <c r="N6" s="188">
        <v>21</v>
      </c>
      <c r="O6" s="188">
        <v>496</v>
      </c>
      <c r="P6" s="188">
        <v>504</v>
      </c>
      <c r="Q6" s="24">
        <v>496</v>
      </c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6002</v>
      </c>
      <c r="AI6" s="38">
        <f>AH6/COUNTA(C6:AF6)</f>
        <v>400.13333333333333</v>
      </c>
      <c r="AJ6" s="56">
        <f>AI6*30</f>
        <v>12004</v>
      </c>
    </row>
    <row r="7" spans="2:36" ht="15.75" thickBot="1" x14ac:dyDescent="0.3">
      <c r="B7" s="176" t="s">
        <v>21</v>
      </c>
      <c r="C7" s="189">
        <v>559</v>
      </c>
      <c r="D7" s="189">
        <v>440</v>
      </c>
      <c r="E7" s="189">
        <v>294</v>
      </c>
      <c r="F7" s="189">
        <v>105</v>
      </c>
      <c r="G7" s="189">
        <v>19</v>
      </c>
      <c r="H7" s="189">
        <v>481</v>
      </c>
      <c r="I7" s="189">
        <v>372</v>
      </c>
      <c r="J7" s="189">
        <v>374</v>
      </c>
      <c r="K7" s="189">
        <v>292</v>
      </c>
      <c r="L7" s="189">
        <v>228</v>
      </c>
      <c r="M7" s="189">
        <v>65</v>
      </c>
      <c r="N7" s="189">
        <v>28</v>
      </c>
      <c r="O7" s="189">
        <v>377</v>
      </c>
      <c r="P7" s="189">
        <v>279</v>
      </c>
      <c r="Q7" s="25">
        <v>247</v>
      </c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4160</v>
      </c>
      <c r="AI7" s="37">
        <f>AH7/COUNTA(C7:AF7)</f>
        <v>277.33333333333331</v>
      </c>
      <c r="AJ7" s="57">
        <f>AI7*30</f>
        <v>8320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223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</row>
    <row r="2" spans="1:16384" ht="15" customHeight="1" x14ac:dyDescent="0.25">
      <c r="B2" s="204" t="str">
        <f>Indicadores!B2</f>
        <v>Jun - 30 dias</v>
      </c>
      <c r="C2" s="20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06" t="s">
        <v>22</v>
      </c>
      <c r="C3" s="20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10254</v>
      </c>
      <c r="AJ3" s="66">
        <f>Indicadores!AI3</f>
        <v>683.6</v>
      </c>
      <c r="AK3" s="55">
        <f>Indicadores!AJ3</f>
        <v>20508</v>
      </c>
    </row>
    <row r="4" spans="1:16384" x14ac:dyDescent="0.25">
      <c r="B4" s="236" t="str">
        <f>Indicadores!B4</f>
        <v>Alto</v>
      </c>
      <c r="C4" s="237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9</v>
      </c>
      <c r="R4" s="39">
        <f>IF(Indicadores!Q4,Indicadores!Q4,"")</f>
        <v>4</v>
      </c>
      <c r="S4" s="39" t="str">
        <f>IF(Indicadores!R4,Indicadores!R4,"")</f>
        <v/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92</v>
      </c>
      <c r="AJ4" s="75">
        <f>Indicadores!AI4</f>
        <v>6.1333333333333337</v>
      </c>
      <c r="AK4" s="56">
        <f>Indicadores!AJ4</f>
        <v>184</v>
      </c>
    </row>
    <row r="5" spans="1:16384" s="185" customFormat="1" x14ac:dyDescent="0.25">
      <c r="A5" s="10"/>
      <c r="B5" s="236" t="str">
        <f>Indicadores!B5</f>
        <v>Médio / Baixo</v>
      </c>
      <c r="C5" s="237"/>
      <c r="D5" s="39">
        <f>IF(Indicadores!C5,Indicadores!C5,"")</f>
        <v>1288</v>
      </c>
      <c r="E5" s="39">
        <f>IF(Indicadores!D5,Indicadores!D5,"")</f>
        <v>1019</v>
      </c>
      <c r="F5" s="39">
        <f>IF(Indicadores!E5,Indicadores!E5,"")</f>
        <v>816</v>
      </c>
      <c r="G5" s="39">
        <f>IF(Indicadores!F5,Indicadores!F5,"")</f>
        <v>223</v>
      </c>
      <c r="H5" s="39">
        <f>IF(Indicadores!G5,Indicadores!G5,"")</f>
        <v>54</v>
      </c>
      <c r="I5" s="39">
        <f>IF(Indicadores!H5,Indicadores!H5,"")</f>
        <v>1003</v>
      </c>
      <c r="J5" s="39">
        <f>IF(Indicadores!I5,Indicadores!I5,"")</f>
        <v>891</v>
      </c>
      <c r="K5" s="39">
        <f>IF(Indicadores!J5,Indicadores!J5,"")</f>
        <v>813</v>
      </c>
      <c r="L5" s="39">
        <f>IF(Indicadores!K5,Indicadores!K5,"")</f>
        <v>790</v>
      </c>
      <c r="M5" s="39">
        <f>IF(Indicadores!L5,Indicadores!L5,"")</f>
        <v>676</v>
      </c>
      <c r="N5" s="39">
        <f>IF(Indicadores!M5,Indicadores!M5,"")</f>
        <v>141</v>
      </c>
      <c r="O5" s="39">
        <f>IF(Indicadores!N5,Indicadores!N5,"")</f>
        <v>49</v>
      </c>
      <c r="P5" s="39">
        <f>IF(Indicadores!O5,Indicadores!O5,"")</f>
        <v>873</v>
      </c>
      <c r="Q5" s="39">
        <f>IF(Indicadores!P5,Indicadores!P5,"")</f>
        <v>783</v>
      </c>
      <c r="R5" s="39">
        <f>IF(Indicadores!Q5,Indicadores!Q5,"")</f>
        <v>743</v>
      </c>
      <c r="S5" s="39" t="str">
        <f>IF(Indicadores!R5,Indicadores!R5,"")</f>
        <v/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10162</v>
      </c>
      <c r="AJ5" s="75">
        <f>Indicadores!AI5</f>
        <v>338.73333333333335</v>
      </c>
      <c r="AK5" s="56">
        <f>Indicadores!AJ5</f>
        <v>10162</v>
      </c>
    </row>
    <row r="6" spans="1:16384" x14ac:dyDescent="0.25">
      <c r="B6" s="236" t="str">
        <f>Indicadores!B6</f>
        <v>Médio</v>
      </c>
      <c r="C6" s="237"/>
      <c r="D6" s="39">
        <f>IF(Indicadores!C6,Indicadores!C6,"")</f>
        <v>729</v>
      </c>
      <c r="E6" s="39">
        <f>IF(Indicadores!D6,Indicadores!D6,"")</f>
        <v>579</v>
      </c>
      <c r="F6" s="39">
        <f>IF(Indicadores!E6,Indicadores!E6,"")</f>
        <v>522</v>
      </c>
      <c r="G6" s="39">
        <f>IF(Indicadores!F6,Indicadores!F6,"")</f>
        <v>118</v>
      </c>
      <c r="H6" s="39">
        <f>IF(Indicadores!G6,Indicadores!G6,"")</f>
        <v>35</v>
      </c>
      <c r="I6" s="39">
        <f>IF(Indicadores!H6,Indicadores!H6,"")</f>
        <v>522</v>
      </c>
      <c r="J6" s="39">
        <f>IF(Indicadores!I6,Indicadores!I6,"")</f>
        <v>519</v>
      </c>
      <c r="K6" s="39">
        <f>IF(Indicadores!J6,Indicadores!J6,"")</f>
        <v>439</v>
      </c>
      <c r="L6" s="39">
        <f>IF(Indicadores!K6,Indicadores!K6,"")</f>
        <v>498</v>
      </c>
      <c r="M6" s="39">
        <f>IF(Indicadores!L6,Indicadores!L6,"")</f>
        <v>448</v>
      </c>
      <c r="N6" s="39">
        <f>IF(Indicadores!M6,Indicadores!M6,"")</f>
        <v>76</v>
      </c>
      <c r="O6" s="39">
        <f>IF(Indicadores!N6,Indicadores!N6,"")</f>
        <v>21</v>
      </c>
      <c r="P6" s="39">
        <f>IF(Indicadores!O6,Indicadores!O6,"")</f>
        <v>496</v>
      </c>
      <c r="Q6" s="39">
        <f>IF(Indicadores!P6,Indicadores!P6,"")</f>
        <v>504</v>
      </c>
      <c r="R6" s="39">
        <f>IF(Indicadores!Q6,Indicadores!Q6,"")</f>
        <v>496</v>
      </c>
      <c r="S6" s="39" t="str">
        <f>IF(Indicadores!R6,Indicadores!R6,"")</f>
        <v/>
      </c>
      <c r="T6" s="39" t="str">
        <f>IF(Indicadores!S6,Indicadores!S6,"")</f>
        <v/>
      </c>
      <c r="U6" s="39" t="str">
        <f>IF(Indicadores!T6,Indicadores!T6,"")</f>
        <v/>
      </c>
      <c r="V6" s="39" t="str">
        <f>IF(Indicadores!U6,Indicadores!U6,"")</f>
        <v/>
      </c>
      <c r="W6" s="39" t="str">
        <f>IF(Indicadores!V6,Indicadores!V6,"")</f>
        <v/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6002</v>
      </c>
      <c r="AJ6" s="75">
        <f>Indicadores!AI6</f>
        <v>400.13333333333333</v>
      </c>
      <c r="AK6" s="56">
        <f>Indicadores!AJ6</f>
        <v>12004</v>
      </c>
    </row>
    <row r="7" spans="1:16384" ht="15.75" thickBot="1" x14ac:dyDescent="0.3">
      <c r="B7" s="238" t="str">
        <f>Indicadores!B7</f>
        <v>Baixo</v>
      </c>
      <c r="C7" s="239"/>
      <c r="D7" s="40">
        <f>IF(Indicadores!C7,Indicadores!C7,"")</f>
        <v>559</v>
      </c>
      <c r="E7" s="40">
        <f>IF(Indicadores!D7,Indicadores!D7,"")</f>
        <v>440</v>
      </c>
      <c r="F7" s="40">
        <f>IF(Indicadores!E7,Indicadores!E7,"")</f>
        <v>294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481</v>
      </c>
      <c r="J7" s="40">
        <f>IF(Indicadores!I7,Indicadores!I7,"")</f>
        <v>372</v>
      </c>
      <c r="K7" s="40">
        <f>IF(Indicadores!J7,Indicadores!J7,"")</f>
        <v>374</v>
      </c>
      <c r="L7" s="40">
        <f>IF(Indicadores!K7,Indicadores!K7,"")</f>
        <v>292</v>
      </c>
      <c r="M7" s="40">
        <f>IF(Indicadores!L7,Indicadores!L7,"")</f>
        <v>228</v>
      </c>
      <c r="N7" s="40">
        <f>IF(Indicadores!M7,Indicadores!M7,"")</f>
        <v>65</v>
      </c>
      <c r="O7" s="40">
        <f>IF(Indicadores!N7,Indicadores!N7,"")</f>
        <v>28</v>
      </c>
      <c r="P7" s="40">
        <f>IF(Indicadores!O7,Indicadores!O7,"")</f>
        <v>377</v>
      </c>
      <c r="Q7" s="40">
        <f>IF(Indicadores!P7,Indicadores!P7,"")</f>
        <v>279</v>
      </c>
      <c r="R7" s="40">
        <f>IF(Indicadores!Q7,Indicadores!Q7,"")</f>
        <v>247</v>
      </c>
      <c r="S7" s="40" t="str">
        <f>IF(Indicadores!R7,Indicadores!R7,"")</f>
        <v/>
      </c>
      <c r="T7" s="40" t="str">
        <f>IF(Indicadores!S7,Indicadores!S7,"")</f>
        <v/>
      </c>
      <c r="U7" s="40" t="str">
        <f>IF(Indicadores!T7,Indicadores!T7,"")</f>
        <v/>
      </c>
      <c r="V7" s="40" t="str">
        <f>IF(Indicadores!U7,Indicadores!U7,"")</f>
        <v/>
      </c>
      <c r="W7" s="40" t="str">
        <f>IF(Indicadores!V7,Indicadores!V7,"")</f>
        <v/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4160</v>
      </c>
      <c r="AJ7" s="42">
        <f>Indicadores!AI7</f>
        <v>277.33333333333331</v>
      </c>
      <c r="AK7" s="56">
        <f>Indicadores!AJ7</f>
        <v>8320</v>
      </c>
    </row>
    <row r="8" spans="1:16384" ht="15.75" thickBot="1" x14ac:dyDescent="0.3">
      <c r="C8" s="225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7"/>
      <c r="AJ8" s="227"/>
      <c r="AK8" s="227"/>
    </row>
    <row r="9" spans="1:16384" ht="15" customHeight="1" x14ac:dyDescent="0.25">
      <c r="B9" s="204" t="str">
        <f>B2</f>
        <v>Jun - 30 dias</v>
      </c>
      <c r="C9" s="20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06" t="s">
        <v>27</v>
      </c>
      <c r="C10" s="20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04" t="str">
        <f>B9</f>
        <v>Jun - 30 dias</v>
      </c>
      <c r="C16" s="20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06" t="s">
        <v>18</v>
      </c>
      <c r="C17" s="20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28815.874550080694</v>
      </c>
      <c r="AJ17" s="66">
        <f>SUM(AJ18:AJ21)</f>
        <v>929.54434032518361</v>
      </c>
      <c r="AK17" s="55">
        <f>SUM(AK18:AK21)</f>
        <v>27886.33020975551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9</v>
      </c>
      <c r="R18" s="137">
        <f t="shared" si="4"/>
        <v>4</v>
      </c>
      <c r="S18" s="137">
        <f t="shared" si="4"/>
        <v>6.3949416342412437</v>
      </c>
      <c r="T18" s="137">
        <f t="shared" si="4"/>
        <v>9.7607003891050574</v>
      </c>
      <c r="U18" s="137">
        <f t="shared" si="4"/>
        <v>1.3463035019455252</v>
      </c>
      <c r="V18" s="137">
        <f t="shared" si="4"/>
        <v>1.3463035019455252</v>
      </c>
      <c r="W18" s="137">
        <f t="shared" si="4"/>
        <v>8.4143968871595334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170.75875486381327</v>
      </c>
      <c r="AJ18" s="106">
        <f>AI18/COUNTA(C18:AG18)</f>
        <v>5.5083469310907507</v>
      </c>
      <c r="AK18" s="107">
        <f>AJ18*30</f>
        <v>165.25040793272251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1288</v>
      </c>
      <c r="E19" s="137">
        <f t="shared" si="6"/>
        <v>1019</v>
      </c>
      <c r="F19" s="137">
        <f t="shared" si="6"/>
        <v>816</v>
      </c>
      <c r="G19" s="137">
        <f t="shared" si="6"/>
        <v>223</v>
      </c>
      <c r="H19" s="137">
        <f t="shared" si="6"/>
        <v>54</v>
      </c>
      <c r="I19" s="137">
        <f t="shared" si="6"/>
        <v>1003</v>
      </c>
      <c r="J19" s="137">
        <f t="shared" si="6"/>
        <v>891</v>
      </c>
      <c r="K19" s="137">
        <f t="shared" si="6"/>
        <v>813</v>
      </c>
      <c r="L19" s="137">
        <f t="shared" si="6"/>
        <v>790</v>
      </c>
      <c r="M19" s="137">
        <f t="shared" si="6"/>
        <v>676</v>
      </c>
      <c r="N19" s="137">
        <f t="shared" si="6"/>
        <v>141</v>
      </c>
      <c r="O19" s="137">
        <f t="shared" si="6"/>
        <v>49</v>
      </c>
      <c r="P19" s="137">
        <f t="shared" si="6"/>
        <v>873</v>
      </c>
      <c r="Q19" s="137">
        <f t="shared" si="6"/>
        <v>783</v>
      </c>
      <c r="R19" s="137">
        <f t="shared" si="6"/>
        <v>743</v>
      </c>
      <c r="S19" s="137">
        <f t="shared" si="6"/>
        <v>581.12168773301812</v>
      </c>
      <c r="T19" s="137">
        <f t="shared" si="6"/>
        <v>661.03468218605065</v>
      </c>
      <c r="U19" s="137">
        <f t="shared" si="6"/>
        <v>208.19438028553239</v>
      </c>
      <c r="V19" s="137">
        <f t="shared" si="6"/>
        <v>66.594162044193865</v>
      </c>
      <c r="W19" s="137">
        <f t="shared" si="6"/>
        <v>977.18170410111827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18483.11579521688</v>
      </c>
      <c r="AJ19" s="106">
        <f>AI19/COUNTA(C19:AG19)</f>
        <v>596.22954178118971</v>
      </c>
      <c r="AK19" s="107">
        <f>AJ19*30</f>
        <v>17886.886253435692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729</v>
      </c>
      <c r="E20" s="137">
        <f t="shared" ref="E20:AG20" si="7">IF(E6&lt;&gt;"",E6,E13)</f>
        <v>579</v>
      </c>
      <c r="F20" s="137">
        <f t="shared" si="7"/>
        <v>522</v>
      </c>
      <c r="G20" s="137">
        <f t="shared" si="7"/>
        <v>118</v>
      </c>
      <c r="H20" s="137">
        <f t="shared" si="7"/>
        <v>35</v>
      </c>
      <c r="I20" s="137">
        <f t="shared" si="7"/>
        <v>522</v>
      </c>
      <c r="J20" s="137">
        <f t="shared" si="7"/>
        <v>519</v>
      </c>
      <c r="K20" s="137">
        <f t="shared" si="7"/>
        <v>439</v>
      </c>
      <c r="L20" s="137">
        <f t="shared" si="7"/>
        <v>498</v>
      </c>
      <c r="M20" s="137">
        <f t="shared" si="7"/>
        <v>448</v>
      </c>
      <c r="N20" s="137">
        <f t="shared" si="7"/>
        <v>76</v>
      </c>
      <c r="O20" s="137">
        <f t="shared" si="7"/>
        <v>21</v>
      </c>
      <c r="P20" s="137">
        <f t="shared" si="7"/>
        <v>496</v>
      </c>
      <c r="Q20" s="137">
        <f t="shared" si="7"/>
        <v>504</v>
      </c>
      <c r="R20" s="137">
        <f t="shared" si="7"/>
        <v>496</v>
      </c>
      <c r="S20" s="137">
        <f t="shared" si="7"/>
        <v>0</v>
      </c>
      <c r="T20" s="137">
        <f t="shared" si="7"/>
        <v>0</v>
      </c>
      <c r="U20" s="137">
        <f t="shared" si="7"/>
        <v>0</v>
      </c>
      <c r="V20" s="137">
        <f t="shared" si="7"/>
        <v>0</v>
      </c>
      <c r="W20" s="137">
        <f t="shared" si="7"/>
        <v>0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6002</v>
      </c>
      <c r="AJ20" s="106">
        <f>AI20/COUNTA(C20:AG20)</f>
        <v>193.61290322580646</v>
      </c>
      <c r="AK20" s="107">
        <f>AJ20*30</f>
        <v>5808.3870967741941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559</v>
      </c>
      <c r="E21" s="147">
        <f t="shared" ref="E21:AG21" si="9">IF(E7&lt;&gt;"",E7,E14)</f>
        <v>440</v>
      </c>
      <c r="F21" s="147">
        <f t="shared" si="9"/>
        <v>294</v>
      </c>
      <c r="G21" s="147">
        <f t="shared" si="9"/>
        <v>105</v>
      </c>
      <c r="H21" s="147">
        <f t="shared" si="9"/>
        <v>19</v>
      </c>
      <c r="I21" s="147">
        <f t="shared" si="9"/>
        <v>481</v>
      </c>
      <c r="J21" s="147">
        <f t="shared" si="9"/>
        <v>372</v>
      </c>
      <c r="K21" s="147">
        <f t="shared" si="9"/>
        <v>374</v>
      </c>
      <c r="L21" s="147">
        <f t="shared" si="9"/>
        <v>292</v>
      </c>
      <c r="M21" s="147">
        <f t="shared" si="9"/>
        <v>228</v>
      </c>
      <c r="N21" s="147">
        <f t="shared" si="9"/>
        <v>65</v>
      </c>
      <c r="O21" s="147">
        <f t="shared" si="9"/>
        <v>28</v>
      </c>
      <c r="P21" s="147">
        <f t="shared" si="9"/>
        <v>377</v>
      </c>
      <c r="Q21" s="147">
        <f t="shared" si="9"/>
        <v>279</v>
      </c>
      <c r="R21" s="147">
        <f t="shared" si="9"/>
        <v>247</v>
      </c>
      <c r="S21" s="147">
        <f t="shared" si="9"/>
        <v>0</v>
      </c>
      <c r="T21" s="147">
        <f t="shared" si="9"/>
        <v>0</v>
      </c>
      <c r="U21" s="147">
        <f t="shared" si="9"/>
        <v>0</v>
      </c>
      <c r="V21" s="147">
        <f t="shared" si="9"/>
        <v>0</v>
      </c>
      <c r="W21" s="147">
        <f t="shared" si="9"/>
        <v>0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4160</v>
      </c>
      <c r="AJ21" s="109">
        <f>AI21/COUNTA(C21:AG21)</f>
        <v>134.19354838709677</v>
      </c>
      <c r="AK21" s="110">
        <f>AJ21*30</f>
        <v>4025.8064516129029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28" t="s">
        <v>30</v>
      </c>
      <c r="K23" s="229"/>
      <c r="L23" s="220" t="s">
        <v>32</v>
      </c>
      <c r="M23" s="220"/>
      <c r="N23" s="232" t="s">
        <v>32</v>
      </c>
      <c r="O23" s="233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10254</v>
      </c>
      <c r="D24" s="141">
        <f>SUM(D25:D26)</f>
        <v>18653.874550080694</v>
      </c>
      <c r="E24" s="142">
        <f>SUM(E25:E28)</f>
        <v>19445.000000000004</v>
      </c>
      <c r="F24" s="138">
        <f>(D24-E24)/E24</f>
        <v>-4.0685289273299514E-2</v>
      </c>
      <c r="G24" s="133">
        <f>F24</f>
        <v>-4.0685289273299514E-2</v>
      </c>
      <c r="H24" s="12"/>
      <c r="I24" s="32"/>
      <c r="J24" s="210">
        <v>7.22</v>
      </c>
      <c r="K24" s="211"/>
      <c r="L24" s="199">
        <v>207</v>
      </c>
      <c r="M24" s="199"/>
      <c r="N24" s="216">
        <v>15639</v>
      </c>
      <c r="O24" s="217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92</v>
      </c>
      <c r="D25" s="144">
        <f>AI18</f>
        <v>170.75875486381327</v>
      </c>
      <c r="E25" s="142">
        <f>AI11</f>
        <v>173</v>
      </c>
      <c r="F25" s="139">
        <f t="shared" ref="F25:F28" si="11">(D25-E25)/E25</f>
        <v>-1.2955174197611179E-2</v>
      </c>
      <c r="G25" s="133">
        <f>F25</f>
        <v>-1.2955174197611179E-2</v>
      </c>
      <c r="H25" s="12"/>
      <c r="I25" s="32"/>
      <c r="J25" s="230" t="s">
        <v>13</v>
      </c>
      <c r="K25" s="231"/>
      <c r="L25" s="200" t="s">
        <v>13</v>
      </c>
      <c r="M25" s="200"/>
      <c r="N25" s="234" t="s">
        <v>15</v>
      </c>
      <c r="O25" s="235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10162</v>
      </c>
      <c r="D26" s="144">
        <f>AI19</f>
        <v>18483.11579521688</v>
      </c>
      <c r="E26" s="142">
        <f>AI12</f>
        <v>19272.000000000004</v>
      </c>
      <c r="F26" s="139">
        <f t="shared" si="11"/>
        <v>-4.0934215690282473E-2</v>
      </c>
      <c r="G26" s="133">
        <f>F26</f>
        <v>-4.0934215690282473E-2</v>
      </c>
      <c r="H26" s="12"/>
      <c r="I26" s="32"/>
      <c r="J26" s="208" t="s">
        <v>31</v>
      </c>
      <c r="K26" s="209"/>
      <c r="L26" s="201" t="s">
        <v>33</v>
      </c>
      <c r="M26" s="201"/>
      <c r="N26" s="214" t="s">
        <v>33</v>
      </c>
      <c r="O26" s="215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6002</v>
      </c>
      <c r="D27" s="144">
        <f>AI20</f>
        <v>6002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10">
        <v>6.77</v>
      </c>
      <c r="K27" s="211"/>
      <c r="L27" s="199">
        <v>210</v>
      </c>
      <c r="M27" s="199"/>
      <c r="N27" s="216">
        <v>21648</v>
      </c>
      <c r="O27" s="217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4160</v>
      </c>
      <c r="D28" s="146">
        <f>AI21</f>
        <v>4160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12" t="s">
        <v>26</v>
      </c>
      <c r="K28" s="213"/>
      <c r="L28" s="202" t="str">
        <f>J28</f>
        <v>Redução</v>
      </c>
      <c r="M28" s="202"/>
      <c r="N28" s="218" t="str">
        <f>L28</f>
        <v>Redução</v>
      </c>
      <c r="O28" s="219"/>
      <c r="AI28" s="29"/>
      <c r="AJ28" s="34"/>
      <c r="AK28" s="51"/>
      <c r="AL28" s="34"/>
    </row>
    <row r="29" spans="1:38" ht="27" thickBot="1" x14ac:dyDescent="0.3">
      <c r="I29" s="33"/>
      <c r="J29" s="197">
        <f>(J24/J27)-1</f>
        <v>6.6469719350073841E-2</v>
      </c>
      <c r="K29" s="198"/>
      <c r="L29" s="203">
        <f>(L24/L27)-1</f>
        <v>-1.4285714285714235E-2</v>
      </c>
      <c r="M29" s="203"/>
      <c r="N29" s="221">
        <f>(N24/N27)-1</f>
        <v>-0.27757760532150777</v>
      </c>
      <c r="O29" s="222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  <mergeCell ref="N26:O26"/>
    <mergeCell ref="N27:O27"/>
    <mergeCell ref="N28:O28"/>
    <mergeCell ref="L23:M23"/>
    <mergeCell ref="N29:O29"/>
    <mergeCell ref="B16:C16"/>
    <mergeCell ref="B17:C17"/>
    <mergeCell ref="J26:K26"/>
    <mergeCell ref="J27:K27"/>
    <mergeCell ref="J28:K28"/>
    <mergeCell ref="J29:K29"/>
    <mergeCell ref="L24:M24"/>
    <mergeCell ref="L25:M25"/>
    <mergeCell ref="L26:M26"/>
    <mergeCell ref="L27:M27"/>
    <mergeCell ref="L28:M28"/>
    <mergeCell ref="L29:M29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10254</v>
      </c>
      <c r="D6" s="7">
        <f>'Dados - Gráficos'!D24</f>
        <v>18653.874550080694</v>
      </c>
      <c r="E6" s="93">
        <f>'Dados - Gráficos'!E24</f>
        <v>19445.000000000004</v>
      </c>
      <c r="F6" s="118">
        <f>'Dados - Gráficos'!F24</f>
        <v>-4.0685289273299514E-2</v>
      </c>
      <c r="G6" s="119">
        <f>'Dados - Gráficos'!G24</f>
        <v>-4.0685289273299514E-2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92</v>
      </c>
      <c r="D7" s="8">
        <f>'Dados - Gráficos'!D25</f>
        <v>170.75875486381327</v>
      </c>
      <c r="E7" s="93">
        <f>'Dados - Gráficos'!E25</f>
        <v>173</v>
      </c>
      <c r="F7" s="120">
        <f>'Dados - Gráficos'!F25</f>
        <v>-1.2955174197611179E-2</v>
      </c>
      <c r="G7" s="119">
        <f>'Dados - Gráficos'!G25</f>
        <v>-1.2955174197611179E-2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10162</v>
      </c>
      <c r="D8" s="17">
        <f>'Dados - Gráficos'!D26</f>
        <v>18483.11579521688</v>
      </c>
      <c r="E8" s="94">
        <f>'Dados - Gráficos'!E26</f>
        <v>19272.000000000004</v>
      </c>
      <c r="F8" s="121">
        <f>'Dados - Gráficos'!F26</f>
        <v>-4.0934215690282473E-2</v>
      </c>
      <c r="G8" s="122">
        <f>'Dados - Gráficos'!G26</f>
        <v>-4.0934215690282473E-2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6002</v>
      </c>
      <c r="D9" s="192">
        <f>'Dados - Gráficos'!D27</f>
        <v>6002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4160</v>
      </c>
      <c r="D10" s="17">
        <f>'Dados - Gráficos'!D28</f>
        <v>4160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2016-06-16T12:46:14Z</dcterms:modified>
</cp:coreProperties>
</file>