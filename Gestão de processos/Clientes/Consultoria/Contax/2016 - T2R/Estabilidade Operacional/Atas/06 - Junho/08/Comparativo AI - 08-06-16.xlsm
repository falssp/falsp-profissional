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<sst xmlns="http://schemas.openxmlformats.org/spreadsheetml/2006/main" count="351" uniqueCount="41">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</sst>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BD-4848-9EBA-E7A13DC1685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D-4848-9EBA-E7A13DC1685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D-4848-9EBA-E7A13DC168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848-9EBA-E7A13DC1685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D-4848-9EBA-E7A13DC1685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AD-4C55-B926-9BC9904FA1C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AD-4C55-B926-9BC9904FA1C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D-4C55-B926-9BC9904FA1C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AD-4C55-B926-9BC9904FA1C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D-4C55-B926-9BC9904FA1C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793</c:v>
                </c:pt>
                <c:pt idx="1">
                  <c:v>611</c:v>
                </c:pt>
                <c:pt idx="2">
                  <c:v>561</c:v>
                </c:pt>
                <c:pt idx="3">
                  <c:v>128</c:v>
                </c:pt>
                <c:pt idx="4">
                  <c:v>37</c:v>
                </c:pt>
                <c:pt idx="5">
                  <c:v>573</c:v>
                </c:pt>
                <c:pt idx="6">
                  <c:v>593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2A-4C27-BA56-8F3FEC0D1C7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2A-4C27-BA56-8F3FEC0D1C7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2A-4C27-BA56-8F3FEC0D1C7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A-4C27-BA56-8F3FEC0D1C7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A-4C27-BA56-8F3FEC0D1C7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556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502</c:v>
                </c:pt>
                <c:pt idx="6">
                  <c:v>389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2B-4720-AE99-9237B92AA4B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2B-4720-AE99-9237B92AA4B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2B-4720-AE99-9237B92AA4B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2B-4720-AE99-9237B92AA4B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2B-4720-AE99-9237B92AA4B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1349</c:v>
                </c:pt>
                <c:pt idx="1">
                  <c:v>1051</c:v>
                </c:pt>
                <c:pt idx="2">
                  <c:v>855</c:v>
                </c:pt>
                <c:pt idx="3">
                  <c:v>233</c:v>
                </c:pt>
                <c:pt idx="4">
                  <c:v>56</c:v>
                </c:pt>
                <c:pt idx="5">
                  <c:v>1075</c:v>
                </c:pt>
                <c:pt idx="6">
                  <c:v>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YeVvNakhtDWrCusGyrWPSXqXtHIbndZntBqVgQt3HEFfm5Iuj8Xq9jwF3t5+TNr6pgMQae0hvB78bYxktxgY2g==" saltValue="iWVZ/1BV+XU+MS8Ie/3xO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aNghNHaRRo4UidIUkE4vLU+5wyv1D81y++28iaT6G2aoOfSLNZCoDcO0dqubuckIlY6LZmtecsHtbfwXsFRmWQ==" saltValue="AXgKh46bKwUZCht5Ltmvx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Z3vuj1bK4MCebnGVj1p17lLjIuYijWCzux9v/C2lVYhL7OvZNtPZ9PxteOrDyTbEUu1ZNPx9522BsZKW/r8v+w==" saltValue="+JB7I7oN1getuiK5L2GY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I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5649</v>
      </c>
      <c r="AI3" s="71">
        <f>AH3/COUNTA(C4:AF4)</f>
        <v>807</v>
      </c>
      <c r="AJ3" s="55">
        <f>AI3*30</f>
        <v>24210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/>
      <c r="K4" s="188"/>
      <c r="L4" s="188"/>
      <c r="M4" s="188"/>
      <c r="N4" s="188"/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48</v>
      </c>
      <c r="AI4" s="38">
        <f>AH4/COUNTA(C4:AF4)</f>
        <v>6.8571428571428568</v>
      </c>
      <c r="AJ4" s="56">
        <f>AI4*30</f>
        <v>205.71428571428569</v>
      </c>
    </row>
    <row r="5" spans="2:36" x14ac:dyDescent="0.25">
      <c r="B5" s="186" t="s">
        <v>40</v>
      </c>
      <c r="C5" s="188">
        <f>C6+C7</f>
        <v>1349</v>
      </c>
      <c r="D5" s="188">
        <f t="shared" ref="D5:F5" si="0">D6+D7</f>
        <v>1051</v>
      </c>
      <c r="E5" s="188">
        <f t="shared" si="0"/>
        <v>855</v>
      </c>
      <c r="F5" s="188">
        <f t="shared" si="0"/>
        <v>233</v>
      </c>
      <c r="G5" s="188">
        <f>G6+G7</f>
        <v>56</v>
      </c>
      <c r="H5" s="188">
        <f t="shared" ref="H5:AG5" si="1">H6+H7</f>
        <v>1075</v>
      </c>
      <c r="I5" s="188">
        <f t="shared" si="1"/>
        <v>982</v>
      </c>
      <c r="J5" s="188">
        <f t="shared" si="1"/>
        <v>0</v>
      </c>
      <c r="K5" s="188">
        <f t="shared" si="1"/>
        <v>0</v>
      </c>
      <c r="L5" s="188">
        <f t="shared" si="1"/>
        <v>0</v>
      </c>
      <c r="M5" s="188">
        <f t="shared" si="1"/>
        <v>0</v>
      </c>
      <c r="N5" s="188">
        <f t="shared" si="1"/>
        <v>0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5601</v>
      </c>
      <c r="AI5" s="38">
        <f>AH5/COUNTA(C5:AF5)</f>
        <v>186.7</v>
      </c>
      <c r="AJ5" s="56">
        <f>AI5*30</f>
        <v>5601</v>
      </c>
    </row>
    <row r="6" spans="2:36" x14ac:dyDescent="0.25">
      <c r="B6" s="174" t="s">
        <v>20</v>
      </c>
      <c r="C6" s="188">
        <v>793</v>
      </c>
      <c r="D6" s="188">
        <v>611</v>
      </c>
      <c r="E6" s="188">
        <v>561</v>
      </c>
      <c r="F6" s="188">
        <v>128</v>
      </c>
      <c r="G6" s="188">
        <v>37</v>
      </c>
      <c r="H6" s="188">
        <v>573</v>
      </c>
      <c r="I6" s="188">
        <v>593</v>
      </c>
      <c r="J6" s="188"/>
      <c r="K6" s="188"/>
      <c r="L6" s="188"/>
      <c r="M6" s="188"/>
      <c r="N6" s="188"/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3296</v>
      </c>
      <c r="AI6" s="38">
        <f>AH6/COUNTA(C6:AF6)</f>
        <v>470.85714285714283</v>
      </c>
      <c r="AJ6" s="56">
        <f>AI6*30</f>
        <v>14125.714285714284</v>
      </c>
    </row>
    <row r="7" spans="2:36" ht="15.75" thickBot="1" x14ac:dyDescent="0.3">
      <c r="B7" s="176" t="s">
        <v>21</v>
      </c>
      <c r="C7" s="189">
        <v>556</v>
      </c>
      <c r="D7" s="189">
        <v>440</v>
      </c>
      <c r="E7" s="189">
        <v>294</v>
      </c>
      <c r="F7" s="189">
        <v>105</v>
      </c>
      <c r="G7" s="189">
        <v>19</v>
      </c>
      <c r="H7" s="189">
        <v>502</v>
      </c>
      <c r="I7" s="189">
        <v>389</v>
      </c>
      <c r="J7" s="189"/>
      <c r="K7" s="189"/>
      <c r="L7" s="189"/>
      <c r="M7" s="189"/>
      <c r="N7" s="189"/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2305</v>
      </c>
      <c r="AI7" s="37">
        <f>AH7/COUNTA(C7:AF7)</f>
        <v>329.28571428571428</v>
      </c>
      <c r="AJ7" s="57">
        <f>AI7*30</f>
        <v>9878.5714285714275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zoomScaleNormal="100" workbookViewId="0">
      <selection activeCell="H13" sqref="H13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5649</v>
      </c>
      <c r="AJ3" s="66">
        <f>Indicadores!AI3</f>
        <v>807</v>
      </c>
      <c r="AK3" s="55">
        <f>Indicadores!AJ3</f>
        <v>24210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 t="str">
        <f>IF(Indicadores!J4,Indicadores!J4,"")</f>
        <v/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48</v>
      </c>
      <c r="AJ4" s="75">
        <f>Indicadores!AI4</f>
        <v>6.8571428571428568</v>
      </c>
      <c r="AK4" s="56">
        <f>Indicadores!AJ4</f>
        <v>205.71428571428569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1349</v>
      </c>
      <c r="E5" s="39">
        <f>IF(Indicadores!D5,Indicadores!D5,"")</f>
        <v>1051</v>
      </c>
      <c r="F5" s="39">
        <f>IF(Indicadores!E5,Indicadores!E5,"")</f>
        <v>855</v>
      </c>
      <c r="G5" s="39">
        <f>IF(Indicadores!F5,Indicadores!F5,"")</f>
        <v>233</v>
      </c>
      <c r="H5" s="39">
        <f>IF(Indicadores!G5,Indicadores!G5,"")</f>
        <v>56</v>
      </c>
      <c r="I5" s="39">
        <f>IF(Indicadores!H5,Indicadores!H5,"")</f>
        <v>1075</v>
      </c>
      <c r="J5" s="39">
        <f>IF(Indicadores!I5,Indicadores!I5,"")</f>
        <v>982</v>
      </c>
      <c r="K5" s="39" t="str">
        <f>IF(Indicadores!J5,Indicadores!J5,"")</f>
        <v/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5601</v>
      </c>
      <c r="AJ5" s="75">
        <f>Indicadores!AI5</f>
        <v>186.7</v>
      </c>
      <c r="AK5" s="56">
        <f>Indicadores!AJ5</f>
        <v>5601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793</v>
      </c>
      <c r="E6" s="39">
        <f>IF(Indicadores!D6,Indicadores!D6,"")</f>
        <v>611</v>
      </c>
      <c r="F6" s="39">
        <f>IF(Indicadores!E6,Indicadores!E6,"")</f>
        <v>561</v>
      </c>
      <c r="G6" s="39">
        <f>IF(Indicadores!F6,Indicadores!F6,"")</f>
        <v>128</v>
      </c>
      <c r="H6" s="39">
        <f>IF(Indicadores!G6,Indicadores!G6,"")</f>
        <v>37</v>
      </c>
      <c r="I6" s="39">
        <f>IF(Indicadores!H6,Indicadores!H6,"")</f>
        <v>573</v>
      </c>
      <c r="J6" s="39">
        <f>IF(Indicadores!I6,Indicadores!I6,"")</f>
        <v>593</v>
      </c>
      <c r="K6" s="39" t="str">
        <f>IF(Indicadores!J6,Indicadores!J6,"")</f>
        <v/>
      </c>
      <c r="L6" s="39" t="str">
        <f>IF(Indicadores!K6,Indicadores!K6,"")</f>
        <v/>
      </c>
      <c r="M6" s="39" t="str">
        <f>IF(Indicadores!L6,Indicadores!L6,"")</f>
        <v/>
      </c>
      <c r="N6" s="39" t="str">
        <f>IF(Indicadores!M6,Indicadores!M6,"")</f>
        <v/>
      </c>
      <c r="O6" s="39" t="str">
        <f>IF(Indicadores!N6,Indicadores!N6,"")</f>
        <v/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3296</v>
      </c>
      <c r="AJ6" s="75">
        <f>Indicadores!AI6</f>
        <v>470.85714285714283</v>
      </c>
      <c r="AK6" s="56">
        <f>Indicadores!AJ6</f>
        <v>14125.714285714284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556</v>
      </c>
      <c r="E7" s="40">
        <f>IF(Indicadores!D7,Indicadores!D7,"")</f>
        <v>440</v>
      </c>
      <c r="F7" s="40">
        <f>IF(Indicadores!E7,Indicadores!E7,"")</f>
        <v>294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502</v>
      </c>
      <c r="J7" s="40">
        <f>IF(Indicadores!I7,Indicadores!I7,"")</f>
        <v>389</v>
      </c>
      <c r="K7" s="40" t="str">
        <f>IF(Indicadores!J7,Indicadores!J7,"")</f>
        <v/>
      </c>
      <c r="L7" s="40" t="str">
        <f>IF(Indicadores!K7,Indicadores!K7,"")</f>
        <v/>
      </c>
      <c r="M7" s="40" t="str">
        <f>IF(Indicadores!L7,Indicadores!L7,"")</f>
        <v/>
      </c>
      <c r="N7" s="40" t="str">
        <f>IF(Indicadores!M7,Indicadores!M7,"")</f>
        <v/>
      </c>
      <c r="O7" s="40" t="str">
        <f>IF(Indicadores!N7,Indicadores!N7,"")</f>
        <v/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2305</v>
      </c>
      <c r="AJ7" s="42">
        <f>Indicadores!AI7</f>
        <v>329.28571428571428</v>
      </c>
      <c r="AK7" s="56">
        <f>Indicadores!AJ7</f>
        <v>9878.5714285714275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25358.425155746409</v>
      </c>
      <c r="AJ17" s="66">
        <f>SUM(AJ18:AJ21)</f>
        <v>818.01371470149718</v>
      </c>
      <c r="AK17" s="55">
        <f>SUM(AK18:AK21)</f>
        <v>24540.411441044915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7.0680933852140075</v>
      </c>
      <c r="L18" s="137">
        <f t="shared" si="4"/>
        <v>9.7607003891050574</v>
      </c>
      <c r="M18" s="137">
        <f t="shared" si="4"/>
        <v>7.0680933852140075</v>
      </c>
      <c r="N18" s="137">
        <f t="shared" si="4"/>
        <v>1.3463035019455252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176.90856031128405</v>
      </c>
      <c r="AJ18" s="106">
        <f>AI18/COUNTA(C18:AG18)</f>
        <v>5.7067277519769046</v>
      </c>
      <c r="AK18" s="107">
        <f>AJ18*30</f>
        <v>171.20183255930715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1349</v>
      </c>
      <c r="E19" s="137">
        <f t="shared" si="6"/>
        <v>1051</v>
      </c>
      <c r="F19" s="137">
        <f t="shared" si="6"/>
        <v>855</v>
      </c>
      <c r="G19" s="137">
        <f t="shared" si="6"/>
        <v>233</v>
      </c>
      <c r="H19" s="137">
        <f t="shared" si="6"/>
        <v>56</v>
      </c>
      <c r="I19" s="137">
        <f t="shared" si="6"/>
        <v>1075</v>
      </c>
      <c r="J19" s="137">
        <f t="shared" si="6"/>
        <v>982</v>
      </c>
      <c r="K19" s="137">
        <f t="shared" si="6"/>
        <v>1000.6649086114394</v>
      </c>
      <c r="L19" s="137">
        <f t="shared" si="6"/>
        <v>863.62113303628257</v>
      </c>
      <c r="M19" s="137">
        <f t="shared" si="6"/>
        <v>766.53385468764191</v>
      </c>
      <c r="N19" s="137">
        <f t="shared" si="6"/>
        <v>197.67951259434389</v>
      </c>
      <c r="O19" s="137">
        <f t="shared" si="6"/>
        <v>60.986232608893324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19580.516595435125</v>
      </c>
      <c r="AJ19" s="106">
        <f>AI19/COUNTA(C19:AG19)</f>
        <v>631.62956759468148</v>
      </c>
      <c r="AK19" s="107">
        <f>AJ19*30</f>
        <v>18948.887027840443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793</v>
      </c>
      <c r="E20" s="137">
        <f t="shared" ref="E20:AG20" si="7">IF(E6&lt;&gt;"",E6,E13)</f>
        <v>611</v>
      </c>
      <c r="F20" s="137">
        <f t="shared" si="7"/>
        <v>561</v>
      </c>
      <c r="G20" s="137">
        <f t="shared" si="7"/>
        <v>128</v>
      </c>
      <c r="H20" s="137">
        <f t="shared" si="7"/>
        <v>37</v>
      </c>
      <c r="I20" s="137">
        <f t="shared" si="7"/>
        <v>573</v>
      </c>
      <c r="J20" s="137">
        <f t="shared" si="7"/>
        <v>593</v>
      </c>
      <c r="K20" s="137">
        <f t="shared" si="7"/>
        <v>0</v>
      </c>
      <c r="L20" s="137">
        <f t="shared" si="7"/>
        <v>0</v>
      </c>
      <c r="M20" s="137">
        <f t="shared" si="7"/>
        <v>0</v>
      </c>
      <c r="N20" s="137">
        <f t="shared" si="7"/>
        <v>0</v>
      </c>
      <c r="O20" s="137">
        <f t="shared" si="7"/>
        <v>0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3296</v>
      </c>
      <c r="AJ20" s="106">
        <f>AI20/COUNTA(C20:AG20)</f>
        <v>106.3225806451613</v>
      </c>
      <c r="AK20" s="107">
        <f>AJ20*30</f>
        <v>3189.677419354839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556</v>
      </c>
      <c r="E21" s="147">
        <f t="shared" ref="E21:AG21" si="9">IF(E7&lt;&gt;"",E7,E14)</f>
        <v>440</v>
      </c>
      <c r="F21" s="147">
        <f t="shared" si="9"/>
        <v>294</v>
      </c>
      <c r="G21" s="147">
        <f t="shared" si="9"/>
        <v>105</v>
      </c>
      <c r="H21" s="147">
        <f t="shared" si="9"/>
        <v>19</v>
      </c>
      <c r="I21" s="147">
        <f t="shared" si="9"/>
        <v>502</v>
      </c>
      <c r="J21" s="147">
        <f t="shared" si="9"/>
        <v>389</v>
      </c>
      <c r="K21" s="147">
        <f t="shared" si="9"/>
        <v>0</v>
      </c>
      <c r="L21" s="147">
        <f t="shared" si="9"/>
        <v>0</v>
      </c>
      <c r="M21" s="147">
        <f t="shared" si="9"/>
        <v>0</v>
      </c>
      <c r="N21" s="147">
        <f t="shared" si="9"/>
        <v>0</v>
      </c>
      <c r="O21" s="147">
        <f t="shared" si="9"/>
        <v>0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2305</v>
      </c>
      <c r="AJ21" s="109">
        <f>AI21/COUNTA(C21:AG21)</f>
        <v>74.354838709677423</v>
      </c>
      <c r="AK21" s="110">
        <f>AJ21*30</f>
        <v>2230.6451612903229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5649</v>
      </c>
      <c r="D24" s="141">
        <f>SUM(D25:D26)</f>
        <v>19757.425155746409</v>
      </c>
      <c r="E24" s="142">
        <f>SUM(E25:E28)</f>
        <v>19445.000000000004</v>
      </c>
      <c r="F24" s="138">
        <f>(D24-E24)/E24</f>
        <v>1.6067120377804313E-2</v>
      </c>
      <c r="G24" s="133">
        <f>F24</f>
        <v>1.6067120377804313E-2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48</v>
      </c>
      <c r="D25" s="144">
        <f>AI18</f>
        <v>176.90856031128405</v>
      </c>
      <c r="E25" s="142">
        <f>AI11</f>
        <v>173</v>
      </c>
      <c r="F25" s="139">
        <f t="shared" ref="F25:F28" si="11">(D25-E25)/E25</f>
        <v>2.2592834169271957E-2</v>
      </c>
      <c r="G25" s="133">
        <f>F25</f>
        <v>2.2592834169271957E-2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5601</v>
      </c>
      <c r="D26" s="144">
        <f>AI19</f>
        <v>19580.516595435125</v>
      </c>
      <c r="E26" s="142">
        <f>AI12</f>
        <v>19272.000000000004</v>
      </c>
      <c r="F26" s="139">
        <f t="shared" si="11"/>
        <v>1.6008540651469561E-2</v>
      </c>
      <c r="G26" s="133">
        <f>F26</f>
        <v>1.6008540651469561E-2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3296</v>
      </c>
      <c r="D27" s="144">
        <f>AI20</f>
        <v>3296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2305</v>
      </c>
      <c r="D28" s="146">
        <f>AI21</f>
        <v>2305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5649</v>
      </c>
      <c r="D6" s="7">
        <f>'Dados - Gráficos'!D24</f>
        <v>19757.425155746409</v>
      </c>
      <c r="E6" s="93">
        <f>'Dados - Gráficos'!E24</f>
        <v>19445.000000000004</v>
      </c>
      <c r="F6" s="118">
        <f>'Dados - Gráficos'!F24</f>
        <v>1.6067120377804313E-2</v>
      </c>
      <c r="G6" s="119">
        <f>'Dados - Gráficos'!G24</f>
        <v>1.6067120377804313E-2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48</v>
      </c>
      <c r="D7" s="8">
        <f>'Dados - Gráficos'!D25</f>
        <v>176.90856031128405</v>
      </c>
      <c r="E7" s="93">
        <f>'Dados - Gráficos'!E25</f>
        <v>173</v>
      </c>
      <c r="F7" s="120">
        <f>'Dados - Gráficos'!F25</f>
        <v>2.2592834169271957E-2</v>
      </c>
      <c r="G7" s="119">
        <f>'Dados - Gráficos'!G25</f>
        <v>2.2592834169271957E-2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5601</v>
      </c>
      <c r="D8" s="17">
        <f>'Dados - Gráficos'!D26</f>
        <v>19580.516595435125</v>
      </c>
      <c r="E8" s="94">
        <f>'Dados - Gráficos'!E26</f>
        <v>19272.000000000004</v>
      </c>
      <c r="F8" s="121">
        <f>'Dados - Gráficos'!F26</f>
        <v>1.6008540651469561E-2</v>
      </c>
      <c r="G8" s="122">
        <f>'Dados - Gráficos'!G26</f>
        <v>1.6008540651469561E-2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3296</v>
      </c>
      <c r="D9" s="192">
        <f>'Dados - Gráficos'!D27</f>
        <v>3296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2305</v>
      </c>
      <c r="D10" s="17">
        <f>'Dados - Gráficos'!D28</f>
        <v>2305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2016-06-08T12:44:06Z</dcterms:modified>
</cp:coreProperties>
</file>