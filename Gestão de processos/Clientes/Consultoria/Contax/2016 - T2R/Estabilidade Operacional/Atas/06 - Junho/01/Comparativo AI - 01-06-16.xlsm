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6" i="7" l="1"/>
  <c r="AH18" i="7" s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H17" i="7" s="1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H16" i="7" s="1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<sst xmlns="http://schemas.openxmlformats.org/spreadsheetml/2006/main" count="418" uniqueCount="39">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</sst>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29-4C0C-8F99-C3ADC12EDAE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10</c:v>
                </c:pt>
                <c:pt idx="10">
                  <c:v>6</c:v>
                </c:pt>
                <c:pt idx="11">
                  <c:v>7</c:v>
                </c:pt>
                <c:pt idx="12">
                  <c:v>6</c:v>
                </c:pt>
                <c:pt idx="13">
                  <c:v>4</c:v>
                </c:pt>
                <c:pt idx="14">
                  <c:v>3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13</c:v>
                </c:pt>
                <c:pt idx="25">
                  <c:v>4</c:v>
                </c:pt>
                <c:pt idx="26">
                  <c:v>6</c:v>
                </c:pt>
                <c:pt idx="27">
                  <c:v>1</c:v>
                </c:pt>
                <c:pt idx="28">
                  <c:v>2</c:v>
                </c:pt>
                <c:pt idx="29">
                  <c:v>7</c:v>
                </c:pt>
                <c:pt idx="30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24</c:v>
                </c:pt>
                <c:pt idx="1">
                  <c:v>576</c:v>
                </c:pt>
                <c:pt idx="2">
                  <c:v>584</c:v>
                </c:pt>
                <c:pt idx="3">
                  <c:v>528</c:v>
                </c:pt>
                <c:pt idx="4">
                  <c:v>461</c:v>
                </c:pt>
                <c:pt idx="5">
                  <c:v>381</c:v>
                </c:pt>
                <c:pt idx="6">
                  <c:v>96</c:v>
                </c:pt>
                <c:pt idx="7">
                  <c:v>29</c:v>
                </c:pt>
                <c:pt idx="8">
                  <c:v>531</c:v>
                </c:pt>
                <c:pt idx="9">
                  <c:v>539</c:v>
                </c:pt>
                <c:pt idx="10">
                  <c:v>519</c:v>
                </c:pt>
                <c:pt idx="11">
                  <c:v>394</c:v>
                </c:pt>
                <c:pt idx="12">
                  <c:v>407</c:v>
                </c:pt>
                <c:pt idx="13">
                  <c:v>107</c:v>
                </c:pt>
                <c:pt idx="14">
                  <c:v>27</c:v>
                </c:pt>
                <c:pt idx="15">
                  <c:v>508</c:v>
                </c:pt>
                <c:pt idx="16">
                  <c:v>510</c:v>
                </c:pt>
                <c:pt idx="17">
                  <c:v>445</c:v>
                </c:pt>
                <c:pt idx="18">
                  <c:v>408</c:v>
                </c:pt>
                <c:pt idx="19">
                  <c:v>376</c:v>
                </c:pt>
                <c:pt idx="20">
                  <c:v>72</c:v>
                </c:pt>
                <c:pt idx="21">
                  <c:v>33</c:v>
                </c:pt>
                <c:pt idx="22">
                  <c:v>511</c:v>
                </c:pt>
                <c:pt idx="23">
                  <c:v>519</c:v>
                </c:pt>
                <c:pt idx="24">
                  <c:v>459</c:v>
                </c:pt>
                <c:pt idx="25">
                  <c:v>224</c:v>
                </c:pt>
                <c:pt idx="26">
                  <c:v>469</c:v>
                </c:pt>
                <c:pt idx="27">
                  <c:v>76</c:v>
                </c:pt>
                <c:pt idx="28">
                  <c:v>24</c:v>
                </c:pt>
                <c:pt idx="29">
                  <c:v>462</c:v>
                </c:pt>
                <c:pt idx="30">
                  <c:v>629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657</c:v>
                </c:pt>
                <c:pt idx="2">
                  <c:v>566</c:v>
                </c:pt>
                <c:pt idx="3">
                  <c:v>486</c:v>
                </c:pt>
                <c:pt idx="4">
                  <c:v>389</c:v>
                </c:pt>
                <c:pt idx="5">
                  <c:v>335</c:v>
                </c:pt>
                <c:pt idx="6">
                  <c:v>89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437</c:v>
                </c:pt>
                <c:pt idx="17">
                  <c:v>425</c:v>
                </c:pt>
                <c:pt idx="18">
                  <c:v>312</c:v>
                </c:pt>
                <c:pt idx="19">
                  <c:v>265</c:v>
                </c:pt>
                <c:pt idx="20">
                  <c:v>84</c:v>
                </c:pt>
                <c:pt idx="21">
                  <c:v>34</c:v>
                </c:pt>
                <c:pt idx="22">
                  <c:v>390</c:v>
                </c:pt>
                <c:pt idx="23">
                  <c:v>349</c:v>
                </c:pt>
                <c:pt idx="24">
                  <c:v>316</c:v>
                </c:pt>
                <c:pt idx="25">
                  <c:v>126</c:v>
                </c:pt>
                <c:pt idx="26">
                  <c:v>295</c:v>
                </c:pt>
                <c:pt idx="27">
                  <c:v>85</c:v>
                </c:pt>
                <c:pt idx="28">
                  <c:v>33</c:v>
                </c:pt>
                <c:pt idx="29">
                  <c:v>345</c:v>
                </c:pt>
                <c:pt idx="30">
                  <c:v>458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qM+c1i5NPZ8/xzTzqvidTFnU+j7xanq86RMUA6HrZNJZgAiN9vGxChLft+CqvqtvRM1ywDIgEfA0fT2Q8vGj5A==" saltValue="2RZWW3Tr8WoYh4wq5vItF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eYRfnvOkWhvdjntWXPtwV2y9LHP3VEC2mkapjfvhln8k0V8L8qZ/G5YPe6qBOeATclWRKSjHEmLFLWYh3nbOCw==" saltValue="K4plGMnWavwmk2JtGCmO9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AGIvo+CS4Jlk1ZwRoaNgUxIlWv3QmO1XwsR8U/4JWzs8KUvouXuEJgGGnbmH/NzuDvOVmP5RlsthiSkTc4iYEg==" saltValue="wO/BxEyJDieX4Ur2oGQGT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C42" sqref="C42:AG42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20067</v>
      </c>
      <c r="AI39" s="71">
        <f>AH39/COUNTA(C40:AG40)</f>
        <v>647.32258064516134</v>
      </c>
      <c r="AJ39" s="55">
        <f>AI39*31</f>
        <v>20067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10</v>
      </c>
      <c r="M40" s="156">
        <v>6</v>
      </c>
      <c r="N40" s="156">
        <v>7</v>
      </c>
      <c r="O40" s="156">
        <v>6</v>
      </c>
      <c r="P40" s="156">
        <v>4</v>
      </c>
      <c r="Q40" s="24">
        <v>3</v>
      </c>
      <c r="R40" s="24">
        <v>8</v>
      </c>
      <c r="S40" s="24">
        <v>8</v>
      </c>
      <c r="T40" s="24">
        <v>5</v>
      </c>
      <c r="U40" s="24">
        <v>7</v>
      </c>
      <c r="V40" s="24">
        <v>12</v>
      </c>
      <c r="W40" s="24">
        <v>1</v>
      </c>
      <c r="X40" s="24">
        <v>3</v>
      </c>
      <c r="Y40" s="24">
        <v>13</v>
      </c>
      <c r="Z40" s="24">
        <v>3</v>
      </c>
      <c r="AA40" s="24">
        <v>13</v>
      </c>
      <c r="AB40" s="24">
        <v>4</v>
      </c>
      <c r="AC40" s="24">
        <v>6</v>
      </c>
      <c r="AD40" s="24">
        <v>1</v>
      </c>
      <c r="AE40" s="24">
        <v>2</v>
      </c>
      <c r="AF40" s="24">
        <v>7</v>
      </c>
      <c r="AG40" s="157">
        <v>7</v>
      </c>
      <c r="AH40" s="53">
        <f>SUM(C40:AG40)</f>
        <v>188</v>
      </c>
      <c r="AI40" s="38">
        <f>AH40/COUNTA(C40:AG40)</f>
        <v>6.064516129032258</v>
      </c>
      <c r="AJ40" s="56">
        <f>AI40*31</f>
        <v>188</v>
      </c>
    </row>
    <row r="41" spans="2:36" x14ac:dyDescent="0.25">
      <c r="B41" s="168" t="s">
        <v>20</v>
      </c>
      <c r="C41" s="156">
        <v>24</v>
      </c>
      <c r="D41" s="156">
        <v>576</v>
      </c>
      <c r="E41" s="156">
        <v>584</v>
      </c>
      <c r="F41" s="156">
        <v>528</v>
      </c>
      <c r="G41" s="156">
        <v>461</v>
      </c>
      <c r="H41" s="156">
        <v>381</v>
      </c>
      <c r="I41" s="156">
        <v>96</v>
      </c>
      <c r="J41" s="156">
        <v>29</v>
      </c>
      <c r="K41" s="156">
        <v>531</v>
      </c>
      <c r="L41" s="156">
        <v>539</v>
      </c>
      <c r="M41" s="156">
        <v>519</v>
      </c>
      <c r="N41" s="156">
        <v>394</v>
      </c>
      <c r="O41" s="156">
        <v>407</v>
      </c>
      <c r="P41" s="156">
        <v>107</v>
      </c>
      <c r="Q41" s="24">
        <v>27</v>
      </c>
      <c r="R41" s="24">
        <v>508</v>
      </c>
      <c r="S41" s="24">
        <v>510</v>
      </c>
      <c r="T41" s="24">
        <v>445</v>
      </c>
      <c r="U41" s="24">
        <v>408</v>
      </c>
      <c r="V41" s="24">
        <v>376</v>
      </c>
      <c r="W41" s="24">
        <v>72</v>
      </c>
      <c r="X41" s="24">
        <v>33</v>
      </c>
      <c r="Y41" s="24">
        <v>511</v>
      </c>
      <c r="Z41" s="24">
        <v>519</v>
      </c>
      <c r="AA41" s="24">
        <v>459</v>
      </c>
      <c r="AB41" s="24">
        <v>224</v>
      </c>
      <c r="AC41" s="24">
        <v>469</v>
      </c>
      <c r="AD41" s="24">
        <v>76</v>
      </c>
      <c r="AE41" s="24">
        <v>24</v>
      </c>
      <c r="AF41" s="24">
        <v>462</v>
      </c>
      <c r="AG41" s="157">
        <v>629</v>
      </c>
      <c r="AH41" s="53">
        <f>SUM(C41:AG41)</f>
        <v>10928</v>
      </c>
      <c r="AI41" s="38">
        <f>AH41/COUNTA(C41:AG41)</f>
        <v>352.51612903225805</v>
      </c>
      <c r="AJ41" s="56">
        <f>AI41*31</f>
        <v>10928</v>
      </c>
    </row>
    <row r="42" spans="2:36" ht="15.75" thickBot="1" x14ac:dyDescent="0.3">
      <c r="B42" s="169" t="s">
        <v>21</v>
      </c>
      <c r="C42" s="155">
        <v>46</v>
      </c>
      <c r="D42" s="155">
        <v>657</v>
      </c>
      <c r="E42" s="155">
        <v>566</v>
      </c>
      <c r="F42" s="155">
        <v>486</v>
      </c>
      <c r="G42" s="155">
        <v>389</v>
      </c>
      <c r="H42" s="155">
        <v>335</v>
      </c>
      <c r="I42" s="155">
        <v>89</v>
      </c>
      <c r="J42" s="155">
        <v>24</v>
      </c>
      <c r="K42" s="155">
        <v>410</v>
      </c>
      <c r="L42" s="155">
        <v>363</v>
      </c>
      <c r="M42" s="155">
        <v>382</v>
      </c>
      <c r="N42" s="155">
        <v>382</v>
      </c>
      <c r="O42" s="155">
        <v>335</v>
      </c>
      <c r="P42" s="155">
        <v>89</v>
      </c>
      <c r="Q42" s="25">
        <v>38</v>
      </c>
      <c r="R42" s="25">
        <v>406</v>
      </c>
      <c r="S42" s="25">
        <v>437</v>
      </c>
      <c r="T42" s="25">
        <v>425</v>
      </c>
      <c r="U42" s="25">
        <v>312</v>
      </c>
      <c r="V42" s="25">
        <v>265</v>
      </c>
      <c r="W42" s="25">
        <v>84</v>
      </c>
      <c r="X42" s="25">
        <v>34</v>
      </c>
      <c r="Y42" s="25">
        <v>390</v>
      </c>
      <c r="Z42" s="25">
        <v>349</v>
      </c>
      <c r="AA42" s="25">
        <v>316</v>
      </c>
      <c r="AB42" s="25">
        <v>126</v>
      </c>
      <c r="AC42" s="25">
        <v>295</v>
      </c>
      <c r="AD42" s="25">
        <v>85</v>
      </c>
      <c r="AE42" s="25">
        <v>33</v>
      </c>
      <c r="AF42" s="25">
        <v>345</v>
      </c>
      <c r="AG42" s="159">
        <v>458</v>
      </c>
      <c r="AH42" s="54">
        <f>SUM(C42:AG42)</f>
        <v>8951</v>
      </c>
      <c r="AI42" s="37">
        <f>AH42/COUNTA(C42:AG42)</f>
        <v>288.74193548387098</v>
      </c>
      <c r="AJ42" s="57">
        <f>AI42*31</f>
        <v>8951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8"/>
      <c r="O1" s="178"/>
      <c r="P1" s="178"/>
      <c r="Q1" s="178"/>
      <c r="R1" s="178"/>
      <c r="S1" s="178"/>
      <c r="T1" s="178"/>
      <c r="U1" s="178"/>
      <c r="V1" s="178"/>
      <c r="W1" s="178"/>
      <c r="X1" s="178"/>
      <c r="Y1" s="178"/>
      <c r="Z1" s="178"/>
      <c r="AA1" s="178"/>
      <c r="AB1" s="178"/>
      <c r="AC1" s="178"/>
      <c r="AD1" s="178"/>
      <c r="AE1" s="178"/>
      <c r="AF1" s="178"/>
      <c r="AG1" s="178"/>
      <c r="AH1" s="178"/>
      <c r="AI1" s="178"/>
      <c r="AJ1" s="178"/>
      <c r="AK1" s="178"/>
    </row>
    <row r="2" spans="1:16384" ht="15" customHeight="1" x14ac:dyDescent="0.25">
      <c r="B2" s="194" t="str">
        <f>Indicadores!B38</f>
        <v>Mai - 31 dias</v>
      </c>
      <c r="C2" s="195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96" t="s">
        <v>22</v>
      </c>
      <c r="C3" s="197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198" t="s">
        <v>19</v>
      </c>
      <c r="C4" s="199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10</v>
      </c>
      <c r="N4" s="39">
        <f>IF(Indicadores!M40,Indicadores!M40,"")</f>
        <v>6</v>
      </c>
      <c r="O4" s="39">
        <f>IF(Indicadores!N40,Indicadores!N40,"")</f>
        <v>7</v>
      </c>
      <c r="P4" s="39">
        <f>IF(Indicadores!O40,Indicadores!O40,"")</f>
        <v>6</v>
      </c>
      <c r="Q4" s="39">
        <f>IF(Indicadores!P40,Indicadores!P40,"")</f>
        <v>4</v>
      </c>
      <c r="R4" s="39">
        <f>IF(Indicadores!Q40,Indicadores!Q40,"")</f>
        <v>3</v>
      </c>
      <c r="S4" s="39">
        <f>IF(Indicadores!R40,Indicadores!R40,"")</f>
        <v>8</v>
      </c>
      <c r="T4" s="39">
        <f>IF(Indicadores!S40,Indicadores!S40,"")</f>
        <v>8</v>
      </c>
      <c r="U4" s="39">
        <f>IF(Indicadores!T40,Indicadores!T40,"")</f>
        <v>5</v>
      </c>
      <c r="V4" s="39">
        <f>IF(Indicadores!U40,Indicadores!U40,"")</f>
        <v>7</v>
      </c>
      <c r="W4" s="39">
        <f>IF(Indicadores!V40,Indicadores!V40,"")</f>
        <v>12</v>
      </c>
      <c r="X4" s="39">
        <f>IF(Indicadores!W40,Indicadores!W40,"")</f>
        <v>1</v>
      </c>
      <c r="Y4" s="39">
        <f>IF(Indicadores!X40,Indicadores!X40,"")</f>
        <v>3</v>
      </c>
      <c r="Z4" s="39">
        <f>IF(Indicadores!Y40,Indicadores!Y40,"")</f>
        <v>13</v>
      </c>
      <c r="AA4" s="39">
        <f>IF(Indicadores!Z40,Indicadores!Z40,"")</f>
        <v>3</v>
      </c>
      <c r="AB4" s="39">
        <f>IF(Indicadores!AA40,Indicadores!AA40,"")</f>
        <v>13</v>
      </c>
      <c r="AC4" s="39">
        <f>IF(Indicadores!AB40,Indicadores!AB40,"")</f>
        <v>4</v>
      </c>
      <c r="AD4" s="39">
        <f>IF(Indicadores!AC40,Indicadores!AC40,"")</f>
        <v>6</v>
      </c>
      <c r="AE4" s="39">
        <f>IF(Indicadores!AD40,Indicadores!AD40,"")</f>
        <v>1</v>
      </c>
      <c r="AF4" s="39">
        <f>IF(Indicadores!AE40,Indicadores!AE40,"")</f>
        <v>2</v>
      </c>
      <c r="AG4" s="39">
        <f>IF(Indicadores!AF40,Indicadores!AF40,"")</f>
        <v>7</v>
      </c>
      <c r="AH4" s="39">
        <f>IF(Indicadores!AG40,Indicadores!AG40,"")</f>
        <v>7</v>
      </c>
      <c r="AI4" s="53">
        <f>Indicadores!AH40</f>
        <v>188</v>
      </c>
      <c r="AJ4" s="75">
        <f>Indicadores!AI34</f>
        <v>6.1</v>
      </c>
      <c r="AK4" s="56">
        <f>Indicadores!AJ34</f>
        <v>183</v>
      </c>
    </row>
    <row r="5" spans="1:16384" x14ac:dyDescent="0.25">
      <c r="B5" s="198" t="s">
        <v>20</v>
      </c>
      <c r="C5" s="199"/>
      <c r="D5" s="39">
        <f>IF(Indicadores!C41,Indicadores!C41,"")</f>
        <v>24</v>
      </c>
      <c r="E5" s="39">
        <f>IF(Indicadores!D41,Indicadores!D41,"")</f>
        <v>576</v>
      </c>
      <c r="F5" s="39">
        <f>IF(Indicadores!E41,Indicadores!E41,"")</f>
        <v>584</v>
      </c>
      <c r="G5" s="39">
        <f>IF(Indicadores!F41,Indicadores!F41,"")</f>
        <v>528</v>
      </c>
      <c r="H5" s="39">
        <f>IF(Indicadores!G41,Indicadores!G41,"")</f>
        <v>461</v>
      </c>
      <c r="I5" s="39">
        <f>IF(Indicadores!H41,Indicadores!H41,"")</f>
        <v>381</v>
      </c>
      <c r="J5" s="39">
        <f>IF(Indicadores!I41,Indicadores!I41,"")</f>
        <v>96</v>
      </c>
      <c r="K5" s="39">
        <f>IF(Indicadores!J41,Indicadores!J41,"")</f>
        <v>29</v>
      </c>
      <c r="L5" s="39">
        <f>IF(Indicadores!K41,Indicadores!K41,"")</f>
        <v>531</v>
      </c>
      <c r="M5" s="39">
        <f>IF(Indicadores!L41,Indicadores!L41,"")</f>
        <v>539</v>
      </c>
      <c r="N5" s="39">
        <f>IF(Indicadores!M41,Indicadores!M41,"")</f>
        <v>519</v>
      </c>
      <c r="O5" s="39">
        <f>IF(Indicadores!N41,Indicadores!N41,"")</f>
        <v>394</v>
      </c>
      <c r="P5" s="39">
        <f>IF(Indicadores!O41,Indicadores!O41,"")</f>
        <v>407</v>
      </c>
      <c r="Q5" s="39">
        <f>IF(Indicadores!P41,Indicadores!P41,"")</f>
        <v>107</v>
      </c>
      <c r="R5" s="39">
        <f>IF(Indicadores!Q41,Indicadores!Q41,"")</f>
        <v>27</v>
      </c>
      <c r="S5" s="39">
        <f>IF(Indicadores!R41,Indicadores!R41,"")</f>
        <v>508</v>
      </c>
      <c r="T5" s="39">
        <f>IF(Indicadores!S41,Indicadores!S41,"")</f>
        <v>510</v>
      </c>
      <c r="U5" s="39">
        <f>IF(Indicadores!T41,Indicadores!T41,"")</f>
        <v>445</v>
      </c>
      <c r="V5" s="39">
        <f>IF(Indicadores!U41,Indicadores!U41,"")</f>
        <v>408</v>
      </c>
      <c r="W5" s="39">
        <f>IF(Indicadores!V41,Indicadores!V41,"")</f>
        <v>376</v>
      </c>
      <c r="X5" s="39">
        <f>IF(Indicadores!W41,Indicadores!W41,"")</f>
        <v>72</v>
      </c>
      <c r="Y5" s="39">
        <f>IF(Indicadores!X41,Indicadores!X41,"")</f>
        <v>33</v>
      </c>
      <c r="Z5" s="39">
        <f>IF(Indicadores!Y41,Indicadores!Y41,"")</f>
        <v>511</v>
      </c>
      <c r="AA5" s="39">
        <f>IF(Indicadores!Z41,Indicadores!Z41,"")</f>
        <v>519</v>
      </c>
      <c r="AB5" s="39">
        <f>IF(Indicadores!AA41,Indicadores!AA41,"")</f>
        <v>459</v>
      </c>
      <c r="AC5" s="39">
        <f>IF(Indicadores!AB41,Indicadores!AB41,"")</f>
        <v>224</v>
      </c>
      <c r="AD5" s="39">
        <f>IF(Indicadores!AC41,Indicadores!AC41,"")</f>
        <v>469</v>
      </c>
      <c r="AE5" s="39">
        <f>IF(Indicadores!AD41,Indicadores!AD41,"")</f>
        <v>76</v>
      </c>
      <c r="AF5" s="39">
        <f>IF(Indicadores!AE41,Indicadores!AE41,"")</f>
        <v>24</v>
      </c>
      <c r="AG5" s="39">
        <f>IF(Indicadores!AF41,Indicadores!AF41,"")</f>
        <v>462</v>
      </c>
      <c r="AH5" s="39">
        <f>IF(Indicadores!AG41,Indicadores!AG41,"")</f>
        <v>629</v>
      </c>
      <c r="AI5" s="53">
        <f>Indicadores!AH41</f>
        <v>10928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00" t="s">
        <v>21</v>
      </c>
      <c r="C6" s="201"/>
      <c r="D6" s="40">
        <f>IF(Indicadores!C42,Indicadores!C42,"")</f>
        <v>46</v>
      </c>
      <c r="E6" s="40">
        <f>IF(Indicadores!D42,Indicadores!D42,"")</f>
        <v>657</v>
      </c>
      <c r="F6" s="40">
        <f>IF(Indicadores!E42,Indicadores!E42,"")</f>
        <v>566</v>
      </c>
      <c r="G6" s="40">
        <f>IF(Indicadores!F42,Indicadores!F42,"")</f>
        <v>486</v>
      </c>
      <c r="H6" s="40">
        <f>IF(Indicadores!G42,Indicadores!G42,"")</f>
        <v>389</v>
      </c>
      <c r="I6" s="40">
        <f>IF(Indicadores!H42,Indicadores!H42,"")</f>
        <v>335</v>
      </c>
      <c r="J6" s="40">
        <f>IF(Indicadores!I42,Indicadores!I42,"")</f>
        <v>89</v>
      </c>
      <c r="K6" s="40">
        <f>IF(Indicadores!J42,Indicadores!J42,"")</f>
        <v>24</v>
      </c>
      <c r="L6" s="40">
        <f>IF(Indicadores!K42,Indicadores!K42,"")</f>
        <v>410</v>
      </c>
      <c r="M6" s="40">
        <f>IF(Indicadores!L42,Indicadores!L42,"")</f>
        <v>363</v>
      </c>
      <c r="N6" s="40">
        <f>IF(Indicadores!M42,Indicadores!M42,"")</f>
        <v>382</v>
      </c>
      <c r="O6" s="40">
        <f>IF(Indicadores!N42,Indicadores!N42,"")</f>
        <v>382</v>
      </c>
      <c r="P6" s="40">
        <f>IF(Indicadores!O42,Indicadores!O42,"")</f>
        <v>335</v>
      </c>
      <c r="Q6" s="40">
        <f>IF(Indicadores!P42,Indicadores!P42,"")</f>
        <v>89</v>
      </c>
      <c r="R6" s="40">
        <f>IF(Indicadores!Q42,Indicadores!Q42,"")</f>
        <v>38</v>
      </c>
      <c r="S6" s="40">
        <f>IF(Indicadores!R42,Indicadores!R42,"")</f>
        <v>406</v>
      </c>
      <c r="T6" s="40">
        <f>IF(Indicadores!S42,Indicadores!S42,"")</f>
        <v>437</v>
      </c>
      <c r="U6" s="40">
        <f>IF(Indicadores!T42,Indicadores!T42,"")</f>
        <v>425</v>
      </c>
      <c r="V6" s="40">
        <f>IF(Indicadores!U42,Indicadores!U42,"")</f>
        <v>312</v>
      </c>
      <c r="W6" s="40">
        <f>IF(Indicadores!V42,Indicadores!V42,"")</f>
        <v>265</v>
      </c>
      <c r="X6" s="40">
        <f>IF(Indicadores!W42,Indicadores!W42,"")</f>
        <v>84</v>
      </c>
      <c r="Y6" s="40">
        <f>IF(Indicadores!X42,Indicadores!X42,"")</f>
        <v>34</v>
      </c>
      <c r="Z6" s="40">
        <f>IF(Indicadores!Y42,Indicadores!Y42,"")</f>
        <v>390</v>
      </c>
      <c r="AA6" s="40">
        <f>IF(Indicadores!Z42,Indicadores!Z42,"")</f>
        <v>349</v>
      </c>
      <c r="AB6" s="40">
        <f>IF(Indicadores!AA42,Indicadores!AA42,"")</f>
        <v>316</v>
      </c>
      <c r="AC6" s="40">
        <f>IF(Indicadores!AB42,Indicadores!AB42,"")</f>
        <v>126</v>
      </c>
      <c r="AD6" s="40">
        <f>IF(Indicadores!AC42,Indicadores!AC42,"")</f>
        <v>295</v>
      </c>
      <c r="AE6" s="40">
        <f>IF(Indicadores!AD42,Indicadores!AD42,"")</f>
        <v>85</v>
      </c>
      <c r="AF6" s="40">
        <f>IF(Indicadores!AE42,Indicadores!AE42,"")</f>
        <v>33</v>
      </c>
      <c r="AG6" s="40">
        <f>IF(Indicadores!AF42,Indicadores!AF42,"")</f>
        <v>345</v>
      </c>
      <c r="AH6" s="40">
        <f>IF(Indicadores!AG42,Indicadores!AG42,"")</f>
        <v>458</v>
      </c>
      <c r="AI6" s="54">
        <f>Indicadores!AH42</f>
        <v>8951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179"/>
      <c r="D7" s="180"/>
      <c r="E7" s="180"/>
      <c r="F7" s="180"/>
      <c r="G7" s="180"/>
      <c r="H7" s="180"/>
      <c r="I7" s="180"/>
      <c r="J7" s="180"/>
      <c r="K7" s="180"/>
      <c r="L7" s="180"/>
      <c r="M7" s="180"/>
      <c r="N7" s="180"/>
      <c r="O7" s="180"/>
      <c r="P7" s="180"/>
      <c r="Q7" s="180"/>
      <c r="R7" s="180"/>
      <c r="S7" s="180"/>
      <c r="T7" s="180"/>
      <c r="U7" s="180"/>
      <c r="V7" s="180"/>
      <c r="W7" s="180"/>
      <c r="X7" s="180"/>
      <c r="Y7" s="180"/>
      <c r="Z7" s="180"/>
      <c r="AA7" s="180"/>
      <c r="AB7" s="180"/>
      <c r="AC7" s="180"/>
      <c r="AD7" s="180"/>
      <c r="AE7" s="180"/>
      <c r="AF7" s="180"/>
      <c r="AG7" s="180"/>
      <c r="AH7" s="180"/>
      <c r="AI7" s="181"/>
      <c r="AJ7" s="181"/>
      <c r="AK7" s="181"/>
    </row>
    <row r="8" spans="1:16384" ht="15" customHeight="1" x14ac:dyDescent="0.25">
      <c r="B8" s="194" t="str">
        <f>B2</f>
        <v>Mai - 31 dias</v>
      </c>
      <c r="C8" s="195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96" t="s">
        <v>27</v>
      </c>
      <c r="C9" s="197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94" t="str">
        <f>B8</f>
        <v>Mai - 31 dias</v>
      </c>
      <c r="C14" s="195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96" t="s">
        <v>18</v>
      </c>
      <c r="C15" s="197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20067</v>
      </c>
      <c r="AJ15" s="66">
        <f>SUM(AJ16:AJ18)</f>
        <v>647.32258064516122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10</v>
      </c>
      <c r="N16" s="137">
        <f t="shared" si="2"/>
        <v>6</v>
      </c>
      <c r="O16" s="137">
        <f t="shared" si="2"/>
        <v>7</v>
      </c>
      <c r="P16" s="137">
        <f t="shared" si="2"/>
        <v>6</v>
      </c>
      <c r="Q16" s="137">
        <f t="shared" si="2"/>
        <v>4</v>
      </c>
      <c r="R16" s="137">
        <f t="shared" si="2"/>
        <v>3</v>
      </c>
      <c r="S16" s="137">
        <f t="shared" si="2"/>
        <v>8</v>
      </c>
      <c r="T16" s="137">
        <f t="shared" si="2"/>
        <v>8</v>
      </c>
      <c r="U16" s="137">
        <f t="shared" si="2"/>
        <v>5</v>
      </c>
      <c r="V16" s="137">
        <f t="shared" si="2"/>
        <v>7</v>
      </c>
      <c r="W16" s="137">
        <f t="shared" si="2"/>
        <v>12</v>
      </c>
      <c r="X16" s="137">
        <f t="shared" si="2"/>
        <v>1</v>
      </c>
      <c r="Y16" s="137">
        <f t="shared" si="2"/>
        <v>3</v>
      </c>
      <c r="Z16" s="137">
        <f t="shared" si="2"/>
        <v>13</v>
      </c>
      <c r="AA16" s="137">
        <f t="shared" si="2"/>
        <v>3</v>
      </c>
      <c r="AB16" s="137">
        <f t="shared" si="2"/>
        <v>13</v>
      </c>
      <c r="AC16" s="137">
        <f t="shared" si="2"/>
        <v>4</v>
      </c>
      <c r="AD16" s="137">
        <f t="shared" si="2"/>
        <v>6</v>
      </c>
      <c r="AE16" s="137">
        <f t="shared" si="2"/>
        <v>1</v>
      </c>
      <c r="AF16" s="137">
        <f t="shared" si="2"/>
        <v>2</v>
      </c>
      <c r="AG16" s="137">
        <f t="shared" si="2"/>
        <v>7</v>
      </c>
      <c r="AH16" s="137">
        <f t="shared" ref="AH16" si="3">IF(AH4&lt;&gt;"",AH4,AH10)</f>
        <v>7</v>
      </c>
      <c r="AI16" s="105">
        <f>SUM(D16:AH16)</f>
        <v>188</v>
      </c>
      <c r="AJ16" s="106">
        <f>AI16/COUNTA(C16:AG16)</f>
        <v>6.064516129032258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24</v>
      </c>
      <c r="E17" s="137">
        <f t="shared" ref="E17:AG17" si="5">IF(E5&lt;&gt;"",E5,E11)</f>
        <v>576</v>
      </c>
      <c r="F17" s="137">
        <f t="shared" si="5"/>
        <v>584</v>
      </c>
      <c r="G17" s="137">
        <f t="shared" si="5"/>
        <v>528</v>
      </c>
      <c r="H17" s="137">
        <f t="shared" si="5"/>
        <v>461</v>
      </c>
      <c r="I17" s="137">
        <f t="shared" si="5"/>
        <v>381</v>
      </c>
      <c r="J17" s="137">
        <f t="shared" si="5"/>
        <v>96</v>
      </c>
      <c r="K17" s="137">
        <f t="shared" si="5"/>
        <v>29</v>
      </c>
      <c r="L17" s="137">
        <f t="shared" si="5"/>
        <v>531</v>
      </c>
      <c r="M17" s="137">
        <f t="shared" si="5"/>
        <v>539</v>
      </c>
      <c r="N17" s="137">
        <f t="shared" si="5"/>
        <v>519</v>
      </c>
      <c r="O17" s="137">
        <f t="shared" si="5"/>
        <v>394</v>
      </c>
      <c r="P17" s="137">
        <f t="shared" si="5"/>
        <v>407</v>
      </c>
      <c r="Q17" s="137">
        <f t="shared" si="5"/>
        <v>107</v>
      </c>
      <c r="R17" s="137">
        <f t="shared" si="5"/>
        <v>27</v>
      </c>
      <c r="S17" s="137">
        <f t="shared" si="5"/>
        <v>508</v>
      </c>
      <c r="T17" s="137">
        <f t="shared" si="5"/>
        <v>510</v>
      </c>
      <c r="U17" s="137">
        <f t="shared" si="5"/>
        <v>445</v>
      </c>
      <c r="V17" s="137">
        <f t="shared" si="5"/>
        <v>408</v>
      </c>
      <c r="W17" s="137">
        <f t="shared" si="5"/>
        <v>376</v>
      </c>
      <c r="X17" s="137">
        <f t="shared" si="5"/>
        <v>72</v>
      </c>
      <c r="Y17" s="137">
        <f t="shared" si="5"/>
        <v>33</v>
      </c>
      <c r="Z17" s="137">
        <f t="shared" si="5"/>
        <v>511</v>
      </c>
      <c r="AA17" s="137">
        <f t="shared" si="5"/>
        <v>519</v>
      </c>
      <c r="AB17" s="137">
        <f t="shared" si="5"/>
        <v>459</v>
      </c>
      <c r="AC17" s="137">
        <f t="shared" si="5"/>
        <v>224</v>
      </c>
      <c r="AD17" s="137">
        <f t="shared" si="5"/>
        <v>469</v>
      </c>
      <c r="AE17" s="137">
        <f t="shared" si="5"/>
        <v>76</v>
      </c>
      <c r="AF17" s="137">
        <f t="shared" si="5"/>
        <v>24</v>
      </c>
      <c r="AG17" s="137">
        <f t="shared" si="5"/>
        <v>462</v>
      </c>
      <c r="AH17" s="137">
        <f t="shared" ref="AH17" si="6">IF(AH5&lt;&gt;"",AH5,AH11)</f>
        <v>629</v>
      </c>
      <c r="AI17" s="105">
        <f>SUM(D17:AH17)</f>
        <v>10928</v>
      </c>
      <c r="AJ17" s="106">
        <f>AI17/COUNTA(C17:AG17)</f>
        <v>352.51612903225805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657</v>
      </c>
      <c r="F18" s="148">
        <f t="shared" si="8"/>
        <v>566</v>
      </c>
      <c r="G18" s="148">
        <f t="shared" si="8"/>
        <v>486</v>
      </c>
      <c r="H18" s="148">
        <f t="shared" si="8"/>
        <v>389</v>
      </c>
      <c r="I18" s="148">
        <f t="shared" si="8"/>
        <v>335</v>
      </c>
      <c r="J18" s="148">
        <f t="shared" si="8"/>
        <v>89</v>
      </c>
      <c r="K18" s="148">
        <f t="shared" si="8"/>
        <v>24</v>
      </c>
      <c r="L18" s="148">
        <f t="shared" si="8"/>
        <v>410</v>
      </c>
      <c r="M18" s="148">
        <f t="shared" si="8"/>
        <v>363</v>
      </c>
      <c r="N18" s="148">
        <f t="shared" si="8"/>
        <v>382</v>
      </c>
      <c r="O18" s="148">
        <f t="shared" si="8"/>
        <v>382</v>
      </c>
      <c r="P18" s="148">
        <f t="shared" si="8"/>
        <v>335</v>
      </c>
      <c r="Q18" s="148">
        <f t="shared" si="8"/>
        <v>89</v>
      </c>
      <c r="R18" s="148">
        <f t="shared" si="8"/>
        <v>38</v>
      </c>
      <c r="S18" s="148">
        <f t="shared" si="8"/>
        <v>406</v>
      </c>
      <c r="T18" s="148">
        <f t="shared" si="8"/>
        <v>437</v>
      </c>
      <c r="U18" s="148">
        <f t="shared" si="8"/>
        <v>425</v>
      </c>
      <c r="V18" s="148">
        <f t="shared" si="8"/>
        <v>312</v>
      </c>
      <c r="W18" s="148">
        <f t="shared" si="8"/>
        <v>265</v>
      </c>
      <c r="X18" s="148">
        <f t="shared" si="8"/>
        <v>84</v>
      </c>
      <c r="Y18" s="148">
        <f t="shared" si="8"/>
        <v>34</v>
      </c>
      <c r="Z18" s="148">
        <f t="shared" si="8"/>
        <v>390</v>
      </c>
      <c r="AA18" s="148">
        <f t="shared" si="8"/>
        <v>349</v>
      </c>
      <c r="AB18" s="148">
        <f t="shared" si="8"/>
        <v>316</v>
      </c>
      <c r="AC18" s="148">
        <f t="shared" si="8"/>
        <v>126</v>
      </c>
      <c r="AD18" s="148">
        <f t="shared" si="8"/>
        <v>295</v>
      </c>
      <c r="AE18" s="148">
        <f t="shared" si="8"/>
        <v>85</v>
      </c>
      <c r="AF18" s="148">
        <f t="shared" si="8"/>
        <v>33</v>
      </c>
      <c r="AG18" s="148">
        <f t="shared" si="8"/>
        <v>345</v>
      </c>
      <c r="AH18" s="148">
        <f t="shared" ref="AH18" si="9">IF(AH6&lt;&gt;"",AH6,AH12)</f>
        <v>458</v>
      </c>
      <c r="AI18" s="108">
        <f>SUM(D18:AH18)</f>
        <v>8951</v>
      </c>
      <c r="AJ18" s="109">
        <f>AI18/COUNTA(C18:AG18)</f>
        <v>288.74193548387098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82" t="s">
        <v>30</v>
      </c>
      <c r="K20" s="183"/>
      <c r="L20" s="202" t="s">
        <v>32</v>
      </c>
      <c r="M20" s="202"/>
      <c r="N20" s="188" t="s">
        <v>32</v>
      </c>
      <c r="O20" s="189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20067</v>
      </c>
      <c r="D21" s="142">
        <f>SUM(D22:D24)</f>
        <v>20067</v>
      </c>
      <c r="E21" s="143">
        <f>SUM(E22:E24)</f>
        <v>19121.999999999996</v>
      </c>
      <c r="F21" s="138">
        <f>(D21-E21)/E21</f>
        <v>4.9419516786947171E-2</v>
      </c>
      <c r="G21" s="133">
        <f>F21</f>
        <v>4.9419516786947171E-2</v>
      </c>
      <c r="H21" s="12"/>
      <c r="I21" s="32"/>
      <c r="J21" s="184">
        <v>7.22</v>
      </c>
      <c r="K21" s="185"/>
      <c r="L21" s="215">
        <v>207</v>
      </c>
      <c r="M21" s="215"/>
      <c r="N21" s="190">
        <v>15639</v>
      </c>
      <c r="O21" s="19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188</v>
      </c>
      <c r="D22" s="145">
        <f>AI16</f>
        <v>188</v>
      </c>
      <c r="E22" s="143">
        <f>$AI$10</f>
        <v>180.00000000000003</v>
      </c>
      <c r="F22" s="139">
        <f t="shared" ref="F22:F24" si="11">(D22-E22)/E22</f>
        <v>4.444444444444428E-2</v>
      </c>
      <c r="G22" s="133">
        <f>F22</f>
        <v>4.444444444444428E-2</v>
      </c>
      <c r="H22" s="12"/>
      <c r="I22" s="32"/>
      <c r="J22" s="186" t="s">
        <v>13</v>
      </c>
      <c r="K22" s="187"/>
      <c r="L22" s="216" t="s">
        <v>13</v>
      </c>
      <c r="M22" s="216"/>
      <c r="N22" s="192" t="s">
        <v>15</v>
      </c>
      <c r="O22" s="193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10928</v>
      </c>
      <c r="D23" s="145">
        <f>AI17</f>
        <v>10928</v>
      </c>
      <c r="E23" s="143">
        <f>AI11</f>
        <v>10520</v>
      </c>
      <c r="F23" s="139">
        <f t="shared" si="11"/>
        <v>3.8783269961977188E-2</v>
      </c>
      <c r="G23" s="133">
        <f>F23</f>
        <v>3.8783269961977188E-2</v>
      </c>
      <c r="H23" s="12"/>
      <c r="I23" s="32"/>
      <c r="J23" s="209" t="s">
        <v>31</v>
      </c>
      <c r="K23" s="210"/>
      <c r="L23" s="217" t="s">
        <v>33</v>
      </c>
      <c r="M23" s="217"/>
      <c r="N23" s="203" t="s">
        <v>33</v>
      </c>
      <c r="O23" s="204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8951</v>
      </c>
      <c r="D24" s="147">
        <f>AI18</f>
        <v>8951</v>
      </c>
      <c r="E24" s="166">
        <f>AI12</f>
        <v>8421.9999999999964</v>
      </c>
      <c r="F24" s="140">
        <f t="shared" si="11"/>
        <v>6.2811683685585831E-2</v>
      </c>
      <c r="G24" s="136">
        <f>F24</f>
        <v>6.2811683685585831E-2</v>
      </c>
      <c r="H24" s="12"/>
      <c r="I24" s="32"/>
      <c r="J24" s="184">
        <v>6.77</v>
      </c>
      <c r="K24" s="185"/>
      <c r="L24" s="215">
        <v>210</v>
      </c>
      <c r="M24" s="215"/>
      <c r="N24" s="190">
        <v>21648</v>
      </c>
      <c r="O24" s="191"/>
      <c r="AI24" s="29"/>
      <c r="AJ24" s="34"/>
      <c r="AK24" s="51"/>
      <c r="AL24" s="34"/>
    </row>
    <row r="25" spans="1:38" ht="26.25" x14ac:dyDescent="0.25">
      <c r="H25" s="113"/>
      <c r="I25" s="32"/>
      <c r="J25" s="211" t="s">
        <v>26</v>
      </c>
      <c r="K25" s="212"/>
      <c r="L25" s="218" t="str">
        <f>J25</f>
        <v>Redução</v>
      </c>
      <c r="M25" s="218"/>
      <c r="N25" s="205" t="str">
        <f>L25</f>
        <v>Redução</v>
      </c>
      <c r="O25" s="206"/>
      <c r="AI25" s="29"/>
      <c r="AJ25" s="34"/>
      <c r="AK25" s="51"/>
      <c r="AL25" s="34"/>
    </row>
    <row r="26" spans="1:38" ht="27" thickBot="1" x14ac:dyDescent="0.3">
      <c r="G26" s="12"/>
      <c r="I26" s="33"/>
      <c r="J26" s="213">
        <f>(J21/J24)-1</f>
        <v>6.6469719350073841E-2</v>
      </c>
      <c r="K26" s="214"/>
      <c r="L26" s="219">
        <f>(L21/L24)-1</f>
        <v>-1.4285714285714235E-2</v>
      </c>
      <c r="M26" s="219"/>
      <c r="N26" s="207">
        <f>(N21/N24)-1</f>
        <v>-0.27757760532150777</v>
      </c>
      <c r="O26" s="208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/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20067</v>
      </c>
      <c r="D6" s="7">
        <f>'Dados - Gráficos'!D21</f>
        <v>20067</v>
      </c>
      <c r="E6" s="93">
        <f>'Dados - Gráficos'!E21</f>
        <v>19121.999999999996</v>
      </c>
      <c r="F6" s="118">
        <f>'Dados - Gráficos'!F21</f>
        <v>4.9419516786947171E-2</v>
      </c>
      <c r="G6" s="119">
        <f>'Dados - Gráficos'!G21</f>
        <v>4.9419516786947171E-2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188</v>
      </c>
      <c r="D7" s="8">
        <f>'Dados - Gráficos'!D22</f>
        <v>188</v>
      </c>
      <c r="E7" s="93">
        <f>'Dados - Gráficos'!E22</f>
        <v>180.00000000000003</v>
      </c>
      <c r="F7" s="120">
        <f>'Dados - Gráficos'!F22</f>
        <v>4.444444444444428E-2</v>
      </c>
      <c r="G7" s="119">
        <f>'Dados - Gráficos'!G22</f>
        <v>4.444444444444428E-2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10928</v>
      </c>
      <c r="D8" s="8">
        <f>'Dados - Gráficos'!D23</f>
        <v>10928</v>
      </c>
      <c r="E8" s="93">
        <f>'Dados - Gráficos'!E23</f>
        <v>10520</v>
      </c>
      <c r="F8" s="120">
        <f>'Dados - Gráficos'!F23</f>
        <v>3.8783269961977188E-2</v>
      </c>
      <c r="G8" s="119">
        <f>'Dados - Gráficos'!G23</f>
        <v>3.8783269961977188E-2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8951</v>
      </c>
      <c r="D9" s="17">
        <f>'Dados - Gráficos'!D24</f>
        <v>8951</v>
      </c>
      <c r="E9" s="94">
        <f>'Dados - Gráficos'!E24</f>
        <v>8421.9999999999964</v>
      </c>
      <c r="F9" s="121">
        <f>'Dados - Gráficos'!F24</f>
        <v>6.2811683685585831E-2</v>
      </c>
      <c r="G9" s="122">
        <f>'Dados - Gráficos'!G24</f>
        <v>6.2811683685585831E-2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2016-06-01T13:24:56Z</dcterms:modified>
</cp:coreProperties>
</file>