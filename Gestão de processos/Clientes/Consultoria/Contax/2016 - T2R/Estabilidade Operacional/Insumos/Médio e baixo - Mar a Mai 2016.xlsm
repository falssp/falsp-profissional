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harts/chart4.xml" ContentType="application/vnd.openxmlformats-officedocument.drawingml.chart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drawings/drawing11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695"/>
  </bookViews>
  <sheets>
    <sheet name="Indicadores" sheetId="1" r:id="rId1"/>
    <sheet name="Médio Impacto" sheetId="11" state="hidden" r:id="rId2"/>
    <sheet name="Baixo Impacto" sheetId="12" state="hidden" r:id="rId3"/>
    <sheet name="Maio" sheetId="15" r:id="rId4"/>
    <sheet name="Abril" sheetId="14" r:id="rId5"/>
    <sheet name="Março" sheetId="9" r:id="rId6"/>
  </sheets>
  <calcPr calcId="171027"/>
</workbook>
</file>

<file path=xl/calcChain.xml><?xml version="1.0" encoding="utf-8"?>
<calcChain xmlns="http://schemas.openxmlformats.org/spreadsheetml/2006/main">
  <c r="AJ13" i="1" l="1"/>
  <c r="AJ16" i="1"/>
  <c r="AJ15" i="1"/>
  <c r="AJ14" i="1"/>
  <c r="AI16" i="1"/>
  <c r="AI15" i="1"/>
  <c r="AI14" i="1"/>
  <c r="AI13" i="1"/>
  <c r="AI12" i="1"/>
  <c r="AH19" i="1"/>
  <c r="AI19" i="1" s="1"/>
  <c r="AJ19" i="1" s="1"/>
  <c r="AH12" i="1"/>
  <c r="AH21" i="1"/>
  <c r="AI21" i="1" s="1"/>
  <c r="AJ21" i="1" s="1"/>
  <c r="AH14" i="1"/>
  <c r="AI5" i="1"/>
  <c r="AJ5" i="1" s="1"/>
  <c r="AH5" i="1"/>
  <c r="AJ12" i="1" l="1"/>
  <c r="C7" i="1" l="1"/>
  <c r="D7" i="1"/>
  <c r="E7" i="1"/>
  <c r="F7" i="1"/>
  <c r="G7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P21" i="1"/>
  <c r="O21" i="1"/>
  <c r="N21" i="1"/>
  <c r="M21" i="1"/>
  <c r="L21" i="1"/>
  <c r="K21" i="1"/>
  <c r="J21" i="1"/>
  <c r="I21" i="1"/>
  <c r="H21" i="1"/>
  <c r="G21" i="1"/>
  <c r="F21" i="1"/>
  <c r="E21" i="1"/>
  <c r="D21" i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P14" i="1"/>
  <c r="O14" i="1"/>
  <c r="N14" i="1"/>
  <c r="M14" i="1"/>
  <c r="L14" i="1"/>
  <c r="K14" i="1"/>
  <c r="J14" i="1"/>
  <c r="I14" i="1"/>
  <c r="H14" i="1"/>
  <c r="G14" i="1"/>
  <c r="F14" i="1"/>
  <c r="E14" i="1"/>
  <c r="D14" i="1"/>
  <c r="C14" i="1"/>
  <c r="C21" i="1"/>
  <c r="AG7" i="1"/>
  <c r="AF7" i="1"/>
  <c r="AE7" i="1"/>
  <c r="AD7" i="1"/>
  <c r="AC7" i="1"/>
  <c r="AB7" i="1"/>
  <c r="AA7" i="1"/>
  <c r="Z7" i="1"/>
  <c r="Y7" i="1"/>
  <c r="X7" i="1"/>
  <c r="W7" i="1"/>
  <c r="V7" i="1"/>
  <c r="U7" i="1"/>
  <c r="T7" i="1"/>
  <c r="S7" i="1"/>
  <c r="R7" i="1"/>
  <c r="Q7" i="1"/>
  <c r="P7" i="1"/>
  <c r="O7" i="1"/>
  <c r="N7" i="1"/>
  <c r="M7" i="1"/>
  <c r="L7" i="1"/>
  <c r="K7" i="1"/>
  <c r="J7" i="1"/>
  <c r="I7" i="1"/>
  <c r="H7" i="1"/>
  <c r="AH7" i="1"/>
  <c r="AI7" i="1" s="1"/>
  <c r="AJ7" i="1" s="1"/>
  <c r="AH9" i="1" l="1"/>
  <c r="AI9" i="1" s="1"/>
  <c r="AJ9" i="1" s="1"/>
  <c r="AH8" i="1"/>
  <c r="AI8" i="1" s="1"/>
  <c r="AJ8" i="1" s="1"/>
  <c r="AH6" i="1"/>
  <c r="AI6" i="1" l="1"/>
  <c r="AJ6" i="1" s="1"/>
  <c r="AH16" i="1" l="1"/>
  <c r="AH15" i="1"/>
  <c r="AH13" i="1"/>
  <c r="AH23" i="1" l="1"/>
  <c r="AH22" i="1"/>
  <c r="AH20" i="1"/>
  <c r="AI22" i="1" l="1"/>
  <c r="AJ22" i="1" s="1"/>
  <c r="AI23" i="1"/>
  <c r="AJ23" i="1" s="1"/>
  <c r="AI20" i="1"/>
  <c r="AJ20" i="1" l="1"/>
</calcChain>
</file>

<file path=xl/sharedStrings.xml><?xml version="1.0" encoding="utf-8"?>
<sst xmlns="http://schemas.openxmlformats.org/spreadsheetml/2006/main" count="120" uniqueCount="19">
  <si>
    <t>Dom</t>
  </si>
  <si>
    <t>Seg</t>
  </si>
  <si>
    <t>Ter</t>
  </si>
  <si>
    <t>Qua</t>
  </si>
  <si>
    <t>Qui</t>
  </si>
  <si>
    <t>Sex</t>
  </si>
  <si>
    <t>Total</t>
  </si>
  <si>
    <t>Sáb</t>
  </si>
  <si>
    <t>Média/Dia</t>
  </si>
  <si>
    <t>Projeção</t>
  </si>
  <si>
    <t>Alto</t>
  </si>
  <si>
    <t>Médio</t>
  </si>
  <si>
    <t>Baixo</t>
  </si>
  <si>
    <t>Impacto</t>
  </si>
  <si>
    <t>Mar - 31 dias</t>
  </si>
  <si>
    <t>Abr - 30 dias</t>
  </si>
  <si>
    <t>Mai - 31 dias</t>
  </si>
  <si>
    <t>Médio / Baixo</t>
  </si>
  <si>
    <t>Indicadores de médio e baixo impacto de Março, Abril e Maio de 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</si>
</sst>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64" formatCode="[$-416]d;@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0"/>
      <name val="Arial"/>
      <family val="2"/>
    </font>
    <font>
      <b/>
      <sz val="1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-0.499984740745262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</cellStyleXfs>
  <cellXfs count="53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164" fontId="0" fillId="3" borderId="0" xfId="0" applyNumberFormat="1" applyFill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7" fillId="0" borderId="10" xfId="2" applyNumberFormat="1" applyFont="1" applyBorder="1" applyAlignment="1">
      <alignment horizontal="center" vertical="center"/>
    </xf>
    <xf numFmtId="3" fontId="7" fillId="0" borderId="11" xfId="2" applyNumberFormat="1" applyFont="1" applyBorder="1" applyAlignment="1">
      <alignment horizontal="center" vertical="center"/>
    </xf>
    <xf numFmtId="3" fontId="3" fillId="4" borderId="10" xfId="2" applyNumberFormat="1" applyFont="1" applyFill="1" applyBorder="1" applyAlignment="1">
      <alignment horizontal="center" vertical="center"/>
    </xf>
    <xf numFmtId="3" fontId="8" fillId="4" borderId="10" xfId="2" applyNumberFormat="1" applyFont="1" applyFill="1" applyBorder="1" applyAlignment="1">
      <alignment horizontal="center" vertical="center"/>
    </xf>
    <xf numFmtId="3" fontId="8" fillId="4" borderId="11" xfId="2" applyNumberFormat="1" applyFont="1" applyFill="1" applyBorder="1" applyAlignment="1">
      <alignment horizontal="center" vertical="center"/>
    </xf>
    <xf numFmtId="3" fontId="2" fillId="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0" fillId="0" borderId="0" xfId="0" applyNumberFormat="1" applyBorder="1" applyAlignment="1">
      <alignment vertical="center"/>
    </xf>
    <xf numFmtId="3" fontId="4" fillId="5" borderId="9" xfId="0" applyNumberFormat="1" applyFont="1" applyFill="1" applyBorder="1" applyAlignment="1">
      <alignment horizontal="center" vertical="center"/>
    </xf>
    <xf numFmtId="4" fontId="4" fillId="5" borderId="2" xfId="0" applyNumberFormat="1" applyFont="1" applyFill="1" applyBorder="1" applyAlignment="1">
      <alignment horizontal="center" vertical="center"/>
    </xf>
    <xf numFmtId="0" fontId="6" fillId="5" borderId="8" xfId="0" applyFont="1" applyFill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0" fillId="3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6" fillId="6" borderId="8" xfId="0" applyFont="1" applyFill="1" applyBorder="1" applyAlignment="1">
      <alignment horizontal="center" vertical="center"/>
    </xf>
    <xf numFmtId="3" fontId="4" fillId="6" borderId="9" xfId="0" applyNumberFormat="1" applyFont="1" applyFill="1" applyBorder="1" applyAlignment="1">
      <alignment horizontal="center" vertical="center"/>
    </xf>
    <xf numFmtId="4" fontId="4" fillId="6" borderId="2" xfId="0" applyNumberFormat="1" applyFont="1" applyFill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6" fillId="7" borderId="8" xfId="0" applyFont="1" applyFill="1" applyBorder="1" applyAlignment="1">
      <alignment horizontal="center" vertical="center"/>
    </xf>
    <xf numFmtId="3" fontId="4" fillId="7" borderId="9" xfId="0" applyNumberFormat="1" applyFont="1" applyFill="1" applyBorder="1" applyAlignment="1">
      <alignment horizontal="center" vertical="center"/>
    </xf>
    <xf numFmtId="4" fontId="4" fillId="7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3" fontId="7" fillId="0" borderId="0" xfId="2" applyNumberFormat="1" applyFont="1" applyBorder="1" applyAlignment="1">
      <alignment horizontal="center" vertical="center"/>
    </xf>
    <xf numFmtId="4" fontId="2" fillId="0" borderId="0" xfId="0" applyNumberFormat="1" applyFont="1" applyBorder="1" applyAlignment="1">
      <alignment horizontal="right" vertical="center"/>
    </xf>
    <xf numFmtId="3" fontId="8" fillId="4" borderId="0" xfId="2" applyNumberFormat="1" applyFont="1" applyFill="1" applyBorder="1" applyAlignment="1">
      <alignment horizontal="center" vertical="center"/>
    </xf>
    <xf numFmtId="3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chartsheet" Target="chartsheets/sheet2.xml"/><Relationship Id="rId7" Type="http://schemas.openxmlformats.org/officeDocument/2006/relationships/theme" Target="theme/theme1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microsoft.com/office/2006/relationships/vbaProject" Target="vbaProject.bin"/><Relationship Id="rId5" Type="http://schemas.openxmlformats.org/officeDocument/2006/relationships/chartsheet" Target="chartsheets/sheet4.xml"/><Relationship Id="rId10" Type="http://schemas.openxmlformats.org/officeDocument/2006/relationships/calcChain" Target="calcChain.xml"/><Relationship Id="rId4" Type="http://schemas.openxmlformats.org/officeDocument/2006/relationships/chartsheet" Target="chartsheets/sheet3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6AD-4C55-B926-9BC9904FA1C7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6AD-4C55-B926-9BC9904FA1C7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6AD-4C55-B926-9BC9904FA1C7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6AD-4C55-B926-9BC9904FA1C7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6AD-4C55-B926-9BC9904FA1C7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6AD-4C55-B926-9BC9904FA1C7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6AD-4C55-B926-9BC9904FA1C7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6AD-4C55-B926-9BC9904FA1C7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6AD-4C55-B926-9BC9904FA1C7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6AD-4C55-B926-9BC9904FA1C7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6AD-4C55-B926-9BC9904FA1C7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6AD-4C55-B926-9BC9904FA1C7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6AD-4C55-B926-9BC9904FA1C7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C6AD-4C55-B926-9BC9904FA1C7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6AD-4C55-B926-9BC9904FA1C7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6AD-4C55-B926-9BC9904FA1C7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6AD-4C55-B926-9BC9904FA1C7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8558336"/>
        <c:axId val="58559872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58336"/>
        <c:axId val="58559872"/>
      </c:lineChart>
      <c:catAx>
        <c:axId val="5855833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559872"/>
        <c:crosses val="autoZero"/>
        <c:auto val="1"/>
        <c:lblAlgn val="ctr"/>
        <c:lblOffset val="100"/>
        <c:noMultiLvlLbl val="1"/>
      </c:catAx>
      <c:valAx>
        <c:axId val="585598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855833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2A-4C27-BA56-8F3FEC0D1C78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82A-4C27-BA56-8F3FEC0D1C78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82A-4C27-BA56-8F3FEC0D1C78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82A-4C27-BA56-8F3FEC0D1C78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82A-4C27-BA56-8F3FEC0D1C78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82A-4C27-BA56-8F3FEC0D1C78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82A-4C27-BA56-8F3FEC0D1C78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82A-4C27-BA56-8F3FEC0D1C78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82A-4C27-BA56-8F3FEC0D1C78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82A-4C27-BA56-8F3FEC0D1C78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82A-4C27-BA56-8F3FEC0D1C78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82A-4C27-BA56-8F3FEC0D1C78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82A-4C27-BA56-8F3FEC0D1C78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C82A-4C27-BA56-8F3FEC0D1C78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82A-4C27-BA56-8F3FEC0D1C78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82A-4C27-BA56-8F3FEC0D1C78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82A-4C27-BA56-8F3FEC0D1C78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88027520"/>
        <c:axId val="8802905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027520"/>
        <c:axId val="88029056"/>
      </c:lineChart>
      <c:catAx>
        <c:axId val="8802752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8029056"/>
        <c:crosses val="autoZero"/>
        <c:auto val="1"/>
        <c:lblAlgn val="ctr"/>
        <c:lblOffset val="100"/>
        <c:noMultiLvlLbl val="1"/>
      </c:catAx>
      <c:valAx>
        <c:axId val="8802905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802752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e 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Maio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B08-4F3D-8955-B064BA116BCB}"/>
                </c:ext>
              </c:extLst>
            </c:dLbl>
            <c:dLbl>
              <c:idx val="1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B08-4F3D-8955-B064BA116BCB}"/>
                </c:ext>
              </c:extLst>
            </c:dLbl>
            <c:dLbl>
              <c:idx val="1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B08-4F3D-8955-B064BA116BCB}"/>
                </c:ext>
              </c:extLst>
            </c:dLbl>
            <c:dLbl>
              <c:idx val="1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B08-4F3D-8955-B064BA116BCB}"/>
                </c:ext>
              </c:extLst>
            </c:dLbl>
            <c:dLbl>
              <c:idx val="1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B08-4F3D-8955-B064BA116BCB}"/>
                </c:ext>
              </c:extLst>
            </c:dLbl>
            <c:dLbl>
              <c:idx val="1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B08-4F3D-8955-B064BA116BCB}"/>
                </c:ext>
              </c:extLst>
            </c:dLbl>
            <c:dLbl>
              <c:idx val="1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B08-4F3D-8955-B064BA116BCB}"/>
                </c:ext>
              </c:extLst>
            </c:dLbl>
            <c:dLbl>
              <c:idx val="2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B08-4F3D-8955-B064BA116BCB}"/>
                </c:ext>
              </c:extLst>
            </c:dLbl>
            <c:dLbl>
              <c:idx val="2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B08-4F3D-8955-B064BA116BCB}"/>
                </c:ext>
              </c:extLst>
            </c:dLbl>
            <c:dLbl>
              <c:idx val="2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B08-4F3D-8955-B064BA116BCB}"/>
                </c:ext>
              </c:extLst>
            </c:dLbl>
            <c:dLbl>
              <c:idx val="2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B08-4F3D-8955-B064BA116BCB}"/>
                </c:ext>
              </c:extLst>
            </c:dLbl>
            <c:dLbl>
              <c:idx val="2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B08-4F3D-8955-B064BA116BCB}"/>
                </c:ext>
              </c:extLst>
            </c:dLbl>
            <c:dLbl>
              <c:idx val="2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B08-4F3D-8955-B064BA116BCB}"/>
                </c:ext>
              </c:extLst>
            </c:dLbl>
            <c:dLbl>
              <c:idx val="2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B08-4F3D-8955-B064BA116BCB}"/>
                </c:ext>
              </c:extLst>
            </c:dLbl>
            <c:dLbl>
              <c:idx val="2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B08-4F3D-8955-B064BA116BCB}"/>
                </c:ext>
              </c:extLst>
            </c:dLbl>
            <c:dLbl>
              <c:idx val="2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B08-4F3D-8955-B064BA116BCB}"/>
                </c:ext>
              </c:extLst>
            </c:dLbl>
            <c:dLbl>
              <c:idx val="2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5B08-4F3D-8955-B064BA116BCB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Indicadores!$C$12:$AF$12</c:f>
              <c:numCache>
                <c:formatCode>[$-416]d;@</c:formatCode>
                <c:ptCount val="30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</c:numCache>
            </c:numRef>
          </c:cat>
          <c:val>
            <c:numRef>
              <c:f>Indicadores!$C$14:$AF$14</c:f>
              <c:numCache>
                <c:formatCode>#,##0</c:formatCode>
                <c:ptCount val="30"/>
                <c:pt idx="0">
                  <c:v>1036</c:v>
                </c:pt>
                <c:pt idx="1">
                  <c:v>274</c:v>
                </c:pt>
                <c:pt idx="2">
                  <c:v>83</c:v>
                </c:pt>
                <c:pt idx="3">
                  <c:v>1168</c:v>
                </c:pt>
                <c:pt idx="4">
                  <c:v>1029</c:v>
                </c:pt>
                <c:pt idx="5">
                  <c:v>876</c:v>
                </c:pt>
                <c:pt idx="6">
                  <c:v>924</c:v>
                </c:pt>
                <c:pt idx="7">
                  <c:v>890</c:v>
                </c:pt>
                <c:pt idx="8">
                  <c:v>222</c:v>
                </c:pt>
                <c:pt idx="9">
                  <c:v>84</c:v>
                </c:pt>
                <c:pt idx="10">
                  <c:v>1076</c:v>
                </c:pt>
                <c:pt idx="11">
                  <c:v>1081</c:v>
                </c:pt>
                <c:pt idx="12">
                  <c:v>1013</c:v>
                </c:pt>
                <c:pt idx="13">
                  <c:v>861</c:v>
                </c:pt>
                <c:pt idx="14">
                  <c:v>720</c:v>
                </c:pt>
                <c:pt idx="15">
                  <c:v>184</c:v>
                </c:pt>
                <c:pt idx="16">
                  <c:v>54</c:v>
                </c:pt>
                <c:pt idx="17">
                  <c:v>959</c:v>
                </c:pt>
                <c:pt idx="18">
                  <c:v>888</c:v>
                </c:pt>
                <c:pt idx="19">
                  <c:v>742</c:v>
                </c:pt>
                <c:pt idx="20">
                  <c:v>195</c:v>
                </c:pt>
                <c:pt idx="21">
                  <c:v>674</c:v>
                </c:pt>
                <c:pt idx="22">
                  <c:v>247</c:v>
                </c:pt>
                <c:pt idx="23">
                  <c:v>68</c:v>
                </c:pt>
                <c:pt idx="24">
                  <c:v>999</c:v>
                </c:pt>
                <c:pt idx="25">
                  <c:v>842</c:v>
                </c:pt>
                <c:pt idx="26">
                  <c:v>829</c:v>
                </c:pt>
                <c:pt idx="27">
                  <c:v>996</c:v>
                </c:pt>
                <c:pt idx="28">
                  <c:v>902</c:v>
                </c:pt>
                <c:pt idx="29">
                  <c:v>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B08-4F3D-8955-B064BA116B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88382848"/>
        <c:axId val="89728128"/>
      </c:barChart>
      <c:dateAx>
        <c:axId val="8838284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9728128"/>
        <c:crosses val="autoZero"/>
        <c:auto val="1"/>
        <c:lblOffset val="100"/>
        <c:baseTimeUnit val="days"/>
      </c:dateAx>
      <c:valAx>
        <c:axId val="8972812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8838284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e 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Abril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435-49BA-A5A4-11AF68C515AA}"/>
                </c:ext>
              </c:extLst>
            </c:dLbl>
            <c:dLbl>
              <c:idx val="1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435-49BA-A5A4-11AF68C515AA}"/>
                </c:ext>
              </c:extLst>
            </c:dLbl>
            <c:dLbl>
              <c:idx val="1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435-49BA-A5A4-11AF68C515AA}"/>
                </c:ext>
              </c:extLst>
            </c:dLbl>
            <c:dLbl>
              <c:idx val="1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435-49BA-A5A4-11AF68C515AA}"/>
                </c:ext>
              </c:extLst>
            </c:dLbl>
            <c:dLbl>
              <c:idx val="1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435-49BA-A5A4-11AF68C515AA}"/>
                </c:ext>
              </c:extLst>
            </c:dLbl>
            <c:dLbl>
              <c:idx val="1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435-49BA-A5A4-11AF68C515AA}"/>
                </c:ext>
              </c:extLst>
            </c:dLbl>
            <c:dLbl>
              <c:idx val="1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435-49BA-A5A4-11AF68C515AA}"/>
                </c:ext>
              </c:extLst>
            </c:dLbl>
            <c:dLbl>
              <c:idx val="2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435-49BA-A5A4-11AF68C515AA}"/>
                </c:ext>
              </c:extLst>
            </c:dLbl>
            <c:dLbl>
              <c:idx val="2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435-49BA-A5A4-11AF68C515AA}"/>
                </c:ext>
              </c:extLst>
            </c:dLbl>
            <c:dLbl>
              <c:idx val="2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435-49BA-A5A4-11AF68C515AA}"/>
                </c:ext>
              </c:extLst>
            </c:dLbl>
            <c:dLbl>
              <c:idx val="2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435-49BA-A5A4-11AF68C515AA}"/>
                </c:ext>
              </c:extLst>
            </c:dLbl>
            <c:dLbl>
              <c:idx val="2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435-49BA-A5A4-11AF68C515AA}"/>
                </c:ext>
              </c:extLst>
            </c:dLbl>
            <c:dLbl>
              <c:idx val="2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435-49BA-A5A4-11AF68C515AA}"/>
                </c:ext>
              </c:extLst>
            </c:dLbl>
            <c:dLbl>
              <c:idx val="2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435-49BA-A5A4-11AF68C515AA}"/>
                </c:ext>
              </c:extLst>
            </c:dLbl>
            <c:dLbl>
              <c:idx val="2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435-49BA-A5A4-11AF68C515AA}"/>
                </c:ext>
              </c:extLst>
            </c:dLbl>
            <c:dLbl>
              <c:idx val="2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435-49BA-A5A4-11AF68C515AA}"/>
                </c:ext>
              </c:extLst>
            </c:dLbl>
            <c:dLbl>
              <c:idx val="2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0435-49BA-A5A4-11AF68C515AA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Indicadores!$C$12:$AF$12</c:f>
              <c:numCache>
                <c:formatCode>[$-416]d;@</c:formatCode>
                <c:ptCount val="30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</c:numCache>
            </c:numRef>
          </c:cat>
          <c:val>
            <c:numRef>
              <c:f>Indicadores!$C$14:$AF$14</c:f>
              <c:numCache>
                <c:formatCode>#,##0</c:formatCode>
                <c:ptCount val="30"/>
                <c:pt idx="0">
                  <c:v>1036</c:v>
                </c:pt>
                <c:pt idx="1">
                  <c:v>274</c:v>
                </c:pt>
                <c:pt idx="2">
                  <c:v>83</c:v>
                </c:pt>
                <c:pt idx="3">
                  <c:v>1168</c:v>
                </c:pt>
                <c:pt idx="4">
                  <c:v>1029</c:v>
                </c:pt>
                <c:pt idx="5">
                  <c:v>876</c:v>
                </c:pt>
                <c:pt idx="6">
                  <c:v>924</c:v>
                </c:pt>
                <c:pt idx="7">
                  <c:v>890</c:v>
                </c:pt>
                <c:pt idx="8">
                  <c:v>222</c:v>
                </c:pt>
                <c:pt idx="9">
                  <c:v>84</c:v>
                </c:pt>
                <c:pt idx="10">
                  <c:v>1076</c:v>
                </c:pt>
                <c:pt idx="11">
                  <c:v>1081</c:v>
                </c:pt>
                <c:pt idx="12">
                  <c:v>1013</c:v>
                </c:pt>
                <c:pt idx="13">
                  <c:v>861</c:v>
                </c:pt>
                <c:pt idx="14">
                  <c:v>720</c:v>
                </c:pt>
                <c:pt idx="15">
                  <c:v>184</c:v>
                </c:pt>
                <c:pt idx="16">
                  <c:v>54</c:v>
                </c:pt>
                <c:pt idx="17">
                  <c:v>959</c:v>
                </c:pt>
                <c:pt idx="18">
                  <c:v>888</c:v>
                </c:pt>
                <c:pt idx="19">
                  <c:v>742</c:v>
                </c:pt>
                <c:pt idx="20">
                  <c:v>195</c:v>
                </c:pt>
                <c:pt idx="21">
                  <c:v>674</c:v>
                </c:pt>
                <c:pt idx="22">
                  <c:v>247</c:v>
                </c:pt>
                <c:pt idx="23">
                  <c:v>68</c:v>
                </c:pt>
                <c:pt idx="24">
                  <c:v>999</c:v>
                </c:pt>
                <c:pt idx="25">
                  <c:v>842</c:v>
                </c:pt>
                <c:pt idx="26">
                  <c:v>829</c:v>
                </c:pt>
                <c:pt idx="27">
                  <c:v>996</c:v>
                </c:pt>
                <c:pt idx="28">
                  <c:v>902</c:v>
                </c:pt>
                <c:pt idx="29">
                  <c:v>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435-49BA-A5A4-11AF68C51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88382848"/>
        <c:axId val="89728128"/>
      </c:barChart>
      <c:dateAx>
        <c:axId val="8838284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9728128"/>
        <c:crosses val="autoZero"/>
        <c:auto val="1"/>
        <c:lblOffset val="100"/>
        <c:baseTimeUnit val="days"/>
      </c:dateAx>
      <c:valAx>
        <c:axId val="8972812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8838284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Março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1BD-4848-9EBA-E7A13DC1685F}"/>
                </c:ext>
              </c:extLst>
            </c:dLbl>
            <c:dLbl>
              <c:idx val="1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1BD-4848-9EBA-E7A13DC1685F}"/>
                </c:ext>
              </c:extLst>
            </c:dLbl>
            <c:dLbl>
              <c:idx val="1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1BD-4848-9EBA-E7A13DC1685F}"/>
                </c:ext>
              </c:extLst>
            </c:dLbl>
            <c:dLbl>
              <c:idx val="1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1BD-4848-9EBA-E7A13DC1685F}"/>
                </c:ext>
              </c:extLst>
            </c:dLbl>
            <c:dLbl>
              <c:idx val="1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1BD-4848-9EBA-E7A13DC1685F}"/>
                </c:ext>
              </c:extLst>
            </c:dLbl>
            <c:dLbl>
              <c:idx val="1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1BD-4848-9EBA-E7A13DC1685F}"/>
                </c:ext>
              </c:extLst>
            </c:dLbl>
            <c:dLbl>
              <c:idx val="1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D1BD-4848-9EBA-E7A13DC1685F}"/>
                </c:ext>
              </c:extLst>
            </c:dLbl>
            <c:dLbl>
              <c:idx val="2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1BD-4848-9EBA-E7A13DC1685F}"/>
                </c:ext>
              </c:extLst>
            </c:dLbl>
            <c:dLbl>
              <c:idx val="2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D1BD-4848-9EBA-E7A13DC1685F}"/>
                </c:ext>
              </c:extLst>
            </c:dLbl>
            <c:dLbl>
              <c:idx val="2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1BD-4848-9EBA-E7A13DC1685F}"/>
                </c:ext>
              </c:extLst>
            </c:dLbl>
            <c:dLbl>
              <c:idx val="2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D1BD-4848-9EBA-E7A13DC1685F}"/>
                </c:ext>
              </c:extLst>
            </c:dLbl>
            <c:dLbl>
              <c:idx val="2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D1BD-4848-9EBA-E7A13DC1685F}"/>
                </c:ext>
              </c:extLst>
            </c:dLbl>
            <c:dLbl>
              <c:idx val="2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D1BD-4848-9EBA-E7A13DC1685F}"/>
                </c:ext>
              </c:extLst>
            </c:dLbl>
            <c:dLbl>
              <c:idx val="2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D1BD-4848-9EBA-E7A13DC1685F}"/>
                </c:ext>
              </c:extLst>
            </c:dLbl>
            <c:dLbl>
              <c:idx val="2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D1BD-4848-9EBA-E7A13DC1685F}"/>
                </c:ext>
              </c:extLst>
            </c:dLbl>
            <c:dLbl>
              <c:idx val="2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D1BD-4848-9EBA-E7A13DC1685F}"/>
                </c:ext>
              </c:extLst>
            </c:dLbl>
            <c:dLbl>
              <c:idx val="2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D1BD-4848-9EBA-E7A13DC1685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Indicadores!$C$19:$AG$19</c15:sqref>
                  </c15:fullRef>
                </c:ext>
              </c:extLst>
              <c:f>Indicadores!$C$19:$AF$19</c:f>
              <c:numCache>
                <c:formatCode>[$-416]d;@</c:formatCode>
                <c:ptCount val="30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Indicadores!$C$21:$AG$21</c15:sqref>
                  </c15:fullRef>
                </c:ext>
              </c:extLst>
              <c:f>Indicadores!$C$21:$AF$21</c:f>
              <c:numCache>
                <c:formatCode>#,##0</c:formatCode>
                <c:ptCount val="30"/>
                <c:pt idx="0">
                  <c:v>1238</c:v>
                </c:pt>
                <c:pt idx="1">
                  <c:v>1178</c:v>
                </c:pt>
                <c:pt idx="2">
                  <c:v>923</c:v>
                </c:pt>
                <c:pt idx="3">
                  <c:v>945</c:v>
                </c:pt>
                <c:pt idx="4">
                  <c:v>182</c:v>
                </c:pt>
                <c:pt idx="5">
                  <c:v>110</c:v>
                </c:pt>
                <c:pt idx="6">
                  <c:v>1148</c:v>
                </c:pt>
                <c:pt idx="7">
                  <c:v>857</c:v>
                </c:pt>
                <c:pt idx="8">
                  <c:v>967</c:v>
                </c:pt>
                <c:pt idx="9">
                  <c:v>843</c:v>
                </c:pt>
                <c:pt idx="10">
                  <c:v>768</c:v>
                </c:pt>
                <c:pt idx="11">
                  <c:v>223</c:v>
                </c:pt>
                <c:pt idx="12">
                  <c:v>76</c:v>
                </c:pt>
                <c:pt idx="13">
                  <c:v>1012</c:v>
                </c:pt>
                <c:pt idx="14">
                  <c:v>933</c:v>
                </c:pt>
                <c:pt idx="15">
                  <c:v>734</c:v>
                </c:pt>
                <c:pt idx="16">
                  <c:v>795</c:v>
                </c:pt>
                <c:pt idx="17">
                  <c:v>621</c:v>
                </c:pt>
                <c:pt idx="18">
                  <c:v>233</c:v>
                </c:pt>
                <c:pt idx="19">
                  <c:v>97</c:v>
                </c:pt>
                <c:pt idx="20">
                  <c:v>966</c:v>
                </c:pt>
                <c:pt idx="21">
                  <c:v>763</c:v>
                </c:pt>
                <c:pt idx="22">
                  <c:v>723</c:v>
                </c:pt>
                <c:pt idx="23">
                  <c:v>643</c:v>
                </c:pt>
                <c:pt idx="24">
                  <c:v>184</c:v>
                </c:pt>
                <c:pt idx="25">
                  <c:v>231</c:v>
                </c:pt>
                <c:pt idx="26">
                  <c:v>69</c:v>
                </c:pt>
                <c:pt idx="27">
                  <c:v>993</c:v>
                </c:pt>
                <c:pt idx="28">
                  <c:v>796</c:v>
                </c:pt>
                <c:pt idx="29">
                  <c:v>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1490176"/>
        <c:axId val="51500160"/>
      </c:barChart>
      <c:dateAx>
        <c:axId val="5149017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500160"/>
        <c:crosses val="autoZero"/>
        <c:auto val="1"/>
        <c:lblOffset val="100"/>
        <c:baseTimeUnit val="days"/>
      </c:dateAx>
      <c:valAx>
        <c:axId val="51500160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149017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5"/>
  <sheetViews>
    <sheetView zoomScale="80" workbookViewId="0"/>
  </sheetViews>
  <sheetProtection algorithmName="SHA-512" hashValue="+/P0xP0uvZfI4+2X9kX/oxziwOcyTFIEXnOWtCT1R22D4BIyAKMGNH3Q1NufcWimwMCYShDWZsdX9dCpA/C77Q==" saltValue="oeHOu6bJgXfITRqV6gNX7w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brzsNQRDuP+vOaviFdW/vUtIjj2vpfeMpC16WxAG20BFO98ObfGWO0my70akT0tP/tJ483u5DXHIMPRh50biqg==" saltValue="4N6wXQoMNFuNexIyT6A2M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9"/>
  <sheetViews>
    <sheetView zoomScale="80" workbookViewId="0"/>
  </sheetViews>
  <pageMargins left="0.511811024" right="0.511811024" top="0.78740157499999996" bottom="0.78740157499999996" header="0.31496062000000002" footer="0.31496062000000002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Gráf8"/>
  <sheetViews>
    <sheetView zoomScale="80" workbookViewId="0"/>
  </sheetViews>
  <pageMargins left="0.511811024" right="0.511811024" top="0.78740157499999996" bottom="0.78740157499999996" header="0.31496062000000002" footer="0.31496062000000002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Gráf4"/>
  <sheetViews>
    <sheetView zoomScale="80" workbookViewId="0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3</xdr:col>
      <xdr:colOff>111820</xdr:colOff>
      <xdr:row>2</xdr:row>
      <xdr:rowOff>43961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23" y="0"/>
          <a:ext cx="1862955" cy="5275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32"/>
  <sheetViews>
    <sheetView showGridLines="0" tabSelected="1" zoomScale="130" zoomScaleNormal="130" workbookViewId="0">
      <selection activeCell="F4" sqref="F4"/>
    </sheetView>
  </sheetViews>
  <sheetFormatPr defaultColWidth="9.140625" defaultRowHeight="15" x14ac:dyDescent="0.25"/>
  <cols>
    <col min="1" max="1" width="1.28515625" style="3" customWidth="1"/>
    <col min="2" max="2" width="17.140625" style="3" customWidth="1"/>
    <col min="3" max="4" width="9.140625" style="2"/>
    <col min="5" max="5" width="10.140625" style="2" bestFit="1" customWidth="1"/>
    <col min="6" max="6" width="9.140625" style="2"/>
    <col min="7" max="7" width="10.28515625" style="2" bestFit="1" customWidth="1"/>
    <col min="8" max="8" width="11.140625" style="2" customWidth="1"/>
    <col min="9" max="9" width="8.85546875" style="2" customWidth="1"/>
    <col min="10" max="11" width="10.42578125" style="3" bestFit="1" customWidth="1"/>
    <col min="12" max="13" width="7.140625" style="3" bestFit="1" customWidth="1"/>
    <col min="14" max="16" width="9.140625" style="3"/>
    <col min="17" max="17" width="10.42578125" style="3" bestFit="1" customWidth="1"/>
    <col min="18" max="20" width="9.140625" style="3"/>
    <col min="21" max="21" width="10.42578125" style="3" bestFit="1" customWidth="1"/>
    <col min="22" max="22" width="10.28515625" style="3" customWidth="1"/>
    <col min="23" max="23" width="10.140625" style="3" bestFit="1" customWidth="1"/>
    <col min="24" max="24" width="12" style="3" bestFit="1" customWidth="1"/>
    <col min="25" max="25" width="10.28515625" style="3" bestFit="1" customWidth="1"/>
    <col min="26" max="28" width="9.140625" style="3"/>
    <col min="29" max="29" width="9" style="3" bestFit="1" customWidth="1"/>
    <col min="30" max="30" width="10.140625" style="3" bestFit="1" customWidth="1"/>
    <col min="31" max="31" width="10" style="3" customWidth="1"/>
    <col min="32" max="32" width="9.7109375" style="3" customWidth="1"/>
    <col min="33" max="33" width="10.42578125" style="3" customWidth="1"/>
    <col min="34" max="34" width="10.42578125" style="7" bestFit="1" customWidth="1"/>
    <col min="35" max="35" width="10.42578125" style="19" bestFit="1" customWidth="1"/>
    <col min="36" max="36" width="10.42578125" style="7" customWidth="1"/>
    <col min="37" max="39" width="7.85546875" style="3" bestFit="1" customWidth="1"/>
    <col min="40" max="16384" width="9.140625" style="3"/>
  </cols>
  <sheetData>
    <row r="1" spans="2:36" x14ac:dyDescent="0.25">
      <c r="C1" s="44"/>
      <c r="D1" s="44"/>
      <c r="E1" s="44"/>
      <c r="F1" s="44"/>
      <c r="G1" s="44"/>
      <c r="H1" s="44"/>
      <c r="I1" s="44"/>
    </row>
    <row r="2" spans="2:36" ht="23.25" x14ac:dyDescent="0.25">
      <c r="C2" s="50"/>
      <c r="D2" s="52" t="s">
        <v>18</v>
      </c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</row>
    <row r="3" spans="2:36" ht="15.75" thickBot="1" x14ac:dyDescent="0.3">
      <c r="B3" s="45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46"/>
      <c r="AI3" s="47"/>
      <c r="AJ3" s="48"/>
    </row>
    <row r="4" spans="2:36" ht="15.75" x14ac:dyDescent="0.25">
      <c r="B4" s="41" t="s">
        <v>16</v>
      </c>
      <c r="C4" s="1" t="s">
        <v>0</v>
      </c>
      <c r="D4" s="1" t="s">
        <v>1</v>
      </c>
      <c r="E4" s="1" t="s">
        <v>2</v>
      </c>
      <c r="F4" s="1" t="s">
        <v>3</v>
      </c>
      <c r="G4" s="1" t="s">
        <v>4</v>
      </c>
      <c r="H4" s="1" t="s">
        <v>5</v>
      </c>
      <c r="I4" s="1" t="s">
        <v>7</v>
      </c>
      <c r="J4" s="1" t="s">
        <v>0</v>
      </c>
      <c r="K4" s="1" t="s">
        <v>1</v>
      </c>
      <c r="L4" s="1" t="s">
        <v>2</v>
      </c>
      <c r="M4" s="1" t="s">
        <v>3</v>
      </c>
      <c r="N4" s="1" t="s">
        <v>4</v>
      </c>
      <c r="O4" s="1" t="s">
        <v>5</v>
      </c>
      <c r="P4" s="1" t="s">
        <v>7</v>
      </c>
      <c r="Q4" s="1" t="s">
        <v>0</v>
      </c>
      <c r="R4" s="1" t="s">
        <v>1</v>
      </c>
      <c r="S4" s="1" t="s">
        <v>2</v>
      </c>
      <c r="T4" s="1" t="s">
        <v>3</v>
      </c>
      <c r="U4" s="1" t="s">
        <v>4</v>
      </c>
      <c r="V4" s="1" t="s">
        <v>5</v>
      </c>
      <c r="W4" s="1" t="s">
        <v>7</v>
      </c>
      <c r="X4" s="1" t="s">
        <v>0</v>
      </c>
      <c r="Y4" s="1" t="s">
        <v>1</v>
      </c>
      <c r="Z4" s="1" t="s">
        <v>2</v>
      </c>
      <c r="AA4" s="1" t="s">
        <v>3</v>
      </c>
      <c r="AB4" s="1" t="s">
        <v>4</v>
      </c>
      <c r="AC4" s="1" t="s">
        <v>5</v>
      </c>
      <c r="AD4" s="1" t="s">
        <v>7</v>
      </c>
      <c r="AE4" s="1" t="s">
        <v>0</v>
      </c>
      <c r="AF4" s="1" t="s">
        <v>1</v>
      </c>
      <c r="AG4" s="1" t="s">
        <v>2</v>
      </c>
      <c r="AH4" s="42" t="s">
        <v>6</v>
      </c>
      <c r="AI4" s="43" t="s">
        <v>8</v>
      </c>
      <c r="AJ4" s="17" t="s">
        <v>9</v>
      </c>
    </row>
    <row r="5" spans="2:36" x14ac:dyDescent="0.25">
      <c r="B5" s="38" t="s">
        <v>13</v>
      </c>
      <c r="C5" s="10">
        <v>42491</v>
      </c>
      <c r="D5" s="10">
        <v>42492</v>
      </c>
      <c r="E5" s="10">
        <v>42493</v>
      </c>
      <c r="F5" s="10">
        <v>42494</v>
      </c>
      <c r="G5" s="10">
        <v>42495</v>
      </c>
      <c r="H5" s="10">
        <v>42496</v>
      </c>
      <c r="I5" s="10">
        <v>42497</v>
      </c>
      <c r="J5" s="10">
        <v>42498</v>
      </c>
      <c r="K5" s="10">
        <v>42499</v>
      </c>
      <c r="L5" s="10">
        <v>42500</v>
      </c>
      <c r="M5" s="10">
        <v>42501</v>
      </c>
      <c r="N5" s="10">
        <v>42502</v>
      </c>
      <c r="O5" s="10">
        <v>42503</v>
      </c>
      <c r="P5" s="10">
        <v>42504</v>
      </c>
      <c r="Q5" s="10">
        <v>42505</v>
      </c>
      <c r="R5" s="10">
        <v>42506</v>
      </c>
      <c r="S5" s="10">
        <v>42507</v>
      </c>
      <c r="T5" s="10">
        <v>42508</v>
      </c>
      <c r="U5" s="10">
        <v>42509</v>
      </c>
      <c r="V5" s="10">
        <v>42510</v>
      </c>
      <c r="W5" s="10">
        <v>42511</v>
      </c>
      <c r="X5" s="10">
        <v>42512</v>
      </c>
      <c r="Y5" s="10">
        <v>42513</v>
      </c>
      <c r="Z5" s="10">
        <v>42514</v>
      </c>
      <c r="AA5" s="10">
        <v>42515</v>
      </c>
      <c r="AB5" s="10">
        <v>42516</v>
      </c>
      <c r="AC5" s="10">
        <v>42517</v>
      </c>
      <c r="AD5" s="10">
        <v>42518</v>
      </c>
      <c r="AE5" s="10">
        <v>42519</v>
      </c>
      <c r="AF5" s="10">
        <v>42520</v>
      </c>
      <c r="AG5" s="10">
        <v>42521</v>
      </c>
      <c r="AH5" s="11">
        <f>SUM(AH6:AH7)</f>
        <v>19849</v>
      </c>
      <c r="AI5" s="18">
        <f>AH5/COUNTA(C6:AG6)</f>
        <v>640.29032258064512</v>
      </c>
      <c r="AJ5" s="14">
        <f>AI5*31</f>
        <v>19849</v>
      </c>
    </row>
    <row r="6" spans="2:36" x14ac:dyDescent="0.25">
      <c r="B6" s="39" t="s">
        <v>10</v>
      </c>
      <c r="C6" s="28">
        <v>0</v>
      </c>
      <c r="D6" s="28">
        <v>13</v>
      </c>
      <c r="E6" s="28">
        <v>5</v>
      </c>
      <c r="F6" s="28">
        <v>6</v>
      </c>
      <c r="G6" s="28">
        <v>5</v>
      </c>
      <c r="H6" s="28">
        <v>9</v>
      </c>
      <c r="I6" s="28">
        <v>3</v>
      </c>
      <c r="J6" s="28">
        <v>2</v>
      </c>
      <c r="K6" s="28">
        <v>9</v>
      </c>
      <c r="L6" s="28">
        <v>10</v>
      </c>
      <c r="M6" s="28">
        <v>6</v>
      </c>
      <c r="N6" s="28">
        <v>7</v>
      </c>
      <c r="O6" s="28">
        <v>6</v>
      </c>
      <c r="P6" s="28">
        <v>4</v>
      </c>
      <c r="Q6" s="5">
        <v>3</v>
      </c>
      <c r="R6" s="5">
        <v>8</v>
      </c>
      <c r="S6" s="5">
        <v>8</v>
      </c>
      <c r="T6" s="5">
        <v>5</v>
      </c>
      <c r="U6" s="5">
        <v>7</v>
      </c>
      <c r="V6" s="5">
        <v>12</v>
      </c>
      <c r="W6" s="5">
        <v>1</v>
      </c>
      <c r="X6" s="5">
        <v>3</v>
      </c>
      <c r="Y6" s="5">
        <v>13</v>
      </c>
      <c r="Z6" s="5">
        <v>3</v>
      </c>
      <c r="AA6" s="5">
        <v>13</v>
      </c>
      <c r="AB6" s="5">
        <v>4</v>
      </c>
      <c r="AC6" s="5">
        <v>6</v>
      </c>
      <c r="AD6" s="5">
        <v>1</v>
      </c>
      <c r="AE6" s="5">
        <v>2</v>
      </c>
      <c r="AF6" s="5">
        <v>7</v>
      </c>
      <c r="AG6" s="29">
        <v>5</v>
      </c>
      <c r="AH6" s="12">
        <f>SUM(C6:AG6)</f>
        <v>186</v>
      </c>
      <c r="AI6" s="9">
        <f>AH6/COUNTA(C6:AG6)</f>
        <v>6</v>
      </c>
      <c r="AJ6" s="15">
        <f>AI6*31</f>
        <v>186</v>
      </c>
    </row>
    <row r="7" spans="2:36" x14ac:dyDescent="0.25">
      <c r="B7" s="51" t="s">
        <v>17</v>
      </c>
      <c r="C7" s="49">
        <f>C8+C9</f>
        <v>70</v>
      </c>
      <c r="D7" s="49">
        <f t="shared" ref="D7:AG7" si="0">D8+D9</f>
        <v>1232</v>
      </c>
      <c r="E7" s="49">
        <f t="shared" si="0"/>
        <v>1150</v>
      </c>
      <c r="F7" s="49">
        <f t="shared" si="0"/>
        <v>1014</v>
      </c>
      <c r="G7" s="49">
        <f t="shared" si="0"/>
        <v>849</v>
      </c>
      <c r="H7" s="49">
        <f t="shared" si="0"/>
        <v>716</v>
      </c>
      <c r="I7" s="49">
        <f t="shared" si="0"/>
        <v>185</v>
      </c>
      <c r="J7" s="49">
        <f t="shared" si="0"/>
        <v>53</v>
      </c>
      <c r="K7" s="49">
        <f t="shared" si="0"/>
        <v>941</v>
      </c>
      <c r="L7" s="49">
        <f t="shared" si="0"/>
        <v>901</v>
      </c>
      <c r="M7" s="49">
        <f t="shared" si="0"/>
        <v>899</v>
      </c>
      <c r="N7" s="49">
        <f t="shared" si="0"/>
        <v>773</v>
      </c>
      <c r="O7" s="49">
        <f t="shared" si="0"/>
        <v>740</v>
      </c>
      <c r="P7" s="49">
        <f t="shared" si="0"/>
        <v>196</v>
      </c>
      <c r="Q7" s="49">
        <f t="shared" si="0"/>
        <v>64</v>
      </c>
      <c r="R7" s="49">
        <f t="shared" si="0"/>
        <v>913</v>
      </c>
      <c r="S7" s="49">
        <f t="shared" si="0"/>
        <v>943</v>
      </c>
      <c r="T7" s="49">
        <f t="shared" si="0"/>
        <v>870</v>
      </c>
      <c r="U7" s="49">
        <f t="shared" si="0"/>
        <v>716</v>
      </c>
      <c r="V7" s="49">
        <f t="shared" si="0"/>
        <v>638</v>
      </c>
      <c r="W7" s="49">
        <f t="shared" si="0"/>
        <v>154</v>
      </c>
      <c r="X7" s="49">
        <f t="shared" si="0"/>
        <v>67</v>
      </c>
      <c r="Y7" s="49">
        <f t="shared" si="0"/>
        <v>898</v>
      </c>
      <c r="Z7" s="49">
        <f t="shared" si="0"/>
        <v>856</v>
      </c>
      <c r="AA7" s="49">
        <f t="shared" si="0"/>
        <v>767</v>
      </c>
      <c r="AB7" s="49">
        <f t="shared" si="0"/>
        <v>349</v>
      </c>
      <c r="AC7" s="49">
        <f t="shared" si="0"/>
        <v>754</v>
      </c>
      <c r="AD7" s="49">
        <f t="shared" si="0"/>
        <v>158</v>
      </c>
      <c r="AE7" s="49">
        <f t="shared" si="0"/>
        <v>57</v>
      </c>
      <c r="AF7" s="49">
        <f t="shared" si="0"/>
        <v>773</v>
      </c>
      <c r="AG7" s="49">
        <f t="shared" si="0"/>
        <v>967</v>
      </c>
      <c r="AH7" s="12">
        <f>SUM(C7:AG7)</f>
        <v>19663</v>
      </c>
      <c r="AI7" s="9">
        <f>AH7/COUNTA(C7:AG7)</f>
        <v>634.29032258064512</v>
      </c>
      <c r="AJ7" s="15">
        <f>AI7*31</f>
        <v>19663</v>
      </c>
    </row>
    <row r="8" spans="2:36" x14ac:dyDescent="0.25">
      <c r="B8" s="39" t="s">
        <v>11</v>
      </c>
      <c r="C8" s="28">
        <v>24</v>
      </c>
      <c r="D8" s="28">
        <v>575</v>
      </c>
      <c r="E8" s="28">
        <v>584</v>
      </c>
      <c r="F8" s="28">
        <v>528</v>
      </c>
      <c r="G8" s="28">
        <v>460</v>
      </c>
      <c r="H8" s="28">
        <v>381</v>
      </c>
      <c r="I8" s="28">
        <v>96</v>
      </c>
      <c r="J8" s="28">
        <v>29</v>
      </c>
      <c r="K8" s="28">
        <v>531</v>
      </c>
      <c r="L8" s="28">
        <v>539</v>
      </c>
      <c r="M8" s="28">
        <v>517</v>
      </c>
      <c r="N8" s="28">
        <v>392</v>
      </c>
      <c r="O8" s="28">
        <v>405</v>
      </c>
      <c r="P8" s="28">
        <v>107</v>
      </c>
      <c r="Q8" s="5">
        <v>26</v>
      </c>
      <c r="R8" s="5">
        <v>508</v>
      </c>
      <c r="S8" s="5">
        <v>508</v>
      </c>
      <c r="T8" s="5">
        <v>445</v>
      </c>
      <c r="U8" s="5">
        <v>404</v>
      </c>
      <c r="V8" s="5">
        <v>374</v>
      </c>
      <c r="W8" s="5">
        <v>70</v>
      </c>
      <c r="X8" s="5">
        <v>33</v>
      </c>
      <c r="Y8" s="5">
        <v>509</v>
      </c>
      <c r="Z8" s="5">
        <v>507</v>
      </c>
      <c r="AA8" s="5">
        <v>454</v>
      </c>
      <c r="AB8" s="5">
        <v>223</v>
      </c>
      <c r="AC8" s="5">
        <v>456</v>
      </c>
      <c r="AD8" s="5">
        <v>72</v>
      </c>
      <c r="AE8" s="5">
        <v>23</v>
      </c>
      <c r="AF8" s="5">
        <v>434</v>
      </c>
      <c r="AG8" s="29">
        <v>526</v>
      </c>
      <c r="AH8" s="12">
        <f>SUM(C8:AG8)</f>
        <v>10740</v>
      </c>
      <c r="AI8" s="9">
        <f>AH8/COUNTA(C8:AG8)</f>
        <v>346.45161290322579</v>
      </c>
      <c r="AJ8" s="15">
        <f>AI8*31</f>
        <v>10740</v>
      </c>
    </row>
    <row r="9" spans="2:36" ht="15.75" thickBot="1" x14ac:dyDescent="0.3">
      <c r="B9" s="40" t="s">
        <v>12</v>
      </c>
      <c r="C9" s="27">
        <v>46</v>
      </c>
      <c r="D9" s="27">
        <v>657</v>
      </c>
      <c r="E9" s="27">
        <v>566</v>
      </c>
      <c r="F9" s="27">
        <v>486</v>
      </c>
      <c r="G9" s="27">
        <v>389</v>
      </c>
      <c r="H9" s="27">
        <v>335</v>
      </c>
      <c r="I9" s="27">
        <v>89</v>
      </c>
      <c r="J9" s="27">
        <v>24</v>
      </c>
      <c r="K9" s="27">
        <v>410</v>
      </c>
      <c r="L9" s="27">
        <v>362</v>
      </c>
      <c r="M9" s="27">
        <v>382</v>
      </c>
      <c r="N9" s="27">
        <v>381</v>
      </c>
      <c r="O9" s="27">
        <v>335</v>
      </c>
      <c r="P9" s="27">
        <v>89</v>
      </c>
      <c r="Q9" s="6">
        <v>38</v>
      </c>
      <c r="R9" s="6">
        <v>405</v>
      </c>
      <c r="S9" s="6">
        <v>435</v>
      </c>
      <c r="T9" s="6">
        <v>425</v>
      </c>
      <c r="U9" s="6">
        <v>312</v>
      </c>
      <c r="V9" s="6">
        <v>264</v>
      </c>
      <c r="W9" s="6">
        <v>84</v>
      </c>
      <c r="X9" s="6">
        <v>34</v>
      </c>
      <c r="Y9" s="6">
        <v>389</v>
      </c>
      <c r="Z9" s="6">
        <v>349</v>
      </c>
      <c r="AA9" s="6">
        <v>313</v>
      </c>
      <c r="AB9" s="6">
        <v>126</v>
      </c>
      <c r="AC9" s="6">
        <v>298</v>
      </c>
      <c r="AD9" s="6">
        <v>86</v>
      </c>
      <c r="AE9" s="6">
        <v>34</v>
      </c>
      <c r="AF9" s="6">
        <v>339</v>
      </c>
      <c r="AG9" s="31">
        <v>441</v>
      </c>
      <c r="AH9" s="13">
        <f>SUM(C9:AG9)</f>
        <v>8923</v>
      </c>
      <c r="AI9" s="8">
        <f>AH9/COUNTA(C9:AG9)</f>
        <v>287.83870967741933</v>
      </c>
      <c r="AJ9" s="16">
        <f>AI9*31</f>
        <v>8923</v>
      </c>
    </row>
    <row r="10" spans="2:36" ht="15.75" thickBot="1" x14ac:dyDescent="0.3">
      <c r="B10" s="45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46"/>
      <c r="AI10" s="47"/>
      <c r="AJ10" s="48"/>
    </row>
    <row r="11" spans="2:36" ht="15.75" x14ac:dyDescent="0.25">
      <c r="B11" s="35" t="s">
        <v>15</v>
      </c>
      <c r="C11" s="1" t="s">
        <v>5</v>
      </c>
      <c r="D11" s="1" t="s">
        <v>7</v>
      </c>
      <c r="E11" s="1" t="s">
        <v>0</v>
      </c>
      <c r="F11" s="1" t="s">
        <v>1</v>
      </c>
      <c r="G11" s="1" t="s">
        <v>2</v>
      </c>
      <c r="H11" s="1" t="s">
        <v>3</v>
      </c>
      <c r="I11" s="1" t="s">
        <v>4</v>
      </c>
      <c r="J11" s="1" t="s">
        <v>5</v>
      </c>
      <c r="K11" s="1" t="s">
        <v>7</v>
      </c>
      <c r="L11" s="1" t="s">
        <v>0</v>
      </c>
      <c r="M11" s="1" t="s">
        <v>1</v>
      </c>
      <c r="N11" s="1" t="s">
        <v>2</v>
      </c>
      <c r="O11" s="1" t="s">
        <v>3</v>
      </c>
      <c r="P11" s="1" t="s">
        <v>4</v>
      </c>
      <c r="Q11" s="1" t="s">
        <v>5</v>
      </c>
      <c r="R11" s="1" t="s">
        <v>7</v>
      </c>
      <c r="S11" s="1" t="s">
        <v>0</v>
      </c>
      <c r="T11" s="1" t="s">
        <v>1</v>
      </c>
      <c r="U11" s="1" t="s">
        <v>2</v>
      </c>
      <c r="V11" s="1" t="s">
        <v>3</v>
      </c>
      <c r="W11" s="1" t="s">
        <v>4</v>
      </c>
      <c r="X11" s="1" t="s">
        <v>5</v>
      </c>
      <c r="Y11" s="1" t="s">
        <v>7</v>
      </c>
      <c r="Z11" s="1" t="s">
        <v>0</v>
      </c>
      <c r="AA11" s="1" t="s">
        <v>1</v>
      </c>
      <c r="AB11" s="1" t="s">
        <v>2</v>
      </c>
      <c r="AC11" s="1" t="s">
        <v>3</v>
      </c>
      <c r="AD11" s="1" t="s">
        <v>4</v>
      </c>
      <c r="AE11" s="1" t="s">
        <v>5</v>
      </c>
      <c r="AF11" s="1" t="s">
        <v>7</v>
      </c>
      <c r="AG11" s="30"/>
      <c r="AH11" s="36" t="s">
        <v>6</v>
      </c>
      <c r="AI11" s="37" t="s">
        <v>8</v>
      </c>
      <c r="AJ11" s="17" t="s">
        <v>9</v>
      </c>
    </row>
    <row r="12" spans="2:36" x14ac:dyDescent="0.25">
      <c r="B12" s="32" t="s">
        <v>13</v>
      </c>
      <c r="C12" s="10">
        <v>42461</v>
      </c>
      <c r="D12" s="10">
        <v>42462</v>
      </c>
      <c r="E12" s="10">
        <v>42463</v>
      </c>
      <c r="F12" s="10">
        <v>42464</v>
      </c>
      <c r="G12" s="10">
        <v>42465</v>
      </c>
      <c r="H12" s="10">
        <v>42466</v>
      </c>
      <c r="I12" s="10">
        <v>42467</v>
      </c>
      <c r="J12" s="10">
        <v>42468</v>
      </c>
      <c r="K12" s="10">
        <v>42469</v>
      </c>
      <c r="L12" s="10">
        <v>42470</v>
      </c>
      <c r="M12" s="10">
        <v>42471</v>
      </c>
      <c r="N12" s="10">
        <v>42472</v>
      </c>
      <c r="O12" s="10">
        <v>42473</v>
      </c>
      <c r="P12" s="10">
        <v>42474</v>
      </c>
      <c r="Q12" s="10">
        <v>42475</v>
      </c>
      <c r="R12" s="10">
        <v>42476</v>
      </c>
      <c r="S12" s="10">
        <v>42477</v>
      </c>
      <c r="T12" s="10">
        <v>42478</v>
      </c>
      <c r="U12" s="10">
        <v>42479</v>
      </c>
      <c r="V12" s="10">
        <v>42480</v>
      </c>
      <c r="W12" s="10">
        <v>42481</v>
      </c>
      <c r="X12" s="10">
        <v>42482</v>
      </c>
      <c r="Y12" s="10">
        <v>42483</v>
      </c>
      <c r="Z12" s="10">
        <v>42484</v>
      </c>
      <c r="AA12" s="10">
        <v>42485</v>
      </c>
      <c r="AB12" s="10">
        <v>42486</v>
      </c>
      <c r="AC12" s="10">
        <v>42487</v>
      </c>
      <c r="AD12" s="10">
        <v>42488</v>
      </c>
      <c r="AE12" s="10">
        <v>42489</v>
      </c>
      <c r="AF12" s="10">
        <v>42490</v>
      </c>
      <c r="AG12" s="26"/>
      <c r="AH12" s="11">
        <f>SUM(AH13:AH14)</f>
        <v>20388</v>
      </c>
      <c r="AI12" s="18">
        <f>AH12/COUNTA(C13:AF13)</f>
        <v>679.6</v>
      </c>
      <c r="AJ12" s="14">
        <f>AI12*31</f>
        <v>21067.600000000002</v>
      </c>
    </row>
    <row r="13" spans="2:36" x14ac:dyDescent="0.25">
      <c r="B13" s="33" t="s">
        <v>10</v>
      </c>
      <c r="C13" s="28">
        <v>6</v>
      </c>
      <c r="D13" s="28">
        <v>6</v>
      </c>
      <c r="E13" s="28">
        <v>2</v>
      </c>
      <c r="F13" s="28">
        <v>7</v>
      </c>
      <c r="G13" s="28">
        <v>12</v>
      </c>
      <c r="H13" s="28">
        <v>4</v>
      </c>
      <c r="I13" s="28">
        <v>3</v>
      </c>
      <c r="J13" s="28">
        <v>7</v>
      </c>
      <c r="K13" s="28">
        <v>4</v>
      </c>
      <c r="L13" s="28">
        <v>1</v>
      </c>
      <c r="M13" s="28">
        <v>13</v>
      </c>
      <c r="N13" s="28">
        <v>9</v>
      </c>
      <c r="O13" s="28">
        <v>6</v>
      </c>
      <c r="P13" s="28">
        <v>11</v>
      </c>
      <c r="Q13" s="5">
        <v>9</v>
      </c>
      <c r="R13" s="5">
        <v>0</v>
      </c>
      <c r="S13" s="5">
        <v>0</v>
      </c>
      <c r="T13" s="5">
        <v>6</v>
      </c>
      <c r="U13" s="5">
        <v>7</v>
      </c>
      <c r="V13" s="5">
        <v>13</v>
      </c>
      <c r="W13" s="5">
        <v>6</v>
      </c>
      <c r="X13" s="5">
        <v>8</v>
      </c>
      <c r="Y13" s="5">
        <v>1</v>
      </c>
      <c r="Z13" s="5">
        <v>0</v>
      </c>
      <c r="AA13" s="5">
        <v>5</v>
      </c>
      <c r="AB13" s="5">
        <v>5</v>
      </c>
      <c r="AC13" s="5">
        <v>9</v>
      </c>
      <c r="AD13" s="5">
        <v>7</v>
      </c>
      <c r="AE13" s="5">
        <v>8</v>
      </c>
      <c r="AF13" s="5">
        <v>8</v>
      </c>
      <c r="AG13" s="29"/>
      <c r="AH13" s="12">
        <f>SUM(C13:AG13)</f>
        <v>183</v>
      </c>
      <c r="AI13" s="9">
        <f>AH13/COUNTA(C13:AF13)</f>
        <v>6.1</v>
      </c>
      <c r="AJ13" s="15">
        <f>AI13*30</f>
        <v>183</v>
      </c>
    </row>
    <row r="14" spans="2:36" x14ac:dyDescent="0.25">
      <c r="B14" s="51" t="s">
        <v>17</v>
      </c>
      <c r="C14" s="49">
        <f>C15+C16</f>
        <v>1036</v>
      </c>
      <c r="D14" s="49">
        <f t="shared" ref="D14:AF14" si="1">D15+D16</f>
        <v>274</v>
      </c>
      <c r="E14" s="49">
        <f t="shared" si="1"/>
        <v>83</v>
      </c>
      <c r="F14" s="49">
        <f t="shared" si="1"/>
        <v>1168</v>
      </c>
      <c r="G14" s="49">
        <f t="shared" si="1"/>
        <v>1029</v>
      </c>
      <c r="H14" s="49">
        <f t="shared" si="1"/>
        <v>876</v>
      </c>
      <c r="I14" s="49">
        <f t="shared" si="1"/>
        <v>924</v>
      </c>
      <c r="J14" s="49">
        <f t="shared" si="1"/>
        <v>890</v>
      </c>
      <c r="K14" s="49">
        <f t="shared" si="1"/>
        <v>222</v>
      </c>
      <c r="L14" s="49">
        <f t="shared" si="1"/>
        <v>84</v>
      </c>
      <c r="M14" s="49">
        <f t="shared" si="1"/>
        <v>1076</v>
      </c>
      <c r="N14" s="49">
        <f t="shared" si="1"/>
        <v>1081</v>
      </c>
      <c r="O14" s="49">
        <f t="shared" si="1"/>
        <v>1013</v>
      </c>
      <c r="P14" s="49">
        <f t="shared" si="1"/>
        <v>861</v>
      </c>
      <c r="Q14" s="49">
        <f t="shared" si="1"/>
        <v>720</v>
      </c>
      <c r="R14" s="49">
        <f t="shared" si="1"/>
        <v>184</v>
      </c>
      <c r="S14" s="49">
        <f t="shared" si="1"/>
        <v>54</v>
      </c>
      <c r="T14" s="49">
        <f t="shared" si="1"/>
        <v>959</v>
      </c>
      <c r="U14" s="49">
        <f t="shared" si="1"/>
        <v>888</v>
      </c>
      <c r="V14" s="49">
        <f t="shared" si="1"/>
        <v>742</v>
      </c>
      <c r="W14" s="49">
        <f t="shared" si="1"/>
        <v>195</v>
      </c>
      <c r="X14" s="49">
        <f t="shared" si="1"/>
        <v>674</v>
      </c>
      <c r="Y14" s="49">
        <f t="shared" si="1"/>
        <v>247</v>
      </c>
      <c r="Z14" s="49">
        <f t="shared" si="1"/>
        <v>68</v>
      </c>
      <c r="AA14" s="49">
        <f t="shared" si="1"/>
        <v>999</v>
      </c>
      <c r="AB14" s="49">
        <f t="shared" si="1"/>
        <v>842</v>
      </c>
      <c r="AC14" s="49">
        <f t="shared" si="1"/>
        <v>829</v>
      </c>
      <c r="AD14" s="49">
        <f t="shared" si="1"/>
        <v>996</v>
      </c>
      <c r="AE14" s="49">
        <f t="shared" si="1"/>
        <v>902</v>
      </c>
      <c r="AF14" s="49">
        <f t="shared" si="1"/>
        <v>289</v>
      </c>
      <c r="AG14" s="29"/>
      <c r="AH14" s="12">
        <f>SUM(C14:AG14)</f>
        <v>20205</v>
      </c>
      <c r="AI14" s="9">
        <f>AH14/COUNTA(C14:AF14)</f>
        <v>673.5</v>
      </c>
      <c r="AJ14" s="15">
        <f>AI14*30</f>
        <v>20205</v>
      </c>
    </row>
    <row r="15" spans="2:36" x14ac:dyDescent="0.25">
      <c r="B15" s="33" t="s">
        <v>11</v>
      </c>
      <c r="C15" s="28">
        <v>539</v>
      </c>
      <c r="D15" s="28">
        <v>121</v>
      </c>
      <c r="E15" s="28">
        <v>44</v>
      </c>
      <c r="F15" s="28">
        <v>586</v>
      </c>
      <c r="G15" s="28">
        <v>542</v>
      </c>
      <c r="H15" s="28">
        <v>431</v>
      </c>
      <c r="I15" s="28">
        <v>499</v>
      </c>
      <c r="J15" s="28">
        <v>482</v>
      </c>
      <c r="K15" s="28">
        <v>114</v>
      </c>
      <c r="L15" s="28">
        <v>33</v>
      </c>
      <c r="M15" s="28">
        <v>522</v>
      </c>
      <c r="N15" s="28">
        <v>563</v>
      </c>
      <c r="O15" s="28">
        <v>562</v>
      </c>
      <c r="P15" s="28">
        <v>479</v>
      </c>
      <c r="Q15" s="5">
        <v>385</v>
      </c>
      <c r="R15" s="5">
        <v>98</v>
      </c>
      <c r="S15" s="5">
        <v>20</v>
      </c>
      <c r="T15" s="5">
        <v>515</v>
      </c>
      <c r="U15" s="5">
        <v>448</v>
      </c>
      <c r="V15" s="5">
        <v>371</v>
      </c>
      <c r="W15" s="5">
        <v>105</v>
      </c>
      <c r="X15" s="5">
        <v>383</v>
      </c>
      <c r="Y15" s="5">
        <v>98</v>
      </c>
      <c r="Z15" s="5">
        <v>24</v>
      </c>
      <c r="AA15" s="5">
        <v>551</v>
      </c>
      <c r="AB15" s="5">
        <v>432</v>
      </c>
      <c r="AC15" s="5">
        <v>463</v>
      </c>
      <c r="AD15" s="5">
        <v>455</v>
      </c>
      <c r="AE15" s="5">
        <v>477</v>
      </c>
      <c r="AF15" s="5">
        <v>122</v>
      </c>
      <c r="AG15" s="29"/>
      <c r="AH15" s="12">
        <f>SUM(C15:AG15)</f>
        <v>10464</v>
      </c>
      <c r="AI15" s="9">
        <f>AH15/COUNTA(C15:AF15)</f>
        <v>348.8</v>
      </c>
      <c r="AJ15" s="15">
        <f>AI15*30</f>
        <v>10464</v>
      </c>
    </row>
    <row r="16" spans="2:36" ht="15.75" thickBot="1" x14ac:dyDescent="0.3">
      <c r="B16" s="34" t="s">
        <v>12</v>
      </c>
      <c r="C16" s="27">
        <v>497</v>
      </c>
      <c r="D16" s="27">
        <v>153</v>
      </c>
      <c r="E16" s="27">
        <v>39</v>
      </c>
      <c r="F16" s="27">
        <v>582</v>
      </c>
      <c r="G16" s="27">
        <v>487</v>
      </c>
      <c r="H16" s="27">
        <v>445</v>
      </c>
      <c r="I16" s="27">
        <v>425</v>
      </c>
      <c r="J16" s="27">
        <v>408</v>
      </c>
      <c r="K16" s="27">
        <v>108</v>
      </c>
      <c r="L16" s="27">
        <v>51</v>
      </c>
      <c r="M16" s="27">
        <v>554</v>
      </c>
      <c r="N16" s="27">
        <v>518</v>
      </c>
      <c r="O16" s="27">
        <v>451</v>
      </c>
      <c r="P16" s="27">
        <v>382</v>
      </c>
      <c r="Q16" s="6">
        <v>335</v>
      </c>
      <c r="R16" s="6">
        <v>86</v>
      </c>
      <c r="S16" s="6">
        <v>34</v>
      </c>
      <c r="T16" s="6">
        <v>444</v>
      </c>
      <c r="U16" s="6">
        <v>440</v>
      </c>
      <c r="V16" s="6">
        <v>371</v>
      </c>
      <c r="W16" s="6">
        <v>90</v>
      </c>
      <c r="X16" s="6">
        <v>291</v>
      </c>
      <c r="Y16" s="6">
        <v>149</v>
      </c>
      <c r="Z16" s="6">
        <v>44</v>
      </c>
      <c r="AA16" s="6">
        <v>448</v>
      </c>
      <c r="AB16" s="6">
        <v>410</v>
      </c>
      <c r="AC16" s="6">
        <v>366</v>
      </c>
      <c r="AD16" s="6">
        <v>541</v>
      </c>
      <c r="AE16" s="6">
        <v>425</v>
      </c>
      <c r="AF16" s="6">
        <v>167</v>
      </c>
      <c r="AG16" s="31"/>
      <c r="AH16" s="13">
        <f>SUM(C16:AG16)</f>
        <v>9741</v>
      </c>
      <c r="AI16" s="8">
        <f>AH16/COUNTA(C16:AF16)</f>
        <v>324.7</v>
      </c>
      <c r="AJ16" s="16">
        <f>AI16*30</f>
        <v>9741</v>
      </c>
    </row>
    <row r="17" spans="2:36" ht="15.75" thickBot="1" x14ac:dyDescent="0.3">
      <c r="B17" s="45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46"/>
      <c r="AI17" s="47"/>
      <c r="AJ17" s="48"/>
    </row>
    <row r="18" spans="2:36" ht="15.75" x14ac:dyDescent="0.25">
      <c r="B18" s="22" t="s">
        <v>14</v>
      </c>
      <c r="C18" s="1" t="s">
        <v>2</v>
      </c>
      <c r="D18" s="1" t="s">
        <v>3</v>
      </c>
      <c r="E18" s="1" t="s">
        <v>4</v>
      </c>
      <c r="F18" s="1" t="s">
        <v>5</v>
      </c>
      <c r="G18" s="1" t="s">
        <v>7</v>
      </c>
      <c r="H18" s="1" t="s">
        <v>0</v>
      </c>
      <c r="I18" s="1" t="s">
        <v>1</v>
      </c>
      <c r="J18" s="1" t="s">
        <v>2</v>
      </c>
      <c r="K18" s="1" t="s">
        <v>3</v>
      </c>
      <c r="L18" s="1" t="s">
        <v>4</v>
      </c>
      <c r="M18" s="1" t="s">
        <v>5</v>
      </c>
      <c r="N18" s="1" t="s">
        <v>7</v>
      </c>
      <c r="O18" s="1" t="s">
        <v>0</v>
      </c>
      <c r="P18" s="1" t="s">
        <v>1</v>
      </c>
      <c r="Q18" s="1" t="s">
        <v>2</v>
      </c>
      <c r="R18" s="1" t="s">
        <v>3</v>
      </c>
      <c r="S18" s="1" t="s">
        <v>4</v>
      </c>
      <c r="T18" s="1" t="s">
        <v>5</v>
      </c>
      <c r="U18" s="1" t="s">
        <v>7</v>
      </c>
      <c r="V18" s="1" t="s">
        <v>0</v>
      </c>
      <c r="W18" s="1" t="s">
        <v>1</v>
      </c>
      <c r="X18" s="1" t="s">
        <v>2</v>
      </c>
      <c r="Y18" s="1" t="s">
        <v>3</v>
      </c>
      <c r="Z18" s="1" t="s">
        <v>4</v>
      </c>
      <c r="AA18" s="1" t="s">
        <v>5</v>
      </c>
      <c r="AB18" s="1" t="s">
        <v>7</v>
      </c>
      <c r="AC18" s="1" t="s">
        <v>0</v>
      </c>
      <c r="AD18" s="1" t="s">
        <v>1</v>
      </c>
      <c r="AE18" s="1" t="s">
        <v>2</v>
      </c>
      <c r="AF18" s="1" t="s">
        <v>3</v>
      </c>
      <c r="AG18" s="30" t="s">
        <v>4</v>
      </c>
      <c r="AH18" s="20" t="s">
        <v>6</v>
      </c>
      <c r="AI18" s="21" t="s">
        <v>8</v>
      </c>
      <c r="AJ18" s="17" t="s">
        <v>9</v>
      </c>
    </row>
    <row r="19" spans="2:36" x14ac:dyDescent="0.25">
      <c r="B19" s="23" t="s">
        <v>13</v>
      </c>
      <c r="C19" s="10">
        <v>42430</v>
      </c>
      <c r="D19" s="10">
        <v>42431</v>
      </c>
      <c r="E19" s="10">
        <v>42432</v>
      </c>
      <c r="F19" s="10">
        <v>42433</v>
      </c>
      <c r="G19" s="10">
        <v>42434</v>
      </c>
      <c r="H19" s="10">
        <v>42435</v>
      </c>
      <c r="I19" s="10">
        <v>42436</v>
      </c>
      <c r="J19" s="10">
        <v>42437</v>
      </c>
      <c r="K19" s="10">
        <v>42438</v>
      </c>
      <c r="L19" s="10">
        <v>42439</v>
      </c>
      <c r="M19" s="10">
        <v>42440</v>
      </c>
      <c r="N19" s="10">
        <v>42441</v>
      </c>
      <c r="O19" s="10">
        <v>42442</v>
      </c>
      <c r="P19" s="10">
        <v>42443</v>
      </c>
      <c r="Q19" s="10">
        <v>42444</v>
      </c>
      <c r="R19" s="10">
        <v>42445</v>
      </c>
      <c r="S19" s="10">
        <v>42446</v>
      </c>
      <c r="T19" s="10">
        <v>42447</v>
      </c>
      <c r="U19" s="10">
        <v>42448</v>
      </c>
      <c r="V19" s="10">
        <v>42449</v>
      </c>
      <c r="W19" s="10">
        <v>42450</v>
      </c>
      <c r="X19" s="10">
        <v>42451</v>
      </c>
      <c r="Y19" s="10">
        <v>42452</v>
      </c>
      <c r="Z19" s="10">
        <v>42453</v>
      </c>
      <c r="AA19" s="10">
        <v>42454</v>
      </c>
      <c r="AB19" s="10">
        <v>42455</v>
      </c>
      <c r="AC19" s="10">
        <v>42456</v>
      </c>
      <c r="AD19" s="10">
        <v>42457</v>
      </c>
      <c r="AE19" s="10">
        <v>42458</v>
      </c>
      <c r="AF19" s="10">
        <v>42459</v>
      </c>
      <c r="AG19" s="26">
        <v>42460</v>
      </c>
      <c r="AH19" s="11">
        <f>SUM(AH20:AH21)</f>
        <v>21144</v>
      </c>
      <c r="AI19" s="18">
        <f>AH19/COUNTA(C20:AG20)</f>
        <v>682.06451612903231</v>
      </c>
      <c r="AJ19" s="14">
        <f>AI19*31</f>
        <v>21144</v>
      </c>
    </row>
    <row r="20" spans="2:36" x14ac:dyDescent="0.25">
      <c r="B20" s="24" t="s">
        <v>10</v>
      </c>
      <c r="C20" s="28">
        <v>6</v>
      </c>
      <c r="D20" s="28">
        <v>10</v>
      </c>
      <c r="E20" s="28">
        <v>6</v>
      </c>
      <c r="F20" s="28">
        <v>9</v>
      </c>
      <c r="G20" s="28">
        <v>3</v>
      </c>
      <c r="H20" s="28">
        <v>1</v>
      </c>
      <c r="I20" s="28">
        <v>8</v>
      </c>
      <c r="J20" s="28">
        <v>6</v>
      </c>
      <c r="K20" s="28">
        <v>9</v>
      </c>
      <c r="L20" s="28">
        <v>10</v>
      </c>
      <c r="M20" s="28">
        <v>6</v>
      </c>
      <c r="N20" s="28">
        <v>0</v>
      </c>
      <c r="O20" s="28">
        <v>2</v>
      </c>
      <c r="P20" s="28">
        <v>3</v>
      </c>
      <c r="Q20" s="5">
        <v>12</v>
      </c>
      <c r="R20" s="5">
        <v>7</v>
      </c>
      <c r="S20" s="5">
        <v>6</v>
      </c>
      <c r="T20" s="5">
        <v>6</v>
      </c>
      <c r="U20" s="5">
        <v>2</v>
      </c>
      <c r="V20" s="5">
        <v>1</v>
      </c>
      <c r="W20" s="5">
        <v>6</v>
      </c>
      <c r="X20" s="5">
        <v>11</v>
      </c>
      <c r="Y20" s="5">
        <v>6</v>
      </c>
      <c r="Z20" s="5">
        <v>6</v>
      </c>
      <c r="AA20" s="5">
        <v>3</v>
      </c>
      <c r="AB20" s="5">
        <v>0</v>
      </c>
      <c r="AC20" s="5">
        <v>0</v>
      </c>
      <c r="AD20" s="5">
        <v>9</v>
      </c>
      <c r="AE20" s="5">
        <v>9</v>
      </c>
      <c r="AF20" s="5">
        <v>9</v>
      </c>
      <c r="AG20" s="29">
        <v>8</v>
      </c>
      <c r="AH20" s="12">
        <f>SUM(C20:AG20)</f>
        <v>180</v>
      </c>
      <c r="AI20" s="9">
        <f>AH20/COUNTA(C20:AG20)</f>
        <v>5.806451612903226</v>
      </c>
      <c r="AJ20" s="15">
        <f>AI20*31</f>
        <v>180</v>
      </c>
    </row>
    <row r="21" spans="2:36" x14ac:dyDescent="0.25">
      <c r="B21" s="51" t="s">
        <v>17</v>
      </c>
      <c r="C21" s="49">
        <f>C22+C23</f>
        <v>1238</v>
      </c>
      <c r="D21" s="49">
        <f t="shared" ref="D21:AG21" si="2">D22+D23</f>
        <v>1178</v>
      </c>
      <c r="E21" s="49">
        <f t="shared" si="2"/>
        <v>923</v>
      </c>
      <c r="F21" s="49">
        <f t="shared" si="2"/>
        <v>945</v>
      </c>
      <c r="G21" s="49">
        <f t="shared" si="2"/>
        <v>182</v>
      </c>
      <c r="H21" s="49">
        <f t="shared" si="2"/>
        <v>110</v>
      </c>
      <c r="I21" s="49">
        <f t="shared" si="2"/>
        <v>1148</v>
      </c>
      <c r="J21" s="49">
        <f t="shared" si="2"/>
        <v>857</v>
      </c>
      <c r="K21" s="49">
        <f t="shared" si="2"/>
        <v>967</v>
      </c>
      <c r="L21" s="49">
        <f t="shared" si="2"/>
        <v>843</v>
      </c>
      <c r="M21" s="49">
        <f t="shared" si="2"/>
        <v>768</v>
      </c>
      <c r="N21" s="49">
        <f t="shared" si="2"/>
        <v>223</v>
      </c>
      <c r="O21" s="49">
        <f t="shared" si="2"/>
        <v>76</v>
      </c>
      <c r="P21" s="49">
        <f t="shared" si="2"/>
        <v>1012</v>
      </c>
      <c r="Q21" s="49">
        <f t="shared" si="2"/>
        <v>933</v>
      </c>
      <c r="R21" s="49">
        <f t="shared" si="2"/>
        <v>734</v>
      </c>
      <c r="S21" s="49">
        <f t="shared" si="2"/>
        <v>795</v>
      </c>
      <c r="T21" s="49">
        <f t="shared" si="2"/>
        <v>621</v>
      </c>
      <c r="U21" s="49">
        <f t="shared" si="2"/>
        <v>233</v>
      </c>
      <c r="V21" s="49">
        <f t="shared" si="2"/>
        <v>97</v>
      </c>
      <c r="W21" s="49">
        <f t="shared" si="2"/>
        <v>966</v>
      </c>
      <c r="X21" s="49">
        <f t="shared" si="2"/>
        <v>763</v>
      </c>
      <c r="Y21" s="49">
        <f t="shared" si="2"/>
        <v>723</v>
      </c>
      <c r="Z21" s="49">
        <f t="shared" si="2"/>
        <v>643</v>
      </c>
      <c r="AA21" s="49">
        <f t="shared" si="2"/>
        <v>184</v>
      </c>
      <c r="AB21" s="49">
        <f t="shared" si="2"/>
        <v>231</v>
      </c>
      <c r="AC21" s="49">
        <f t="shared" si="2"/>
        <v>69</v>
      </c>
      <c r="AD21" s="49">
        <f t="shared" si="2"/>
        <v>993</v>
      </c>
      <c r="AE21" s="49">
        <f t="shared" si="2"/>
        <v>796</v>
      </c>
      <c r="AF21" s="49">
        <f t="shared" si="2"/>
        <v>746</v>
      </c>
      <c r="AG21" s="49">
        <f t="shared" si="2"/>
        <v>967</v>
      </c>
      <c r="AH21" s="12">
        <f>SUM(C21:AG21)</f>
        <v>20964</v>
      </c>
      <c r="AI21" s="9">
        <f>AH21/COUNTA(C21:AG21)</f>
        <v>676.25806451612902</v>
      </c>
      <c r="AJ21" s="15">
        <f>AI21*31</f>
        <v>20964</v>
      </c>
    </row>
    <row r="22" spans="2:36" x14ac:dyDescent="0.25">
      <c r="B22" s="24" t="s">
        <v>11</v>
      </c>
      <c r="C22" s="28">
        <v>663</v>
      </c>
      <c r="D22" s="28">
        <v>717</v>
      </c>
      <c r="E22" s="28">
        <v>534</v>
      </c>
      <c r="F22" s="28">
        <v>568</v>
      </c>
      <c r="G22" s="28">
        <v>103</v>
      </c>
      <c r="H22" s="28">
        <v>70</v>
      </c>
      <c r="I22" s="28">
        <v>599</v>
      </c>
      <c r="J22" s="28">
        <v>467</v>
      </c>
      <c r="K22" s="28">
        <v>560</v>
      </c>
      <c r="L22" s="28">
        <v>480</v>
      </c>
      <c r="M22" s="28">
        <v>451</v>
      </c>
      <c r="N22" s="28">
        <v>123</v>
      </c>
      <c r="O22" s="28">
        <v>37</v>
      </c>
      <c r="P22" s="28">
        <v>533</v>
      </c>
      <c r="Q22" s="5">
        <v>540</v>
      </c>
      <c r="R22" s="5">
        <v>403</v>
      </c>
      <c r="S22" s="5">
        <v>473</v>
      </c>
      <c r="T22" s="5">
        <v>335</v>
      </c>
      <c r="U22" s="5">
        <v>118</v>
      </c>
      <c r="V22" s="5">
        <v>44</v>
      </c>
      <c r="W22" s="5">
        <v>575</v>
      </c>
      <c r="X22" s="5">
        <v>431</v>
      </c>
      <c r="Y22" s="5">
        <v>412</v>
      </c>
      <c r="Z22" s="5">
        <v>408</v>
      </c>
      <c r="AA22" s="5">
        <v>111</v>
      </c>
      <c r="AB22" s="5">
        <v>121</v>
      </c>
      <c r="AC22" s="5">
        <v>36</v>
      </c>
      <c r="AD22" s="5">
        <v>609</v>
      </c>
      <c r="AE22" s="5">
        <v>445</v>
      </c>
      <c r="AF22" s="5">
        <v>430</v>
      </c>
      <c r="AG22" s="29">
        <v>610</v>
      </c>
      <c r="AH22" s="12">
        <f>SUM(C22:AG22)</f>
        <v>12006</v>
      </c>
      <c r="AI22" s="9">
        <f>AH22/COUNTA(C22:AG22)</f>
        <v>387.29032258064518</v>
      </c>
      <c r="AJ22" s="15">
        <f>AI22*31</f>
        <v>12006</v>
      </c>
    </row>
    <row r="23" spans="2:36" ht="15.75" thickBot="1" x14ac:dyDescent="0.3">
      <c r="B23" s="25" t="s">
        <v>12</v>
      </c>
      <c r="C23" s="27">
        <v>575</v>
      </c>
      <c r="D23" s="27">
        <v>461</v>
      </c>
      <c r="E23" s="27">
        <v>389</v>
      </c>
      <c r="F23" s="27">
        <v>377</v>
      </c>
      <c r="G23" s="27">
        <v>79</v>
      </c>
      <c r="H23" s="27">
        <v>40</v>
      </c>
      <c r="I23" s="27">
        <v>549</v>
      </c>
      <c r="J23" s="27">
        <v>390</v>
      </c>
      <c r="K23" s="27">
        <v>407</v>
      </c>
      <c r="L23" s="27">
        <v>363</v>
      </c>
      <c r="M23" s="27">
        <v>317</v>
      </c>
      <c r="N23" s="27">
        <v>100</v>
      </c>
      <c r="O23" s="27">
        <v>39</v>
      </c>
      <c r="P23" s="27">
        <v>479</v>
      </c>
      <c r="Q23" s="6">
        <v>393</v>
      </c>
      <c r="R23" s="6">
        <v>331</v>
      </c>
      <c r="S23" s="6">
        <v>322</v>
      </c>
      <c r="T23" s="6">
        <v>286</v>
      </c>
      <c r="U23" s="6">
        <v>115</v>
      </c>
      <c r="V23" s="6">
        <v>53</v>
      </c>
      <c r="W23" s="6">
        <v>391</v>
      </c>
      <c r="X23" s="6">
        <v>332</v>
      </c>
      <c r="Y23" s="6">
        <v>311</v>
      </c>
      <c r="Z23" s="6">
        <v>235</v>
      </c>
      <c r="AA23" s="6">
        <v>73</v>
      </c>
      <c r="AB23" s="6">
        <v>110</v>
      </c>
      <c r="AC23" s="6">
        <v>33</v>
      </c>
      <c r="AD23" s="6">
        <v>384</v>
      </c>
      <c r="AE23" s="6">
        <v>351</v>
      </c>
      <c r="AF23" s="6">
        <v>316</v>
      </c>
      <c r="AG23" s="31">
        <v>357</v>
      </c>
      <c r="AH23" s="13">
        <f>SUM(C23:AG23)</f>
        <v>8958</v>
      </c>
      <c r="AI23" s="8">
        <f>AH23/COUNTA(C23:AG23)</f>
        <v>288.96774193548384</v>
      </c>
      <c r="AJ23" s="16">
        <f>AI23*31</f>
        <v>8958</v>
      </c>
    </row>
    <row r="24" spans="2:36" x14ac:dyDescent="0.25">
      <c r="B24" s="45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46"/>
      <c r="AI24" s="47"/>
      <c r="AJ24" s="48"/>
    </row>
    <row r="32" spans="2:36" x14ac:dyDescent="0.25">
      <c r="AE32" s="4"/>
      <c r="AF32" s="4"/>
    </row>
  </sheetData>
  <mergeCells count="1">
    <mergeCell ref="D2:O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Gráficos</vt:lpstr>
      </vt:variant>
      <vt:variant>
        <vt:i4>5</vt:i4>
      </vt:variant>
    </vt:vector>
  </HeadingPairs>
  <TitlesOfParts>
    <vt:vector size="6" baseType="lpstr">
      <vt:lpstr>Indicadores</vt:lpstr>
      <vt:lpstr>Médio Impacto</vt:lpstr>
      <vt:lpstr>Baixo Impacto</vt:lpstr>
      <vt:lpstr>Maio</vt:lpstr>
      <vt:lpstr>Abril</vt:lpstr>
      <vt:lpstr>Março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2016-06-14T20:26:27Z</dcterms:modified>
</cp:coreProperties>
</file>